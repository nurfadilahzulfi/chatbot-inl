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103D7079-3F3B-4A9F-8247-C76D4B436139}" xr6:coauthVersionLast="47" xr6:coauthVersionMax="47" xr10:uidLastSave="{00000000-0000-0000-0000-000000000000}"/>
  <bookViews>
    <workbookView xWindow="14400" yWindow="0" windowWidth="14400" windowHeight="15600" activeTab="7" xr2:uid="{00000000-000D-0000-FFFF-FFFF00000000}"/>
  </bookViews>
  <sheets>
    <sheet name="November 2024" sheetId="6" r:id="rId1"/>
    <sheet name="SUMMARY HPP " sheetId="19" state="hidden" r:id="rId2"/>
    <sheet name="Convert Gas" sheetId="3" r:id="rId3"/>
    <sheet name="OIP Refinery" sheetId="10" r:id="rId4"/>
    <sheet name="OIP Fract" sheetId="4" r:id="rId5"/>
    <sheet name="2024" sheetId="16" r:id="rId6"/>
    <sheet name="Downtime Ref Nov" sheetId="34" state="hidden" r:id="rId7"/>
    <sheet name="Downtime Fract Oktober" sheetId="35" r:id="rId8"/>
    <sheet name="Prod" sheetId="31" state="hidden" r:id="rId9"/>
    <sheet name="Utility" sheetId="32" state="hidden" r:id="rId10"/>
    <sheet name="Qty cons analysis" sheetId="33" state="hidden" r:id="rId11"/>
    <sheet name="HPP REF " sheetId="17" state="hidden" r:id="rId12"/>
    <sheet name="HPP FRACT" sheetId="18" state="hidden" r:id="rId13"/>
    <sheet name="Steam" sheetId="26" state="hidden" r:id="rId14"/>
    <sheet name="WWTP" sheetId="27" state="hidden" r:id="rId15"/>
    <sheet name="WTP" sheetId="28" state="hidden" r:id="rId16"/>
    <sheet name="lab" sheetId="29" state="hidden" r:id="rId17"/>
    <sheet name="genset" sheetId="30" state="hidden" r:id="rId18"/>
    <sheet name="AMOR" sheetId="24" state="hidden" r:id="rId19"/>
    <sheet name="DEP" sheetId="23" state="hidden" r:id="rId20"/>
    <sheet name="MTC" sheetId="20" state="hidden" r:id="rId21"/>
    <sheet name="LOG" sheetId="21" state="hidden" r:id="rId22"/>
    <sheet name="OH" sheetId="22" state="hidden" r:id="rId23"/>
    <sheet name="Time Sheet Bulanan" sheetId="25" state="hidden" r:id="rId24"/>
    <sheet name="Flow Meter" sheetId="8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_FilterDatabase" localSheetId="0" hidden="1">'November 2024'!$A$4:$VVE$4</definedName>
    <definedName name="_xlnm.Print_Area" localSheetId="7">'Downtime Fract Oktober'!$F$1:$K$70</definedName>
    <definedName name="_xlnm.Print_Area" localSheetId="6">'Downtime Ref Nov'!$E$1:$K$67</definedName>
    <definedName name="_xlnm.Print_Area" localSheetId="0">'November 2024'!$A$1:$AL$277</definedName>
    <definedName name="_xlnm.Print_Area" localSheetId="8">Prod!$B$2:$H$85</definedName>
    <definedName name="_xlnm.Print_Area" localSheetId="10">'Qty cons analysis'!$D$2:$I$53</definedName>
    <definedName name="_xlnm.Print_Area" localSheetId="9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0" l="1"/>
  <c r="D25" i="10"/>
  <c r="C47" i="3"/>
  <c r="I38" i="35" l="1"/>
  <c r="G38" i="35"/>
  <c r="M37" i="35"/>
  <c r="K37" i="35"/>
  <c r="J37" i="35"/>
  <c r="M36" i="35"/>
  <c r="K36" i="35"/>
  <c r="J36" i="35"/>
  <c r="M35" i="35"/>
  <c r="K35" i="35"/>
  <c r="J35" i="35"/>
  <c r="M34" i="35"/>
  <c r="K34" i="35"/>
  <c r="J34" i="35"/>
  <c r="M33" i="35"/>
  <c r="K33" i="35"/>
  <c r="J33" i="35"/>
  <c r="M32" i="35"/>
  <c r="K32" i="35"/>
  <c r="J32" i="35"/>
  <c r="M31" i="35"/>
  <c r="K31" i="35"/>
  <c r="J31" i="35"/>
  <c r="I51" i="35" s="1"/>
  <c r="M30" i="35"/>
  <c r="K30" i="35"/>
  <c r="J30" i="35"/>
  <c r="M29" i="35"/>
  <c r="K29" i="35"/>
  <c r="J29" i="35"/>
  <c r="M28" i="35"/>
  <c r="K28" i="35"/>
  <c r="J28" i="35"/>
  <c r="M27" i="35"/>
  <c r="K27" i="35"/>
  <c r="J27" i="35"/>
  <c r="M26" i="35"/>
  <c r="K26" i="35"/>
  <c r="J26" i="35"/>
  <c r="M25" i="35"/>
  <c r="K25" i="35"/>
  <c r="J25" i="35"/>
  <c r="M24" i="35"/>
  <c r="K24" i="35"/>
  <c r="J24" i="35"/>
  <c r="M23" i="35"/>
  <c r="K23" i="35"/>
  <c r="J23" i="35"/>
  <c r="M22" i="35"/>
  <c r="K22" i="35"/>
  <c r="J22" i="35"/>
  <c r="M21" i="35"/>
  <c r="K21" i="35"/>
  <c r="J21" i="35"/>
  <c r="M20" i="35"/>
  <c r="K20" i="35"/>
  <c r="J20" i="35"/>
  <c r="M19" i="35"/>
  <c r="K19" i="35"/>
  <c r="J19" i="35"/>
  <c r="M18" i="35"/>
  <c r="K18" i="35"/>
  <c r="J18" i="35"/>
  <c r="M17" i="35"/>
  <c r="K17" i="35"/>
  <c r="J17" i="35"/>
  <c r="I52" i="35" s="1"/>
  <c r="M16" i="35"/>
  <c r="K16" i="35"/>
  <c r="J16" i="35"/>
  <c r="I54" i="35" s="1"/>
  <c r="M15" i="35"/>
  <c r="K15" i="35"/>
  <c r="J15" i="35"/>
  <c r="M14" i="35"/>
  <c r="K14" i="35"/>
  <c r="J14" i="35"/>
  <c r="M13" i="35"/>
  <c r="K13" i="35"/>
  <c r="J13" i="35"/>
  <c r="M12" i="35"/>
  <c r="K12" i="35"/>
  <c r="J12" i="35"/>
  <c r="M11" i="35"/>
  <c r="K11" i="35"/>
  <c r="J11" i="35"/>
  <c r="M10" i="35"/>
  <c r="K10" i="35"/>
  <c r="J10" i="35"/>
  <c r="M9" i="35"/>
  <c r="K9" i="35"/>
  <c r="J9" i="35"/>
  <c r="M8" i="35"/>
  <c r="K8" i="35"/>
  <c r="J8" i="35"/>
  <c r="AR7" i="35"/>
  <c r="AP7" i="35"/>
  <c r="AL7" i="35"/>
  <c r="AK7" i="35"/>
  <c r="AI7" i="35"/>
  <c r="AC7" i="35"/>
  <c r="AB7" i="35"/>
  <c r="AA7" i="35"/>
  <c r="Z7" i="35"/>
  <c r="R7" i="35"/>
  <c r="Q7" i="35"/>
  <c r="P7" i="35"/>
  <c r="O7" i="35"/>
  <c r="M7" i="35"/>
  <c r="M38" i="35" s="1"/>
  <c r="K7" i="35"/>
  <c r="J7" i="35"/>
  <c r="I50" i="35" s="1"/>
  <c r="I55" i="35" s="1"/>
  <c r="J38" i="35" l="1"/>
  <c r="I37" i="34"/>
  <c r="G37" i="34"/>
  <c r="M36" i="34"/>
  <c r="K36" i="34"/>
  <c r="J36" i="34"/>
  <c r="M35" i="34"/>
  <c r="K35" i="34"/>
  <c r="J35" i="34"/>
  <c r="M34" i="34"/>
  <c r="K34" i="34"/>
  <c r="J34" i="34"/>
  <c r="M33" i="34"/>
  <c r="K33" i="34"/>
  <c r="J33" i="34"/>
  <c r="M32" i="34"/>
  <c r="K32" i="34"/>
  <c r="J32" i="34"/>
  <c r="M31" i="34"/>
  <c r="K31" i="34"/>
  <c r="J31" i="34"/>
  <c r="M30" i="34"/>
  <c r="K30" i="34"/>
  <c r="J30" i="34"/>
  <c r="M29" i="34"/>
  <c r="K29" i="34"/>
  <c r="J29" i="34"/>
  <c r="I49" i="34" s="1"/>
  <c r="M28" i="34"/>
  <c r="K28" i="34"/>
  <c r="J28" i="34"/>
  <c r="M27" i="34"/>
  <c r="K27" i="34"/>
  <c r="J27" i="34"/>
  <c r="M26" i="34"/>
  <c r="K26" i="34"/>
  <c r="J26" i="34"/>
  <c r="M25" i="34"/>
  <c r="K25" i="34"/>
  <c r="J25" i="34"/>
  <c r="M24" i="34"/>
  <c r="K24" i="34"/>
  <c r="J24" i="34"/>
  <c r="M23" i="34"/>
  <c r="K23" i="34"/>
  <c r="J23" i="34"/>
  <c r="M22" i="34"/>
  <c r="K22" i="34"/>
  <c r="J22" i="34"/>
  <c r="M21" i="34"/>
  <c r="K21" i="34"/>
  <c r="J21" i="34"/>
  <c r="M20" i="34"/>
  <c r="K20" i="34"/>
  <c r="J20" i="34"/>
  <c r="M19" i="34"/>
  <c r="K19" i="34"/>
  <c r="J19" i="34"/>
  <c r="M18" i="34"/>
  <c r="K18" i="34"/>
  <c r="J18" i="34"/>
  <c r="M17" i="34"/>
  <c r="K17" i="34"/>
  <c r="J17" i="34"/>
  <c r="M16" i="34"/>
  <c r="K16" i="34"/>
  <c r="J16" i="34"/>
  <c r="M15" i="34"/>
  <c r="K15" i="34"/>
  <c r="J15" i="34"/>
  <c r="M14" i="34"/>
  <c r="K14" i="34"/>
  <c r="J14" i="34"/>
  <c r="M13" i="34"/>
  <c r="K13" i="34"/>
  <c r="J13" i="34"/>
  <c r="M12" i="34"/>
  <c r="K12" i="34"/>
  <c r="J12" i="34"/>
  <c r="M11" i="34"/>
  <c r="K11" i="34"/>
  <c r="J11" i="34"/>
  <c r="M10" i="34"/>
  <c r="K10" i="34"/>
  <c r="J10" i="34"/>
  <c r="M9" i="34"/>
  <c r="K9" i="34"/>
  <c r="J9" i="34"/>
  <c r="M8" i="34"/>
  <c r="K8" i="34"/>
  <c r="J8" i="34"/>
  <c r="AR7" i="34"/>
  <c r="AP7" i="34"/>
  <c r="AL7" i="34"/>
  <c r="AK7" i="34"/>
  <c r="AI7" i="34"/>
  <c r="AC7" i="34"/>
  <c r="AB7" i="34"/>
  <c r="AA7" i="34"/>
  <c r="Z7" i="34"/>
  <c r="R7" i="34"/>
  <c r="Q7" i="34"/>
  <c r="P7" i="34"/>
  <c r="O7" i="34"/>
  <c r="M7" i="34"/>
  <c r="M37" i="34" s="1"/>
  <c r="K7" i="34"/>
  <c r="J7" i="34"/>
  <c r="I43" i="34" s="1"/>
  <c r="I51" i="34" s="1"/>
  <c r="J37" i="34" l="1"/>
  <c r="G23" i="6" l="1"/>
  <c r="G25" i="6"/>
  <c r="AL277" i="6" l="1"/>
  <c r="I27" i="32" l="1"/>
  <c r="F16" i="31" l="1"/>
  <c r="F15" i="31"/>
  <c r="F14" i="31"/>
  <c r="E11" i="31"/>
  <c r="F9" i="31"/>
  <c r="AJ23" i="6"/>
  <c r="AJ19" i="6"/>
  <c r="AJ18" i="6"/>
  <c r="AJ9" i="6"/>
  <c r="AJ7" i="6"/>
  <c r="G264" i="6" l="1"/>
  <c r="G258" i="6"/>
  <c r="G249" i="6"/>
  <c r="G247" i="6"/>
  <c r="G236" i="6"/>
  <c r="G238" i="6" s="1"/>
  <c r="G239" i="6" s="1"/>
  <c r="G81" i="6"/>
  <c r="G68" i="6"/>
  <c r="G67" i="6"/>
  <c r="G60" i="6"/>
  <c r="G59" i="6"/>
  <c r="G58" i="6"/>
  <c r="G51" i="6"/>
  <c r="G69" i="6" s="1"/>
  <c r="G46" i="6"/>
  <c r="G43" i="6"/>
  <c r="G41" i="6" s="1"/>
  <c r="G42" i="6"/>
  <c r="G37" i="6"/>
  <c r="G64" i="6" s="1"/>
  <c r="G32" i="6"/>
  <c r="G61" i="6" s="1"/>
  <c r="G28" i="6"/>
  <c r="G256" i="6"/>
  <c r="G19" i="6"/>
  <c r="G17" i="6"/>
  <c r="G18" i="6" s="1"/>
  <c r="G12" i="6"/>
  <c r="G75" i="6" s="1"/>
  <c r="G9" i="6"/>
  <c r="G269" i="6" s="1"/>
  <c r="G8" i="6"/>
  <c r="G7" i="6"/>
  <c r="G70" i="6" l="1"/>
  <c r="G65" i="6"/>
  <c r="G57" i="6"/>
  <c r="G78" i="6"/>
  <c r="G79" i="6" s="1"/>
  <c r="G62" i="6"/>
  <c r="G66" i="6"/>
  <c r="G26" i="6"/>
  <c r="G63" i="6"/>
  <c r="G244" i="6"/>
  <c r="G254" i="6"/>
  <c r="G267" i="6"/>
  <c r="G11" i="6"/>
  <c r="G73" i="6" s="1"/>
  <c r="G77" i="6"/>
  <c r="G246" i="6"/>
  <c r="AI23" i="6" l="1"/>
  <c r="AI19" i="6"/>
  <c r="AI18" i="6"/>
  <c r="AI9" i="6"/>
  <c r="AI7" i="6"/>
  <c r="AH23" i="6" l="1"/>
  <c r="AH19" i="6"/>
  <c r="AH18" i="6"/>
  <c r="AH9" i="6"/>
  <c r="AH7" i="6"/>
  <c r="AL6" i="6" l="1"/>
  <c r="AL21" i="6"/>
  <c r="AG23" i="6"/>
  <c r="AG19" i="6"/>
  <c r="AG18" i="6"/>
  <c r="AG9" i="6"/>
  <c r="AG7" i="6"/>
  <c r="AE236" i="6"/>
  <c r="AF23" i="6"/>
  <c r="AF19" i="6"/>
  <c r="AF18" i="6"/>
  <c r="AF9" i="6"/>
  <c r="AF7" i="6"/>
  <c r="AD43" i="6" l="1"/>
  <c r="AE23" i="6"/>
  <c r="AE19" i="6"/>
  <c r="AE18" i="6"/>
  <c r="AE9" i="6"/>
  <c r="AE7" i="6"/>
  <c r="AD42" i="6" l="1"/>
  <c r="AD29" i="6"/>
  <c r="AD23" i="6"/>
  <c r="AD246" i="6" s="1"/>
  <c r="AD19" i="6"/>
  <c r="AD18" i="6"/>
  <c r="AD9" i="6"/>
  <c r="AD7" i="6"/>
  <c r="AC43" i="6"/>
  <c r="AC42" i="6"/>
  <c r="AC23" i="6"/>
  <c r="AC246" i="6" s="1"/>
  <c r="AC19" i="6"/>
  <c r="AC18" i="6"/>
  <c r="AC9" i="6"/>
  <c r="AC7" i="6"/>
  <c r="AD244" i="6" l="1"/>
  <c r="AD236" i="6"/>
  <c r="AD17" i="6"/>
  <c r="AB18" i="6"/>
  <c r="AB43" i="6"/>
  <c r="AA43" i="6"/>
  <c r="Z43" i="6"/>
  <c r="AB42" i="6"/>
  <c r="AB23" i="6"/>
  <c r="AB19" i="6"/>
  <c r="AB9" i="6"/>
  <c r="AB7" i="6"/>
  <c r="AA18" i="6" l="1"/>
  <c r="AA42" i="6"/>
  <c r="AA23" i="6"/>
  <c r="AA19" i="6"/>
  <c r="AA9" i="6"/>
  <c r="AA7" i="6"/>
  <c r="Z18" i="6" l="1"/>
  <c r="W18" i="6"/>
  <c r="Y43" i="6"/>
  <c r="Z42" i="6"/>
  <c r="Z23" i="6"/>
  <c r="Z19" i="6"/>
  <c r="Z9" i="6"/>
  <c r="Z7" i="6"/>
  <c r="Z14" i="6" l="1"/>
  <c r="Z13" i="6"/>
  <c r="Y19" i="6"/>
  <c r="Y18" i="6"/>
  <c r="X43" i="6"/>
  <c r="Y42" i="6"/>
  <c r="Y23" i="6"/>
  <c r="Y9" i="6"/>
  <c r="Y7" i="6"/>
  <c r="Y14" i="6" l="1"/>
  <c r="Y13" i="6"/>
  <c r="W43" i="6"/>
  <c r="V43" i="6"/>
  <c r="X42" i="6"/>
  <c r="X23" i="6"/>
  <c r="X19" i="6"/>
  <c r="X9" i="6"/>
  <c r="X7" i="6"/>
  <c r="X267" i="6" l="1"/>
  <c r="X236" i="6"/>
  <c r="X14" i="6"/>
  <c r="X13" i="6"/>
  <c r="W236" i="6"/>
  <c r="W9" i="6"/>
  <c r="W7" i="6"/>
  <c r="V19" i="6"/>
  <c r="W19" i="6"/>
  <c r="W23" i="6"/>
  <c r="W42" i="6"/>
  <c r="U43" i="6"/>
  <c r="V42" i="6"/>
  <c r="V23" i="6"/>
  <c r="U18" i="6"/>
  <c r="V14" i="6"/>
  <c r="V13" i="6"/>
  <c r="V9" i="6"/>
  <c r="V7" i="6"/>
  <c r="E19" i="10" l="1"/>
  <c r="P43" i="6" l="1"/>
  <c r="U42" i="6"/>
  <c r="U29" i="6"/>
  <c r="U23" i="6"/>
  <c r="U19" i="6"/>
  <c r="U9" i="6"/>
  <c r="U7" i="6"/>
  <c r="U14" i="6" l="1"/>
  <c r="U13" i="6"/>
  <c r="T19" i="6"/>
  <c r="T30" i="6" l="1"/>
  <c r="T29" i="6"/>
  <c r="T23" i="6"/>
  <c r="T9" i="6"/>
  <c r="T7" i="6"/>
  <c r="T236" i="6" l="1"/>
  <c r="T14" i="6"/>
  <c r="T13" i="6"/>
  <c r="I43" i="6"/>
  <c r="I81" i="6"/>
  <c r="S7" i="6"/>
  <c r="S30" i="6" l="1"/>
  <c r="S29" i="6"/>
  <c r="S23" i="6"/>
  <c r="S19" i="6"/>
  <c r="S14" i="6"/>
  <c r="S13" i="6"/>
  <c r="S9" i="6"/>
  <c r="E16" i="10" l="1"/>
  <c r="R30" i="6" l="1"/>
  <c r="R29" i="6"/>
  <c r="R23" i="6"/>
  <c r="R19" i="6"/>
  <c r="R9" i="6"/>
  <c r="R7" i="6"/>
  <c r="R236" i="6" l="1"/>
  <c r="R14" i="6"/>
  <c r="R13" i="6"/>
  <c r="Q29" i="6"/>
  <c r="Q30" i="6"/>
  <c r="Q236" i="6"/>
  <c r="Q23" i="6"/>
  <c r="Q19" i="6"/>
  <c r="Q9" i="6"/>
  <c r="Q7" i="6"/>
  <c r="P29" i="6" l="1"/>
  <c r="O43" i="6" l="1"/>
  <c r="P42" i="6"/>
  <c r="P23" i="6"/>
  <c r="P19" i="6"/>
  <c r="P14" i="6"/>
  <c r="P13" i="6"/>
  <c r="P9" i="6"/>
  <c r="P7" i="6"/>
  <c r="N43" i="6"/>
  <c r="O42" i="6"/>
  <c r="O23" i="6"/>
  <c r="O19" i="6"/>
  <c r="O9" i="6"/>
  <c r="O7" i="6"/>
  <c r="M43" i="6"/>
  <c r="N42" i="6"/>
  <c r="N23" i="6"/>
  <c r="N19" i="6"/>
  <c r="N9" i="6"/>
  <c r="N7" i="6"/>
  <c r="M18" i="6" l="1"/>
  <c r="N247" i="6" l="1"/>
  <c r="N14" i="6"/>
  <c r="N13" i="6"/>
  <c r="AL72" i="6"/>
  <c r="L43" i="6"/>
  <c r="M42" i="6"/>
  <c r="M23" i="6"/>
  <c r="M19" i="6"/>
  <c r="M9" i="6"/>
  <c r="M7" i="6"/>
  <c r="M236" i="6" l="1"/>
  <c r="K18" i="6"/>
  <c r="J18" i="6"/>
  <c r="J78" i="6" s="1"/>
  <c r="I18" i="6"/>
  <c r="H18" i="6"/>
  <c r="K57" i="6" l="1"/>
  <c r="J57" i="6"/>
  <c r="K43" i="6" l="1"/>
  <c r="J43" i="6"/>
  <c r="L42" i="6"/>
  <c r="L23" i="6"/>
  <c r="L19" i="6"/>
  <c r="L9" i="6"/>
  <c r="L7" i="6"/>
  <c r="K14" i="17" l="1"/>
  <c r="K13" i="17"/>
  <c r="K12" i="17"/>
  <c r="M22" i="16" l="1"/>
  <c r="N23" i="16"/>
  <c r="M23" i="16"/>
  <c r="O54" i="16" l="1"/>
  <c r="N53" i="16"/>
  <c r="M53" i="16"/>
  <c r="O47" i="16"/>
  <c r="O36" i="16"/>
  <c r="O35" i="16"/>
  <c r="O34" i="16"/>
  <c r="O33" i="16"/>
  <c r="O31" i="16"/>
  <c r="O30" i="16"/>
  <c r="O29" i="16"/>
  <c r="O23" i="16"/>
  <c r="O17" i="16"/>
  <c r="O16" i="16"/>
  <c r="O15" i="16"/>
  <c r="O14" i="16"/>
  <c r="O9" i="16"/>
  <c r="O52" i="16" l="1"/>
  <c r="O53" i="16"/>
  <c r="O10" i="16"/>
  <c r="P54" i="16" l="1"/>
  <c r="P14" i="16"/>
  <c r="H43" i="6"/>
  <c r="I42" i="6"/>
  <c r="AL33" i="6"/>
  <c r="P30" i="16" s="1"/>
  <c r="AL34" i="6"/>
  <c r="P31" i="16" s="1"/>
  <c r="I23" i="6"/>
  <c r="I19" i="6"/>
  <c r="I9" i="6"/>
  <c r="I7" i="6"/>
  <c r="H42" i="6"/>
  <c r="H23" i="6"/>
  <c r="H19" i="6"/>
  <c r="H9" i="6"/>
  <c r="H7" i="6"/>
  <c r="I78" i="6" l="1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J77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J46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J41" i="6"/>
  <c r="AJ37" i="6"/>
  <c r="AJ64" i="6" s="1"/>
  <c r="AI37" i="6"/>
  <c r="AI64" i="6" s="1"/>
  <c r="AH37" i="6"/>
  <c r="AG37" i="6"/>
  <c r="AF37" i="6"/>
  <c r="AE37" i="6"/>
  <c r="AE63" i="6" s="1"/>
  <c r="AD37" i="6"/>
  <c r="AD64" i="6" s="1"/>
  <c r="AC37" i="6"/>
  <c r="AC63" i="6" s="1"/>
  <c r="AB37" i="6"/>
  <c r="AB64" i="6" s="1"/>
  <c r="AA37" i="6"/>
  <c r="AA64" i="6" s="1"/>
  <c r="Z37" i="6"/>
  <c r="Y37" i="6"/>
  <c r="X37" i="6"/>
  <c r="W37" i="6"/>
  <c r="W63" i="6" s="1"/>
  <c r="V37" i="6"/>
  <c r="V63" i="6" s="1"/>
  <c r="U37" i="6"/>
  <c r="U63" i="6" s="1"/>
  <c r="T37" i="6"/>
  <c r="T63" i="6" s="1"/>
  <c r="S37" i="6"/>
  <c r="S63" i="6" s="1"/>
  <c r="R37" i="6"/>
  <c r="Q37" i="6"/>
  <c r="P37" i="6"/>
  <c r="P64" i="6" s="1"/>
  <c r="O37" i="6"/>
  <c r="O63" i="6" s="1"/>
  <c r="N37" i="6"/>
  <c r="N64" i="6" s="1"/>
  <c r="M37" i="6"/>
  <c r="M63" i="6" s="1"/>
  <c r="L37" i="6"/>
  <c r="L63" i="6" s="1"/>
  <c r="J37" i="6"/>
  <c r="J63" i="6" s="1"/>
  <c r="AJ32" i="6"/>
  <c r="AI32" i="6"/>
  <c r="AH32" i="6"/>
  <c r="AG32" i="6"/>
  <c r="AG62" i="6" s="1"/>
  <c r="AF32" i="6"/>
  <c r="AF61" i="6" s="1"/>
  <c r="AE32" i="6"/>
  <c r="AE61" i="6" s="1"/>
  <c r="AD32" i="6"/>
  <c r="AC32" i="6"/>
  <c r="AC62" i="6" s="1"/>
  <c r="AB32" i="6"/>
  <c r="AA32" i="6"/>
  <c r="Z32" i="6"/>
  <c r="Y32" i="6"/>
  <c r="Y62" i="6" s="1"/>
  <c r="X32" i="6"/>
  <c r="X61" i="6" s="1"/>
  <c r="W32" i="6"/>
  <c r="W62" i="6" s="1"/>
  <c r="V32" i="6"/>
  <c r="V62" i="6" s="1"/>
  <c r="U32" i="6"/>
  <c r="U62" i="6" s="1"/>
  <c r="T32" i="6"/>
  <c r="S32" i="6"/>
  <c r="R32" i="6"/>
  <c r="Q32" i="6"/>
  <c r="Q62" i="6" s="1"/>
  <c r="P32" i="6"/>
  <c r="P62" i="6" s="1"/>
  <c r="O32" i="6"/>
  <c r="O61" i="6" s="1"/>
  <c r="N32" i="6"/>
  <c r="N62" i="6" s="1"/>
  <c r="M32" i="6"/>
  <c r="M62" i="6" s="1"/>
  <c r="L32" i="6"/>
  <c r="J32" i="6"/>
  <c r="AJ28" i="6"/>
  <c r="AJ60" i="6" s="1"/>
  <c r="AI28" i="6"/>
  <c r="AI60" i="6" s="1"/>
  <c r="AH28" i="6"/>
  <c r="AH60" i="6" s="1"/>
  <c r="AG28" i="6"/>
  <c r="AG60" i="6" s="1"/>
  <c r="AF28" i="6"/>
  <c r="AF60" i="6" s="1"/>
  <c r="AE28" i="6"/>
  <c r="AE60" i="6" s="1"/>
  <c r="AD28" i="6"/>
  <c r="AD60" i="6" s="1"/>
  <c r="AC28" i="6"/>
  <c r="AB28" i="6"/>
  <c r="AB60" i="6" s="1"/>
  <c r="AA28" i="6"/>
  <c r="AA60" i="6" s="1"/>
  <c r="Z28" i="6"/>
  <c r="Z60" i="6" s="1"/>
  <c r="Y28" i="6"/>
  <c r="Y60" i="6" s="1"/>
  <c r="X28" i="6"/>
  <c r="X60" i="6" s="1"/>
  <c r="W28" i="6"/>
  <c r="W60" i="6" s="1"/>
  <c r="V28" i="6"/>
  <c r="V60" i="6" s="1"/>
  <c r="U28" i="6"/>
  <c r="U60" i="6" s="1"/>
  <c r="T28" i="6"/>
  <c r="S28" i="6"/>
  <c r="S60" i="6" s="1"/>
  <c r="R28" i="6"/>
  <c r="R60" i="6" s="1"/>
  <c r="Q28" i="6"/>
  <c r="P28" i="6"/>
  <c r="P60" i="6" s="1"/>
  <c r="O28" i="6"/>
  <c r="O60" i="6" s="1"/>
  <c r="N28" i="6"/>
  <c r="M28" i="6"/>
  <c r="L28" i="6"/>
  <c r="J28" i="6"/>
  <c r="J60" i="6" s="1"/>
  <c r="H12" i="6"/>
  <c r="H75" i="6" s="1"/>
  <c r="H8" i="6"/>
  <c r="H28" i="6"/>
  <c r="H60" i="6" s="1"/>
  <c r="H32" i="6"/>
  <c r="H62" i="6" s="1"/>
  <c r="H37" i="6"/>
  <c r="H63" i="6" s="1"/>
  <c r="I46" i="6"/>
  <c r="H46" i="6"/>
  <c r="I41" i="6"/>
  <c r="H41" i="6"/>
  <c r="H51" i="6"/>
  <c r="H69" i="6" s="1"/>
  <c r="H269" i="6"/>
  <c r="I77" i="6"/>
  <c r="H58" i="6"/>
  <c r="H57" i="6"/>
  <c r="H68" i="6"/>
  <c r="H67" i="6"/>
  <c r="H66" i="6"/>
  <c r="H65" i="6"/>
  <c r="H59" i="6"/>
  <c r="H17" i="6"/>
  <c r="I14" i="6"/>
  <c r="I13" i="6"/>
  <c r="J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J12" i="6"/>
  <c r="J11" i="6" s="1"/>
  <c r="J73" i="6" s="1"/>
  <c r="L12" i="6"/>
  <c r="L11" i="6" s="1"/>
  <c r="L73" i="6" s="1"/>
  <c r="M12" i="6"/>
  <c r="M11" i="6" s="1"/>
  <c r="M73" i="6" s="1"/>
  <c r="N12" i="6"/>
  <c r="N75" i="6" s="1"/>
  <c r="O12" i="6"/>
  <c r="O11" i="6" s="1"/>
  <c r="O73" i="6" s="1"/>
  <c r="P12" i="6"/>
  <c r="P11" i="6" s="1"/>
  <c r="P73" i="6" s="1"/>
  <c r="Q12" i="6"/>
  <c r="Q11" i="6" s="1"/>
  <c r="R12" i="6"/>
  <c r="R11" i="6" s="1"/>
  <c r="R73" i="6" s="1"/>
  <c r="S12" i="6"/>
  <c r="S11" i="6" s="1"/>
  <c r="S73" i="6" s="1"/>
  <c r="T12" i="6"/>
  <c r="T75" i="6" s="1"/>
  <c r="U12" i="6"/>
  <c r="U11" i="6" s="1"/>
  <c r="U73" i="6" s="1"/>
  <c r="V12" i="6"/>
  <c r="V75" i="6" s="1"/>
  <c r="W12" i="6"/>
  <c r="W11" i="6" s="1"/>
  <c r="W73" i="6" s="1"/>
  <c r="X12" i="6"/>
  <c r="X11" i="6" s="1"/>
  <c r="X73" i="6" s="1"/>
  <c r="Y12" i="6"/>
  <c r="Y11" i="6" s="1"/>
  <c r="Y73" i="6" s="1"/>
  <c r="Z12" i="6"/>
  <c r="Z11" i="6" s="1"/>
  <c r="Z73" i="6" s="1"/>
  <c r="AA12" i="6"/>
  <c r="AA11" i="6" s="1"/>
  <c r="AA73" i="6" s="1"/>
  <c r="AB12" i="6"/>
  <c r="AB75" i="6" s="1"/>
  <c r="AC12" i="6"/>
  <c r="AC11" i="6" s="1"/>
  <c r="AC73" i="6" s="1"/>
  <c r="AD12" i="6"/>
  <c r="AD75" i="6" s="1"/>
  <c r="AE12" i="6"/>
  <c r="AE11" i="6" s="1"/>
  <c r="AE73" i="6" s="1"/>
  <c r="AF12" i="6"/>
  <c r="AF11" i="6" s="1"/>
  <c r="AF73" i="6" s="1"/>
  <c r="AG12" i="6"/>
  <c r="AG11" i="6" s="1"/>
  <c r="AG73" i="6" s="1"/>
  <c r="AH12" i="6"/>
  <c r="AH11" i="6" s="1"/>
  <c r="AH73" i="6" s="1"/>
  <c r="AI12" i="6"/>
  <c r="AI11" i="6" s="1"/>
  <c r="AI73" i="6" s="1"/>
  <c r="AJ12" i="6"/>
  <c r="AJ75" i="6" s="1"/>
  <c r="J51" i="6"/>
  <c r="J69" i="6" s="1"/>
  <c r="L70" i="6"/>
  <c r="M51" i="6"/>
  <c r="M70" i="6" s="1"/>
  <c r="N51" i="6"/>
  <c r="N69" i="6" s="1"/>
  <c r="O51" i="6"/>
  <c r="P51" i="6"/>
  <c r="P69" i="6" s="1"/>
  <c r="Q51" i="6"/>
  <c r="Q69" i="6" s="1"/>
  <c r="R51" i="6"/>
  <c r="R69" i="6" s="1"/>
  <c r="S51" i="6"/>
  <c r="S70" i="6" s="1"/>
  <c r="T51" i="6"/>
  <c r="T70" i="6" s="1"/>
  <c r="U51" i="6"/>
  <c r="U69" i="6" s="1"/>
  <c r="V51" i="6"/>
  <c r="V70" i="6" s="1"/>
  <c r="W51" i="6"/>
  <c r="W69" i="6" s="1"/>
  <c r="X51" i="6"/>
  <c r="X69" i="6" s="1"/>
  <c r="Y51" i="6"/>
  <c r="Y69" i="6" s="1"/>
  <c r="Z51" i="6"/>
  <c r="Z69" i="6" s="1"/>
  <c r="AA51" i="6"/>
  <c r="AA69" i="6" s="1"/>
  <c r="AB51" i="6"/>
  <c r="AB70" i="6" s="1"/>
  <c r="AC51" i="6"/>
  <c r="AC70" i="6" s="1"/>
  <c r="AD51" i="6"/>
  <c r="AD70" i="6" s="1"/>
  <c r="AE51" i="6"/>
  <c r="AE70" i="6" s="1"/>
  <c r="AF51" i="6"/>
  <c r="AF69" i="6" s="1"/>
  <c r="AG51" i="6"/>
  <c r="AG69" i="6" s="1"/>
  <c r="AH51" i="6"/>
  <c r="AH69" i="6" s="1"/>
  <c r="AI51" i="6"/>
  <c r="AI70" i="6" s="1"/>
  <c r="AJ51" i="6"/>
  <c r="AJ70" i="6" s="1"/>
  <c r="Y57" i="6"/>
  <c r="Z57" i="6"/>
  <c r="AA57" i="6"/>
  <c r="AB57" i="6"/>
  <c r="AC57" i="6"/>
  <c r="AD57" i="6"/>
  <c r="AE57" i="6"/>
  <c r="AF57" i="6"/>
  <c r="AG57" i="6"/>
  <c r="AH57" i="6"/>
  <c r="AI57" i="6"/>
  <c r="AJ57" i="6"/>
  <c r="J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J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L60" i="6"/>
  <c r="M60" i="6"/>
  <c r="N60" i="6"/>
  <c r="T60" i="6"/>
  <c r="AC60" i="6"/>
  <c r="J61" i="6"/>
  <c r="L61" i="6"/>
  <c r="R61" i="6"/>
  <c r="S61" i="6"/>
  <c r="T61" i="6"/>
  <c r="Z61" i="6"/>
  <c r="AA61" i="6"/>
  <c r="AB61" i="6"/>
  <c r="AH61" i="6"/>
  <c r="AI61" i="6"/>
  <c r="AJ61" i="6"/>
  <c r="J62" i="6"/>
  <c r="L62" i="6"/>
  <c r="R62" i="6"/>
  <c r="S62" i="6"/>
  <c r="T62" i="6"/>
  <c r="Z62" i="6"/>
  <c r="AA62" i="6"/>
  <c r="AB62" i="6"/>
  <c r="AH62" i="6"/>
  <c r="AI62" i="6"/>
  <c r="AJ62" i="6"/>
  <c r="P63" i="6"/>
  <c r="Q63" i="6"/>
  <c r="R63" i="6"/>
  <c r="X63" i="6"/>
  <c r="Y63" i="6"/>
  <c r="Z63" i="6"/>
  <c r="AF63" i="6"/>
  <c r="AG63" i="6"/>
  <c r="AH63" i="6"/>
  <c r="Q64" i="6"/>
  <c r="R64" i="6"/>
  <c r="X64" i="6"/>
  <c r="Y64" i="6"/>
  <c r="Z64" i="6"/>
  <c r="AF64" i="6"/>
  <c r="AG64" i="6"/>
  <c r="AH64" i="6"/>
  <c r="J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J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J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J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O69" i="6"/>
  <c r="AE69" i="6"/>
  <c r="O70" i="6"/>
  <c r="W70" i="6"/>
  <c r="Y78" i="6"/>
  <c r="Y79" i="6" s="1"/>
  <c r="Z78" i="6"/>
  <c r="Z79" i="6" s="1"/>
  <c r="AA78" i="6"/>
  <c r="AA79" i="6" s="1"/>
  <c r="AB78" i="6"/>
  <c r="AB79" i="6" s="1"/>
  <c r="AC78" i="6"/>
  <c r="AC79" i="6" s="1"/>
  <c r="AD78" i="6"/>
  <c r="AD79" i="6" s="1"/>
  <c r="AE78" i="6"/>
  <c r="AE79" i="6" s="1"/>
  <c r="AF78" i="6"/>
  <c r="AF79" i="6" s="1"/>
  <c r="AG78" i="6"/>
  <c r="AG79" i="6" s="1"/>
  <c r="AH78" i="6"/>
  <c r="AH79" i="6" s="1"/>
  <c r="AI78" i="6"/>
  <c r="AI79" i="6" s="1"/>
  <c r="AJ78" i="6"/>
  <c r="AJ79" i="6" s="1"/>
  <c r="J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M238" i="6"/>
  <c r="M239" i="6" s="1"/>
  <c r="Q238" i="6"/>
  <c r="Q239" i="6" s="1"/>
  <c r="R238" i="6"/>
  <c r="T238" i="6"/>
  <c r="T239" i="6" s="1"/>
  <c r="W238" i="6"/>
  <c r="W239" i="6" s="1"/>
  <c r="X238" i="6"/>
  <c r="X239" i="6" s="1"/>
  <c r="AD238" i="6"/>
  <c r="AD239" i="6" s="1"/>
  <c r="AE238" i="6"/>
  <c r="AE239" i="6" s="1"/>
  <c r="R239" i="6"/>
  <c r="J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E244" i="6"/>
  <c r="AF244" i="6"/>
  <c r="AG244" i="6"/>
  <c r="AH244" i="6"/>
  <c r="AI244" i="6"/>
  <c r="AJ244" i="6"/>
  <c r="J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E246" i="6"/>
  <c r="AF246" i="6"/>
  <c r="AG246" i="6"/>
  <c r="AH246" i="6"/>
  <c r="AI246" i="6"/>
  <c r="AJ246" i="6"/>
  <c r="J247" i="6"/>
  <c r="J249" i="6" s="1"/>
  <c r="L247" i="6"/>
  <c r="M247" i="6"/>
  <c r="N249" i="6"/>
  <c r="O247" i="6"/>
  <c r="P247" i="6"/>
  <c r="P249" i="6" s="1"/>
  <c r="Q247" i="6"/>
  <c r="Q249" i="6" s="1"/>
  <c r="R247" i="6"/>
  <c r="R249" i="6" s="1"/>
  <c r="S247" i="6"/>
  <c r="T247" i="6"/>
  <c r="T249" i="6" s="1"/>
  <c r="U247" i="6"/>
  <c r="V247" i="6"/>
  <c r="V249" i="6" s="1"/>
  <c r="W247" i="6"/>
  <c r="X247" i="6"/>
  <c r="X249" i="6" s="1"/>
  <c r="Y247" i="6"/>
  <c r="Y249" i="6" s="1"/>
  <c r="Z247" i="6"/>
  <c r="Z249" i="6" s="1"/>
  <c r="AA247" i="6"/>
  <c r="AA249" i="6" s="1"/>
  <c r="AB247" i="6"/>
  <c r="AB249" i="6" s="1"/>
  <c r="AC247" i="6"/>
  <c r="AC249" i="6" s="1"/>
  <c r="AD247" i="6"/>
  <c r="AD249" i="6" s="1"/>
  <c r="AE247" i="6"/>
  <c r="AF247" i="6"/>
  <c r="AF249" i="6" s="1"/>
  <c r="AG247" i="6"/>
  <c r="AG249" i="6" s="1"/>
  <c r="AH247" i="6"/>
  <c r="AH249" i="6" s="1"/>
  <c r="AI247" i="6"/>
  <c r="AI249" i="6" s="1"/>
  <c r="AJ247" i="6"/>
  <c r="L249" i="6"/>
  <c r="M249" i="6"/>
  <c r="O249" i="6"/>
  <c r="S249" i="6"/>
  <c r="U249" i="6"/>
  <c r="W249" i="6"/>
  <c r="AE249" i="6"/>
  <c r="AJ249" i="6"/>
  <c r="J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J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J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J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J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J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I51" i="6"/>
  <c r="I70" i="6" s="1"/>
  <c r="I68" i="6"/>
  <c r="I67" i="6"/>
  <c r="I59" i="6"/>
  <c r="P58" i="16" s="1"/>
  <c r="I66" i="6"/>
  <c r="I37" i="6"/>
  <c r="I64" i="6" s="1"/>
  <c r="I32" i="6"/>
  <c r="I62" i="6" s="1"/>
  <c r="P61" i="16" s="1"/>
  <c r="I28" i="6"/>
  <c r="I60" i="6" s="1"/>
  <c r="P59" i="16" s="1"/>
  <c r="I58" i="6"/>
  <c r="P57" i="16" s="1"/>
  <c r="I12" i="6"/>
  <c r="I11" i="6" s="1"/>
  <c r="I73" i="6" s="1"/>
  <c r="I8" i="6"/>
  <c r="I269" i="6"/>
  <c r="H246" i="6"/>
  <c r="H247" i="6"/>
  <c r="H249" i="6" s="1"/>
  <c r="H254" i="6"/>
  <c r="H244" i="6"/>
  <c r="I264" i="6"/>
  <c r="I258" i="6"/>
  <c r="I256" i="6"/>
  <c r="I247" i="6"/>
  <c r="I249" i="6" s="1"/>
  <c r="I246" i="6"/>
  <c r="H78" i="6"/>
  <c r="H79" i="6" s="1"/>
  <c r="H267" i="6"/>
  <c r="H264" i="6"/>
  <c r="H258" i="6"/>
  <c r="H256" i="6"/>
  <c r="H81" i="6"/>
  <c r="H77" i="6"/>
  <c r="H14" i="6"/>
  <c r="H13" i="6"/>
  <c r="AF70" i="6" l="1"/>
  <c r="M69" i="6"/>
  <c r="N70" i="6"/>
  <c r="V69" i="6"/>
  <c r="X62" i="6"/>
  <c r="Q61" i="6"/>
  <c r="AG61" i="6"/>
  <c r="U70" i="6"/>
  <c r="P61" i="6"/>
  <c r="X70" i="6"/>
  <c r="P70" i="6"/>
  <c r="Y61" i="6"/>
  <c r="AD63" i="6"/>
  <c r="V64" i="6"/>
  <c r="AF62" i="6"/>
  <c r="H11" i="6"/>
  <c r="H73" i="6" s="1"/>
  <c r="AA70" i="6"/>
  <c r="Q25" i="6"/>
  <c r="Q26" i="6" s="1"/>
  <c r="Q73" i="6"/>
  <c r="AI69" i="6"/>
  <c r="S69" i="6"/>
  <c r="AD25" i="6"/>
  <c r="AD26" i="6" s="1"/>
  <c r="AD69" i="6"/>
  <c r="N63" i="6"/>
  <c r="W61" i="6"/>
  <c r="N25" i="6"/>
  <c r="N26" i="6" s="1"/>
  <c r="AB63" i="6"/>
  <c r="Q60" i="6"/>
  <c r="L64" i="6"/>
  <c r="J64" i="6"/>
  <c r="AD61" i="6"/>
  <c r="V61" i="6"/>
  <c r="N61" i="6"/>
  <c r="V25" i="6"/>
  <c r="V26" i="6" s="1"/>
  <c r="AJ63" i="6"/>
  <c r="AC61" i="6"/>
  <c r="U61" i="6"/>
  <c r="M61" i="6"/>
  <c r="AA63" i="6"/>
  <c r="T64" i="6"/>
  <c r="S64" i="6"/>
  <c r="AI63" i="6"/>
  <c r="AD62" i="6"/>
  <c r="L25" i="6"/>
  <c r="L26" i="6" s="1"/>
  <c r="I75" i="6"/>
  <c r="AF25" i="6"/>
  <c r="AF26" i="6" s="1"/>
  <c r="X25" i="6"/>
  <c r="X26" i="6" s="1"/>
  <c r="P25" i="6"/>
  <c r="P26" i="6" s="1"/>
  <c r="AB11" i="6"/>
  <c r="AB73" i="6" s="1"/>
  <c r="V11" i="6"/>
  <c r="V73" i="6" s="1"/>
  <c r="T11" i="6"/>
  <c r="T73" i="6" s="1"/>
  <c r="AJ11" i="6"/>
  <c r="AJ73" i="6" s="1"/>
  <c r="O75" i="6"/>
  <c r="W75" i="6"/>
  <c r="AE75" i="6"/>
  <c r="AC69" i="6"/>
  <c r="AD11" i="6"/>
  <c r="AD73" i="6" s="1"/>
  <c r="AG25" i="6"/>
  <c r="AG26" i="6" s="1"/>
  <c r="R25" i="6"/>
  <c r="R26" i="6" s="1"/>
  <c r="Z25" i="6"/>
  <c r="Z26" i="6" s="1"/>
  <c r="AH25" i="6"/>
  <c r="AH26" i="6" s="1"/>
  <c r="T25" i="6"/>
  <c r="T26" i="6" s="1"/>
  <c r="AB25" i="6"/>
  <c r="AB26" i="6" s="1"/>
  <c r="P75" i="6"/>
  <c r="X75" i="6"/>
  <c r="AF75" i="6"/>
  <c r="S25" i="6"/>
  <c r="S26" i="6" s="1"/>
  <c r="AA25" i="6"/>
  <c r="AA26" i="6" s="1"/>
  <c r="AI25" i="6"/>
  <c r="AI26" i="6" s="1"/>
  <c r="Q75" i="6"/>
  <c r="Y75" i="6"/>
  <c r="AG75" i="6"/>
  <c r="R75" i="6"/>
  <c r="Z75" i="6"/>
  <c r="AH75" i="6"/>
  <c r="J75" i="6"/>
  <c r="S75" i="6"/>
  <c r="AA75" i="6"/>
  <c r="AI75" i="6"/>
  <c r="N11" i="6"/>
  <c r="N73" i="6" s="1"/>
  <c r="L75" i="6"/>
  <c r="Y25" i="6"/>
  <c r="Y26" i="6" s="1"/>
  <c r="M75" i="6"/>
  <c r="U75" i="6"/>
  <c r="AC75" i="6"/>
  <c r="J25" i="6"/>
  <c r="J26" i="6" s="1"/>
  <c r="I69" i="6"/>
  <c r="H64" i="6"/>
  <c r="H61" i="6"/>
  <c r="AJ25" i="6"/>
  <c r="AJ26" i="6" s="1"/>
  <c r="W25" i="6"/>
  <c r="W26" i="6" s="1"/>
  <c r="AE64" i="6"/>
  <c r="W64" i="6"/>
  <c r="O64" i="6"/>
  <c r="AC64" i="6"/>
  <c r="U64" i="6"/>
  <c r="M64" i="6"/>
  <c r="O25" i="6"/>
  <c r="O26" i="6" s="1"/>
  <c r="AE25" i="6"/>
  <c r="AE26" i="6" s="1"/>
  <c r="AE62" i="6"/>
  <c r="O62" i="6"/>
  <c r="M25" i="6"/>
  <c r="M26" i="6" s="1"/>
  <c r="U25" i="6"/>
  <c r="U26" i="6" s="1"/>
  <c r="AC25" i="6"/>
  <c r="AC26" i="6" s="1"/>
  <c r="H25" i="6"/>
  <c r="H70" i="6"/>
  <c r="I25" i="6"/>
  <c r="I26" i="6" s="1"/>
  <c r="I61" i="6"/>
  <c r="P60" i="16" s="1"/>
  <c r="AH70" i="6"/>
  <c r="Z70" i="6"/>
  <c r="R70" i="6"/>
  <c r="J70" i="6"/>
  <c r="AG70" i="6"/>
  <c r="Y70" i="6"/>
  <c r="Q70" i="6"/>
  <c r="AJ69" i="6"/>
  <c r="AB69" i="6"/>
  <c r="T69" i="6"/>
  <c r="L69" i="6"/>
  <c r="I63" i="6"/>
  <c r="I65" i="6"/>
  <c r="I254" i="6"/>
  <c r="I267" i="6"/>
  <c r="I244" i="6"/>
  <c r="S76" i="16" l="1"/>
  <c r="S13" i="16"/>
  <c r="AL247" i="6" l="1"/>
  <c r="P239" i="16" s="1"/>
  <c r="P8" i="16" l="1"/>
  <c r="AL7" i="6"/>
  <c r="AL9" i="6" l="1"/>
  <c r="AL244" i="6" s="1"/>
  <c r="H8" i="3"/>
  <c r="F8" i="3"/>
  <c r="E8" i="3"/>
  <c r="N8" i="3"/>
  <c r="M8" i="3"/>
  <c r="K8" i="3"/>
  <c r="J8" i="3"/>
  <c r="D5" i="10" l="1"/>
  <c r="AL41" i="6"/>
  <c r="P38" i="16" s="1"/>
  <c r="AL11" i="6" l="1"/>
  <c r="P261" i="16"/>
  <c r="AL276" i="6"/>
  <c r="P260" i="16" s="1"/>
  <c r="AL273" i="6"/>
  <c r="P257" i="16" s="1"/>
  <c r="AL271" i="6"/>
  <c r="P258" i="16" s="1"/>
  <c r="AL268" i="6"/>
  <c r="P254" i="16" s="1"/>
  <c r="AL266" i="6"/>
  <c r="P255" i="16" s="1"/>
  <c r="AL264" i="6"/>
  <c r="AL263" i="6"/>
  <c r="P251" i="16" s="1"/>
  <c r="P252" i="16" s="1"/>
  <c r="AL259" i="6"/>
  <c r="P248" i="16" s="1"/>
  <c r="AL258" i="6"/>
  <c r="P247" i="16" s="1"/>
  <c r="AL257" i="6"/>
  <c r="P246" i="16" s="1"/>
  <c r="AL255" i="6"/>
  <c r="P245" i="16" s="1"/>
  <c r="AL253" i="6"/>
  <c r="P244" i="16" s="1"/>
  <c r="AL251" i="6"/>
  <c r="AL249" i="6"/>
  <c r="P240" i="16" s="1"/>
  <c r="AL245" i="6"/>
  <c r="P238" i="16" s="1"/>
  <c r="AL243" i="6"/>
  <c r="P237" i="16" s="1"/>
  <c r="AL241" i="6"/>
  <c r="P235" i="16" s="1"/>
  <c r="AL234" i="6"/>
  <c r="P228" i="16" s="1"/>
  <c r="AL232" i="6"/>
  <c r="P229" i="16" s="1"/>
  <c r="AL76" i="6"/>
  <c r="AL74" i="6"/>
  <c r="P71" i="16" s="1"/>
  <c r="S71" i="16" s="1"/>
  <c r="S72" i="16" s="1"/>
  <c r="P69" i="16"/>
  <c r="AL55" i="6"/>
  <c r="AL54" i="6"/>
  <c r="P51" i="16" s="1"/>
  <c r="S51" i="16" s="1"/>
  <c r="AL53" i="6"/>
  <c r="P50" i="16" s="1"/>
  <c r="S50" i="16" s="1"/>
  <c r="AL52" i="6"/>
  <c r="P49" i="16" s="1"/>
  <c r="S49" i="16" s="1"/>
  <c r="AL51" i="6"/>
  <c r="P48" i="16" s="1"/>
  <c r="AL50" i="6"/>
  <c r="P47" i="16" s="1"/>
  <c r="S47" i="16" s="1"/>
  <c r="AL48" i="6"/>
  <c r="AL47" i="6"/>
  <c r="AL46" i="6"/>
  <c r="AL45" i="6"/>
  <c r="AL39" i="6"/>
  <c r="P36" i="16" s="1"/>
  <c r="AL38" i="6"/>
  <c r="P35" i="16" s="1"/>
  <c r="AL37" i="6"/>
  <c r="P34" i="16" s="1"/>
  <c r="AL36" i="6"/>
  <c r="P33" i="16" s="1"/>
  <c r="AL32" i="6"/>
  <c r="P29" i="16" s="1"/>
  <c r="AL22" i="6"/>
  <c r="AL12" i="6"/>
  <c r="F13" i="31" s="1"/>
  <c r="AL73" i="6" l="1"/>
  <c r="F12" i="31"/>
  <c r="F11" i="31" s="1"/>
  <c r="P73" i="16"/>
  <c r="S48" i="16"/>
  <c r="S67" i="16" s="1"/>
  <c r="AL252" i="6"/>
  <c r="P242" i="16"/>
  <c r="AL67" i="6"/>
  <c r="AL69" i="6"/>
  <c r="P66" i="16" s="1"/>
  <c r="AL75" i="6"/>
  <c r="P72" i="16" s="1"/>
  <c r="AL63" i="6"/>
  <c r="P62" i="16" s="1"/>
  <c r="AL64" i="6"/>
  <c r="P63" i="16" s="1"/>
  <c r="AL233" i="6"/>
  <c r="AL68" i="6"/>
  <c r="AL61" i="6"/>
  <c r="AL62" i="6"/>
  <c r="AL80" i="6"/>
  <c r="S66" i="16" l="1"/>
  <c r="AL81" i="6"/>
  <c r="P77" i="16" s="1"/>
  <c r="P76" i="16"/>
  <c r="K53" i="16"/>
  <c r="H53" i="16"/>
  <c r="M10" i="16" l="1"/>
  <c r="J53" i="16" l="1"/>
  <c r="I75" i="16"/>
  <c r="I9" i="16"/>
  <c r="I10" i="16"/>
  <c r="B6" i="4" l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E28" i="3" l="1"/>
  <c r="F28" i="3" s="1"/>
  <c r="H28" i="3" s="1"/>
  <c r="J28" i="3" s="1"/>
  <c r="AA236" i="6" s="1"/>
  <c r="AA238" i="6" s="1"/>
  <c r="AA239" i="6" s="1"/>
  <c r="M28" i="3" l="1"/>
  <c r="K28" i="3"/>
  <c r="N28" i="3" s="1"/>
  <c r="E29" i="3" l="1"/>
  <c r="F29" i="3" s="1"/>
  <c r="H29" i="3" s="1"/>
  <c r="J29" i="3" s="1"/>
  <c r="AB236" i="6" s="1"/>
  <c r="AB238" i="6" s="1"/>
  <c r="AB239" i="6" s="1"/>
  <c r="M29" i="3" l="1"/>
  <c r="K29" i="3"/>
  <c r="N29" i="3" s="1"/>
  <c r="F12" i="26" l="1"/>
  <c r="E46" i="6" l="1"/>
  <c r="AL30" i="6"/>
  <c r="P27" i="16" s="1"/>
  <c r="AL29" i="6"/>
  <c r="P26" i="16" s="1"/>
  <c r="P53" i="16" s="1"/>
  <c r="AL59" i="6" l="1"/>
  <c r="AL60" i="6"/>
  <c r="E18" i="3"/>
  <c r="F18" i="3" s="1"/>
  <c r="H18" i="3" s="1"/>
  <c r="J18" i="3" s="1"/>
  <c r="K18" i="3" s="1"/>
  <c r="K36" i="32" l="1"/>
  <c r="K28" i="32"/>
  <c r="K19" i="32"/>
  <c r="G63" i="31"/>
  <c r="G58" i="31"/>
  <c r="G57" i="31"/>
  <c r="F53" i="31"/>
  <c r="G53" i="31" s="1"/>
  <c r="G52" i="31"/>
  <c r="G51" i="31"/>
  <c r="G43" i="31"/>
  <c r="G42" i="31"/>
  <c r="G36" i="31"/>
  <c r="G35" i="31"/>
  <c r="F34" i="31"/>
  <c r="G34" i="31" s="1"/>
  <c r="G33" i="31"/>
  <c r="E23" i="31"/>
  <c r="E22" i="31"/>
  <c r="G16" i="31"/>
  <c r="F54" i="31" l="1"/>
  <c r="G54" i="31" s="1"/>
  <c r="F226" i="16"/>
  <c r="F225" i="16"/>
  <c r="F224" i="16"/>
  <c r="F223" i="16"/>
  <c r="F222" i="16"/>
  <c r="F214" i="16"/>
  <c r="F210" i="16"/>
  <c r="F213" i="16" s="1"/>
  <c r="F202" i="16"/>
  <c r="F218" i="16" s="1"/>
  <c r="F201" i="16"/>
  <c r="F196" i="16"/>
  <c r="F195" i="16"/>
  <c r="F168" i="16"/>
  <c r="F172" i="16" s="1"/>
  <c r="F193" i="16" s="1"/>
  <c r="F167" i="16"/>
  <c r="F188" i="16" s="1"/>
  <c r="F166" i="16"/>
  <c r="F165" i="16"/>
  <c r="F161" i="16"/>
  <c r="F173" i="16" s="1"/>
  <c r="F149" i="16"/>
  <c r="F152" i="16" s="1"/>
  <c r="F148" i="16"/>
  <c r="F151" i="16" s="1"/>
  <c r="F140" i="16"/>
  <c r="F139" i="16"/>
  <c r="F142" i="16" s="1"/>
  <c r="F135" i="16"/>
  <c r="F144" i="16" s="1"/>
  <c r="F134" i="16"/>
  <c r="F122" i="16"/>
  <c r="F125" i="16" s="1"/>
  <c r="F121" i="16"/>
  <c r="F113" i="16"/>
  <c r="F112" i="16"/>
  <c r="F107" i="16"/>
  <c r="F95" i="16"/>
  <c r="F94" i="16"/>
  <c r="F86" i="16"/>
  <c r="F89" i="16" s="1"/>
  <c r="F85" i="16"/>
  <c r="F88" i="16" s="1"/>
  <c r="F83" i="16"/>
  <c r="F80" i="16"/>
  <c r="F90" i="16" s="1"/>
  <c r="F79" i="16"/>
  <c r="F10" i="16"/>
  <c r="G226" i="16"/>
  <c r="G225" i="16"/>
  <c r="G224" i="16"/>
  <c r="G223" i="16"/>
  <c r="G222" i="16"/>
  <c r="G211" i="16"/>
  <c r="G210" i="16"/>
  <c r="G213" i="16" s="1"/>
  <c r="G202" i="16"/>
  <c r="G205" i="16" s="1"/>
  <c r="G201" i="16"/>
  <c r="G196" i="16"/>
  <c r="G195" i="16"/>
  <c r="G179" i="16"/>
  <c r="G178" i="16"/>
  <c r="G177" i="16"/>
  <c r="G168" i="16"/>
  <c r="G189" i="16" s="1"/>
  <c r="G167" i="16"/>
  <c r="G171" i="16" s="1"/>
  <c r="G192" i="16" s="1"/>
  <c r="G166" i="16"/>
  <c r="G165" i="16"/>
  <c r="G161" i="16"/>
  <c r="G173" i="16" s="1"/>
  <c r="G149" i="16"/>
  <c r="G148" i="16"/>
  <c r="G151" i="16" s="1"/>
  <c r="G140" i="16"/>
  <c r="G143" i="16" s="1"/>
  <c r="G139" i="16"/>
  <c r="G145" i="16" s="1"/>
  <c r="G135" i="16"/>
  <c r="G144" i="16" s="1"/>
  <c r="G134" i="16"/>
  <c r="G122" i="16"/>
  <c r="G125" i="16" s="1"/>
  <c r="G121" i="16"/>
  <c r="G113" i="16"/>
  <c r="G112" i="16"/>
  <c r="G107" i="16"/>
  <c r="G95" i="16"/>
  <c r="G94" i="16"/>
  <c r="G86" i="16"/>
  <c r="G89" i="16" s="1"/>
  <c r="G85" i="16"/>
  <c r="G91" i="16" s="1"/>
  <c r="G83" i="16"/>
  <c r="G80" i="16"/>
  <c r="G90" i="16" s="1"/>
  <c r="G79" i="16"/>
  <c r="G10" i="16"/>
  <c r="G9" i="16"/>
  <c r="M226" i="16"/>
  <c r="M225" i="16"/>
  <c r="M224" i="16"/>
  <c r="M223" i="16"/>
  <c r="M222" i="16"/>
  <c r="M211" i="16"/>
  <c r="M210" i="16"/>
  <c r="M213" i="16" s="1"/>
  <c r="M202" i="16"/>
  <c r="M205" i="16" s="1"/>
  <c r="M201" i="16"/>
  <c r="M206" i="16" s="1"/>
  <c r="M196" i="16"/>
  <c r="M195" i="16"/>
  <c r="M180" i="16"/>
  <c r="M184" i="16" s="1"/>
  <c r="M179" i="16"/>
  <c r="M178" i="16"/>
  <c r="M177" i="16"/>
  <c r="M168" i="16"/>
  <c r="M167" i="16"/>
  <c r="M171" i="16" s="1"/>
  <c r="M166" i="16"/>
  <c r="M165" i="16"/>
  <c r="M162" i="16"/>
  <c r="M161" i="16"/>
  <c r="M173" i="16" s="1"/>
  <c r="M149" i="16"/>
  <c r="M148" i="16"/>
  <c r="M151" i="16" s="1"/>
  <c r="M140" i="16"/>
  <c r="M143" i="16" s="1"/>
  <c r="M139" i="16"/>
  <c r="M135" i="16"/>
  <c r="M144" i="16" s="1"/>
  <c r="M134" i="16"/>
  <c r="M122" i="16"/>
  <c r="M121" i="16"/>
  <c r="M113" i="16"/>
  <c r="M116" i="16" s="1"/>
  <c r="M112" i="16"/>
  <c r="M115" i="16" s="1"/>
  <c r="M107" i="16"/>
  <c r="M117" i="16" s="1"/>
  <c r="M95" i="16"/>
  <c r="M94" i="16"/>
  <c r="M86" i="16"/>
  <c r="M85" i="16"/>
  <c r="M80" i="16"/>
  <c r="M90" i="16" s="1"/>
  <c r="M79" i="16"/>
  <c r="M9" i="16"/>
  <c r="M156" i="16" l="1"/>
  <c r="M81" i="16"/>
  <c r="M82" i="16" s="1"/>
  <c r="M101" i="16"/>
  <c r="F136" i="16"/>
  <c r="F137" i="16" s="1"/>
  <c r="M108" i="16"/>
  <c r="M109" i="16" s="1"/>
  <c r="F118" i="16"/>
  <c r="F171" i="16"/>
  <c r="F192" i="16" s="1"/>
  <c r="G101" i="16"/>
  <c r="M118" i="16"/>
  <c r="M220" i="16"/>
  <c r="M129" i="16"/>
  <c r="G156" i="16"/>
  <c r="M174" i="16"/>
  <c r="M240" i="16"/>
  <c r="F174" i="16"/>
  <c r="M218" i="16"/>
  <c r="M89" i="16"/>
  <c r="M128" i="16"/>
  <c r="M189" i="16"/>
  <c r="M214" i="16"/>
  <c r="M221" i="16" s="1"/>
  <c r="G102" i="16"/>
  <c r="F128" i="16"/>
  <c r="F143" i="16"/>
  <c r="F159" i="16" s="1"/>
  <c r="M102" i="16"/>
  <c r="M125" i="16"/>
  <c r="M132" i="16" s="1"/>
  <c r="M170" i="16"/>
  <c r="F91" i="16"/>
  <c r="M172" i="16"/>
  <c r="M193" i="16" s="1"/>
  <c r="M197" i="16"/>
  <c r="M198" i="16" s="1"/>
  <c r="G108" i="16"/>
  <c r="G109" i="16" s="1"/>
  <c r="F101" i="16"/>
  <c r="F197" i="16"/>
  <c r="F198" i="16" s="1"/>
  <c r="G187" i="16"/>
  <c r="M163" i="16"/>
  <c r="M188" i="16"/>
  <c r="F81" i="16"/>
  <c r="F82" i="16" s="1"/>
  <c r="F108" i="16"/>
  <c r="F109" i="16" s="1"/>
  <c r="F145" i="16"/>
  <c r="F221" i="16"/>
  <c r="G220" i="16"/>
  <c r="M91" i="16"/>
  <c r="G81" i="16"/>
  <c r="G82" i="16" s="1"/>
  <c r="F102" i="16"/>
  <c r="M155" i="16"/>
  <c r="G206" i="16"/>
  <c r="F158" i="16"/>
  <c r="M88" i="16"/>
  <c r="M187" i="16"/>
  <c r="G118" i="16"/>
  <c r="G136" i="16"/>
  <c r="G137" i="16" s="1"/>
  <c r="G155" i="16"/>
  <c r="G207" i="16"/>
  <c r="G129" i="16"/>
  <c r="G188" i="16"/>
  <c r="F155" i="16"/>
  <c r="F187" i="16"/>
  <c r="G88" i="16"/>
  <c r="G117" i="16"/>
  <c r="G218" i="16"/>
  <c r="F129" i="16"/>
  <c r="F156" i="16"/>
  <c r="M183" i="16"/>
  <c r="M192" i="16" s="1"/>
  <c r="G128" i="16"/>
  <c r="G142" i="16"/>
  <c r="G158" i="16" s="1"/>
  <c r="G174" i="16"/>
  <c r="F117" i="16"/>
  <c r="F189" i="16"/>
  <c r="F217" i="16"/>
  <c r="F97" i="16"/>
  <c r="F104" i="16" s="1"/>
  <c r="F170" i="16"/>
  <c r="F191" i="16" s="1"/>
  <c r="F98" i="16"/>
  <c r="F105" i="16" s="1"/>
  <c r="F204" i="16"/>
  <c r="F124" i="16"/>
  <c r="F162" i="16"/>
  <c r="F163" i="16" s="1"/>
  <c r="F206" i="16"/>
  <c r="F220" i="16"/>
  <c r="F115" i="16"/>
  <c r="F207" i="16"/>
  <c r="F116" i="16"/>
  <c r="F132" i="16" s="1"/>
  <c r="G97" i="16"/>
  <c r="G170" i="16"/>
  <c r="G191" i="16" s="1"/>
  <c r="G197" i="16"/>
  <c r="G198" i="16" s="1"/>
  <c r="G98" i="16"/>
  <c r="G105" i="16" s="1"/>
  <c r="G124" i="16"/>
  <c r="G162" i="16"/>
  <c r="G163" i="16" s="1"/>
  <c r="G172" i="16"/>
  <c r="G193" i="16" s="1"/>
  <c r="G115" i="16"/>
  <c r="G214" i="16"/>
  <c r="G221" i="16" s="1"/>
  <c r="G116" i="16"/>
  <c r="G132" i="16" s="1"/>
  <c r="G152" i="16"/>
  <c r="G159" i="16" s="1"/>
  <c r="G204" i="16"/>
  <c r="G217" i="16"/>
  <c r="M97" i="16"/>
  <c r="M145" i="16"/>
  <c r="M204" i="16"/>
  <c r="M217" i="16"/>
  <c r="M98" i="16"/>
  <c r="M124" i="16"/>
  <c r="M131" i="16" s="1"/>
  <c r="M136" i="16"/>
  <c r="M137" i="16" s="1"/>
  <c r="M182" i="16"/>
  <c r="M207" i="16"/>
  <c r="M152" i="16"/>
  <c r="M159" i="16" s="1"/>
  <c r="M142" i="16"/>
  <c r="M158" i="16" s="1"/>
  <c r="G53" i="16" l="1"/>
  <c r="G23" i="16"/>
  <c r="G22" i="16" s="1"/>
  <c r="M104" i="16"/>
  <c r="M105" i="16"/>
  <c r="G104" i="16"/>
  <c r="M191" i="16"/>
  <c r="F23" i="16"/>
  <c r="F22" i="16" s="1"/>
  <c r="F131" i="16"/>
  <c r="F53" i="16"/>
  <c r="G131" i="16"/>
  <c r="F25" i="19" l="1"/>
  <c r="F24" i="19"/>
  <c r="F23" i="19"/>
  <c r="F22" i="19"/>
  <c r="F17" i="19"/>
  <c r="F13" i="19"/>
  <c r="G17" i="19"/>
  <c r="D44" i="17"/>
  <c r="D41" i="17"/>
  <c r="D40" i="17"/>
  <c r="K10" i="18"/>
  <c r="I18" i="32"/>
  <c r="K18" i="32" l="1"/>
  <c r="J18" i="32"/>
  <c r="I6" i="22"/>
  <c r="K6" i="21"/>
  <c r="K6" i="23"/>
  <c r="I6" i="24"/>
  <c r="O6" i="18"/>
  <c r="H2" i="28"/>
  <c r="H2" i="27"/>
  <c r="H2" i="26"/>
  <c r="N6" i="1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I111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6" i="29" s="1"/>
  <c r="H10" i="30" l="1"/>
  <c r="H54" i="29"/>
  <c r="H33" i="29"/>
  <c r="H61" i="29"/>
  <c r="H63" i="29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C8" i="27"/>
  <c r="H7" i="27"/>
  <c r="E7" i="27"/>
  <c r="C4" i="27"/>
  <c r="C11" i="27" s="1"/>
  <c r="H13" i="26"/>
  <c r="C12" i="26"/>
  <c r="E12" i="26" s="1"/>
  <c r="H12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7" l="1"/>
  <c r="H16" i="27" s="1"/>
  <c r="H10" i="28"/>
  <c r="AL43" i="6"/>
  <c r="P40" i="16" s="1"/>
  <c r="AL42" i="6"/>
  <c r="P39" i="16" s="1"/>
  <c r="AL65" i="6" l="1"/>
  <c r="P64" i="16" s="1"/>
  <c r="AL23" i="6" l="1"/>
  <c r="P22" i="16" s="1"/>
  <c r="AL19" i="6"/>
  <c r="P20" i="16" s="1"/>
  <c r="AL10" i="6"/>
  <c r="AL77" i="6" l="1"/>
  <c r="P74" i="16" s="1"/>
  <c r="P11" i="16"/>
  <c r="P10" i="16" s="1"/>
  <c r="S10" i="16" s="1"/>
  <c r="P12" i="16"/>
  <c r="AL58" i="6"/>
  <c r="AL269" i="6"/>
  <c r="AL267" i="6"/>
  <c r="AL254" i="6"/>
  <c r="AL248" i="6"/>
  <c r="AL274" i="6"/>
  <c r="AL272" i="6"/>
  <c r="AL246" i="6"/>
  <c r="AL24" i="6"/>
  <c r="AL256" i="6"/>
  <c r="I35" i="32"/>
  <c r="F40" i="31"/>
  <c r="F39" i="31"/>
  <c r="N252" i="16"/>
  <c r="N226" i="16"/>
  <c r="N225" i="16"/>
  <c r="N224" i="16"/>
  <c r="N223" i="16"/>
  <c r="N222" i="16"/>
  <c r="N211" i="16"/>
  <c r="N210" i="16"/>
  <c r="N202" i="16"/>
  <c r="N205" i="16" s="1"/>
  <c r="N201" i="16"/>
  <c r="N206" i="16" s="1"/>
  <c r="N196" i="16"/>
  <c r="N195" i="16"/>
  <c r="N184" i="16"/>
  <c r="N179" i="16"/>
  <c r="N178" i="16"/>
  <c r="N177" i="16"/>
  <c r="N168" i="16"/>
  <c r="N189" i="16" s="1"/>
  <c r="N167" i="16"/>
  <c r="N171" i="16" s="1"/>
  <c r="N166" i="16"/>
  <c r="N165" i="16"/>
  <c r="N161" i="16"/>
  <c r="N173" i="16" s="1"/>
  <c r="N149" i="16"/>
  <c r="N148" i="16"/>
  <c r="N151" i="16" s="1"/>
  <c r="N140" i="16"/>
  <c r="N143" i="16" s="1"/>
  <c r="N139" i="16"/>
  <c r="N135" i="16"/>
  <c r="N144" i="16" s="1"/>
  <c r="N134" i="16"/>
  <c r="N122" i="16"/>
  <c r="N121" i="16"/>
  <c r="N124" i="16" s="1"/>
  <c r="N113" i="16"/>
  <c r="N112" i="16"/>
  <c r="N115" i="16" s="1"/>
  <c r="N107" i="16"/>
  <c r="N117" i="16" s="1"/>
  <c r="N95" i="16"/>
  <c r="N98" i="16" s="1"/>
  <c r="N94" i="16"/>
  <c r="N86" i="16"/>
  <c r="N89" i="16" s="1"/>
  <c r="N85" i="16"/>
  <c r="N80" i="16"/>
  <c r="N90" i="16" s="1"/>
  <c r="N79" i="16"/>
  <c r="N9" i="16"/>
  <c r="N218" i="16" l="1"/>
  <c r="I22" i="32"/>
  <c r="K35" i="32"/>
  <c r="J35" i="32"/>
  <c r="G40" i="31"/>
  <c r="F55" i="31"/>
  <c r="G55" i="31" s="1"/>
  <c r="F38" i="31"/>
  <c r="G38" i="31" s="1"/>
  <c r="G39" i="31"/>
  <c r="N129" i="16"/>
  <c r="N81" i="16"/>
  <c r="N82" i="16" s="1"/>
  <c r="N172" i="16"/>
  <c r="N193" i="16" s="1"/>
  <c r="N10" i="16"/>
  <c r="N162" i="16"/>
  <c r="N163" i="16" s="1"/>
  <c r="N188" i="16"/>
  <c r="N102" i="16"/>
  <c r="N155" i="16"/>
  <c r="N174" i="16"/>
  <c r="N12" i="16"/>
  <c r="N214" i="16"/>
  <c r="N221" i="16" s="1"/>
  <c r="N108" i="16"/>
  <c r="N109" i="16" s="1"/>
  <c r="N187" i="16"/>
  <c r="N197" i="16"/>
  <c r="N198" i="16" s="1"/>
  <c r="N204" i="16"/>
  <c r="N101" i="16"/>
  <c r="N131" i="16"/>
  <c r="N145" i="16"/>
  <c r="N182" i="16"/>
  <c r="N240" i="16"/>
  <c r="N105" i="16"/>
  <c r="N207" i="16"/>
  <c r="N97" i="16"/>
  <c r="N128" i="16"/>
  <c r="N156" i="16"/>
  <c r="N170" i="16"/>
  <c r="N217" i="16"/>
  <c r="N136" i="16"/>
  <c r="N137" i="16" s="1"/>
  <c r="N183" i="16"/>
  <c r="N192" i="16" s="1"/>
  <c r="N88" i="16"/>
  <c r="N125" i="16"/>
  <c r="N116" i="16"/>
  <c r="N152" i="16"/>
  <c r="N159" i="16" s="1"/>
  <c r="N91" i="16"/>
  <c r="N142" i="16"/>
  <c r="N158" i="16" s="1"/>
  <c r="N213" i="16"/>
  <c r="N220" i="16" s="1"/>
  <c r="N118" i="16"/>
  <c r="F56" i="31" l="1"/>
  <c r="G56" i="31" s="1"/>
  <c r="N191" i="16"/>
  <c r="N104" i="16"/>
  <c r="N132" i="16"/>
  <c r="O226" i="16" l="1"/>
  <c r="O225" i="16"/>
  <c r="O224" i="16"/>
  <c r="O223" i="16"/>
  <c r="O222" i="16"/>
  <c r="O211" i="16"/>
  <c r="O214" i="16" s="1"/>
  <c r="O210" i="16"/>
  <c r="O202" i="16"/>
  <c r="O205" i="16" s="1"/>
  <c r="O201" i="16"/>
  <c r="O204" i="16" s="1"/>
  <c r="O196" i="16"/>
  <c r="O195" i="16"/>
  <c r="O184" i="16"/>
  <c r="O179" i="16"/>
  <c r="O183" i="16" s="1"/>
  <c r="O178" i="16"/>
  <c r="O182" i="16" s="1"/>
  <c r="O177" i="16"/>
  <c r="O168" i="16"/>
  <c r="O172" i="16" s="1"/>
  <c r="O167" i="16"/>
  <c r="O171" i="16" s="1"/>
  <c r="O166" i="16"/>
  <c r="O162" i="16" s="1"/>
  <c r="O165" i="16"/>
  <c r="O161" i="16"/>
  <c r="O173" i="16" s="1"/>
  <c r="O149" i="16"/>
  <c r="O148" i="16"/>
  <c r="O140" i="16"/>
  <c r="O143" i="16" s="1"/>
  <c r="O139" i="16"/>
  <c r="O142" i="16" s="1"/>
  <c r="O135" i="16"/>
  <c r="O144" i="16" s="1"/>
  <c r="O134" i="16"/>
  <c r="O122" i="16"/>
  <c r="O121" i="16"/>
  <c r="O113" i="16"/>
  <c r="O116" i="16" s="1"/>
  <c r="O112" i="16"/>
  <c r="O108" i="16" s="1"/>
  <c r="O107" i="16"/>
  <c r="O117" i="16" s="1"/>
  <c r="O95" i="16"/>
  <c r="O98" i="16" s="1"/>
  <c r="O94" i="16"/>
  <c r="O86" i="16"/>
  <c r="O85" i="16"/>
  <c r="O81" i="16" s="1"/>
  <c r="O80" i="16"/>
  <c r="O90" i="16" s="1"/>
  <c r="O79" i="16"/>
  <c r="S54" i="16"/>
  <c r="O66" i="16"/>
  <c r="S14" i="16"/>
  <c r="S39" i="16"/>
  <c r="O189" i="16" l="1"/>
  <c r="O129" i="16"/>
  <c r="O88" i="16"/>
  <c r="O91" i="16"/>
  <c r="O128" i="16"/>
  <c r="O174" i="16"/>
  <c r="O101" i="16"/>
  <c r="O155" i="16"/>
  <c r="O197" i="16"/>
  <c r="O198" i="16" s="1"/>
  <c r="O156" i="16"/>
  <c r="O124" i="16"/>
  <c r="O125" i="16"/>
  <c r="O132" i="16" s="1"/>
  <c r="O192" i="16"/>
  <c r="O217" i="16"/>
  <c r="O102" i="16"/>
  <c r="O221" i="16"/>
  <c r="O109" i="16"/>
  <c r="O151" i="16"/>
  <c r="O158" i="16" s="1"/>
  <c r="O187" i="16"/>
  <c r="O206" i="16"/>
  <c r="O97" i="16"/>
  <c r="O115" i="16"/>
  <c r="O152" i="16"/>
  <c r="O159" i="16" s="1"/>
  <c r="O188" i="16"/>
  <c r="O67" i="16"/>
  <c r="O89" i="16"/>
  <c r="O105" i="16" s="1"/>
  <c r="O163" i="16"/>
  <c r="O193" i="16"/>
  <c r="O82" i="16"/>
  <c r="O61" i="16"/>
  <c r="O60" i="16"/>
  <c r="O145" i="16"/>
  <c r="O170" i="16"/>
  <c r="O191" i="16" s="1"/>
  <c r="O218" i="16"/>
  <c r="O136" i="16"/>
  <c r="O137" i="16" s="1"/>
  <c r="O62" i="16"/>
  <c r="O207" i="16"/>
  <c r="O118" i="16"/>
  <c r="O213" i="16"/>
  <c r="O220" i="16" s="1"/>
  <c r="O131" i="16" l="1"/>
  <c r="O104" i="16"/>
  <c r="O63" i="16"/>
  <c r="I39" i="32" l="1"/>
  <c r="S248" i="16"/>
  <c r="I26" i="32"/>
  <c r="S235" i="16"/>
  <c r="I12" i="32"/>
  <c r="G11" i="33"/>
  <c r="F45" i="31"/>
  <c r="G45" i="31" s="1"/>
  <c r="F44" i="31"/>
  <c r="G44" i="31" s="1"/>
  <c r="S40" i="16"/>
  <c r="S38" i="16" s="1"/>
  <c r="G9" i="31"/>
  <c r="S65" i="16" l="1"/>
  <c r="S64" i="16"/>
  <c r="O252" i="16"/>
  <c r="S251" i="16"/>
  <c r="I11" i="32"/>
  <c r="S228" i="16"/>
  <c r="G6" i="33"/>
  <c r="D17" i="17"/>
  <c r="I20" i="32"/>
  <c r="K20" i="32" s="1"/>
  <c r="G16" i="33"/>
  <c r="G18" i="33"/>
  <c r="H18" i="33" s="1"/>
  <c r="I38" i="32"/>
  <c r="G21" i="33"/>
  <c r="I21" i="32"/>
  <c r="I37" i="32"/>
  <c r="G17" i="33"/>
  <c r="S258" i="16"/>
  <c r="G23" i="33"/>
  <c r="H23" i="33" s="1"/>
  <c r="I41" i="32"/>
  <c r="G15" i="33"/>
  <c r="I29" i="32"/>
  <c r="S257" i="16"/>
  <c r="G22" i="33"/>
  <c r="I40" i="32"/>
  <c r="I16" i="32"/>
  <c r="S245" i="16"/>
  <c r="I30" i="32"/>
  <c r="G20" i="33"/>
  <c r="K39" i="32"/>
  <c r="J39" i="32"/>
  <c r="S261" i="16"/>
  <c r="I42" i="32"/>
  <c r="S69" i="16"/>
  <c r="F60" i="31"/>
  <c r="G10" i="33"/>
  <c r="S238" i="16"/>
  <c r="H11" i="33"/>
  <c r="S242" i="16"/>
  <c r="F23" i="31"/>
  <c r="G23" i="31" s="1"/>
  <c r="G7" i="33"/>
  <c r="H7" i="33" s="1"/>
  <c r="F64" i="31"/>
  <c r="G12" i="33"/>
  <c r="AM10" i="6"/>
  <c r="S20" i="16"/>
  <c r="Y20" i="16" s="1"/>
  <c r="F19" i="31"/>
  <c r="G19" i="31" s="1"/>
  <c r="F26" i="31"/>
  <c r="S260" i="16"/>
  <c r="F27" i="31"/>
  <c r="F25" i="31" s="1"/>
  <c r="S246" i="16"/>
  <c r="S237" i="16"/>
  <c r="S254" i="16"/>
  <c r="S255" i="16"/>
  <c r="S244" i="16"/>
  <c r="O64" i="16"/>
  <c r="O3" i="18"/>
  <c r="AL260" i="6"/>
  <c r="E4" i="27" s="1"/>
  <c r="H17" i="27" s="1"/>
  <c r="K35" i="17" s="1"/>
  <c r="F68" i="31"/>
  <c r="G68" i="31" s="1"/>
  <c r="S73" i="16" l="1"/>
  <c r="O74" i="16"/>
  <c r="S12" i="16"/>
  <c r="S11" i="16"/>
  <c r="S57" i="16" s="1"/>
  <c r="O233" i="16"/>
  <c r="S229" i="16"/>
  <c r="S77" i="16"/>
  <c r="AL242" i="6"/>
  <c r="E5" i="26"/>
  <c r="H5" i="26" s="1"/>
  <c r="H14" i="26" s="1"/>
  <c r="J20" i="32"/>
  <c r="O59" i="16"/>
  <c r="J38" i="32"/>
  <c r="K38" i="32"/>
  <c r="K41" i="32"/>
  <c r="J41" i="32"/>
  <c r="N3" i="17"/>
  <c r="H10" i="33"/>
  <c r="G26" i="33"/>
  <c r="H26" i="33" s="1"/>
  <c r="G39" i="33"/>
  <c r="H39" i="33" s="1"/>
  <c r="H6" i="33"/>
  <c r="G34" i="33"/>
  <c r="H34" i="33" s="1"/>
  <c r="AN252" i="6"/>
  <c r="H20" i="33"/>
  <c r="G60" i="31"/>
  <c r="K12" i="32"/>
  <c r="J16" i="32"/>
  <c r="J12" i="32"/>
  <c r="K26" i="32"/>
  <c r="O70" i="16"/>
  <c r="G27" i="31"/>
  <c r="G25" i="31"/>
  <c r="F49" i="31"/>
  <c r="G49" i="31" s="1"/>
  <c r="G26" i="31"/>
  <c r="H12" i="33"/>
  <c r="G28" i="33"/>
  <c r="H28" i="33" s="1"/>
  <c r="G27" i="33"/>
  <c r="H27" i="33" s="1"/>
  <c r="G64" i="31"/>
  <c r="K21" i="32"/>
  <c r="J21" i="32"/>
  <c r="E4" i="28"/>
  <c r="H5" i="28" s="1"/>
  <c r="H12" i="28" s="1"/>
  <c r="H13" i="28" s="1"/>
  <c r="H21" i="33"/>
  <c r="G37" i="33"/>
  <c r="H37" i="33" s="1"/>
  <c r="K42" i="32"/>
  <c r="J42" i="32"/>
  <c r="O57" i="16"/>
  <c r="F69" i="31"/>
  <c r="G69" i="31" s="1"/>
  <c r="O65" i="16"/>
  <c r="S70" i="16" l="1"/>
  <c r="S74" i="16"/>
  <c r="AL8" i="6"/>
  <c r="P9" i="16" s="1"/>
  <c r="AL28" i="6"/>
  <c r="P25" i="16" s="1"/>
  <c r="P52" i="16" s="1"/>
  <c r="AL66" i="6"/>
  <c r="P65" i="16" s="1"/>
  <c r="O58" i="16"/>
  <c r="F50" i="31"/>
  <c r="G50" i="31" s="1"/>
  <c r="H15" i="33"/>
  <c r="G31" i="33"/>
  <c r="H31" i="33" s="1"/>
  <c r="K29" i="32"/>
  <c r="J29" i="32"/>
  <c r="G36" i="33"/>
  <c r="H36" i="33" s="1"/>
  <c r="K30" i="32"/>
  <c r="J30" i="32"/>
  <c r="J40" i="32"/>
  <c r="K40" i="32"/>
  <c r="G33" i="33"/>
  <c r="H33" i="33" s="1"/>
  <c r="H17" i="33"/>
  <c r="G38" i="33"/>
  <c r="H38" i="33" s="1"/>
  <c r="H22" i="33"/>
  <c r="K23" i="17"/>
  <c r="K13" i="18"/>
  <c r="K37" i="32"/>
  <c r="J37" i="32"/>
  <c r="P70" i="16" l="1"/>
  <c r="AL25" i="6"/>
  <c r="P23" i="16" s="1"/>
  <c r="I31" i="32"/>
  <c r="K22" i="32"/>
  <c r="J22" i="32"/>
  <c r="I23" i="32"/>
  <c r="F62" i="31"/>
  <c r="G62" i="31" s="1"/>
  <c r="AL70" i="6"/>
  <c r="P67" i="16" s="1"/>
  <c r="O240" i="16" l="1"/>
  <c r="S239" i="16"/>
  <c r="S240" i="16" s="1"/>
  <c r="K31" i="32"/>
  <c r="J31" i="32"/>
  <c r="F61" i="31"/>
  <c r="G61" i="31" s="1"/>
  <c r="K23" i="32"/>
  <c r="J23" i="32"/>
  <c r="E4" i="26"/>
  <c r="AL26" i="6"/>
  <c r="F22" i="31" l="1"/>
  <c r="G22" i="31" s="1"/>
  <c r="H15" i="26"/>
  <c r="K8" i="18" s="1"/>
  <c r="I25" i="32"/>
  <c r="I32" i="32"/>
  <c r="K27" i="32"/>
  <c r="F48" i="31"/>
  <c r="G48" i="31" s="1"/>
  <c r="G11" i="31"/>
  <c r="F65" i="31"/>
  <c r="G65" i="31" s="1"/>
  <c r="G32" i="33"/>
  <c r="H32" i="33" s="1"/>
  <c r="H16" i="33"/>
  <c r="AM25" i="6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K16" i="17" l="1"/>
  <c r="K17" i="17"/>
  <c r="J32" i="32"/>
  <c r="K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19" i="17"/>
  <c r="L20" i="17" s="1"/>
  <c r="L21" i="17" s="1"/>
  <c r="F10" i="17"/>
  <c r="O4" i="18" l="1"/>
  <c r="H10" i="18" s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W251" i="16" l="1"/>
  <c r="Q251" i="16"/>
  <c r="Q252" i="16" s="1"/>
  <c r="S252" i="16"/>
  <c r="Q248" i="16"/>
  <c r="D248" i="16"/>
  <c r="T247" i="16"/>
  <c r="D247" i="16"/>
  <c r="Q246" i="16"/>
  <c r="D246" i="16"/>
  <c r="Q245" i="16"/>
  <c r="Q244" i="16"/>
  <c r="AW242" i="16"/>
  <c r="Q242" i="16"/>
  <c r="T240" i="16"/>
  <c r="Q239" i="16"/>
  <c r="Q238" i="16"/>
  <c r="Q237" i="16"/>
  <c r="Q235" i="16"/>
  <c r="D235" i="16"/>
  <c r="D239" i="16" s="1"/>
  <c r="D240" i="16" s="1"/>
  <c r="T233" i="16"/>
  <c r="D233" i="16"/>
  <c r="D229" i="16" s="1"/>
  <c r="Q232" i="16"/>
  <c r="Q231" i="16"/>
  <c r="AW229" i="16"/>
  <c r="Q229" i="16"/>
  <c r="Q233" i="16" s="1"/>
  <c r="Q228" i="16"/>
  <c r="T226" i="16"/>
  <c r="L226" i="16"/>
  <c r="K226" i="16"/>
  <c r="J226" i="16"/>
  <c r="I226" i="16"/>
  <c r="H226" i="16"/>
  <c r="T225" i="16"/>
  <c r="Q225" i="16"/>
  <c r="P225" i="16"/>
  <c r="L225" i="16"/>
  <c r="K225" i="16"/>
  <c r="J225" i="16"/>
  <c r="I225" i="16"/>
  <c r="H225" i="16"/>
  <c r="Q224" i="16"/>
  <c r="P224" i="16"/>
  <c r="L224" i="16"/>
  <c r="K224" i="16"/>
  <c r="J224" i="16"/>
  <c r="I224" i="16"/>
  <c r="H224" i="16"/>
  <c r="Q223" i="16"/>
  <c r="P223" i="16"/>
  <c r="L223" i="16"/>
  <c r="K223" i="16"/>
  <c r="J223" i="16"/>
  <c r="I223" i="16"/>
  <c r="H223" i="16"/>
  <c r="Q222" i="16"/>
  <c r="P222" i="16"/>
  <c r="L222" i="16"/>
  <c r="K222" i="16"/>
  <c r="J222" i="16"/>
  <c r="I222" i="16"/>
  <c r="H222" i="16"/>
  <c r="S212" i="16"/>
  <c r="Q211" i="16"/>
  <c r="Q214" i="16" s="1"/>
  <c r="P211" i="16"/>
  <c r="L211" i="16"/>
  <c r="L214" i="16" s="1"/>
  <c r="K211" i="16"/>
  <c r="K214" i="16" s="1"/>
  <c r="J211" i="16"/>
  <c r="I211" i="16"/>
  <c r="H211" i="16"/>
  <c r="Q210" i="16"/>
  <c r="Q213" i="16" s="1"/>
  <c r="P210" i="16"/>
  <c r="L210" i="16"/>
  <c r="K210" i="16"/>
  <c r="K213" i="16" s="1"/>
  <c r="J210" i="16"/>
  <c r="I210" i="16"/>
  <c r="I213" i="16" s="1"/>
  <c r="H210" i="16"/>
  <c r="Q202" i="16"/>
  <c r="Q205" i="16" s="1"/>
  <c r="P202" i="16"/>
  <c r="P205" i="16" s="1"/>
  <c r="L202" i="16"/>
  <c r="L205" i="16" s="1"/>
  <c r="K202" i="16"/>
  <c r="K205" i="16" s="1"/>
  <c r="J202" i="16"/>
  <c r="J205" i="16" s="1"/>
  <c r="I202" i="16"/>
  <c r="I205" i="16" s="1"/>
  <c r="H202" i="16"/>
  <c r="H205" i="16" s="1"/>
  <c r="Q201" i="16"/>
  <c r="Q206" i="16" s="1"/>
  <c r="P201" i="16"/>
  <c r="P207" i="16" s="1"/>
  <c r="L201" i="16"/>
  <c r="L207" i="16" s="1"/>
  <c r="K201" i="16"/>
  <c r="K204" i="16" s="1"/>
  <c r="J201" i="16"/>
  <c r="J207" i="16" s="1"/>
  <c r="I201" i="16"/>
  <c r="I206" i="16" s="1"/>
  <c r="H201" i="16"/>
  <c r="H207" i="16" s="1"/>
  <c r="H199" i="16"/>
  <c r="H198" i="16"/>
  <c r="H197" i="16"/>
  <c r="Q196" i="16"/>
  <c r="P196" i="16"/>
  <c r="L196" i="16"/>
  <c r="K196" i="16"/>
  <c r="J196" i="16"/>
  <c r="I196" i="16"/>
  <c r="H196" i="16"/>
  <c r="Q195" i="16"/>
  <c r="P195" i="16"/>
  <c r="L195" i="16"/>
  <c r="K195" i="16"/>
  <c r="J195" i="16"/>
  <c r="I195" i="16"/>
  <c r="H195" i="16"/>
  <c r="L184" i="16"/>
  <c r="K184" i="16"/>
  <c r="Q180" i="16"/>
  <c r="P180" i="16"/>
  <c r="Q179" i="16"/>
  <c r="P179" i="16"/>
  <c r="P183" i="16" s="1"/>
  <c r="L179" i="16"/>
  <c r="L183" i="16" s="1"/>
  <c r="K179" i="16"/>
  <c r="J179" i="16"/>
  <c r="I179" i="16"/>
  <c r="H179" i="16"/>
  <c r="Q178" i="16"/>
  <c r="P178" i="16"/>
  <c r="P182" i="16" s="1"/>
  <c r="L178" i="16"/>
  <c r="L182" i="16" s="1"/>
  <c r="K178" i="16"/>
  <c r="J178" i="16"/>
  <c r="I178" i="16"/>
  <c r="H178" i="16"/>
  <c r="L177" i="16"/>
  <c r="K177" i="16"/>
  <c r="J177" i="16"/>
  <c r="I177" i="16"/>
  <c r="H177" i="16"/>
  <c r="T171" i="16"/>
  <c r="T170" i="16"/>
  <c r="Q168" i="16"/>
  <c r="Q172" i="16" s="1"/>
  <c r="P168" i="16"/>
  <c r="P172" i="16" s="1"/>
  <c r="L168" i="16"/>
  <c r="L189" i="16" s="1"/>
  <c r="K168" i="16"/>
  <c r="K189" i="16" s="1"/>
  <c r="J168" i="16"/>
  <c r="J172" i="16" s="1"/>
  <c r="J193" i="16" s="1"/>
  <c r="I168" i="16"/>
  <c r="I172" i="16" s="1"/>
  <c r="I193" i="16" s="1"/>
  <c r="H168" i="16"/>
  <c r="H189" i="16" s="1"/>
  <c r="Q167" i="16"/>
  <c r="P167" i="16"/>
  <c r="P171" i="16" s="1"/>
  <c r="L167" i="16"/>
  <c r="K167" i="16"/>
  <c r="K171" i="16" s="1"/>
  <c r="J167" i="16"/>
  <c r="J171" i="16" s="1"/>
  <c r="J192" i="16" s="1"/>
  <c r="I167" i="16"/>
  <c r="I171" i="16" s="1"/>
  <c r="I192" i="16" s="1"/>
  <c r="H167" i="16"/>
  <c r="Q166" i="16"/>
  <c r="Q170" i="16" s="1"/>
  <c r="P166" i="16"/>
  <c r="P174" i="16" s="1"/>
  <c r="L166" i="16"/>
  <c r="K166" i="16"/>
  <c r="J166" i="16"/>
  <c r="I166" i="16"/>
  <c r="H166" i="16"/>
  <c r="L165" i="16"/>
  <c r="K165" i="16"/>
  <c r="J165" i="16"/>
  <c r="I165" i="16"/>
  <c r="H165" i="16"/>
  <c r="I162" i="16"/>
  <c r="H162" i="16"/>
  <c r="Q161" i="16"/>
  <c r="Q173" i="16" s="1"/>
  <c r="P161" i="16"/>
  <c r="P173" i="16" s="1"/>
  <c r="L161" i="16"/>
  <c r="L173" i="16" s="1"/>
  <c r="K161" i="16"/>
  <c r="K173" i="16" s="1"/>
  <c r="J161" i="16"/>
  <c r="I161" i="16"/>
  <c r="H161" i="16"/>
  <c r="H173" i="16" s="1"/>
  <c r="T173" i="16"/>
  <c r="C152" i="16"/>
  <c r="C151" i="16"/>
  <c r="Q149" i="16"/>
  <c r="Q152" i="16" s="1"/>
  <c r="P149" i="16"/>
  <c r="L149" i="16"/>
  <c r="L152" i="16" s="1"/>
  <c r="K149" i="16"/>
  <c r="J149" i="16"/>
  <c r="I149" i="16"/>
  <c r="I152" i="16" s="1"/>
  <c r="H149" i="16"/>
  <c r="Q148" i="16"/>
  <c r="P148" i="16"/>
  <c r="P151" i="16" s="1"/>
  <c r="L148" i="16"/>
  <c r="K148" i="16"/>
  <c r="J148" i="16"/>
  <c r="J151" i="16" s="1"/>
  <c r="I148" i="16"/>
  <c r="I151" i="16" s="1"/>
  <c r="H148" i="16"/>
  <c r="H151" i="16" s="1"/>
  <c r="T148" i="16"/>
  <c r="T143" i="16"/>
  <c r="T142" i="16"/>
  <c r="Q140" i="16"/>
  <c r="P140" i="16"/>
  <c r="P143" i="16" s="1"/>
  <c r="L140" i="16"/>
  <c r="L143" i="16" s="1"/>
  <c r="K140" i="16"/>
  <c r="K143" i="16" s="1"/>
  <c r="J140" i="16"/>
  <c r="J143" i="16" s="1"/>
  <c r="I140" i="16"/>
  <c r="H140" i="16"/>
  <c r="H143" i="16" s="1"/>
  <c r="Q139" i="16"/>
  <c r="P139" i="16"/>
  <c r="L139" i="16"/>
  <c r="L142" i="16" s="1"/>
  <c r="K139" i="16"/>
  <c r="J139" i="16"/>
  <c r="J142" i="16" s="1"/>
  <c r="I139" i="16"/>
  <c r="H139" i="16"/>
  <c r="T145" i="16"/>
  <c r="FZ137" i="16"/>
  <c r="Q135" i="16"/>
  <c r="P135" i="16"/>
  <c r="P144" i="16" s="1"/>
  <c r="L135" i="16"/>
  <c r="L144" i="16" s="1"/>
  <c r="K135" i="16"/>
  <c r="K144" i="16" s="1"/>
  <c r="J135" i="16"/>
  <c r="J144" i="16" s="1"/>
  <c r="I135" i="16"/>
  <c r="H135" i="16"/>
  <c r="H144" i="16" s="1"/>
  <c r="T144" i="16"/>
  <c r="Q134" i="16"/>
  <c r="P134" i="16"/>
  <c r="L134" i="16"/>
  <c r="K134" i="16"/>
  <c r="J134" i="16"/>
  <c r="I134" i="16"/>
  <c r="H134" i="16"/>
  <c r="I125" i="16"/>
  <c r="I124" i="16"/>
  <c r="Q122" i="16"/>
  <c r="Q125" i="16" s="1"/>
  <c r="P122" i="16"/>
  <c r="L122" i="16"/>
  <c r="L125" i="16" s="1"/>
  <c r="K122" i="16"/>
  <c r="J122" i="16"/>
  <c r="J125" i="16" s="1"/>
  <c r="I122" i="16"/>
  <c r="H122" i="16"/>
  <c r="Q121" i="16"/>
  <c r="Q124" i="16" s="1"/>
  <c r="P121" i="16"/>
  <c r="P124" i="16" s="1"/>
  <c r="L121" i="16"/>
  <c r="L124" i="16" s="1"/>
  <c r="K121" i="16"/>
  <c r="K124" i="16" s="1"/>
  <c r="J121" i="16"/>
  <c r="I121" i="16"/>
  <c r="H121" i="16"/>
  <c r="H124" i="16" s="1"/>
  <c r="T116" i="16"/>
  <c r="T115" i="16"/>
  <c r="Q113" i="16"/>
  <c r="Q116" i="16" s="1"/>
  <c r="P113" i="16"/>
  <c r="P116" i="16" s="1"/>
  <c r="L113" i="16"/>
  <c r="L116" i="16" s="1"/>
  <c r="K113" i="16"/>
  <c r="K116" i="16" s="1"/>
  <c r="J113" i="16"/>
  <c r="J116" i="16" s="1"/>
  <c r="I113" i="16"/>
  <c r="I116" i="16" s="1"/>
  <c r="H113" i="16"/>
  <c r="H116" i="16" s="1"/>
  <c r="Q112" i="16"/>
  <c r="Q115" i="16" s="1"/>
  <c r="P112" i="16"/>
  <c r="P115" i="16" s="1"/>
  <c r="L112" i="16"/>
  <c r="L115" i="16" s="1"/>
  <c r="K112" i="16"/>
  <c r="K115" i="16" s="1"/>
  <c r="J112" i="16"/>
  <c r="I112" i="16"/>
  <c r="I115" i="16" s="1"/>
  <c r="H112" i="16"/>
  <c r="H115" i="16" s="1"/>
  <c r="H110" i="16"/>
  <c r="H109" i="16"/>
  <c r="J108" i="16"/>
  <c r="H108" i="16"/>
  <c r="Q107" i="16"/>
  <c r="Q117" i="16" s="1"/>
  <c r="P107" i="16"/>
  <c r="P117" i="16" s="1"/>
  <c r="L107" i="16"/>
  <c r="L117" i="16" s="1"/>
  <c r="K107" i="16"/>
  <c r="K117" i="16" s="1"/>
  <c r="J107" i="16"/>
  <c r="I107" i="16"/>
  <c r="I117" i="16" s="1"/>
  <c r="H107" i="16"/>
  <c r="H117" i="16" s="1"/>
  <c r="T117" i="16"/>
  <c r="Q95" i="16"/>
  <c r="P95" i="16"/>
  <c r="L95" i="16"/>
  <c r="L98" i="16" s="1"/>
  <c r="K95" i="16"/>
  <c r="K98" i="16" s="1"/>
  <c r="J95" i="16"/>
  <c r="I95" i="16"/>
  <c r="H95" i="16"/>
  <c r="H98" i="16" s="1"/>
  <c r="T95" i="16"/>
  <c r="T102" i="16" s="1"/>
  <c r="Q94" i="16"/>
  <c r="P94" i="16"/>
  <c r="P97" i="16" s="1"/>
  <c r="L94" i="16"/>
  <c r="K94" i="16"/>
  <c r="K97" i="16" s="1"/>
  <c r="J94" i="16"/>
  <c r="J97" i="16" s="1"/>
  <c r="I94" i="16"/>
  <c r="H94" i="16"/>
  <c r="H97" i="16" s="1"/>
  <c r="T91" i="16"/>
  <c r="T89" i="16"/>
  <c r="T88" i="16"/>
  <c r="Q86" i="16"/>
  <c r="Q89" i="16" s="1"/>
  <c r="P86" i="16"/>
  <c r="P89" i="16" s="1"/>
  <c r="L86" i="16"/>
  <c r="L89" i="16" s="1"/>
  <c r="K86" i="16"/>
  <c r="J86" i="16"/>
  <c r="I86" i="16"/>
  <c r="I89" i="16" s="1"/>
  <c r="H86" i="16"/>
  <c r="H89" i="16" s="1"/>
  <c r="Q85" i="16"/>
  <c r="P85" i="16"/>
  <c r="P88" i="16" s="1"/>
  <c r="L85" i="16"/>
  <c r="K85" i="16"/>
  <c r="K88" i="16" s="1"/>
  <c r="J85" i="16"/>
  <c r="I85" i="16"/>
  <c r="H85" i="16"/>
  <c r="H88" i="16" s="1"/>
  <c r="I83" i="16"/>
  <c r="H83" i="16"/>
  <c r="FW82" i="16"/>
  <c r="OY82" i="16" s="1"/>
  <c r="I82" i="16"/>
  <c r="FW81" i="16"/>
  <c r="OY81" i="16" s="1"/>
  <c r="T81" i="16"/>
  <c r="I81" i="16"/>
  <c r="Q80" i="16"/>
  <c r="P80" i="16"/>
  <c r="L80" i="16"/>
  <c r="L90" i="16" s="1"/>
  <c r="K80" i="16"/>
  <c r="K90" i="16" s="1"/>
  <c r="J80" i="16"/>
  <c r="J90" i="16" s="1"/>
  <c r="I80" i="16"/>
  <c r="I90" i="16" s="1"/>
  <c r="H80" i="16"/>
  <c r="Q79" i="16"/>
  <c r="P79" i="16"/>
  <c r="L79" i="16"/>
  <c r="K79" i="16"/>
  <c r="J79" i="16"/>
  <c r="I79" i="16"/>
  <c r="H79" i="16"/>
  <c r="T79" i="16"/>
  <c r="OX78" i="16"/>
  <c r="FZ77" i="16"/>
  <c r="Q76" i="16"/>
  <c r="T75" i="16"/>
  <c r="Q73" i="16"/>
  <c r="Q71" i="16"/>
  <c r="FM70" i="16"/>
  <c r="Q69" i="16"/>
  <c r="OQ67" i="16"/>
  <c r="OQ66" i="16" s="1"/>
  <c r="FM67" i="16"/>
  <c r="OO57" i="16"/>
  <c r="OQ57" i="16" s="1"/>
  <c r="T57" i="16"/>
  <c r="OQ56" i="16"/>
  <c r="T56" i="16"/>
  <c r="Q54" i="16"/>
  <c r="DF51" i="16"/>
  <c r="Q51" i="16"/>
  <c r="Q50" i="16"/>
  <c r="Q49" i="16"/>
  <c r="T48" i="16"/>
  <c r="T67" i="16" s="1"/>
  <c r="D48" i="16"/>
  <c r="Q40" i="16"/>
  <c r="Q39" i="16"/>
  <c r="T38" i="16"/>
  <c r="Q36" i="16"/>
  <c r="I36" i="16"/>
  <c r="S36" i="16" s="1"/>
  <c r="Q35" i="16"/>
  <c r="I35" i="16"/>
  <c r="S35" i="16" s="1"/>
  <c r="T34" i="16"/>
  <c r="D34" i="16"/>
  <c r="DH33" i="16"/>
  <c r="DG33" i="16"/>
  <c r="DF33" i="16"/>
  <c r="Q33" i="16"/>
  <c r="I33" i="16"/>
  <c r="S33" i="16" s="1"/>
  <c r="PE32" i="16"/>
  <c r="DH32" i="16"/>
  <c r="DG32" i="16"/>
  <c r="DF32" i="16"/>
  <c r="Q31" i="16"/>
  <c r="S31" i="16"/>
  <c r="Q30" i="16"/>
  <c r="T29" i="16"/>
  <c r="PE27" i="16"/>
  <c r="Q27" i="16"/>
  <c r="I27" i="16"/>
  <c r="S27" i="16" s="1"/>
  <c r="AEF26" i="16"/>
  <c r="PE26" i="16"/>
  <c r="ON26" i="16"/>
  <c r="ON32" i="16" s="1"/>
  <c r="Q26" i="16"/>
  <c r="I26" i="16"/>
  <c r="S26" i="16" s="1"/>
  <c r="AEF25" i="16"/>
  <c r="T25" i="16"/>
  <c r="I25" i="16"/>
  <c r="D25" i="16"/>
  <c r="D22" i="16"/>
  <c r="AEF20" i="16"/>
  <c r="AEQ20" i="16" s="1"/>
  <c r="PE20" i="16"/>
  <c r="Q20" i="16"/>
  <c r="D20" i="16"/>
  <c r="AEF19" i="16"/>
  <c r="AEQ19" i="16" s="1"/>
  <c r="Q19" i="16"/>
  <c r="D19" i="16"/>
  <c r="AGU17" i="16"/>
  <c r="OQ17" i="16"/>
  <c r="Q17" i="16"/>
  <c r="AGU16" i="16"/>
  <c r="AGU19" i="16" s="1"/>
  <c r="OQ16" i="16"/>
  <c r="DH16" i="16"/>
  <c r="DG16" i="16"/>
  <c r="DF16" i="16"/>
  <c r="Q16" i="16"/>
  <c r="OQ15" i="16"/>
  <c r="OR17" i="16" s="1"/>
  <c r="Q15" i="16"/>
  <c r="Q13" i="16"/>
  <c r="AW13" i="16"/>
  <c r="Q12" i="16"/>
  <c r="AED11" i="16"/>
  <c r="AED26" i="16" s="1"/>
  <c r="Q11" i="16"/>
  <c r="H10" i="16"/>
  <c r="Q9" i="16"/>
  <c r="L9" i="16"/>
  <c r="K9" i="16"/>
  <c r="J9" i="16"/>
  <c r="H9" i="16"/>
  <c r="Q8" i="16"/>
  <c r="S8" i="16" s="1"/>
  <c r="W31" i="16" l="1"/>
  <c r="Y31" i="16" s="1"/>
  <c r="S34" i="16"/>
  <c r="S63" i="16" s="1"/>
  <c r="S25" i="16"/>
  <c r="S58" i="16" s="1"/>
  <c r="S30" i="16"/>
  <c r="W29" i="16" s="1"/>
  <c r="Y29" i="16" s="1"/>
  <c r="PE34" i="16"/>
  <c r="OR24" i="16" s="1"/>
  <c r="PE24" i="16" s="1"/>
  <c r="T66" i="16"/>
  <c r="AED25" i="16"/>
  <c r="T47" i="16"/>
  <c r="U47" i="16" s="1"/>
  <c r="H187" i="16"/>
  <c r="Q38" i="16"/>
  <c r="Q65" i="16" s="1"/>
  <c r="Q25" i="16"/>
  <c r="Q59" i="16" s="1"/>
  <c r="Q240" i="16"/>
  <c r="P162" i="16"/>
  <c r="P163" i="16" s="1"/>
  <c r="J10" i="16"/>
  <c r="L187" i="16"/>
  <c r="J109" i="16"/>
  <c r="Q70" i="16"/>
  <c r="Q48" i="16"/>
  <c r="Q67" i="16" s="1"/>
  <c r="Q72" i="16"/>
  <c r="L132" i="16"/>
  <c r="J136" i="16"/>
  <c r="J137" i="16" s="1"/>
  <c r="T163" i="16"/>
  <c r="T195" i="16"/>
  <c r="Q247" i="16"/>
  <c r="K131" i="16"/>
  <c r="I174" i="16"/>
  <c r="Q74" i="16"/>
  <c r="I91" i="16"/>
  <c r="Q91" i="16"/>
  <c r="H118" i="16"/>
  <c r="S247" i="16"/>
  <c r="Q34" i="16"/>
  <c r="Q63" i="16" s="1"/>
  <c r="L108" i="16"/>
  <c r="L109" i="16" s="1"/>
  <c r="T83" i="16"/>
  <c r="P108" i="16"/>
  <c r="P109" i="16" s="1"/>
  <c r="L197" i="16"/>
  <c r="L198" i="16" s="1"/>
  <c r="I128" i="16"/>
  <c r="S148" i="16"/>
  <c r="U148" i="16" s="1"/>
  <c r="K221" i="16"/>
  <c r="FM74" i="16"/>
  <c r="J187" i="16"/>
  <c r="Q226" i="16"/>
  <c r="P102" i="16"/>
  <c r="Q155" i="16"/>
  <c r="K162" i="16"/>
  <c r="K163" i="16" s="1"/>
  <c r="T82" i="16"/>
  <c r="T80" i="16" s="1"/>
  <c r="T90" i="16" s="1"/>
  <c r="J118" i="16"/>
  <c r="P187" i="16"/>
  <c r="J81" i="16"/>
  <c r="J82" i="16" s="1"/>
  <c r="Q221" i="16"/>
  <c r="Q57" i="16"/>
  <c r="U71" i="16"/>
  <c r="Q77" i="16"/>
  <c r="S83" i="16"/>
  <c r="J91" i="16"/>
  <c r="K102" i="16"/>
  <c r="K118" i="16"/>
  <c r="K128" i="16"/>
  <c r="H163" i="16"/>
  <c r="J189" i="16"/>
  <c r="L204" i="16"/>
  <c r="I207" i="16"/>
  <c r="J217" i="16"/>
  <c r="J89" i="16"/>
  <c r="P104" i="16"/>
  <c r="L102" i="16"/>
  <c r="L118" i="16"/>
  <c r="H129" i="16"/>
  <c r="P129" i="16"/>
  <c r="P125" i="16"/>
  <c r="P132" i="16" s="1"/>
  <c r="K156" i="16"/>
  <c r="I155" i="16"/>
  <c r="H170" i="16"/>
  <c r="H191" i="16" s="1"/>
  <c r="P197" i="16"/>
  <c r="P198" i="16" s="1"/>
  <c r="P204" i="16"/>
  <c r="K218" i="16"/>
  <c r="Q81" i="16"/>
  <c r="Q82" i="16" s="1"/>
  <c r="P98" i="16"/>
  <c r="P105" i="16" s="1"/>
  <c r="P118" i="16"/>
  <c r="I129" i="16"/>
  <c r="T137" i="16"/>
  <c r="L159" i="16"/>
  <c r="J155" i="16"/>
  <c r="U167" i="16"/>
  <c r="U171" i="16" s="1"/>
  <c r="L170" i="16"/>
  <c r="L191" i="16" s="1"/>
  <c r="H172" i="16"/>
  <c r="H193" i="16" s="1"/>
  <c r="Q174" i="16"/>
  <c r="Q197" i="16"/>
  <c r="Q198" i="16" s="1"/>
  <c r="Q204" i="16"/>
  <c r="L218" i="16"/>
  <c r="S223" i="16"/>
  <c r="U223" i="16" s="1"/>
  <c r="S225" i="16"/>
  <c r="U225" i="16" s="1"/>
  <c r="Q56" i="16"/>
  <c r="Q29" i="16"/>
  <c r="Q61" i="16" s="1"/>
  <c r="I34" i="16"/>
  <c r="J101" i="16"/>
  <c r="H102" i="16"/>
  <c r="K136" i="16"/>
  <c r="K137" i="16" s="1"/>
  <c r="Q162" i="16"/>
  <c r="Q163" i="16" s="1"/>
  <c r="H206" i="16"/>
  <c r="Q207" i="16"/>
  <c r="K91" i="16"/>
  <c r="K101" i="16"/>
  <c r="J117" i="16"/>
  <c r="K129" i="16"/>
  <c r="H125" i="16"/>
  <c r="U125" i="16" s="1"/>
  <c r="P170" i="16"/>
  <c r="P191" i="16" s="1"/>
  <c r="S195" i="16"/>
  <c r="U195" i="16" s="1"/>
  <c r="L206" i="16"/>
  <c r="Q218" i="16"/>
  <c r="K10" i="16"/>
  <c r="L129" i="16"/>
  <c r="Q151" i="16"/>
  <c r="T168" i="16"/>
  <c r="T172" i="16" s="1"/>
  <c r="H204" i="16"/>
  <c r="L221" i="16"/>
  <c r="J128" i="16"/>
  <c r="L10" i="16"/>
  <c r="S79" i="16"/>
  <c r="U79" i="16" s="1"/>
  <c r="J124" i="16"/>
  <c r="K125" i="16"/>
  <c r="K132" i="16" s="1"/>
  <c r="K142" i="16"/>
  <c r="K145" i="16"/>
  <c r="H156" i="16"/>
  <c r="P156" i="16"/>
  <c r="L162" i="16"/>
  <c r="L163" i="16" s="1"/>
  <c r="I197" i="16"/>
  <c r="I198" i="16" s="1"/>
  <c r="I204" i="16"/>
  <c r="S205" i="16"/>
  <c r="P206" i="16"/>
  <c r="I217" i="16"/>
  <c r="S222" i="16"/>
  <c r="U222" i="16" s="1"/>
  <c r="S224" i="16"/>
  <c r="U224" i="16" s="1"/>
  <c r="AGU24" i="16"/>
  <c r="AGU20" i="16"/>
  <c r="OQ68" i="16"/>
  <c r="H90" i="16"/>
  <c r="P226" i="16"/>
  <c r="P90" i="16"/>
  <c r="I102" i="16"/>
  <c r="I98" i="16"/>
  <c r="I105" i="16" s="1"/>
  <c r="Q102" i="16"/>
  <c r="Q98" i="16"/>
  <c r="Q105" i="16" s="1"/>
  <c r="Q75" i="16"/>
  <c r="S86" i="16"/>
  <c r="J129" i="16"/>
  <c r="Q10" i="16"/>
  <c r="T59" i="16"/>
  <c r="T58" i="16"/>
  <c r="T33" i="16"/>
  <c r="H104" i="16"/>
  <c r="L97" i="16"/>
  <c r="L101" i="16"/>
  <c r="H101" i="16"/>
  <c r="J132" i="16"/>
  <c r="S122" i="16"/>
  <c r="OR16" i="16"/>
  <c r="J23" i="16"/>
  <c r="J22" i="16" s="1"/>
  <c r="H91" i="16"/>
  <c r="H81" i="16"/>
  <c r="H82" i="16" s="1"/>
  <c r="L91" i="16"/>
  <c r="L81" i="16"/>
  <c r="L82" i="16" s="1"/>
  <c r="P91" i="16"/>
  <c r="P81" i="16"/>
  <c r="P82" i="16" s="1"/>
  <c r="L88" i="16"/>
  <c r="P101" i="16"/>
  <c r="I88" i="16"/>
  <c r="Q88" i="16"/>
  <c r="J102" i="16"/>
  <c r="J98" i="16"/>
  <c r="S95" i="16"/>
  <c r="I118" i="16"/>
  <c r="I108" i="16"/>
  <c r="Q118" i="16"/>
  <c r="Q108" i="16"/>
  <c r="Q109" i="16" s="1"/>
  <c r="I132" i="16"/>
  <c r="Q128" i="16"/>
  <c r="I136" i="16"/>
  <c r="I137" i="16" s="1"/>
  <c r="I143" i="16"/>
  <c r="I159" i="16" s="1"/>
  <c r="Q136" i="16"/>
  <c r="Q137" i="16" s="1"/>
  <c r="Q143" i="16"/>
  <c r="Q159" i="16" s="1"/>
  <c r="Q156" i="16"/>
  <c r="S179" i="16"/>
  <c r="T179" i="16"/>
  <c r="K188" i="16"/>
  <c r="K183" i="16"/>
  <c r="S178" i="16"/>
  <c r="T178" i="16"/>
  <c r="T187" i="16" s="1"/>
  <c r="K182" i="16"/>
  <c r="K187" i="16"/>
  <c r="K81" i="16"/>
  <c r="K82" i="16" s="1"/>
  <c r="K89" i="16"/>
  <c r="K105" i="16" s="1"/>
  <c r="I97" i="16"/>
  <c r="I101" i="16"/>
  <c r="Q97" i="16"/>
  <c r="Q101" i="16"/>
  <c r="I156" i="16"/>
  <c r="K172" i="16"/>
  <c r="K193" i="16" s="1"/>
  <c r="U179" i="16"/>
  <c r="Q189" i="16"/>
  <c r="Q184" i="16"/>
  <c r="Q193" i="16" s="1"/>
  <c r="H217" i="16"/>
  <c r="H213" i="16"/>
  <c r="H220" i="16" s="1"/>
  <c r="L213" i="16"/>
  <c r="L220" i="16" s="1"/>
  <c r="L217" i="16"/>
  <c r="P213" i="16"/>
  <c r="P220" i="16" s="1"/>
  <c r="P217" i="16"/>
  <c r="K104" i="16"/>
  <c r="H105" i="16"/>
  <c r="L105" i="16"/>
  <c r="S113" i="16"/>
  <c r="H131" i="16"/>
  <c r="U124" i="16"/>
  <c r="L131" i="16"/>
  <c r="P131" i="16"/>
  <c r="L128" i="16"/>
  <c r="S140" i="16"/>
  <c r="S143" i="16" s="1"/>
  <c r="S145" i="16"/>
  <c r="J158" i="16"/>
  <c r="H152" i="16"/>
  <c r="P152" i="16"/>
  <c r="P159" i="16" s="1"/>
  <c r="L156" i="16"/>
  <c r="I173" i="16"/>
  <c r="I163" i="16"/>
  <c r="J174" i="16"/>
  <c r="J170" i="16"/>
  <c r="J191" i="16" s="1"/>
  <c r="S166" i="16"/>
  <c r="S170" i="16" s="1"/>
  <c r="H171" i="16"/>
  <c r="H192" i="16" s="1"/>
  <c r="U178" i="16"/>
  <c r="H188" i="16"/>
  <c r="S202" i="16"/>
  <c r="S85" i="16"/>
  <c r="J88" i="16"/>
  <c r="J104" i="16" s="1"/>
  <c r="S94" i="16"/>
  <c r="Q131" i="16"/>
  <c r="H145" i="16"/>
  <c r="H136" i="16"/>
  <c r="L145" i="16"/>
  <c r="L136" i="16"/>
  <c r="L137" i="16" s="1"/>
  <c r="P145" i="16"/>
  <c r="P136" i="16"/>
  <c r="P137" i="16" s="1"/>
  <c r="S144" i="16"/>
  <c r="K151" i="16"/>
  <c r="K155" i="16"/>
  <c r="S173" i="16"/>
  <c r="J173" i="16"/>
  <c r="K174" i="16"/>
  <c r="U166" i="16"/>
  <c r="U170" i="16" s="1"/>
  <c r="Q171" i="16"/>
  <c r="H174" i="16"/>
  <c r="I188" i="16"/>
  <c r="Q188" i="16"/>
  <c r="L188" i="16"/>
  <c r="K197" i="16"/>
  <c r="K198" i="16" s="1"/>
  <c r="K220" i="16"/>
  <c r="K207" i="16"/>
  <c r="K206" i="16"/>
  <c r="Q90" i="16"/>
  <c r="T94" i="16"/>
  <c r="T101" i="16" s="1"/>
  <c r="T109" i="16"/>
  <c r="K108" i="16"/>
  <c r="S117" i="16"/>
  <c r="Q132" i="16"/>
  <c r="I131" i="16"/>
  <c r="H128" i="16"/>
  <c r="P128" i="16"/>
  <c r="Q129" i="16"/>
  <c r="I145" i="16"/>
  <c r="Q145" i="16"/>
  <c r="H142" i="16"/>
  <c r="H158" i="16" s="1"/>
  <c r="P142" i="16"/>
  <c r="P158" i="16" s="1"/>
  <c r="I144" i="16"/>
  <c r="Q144" i="16"/>
  <c r="J145" i="16"/>
  <c r="H155" i="16"/>
  <c r="L155" i="16"/>
  <c r="P155" i="16"/>
  <c r="J156" i="16"/>
  <c r="L151" i="16"/>
  <c r="L158" i="16" s="1"/>
  <c r="J162" i="16"/>
  <c r="S168" i="16"/>
  <c r="S172" i="16" s="1"/>
  <c r="K170" i="16"/>
  <c r="L171" i="16"/>
  <c r="L192" i="16" s="1"/>
  <c r="L174" i="16"/>
  <c r="P184" i="16"/>
  <c r="P193" i="16" s="1"/>
  <c r="P189" i="16"/>
  <c r="P192" i="16"/>
  <c r="K217" i="16"/>
  <c r="H214" i="16"/>
  <c r="H218" i="16"/>
  <c r="S211" i="16"/>
  <c r="P214" i="16"/>
  <c r="P221" i="16" s="1"/>
  <c r="P218" i="16"/>
  <c r="S112" i="16"/>
  <c r="J115" i="16"/>
  <c r="S121" i="16"/>
  <c r="T122" i="16"/>
  <c r="T129" i="16" s="1"/>
  <c r="I142" i="16"/>
  <c r="I158" i="16" s="1"/>
  <c r="Q142" i="16"/>
  <c r="S149" i="16"/>
  <c r="U149" i="16" s="1"/>
  <c r="J152" i="16"/>
  <c r="J159" i="16" s="1"/>
  <c r="S167" i="16"/>
  <c r="S171" i="16" s="1"/>
  <c r="U168" i="16"/>
  <c r="U172" i="16" s="1"/>
  <c r="I170" i="16"/>
  <c r="I191" i="16" s="1"/>
  <c r="L172" i="16"/>
  <c r="L193" i="16" s="1"/>
  <c r="I187" i="16"/>
  <c r="Q187" i="16"/>
  <c r="P188" i="16"/>
  <c r="Q182" i="16"/>
  <c r="Q191" i="16" s="1"/>
  <c r="Q183" i="16"/>
  <c r="I218" i="16"/>
  <c r="T121" i="16"/>
  <c r="T128" i="16" s="1"/>
  <c r="S139" i="16"/>
  <c r="T149" i="16"/>
  <c r="K152" i="16"/>
  <c r="K159" i="16" s="1"/>
  <c r="I189" i="16"/>
  <c r="J204" i="16"/>
  <c r="J206" i="16"/>
  <c r="J197" i="16"/>
  <c r="S201" i="16"/>
  <c r="S210" i="16"/>
  <c r="J218" i="16"/>
  <c r="J214" i="16"/>
  <c r="J221" i="16" s="1"/>
  <c r="J213" i="16"/>
  <c r="J220" i="16" s="1"/>
  <c r="I214" i="16"/>
  <c r="I221" i="16" s="1"/>
  <c r="Q217" i="16"/>
  <c r="J188" i="16"/>
  <c r="I220" i="16"/>
  <c r="Q220" i="16"/>
  <c r="S59" i="16" l="1"/>
  <c r="S62" i="16"/>
  <c r="S29" i="16"/>
  <c r="S61" i="16" s="1"/>
  <c r="H23" i="16"/>
  <c r="H22" i="16" s="1"/>
  <c r="J131" i="16"/>
  <c r="Q58" i="16"/>
  <c r="S91" i="16"/>
  <c r="U91" i="16" s="1"/>
  <c r="S52" i="16"/>
  <c r="T98" i="16"/>
  <c r="T105" i="16" s="1"/>
  <c r="AW30" i="16"/>
  <c r="Q64" i="16"/>
  <c r="T124" i="16"/>
  <c r="T131" i="16" s="1"/>
  <c r="S218" i="16"/>
  <c r="T97" i="16"/>
  <c r="T104" i="16" s="1"/>
  <c r="U30" i="16"/>
  <c r="S97" i="16"/>
  <c r="S226" i="16"/>
  <c r="U226" i="16" s="1"/>
  <c r="S90" i="16"/>
  <c r="U90" i="16" s="1"/>
  <c r="OQ71" i="16"/>
  <c r="T188" i="16"/>
  <c r="Q66" i="16"/>
  <c r="S163" i="16"/>
  <c r="Q158" i="16"/>
  <c r="S136" i="16"/>
  <c r="S134" i="16" s="1"/>
  <c r="K158" i="16"/>
  <c r="T136" i="16"/>
  <c r="T134" i="16" s="1"/>
  <c r="Q62" i="16"/>
  <c r="OQ70" i="16"/>
  <c r="Q52" i="16"/>
  <c r="S204" i="16"/>
  <c r="U33" i="16"/>
  <c r="S137" i="16"/>
  <c r="Q53" i="16"/>
  <c r="S128" i="16"/>
  <c r="Q104" i="16"/>
  <c r="J105" i="16"/>
  <c r="U173" i="16"/>
  <c r="S129" i="16"/>
  <c r="S82" i="16"/>
  <c r="U82" i="16" s="1"/>
  <c r="T108" i="16"/>
  <c r="T107" i="16" s="1"/>
  <c r="U34" i="16"/>
  <c r="S102" i="16"/>
  <c r="K23" i="16"/>
  <c r="K22" i="16" s="1"/>
  <c r="T162" i="16"/>
  <c r="T161" i="16" s="1"/>
  <c r="I23" i="16"/>
  <c r="Q60" i="16"/>
  <c r="U35" i="16"/>
  <c r="T118" i="16"/>
  <c r="Q192" i="16"/>
  <c r="U144" i="16"/>
  <c r="U117" i="16"/>
  <c r="S118" i="16"/>
  <c r="U118" i="16" s="1"/>
  <c r="I104" i="16"/>
  <c r="S207" i="16"/>
  <c r="H132" i="16"/>
  <c r="L53" i="16"/>
  <c r="S206" i="16"/>
  <c r="S174" i="16"/>
  <c r="U95" i="16"/>
  <c r="T125" i="16"/>
  <c r="T132" i="16" s="1"/>
  <c r="S124" i="16"/>
  <c r="T151" i="16"/>
  <c r="L23" i="16"/>
  <c r="L22" i="16" s="1"/>
  <c r="S217" i="16"/>
  <c r="J198" i="16"/>
  <c r="U122" i="16"/>
  <c r="S152" i="16"/>
  <c r="S159" i="16" s="1"/>
  <c r="H221" i="16"/>
  <c r="S214" i="16"/>
  <c r="S221" i="16" s="1"/>
  <c r="U140" i="16"/>
  <c r="U143" i="16" s="1"/>
  <c r="U121" i="16"/>
  <c r="H137" i="16"/>
  <c r="S187" i="16"/>
  <c r="S125" i="16"/>
  <c r="L104" i="16"/>
  <c r="U51" i="16"/>
  <c r="U86" i="16"/>
  <c r="S89" i="16"/>
  <c r="U89" i="16" s="1"/>
  <c r="S142" i="16"/>
  <c r="U139" i="16"/>
  <c r="U142" i="16" s="1"/>
  <c r="S213" i="16"/>
  <c r="S220" i="16" s="1"/>
  <c r="T152" i="16"/>
  <c r="S151" i="16"/>
  <c r="U151" i="16" s="1"/>
  <c r="K109" i="16"/>
  <c r="U174" i="16"/>
  <c r="U145" i="16"/>
  <c r="S109" i="16"/>
  <c r="S184" i="16"/>
  <c r="H159" i="16"/>
  <c r="U113" i="16"/>
  <c r="U116" i="16" s="1"/>
  <c r="U132" i="16" s="1"/>
  <c r="S116" i="16"/>
  <c r="K191" i="16"/>
  <c r="U182" i="16"/>
  <c r="U191" i="16" s="1"/>
  <c r="S182" i="16"/>
  <c r="S191" i="16" s="1"/>
  <c r="T182" i="16"/>
  <c r="T191" i="16" s="1"/>
  <c r="K192" i="16"/>
  <c r="S183" i="16"/>
  <c r="S192" i="16" s="1"/>
  <c r="T183" i="16"/>
  <c r="T192" i="16" s="1"/>
  <c r="U183" i="16"/>
  <c r="U192" i="16" s="1"/>
  <c r="S188" i="16"/>
  <c r="I109" i="16"/>
  <c r="U112" i="16"/>
  <c r="U115" i="16" s="1"/>
  <c r="U131" i="16" s="1"/>
  <c r="S115" i="16"/>
  <c r="S156" i="16"/>
  <c r="S162" i="16"/>
  <c r="S161" i="16" s="1"/>
  <c r="T197" i="16"/>
  <c r="T198" i="16"/>
  <c r="T184" i="16"/>
  <c r="T174" i="16"/>
  <c r="J163" i="16"/>
  <c r="U163" i="16" s="1"/>
  <c r="S101" i="16"/>
  <c r="U94" i="16"/>
  <c r="U85" i="16"/>
  <c r="S88" i="16"/>
  <c r="U88" i="16" s="1"/>
  <c r="S81" i="16"/>
  <c r="S197" i="16"/>
  <c r="U184" i="16"/>
  <c r="U187" i="16"/>
  <c r="U162" i="16"/>
  <c r="U161" i="16" s="1"/>
  <c r="S108" i="16"/>
  <c r="U108" i="16" s="1"/>
  <c r="U188" i="16"/>
  <c r="S155" i="16"/>
  <c r="S98" i="16"/>
  <c r="U97" i="16"/>
  <c r="U31" i="16"/>
  <c r="AW31" i="16"/>
  <c r="U26" i="16"/>
  <c r="AIU16" i="16"/>
  <c r="AIV16" i="16" s="1"/>
  <c r="U36" i="16"/>
  <c r="S60" i="16" l="1"/>
  <c r="I22" i="16"/>
  <c r="S22" i="16" s="1"/>
  <c r="S23" i="16"/>
  <c r="AW72" i="16"/>
  <c r="U29" i="16"/>
  <c r="U102" i="16"/>
  <c r="OQ72" i="16"/>
  <c r="OQ74" i="16" s="1"/>
  <c r="T135" i="16"/>
  <c r="U137" i="16"/>
  <c r="S158" i="16"/>
  <c r="U136" i="16"/>
  <c r="U135" i="16" s="1"/>
  <c r="S135" i="16"/>
  <c r="AW29" i="16"/>
  <c r="U101" i="16"/>
  <c r="S105" i="16"/>
  <c r="S131" i="16"/>
  <c r="S104" i="16"/>
  <c r="S80" i="16"/>
  <c r="U80" i="16" s="1"/>
  <c r="U81" i="16"/>
  <c r="T196" i="16"/>
  <c r="S132" i="16"/>
  <c r="U104" i="16"/>
  <c r="S107" i="16"/>
  <c r="U109" i="16"/>
  <c r="U107" i="16" s="1"/>
  <c r="U152" i="16"/>
  <c r="U197" i="16"/>
  <c r="U98" i="16"/>
  <c r="U105" i="16" s="1"/>
  <c r="U129" i="16"/>
  <c r="S198" i="16"/>
  <c r="S196" i="16" s="1"/>
  <c r="U128" i="16"/>
  <c r="U134" i="16" l="1"/>
  <c r="U198" i="16"/>
  <c r="U196" i="16" s="1"/>
  <c r="D19" i="17" l="1"/>
  <c r="E37" i="3"/>
  <c r="F37" i="3" s="1"/>
  <c r="H37" i="3" s="1"/>
  <c r="J37" i="3" s="1"/>
  <c r="AJ236" i="6" s="1"/>
  <c r="AJ238" i="6" s="1"/>
  <c r="AJ239" i="6" s="1"/>
  <c r="F2" i="20" l="1"/>
  <c r="F14" i="20" s="1"/>
  <c r="C2" i="20"/>
  <c r="C18" i="20" s="1"/>
  <c r="C19" i="20" s="1"/>
  <c r="N4" i="17"/>
  <c r="U8" i="16"/>
  <c r="M37" i="3"/>
  <c r="K37" i="3"/>
  <c r="N37" i="3" s="1"/>
  <c r="D35" i="17" l="1"/>
  <c r="F35" i="17" s="1"/>
  <c r="I4" i="19"/>
  <c r="K4" i="23"/>
  <c r="I4" i="24"/>
  <c r="H8" i="17"/>
  <c r="K4" i="21"/>
  <c r="D37" i="17"/>
  <c r="F37" i="17" s="1"/>
  <c r="J37" i="17" s="1"/>
  <c r="M37" i="17" s="1"/>
  <c r="F21" i="17"/>
  <c r="F14" i="17"/>
  <c r="I3" i="19"/>
  <c r="K3" i="21"/>
  <c r="F19" i="17"/>
  <c r="I3" i="22"/>
  <c r="F17" i="17"/>
  <c r="I3" i="24"/>
  <c r="K3" i="23"/>
  <c r="F13" i="17"/>
  <c r="F18" i="20"/>
  <c r="G13" i="19" s="1"/>
  <c r="F15" i="20"/>
  <c r="N5" i="17"/>
  <c r="I5" i="24" l="1"/>
  <c r="H12" i="24" s="1"/>
  <c r="K5" i="23"/>
  <c r="K56" i="23" s="1"/>
  <c r="O37" i="17"/>
  <c r="N37" i="17"/>
  <c r="I4" i="22"/>
  <c r="I5" i="22" s="1"/>
  <c r="I5" i="19"/>
  <c r="K5" i="2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J13" i="17" s="1"/>
  <c r="M13" i="17" s="1"/>
  <c r="H42" i="17"/>
  <c r="M42" i="17" s="1"/>
  <c r="H21" i="17"/>
  <c r="J21" i="17" s="1"/>
  <c r="H41" i="17"/>
  <c r="M41" i="17" s="1"/>
  <c r="H9" i="17"/>
  <c r="H17" i="17"/>
  <c r="J17" i="17" s="1"/>
  <c r="M17" i="17" s="1"/>
  <c r="H44" i="17"/>
  <c r="M44" i="17" s="1"/>
  <c r="H34" i="17"/>
  <c r="J34" i="17" s="1"/>
  <c r="M34" i="17" s="1"/>
  <c r="H25" i="17"/>
  <c r="J25" i="17" s="1"/>
  <c r="M25" i="17" s="1"/>
  <c r="H14" i="17"/>
  <c r="J14" i="17" s="1"/>
  <c r="M14" i="17" s="1"/>
  <c r="H33" i="17"/>
  <c r="J33" i="17" s="1"/>
  <c r="M33" i="17" s="1"/>
  <c r="H23" i="17"/>
  <c r="H40" i="17"/>
  <c r="M40" i="17" s="1"/>
  <c r="H30" i="17"/>
  <c r="J30" i="17" s="1"/>
  <c r="M30" i="17" s="1"/>
  <c r="H19" i="17"/>
  <c r="J19" i="17" s="1"/>
  <c r="H38" i="17"/>
  <c r="J38" i="17" s="1"/>
  <c r="M38" i="17" s="1"/>
  <c r="O24" i="17"/>
  <c r="N39" i="17"/>
  <c r="N24" i="17"/>
  <c r="O39" i="17"/>
  <c r="F19" i="20"/>
  <c r="E236" i="6"/>
  <c r="E243" i="6"/>
  <c r="E244" i="6" s="1"/>
  <c r="I9" i="24" l="1"/>
  <c r="H10" i="24"/>
  <c r="K44" i="23"/>
  <c r="J15" i="23"/>
  <c r="K67" i="23"/>
  <c r="J51" i="23"/>
  <c r="J40" i="23"/>
  <c r="J13" i="23"/>
  <c r="K29" i="23"/>
  <c r="K19" i="23"/>
  <c r="J54" i="23"/>
  <c r="K69" i="23"/>
  <c r="J58" i="23"/>
  <c r="K32" i="23"/>
  <c r="J29" i="23"/>
  <c r="K58" i="23"/>
  <c r="K68" i="23"/>
  <c r="K15" i="23"/>
  <c r="K41" i="23"/>
  <c r="J52" i="23"/>
  <c r="K55" i="23"/>
  <c r="J57" i="23"/>
  <c r="K38" i="23"/>
  <c r="K25" i="23"/>
  <c r="K50" i="23"/>
  <c r="J24" i="23"/>
  <c r="K43" i="23"/>
  <c r="J19" i="23"/>
  <c r="J59" i="23"/>
  <c r="K37" i="23"/>
  <c r="J71" i="23"/>
  <c r="J65" i="23"/>
  <c r="J20" i="23"/>
  <c r="J68" i="23"/>
  <c r="K46" i="23"/>
  <c r="J31" i="23"/>
  <c r="K34" i="23"/>
  <c r="K35" i="23"/>
  <c r="K36" i="23"/>
  <c r="J45" i="23"/>
  <c r="K23" i="23"/>
  <c r="K63" i="23"/>
  <c r="J16" i="23"/>
  <c r="J17" i="23"/>
  <c r="J34" i="23"/>
  <c r="J22" i="23"/>
  <c r="J62" i="23"/>
  <c r="K40" i="23"/>
  <c r="K10" i="23"/>
  <c r="J50" i="23"/>
  <c r="J27" i="23"/>
  <c r="J67" i="23"/>
  <c r="K53" i="23"/>
  <c r="K49" i="23"/>
  <c r="K51" i="23"/>
  <c r="J36" i="23"/>
  <c r="K14" i="23"/>
  <c r="K54" i="23"/>
  <c r="K33" i="23"/>
  <c r="K66" i="23"/>
  <c r="K59" i="23"/>
  <c r="J12" i="23"/>
  <c r="J53" i="23"/>
  <c r="K31" i="23"/>
  <c r="J23" i="23"/>
  <c r="J48" i="23"/>
  <c r="J49" i="23"/>
  <c r="K28" i="23"/>
  <c r="J30" i="23"/>
  <c r="J70" i="23"/>
  <c r="K64" i="23"/>
  <c r="I13" i="24"/>
  <c r="J39" i="23"/>
  <c r="J25" i="23"/>
  <c r="K20" i="23"/>
  <c r="J35" i="23"/>
  <c r="K21" i="23"/>
  <c r="K61" i="23"/>
  <c r="J32" i="23"/>
  <c r="K12" i="23"/>
  <c r="J44" i="23"/>
  <c r="K22" i="23"/>
  <c r="K70" i="23"/>
  <c r="K65" i="23"/>
  <c r="J33" i="23"/>
  <c r="J42" i="23"/>
  <c r="J21" i="23"/>
  <c r="J61" i="23"/>
  <c r="K47" i="23"/>
  <c r="J55" i="23"/>
  <c r="J56" i="23"/>
  <c r="K27" i="23"/>
  <c r="K60" i="23"/>
  <c r="J38" i="23"/>
  <c r="K24" i="23"/>
  <c r="H15" i="24"/>
  <c r="I10" i="24"/>
  <c r="K17" i="23"/>
  <c r="K42" i="23"/>
  <c r="J10" i="23"/>
  <c r="J11" i="23"/>
  <c r="J43" i="23"/>
  <c r="K13" i="23"/>
  <c r="K45" i="23"/>
  <c r="J47" i="23"/>
  <c r="K18" i="23"/>
  <c r="J26" i="23"/>
  <c r="J28" i="23"/>
  <c r="J60" i="23"/>
  <c r="K30" i="23"/>
  <c r="K62" i="23"/>
  <c r="J63" i="23"/>
  <c r="J64" i="23"/>
  <c r="J41" i="23"/>
  <c r="J18" i="23"/>
  <c r="K52" i="23"/>
  <c r="J37" i="23"/>
  <c r="J69" i="23"/>
  <c r="K39" i="23"/>
  <c r="K71" i="23"/>
  <c r="K57" i="23"/>
  <c r="K26" i="23"/>
  <c r="K11" i="23"/>
  <c r="J66" i="23"/>
  <c r="J14" i="23"/>
  <c r="J46" i="23"/>
  <c r="K16" i="23"/>
  <c r="K48" i="23"/>
  <c r="H13" i="24"/>
  <c r="M19" i="17"/>
  <c r="N19" i="17" s="1"/>
  <c r="H9" i="24"/>
  <c r="I14" i="24"/>
  <c r="H11" i="24"/>
  <c r="I11" i="24"/>
  <c r="I12" i="24"/>
  <c r="H14" i="24"/>
  <c r="I15" i="24"/>
  <c r="O47" i="17"/>
  <c r="N47" i="17"/>
  <c r="O38" i="17"/>
  <c r="N38" i="17"/>
  <c r="N31" i="17"/>
  <c r="O31" i="17"/>
  <c r="I13" i="19"/>
  <c r="H13" i="19"/>
  <c r="N34" i="17"/>
  <c r="O34" i="17"/>
  <c r="N43" i="17"/>
  <c r="O43" i="17"/>
  <c r="H45" i="22"/>
  <c r="H30" i="22"/>
  <c r="H23" i="22"/>
  <c r="H16" i="22"/>
  <c r="H44" i="22"/>
  <c r="H26" i="22"/>
  <c r="I42" i="22"/>
  <c r="I20" i="22"/>
  <c r="I11" i="22"/>
  <c r="I34" i="22"/>
  <c r="I16" i="22"/>
  <c r="I43" i="22"/>
  <c r="H14" i="22"/>
  <c r="I10" i="22"/>
  <c r="H46" i="22"/>
  <c r="H17" i="22"/>
  <c r="H42" i="22"/>
  <c r="I12" i="22"/>
  <c r="I46" i="22"/>
  <c r="H37" i="22"/>
  <c r="H22" i="22"/>
  <c r="H15" i="22"/>
  <c r="H35" i="22"/>
  <c r="H36" i="22"/>
  <c r="H18" i="22"/>
  <c r="I50" i="22"/>
  <c r="I28" i="22"/>
  <c r="I19" i="22"/>
  <c r="I44" i="22"/>
  <c r="I24" i="22"/>
  <c r="I27" i="22"/>
  <c r="H13" i="22"/>
  <c r="H25" i="22"/>
  <c r="H48" i="22"/>
  <c r="H38" i="22"/>
  <c r="H12" i="22"/>
  <c r="I41" i="22"/>
  <c r="I33" i="22"/>
  <c r="H40" i="22"/>
  <c r="I45" i="22"/>
  <c r="I22" i="22"/>
  <c r="H29" i="22"/>
  <c r="H49" i="22"/>
  <c r="H34" i="22"/>
  <c r="H19" i="22"/>
  <c r="H28" i="22"/>
  <c r="I48" i="22"/>
  <c r="I15" i="22"/>
  <c r="I36" i="22"/>
  <c r="I9" i="22"/>
  <c r="I32" i="22"/>
  <c r="I21" i="22"/>
  <c r="I49" i="22"/>
  <c r="H24" i="22"/>
  <c r="I26" i="22"/>
  <c r="H21" i="22"/>
  <c r="H41" i="22"/>
  <c r="H10" i="22"/>
  <c r="H11" i="22"/>
  <c r="H20" i="22"/>
  <c r="I13" i="22"/>
  <c r="I23" i="22"/>
  <c r="I17" i="22"/>
  <c r="I35" i="22"/>
  <c r="I25" i="22"/>
  <c r="I40" i="22"/>
  <c r="I31" i="22"/>
  <c r="H43" i="22"/>
  <c r="H9" i="22"/>
  <c r="H47" i="22"/>
  <c r="I29" i="22"/>
  <c r="I39" i="22"/>
  <c r="I30" i="22"/>
  <c r="H31" i="22"/>
  <c r="H27" i="22"/>
  <c r="H39" i="22"/>
  <c r="H32" i="22"/>
  <c r="H33" i="22"/>
  <c r="H50" i="22"/>
  <c r="I37" i="22"/>
  <c r="I47" i="22"/>
  <c r="I14" i="22"/>
  <c r="I18" i="22"/>
  <c r="I38" i="22"/>
  <c r="M21" i="17"/>
  <c r="I22" i="19"/>
  <c r="I23" i="19"/>
  <c r="H24" i="19"/>
  <c r="H22" i="19"/>
  <c r="I24" i="19"/>
  <c r="I25" i="19"/>
  <c r="H17" i="19"/>
  <c r="H25" i="19"/>
  <c r="I17" i="19"/>
  <c r="H23" i="19"/>
  <c r="O32" i="17"/>
  <c r="N32" i="17"/>
  <c r="O33" i="17"/>
  <c r="N33" i="17"/>
  <c r="F9" i="21"/>
  <c r="K12" i="21"/>
  <c r="J11" i="21"/>
  <c r="J12" i="21"/>
  <c r="K11" i="21"/>
  <c r="F10" i="21"/>
  <c r="F8" i="21"/>
  <c r="J13" i="21"/>
  <c r="K13" i="21"/>
  <c r="J14" i="21"/>
  <c r="K14" i="21"/>
  <c r="N25" i="17"/>
  <c r="O25" i="17"/>
  <c r="N10" i="17"/>
  <c r="O10" i="17"/>
  <c r="N30" i="17"/>
  <c r="O30" i="17"/>
  <c r="O17" i="17"/>
  <c r="N17" i="17"/>
  <c r="N26" i="17"/>
  <c r="O26" i="17"/>
  <c r="O28" i="17"/>
  <c r="N28" i="17"/>
  <c r="O42" i="17"/>
  <c r="N42" i="17"/>
  <c r="O13" i="17"/>
  <c r="N13" i="17"/>
  <c r="N44" i="17"/>
  <c r="O44" i="17"/>
  <c r="N40" i="17"/>
  <c r="O40" i="17"/>
  <c r="N35" i="17"/>
  <c r="O35" i="17"/>
  <c r="O27" i="17"/>
  <c r="N27" i="17"/>
  <c r="N14" i="17"/>
  <c r="O14" i="17"/>
  <c r="O41" i="17"/>
  <c r="N41" i="17"/>
  <c r="O46" i="17"/>
  <c r="N46" i="17"/>
  <c r="J9" i="23" l="1"/>
  <c r="K9" i="23"/>
  <c r="O19" i="17"/>
  <c r="H20" i="24"/>
  <c r="I20" i="24"/>
  <c r="H26" i="19"/>
  <c r="I51" i="22"/>
  <c r="O21" i="17"/>
  <c r="N21" i="17"/>
  <c r="I26" i="19"/>
  <c r="I8" i="21"/>
  <c r="F18" i="21"/>
  <c r="F15" i="21"/>
  <c r="I15" i="21" s="1"/>
  <c r="I10" i="21"/>
  <c r="F17" i="21"/>
  <c r="I17" i="21" s="1"/>
  <c r="H51" i="22"/>
  <c r="I9" i="21"/>
  <c r="F16" i="21"/>
  <c r="I16" i="21" s="1"/>
  <c r="F29" i="10"/>
  <c r="K16" i="21" l="1"/>
  <c r="J16" i="21"/>
  <c r="K9" i="21"/>
  <c r="J9" i="21"/>
  <c r="F20" i="21"/>
  <c r="I18" i="21"/>
  <c r="I19" i="21"/>
  <c r="F19" i="21"/>
  <c r="J17" i="21"/>
  <c r="K17" i="21"/>
  <c r="G16" i="19"/>
  <c r="K8" i="21"/>
  <c r="J8" i="21"/>
  <c r="K10" i="21"/>
  <c r="J10" i="21"/>
  <c r="G19" i="19"/>
  <c r="K15" i="21"/>
  <c r="J15" i="21"/>
  <c r="U69" i="16"/>
  <c r="U242" i="16"/>
  <c r="F26" i="10"/>
  <c r="F25" i="10"/>
  <c r="F24" i="10"/>
  <c r="F19" i="10"/>
  <c r="F18" i="10"/>
  <c r="I20" i="21" l="1"/>
  <c r="F21" i="21"/>
  <c r="I21" i="21" s="1"/>
  <c r="K19" i="21"/>
  <c r="J19" i="21"/>
  <c r="H16" i="19"/>
  <c r="I16" i="19"/>
  <c r="K18" i="21"/>
  <c r="J18" i="21"/>
  <c r="I19" i="19"/>
  <c r="H19" i="19"/>
  <c r="I25" i="21" l="1"/>
  <c r="G18" i="19"/>
  <c r="G20" i="19" s="1"/>
  <c r="J21" i="21"/>
  <c r="K21" i="21"/>
  <c r="K20" i="21"/>
  <c r="J20" i="21"/>
  <c r="U237" i="16"/>
  <c r="J25" i="21" l="1"/>
  <c r="H18" i="19"/>
  <c r="H20" i="19" s="1"/>
  <c r="I18" i="19"/>
  <c r="I20" i="19" s="1"/>
  <c r="K25" i="21"/>
  <c r="I6" i="19" l="1"/>
  <c r="I8" i="19" s="1"/>
  <c r="O5" i="18" l="1"/>
  <c r="G5" i="10"/>
  <c r="F5" i="4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U229" i="16"/>
  <c r="U73" i="16" l="1"/>
  <c r="D34" i="10"/>
  <c r="G34" i="10" s="1"/>
  <c r="AJ17" i="6" s="1"/>
  <c r="D33" i="10"/>
  <c r="G33" i="10" s="1"/>
  <c r="AI17" i="6" s="1"/>
  <c r="D32" i="10"/>
  <c r="G32" i="10" s="1"/>
  <c r="AH17" i="6" s="1"/>
  <c r="D31" i="10"/>
  <c r="G31" i="10" s="1"/>
  <c r="AG17" i="6" s="1"/>
  <c r="D30" i="10"/>
  <c r="G30" i="10" s="1"/>
  <c r="AF17" i="6" s="1"/>
  <c r="D29" i="10"/>
  <c r="G29" i="10" s="1"/>
  <c r="AE17" i="6" s="1"/>
  <c r="D28" i="10"/>
  <c r="G28" i="10" s="1"/>
  <c r="D27" i="10"/>
  <c r="G26" i="10"/>
  <c r="AB17" i="6" s="1"/>
  <c r="G25" i="10"/>
  <c r="AA17" i="6" s="1"/>
  <c r="D24" i="10"/>
  <c r="G24" i="10" s="1"/>
  <c r="Z17" i="6" s="1"/>
  <c r="D23" i="10"/>
  <c r="G23" i="10" s="1"/>
  <c r="Y17" i="6" s="1"/>
  <c r="D22" i="10"/>
  <c r="G22" i="10" s="1"/>
  <c r="X17" i="6" s="1"/>
  <c r="X18" i="6" s="1"/>
  <c r="D21" i="10"/>
  <c r="G21" i="10" s="1"/>
  <c r="W17" i="6" s="1"/>
  <c r="D20" i="10"/>
  <c r="G20" i="10" s="1"/>
  <c r="V17" i="6" s="1"/>
  <c r="V18" i="6" s="1"/>
  <c r="D19" i="10"/>
  <c r="G19" i="10" s="1"/>
  <c r="U17" i="6" s="1"/>
  <c r="D18" i="10"/>
  <c r="G18" i="10" s="1"/>
  <c r="T17" i="6" s="1"/>
  <c r="T18" i="6" s="1"/>
  <c r="T78" i="6" s="1"/>
  <c r="D17" i="10"/>
  <c r="G17" i="10" s="1"/>
  <c r="S17" i="6" s="1"/>
  <c r="S18" i="6" s="1"/>
  <c r="D16" i="10"/>
  <c r="G16" i="10" s="1"/>
  <c r="R17" i="6" s="1"/>
  <c r="R18" i="6" s="1"/>
  <c r="D15" i="10"/>
  <c r="G15" i="10" s="1"/>
  <c r="Q17" i="6" s="1"/>
  <c r="Q18" i="6" s="1"/>
  <c r="D14" i="10"/>
  <c r="G14" i="10" s="1"/>
  <c r="P17" i="6" s="1"/>
  <c r="P18" i="6" s="1"/>
  <c r="D13" i="10"/>
  <c r="G13" i="10" s="1"/>
  <c r="O17" i="6" s="1"/>
  <c r="O18" i="6" s="1"/>
  <c r="O78" i="6" s="1"/>
  <c r="D12" i="10"/>
  <c r="G12" i="10" s="1"/>
  <c r="N17" i="6" s="1"/>
  <c r="N18" i="6" s="1"/>
  <c r="N78" i="6" s="1"/>
  <c r="D11" i="10"/>
  <c r="G11" i="10" s="1"/>
  <c r="M17" i="6" s="1"/>
  <c r="D10" i="10"/>
  <c r="G10" i="10" s="1"/>
  <c r="L17" i="6" s="1"/>
  <c r="L18" i="6" s="1"/>
  <c r="D9" i="10"/>
  <c r="G9" i="10" s="1"/>
  <c r="D8" i="10"/>
  <c r="G8" i="10" s="1"/>
  <c r="J17" i="6" s="1"/>
  <c r="D7" i="10"/>
  <c r="G7" i="10" s="1"/>
  <c r="I17" i="6" s="1"/>
  <c r="D6" i="10"/>
  <c r="G6" i="10" s="1"/>
  <c r="X57" i="6" l="1"/>
  <c r="X78" i="6"/>
  <c r="X79" i="6" s="1"/>
  <c r="V78" i="6"/>
  <c r="V79" i="6" s="1"/>
  <c r="V57" i="6"/>
  <c r="W78" i="6"/>
  <c r="W79" i="6" s="1"/>
  <c r="W57" i="6"/>
  <c r="U57" i="6"/>
  <c r="U78" i="6"/>
  <c r="U79" i="6" s="1"/>
  <c r="T57" i="6"/>
  <c r="T79" i="6"/>
  <c r="S57" i="6"/>
  <c r="S78" i="6"/>
  <c r="S79" i="6" s="1"/>
  <c r="R57" i="6"/>
  <c r="R78" i="6"/>
  <c r="R79" i="6" s="1"/>
  <c r="Q57" i="6"/>
  <c r="Q78" i="6"/>
  <c r="Q79" i="6" s="1"/>
  <c r="P57" i="6"/>
  <c r="P78" i="6"/>
  <c r="P79" i="6" s="1"/>
  <c r="O57" i="6"/>
  <c r="O79" i="6"/>
  <c r="N57" i="6"/>
  <c r="N79" i="6"/>
  <c r="M57" i="6"/>
  <c r="M78" i="6"/>
  <c r="M79" i="6" s="1"/>
  <c r="L57" i="6"/>
  <c r="L78" i="6"/>
  <c r="L79" i="6" s="1"/>
  <c r="J79" i="6"/>
  <c r="I57" i="6"/>
  <c r="P56" i="16" s="1"/>
  <c r="I79" i="6"/>
  <c r="AL18" i="6"/>
  <c r="G27" i="10"/>
  <c r="AC17" i="6" s="1"/>
  <c r="D16" i="17"/>
  <c r="F16" i="17" s="1"/>
  <c r="J16" i="17" s="1"/>
  <c r="M16" i="17" s="1"/>
  <c r="D9" i="17"/>
  <c r="F9" i="17" s="1"/>
  <c r="J9" i="17" s="1"/>
  <c r="M9" i="17" s="1"/>
  <c r="AL78" i="6" l="1"/>
  <c r="F18" i="31"/>
  <c r="AL15" i="6"/>
  <c r="P17" i="16" s="1"/>
  <c r="P19" i="16"/>
  <c r="AL57" i="6"/>
  <c r="N9" i="17"/>
  <c r="O9" i="17"/>
  <c r="O16" i="17"/>
  <c r="N16" i="17"/>
  <c r="U27" i="16"/>
  <c r="AIU17" i="16"/>
  <c r="AIV17" i="16" s="1"/>
  <c r="S17" i="16" l="1"/>
  <c r="U17" i="16"/>
  <c r="T17" i="16"/>
  <c r="AL13" i="6"/>
  <c r="AL14" i="6"/>
  <c r="AL79" i="6"/>
  <c r="P75" i="16"/>
  <c r="O75" i="16"/>
  <c r="S19" i="16"/>
  <c r="F67" i="31"/>
  <c r="G67" i="31" s="1"/>
  <c r="O56" i="16"/>
  <c r="G18" i="31"/>
  <c r="F47" i="31"/>
  <c r="G47" i="31" s="1"/>
  <c r="U11" i="16"/>
  <c r="U74" i="16" s="1"/>
  <c r="AIU8" i="16"/>
  <c r="AIV8" i="16" s="1"/>
  <c r="AW11" i="16"/>
  <c r="ON15" i="16"/>
  <c r="ON17" i="16" s="1"/>
  <c r="U25" i="16"/>
  <c r="D9" i="4"/>
  <c r="F9" i="4" s="1"/>
  <c r="S56" i="16" l="1"/>
  <c r="Y19" i="16"/>
  <c r="P15" i="16"/>
  <c r="G14" i="31"/>
  <c r="P16" i="16"/>
  <c r="S16" i="16" s="1"/>
  <c r="G15" i="31"/>
  <c r="S75" i="16"/>
  <c r="AW74" i="16"/>
  <c r="AW70" i="16"/>
  <c r="ON18" i="16"/>
  <c r="ON20" i="16"/>
  <c r="S15" i="16" l="1"/>
  <c r="T15" i="16"/>
  <c r="U15" i="16"/>
  <c r="T16" i="16"/>
  <c r="U16" i="16"/>
  <c r="S16" i="8" l="1"/>
  <c r="U76" i="16" l="1"/>
  <c r="U77" i="16" s="1"/>
  <c r="U228" i="16" l="1"/>
  <c r="S53" i="16" l="1"/>
  <c r="U50" i="16"/>
  <c r="U48" i="16" l="1"/>
  <c r="OO15" i="16"/>
  <c r="OO17" i="16" s="1"/>
  <c r="S18" i="8"/>
  <c r="R21" i="8"/>
  <c r="OO20" i="16" l="1"/>
  <c r="OO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23" i="17" l="1"/>
  <c r="F23" i="17" s="1"/>
  <c r="J23" i="17" s="1"/>
  <c r="M23" i="17" s="1"/>
  <c r="E41" i="6"/>
  <c r="T257" i="16" l="1"/>
  <c r="D10" i="18"/>
  <c r="F10" i="18" s="1"/>
  <c r="D13" i="18"/>
  <c r="F13" i="18" s="1"/>
  <c r="J13" i="18" s="1"/>
  <c r="M13" i="18" s="1"/>
  <c r="T258" i="16"/>
  <c r="D11" i="18"/>
  <c r="F11" i="18" s="1"/>
  <c r="N23" i="17"/>
  <c r="O23" i="17"/>
  <c r="D20" i="17"/>
  <c r="F20" i="17" s="1"/>
  <c r="J20" i="17" s="1"/>
  <c r="U238" i="16"/>
  <c r="U246" i="16"/>
  <c r="U248" i="16"/>
  <c r="U235" i="16"/>
  <c r="T261" i="16"/>
  <c r="T260" i="16"/>
  <c r="T255" i="16"/>
  <c r="D8" i="18"/>
  <c r="F8" i="18" s="1"/>
  <c r="J8" i="18" s="1"/>
  <c r="M8" i="18" s="1"/>
  <c r="T254" i="16" l="1"/>
  <c r="J11" i="18"/>
  <c r="M11" i="18"/>
  <c r="N13" i="18"/>
  <c r="O13" i="18"/>
  <c r="M10" i="18"/>
  <c r="J10" i="18"/>
  <c r="O8" i="18"/>
  <c r="N8" i="18"/>
  <c r="M20" i="17"/>
  <c r="U244" i="16"/>
  <c r="AFQ244" i="16"/>
  <c r="U247" i="16"/>
  <c r="T49" i="16"/>
  <c r="U49" i="16"/>
  <c r="AFQ245" i="16"/>
  <c r="U245" i="16"/>
  <c r="U252" i="16"/>
  <c r="U251" i="16"/>
  <c r="M22" i="18" l="1"/>
  <c r="G12" i="19" s="1"/>
  <c r="I12" i="19" s="1"/>
  <c r="N10" i="18"/>
  <c r="O10" i="18"/>
  <c r="O11" i="18"/>
  <c r="N11" i="18"/>
  <c r="N20" i="17"/>
  <c r="O20" i="17"/>
  <c r="U39" i="16"/>
  <c r="U239" i="16"/>
  <c r="U240" i="16"/>
  <c r="AIU11" i="16"/>
  <c r="AIV11" i="16" s="1"/>
  <c r="U20" i="16"/>
  <c r="U40" i="16"/>
  <c r="H12" i="19" l="1"/>
  <c r="O22" i="18"/>
  <c r="N22" i="18"/>
  <c r="U19" i="16"/>
  <c r="U75" i="16"/>
  <c r="E22" i="3"/>
  <c r="F22" i="3" s="1"/>
  <c r="H22" i="3" s="1"/>
  <c r="J22" i="3" s="1"/>
  <c r="U236" i="6" s="1"/>
  <c r="U238" i="6" s="1"/>
  <c r="U239" i="6" s="1"/>
  <c r="E23" i="3"/>
  <c r="F23" i="3" s="1"/>
  <c r="H23" i="3" s="1"/>
  <c r="J23" i="3" s="1"/>
  <c r="V236" i="6" s="1"/>
  <c r="V238" i="6" s="1"/>
  <c r="V239" i="6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Y236" i="6" s="1"/>
  <c r="E27" i="3"/>
  <c r="F27" i="3" s="1"/>
  <c r="H27" i="3" s="1"/>
  <c r="J27" i="3" s="1"/>
  <c r="Z236" i="6" s="1"/>
  <c r="Z238" i="6" s="1"/>
  <c r="Z239" i="6" s="1"/>
  <c r="E30" i="3"/>
  <c r="F30" i="3" s="1"/>
  <c r="H30" i="3" s="1"/>
  <c r="J30" i="3" s="1"/>
  <c r="AC236" i="6" s="1"/>
  <c r="AC238" i="6" s="1"/>
  <c r="AC239" i="6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AF236" i="6" s="1"/>
  <c r="AF238" i="6" s="1"/>
  <c r="AF239" i="6" s="1"/>
  <c r="E34" i="3"/>
  <c r="F34" i="3" s="1"/>
  <c r="H34" i="3" s="1"/>
  <c r="J34" i="3" s="1"/>
  <c r="AG236" i="6" s="1"/>
  <c r="AG238" i="6" s="1"/>
  <c r="AG239" i="6" s="1"/>
  <c r="E35" i="3"/>
  <c r="F35" i="3" s="1"/>
  <c r="H35" i="3" s="1"/>
  <c r="J35" i="3" s="1"/>
  <c r="AH236" i="6" s="1"/>
  <c r="AH238" i="6" s="1"/>
  <c r="AH239" i="6" s="1"/>
  <c r="E36" i="3"/>
  <c r="F36" i="3" s="1"/>
  <c r="H36" i="3" s="1"/>
  <c r="J36" i="3" s="1"/>
  <c r="AI236" i="6" s="1"/>
  <c r="AI238" i="6" s="1"/>
  <c r="AI239" i="6" s="1"/>
  <c r="Y238" i="6" l="1"/>
  <c r="Y239" i="6" s="1"/>
  <c r="AW20" i="16"/>
  <c r="AW19" i="16" s="1"/>
  <c r="U38" i="16"/>
  <c r="K24" i="3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M25" i="3"/>
  <c r="D8" i="4" l="1"/>
  <c r="F8" i="4" s="1"/>
  <c r="D7" i="4"/>
  <c r="F7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D16" i="4"/>
  <c r="D17" i="4"/>
  <c r="F17" i="4" s="1"/>
  <c r="D18" i="4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6" i="4"/>
  <c r="F6" i="4" s="1"/>
  <c r="F15" i="4" l="1"/>
  <c r="F18" i="4"/>
  <c r="F16" i="4"/>
  <c r="D8" i="17" l="1"/>
  <c r="F8" i="17" s="1"/>
  <c r="J8" i="17" s="1"/>
  <c r="M8" i="17" s="1"/>
  <c r="O8" i="17" l="1"/>
  <c r="N8" i="17"/>
  <c r="L38" i="3"/>
  <c r="I38" i="3"/>
  <c r="C49" i="3" s="1"/>
  <c r="E21" i="3"/>
  <c r="F21" i="3" s="1"/>
  <c r="H21" i="3" s="1"/>
  <c r="J21" i="3" s="1"/>
  <c r="E20" i="3"/>
  <c r="F20" i="3" s="1"/>
  <c r="H20" i="3" s="1"/>
  <c r="J20" i="3" s="1"/>
  <c r="S236" i="6" s="1"/>
  <c r="S238" i="6" s="1"/>
  <c r="S239" i="6" s="1"/>
  <c r="E19" i="3"/>
  <c r="F19" i="3" s="1"/>
  <c r="H19" i="3" s="1"/>
  <c r="J19" i="3" s="1"/>
  <c r="E17" i="3"/>
  <c r="F17" i="3" s="1"/>
  <c r="H17" i="3" s="1"/>
  <c r="J17" i="3" s="1"/>
  <c r="P236" i="6" s="1"/>
  <c r="P238" i="6" s="1"/>
  <c r="P239" i="6" s="1"/>
  <c r="E16" i="3"/>
  <c r="F16" i="3" s="1"/>
  <c r="H16" i="3" s="1"/>
  <c r="J16" i="3" s="1"/>
  <c r="O236" i="6" s="1"/>
  <c r="O238" i="6" s="1"/>
  <c r="O239" i="6" s="1"/>
  <c r="E15" i="3"/>
  <c r="F15" i="3" s="1"/>
  <c r="H15" i="3" s="1"/>
  <c r="J15" i="3" s="1"/>
  <c r="E14" i="3"/>
  <c r="F14" i="3" s="1"/>
  <c r="H14" i="3" s="1"/>
  <c r="J14" i="3" s="1"/>
  <c r="E13" i="3"/>
  <c r="F13" i="3" s="1"/>
  <c r="H13" i="3" s="1"/>
  <c r="J13" i="3" s="1"/>
  <c r="L236" i="6" s="1"/>
  <c r="L238" i="6" s="1"/>
  <c r="L239" i="6" s="1"/>
  <c r="E12" i="3"/>
  <c r="F12" i="3" s="1"/>
  <c r="H12" i="3" s="1"/>
  <c r="J12" i="3" s="1"/>
  <c r="E11" i="3"/>
  <c r="F11" i="3" s="1"/>
  <c r="H11" i="3" s="1"/>
  <c r="J11" i="3" s="1"/>
  <c r="J236" i="6" s="1"/>
  <c r="J238" i="6" s="1"/>
  <c r="J239" i="6" s="1"/>
  <c r="E10" i="3"/>
  <c r="F10" i="3" s="1"/>
  <c r="H10" i="3" s="1"/>
  <c r="J10" i="3" s="1"/>
  <c r="I236" i="6" s="1"/>
  <c r="E9" i="3"/>
  <c r="F9" i="3" s="1"/>
  <c r="H9" i="3" s="1"/>
  <c r="J9" i="3" s="1"/>
  <c r="H236" i="6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236" i="6"/>
  <c r="N238" i="6" s="1"/>
  <c r="N239" i="6" s="1"/>
  <c r="I238" i="6"/>
  <c r="I239" i="6"/>
  <c r="H238" i="6"/>
  <c r="AL236" i="6"/>
  <c r="P231" i="16" s="1"/>
  <c r="M9" i="3"/>
  <c r="K9" i="3"/>
  <c r="N9" i="3" s="1"/>
  <c r="M16" i="3"/>
  <c r="K16" i="3"/>
  <c r="N16" i="3" s="1"/>
  <c r="K21" i="3"/>
  <c r="N21" i="3" s="1"/>
  <c r="M21" i="3"/>
  <c r="M10" i="3"/>
  <c r="K10" i="3"/>
  <c r="N10" i="3" s="1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N15" i="3"/>
  <c r="M20" i="3"/>
  <c r="K20" i="3"/>
  <c r="N20" i="3" s="1"/>
  <c r="C39" i="3"/>
  <c r="E39" i="3"/>
  <c r="AL237" i="6" l="1"/>
  <c r="S231" i="16"/>
  <c r="G14" i="33"/>
  <c r="I14" i="32"/>
  <c r="H239" i="6"/>
  <c r="AL239" i="6" s="1"/>
  <c r="P233" i="16" s="1"/>
  <c r="AL238" i="6"/>
  <c r="P232" i="16" s="1"/>
  <c r="G45" i="3"/>
  <c r="C44" i="3"/>
  <c r="C46" i="3" s="1"/>
  <c r="C48" i="3" s="1"/>
  <c r="C50" i="3" s="1"/>
  <c r="F44" i="3"/>
  <c r="F46" i="3" s="1"/>
  <c r="H39" i="3"/>
  <c r="H41" i="3" s="1"/>
  <c r="H38" i="3"/>
  <c r="G13" i="33" l="1"/>
  <c r="S232" i="16"/>
  <c r="S233" i="16" s="1"/>
  <c r="H14" i="33"/>
  <c r="G30" i="33"/>
  <c r="H30" i="33" s="1"/>
  <c r="I15" i="32"/>
  <c r="K14" i="32"/>
  <c r="J14" i="32"/>
  <c r="D12" i="17"/>
  <c r="F12" i="17" s="1"/>
  <c r="J12" i="17" s="1"/>
  <c r="M12" i="17" s="1"/>
  <c r="M48" i="17" s="1"/>
  <c r="U231" i="16"/>
  <c r="J39" i="3"/>
  <c r="J41" i="3" s="1"/>
  <c r="J38" i="3"/>
  <c r="M38" i="3"/>
  <c r="K15" i="32" l="1"/>
  <c r="K16" i="32" s="1"/>
  <c r="J15" i="32"/>
  <c r="G29" i="33"/>
  <c r="H29" i="33" s="1"/>
  <c r="H13" i="33"/>
  <c r="O12" i="17"/>
  <c r="O48" i="17" s="1"/>
  <c r="N12" i="17"/>
  <c r="N48" i="17" s="1"/>
  <c r="K38" i="3"/>
  <c r="N38" i="3"/>
  <c r="U232" i="16" l="1"/>
  <c r="U233" i="16"/>
  <c r="G11" i="19" l="1"/>
  <c r="G14" i="19" l="1"/>
  <c r="G28" i="19" s="1"/>
  <c r="H11" i="19"/>
  <c r="H14" i="19" s="1"/>
  <c r="H28" i="19" s="1"/>
  <c r="I11" i="19" l="1"/>
  <c r="I14" i="19" s="1"/>
  <c r="I28" i="19" l="1"/>
  <c r="K14" i="19"/>
  <c r="K26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232" authorId="0" shapeId="0" xr:uid="{75AED280-F7B1-497A-9EB9-7E4015A784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Pakai LNG
Mulai Pukul 12.00 Siang </t>
        </r>
      </text>
    </comment>
    <comment ref="Z232" authorId="0" shapeId="0" xr:uid="{8F468FF3-C61E-48D9-9229-6E9C3A26AA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Closing Pakai LNG
Pada Pukul 24.00 WIB </t>
        </r>
      </text>
    </comment>
  </commentList>
</comments>
</file>

<file path=xl/sharedStrings.xml><?xml version="1.0" encoding="utf-8"?>
<sst xmlns="http://schemas.openxmlformats.org/spreadsheetml/2006/main" count="2797" uniqueCount="896">
  <si>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</si>
  <si>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</si>
  <si>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</si>
  <si>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</si>
  <si>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</si>
  <si>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</si>
  <si>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</si>
  <si>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</si>
  <si>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</si>
  <si>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</si>
  <si>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</si>
  <si>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</si>
  <si>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</si>
  <si>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</si>
  <si>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</si>
  <si>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</si>
  <si>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</si>
  <si>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</si>
  <si>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</si>
  <si>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</si>
  <si>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</si>
  <si>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</si>
  <si>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</si>
  <si>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</si>
  <si>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</si>
  <si>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</si>
  <si>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</si>
  <si>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</si>
  <si>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</si>
  <si>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</si>
  <si>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</si>
  <si>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</si>
  <si>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</si>
  <si>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</si>
  <si>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</si>
  <si>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</si>
  <si>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</si>
  <si>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</si>
  <si>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</si>
  <si>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</si>
  <si>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</si>
  <si>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</si>
  <si>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</si>
  <si>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</si>
  <si>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</si>
  <si>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</si>
  <si>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</si>
  <si>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</si>
  <si>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</si>
  <si>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</si>
  <si>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</si>
  <si>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</si>
  <si>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</si>
  <si>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</si>
  <si>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</si>
  <si>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</si>
  <si>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</si>
  <si>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</si>
  <si>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</si>
  <si>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</si>
  <si>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</si>
  <si>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</si>
  <si>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</si>
  <si>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</si>
  <si>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</si>
  <si>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</si>
  <si>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</si>
  <si>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</si>
  <si>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</si>
  <si>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</si>
  <si>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</si>
  <si>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</si>
  <si>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</si>
  <si>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</si>
  <si>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</si>
  <si>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</si>
  <si>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</si>
  <si>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</si>
  <si>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</si>
  <si>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</si>
  <si>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</si>
  <si>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</si>
  <si>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</si>
  <si>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</si>
  <si>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</si>
  <si>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</si>
  <si>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</si>
  <si>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</si>
  <si>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</si>
  <si>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</si>
  <si>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</si>
  <si>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</si>
  <si>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</si>
  <si>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</si>
  <si>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</si>
  <si>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</si>
  <si>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</si>
  <si>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</si>
  <si>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</si>
  <si>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</si>
  <si>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</si>
  <si>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</si>
  <si>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</si>
  <si>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</si>
  <si>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</si>
  <si>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</si>
  <si>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</si>
  <si>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</si>
  <si>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</si>
  <si>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</si>
  <si>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</si>
  <si>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</si>
  <si>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</si>
  <si>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</si>
  <si>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</si>
  <si>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</si>
  <si>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</si>
  <si>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</si>
  <si>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</si>
  <si>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</si>
  <si>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</si>
  <si>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</si>
  <si>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</si>
  <si>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</si>
  <si>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</si>
  <si>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</si>
  <si>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</si>
  <si>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</si>
  <si>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</si>
  <si>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</si>
  <si>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</si>
  <si>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</si>
  <si>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</si>
  <si>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</si>
  <si>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</si>
  <si>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</si>
  <si>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</si>
  <si>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</si>
  <si>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</si>
  <si>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</si>
  <si>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</si>
  <si>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</si>
  <si>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</si>
  <si>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r>
      <rPr>
        <b/>
        <sz val="11"/>
        <color theme="1"/>
        <rFont val="Arial"/>
        <family val="2"/>
      </rPr>
      <t>UNCORRECTED VOLUME (UV)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</si>
  <si>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</si>
  <si>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</si>
  <si>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</si>
  <si>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</si>
  <si>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</si>
  <si>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</si>
  <si>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</si>
  <si>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</si>
  <si>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</si>
  <si>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</si>
  <si>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</si>
  <si>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</si>
  <si>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</si>
  <si>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</si>
  <si>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</si>
  <si>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</si>
  <si>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</si>
  <si>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</si>
  <si>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</si>
  <si>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</si>
  <si>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</si>
  <si>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</si>
  <si>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</si>
  <si>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</si>
  <si>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</si>
  <si>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</si>
  <si>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</si>
  <si>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>Oil In Plant Refinery</t>
  </si>
  <si>
    <t xml:space="preserve">No 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</si>
  <si>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</si>
  <si>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</si>
  <si>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</si>
  <si>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</si>
  <si>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</si>
  <si>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</si>
  <si>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</si>
  <si>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</si>
  <si>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</si>
  <si>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</si>
  <si>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</si>
  <si>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</si>
  <si>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</si>
  <si>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</si>
  <si>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</si>
  <si>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</si>
  <si>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</si>
  <si>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</si>
  <si>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</si>
  <si>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</si>
  <si>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</si>
  <si>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</si>
  <si>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</si>
  <si>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</si>
  <si>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</si>
  <si>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</si>
  <si>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</si>
  <si>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</si>
  <si>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</si>
  <si>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</si>
  <si>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</si>
  <si>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</si>
  <si>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</si>
  <si>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</si>
  <si>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</si>
  <si>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</si>
  <si>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</si>
  <si>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</si>
  <si>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</si>
  <si>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</si>
  <si>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</si>
  <si>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</si>
  <si>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</si>
  <si>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</si>
  <si>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</si>
  <si>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</si>
  <si>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</si>
  <si>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>Oil In Plant Fract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</si>
  <si>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</si>
  <si>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</si>
  <si>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</si>
  <si>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</si>
  <si>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</si>
  <si>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</si>
  <si>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</si>
  <si>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</si>
  <si>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</si>
  <si>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</si>
  <si>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</si>
  <si>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</si>
  <si>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</si>
  <si>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</si>
  <si>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</si>
  <si>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</si>
  <si>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</si>
  <si>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</si>
  <si>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</si>
  <si>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</si>
  <si>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</si>
  <si>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</si>
  <si>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</si>
  <si>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</si>
  <si>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</si>
  <si>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</si>
  <si>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</si>
  <si>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</si>
  <si>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</si>
  <si>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</si>
  <si>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</si>
  <si>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</si>
  <si>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</si>
  <si>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</si>
  <si>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</si>
  <si>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</si>
  <si>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</si>
  <si>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</si>
  <si>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</si>
  <si>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</si>
  <si>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</si>
  <si>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</si>
  <si>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</si>
  <si>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</si>
  <si>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</si>
  <si>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</si>
  <si>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</si>
  <si>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</si>
  <si>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</si>
  <si>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</si>
  <si>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</si>
  <si>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</si>
  <si>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</si>
  <si>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</si>
  <si>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</si>
  <si>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</si>
  <si>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</si>
  <si>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</si>
  <si>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</si>
  <si>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</si>
  <si>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</si>
  <si>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</si>
  <si>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</si>
  <si>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</si>
  <si>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</si>
  <si>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</si>
  <si>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</si>
  <si>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</si>
  <si>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</si>
  <si>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</si>
  <si>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</si>
  <si>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</si>
  <si>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</si>
  <si>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</si>
  <si>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</si>
  <si>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</si>
  <si>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</si>
  <si>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</si>
  <si>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</si>
  <si>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</si>
  <si>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Selisih OIP Consume</t>
  </si>
  <si>
    <t>TOTAL MONTHLY
(Kg)</t>
  </si>
  <si>
    <t>PRODUCTION REPORT 2024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</si>
  <si>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</si>
  <si>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</si>
  <si>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</si>
  <si>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</si>
  <si>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</si>
  <si>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</si>
  <si>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</si>
  <si>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</si>
  <si>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</si>
  <si>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</si>
  <si>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</si>
  <si>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</si>
  <si>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</si>
  <si>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</si>
  <si>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</si>
  <si>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</si>
  <si>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</si>
  <si>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</si>
  <si>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</si>
  <si>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</si>
  <si>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</si>
  <si>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</si>
  <si>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</si>
  <si>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</si>
  <si>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</si>
  <si>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</si>
  <si>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</si>
  <si>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</si>
  <si>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</si>
  <si>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</si>
  <si>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</si>
  <si>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</si>
  <si>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</si>
  <si>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</si>
  <si>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</si>
  <si>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</si>
  <si>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</si>
  <si>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</si>
  <si>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</si>
  <si>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</si>
  <si>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</si>
  <si>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</si>
  <si>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</si>
  <si>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</si>
  <si>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</si>
  <si>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</si>
  <si>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</si>
  <si>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</si>
  <si>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</si>
  <si>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</si>
  <si>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</si>
  <si>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</si>
  <si>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</si>
  <si>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</si>
  <si>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</si>
  <si>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</si>
  <si>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</si>
  <si>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</si>
  <si>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</si>
  <si>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</si>
  <si>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Kg/Kg</t>
  </si>
  <si>
    <t>Kg/Mt</t>
  </si>
  <si>
    <t>m3/ Kg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</si>
  <si>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</si>
  <si>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</si>
  <si>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</si>
  <si>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</si>
  <si>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</si>
  <si>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</si>
  <si>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</si>
  <si>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</si>
  <si>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</si>
  <si>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</si>
  <si>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</si>
  <si>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</si>
  <si>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</si>
  <si>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</si>
  <si>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</si>
  <si>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</si>
  <si>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</si>
  <si>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</si>
  <si>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</si>
  <si>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</si>
  <si>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</si>
  <si>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</si>
  <si>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</si>
  <si>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</si>
  <si>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</si>
  <si>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</si>
  <si>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</si>
  <si>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</si>
  <si>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</si>
  <si>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</si>
  <si>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</si>
  <si>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</si>
  <si>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</si>
  <si>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</si>
  <si>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</si>
  <si>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</si>
  <si>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</si>
  <si>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</si>
  <si>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</si>
  <si>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</si>
  <si>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</si>
  <si>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</si>
  <si>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</si>
  <si>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</si>
  <si>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</si>
  <si>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</si>
  <si>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</si>
  <si>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</si>
  <si>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</si>
  <si>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</si>
  <si>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</si>
  <si>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</si>
  <si>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</si>
  <si>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</si>
  <si>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</si>
  <si>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</si>
  <si>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</si>
  <si>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</si>
  <si>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</si>
  <si>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</si>
  <si>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</si>
  <si>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</si>
  <si>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</si>
  <si>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</si>
  <si>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</si>
  <si>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</si>
  <si>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</si>
  <si>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</si>
  <si>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</si>
  <si>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</si>
  <si>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</si>
  <si>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</si>
  <si>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</si>
  <si>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</si>
  <si>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</si>
  <si>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</si>
  <si>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</si>
  <si>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</si>
  <si>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</si>
  <si>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</si>
  <si>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</si>
  <si>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</si>
  <si>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</si>
  <si>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</si>
  <si>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</si>
  <si>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</si>
  <si>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</si>
  <si>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</si>
  <si>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</si>
  <si>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</si>
  <si>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</si>
  <si>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</si>
  <si>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</si>
  <si>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</si>
  <si>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</si>
  <si>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</si>
  <si>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</si>
  <si>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</si>
  <si>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</si>
  <si>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</si>
  <si>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</si>
  <si>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</si>
  <si>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</si>
  <si>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</si>
  <si>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</si>
  <si>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</si>
  <si>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</si>
  <si>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</si>
  <si>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</si>
  <si>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</si>
  <si>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</si>
  <si>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</si>
  <si>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</si>
  <si>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</si>
  <si>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</si>
  <si>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</si>
  <si>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</si>
  <si>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</si>
  <si>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</si>
  <si>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</si>
  <si>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</si>
  <si>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</si>
  <si>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</si>
  <si>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</si>
  <si>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</si>
  <si>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</si>
  <si>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</si>
  <si>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</si>
  <si>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</si>
  <si>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</si>
  <si>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</si>
  <si>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</si>
  <si>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</si>
  <si>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</si>
  <si>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</si>
  <si>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</si>
  <si>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</si>
  <si>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</si>
  <si>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</si>
  <si>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</si>
  <si>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</si>
  <si>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</si>
  <si>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</si>
  <si>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</si>
  <si>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</si>
  <si>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</si>
  <si>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</si>
  <si>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</si>
  <si>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</si>
  <si>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</si>
  <si>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</si>
  <si>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</si>
  <si>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</si>
  <si>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</si>
  <si>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</si>
  <si>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</si>
  <si>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</si>
  <si>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</si>
  <si>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</si>
  <si>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</si>
  <si>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</si>
  <si>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</si>
  <si>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</si>
  <si>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</si>
  <si>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</si>
  <si>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</si>
  <si>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</si>
  <si>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</si>
  <si>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</si>
  <si>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</si>
  <si>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</si>
  <si>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</si>
  <si>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</si>
  <si>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</si>
  <si>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</si>
  <si>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</si>
  <si>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</si>
  <si>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</si>
  <si>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</si>
  <si>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</si>
  <si>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</si>
  <si>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</si>
  <si>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</si>
  <si>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</si>
  <si>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</si>
  <si>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</si>
  <si>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</si>
  <si>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</si>
  <si>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</si>
  <si>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</si>
  <si>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</si>
  <si>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</si>
  <si>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</si>
  <si>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</si>
  <si>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</si>
  <si>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</si>
  <si>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</si>
  <si>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</si>
  <si>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</si>
  <si>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</si>
  <si>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</si>
  <si>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</si>
  <si>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</si>
  <si>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</si>
  <si>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Selisih OIP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</si>
  <si>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</si>
  <si>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</si>
  <si>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</si>
  <si>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</si>
  <si>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</si>
  <si>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</si>
  <si>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</si>
  <si>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</si>
  <si>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</si>
  <si>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</si>
  <si>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</si>
  <si>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</si>
  <si>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</si>
  <si>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</si>
  <si>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</si>
  <si>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</si>
  <si>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</si>
  <si>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</si>
  <si>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</si>
  <si>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</si>
  <si>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</si>
  <si>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</si>
  <si>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</si>
  <si>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</si>
  <si>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</si>
  <si>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</si>
  <si>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</si>
  <si>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</si>
  <si>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</si>
  <si>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</si>
  <si>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</si>
  <si>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</si>
  <si>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</si>
  <si>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</si>
  <si>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</si>
  <si>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</si>
  <si>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</si>
  <si>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</si>
  <si>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</si>
  <si>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</si>
  <si>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</si>
  <si>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</si>
  <si>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</si>
  <si>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</si>
  <si>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</si>
  <si>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</si>
  <si>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</si>
  <si>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</si>
  <si>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</si>
  <si>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</si>
  <si>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</si>
  <si>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</si>
  <si>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</si>
  <si>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</si>
  <si>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</si>
  <si>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</si>
  <si>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</si>
  <si>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</si>
  <si>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</si>
  <si>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</si>
  <si>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</si>
  <si>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</si>
  <si>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</si>
  <si>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</si>
  <si>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</si>
  <si>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</si>
  <si>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</si>
  <si>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</si>
  <si>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</si>
  <si>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</si>
  <si>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</si>
  <si>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</si>
  <si>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</si>
  <si>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</si>
  <si>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</si>
  <si>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</si>
  <si>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</si>
  <si>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</si>
  <si>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</si>
  <si>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</si>
  <si>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</si>
  <si>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</si>
  <si>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</si>
  <si>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</si>
  <si>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</si>
  <si>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</si>
  <si>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</si>
  <si>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</si>
  <si>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</si>
  <si>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</si>
  <si>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</si>
  <si>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</si>
  <si>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</si>
  <si>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</si>
  <si>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</si>
  <si>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</si>
  <si>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</si>
  <si>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</si>
  <si>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</si>
  <si>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</si>
  <si>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</si>
  <si>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</si>
  <si>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</si>
  <si>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</si>
  <si>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</si>
  <si>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</si>
  <si>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</si>
  <si>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</si>
  <si>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</si>
  <si>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</si>
  <si>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</si>
  <si>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</si>
  <si>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</si>
  <si>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</si>
  <si>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</si>
  <si>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</si>
  <si>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</si>
  <si>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</si>
  <si>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</si>
  <si>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</si>
  <si>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</si>
  <si>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</si>
  <si>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</si>
  <si>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</si>
  <si>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</si>
  <si>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</si>
  <si>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</si>
  <si>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</si>
  <si>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</si>
  <si>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</si>
  <si>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</si>
  <si>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</si>
  <si>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</si>
  <si>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</si>
  <si>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</si>
  <si>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</si>
  <si>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</si>
  <si>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</si>
  <si>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</si>
  <si>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</si>
  <si>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</si>
  <si>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</si>
  <si>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</si>
  <si>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</si>
  <si>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</si>
  <si>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</si>
  <si>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</si>
  <si>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</si>
  <si>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</si>
  <si>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</si>
  <si>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</si>
  <si>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</si>
  <si>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</si>
  <si>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</si>
  <si>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</si>
  <si>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</si>
  <si>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</si>
  <si>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</si>
  <si>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</si>
  <si>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</si>
  <si>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</si>
  <si>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</si>
  <si>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</si>
  <si>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</si>
  <si>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</si>
  <si>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</si>
  <si>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</si>
  <si>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</si>
  <si>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</si>
  <si>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</si>
  <si>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</si>
  <si>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</si>
  <si>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</si>
  <si>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</si>
  <si>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</si>
  <si>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</si>
  <si>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</si>
  <si>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</si>
  <si>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</si>
  <si>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</si>
  <si>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</si>
  <si>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</si>
  <si>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</si>
  <si>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</si>
  <si>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</si>
  <si>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</si>
  <si>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</si>
  <si>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</si>
  <si>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</si>
  <si>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</si>
  <si>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</si>
  <si>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</si>
  <si>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</si>
  <si>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</si>
  <si>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</si>
  <si>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</si>
  <si>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</si>
  <si>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</si>
  <si>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</si>
  <si>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</si>
  <si>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</si>
  <si>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</si>
  <si>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</si>
  <si>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</si>
  <si>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</si>
  <si>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</si>
  <si>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</si>
  <si>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</si>
  <si>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</si>
  <si>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</si>
  <si>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</si>
  <si>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</si>
  <si>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</si>
  <si>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</si>
  <si>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</si>
  <si>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</si>
  <si>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</si>
  <si>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</si>
  <si>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</si>
  <si>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</si>
  <si>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</si>
  <si>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</si>
  <si>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</si>
  <si>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</si>
  <si>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</si>
  <si>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</si>
  <si>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</si>
  <si>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</si>
  <si>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</si>
  <si>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</si>
  <si>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</si>
  <si>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</si>
  <si>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</si>
  <si>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</si>
  <si>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</si>
  <si>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</si>
  <si>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</si>
  <si>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</si>
  <si>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</si>
  <si>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</si>
  <si>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</si>
  <si>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</si>
  <si>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</si>
  <si>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</si>
  <si>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</si>
  <si>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</si>
  <si>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</si>
  <si>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</si>
  <si>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</si>
  <si>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</si>
  <si>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</si>
  <si>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</si>
  <si>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</si>
  <si>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</si>
  <si>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</si>
  <si>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</si>
  <si>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</si>
  <si>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</si>
  <si>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</si>
  <si>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</si>
  <si>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</si>
  <si>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</si>
  <si>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</si>
  <si>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</si>
  <si>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</si>
  <si>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</si>
  <si>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</si>
  <si>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</si>
  <si>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</si>
  <si>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</si>
  <si>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</si>
  <si>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</si>
  <si>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</si>
  <si>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</si>
  <si>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</si>
  <si>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</si>
  <si>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</si>
  <si>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</si>
  <si>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</si>
  <si>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</si>
  <si>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</si>
  <si>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</si>
  <si>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</si>
  <si>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</si>
  <si>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</si>
  <si>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</si>
  <si>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</si>
  <si>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</si>
  <si>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</si>
  <si>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</si>
  <si>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</si>
  <si>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</si>
  <si>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</si>
  <si>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</si>
  <si>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</si>
  <si>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</si>
  <si>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</si>
  <si>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 xml:space="preserve"> Slow flow rate due to Olein IV 56 process &amp; IV 58 process</t>
  </si>
  <si>
    <t>Slow flow rate due to Olein IV 58 process</t>
  </si>
  <si>
    <t>Slow flow rate due to Olein IV 56 process</t>
  </si>
  <si>
    <t>STOP PLANT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</si>
  <si>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</si>
  <si>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</si>
  <si>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</si>
  <si>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</si>
  <si>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</si>
  <si>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</si>
  <si>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</si>
  <si>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</si>
  <si>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November</t>
  </si>
  <si>
    <t xml:space="preserve">Bany Subana </t>
  </si>
  <si>
    <t>Periode 01 s/d 30 November 2024</t>
  </si>
  <si>
    <t>Bany Subana</t>
  </si>
  <si>
    <t>- BE Achieve dengan pemakaian consume Bleaching Earth 6,8 Kg/MT</t>
  </si>
  <si>
    <t>- Rata rata incoming CPO perhari 1.1222 MT, Sedangkan rata-rata CPO Feed per hari 926 MT</t>
  </si>
  <si>
    <t>- Over pemakaian Gas dikarenakan running sesuai RKAP 18 hari namun plant running 22 hari</t>
  </si>
  <si>
    <t xml:space="preserve">- Untuk hari olah Produksi terpenuhi, PMG I Stop pada tanggal 24 November 2024 hal ini dilakukan bertujuan untuk persiapan </t>
  </si>
  <si>
    <t xml:space="preserve">  Commisioning pada tanggal 03 Desember 2024 dan CPO yang dibutuhkan untuk Commmsioning PMG II sebanyak 17.500 MT</t>
  </si>
  <si>
    <t>- Total CPO Proses sebesar : 20.377 MT dengan total CPO Incoming ke INL sebanyak : 33.666 MT</t>
  </si>
  <si>
    <t>SHUT DOWN</t>
  </si>
  <si>
    <t>Slow flow rate due to Olein IV 56 process &amp; IV 58 process</t>
  </si>
  <si>
    <t>Olein</t>
  </si>
  <si>
    <t>stearin</t>
  </si>
  <si>
    <t>Note : Kapasitas 2000 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</si>
</sst>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b/>
      <sz val="13.5"/>
      <color rgb="FF000080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18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4" fillId="0" borderId="0"/>
    <xf numFmtId="9" fontId="1" fillId="0" borderId="0" applyFont="0" applyFill="0" applyBorder="0" applyAlignment="0" applyProtection="0"/>
    <xf numFmtId="0" fontId="1" fillId="0" borderId="0"/>
    <xf numFmtId="0" fontId="39" fillId="0" borderId="0"/>
    <xf numFmtId="0" fontId="55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8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11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41" fontId="0" fillId="0" borderId="11" xfId="2" applyFont="1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9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41" fontId="0" fillId="0" borderId="0" xfId="0" applyNumberFormat="1"/>
    <xf numFmtId="166" fontId="2" fillId="5" borderId="0" xfId="0" applyNumberFormat="1" applyFont="1" applyFill="1"/>
    <xf numFmtId="41" fontId="0" fillId="0" borderId="11" xfId="0" applyNumberFormat="1" applyBorder="1"/>
    <xf numFmtId="0" fontId="25" fillId="0" borderId="63" xfId="7" applyFont="1" applyBorder="1" applyAlignment="1">
      <alignment vertical="center"/>
    </xf>
    <xf numFmtId="3" fontId="25" fillId="0" borderId="62" xfId="0" applyNumberFormat="1" applyFont="1" applyBorder="1" applyAlignment="1">
      <alignment horizontal="center" vertical="center"/>
    </xf>
    <xf numFmtId="0" fontId="25" fillId="0" borderId="63" xfId="7" applyFont="1" applyBorder="1" applyAlignment="1">
      <alignment horizontal="left" vertical="center" indent="2"/>
    </xf>
    <xf numFmtId="1" fontId="25" fillId="0" borderId="62" xfId="7" applyNumberFormat="1" applyFont="1" applyBorder="1" applyAlignment="1">
      <alignment horizontal="center" vertical="center"/>
    </xf>
    <xf numFmtId="0" fontId="25" fillId="0" borderId="64" xfId="7" applyFont="1" applyBorder="1" applyAlignment="1">
      <alignment horizontal="center" vertical="center"/>
    </xf>
    <xf numFmtId="0" fontId="25" fillId="0" borderId="62" xfId="7" applyFont="1" applyBorder="1" applyAlignment="1">
      <alignment horizontal="center" vertical="center"/>
    </xf>
    <xf numFmtId="2" fontId="25" fillId="0" borderId="62" xfId="7" applyNumberFormat="1" applyFont="1" applyBorder="1" applyAlignment="1">
      <alignment horizontal="center" vertical="center"/>
    </xf>
    <xf numFmtId="180" fontId="25" fillId="0" borderId="62" xfId="7" applyNumberFormat="1" applyFont="1" applyBorder="1" applyAlignment="1">
      <alignment horizontal="center" vertical="center"/>
    </xf>
    <xf numFmtId="179" fontId="25" fillId="0" borderId="62" xfId="7" applyNumberFormat="1" applyFont="1" applyBorder="1" applyAlignment="1">
      <alignment horizontal="center" vertical="center"/>
    </xf>
    <xf numFmtId="0" fontId="25" fillId="0" borderId="67" xfId="7" applyFont="1" applyBorder="1" applyAlignment="1">
      <alignment horizontal="left" vertical="center" indent="2"/>
    </xf>
    <xf numFmtId="179" fontId="25" fillId="0" borderId="65" xfId="7" applyNumberFormat="1" applyFont="1" applyBorder="1" applyAlignment="1">
      <alignment horizontal="center" vertical="center"/>
    </xf>
    <xf numFmtId="4" fontId="25" fillId="0" borderId="65" xfId="7" applyNumberFormat="1" applyFont="1" applyBorder="1" applyAlignment="1">
      <alignment horizontal="center" vertical="center"/>
    </xf>
    <xf numFmtId="0" fontId="25" fillId="0" borderId="63" xfId="7" applyFont="1" applyBorder="1" applyAlignment="1">
      <alignment horizontal="left" vertical="center"/>
    </xf>
    <xf numFmtId="3" fontId="25" fillId="0" borderId="62" xfId="7" applyNumberFormat="1" applyFont="1" applyBorder="1" applyAlignment="1">
      <alignment horizontal="center" vertical="center"/>
    </xf>
    <xf numFmtId="0" fontId="25" fillId="0" borderId="67" xfId="7" applyFont="1" applyBorder="1" applyAlignment="1">
      <alignment horizontal="left" vertical="center"/>
    </xf>
    <xf numFmtId="3" fontId="25" fillId="0" borderId="65" xfId="0" applyNumberFormat="1" applyFont="1" applyBorder="1" applyAlignment="1">
      <alignment horizontal="center" vertical="center"/>
    </xf>
    <xf numFmtId="3" fontId="25" fillId="0" borderId="65" xfId="7" applyNumberFormat="1" applyFont="1" applyBorder="1" applyAlignment="1">
      <alignment horizontal="center" vertical="center"/>
    </xf>
    <xf numFmtId="0" fontId="25" fillId="5" borderId="67" xfId="7" applyFont="1" applyFill="1" applyBorder="1" applyAlignment="1">
      <alignment horizontal="left" vertical="center"/>
    </xf>
    <xf numFmtId="3" fontId="25" fillId="5" borderId="65" xfId="7" applyNumberFormat="1" applyFont="1" applyFill="1" applyBorder="1" applyAlignment="1">
      <alignment horizontal="center" vertical="center"/>
    </xf>
    <xf numFmtId="3" fontId="25" fillId="5" borderId="65" xfId="0" applyNumberFormat="1" applyFont="1" applyFill="1" applyBorder="1" applyAlignment="1">
      <alignment horizontal="center" vertical="center"/>
    </xf>
    <xf numFmtId="0" fontId="25" fillId="5" borderId="67" xfId="7" applyFont="1" applyFill="1" applyBorder="1" applyAlignment="1">
      <alignment horizontal="left" vertical="center" indent="2"/>
    </xf>
    <xf numFmtId="0" fontId="25" fillId="0" borderId="0" xfId="7" applyFont="1" applyAlignment="1">
      <alignment vertical="center"/>
    </xf>
    <xf numFmtId="0" fontId="25" fillId="0" borderId="0" xfId="7" applyFont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0" fontId="27" fillId="0" borderId="60" xfId="7" applyFont="1" applyBorder="1" applyAlignment="1">
      <alignment horizontal="left" vertical="center"/>
    </xf>
    <xf numFmtId="0" fontId="27" fillId="0" borderId="61" xfId="7" applyFont="1" applyBorder="1" applyAlignment="1">
      <alignment horizontal="left" vertical="center"/>
    </xf>
    <xf numFmtId="3" fontId="27" fillId="0" borderId="62" xfId="7" applyNumberFormat="1" applyFont="1" applyBorder="1" applyAlignment="1">
      <alignment horizontal="center" vertical="center"/>
    </xf>
    <xf numFmtId="0" fontId="28" fillId="0" borderId="62" xfId="7" applyFont="1" applyBorder="1" applyAlignment="1">
      <alignment horizontal="center" vertical="center"/>
    </xf>
    <xf numFmtId="0" fontId="27" fillId="0" borderId="69" xfId="7" applyFont="1" applyBorder="1" applyAlignment="1">
      <alignment horizontal="left" vertical="center"/>
    </xf>
    <xf numFmtId="0" fontId="25" fillId="0" borderId="70" xfId="7" applyFont="1" applyBorder="1" applyAlignment="1">
      <alignment horizontal="left" vertical="center"/>
    </xf>
    <xf numFmtId="1" fontId="25" fillId="0" borderId="66" xfId="7" applyNumberFormat="1" applyFont="1" applyBorder="1" applyAlignment="1">
      <alignment horizontal="center" vertical="center"/>
    </xf>
    <xf numFmtId="0" fontId="25" fillId="0" borderId="71" xfId="7" applyFont="1" applyBorder="1" applyAlignment="1">
      <alignment horizontal="center" vertical="center"/>
    </xf>
    <xf numFmtId="3" fontId="25" fillId="0" borderId="66" xfId="7" applyNumberFormat="1" applyFont="1" applyBorder="1" applyAlignment="1">
      <alignment horizontal="center" vertical="center"/>
    </xf>
    <xf numFmtId="3" fontId="25" fillId="0" borderId="66" xfId="0" applyNumberFormat="1" applyFont="1" applyBorder="1" applyAlignment="1">
      <alignment horizontal="center" vertical="center"/>
    </xf>
    <xf numFmtId="4" fontId="25" fillId="0" borderId="66" xfId="7" applyNumberFormat="1" applyFont="1" applyBorder="1" applyAlignment="1">
      <alignment horizontal="center" vertical="center"/>
    </xf>
    <xf numFmtId="4" fontId="25" fillId="0" borderId="62" xfId="7" applyNumberFormat="1" applyFont="1" applyBorder="1" applyAlignment="1">
      <alignment horizontal="center" vertical="center"/>
    </xf>
    <xf numFmtId="0" fontId="25" fillId="0" borderId="62" xfId="7" applyFont="1" applyBorder="1" applyAlignment="1">
      <alignment vertical="center"/>
    </xf>
    <xf numFmtId="0" fontId="25" fillId="0" borderId="62" xfId="7" applyFont="1" applyBorder="1" applyAlignment="1">
      <alignment horizontal="left" vertical="center" indent="2"/>
    </xf>
    <xf numFmtId="0" fontId="25" fillId="0" borderId="0" xfId="7" applyFont="1" applyAlignment="1">
      <alignment horizontal="left" vertical="center"/>
    </xf>
    <xf numFmtId="0" fontId="30" fillId="0" borderId="6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179" fontId="23" fillId="0" borderId="4" xfId="0" applyNumberFormat="1" applyFont="1" applyBorder="1" applyAlignment="1">
      <alignment horizontal="center" vertical="center"/>
    </xf>
    <xf numFmtId="179" fontId="32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166" fontId="3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5" fillId="0" borderId="73" xfId="2" applyNumberFormat="1" applyFont="1" applyFill="1" applyBorder="1"/>
    <xf numFmtId="165" fontId="35" fillId="0" borderId="74" xfId="2" applyNumberFormat="1" applyFont="1" applyFill="1" applyBorder="1"/>
    <xf numFmtId="165" fontId="35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4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7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20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5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4" fillId="0" borderId="0" xfId="0" applyFont="1"/>
    <xf numFmtId="0" fontId="34" fillId="5" borderId="0" xfId="0" applyFont="1" applyFill="1"/>
    <xf numFmtId="0" fontId="34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6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6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6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3" fontId="0" fillId="8" borderId="0" xfId="0" applyNumberFormat="1" applyFill="1"/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5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40" fillId="0" borderId="0" xfId="7" applyFont="1" applyAlignment="1">
      <alignment vertical="center"/>
    </xf>
    <xf numFmtId="0" fontId="27" fillId="0" borderId="91" xfId="7" applyFont="1" applyBorder="1" applyAlignment="1">
      <alignment horizontal="left" vertical="center"/>
    </xf>
    <xf numFmtId="0" fontId="27" fillId="0" borderId="92" xfId="7" applyFont="1" applyBorder="1" applyAlignment="1">
      <alignment horizontal="left" vertical="center"/>
    </xf>
    <xf numFmtId="0" fontId="27" fillId="0" borderId="93" xfId="7" applyFont="1" applyBorder="1" applyAlignment="1">
      <alignment horizontal="left" vertical="center"/>
    </xf>
    <xf numFmtId="0" fontId="27" fillId="0" borderId="95" xfId="7" applyFont="1" applyBorder="1" applyAlignment="1">
      <alignment horizontal="center" vertical="center"/>
    </xf>
    <xf numFmtId="0" fontId="27" fillId="0" borderId="96" xfId="7" applyFont="1" applyBorder="1" applyAlignment="1">
      <alignment horizontal="left" vertical="center"/>
    </xf>
    <xf numFmtId="0" fontId="28" fillId="0" borderId="97" xfId="7" applyFont="1" applyBorder="1" applyAlignment="1">
      <alignment horizontal="center" vertical="center"/>
    </xf>
    <xf numFmtId="0" fontId="27" fillId="0" borderId="98" xfId="7" applyFont="1" applyBorder="1" applyAlignment="1">
      <alignment horizontal="left" vertical="center"/>
    </xf>
    <xf numFmtId="0" fontId="27" fillId="0" borderId="99" xfId="7" applyFont="1" applyBorder="1" applyAlignment="1">
      <alignment horizontal="left" vertical="center"/>
    </xf>
    <xf numFmtId="0" fontId="27" fillId="0" borderId="100" xfId="7" applyFont="1" applyBorder="1" applyAlignment="1">
      <alignment horizontal="center" vertical="center"/>
    </xf>
    <xf numFmtId="0" fontId="26" fillId="9" borderId="101" xfId="7" applyFont="1" applyFill="1" applyBorder="1" applyAlignment="1">
      <alignment horizontal="center" vertical="center"/>
    </xf>
    <xf numFmtId="0" fontId="26" fillId="9" borderId="102" xfId="7" applyFont="1" applyFill="1" applyBorder="1" applyAlignment="1">
      <alignment vertical="center"/>
    </xf>
    <xf numFmtId="0" fontId="26" fillId="9" borderId="102" xfId="7" applyFont="1" applyFill="1" applyBorder="1" applyAlignment="1">
      <alignment horizontal="center" vertical="center"/>
    </xf>
    <xf numFmtId="3" fontId="26" fillId="9" borderId="102" xfId="7" applyNumberFormat="1" applyFont="1" applyFill="1" applyBorder="1" applyAlignment="1">
      <alignment horizontal="center" vertical="center"/>
    </xf>
    <xf numFmtId="0" fontId="26" fillId="9" borderId="105" xfId="7" applyFont="1" applyFill="1" applyBorder="1" applyAlignment="1">
      <alignment horizontal="center" vertical="center"/>
    </xf>
    <xf numFmtId="0" fontId="25" fillId="0" borderId="106" xfId="7" applyFont="1" applyBorder="1" applyAlignment="1">
      <alignment horizontal="center" vertical="center"/>
    </xf>
    <xf numFmtId="0" fontId="25" fillId="0" borderId="107" xfId="7" applyFont="1" applyBorder="1" applyAlignment="1">
      <alignment vertical="center"/>
    </xf>
    <xf numFmtId="0" fontId="41" fillId="0" borderId="109" xfId="7" applyFont="1" applyBorder="1" applyAlignment="1">
      <alignment horizontal="center" vertical="center"/>
    </xf>
    <xf numFmtId="3" fontId="25" fillId="0" borderId="108" xfId="7" applyNumberFormat="1" applyFont="1" applyBorder="1" applyAlignment="1">
      <alignment horizontal="center" vertical="center"/>
    </xf>
    <xf numFmtId="3" fontId="41" fillId="0" borderId="108" xfId="7" applyNumberFormat="1" applyFont="1" applyBorder="1" applyAlignment="1">
      <alignment horizontal="center" vertical="center"/>
    </xf>
    <xf numFmtId="3" fontId="25" fillId="0" borderId="108" xfId="0" applyNumberFormat="1" applyFont="1" applyBorder="1" applyAlignment="1">
      <alignment horizontal="center" vertical="center"/>
    </xf>
    <xf numFmtId="4" fontId="25" fillId="0" borderId="108" xfId="7" applyNumberFormat="1" applyFont="1" applyBorder="1" applyAlignment="1">
      <alignment horizontal="center" vertical="center"/>
    </xf>
    <xf numFmtId="4" fontId="25" fillId="0" borderId="110" xfId="7" applyNumberFormat="1" applyFont="1" applyBorder="1" applyAlignment="1">
      <alignment horizontal="center" vertical="center"/>
    </xf>
    <xf numFmtId="0" fontId="25" fillId="0" borderId="111" xfId="7" applyFont="1" applyBorder="1" applyAlignment="1">
      <alignment horizontal="center" vertical="center"/>
    </xf>
    <xf numFmtId="0" fontId="41" fillId="0" borderId="64" xfId="7" applyFont="1" applyBorder="1" applyAlignment="1">
      <alignment horizontal="center" vertical="center"/>
    </xf>
    <xf numFmtId="3" fontId="41" fillId="0" borderId="62" xfId="7" applyNumberFormat="1" applyFont="1" applyBorder="1" applyAlignment="1">
      <alignment horizontal="center" vertical="center"/>
    </xf>
    <xf numFmtId="4" fontId="25" fillId="0" borderId="97" xfId="7" applyNumberFormat="1" applyFont="1" applyBorder="1" applyAlignment="1">
      <alignment horizontal="center" vertical="center"/>
    </xf>
    <xf numFmtId="0" fontId="25" fillId="0" borderId="112" xfId="7" applyFont="1" applyBorder="1" applyAlignment="1">
      <alignment horizontal="center" vertical="center"/>
    </xf>
    <xf numFmtId="0" fontId="25" fillId="0" borderId="31" xfId="7" applyFont="1" applyBorder="1" applyAlignment="1">
      <alignment horizontal="center" vertical="center"/>
    </xf>
    <xf numFmtId="0" fontId="25" fillId="0" borderId="113" xfId="7" applyFont="1" applyBorder="1" applyAlignment="1">
      <alignment horizontal="center" vertical="center"/>
    </xf>
    <xf numFmtId="0" fontId="41" fillId="0" borderId="68" xfId="7" applyFont="1" applyBorder="1" applyAlignment="1">
      <alignment horizontal="center" vertical="center"/>
    </xf>
    <xf numFmtId="3" fontId="41" fillId="0" borderId="65" xfId="7" applyNumberFormat="1" applyFont="1" applyBorder="1" applyAlignment="1">
      <alignment horizontal="center" vertical="center"/>
    </xf>
    <xf numFmtId="0" fontId="25" fillId="5" borderId="112" xfId="7" applyFont="1" applyFill="1" applyBorder="1" applyAlignment="1">
      <alignment horizontal="center" vertical="center"/>
    </xf>
    <xf numFmtId="0" fontId="41" fillId="5" borderId="68" xfId="7" applyFont="1" applyFill="1" applyBorder="1" applyAlignment="1">
      <alignment horizontal="center" vertical="center"/>
    </xf>
    <xf numFmtId="3" fontId="41" fillId="5" borderId="65" xfId="7" applyNumberFormat="1" applyFont="1" applyFill="1" applyBorder="1" applyAlignment="1">
      <alignment horizontal="center" vertical="center"/>
    </xf>
    <xf numFmtId="3" fontId="25" fillId="5" borderId="62" xfId="7" applyNumberFormat="1" applyFont="1" applyFill="1" applyBorder="1" applyAlignment="1">
      <alignment horizontal="center" vertical="center"/>
    </xf>
    <xf numFmtId="0" fontId="25" fillId="5" borderId="31" xfId="7" applyFont="1" applyFill="1" applyBorder="1" applyAlignment="1">
      <alignment horizontal="center" vertical="center"/>
    </xf>
    <xf numFmtId="0" fontId="25" fillId="5" borderId="113" xfId="7" applyFont="1" applyFill="1" applyBorder="1" applyAlignment="1">
      <alignment horizontal="center" vertical="center"/>
    </xf>
    <xf numFmtId="0" fontId="25" fillId="0" borderId="32" xfId="7" applyFont="1" applyBorder="1" applyAlignment="1">
      <alignment horizontal="center" vertical="center"/>
    </xf>
    <xf numFmtId="0" fontId="25" fillId="0" borderId="114" xfId="7" applyFont="1" applyBorder="1" applyAlignment="1">
      <alignment horizontal="left" vertical="center" indent="2"/>
    </xf>
    <xf numFmtId="179" fontId="25" fillId="0" borderId="115" xfId="7" applyNumberFormat="1" applyFont="1" applyBorder="1" applyAlignment="1">
      <alignment horizontal="center" vertical="center"/>
    </xf>
    <xf numFmtId="3" fontId="41" fillId="0" borderId="115" xfId="7" applyNumberFormat="1" applyFont="1" applyBorder="1" applyAlignment="1">
      <alignment horizontal="center" vertical="center"/>
    </xf>
    <xf numFmtId="3" fontId="25" fillId="0" borderId="115" xfId="7" applyNumberFormat="1" applyFont="1" applyBorder="1" applyAlignment="1">
      <alignment horizontal="center" vertical="center"/>
    </xf>
    <xf numFmtId="3" fontId="25" fillId="0" borderId="115" xfId="0" applyNumberFormat="1" applyFont="1" applyBorder="1" applyAlignment="1">
      <alignment horizontal="center" vertical="center"/>
    </xf>
    <xf numFmtId="4" fontId="25" fillId="0" borderId="115" xfId="7" applyNumberFormat="1" applyFont="1" applyBorder="1" applyAlignment="1">
      <alignment horizontal="center" vertical="center"/>
    </xf>
    <xf numFmtId="4" fontId="25" fillId="0" borderId="116" xfId="7" applyNumberFormat="1" applyFont="1" applyBorder="1" applyAlignment="1">
      <alignment horizontal="center" vertical="center"/>
    </xf>
    <xf numFmtId="3" fontId="27" fillId="4" borderId="34" xfId="7" applyNumberFormat="1" applyFont="1" applyFill="1" applyBorder="1" applyAlignment="1">
      <alignment horizontal="center" vertical="center"/>
    </xf>
    <xf numFmtId="4" fontId="27" fillId="4" borderId="34" xfId="7" applyNumberFormat="1" applyFont="1" applyFill="1" applyBorder="1" applyAlignment="1">
      <alignment horizontal="center" vertical="center"/>
    </xf>
    <xf numFmtId="0" fontId="27" fillId="0" borderId="94" xfId="7" applyFont="1" applyBorder="1" applyAlignment="1">
      <alignment horizontal="center" vertical="center"/>
    </xf>
    <xf numFmtId="3" fontId="27" fillId="0" borderId="95" xfId="7" applyNumberFormat="1" applyFont="1" applyBorder="1" applyAlignment="1">
      <alignment horizontal="center" vertical="center"/>
    </xf>
    <xf numFmtId="3" fontId="27" fillId="0" borderId="97" xfId="7" applyNumberFormat="1" applyFont="1" applyBorder="1" applyAlignment="1">
      <alignment horizontal="center" vertical="center"/>
    </xf>
    <xf numFmtId="0" fontId="27" fillId="0" borderId="65" xfId="7" applyFont="1" applyBorder="1" applyAlignment="1">
      <alignment horizontal="center" vertical="center"/>
    </xf>
    <xf numFmtId="4" fontId="25" fillId="0" borderId="117" xfId="7" applyNumberFormat="1" applyFont="1" applyBorder="1" applyAlignment="1">
      <alignment horizontal="center" vertical="center"/>
    </xf>
    <xf numFmtId="0" fontId="25" fillId="0" borderId="115" xfId="7" applyFont="1" applyBorder="1" applyAlignment="1">
      <alignment horizontal="left" vertical="center" indent="2"/>
    </xf>
    <xf numFmtId="0" fontId="25" fillId="0" borderId="118" xfId="7" applyFont="1" applyBorder="1" applyAlignment="1">
      <alignment horizontal="center" vertical="center"/>
    </xf>
    <xf numFmtId="3" fontId="25" fillId="0" borderId="12" xfId="7" applyNumberFormat="1" applyFont="1" applyBorder="1" applyAlignment="1">
      <alignment horizontal="center" vertical="center"/>
    </xf>
    <xf numFmtId="4" fontId="25" fillId="0" borderId="12" xfId="7" applyNumberFormat="1" applyFont="1" applyBorder="1" applyAlignment="1">
      <alignment horizontal="center" vertical="center"/>
    </xf>
    <xf numFmtId="4" fontId="25" fillId="0" borderId="119" xfId="7" applyNumberFormat="1" applyFont="1" applyBorder="1" applyAlignment="1">
      <alignment horizontal="center" vertical="center"/>
    </xf>
    <xf numFmtId="0" fontId="27" fillId="0" borderId="39" xfId="7" applyFont="1" applyBorder="1" applyAlignment="1">
      <alignment horizontal="left" vertical="center"/>
    </xf>
    <xf numFmtId="0" fontId="27" fillId="0" borderId="76" xfId="7" applyFont="1" applyBorder="1" applyAlignment="1">
      <alignment horizontal="left" vertical="center"/>
    </xf>
    <xf numFmtId="9" fontId="30" fillId="0" borderId="76" xfId="3" applyFont="1" applyBorder="1" applyAlignment="1">
      <alignment horizontal="center" vertical="center"/>
    </xf>
    <xf numFmtId="0" fontId="27" fillId="0" borderId="76" xfId="7" applyFont="1" applyBorder="1" applyAlignment="1">
      <alignment horizontal="center" vertical="center"/>
    </xf>
    <xf numFmtId="3" fontId="27" fillId="4" borderId="38" xfId="7" applyNumberFormat="1" applyFont="1" applyFill="1" applyBorder="1" applyAlignment="1">
      <alignment horizontal="center" vertical="center"/>
    </xf>
    <xf numFmtId="0" fontId="27" fillId="0" borderId="75" xfId="7" applyFont="1" applyBorder="1" applyAlignment="1">
      <alignment horizontal="left" vertical="center"/>
    </xf>
    <xf numFmtId="0" fontId="27" fillId="0" borderId="0" xfId="7" applyFont="1" applyAlignment="1">
      <alignment horizontal="left" vertical="center"/>
    </xf>
    <xf numFmtId="0" fontId="27" fillId="0" borderId="0" xfId="7" applyFont="1" applyAlignment="1">
      <alignment horizontal="center" vertical="center"/>
    </xf>
    <xf numFmtId="3" fontId="27" fillId="0" borderId="28" xfId="7" applyNumberFormat="1" applyFont="1" applyBorder="1" applyAlignment="1">
      <alignment horizontal="center" vertical="center"/>
    </xf>
    <xf numFmtId="1" fontId="27" fillId="0" borderId="73" xfId="7" applyNumberFormat="1" applyFont="1" applyBorder="1" applyAlignment="1">
      <alignment horizontal="left" vertical="center"/>
    </xf>
    <xf numFmtId="1" fontId="27" fillId="0" borderId="74" xfId="7" applyNumberFormat="1" applyFont="1" applyBorder="1" applyAlignment="1">
      <alignment horizontal="left" vertical="center"/>
    </xf>
    <xf numFmtId="0" fontId="30" fillId="0" borderId="74" xfId="0" applyFont="1" applyBorder="1" applyAlignment="1">
      <alignment horizontal="center" vertical="center"/>
    </xf>
    <xf numFmtId="1" fontId="27" fillId="0" borderId="0" xfId="7" applyNumberFormat="1" applyFont="1" applyAlignment="1">
      <alignment horizontal="center" vertical="center"/>
    </xf>
    <xf numFmtId="3" fontId="27" fillId="0" borderId="40" xfId="7" applyNumberFormat="1" applyFont="1" applyBorder="1" applyAlignment="1">
      <alignment horizontal="center" vertical="center"/>
    </xf>
    <xf numFmtId="0" fontId="29" fillId="10" borderId="120" xfId="7" applyFont="1" applyFill="1" applyBorder="1" applyAlignment="1">
      <alignment horizontal="center" vertical="center"/>
    </xf>
    <xf numFmtId="0" fontId="31" fillId="10" borderId="120" xfId="0" applyFont="1" applyFill="1" applyBorder="1" applyAlignment="1">
      <alignment horizontal="left" vertical="center"/>
    </xf>
    <xf numFmtId="0" fontId="31" fillId="10" borderId="120" xfId="0" applyFont="1" applyFill="1" applyBorder="1" applyAlignment="1">
      <alignment horizontal="center" vertical="center"/>
    </xf>
    <xf numFmtId="0" fontId="23" fillId="0" borderId="124" xfId="0" applyFont="1" applyBorder="1" applyAlignment="1">
      <alignment horizontal="center" vertical="center"/>
    </xf>
    <xf numFmtId="0" fontId="23" fillId="0" borderId="125" xfId="0" applyFont="1" applyBorder="1" applyAlignment="1">
      <alignment vertical="center"/>
    </xf>
    <xf numFmtId="0" fontId="42" fillId="0" borderId="126" xfId="0" applyFont="1" applyBorder="1" applyAlignment="1">
      <alignment horizontal="center" vertical="center"/>
    </xf>
    <xf numFmtId="0" fontId="23" fillId="0" borderId="127" xfId="0" applyFont="1" applyBorder="1" applyAlignment="1">
      <alignment vertical="center"/>
    </xf>
    <xf numFmtId="3" fontId="23" fillId="0" borderId="125" xfId="0" applyNumberFormat="1" applyFont="1" applyBorder="1" applyAlignment="1">
      <alignment horizontal="center" vertical="center"/>
    </xf>
    <xf numFmtId="179" fontId="23" fillId="0" borderId="128" xfId="0" applyNumberFormat="1" applyFont="1" applyBorder="1" applyAlignment="1">
      <alignment horizontal="center" vertical="center"/>
    </xf>
    <xf numFmtId="179" fontId="23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3" fillId="0" borderId="31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8" xfId="0" applyFont="1" applyBorder="1" applyAlignment="1">
      <alignment vertical="center"/>
    </xf>
    <xf numFmtId="179" fontId="23" fillId="0" borderId="130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79" fontId="23" fillId="0" borderId="28" xfId="0" applyNumberFormat="1" applyFont="1" applyBorder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179" fontId="32" fillId="0" borderId="130" xfId="0" applyNumberFormat="1" applyFont="1" applyBorder="1" applyAlignment="1">
      <alignment horizontal="center" vertical="center"/>
    </xf>
    <xf numFmtId="0" fontId="23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2" fillId="0" borderId="70" xfId="0" applyFont="1" applyBorder="1" applyAlignment="1">
      <alignment horizontal="center" vertical="center"/>
    </xf>
    <xf numFmtId="0" fontId="23" fillId="0" borderId="72" xfId="0" applyFont="1" applyBorder="1" applyAlignment="1">
      <alignment vertical="center"/>
    </xf>
    <xf numFmtId="0" fontId="23" fillId="0" borderId="71" xfId="0" applyFont="1" applyBorder="1" applyAlignment="1">
      <alignment horizontal="center" vertical="center"/>
    </xf>
    <xf numFmtId="3" fontId="23" fillId="0" borderId="72" xfId="0" applyNumberFormat="1" applyFont="1" applyBorder="1" applyAlignment="1">
      <alignment horizontal="center" vertical="center"/>
    </xf>
    <xf numFmtId="179" fontId="23" fillId="0" borderId="66" xfId="0" applyNumberFormat="1" applyFont="1" applyBorder="1" applyAlignment="1">
      <alignment horizontal="center" vertical="center"/>
    </xf>
    <xf numFmtId="179" fontId="23" fillId="0" borderId="131" xfId="0" applyNumberFormat="1" applyFont="1" applyBorder="1" applyAlignment="1">
      <alignment horizontal="center" vertical="center"/>
    </xf>
    <xf numFmtId="0" fontId="30" fillId="0" borderId="69" xfId="0" applyFont="1" applyBorder="1" applyAlignment="1">
      <alignment horizontal="left" vertical="center"/>
    </xf>
    <xf numFmtId="3" fontId="0" fillId="0" borderId="0" xfId="0" applyNumberFormat="1"/>
    <xf numFmtId="0" fontId="30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3" fillId="0" borderId="70" xfId="0" applyFont="1" applyBorder="1" applyAlignment="1">
      <alignment horizontal="center" vertical="center"/>
    </xf>
    <xf numFmtId="0" fontId="23" fillId="0" borderId="71" xfId="0" applyFont="1" applyBorder="1" applyAlignment="1">
      <alignment vertical="center"/>
    </xf>
    <xf numFmtId="179" fontId="32" fillId="0" borderId="66" xfId="0" applyNumberFormat="1" applyFont="1" applyBorder="1" applyAlignment="1">
      <alignment horizontal="center" vertical="center"/>
    </xf>
    <xf numFmtId="179" fontId="32" fillId="0" borderId="131" xfId="0" applyNumberFormat="1" applyFont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69" xfId="0" applyFont="1" applyBorder="1" applyAlignment="1">
      <alignment vertical="center"/>
    </xf>
    <xf numFmtId="0" fontId="42" fillId="0" borderId="67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3" fontId="23" fillId="0" borderId="69" xfId="0" applyNumberFormat="1" applyFont="1" applyBorder="1" applyAlignment="1">
      <alignment horizontal="center" vertical="center"/>
    </xf>
    <xf numFmtId="179" fontId="32" fillId="0" borderId="28" xfId="0" applyNumberFormat="1" applyFont="1" applyBorder="1" applyAlignment="1">
      <alignment horizontal="center" vertical="center"/>
    </xf>
    <xf numFmtId="3" fontId="43" fillId="0" borderId="132" xfId="0" applyNumberFormat="1" applyFont="1" applyBorder="1" applyAlignment="1">
      <alignment horizontal="center" vertical="center"/>
    </xf>
    <xf numFmtId="4" fontId="43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7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5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164" fontId="2" fillId="5" borderId="3" xfId="1" applyNumberFormat="1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5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7" fillId="4" borderId="0" xfId="7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73" xfId="7" applyFont="1" applyBorder="1" applyAlignment="1">
      <alignment horizontal="left" vertical="center"/>
    </xf>
    <xf numFmtId="0" fontId="27" fillId="0" borderId="74" xfId="7" applyFont="1" applyBorder="1" applyAlignment="1">
      <alignment horizontal="left" vertical="center"/>
    </xf>
    <xf numFmtId="0" fontId="27" fillId="0" borderId="74" xfId="7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0" fillId="9" borderId="44" xfId="0" applyFont="1" applyFill="1" applyBorder="1" applyAlignment="1">
      <alignment horizontal="center" vertical="center"/>
    </xf>
    <xf numFmtId="0" fontId="20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5" fillId="0" borderId="39" xfId="0" applyFont="1" applyBorder="1" applyAlignment="1">
      <alignment vertical="center"/>
    </xf>
    <xf numFmtId="3" fontId="45" fillId="0" borderId="38" xfId="0" applyNumberFormat="1" applyFont="1" applyBorder="1" applyAlignment="1">
      <alignment horizontal="center" vertical="center"/>
    </xf>
    <xf numFmtId="0" fontId="45" fillId="0" borderId="75" xfId="0" applyFont="1" applyBorder="1" applyAlignment="1">
      <alignment vertical="center"/>
    </xf>
    <xf numFmtId="3" fontId="45" fillId="0" borderId="28" xfId="0" applyNumberFormat="1" applyFont="1" applyBorder="1" applyAlignment="1">
      <alignment horizontal="center" vertical="center"/>
    </xf>
    <xf numFmtId="0" fontId="45" fillId="0" borderId="73" xfId="0" applyFont="1" applyBorder="1" applyAlignment="1">
      <alignment vertical="center"/>
    </xf>
    <xf numFmtId="3" fontId="45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6" fillId="0" borderId="76" xfId="0" applyFont="1" applyBorder="1" applyAlignment="1">
      <alignment vertical="center"/>
    </xf>
    <xf numFmtId="0" fontId="46" fillId="0" borderId="76" xfId="0" applyFont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3" fontId="28" fillId="0" borderId="38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3" fontId="28" fillId="0" borderId="28" xfId="0" applyNumberFormat="1" applyFont="1" applyBorder="1" applyAlignment="1">
      <alignment horizontal="center" vertical="center"/>
    </xf>
    <xf numFmtId="0" fontId="46" fillId="0" borderId="74" xfId="0" applyFont="1" applyBorder="1" applyAlignment="1">
      <alignment vertical="center"/>
    </xf>
    <xf numFmtId="0" fontId="46" fillId="0" borderId="74" xfId="0" applyFont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9" fillId="9" borderId="102" xfId="0" applyFont="1" applyFill="1" applyBorder="1" applyAlignment="1">
      <alignment horizontal="center" vertical="center"/>
    </xf>
    <xf numFmtId="0" fontId="46" fillId="0" borderId="66" xfId="0" applyFont="1" applyBorder="1" applyAlignment="1">
      <alignment horizontal="center" vertical="center"/>
    </xf>
    <xf numFmtId="0" fontId="30" fillId="0" borderId="107" xfId="0" applyFont="1" applyBorder="1" applyAlignment="1">
      <alignment horizontal="left" vertical="center"/>
    </xf>
    <xf numFmtId="0" fontId="30" fillId="0" borderId="71" xfId="0" applyFont="1" applyBorder="1" applyAlignment="1">
      <alignment horizontal="center" vertical="center"/>
    </xf>
    <xf numFmtId="0" fontId="30" fillId="0" borderId="66" xfId="0" applyFont="1" applyBorder="1" applyAlignment="1">
      <alignment horizontal="left" vertical="center"/>
    </xf>
    <xf numFmtId="3" fontId="30" fillId="0" borderId="66" xfId="0" applyNumberFormat="1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3" fontId="46" fillId="0" borderId="66" xfId="0" applyNumberFormat="1" applyFont="1" applyBorder="1" applyAlignment="1">
      <alignment horizontal="center" vertical="center"/>
    </xf>
    <xf numFmtId="4" fontId="46" fillId="0" borderId="66" xfId="0" applyNumberFormat="1" applyFont="1" applyBorder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0" fontId="46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3" fontId="30" fillId="0" borderId="62" xfId="0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3" fontId="46" fillId="0" borderId="62" xfId="0" applyNumberFormat="1" applyFont="1" applyBorder="1" applyAlignment="1">
      <alignment horizontal="center" vertical="center"/>
    </xf>
    <xf numFmtId="4" fontId="46" fillId="0" borderId="62" xfId="0" applyNumberFormat="1" applyFont="1" applyBorder="1" applyAlignment="1">
      <alignment horizontal="center" vertical="center"/>
    </xf>
    <xf numFmtId="0" fontId="46" fillId="0" borderId="62" xfId="0" applyFont="1" applyBorder="1" applyAlignment="1">
      <alignment vertical="center"/>
    </xf>
    <xf numFmtId="0" fontId="46" fillId="0" borderId="63" xfId="0" applyFont="1" applyBorder="1" applyAlignment="1">
      <alignment vertical="center"/>
    </xf>
    <xf numFmtId="0" fontId="46" fillId="0" borderId="64" xfId="0" applyFont="1" applyBorder="1" applyAlignment="1">
      <alignment horizontal="center" vertical="center"/>
    </xf>
    <xf numFmtId="0" fontId="30" fillId="0" borderId="62" xfId="9" applyFont="1" applyBorder="1" applyAlignment="1">
      <alignment horizontal="left" vertical="center"/>
    </xf>
    <xf numFmtId="3" fontId="30" fillId="0" borderId="62" xfId="9" applyNumberFormat="1" applyFont="1" applyBorder="1" applyAlignment="1">
      <alignment horizontal="center" vertical="center"/>
    </xf>
    <xf numFmtId="0" fontId="30" fillId="0" borderId="63" xfId="9" applyFont="1" applyBorder="1" applyAlignment="1">
      <alignment horizontal="left" vertical="center"/>
    </xf>
    <xf numFmtId="0" fontId="30" fillId="0" borderId="64" xfId="9" applyFont="1" applyBorder="1" applyAlignment="1">
      <alignment horizontal="center" vertical="center"/>
    </xf>
    <xf numFmtId="0" fontId="46" fillId="4" borderId="62" xfId="0" applyFont="1" applyFill="1" applyBorder="1" applyAlignment="1">
      <alignment horizontal="center" vertical="center"/>
    </xf>
    <xf numFmtId="0" fontId="46" fillId="0" borderId="65" xfId="0" applyFont="1" applyBorder="1" applyAlignment="1">
      <alignment horizontal="center" vertical="center"/>
    </xf>
    <xf numFmtId="0" fontId="30" fillId="0" borderId="136" xfId="9" applyFont="1" applyBorder="1" applyAlignment="1">
      <alignment horizontal="left" vertical="center"/>
    </xf>
    <xf numFmtId="0" fontId="30" fillId="0" borderId="68" xfId="9" applyFont="1" applyBorder="1" applyAlignment="1">
      <alignment horizontal="center" vertical="center"/>
    </xf>
    <xf numFmtId="0" fontId="30" fillId="0" borderId="65" xfId="9" applyFont="1" applyBorder="1" applyAlignment="1">
      <alignment horizontal="left" vertical="center"/>
    </xf>
    <xf numFmtId="0" fontId="30" fillId="0" borderId="65" xfId="9" applyFont="1" applyBorder="1" applyAlignment="1">
      <alignment horizontal="center" vertical="center"/>
    </xf>
    <xf numFmtId="0" fontId="30" fillId="0" borderId="65" xfId="9" applyFont="1" applyBorder="1" applyAlignment="1">
      <alignment vertical="center"/>
    </xf>
    <xf numFmtId="3" fontId="46" fillId="0" borderId="65" xfId="0" applyNumberFormat="1" applyFont="1" applyBorder="1" applyAlignment="1">
      <alignment horizontal="center" vertical="center"/>
    </xf>
    <xf numFmtId="4" fontId="30" fillId="0" borderId="65" xfId="9" applyNumberFormat="1" applyFont="1" applyBorder="1" applyAlignment="1">
      <alignment horizontal="center" vertical="center"/>
    </xf>
    <xf numFmtId="3" fontId="48" fillId="0" borderId="137" xfId="0" applyNumberFormat="1" applyFont="1" applyBorder="1" applyAlignment="1">
      <alignment horizontal="center" vertical="center"/>
    </xf>
    <xf numFmtId="4" fontId="48" fillId="0" borderId="137" xfId="0" applyNumberFormat="1" applyFont="1" applyBorder="1" applyAlignment="1">
      <alignment horizontal="center" vertical="center"/>
    </xf>
    <xf numFmtId="4" fontId="46" fillId="0" borderId="0" xfId="0" applyNumberFormat="1" applyFont="1" applyAlignment="1">
      <alignment horizontal="center" vertical="center"/>
    </xf>
    <xf numFmtId="0" fontId="30" fillId="0" borderId="0" xfId="9" applyFont="1" applyAlignment="1">
      <alignment horizontal="center" vertical="center"/>
    </xf>
    <xf numFmtId="0" fontId="30" fillId="0" borderId="0" xfId="9" applyFont="1" applyAlignment="1">
      <alignment vertical="center"/>
    </xf>
    <xf numFmtId="0" fontId="49" fillId="0" borderId="0" xfId="9" applyFont="1" applyAlignment="1">
      <alignment horizontal="center" vertical="center"/>
    </xf>
    <xf numFmtId="0" fontId="49" fillId="0" borderId="0" xfId="9" applyFont="1" applyAlignment="1">
      <alignment vertical="center"/>
    </xf>
    <xf numFmtId="0" fontId="49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50" fillId="9" borderId="138" xfId="0" applyFont="1" applyFill="1" applyBorder="1" applyAlignment="1">
      <alignment horizontal="center" vertical="center" wrapText="1"/>
    </xf>
    <xf numFmtId="188" fontId="50" fillId="9" borderId="138" xfId="0" applyNumberFormat="1" applyFont="1" applyFill="1" applyBorder="1" applyAlignment="1">
      <alignment horizontal="center" vertical="center" wrapText="1"/>
    </xf>
    <xf numFmtId="0" fontId="29" fillId="9" borderId="138" xfId="0" applyFont="1" applyFill="1" applyBorder="1" applyAlignment="1">
      <alignment horizontal="center" vertical="center"/>
    </xf>
    <xf numFmtId="0" fontId="46" fillId="0" borderId="108" xfId="0" applyFont="1" applyBorder="1" applyAlignment="1">
      <alignment horizontal="center" vertical="center"/>
    </xf>
    <xf numFmtId="0" fontId="46" fillId="0" borderId="66" xfId="0" applyFont="1" applyBorder="1" applyAlignment="1">
      <alignment vertical="center"/>
    </xf>
    <xf numFmtId="3" fontId="46" fillId="0" borderId="4" xfId="0" applyNumberFormat="1" applyFont="1" applyBorder="1" applyAlignment="1">
      <alignment horizontal="center" vertical="center"/>
    </xf>
    <xf numFmtId="0" fontId="46" fillId="0" borderId="115" xfId="0" applyFont="1" applyBorder="1" applyAlignment="1">
      <alignment horizontal="center" vertical="center"/>
    </xf>
    <xf numFmtId="0" fontId="46" fillId="0" borderId="115" xfId="0" applyFont="1" applyBorder="1" applyAlignment="1">
      <alignment vertical="center"/>
    </xf>
    <xf numFmtId="3" fontId="46" fillId="0" borderId="115" xfId="0" applyNumberFormat="1" applyFont="1" applyBorder="1" applyAlignment="1">
      <alignment horizontal="center" vertical="center"/>
    </xf>
    <xf numFmtId="3" fontId="46" fillId="0" borderId="12" xfId="0" applyNumberFormat="1" applyFont="1" applyBorder="1" applyAlignment="1">
      <alignment horizontal="center" vertical="center"/>
    </xf>
    <xf numFmtId="3" fontId="51" fillId="0" borderId="34" xfId="0" applyNumberFormat="1" applyFont="1" applyBorder="1" applyAlignment="1">
      <alignment horizontal="center" vertical="center"/>
    </xf>
    <xf numFmtId="3" fontId="48" fillId="0" borderId="34" xfId="0" applyNumberFormat="1" applyFont="1" applyBorder="1" applyAlignment="1">
      <alignment horizontal="center" vertical="center"/>
    </xf>
    <xf numFmtId="4" fontId="48" fillId="0" borderId="34" xfId="0" applyNumberFormat="1" applyFont="1" applyBorder="1" applyAlignment="1">
      <alignment horizontal="center" vertical="center"/>
    </xf>
    <xf numFmtId="0" fontId="29" fillId="9" borderId="140" xfId="0" applyFont="1" applyFill="1" applyBorder="1" applyAlignment="1">
      <alignment horizontal="center" vertical="center"/>
    </xf>
    <xf numFmtId="3" fontId="51" fillId="0" borderId="143" xfId="0" applyNumberFormat="1" applyFont="1" applyBorder="1" applyAlignment="1">
      <alignment horizontal="center" vertical="center"/>
    </xf>
    <xf numFmtId="3" fontId="48" fillId="0" borderId="143" xfId="0" applyNumberFormat="1" applyFont="1" applyBorder="1" applyAlignment="1">
      <alignment horizontal="center" vertical="center"/>
    </xf>
    <xf numFmtId="4" fontId="48" fillId="0" borderId="143" xfId="0" applyNumberFormat="1" applyFont="1" applyBorder="1" applyAlignment="1">
      <alignment horizontal="center" vertical="center"/>
    </xf>
    <xf numFmtId="0" fontId="30" fillId="0" borderId="108" xfId="0" applyFont="1" applyBorder="1" applyAlignment="1">
      <alignment vertical="center"/>
    </xf>
    <xf numFmtId="3" fontId="30" fillId="0" borderId="108" xfId="0" applyNumberFormat="1" applyFont="1" applyBorder="1" applyAlignment="1">
      <alignment horizontal="center" vertical="center"/>
    </xf>
    <xf numFmtId="3" fontId="46" fillId="0" borderId="108" xfId="0" applyNumberFormat="1" applyFont="1" applyBorder="1" applyAlignment="1">
      <alignment horizontal="center" vertical="center"/>
    </xf>
    <xf numFmtId="4" fontId="46" fillId="0" borderId="108" xfId="0" applyNumberFormat="1" applyFont="1" applyBorder="1" applyAlignment="1">
      <alignment horizontal="center" vertical="center"/>
    </xf>
    <xf numFmtId="0" fontId="30" fillId="0" borderId="62" xfId="0" applyFont="1" applyBorder="1" applyAlignment="1">
      <alignment vertical="center"/>
    </xf>
    <xf numFmtId="4" fontId="46" fillId="0" borderId="115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vertical="center"/>
    </xf>
    <xf numFmtId="3" fontId="46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2" fillId="0" borderId="11" xfId="0" applyFont="1" applyBorder="1" applyAlignment="1">
      <alignment horizontal="center" vertical="center"/>
    </xf>
    <xf numFmtId="15" fontId="52" fillId="0" borderId="11" xfId="0" applyNumberFormat="1" applyFont="1" applyBorder="1" applyAlignment="1">
      <alignment horizontal="center" vertical="center"/>
    </xf>
    <xf numFmtId="0" fontId="52" fillId="0" borderId="11" xfId="0" applyFont="1" applyBorder="1" applyAlignment="1">
      <alignment horizontal="left" vertical="top" wrapText="1"/>
    </xf>
    <xf numFmtId="0" fontId="52" fillId="0" borderId="11" xfId="0" applyFont="1" applyBorder="1" applyAlignment="1">
      <alignment horizontal="left" vertical="top"/>
    </xf>
    <xf numFmtId="0" fontId="52" fillId="0" borderId="11" xfId="0" applyFont="1" applyBorder="1" applyAlignment="1">
      <alignment horizontal="left" vertical="center" wrapText="1"/>
    </xf>
    <xf numFmtId="0" fontId="52" fillId="0" borderId="11" xfId="0" applyFont="1" applyBorder="1" applyAlignment="1">
      <alignment horizontal="left" vertical="center"/>
    </xf>
    <xf numFmtId="0" fontId="53" fillId="0" borderId="11" xfId="0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6" fillId="10" borderId="11" xfId="0" applyFont="1" applyFill="1" applyBorder="1" applyAlignment="1">
      <alignment horizontal="left" vertical="center"/>
    </xf>
    <xf numFmtId="0" fontId="26" fillId="10" borderId="21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0" fontId="26" fillId="10" borderId="16" xfId="0" applyFont="1" applyFill="1" applyBorder="1" applyAlignment="1">
      <alignment horizontal="left" vertical="center"/>
    </xf>
    <xf numFmtId="2" fontId="26" fillId="10" borderId="16" xfId="0" applyNumberFormat="1" applyFont="1" applyFill="1" applyBorder="1" applyAlignment="1">
      <alignment horizontal="center" vertical="center"/>
    </xf>
    <xf numFmtId="0" fontId="26" fillId="10" borderId="21" xfId="0" applyFont="1" applyFill="1" applyBorder="1" applyAlignment="1">
      <alignment vertical="center"/>
    </xf>
    <xf numFmtId="0" fontId="26" fillId="10" borderId="6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3" fontId="23" fillId="0" borderId="6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3" fontId="57" fillId="0" borderId="6" xfId="0" applyNumberFormat="1" applyFont="1" applyBorder="1" applyAlignment="1">
      <alignment horizontal="center" vertical="center"/>
    </xf>
    <xf numFmtId="4" fontId="23" fillId="0" borderId="6" xfId="0" applyNumberFormat="1" applyFont="1" applyBorder="1" applyAlignment="1">
      <alignment horizontal="center" vertical="center"/>
    </xf>
    <xf numFmtId="3" fontId="23" fillId="0" borderId="6" xfId="2" applyNumberFormat="1" applyFont="1" applyFill="1" applyBorder="1" applyAlignment="1">
      <alignment horizontal="center" vertical="center"/>
    </xf>
    <xf numFmtId="41" fontId="23" fillId="0" borderId="0" xfId="2" applyFont="1" applyAlignment="1">
      <alignment vertical="center"/>
    </xf>
    <xf numFmtId="0" fontId="23" fillId="0" borderId="4" xfId="0" applyFont="1" applyBorder="1" applyAlignment="1">
      <alignment horizontal="left" vertical="center"/>
    </xf>
    <xf numFmtId="3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3" fontId="57" fillId="0" borderId="4" xfId="0" applyNumberFormat="1" applyFont="1" applyBorder="1" applyAlignment="1">
      <alignment horizontal="center" vertical="center"/>
    </xf>
    <xf numFmtId="3" fontId="23" fillId="0" borderId="4" xfId="2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vertical="center" indent="2"/>
    </xf>
    <xf numFmtId="2" fontId="23" fillId="0" borderId="4" xfId="0" applyNumberFormat="1" applyFont="1" applyBorder="1" applyAlignment="1">
      <alignment horizontal="center" vertical="center"/>
    </xf>
    <xf numFmtId="2" fontId="57" fillId="0" borderId="4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vertical="center"/>
    </xf>
    <xf numFmtId="180" fontId="23" fillId="0" borderId="4" xfId="0" applyNumberFormat="1" applyFont="1" applyBorder="1" applyAlignment="1">
      <alignment horizontal="center" vertical="center"/>
    </xf>
    <xf numFmtId="0" fontId="26" fillId="13" borderId="16" xfId="0" applyFont="1" applyFill="1" applyBorder="1" applyAlignment="1">
      <alignment horizontal="left" vertical="center"/>
    </xf>
    <xf numFmtId="0" fontId="23" fillId="13" borderId="50" xfId="0" applyFont="1" applyFill="1" applyBorder="1" applyAlignment="1">
      <alignment horizontal="center" vertical="center"/>
    </xf>
    <xf numFmtId="0" fontId="23" fillId="13" borderId="50" xfId="0" applyFont="1" applyFill="1" applyBorder="1" applyAlignment="1">
      <alignment vertical="center"/>
    </xf>
    <xf numFmtId="3" fontId="26" fillId="14" borderId="21" xfId="0" applyNumberFormat="1" applyFont="1" applyFill="1" applyBorder="1" applyAlignment="1">
      <alignment horizontal="center" vertical="center"/>
    </xf>
    <xf numFmtId="187" fontId="31" fillId="4" borderId="11" xfId="0" applyNumberFormat="1" applyFont="1" applyFill="1" applyBorder="1" applyAlignment="1">
      <alignment horizontal="center" vertical="center"/>
    </xf>
    <xf numFmtId="3" fontId="26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0" fontId="26" fillId="10" borderId="27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left" vertical="center"/>
    </xf>
    <xf numFmtId="2" fontId="26" fillId="5" borderId="6" xfId="0" applyNumberFormat="1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vertical="center"/>
    </xf>
    <xf numFmtId="0" fontId="26" fillId="5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left" vertical="center"/>
    </xf>
    <xf numFmtId="0" fontId="23" fillId="5" borderId="0" xfId="0" applyFont="1" applyFill="1" applyAlignment="1">
      <alignment vertical="center"/>
    </xf>
    <xf numFmtId="1" fontId="23" fillId="0" borderId="4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3" fontId="26" fillId="13" borderId="50" xfId="0" applyNumberFormat="1" applyFont="1" applyFill="1" applyBorder="1" applyAlignment="1">
      <alignment horizontal="center" vertical="center"/>
    </xf>
    <xf numFmtId="3" fontId="26" fillId="5" borderId="0" xfId="0" applyNumberFormat="1" applyFont="1" applyFill="1" applyAlignment="1">
      <alignment horizontal="center" vertical="center"/>
    </xf>
    <xf numFmtId="3" fontId="23" fillId="0" borderId="14" xfId="2" applyNumberFormat="1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60" fillId="15" borderId="0" xfId="0" applyFont="1" applyFill="1" applyAlignment="1">
      <alignment horizontal="center" vertical="center"/>
    </xf>
    <xf numFmtId="0" fontId="61" fillId="0" borderId="0" xfId="0" applyFont="1" applyAlignment="1">
      <alignment vertical="center"/>
    </xf>
    <xf numFmtId="0" fontId="26" fillId="0" borderId="4" xfId="0" applyFont="1" applyBorder="1" applyAlignment="1">
      <alignment horizontal="left" vertical="center"/>
    </xf>
    <xf numFmtId="0" fontId="60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wrapText="1"/>
    </xf>
    <xf numFmtId="3" fontId="60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3" fontId="23" fillId="0" borderId="4" xfId="14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4" fontId="23" fillId="0" borderId="4" xfId="0" applyNumberFormat="1" applyFont="1" applyBorder="1" applyAlignment="1">
      <alignment horizontal="center" vertical="center"/>
    </xf>
    <xf numFmtId="3" fontId="61" fillId="0" borderId="132" xfId="14" applyNumberFormat="1" applyFont="1" applyBorder="1" applyAlignment="1">
      <alignment horizontal="center" vertical="center"/>
    </xf>
    <xf numFmtId="177" fontId="23" fillId="0" borderId="4" xfId="14" applyNumberFormat="1" applyFont="1" applyBorder="1" applyAlignment="1">
      <alignment vertical="center"/>
    </xf>
    <xf numFmtId="0" fontId="60" fillId="0" borderId="8" xfId="0" applyFont="1" applyBorder="1" applyAlignment="1">
      <alignment horizontal="center" vertical="center"/>
    </xf>
    <xf numFmtId="0" fontId="61" fillId="0" borderId="125" xfId="0" applyFont="1" applyBorder="1" applyAlignment="1">
      <alignment horizontal="left" vertical="center"/>
    </xf>
    <xf numFmtId="3" fontId="61" fillId="0" borderId="125" xfId="14" applyNumberFormat="1" applyFont="1" applyBorder="1" applyAlignment="1">
      <alignment horizontal="center" vertical="center"/>
    </xf>
    <xf numFmtId="0" fontId="60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3" fillId="0" borderId="108" xfId="0" applyFont="1" applyBorder="1" applyAlignment="1">
      <alignment horizontal="left" vertical="center"/>
    </xf>
    <xf numFmtId="0" fontId="23" fillId="0" borderId="108" xfId="0" applyFont="1" applyBorder="1" applyAlignment="1">
      <alignment horizontal="center" vertical="center"/>
    </xf>
    <xf numFmtId="4" fontId="23" fillId="0" borderId="108" xfId="0" applyNumberFormat="1" applyFont="1" applyBorder="1" applyAlignment="1">
      <alignment horizontal="center" vertical="center"/>
    </xf>
    <xf numFmtId="3" fontId="23" fillId="0" borderId="108" xfId="0" applyNumberFormat="1" applyFont="1" applyBorder="1" applyAlignment="1">
      <alignment horizontal="center" vertical="center"/>
    </xf>
    <xf numFmtId="3" fontId="23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3" fillId="0" borderId="62" xfId="0" applyFont="1" applyBorder="1" applyAlignment="1">
      <alignment horizontal="left" vertical="center"/>
    </xf>
    <xf numFmtId="0" fontId="23" fillId="0" borderId="62" xfId="0" applyFont="1" applyBorder="1" applyAlignment="1">
      <alignment horizontal="center" vertical="center"/>
    </xf>
    <xf numFmtId="4" fontId="23" fillId="0" borderId="62" xfId="0" applyNumberFormat="1" applyFont="1" applyBorder="1" applyAlignment="1">
      <alignment horizontal="center" vertical="center"/>
    </xf>
    <xf numFmtId="3" fontId="23" fillId="0" borderId="62" xfId="0" applyNumberFormat="1" applyFont="1" applyBorder="1" applyAlignment="1">
      <alignment horizontal="center" vertical="center"/>
    </xf>
    <xf numFmtId="3" fontId="23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3" fillId="0" borderId="115" xfId="0" applyFont="1" applyBorder="1" applyAlignment="1">
      <alignment horizontal="left" vertical="center"/>
    </xf>
    <xf numFmtId="0" fontId="23" fillId="0" borderId="115" xfId="0" applyFont="1" applyBorder="1" applyAlignment="1">
      <alignment horizontal="center" vertical="center"/>
    </xf>
    <xf numFmtId="4" fontId="23" fillId="0" borderId="115" xfId="0" applyNumberFormat="1" applyFont="1" applyBorder="1" applyAlignment="1">
      <alignment horizontal="center" vertical="center"/>
    </xf>
    <xf numFmtId="3" fontId="23" fillId="0" borderId="115" xfId="0" applyNumberFormat="1" applyFont="1" applyBorder="1" applyAlignment="1">
      <alignment horizontal="center" vertical="center"/>
    </xf>
    <xf numFmtId="3" fontId="23" fillId="0" borderId="116" xfId="0" applyNumberFormat="1" applyFont="1" applyBorder="1" applyAlignment="1">
      <alignment horizontal="center" vertical="center"/>
    </xf>
    <xf numFmtId="3" fontId="63" fillId="4" borderId="2" xfId="0" applyNumberFormat="1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vertical="center"/>
    </xf>
    <xf numFmtId="3" fontId="26" fillId="10" borderId="57" xfId="0" applyNumberFormat="1" applyFont="1" applyFill="1" applyBorder="1" applyAlignment="1">
      <alignment horizontal="center" vertical="center"/>
    </xf>
    <xf numFmtId="3" fontId="26" fillId="10" borderId="2" xfId="0" applyNumberFormat="1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179" fontId="23" fillId="0" borderId="6" xfId="0" applyNumberFormat="1" applyFont="1" applyBorder="1" applyAlignment="1">
      <alignment horizontal="center" vertical="center"/>
    </xf>
    <xf numFmtId="187" fontId="23" fillId="0" borderId="6" xfId="15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3" fontId="23" fillId="4" borderId="11" xfId="0" applyNumberFormat="1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187" fontId="23" fillId="0" borderId="4" xfId="15" applyNumberFormat="1" applyFont="1" applyBorder="1" applyAlignment="1">
      <alignment horizontal="center" vertical="center"/>
    </xf>
    <xf numFmtId="41" fontId="23" fillId="0" borderId="0" xfId="15" applyFont="1" applyAlignment="1">
      <alignment vertical="center"/>
    </xf>
    <xf numFmtId="187" fontId="26" fillId="13" borderId="11" xfId="0" applyNumberFormat="1" applyFont="1" applyFill="1" applyBorder="1" applyAlignment="1">
      <alignment horizontal="center" vertical="center"/>
    </xf>
    <xf numFmtId="43" fontId="61" fillId="0" borderId="0" xfId="0" applyNumberFormat="1" applyFont="1" applyAlignment="1">
      <alignment horizontal="right" vertical="center"/>
    </xf>
    <xf numFmtId="4" fontId="23" fillId="0" borderId="6" xfId="0" applyNumberFormat="1" applyFont="1" applyBorder="1" applyAlignment="1">
      <alignment horizontal="right" vertical="center"/>
    </xf>
    <xf numFmtId="3" fontId="23" fillId="0" borderId="6" xfId="0" applyNumberFormat="1" applyFont="1" applyBorder="1" applyAlignment="1">
      <alignment vertical="center"/>
    </xf>
    <xf numFmtId="41" fontId="23" fillId="0" borderId="6" xfId="15" applyFont="1" applyBorder="1" applyAlignment="1">
      <alignment horizontal="right" vertical="center"/>
    </xf>
    <xf numFmtId="41" fontId="23" fillId="0" borderId="4" xfId="15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3" fontId="26" fillId="4" borderId="11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" fontId="23" fillId="0" borderId="0" xfId="0" applyNumberFormat="1" applyFont="1" applyAlignment="1">
      <alignment vertical="center"/>
    </xf>
    <xf numFmtId="3" fontId="27" fillId="4" borderId="40" xfId="7" applyNumberFormat="1" applyFont="1" applyFill="1" applyBorder="1" applyAlignment="1">
      <alignment horizontal="center" vertical="center"/>
    </xf>
    <xf numFmtId="3" fontId="23" fillId="4" borderId="0" xfId="0" applyNumberFormat="1" applyFont="1" applyFill="1" applyAlignment="1">
      <alignment horizontal="right" vertical="center"/>
    </xf>
    <xf numFmtId="3" fontId="27" fillId="4" borderId="100" xfId="7" applyNumberFormat="1" applyFont="1" applyFill="1" applyBorder="1" applyAlignment="1">
      <alignment horizontal="center" vertical="center"/>
    </xf>
    <xf numFmtId="3" fontId="28" fillId="4" borderId="40" xfId="0" applyNumberFormat="1" applyFont="1" applyFill="1" applyBorder="1" applyAlignment="1">
      <alignment horizontal="center" vertical="center"/>
    </xf>
    <xf numFmtId="3" fontId="27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6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5" fillId="0" borderId="0" xfId="16" applyFont="1"/>
    <xf numFmtId="0" fontId="65" fillId="0" borderId="0" xfId="16" applyFont="1" applyAlignment="1">
      <alignment horizontal="center" vertical="center"/>
    </xf>
    <xf numFmtId="0" fontId="65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6" fillId="0" borderId="0" xfId="16" applyFont="1" applyAlignment="1">
      <alignment horizontal="left" vertical="center"/>
    </xf>
    <xf numFmtId="0" fontId="67" fillId="0" borderId="0" xfId="16" applyFont="1" applyAlignment="1">
      <alignment horizontal="left" vertical="center"/>
    </xf>
    <xf numFmtId="0" fontId="67" fillId="0" borderId="0" xfId="16" applyFont="1" applyAlignment="1">
      <alignment horizontal="center" vertical="center"/>
    </xf>
    <xf numFmtId="0" fontId="67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153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8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5" fillId="0" borderId="0" xfId="16" applyNumberFormat="1" applyFont="1"/>
    <xf numFmtId="166" fontId="65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5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7" fillId="5" borderId="4" xfId="16" quotePrefix="1" applyFont="1" applyFill="1" applyBorder="1" applyAlignment="1">
      <alignment vertical="center"/>
    </xf>
    <xf numFmtId="0" fontId="67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5" fillId="0" borderId="0" xfId="5" applyFont="1"/>
    <xf numFmtId="0" fontId="37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5" fillId="0" borderId="0" xfId="16" applyFont="1" applyAlignment="1">
      <alignment vertical="center"/>
    </xf>
    <xf numFmtId="0" fontId="69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7" fillId="0" borderId="6" xfId="16" applyFont="1" applyBorder="1" applyAlignment="1">
      <alignment vertical="center"/>
    </xf>
    <xf numFmtId="0" fontId="69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5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7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9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7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164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4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9" fillId="5" borderId="0" xfId="16" quotePrefix="1" applyFont="1" applyFill="1" applyAlignment="1">
      <alignment horizontal="left" vertical="center"/>
    </xf>
    <xf numFmtId="0" fontId="19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50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8" fillId="0" borderId="0" xfId="16" applyFont="1" applyAlignment="1">
      <alignment horizontal="center" vertical="center"/>
    </xf>
    <xf numFmtId="0" fontId="68" fillId="0" borderId="0" xfId="16" applyFont="1" applyAlignment="1">
      <alignment vertical="center"/>
    </xf>
    <xf numFmtId="0" fontId="68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2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2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2" fillId="0" borderId="0" xfId="16" quotePrefix="1" applyFont="1" applyAlignment="1">
      <alignment vertical="center"/>
    </xf>
    <xf numFmtId="0" fontId="72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7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3" fillId="0" borderId="0" xfId="16" quotePrefix="1" applyFont="1" applyAlignment="1">
      <alignment horizontal="center" vertical="center"/>
    </xf>
    <xf numFmtId="0" fontId="73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6" fillId="0" borderId="0" xfId="16" applyFont="1" applyAlignment="1">
      <alignment horizontal="center" vertical="center"/>
    </xf>
    <xf numFmtId="0" fontId="76" fillId="0" borderId="0" xfId="16" applyFont="1"/>
    <xf numFmtId="40" fontId="76" fillId="0" borderId="0" xfId="16" applyNumberFormat="1" applyFont="1"/>
    <xf numFmtId="0" fontId="77" fillId="6" borderId="154" xfId="16" applyFont="1" applyFill="1" applyBorder="1" applyAlignment="1">
      <alignment horizontal="center" vertical="center"/>
    </xf>
    <xf numFmtId="0" fontId="77" fillId="6" borderId="155" xfId="16" applyFont="1" applyFill="1" applyBorder="1" applyAlignment="1">
      <alignment horizontal="center" vertical="center"/>
    </xf>
    <xf numFmtId="192" fontId="77" fillId="6" borderId="155" xfId="16" applyNumberFormat="1" applyFont="1" applyFill="1" applyBorder="1" applyAlignment="1">
      <alignment horizontal="center" vertical="center"/>
    </xf>
    <xf numFmtId="40" fontId="77" fillId="6" borderId="155" xfId="16" applyNumberFormat="1" applyFont="1" applyFill="1" applyBorder="1" applyAlignment="1">
      <alignment horizontal="center" vertical="center" wrapText="1"/>
    </xf>
    <xf numFmtId="192" fontId="77" fillId="6" borderId="156" xfId="16" applyNumberFormat="1" applyFont="1" applyFill="1" applyBorder="1" applyAlignment="1">
      <alignment horizontal="center" vertical="center"/>
    </xf>
    <xf numFmtId="0" fontId="24" fillId="0" borderId="31" xfId="16" applyFont="1" applyBorder="1" applyAlignment="1">
      <alignment vertical="center"/>
    </xf>
    <xf numFmtId="0" fontId="24" fillId="0" borderId="4" xfId="16" applyFont="1" applyBorder="1" applyAlignment="1">
      <alignment horizontal="center" vertical="center"/>
    </xf>
    <xf numFmtId="166" fontId="24" fillId="5" borderId="4" xfId="5" applyNumberFormat="1" applyFont="1" applyFill="1" applyBorder="1" applyAlignment="1">
      <alignment horizontal="center" vertical="center"/>
    </xf>
    <xf numFmtId="188" fontId="24" fillId="0" borderId="4" xfId="12" applyFont="1" applyFill="1" applyBorder="1" applyAlignment="1">
      <alignment horizontal="center" vertical="center"/>
    </xf>
    <xf numFmtId="10" fontId="24" fillId="5" borderId="94" xfId="5" applyNumberFormat="1" applyFont="1" applyFill="1" applyBorder="1" applyAlignment="1">
      <alignment horizontal="center" vertical="center" wrapText="1"/>
    </xf>
    <xf numFmtId="40" fontId="77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4" fillId="0" borderId="0" xfId="5" applyFont="1" applyFill="1" applyAlignment="1">
      <alignment vertical="center"/>
    </xf>
    <xf numFmtId="0" fontId="24" fillId="0" borderId="112" xfId="16" applyFont="1" applyBorder="1" applyAlignment="1">
      <alignment vertical="center"/>
    </xf>
    <xf numFmtId="0" fontId="24" fillId="0" borderId="65" xfId="16" applyFont="1" applyBorder="1" applyAlignment="1">
      <alignment horizontal="center" vertical="center"/>
    </xf>
    <xf numFmtId="166" fontId="24" fillId="5" borderId="65" xfId="5" applyNumberFormat="1" applyFont="1" applyFill="1" applyBorder="1" applyAlignment="1">
      <alignment horizontal="center" vertical="center"/>
    </xf>
    <xf numFmtId="188" fontId="24" fillId="0" borderId="65" xfId="12" applyFont="1" applyFill="1" applyBorder="1" applyAlignment="1">
      <alignment horizontal="center" vertical="center"/>
    </xf>
    <xf numFmtId="10" fontId="24" fillId="5" borderId="66" xfId="5" applyNumberFormat="1" applyFont="1" applyFill="1" applyBorder="1" applyAlignment="1">
      <alignment horizontal="center" vertical="center" wrapText="1"/>
    </xf>
    <xf numFmtId="40" fontId="77" fillId="5" borderId="157" xfId="16" applyNumberFormat="1" applyFont="1" applyFill="1" applyBorder="1" applyAlignment="1">
      <alignment horizontal="left" vertical="center" wrapText="1"/>
    </xf>
    <xf numFmtId="0" fontId="77" fillId="6" borderId="31" xfId="16" applyFont="1" applyFill="1" applyBorder="1" applyAlignment="1">
      <alignment vertical="center"/>
    </xf>
    <xf numFmtId="0" fontId="24" fillId="6" borderId="66" xfId="16" applyFont="1" applyFill="1" applyBorder="1" applyAlignment="1">
      <alignment horizontal="center" vertical="center"/>
    </xf>
    <xf numFmtId="193" fontId="24" fillId="6" borderId="66" xfId="12" applyNumberFormat="1" applyFont="1" applyFill="1" applyBorder="1" applyAlignment="1">
      <alignment horizontal="center" vertical="center"/>
    </xf>
    <xf numFmtId="188" fontId="24" fillId="6" borderId="66" xfId="12" applyFont="1" applyFill="1" applyBorder="1" applyAlignment="1">
      <alignment horizontal="center" vertical="center"/>
    </xf>
    <xf numFmtId="40" fontId="24" fillId="6" borderId="66" xfId="16" applyNumberFormat="1" applyFont="1" applyFill="1" applyBorder="1" applyAlignment="1">
      <alignment horizontal="center" vertical="center" wrapText="1"/>
    </xf>
    <xf numFmtId="40" fontId="24" fillId="6" borderId="158" xfId="16" applyNumberFormat="1" applyFont="1" applyFill="1" applyBorder="1" applyAlignment="1">
      <alignment horizontal="center" vertical="center" wrapText="1"/>
    </xf>
    <xf numFmtId="0" fontId="24" fillId="0" borderId="111" xfId="16" applyFont="1" applyBorder="1"/>
    <xf numFmtId="0" fontId="24" fillId="0" borderId="62" xfId="16" applyFont="1" applyBorder="1" applyAlignment="1">
      <alignment horizontal="center"/>
    </xf>
    <xf numFmtId="188" fontId="24" fillId="5" borderId="62" xfId="12" applyFont="1" applyFill="1" applyBorder="1" applyAlignment="1">
      <alignment horizontal="center" vertical="center"/>
    </xf>
    <xf numFmtId="166" fontId="24" fillId="5" borderId="62" xfId="5" applyNumberFormat="1" applyFont="1" applyFill="1" applyBorder="1" applyAlignment="1">
      <alignment horizontal="center" vertical="center"/>
    </xf>
    <xf numFmtId="166" fontId="24" fillId="5" borderId="62" xfId="5" applyNumberFormat="1" applyFont="1" applyFill="1" applyBorder="1" applyAlignment="1">
      <alignment horizontal="right" vertical="center"/>
    </xf>
    <xf numFmtId="40" fontId="24" fillId="5" borderId="97" xfId="16" applyNumberFormat="1" applyFont="1" applyFill="1" applyBorder="1" applyAlignment="1">
      <alignment horizontal="left" vertical="center" wrapText="1"/>
    </xf>
    <xf numFmtId="40" fontId="24" fillId="5" borderId="97" xfId="16" applyNumberFormat="1" applyFont="1" applyFill="1" applyBorder="1" applyAlignment="1">
      <alignment horizontal="center" vertical="center" wrapText="1"/>
    </xf>
    <xf numFmtId="0" fontId="24" fillId="0" borderId="111" xfId="16" applyFont="1" applyBorder="1" applyAlignment="1">
      <alignment vertical="center"/>
    </xf>
    <xf numFmtId="0" fontId="24" fillId="0" borderId="62" xfId="16" applyFont="1" applyBorder="1" applyAlignment="1">
      <alignment horizontal="center" vertical="center"/>
    </xf>
    <xf numFmtId="0" fontId="77" fillId="6" borderId="111" xfId="16" applyFont="1" applyFill="1" applyBorder="1"/>
    <xf numFmtId="0" fontId="24" fillId="6" borderId="62" xfId="16" applyFont="1" applyFill="1" applyBorder="1" applyAlignment="1">
      <alignment horizontal="center"/>
    </xf>
    <xf numFmtId="194" fontId="24" fillId="6" borderId="62" xfId="16" applyNumberFormat="1" applyFont="1" applyFill="1" applyBorder="1" applyAlignment="1">
      <alignment horizontal="center" vertical="center"/>
    </xf>
    <xf numFmtId="193" fontId="24" fillId="6" borderId="62" xfId="16" applyNumberFormat="1" applyFont="1" applyFill="1" applyBorder="1"/>
    <xf numFmtId="40" fontId="24" fillId="6" borderId="62" xfId="16" applyNumberFormat="1" applyFont="1" applyFill="1" applyBorder="1"/>
    <xf numFmtId="40" fontId="24" fillId="6" borderId="97" xfId="16" applyNumberFormat="1" applyFont="1" applyFill="1" applyBorder="1" applyAlignment="1">
      <alignment horizontal="center"/>
    </xf>
    <xf numFmtId="188" fontId="24" fillId="5" borderId="62" xfId="16" applyNumberFormat="1" applyFont="1" applyFill="1" applyBorder="1" applyAlignment="1">
      <alignment horizontal="center" vertical="center"/>
    </xf>
    <xf numFmtId="166" fontId="24" fillId="5" borderId="62" xfId="5" applyNumberFormat="1" applyFont="1" applyFill="1" applyBorder="1" applyAlignment="1">
      <alignment vertical="center"/>
    </xf>
    <xf numFmtId="40" fontId="24" fillId="5" borderId="97" xfId="16" applyNumberFormat="1" applyFont="1" applyFill="1" applyBorder="1" applyAlignment="1">
      <alignment horizontal="center" vertical="center"/>
    </xf>
    <xf numFmtId="188" fontId="24" fillId="5" borderId="65" xfId="16" applyNumberFormat="1" applyFont="1" applyFill="1" applyBorder="1" applyAlignment="1">
      <alignment horizontal="center" vertical="center"/>
    </xf>
    <xf numFmtId="166" fontId="24" fillId="5" borderId="65" xfId="5" applyNumberFormat="1" applyFont="1" applyFill="1" applyBorder="1" applyAlignment="1">
      <alignment vertical="center"/>
    </xf>
    <xf numFmtId="40" fontId="24" fillId="5" borderId="157" xfId="16" applyNumberFormat="1" applyFont="1" applyFill="1" applyBorder="1" applyAlignment="1">
      <alignment horizontal="center" vertical="center"/>
    </xf>
    <xf numFmtId="0" fontId="77" fillId="6" borderId="4" xfId="16" applyFont="1" applyFill="1" applyBorder="1" applyAlignment="1">
      <alignment horizontal="center" vertical="center"/>
    </xf>
    <xf numFmtId="192" fontId="77" fillId="6" borderId="4" xfId="16" applyNumberFormat="1" applyFont="1" applyFill="1" applyBorder="1" applyAlignment="1">
      <alignment horizontal="center" vertical="center"/>
    </xf>
    <xf numFmtId="192" fontId="77" fillId="6" borderId="6" xfId="16" applyNumberFormat="1" applyFont="1" applyFill="1" applyBorder="1" applyAlignment="1">
      <alignment horizontal="center" vertical="center"/>
    </xf>
    <xf numFmtId="40" fontId="77" fillId="6" borderId="8" xfId="16" applyNumberFormat="1" applyFont="1" applyFill="1" applyBorder="1" applyAlignment="1">
      <alignment horizontal="center" vertical="center" wrapText="1"/>
    </xf>
    <xf numFmtId="40" fontId="77" fillId="6" borderId="158" xfId="16" applyNumberFormat="1" applyFont="1" applyFill="1" applyBorder="1" applyAlignment="1">
      <alignment horizontal="center" vertical="center" wrapText="1"/>
    </xf>
    <xf numFmtId="193" fontId="24" fillId="0" borderId="62" xfId="16" applyNumberFormat="1" applyFont="1" applyBorder="1" applyAlignment="1">
      <alignment horizontal="right" vertical="center"/>
    </xf>
    <xf numFmtId="2" fontId="24" fillId="0" borderId="65" xfId="16" applyNumberFormat="1" applyFont="1" applyBorder="1" applyAlignment="1">
      <alignment horizontal="right" vertical="center" wrapText="1"/>
    </xf>
    <xf numFmtId="164" fontId="24" fillId="0" borderId="64" xfId="5" applyFont="1" applyBorder="1" applyAlignment="1">
      <alignment horizontal="right" vertical="center"/>
    </xf>
    <xf numFmtId="0" fontId="24" fillId="0" borderId="100" xfId="16" applyFont="1" applyBorder="1" applyAlignment="1">
      <alignment horizontal="left" vertical="center" wrapText="1"/>
    </xf>
    <xf numFmtId="0" fontId="24" fillId="0" borderId="97" xfId="16" applyFont="1" applyBorder="1" applyAlignment="1">
      <alignment vertical="center" wrapText="1"/>
    </xf>
    <xf numFmtId="0" fontId="24" fillId="0" borderId="117" xfId="16" applyFont="1" applyBorder="1" applyAlignment="1">
      <alignment vertical="center" wrapText="1"/>
    </xf>
    <xf numFmtId="164" fontId="24" fillId="0" borderId="62" xfId="5" applyFont="1" applyBorder="1" applyAlignment="1">
      <alignment horizontal="right" vertical="center"/>
    </xf>
    <xf numFmtId="0" fontId="24" fillId="0" borderId="117" xfId="16" applyFont="1" applyBorder="1" applyAlignment="1">
      <alignment horizontal="left" vertical="center" wrapText="1"/>
    </xf>
    <xf numFmtId="193" fontId="24" fillId="0" borderId="97" xfId="12" applyNumberFormat="1" applyFont="1" applyBorder="1" applyAlignment="1">
      <alignment horizontal="left" vertical="center"/>
    </xf>
    <xf numFmtId="0" fontId="77" fillId="7" borderId="111" xfId="16" applyFont="1" applyFill="1" applyBorder="1" applyAlignment="1">
      <alignment vertical="center"/>
    </xf>
    <xf numFmtId="0" fontId="24" fillId="7" borderId="62" xfId="16" applyFont="1" applyFill="1" applyBorder="1" applyAlignment="1">
      <alignment horizontal="center" vertical="center"/>
    </xf>
    <xf numFmtId="194" fontId="24" fillId="7" borderId="62" xfId="16" applyNumberFormat="1" applyFont="1" applyFill="1" applyBorder="1" applyAlignment="1">
      <alignment horizontal="right" vertical="center"/>
    </xf>
    <xf numFmtId="193" fontId="24" fillId="7" borderId="62" xfId="16" applyNumberFormat="1" applyFont="1" applyFill="1" applyBorder="1" applyAlignment="1">
      <alignment horizontal="right" vertical="center"/>
    </xf>
    <xf numFmtId="40" fontId="24" fillId="7" borderId="64" xfId="16" applyNumberFormat="1" applyFont="1" applyFill="1" applyBorder="1" applyAlignment="1">
      <alignment horizontal="right" vertical="center"/>
    </xf>
    <xf numFmtId="40" fontId="24" fillId="7" borderId="97" xfId="16" applyNumberFormat="1" applyFont="1" applyFill="1" applyBorder="1" applyAlignment="1">
      <alignment horizontal="center" vertical="center"/>
    </xf>
    <xf numFmtId="195" fontId="24" fillId="0" borderId="62" xfId="16" applyNumberFormat="1" applyFont="1" applyBorder="1" applyAlignment="1">
      <alignment horizontal="right" vertical="center"/>
    </xf>
    <xf numFmtId="0" fontId="77" fillId="7" borderId="152" xfId="16" applyFont="1" applyFill="1" applyBorder="1" applyAlignment="1">
      <alignment vertical="center"/>
    </xf>
    <xf numFmtId="0" fontId="24" fillId="7" borderId="115" xfId="16" applyFont="1" applyFill="1" applyBorder="1" applyAlignment="1">
      <alignment horizontal="center" vertical="center"/>
    </xf>
    <xf numFmtId="194" fontId="24" fillId="7" borderId="115" xfId="16" applyNumberFormat="1" applyFont="1" applyFill="1" applyBorder="1" applyAlignment="1">
      <alignment horizontal="center" vertical="center"/>
    </xf>
    <xf numFmtId="40" fontId="24" fillId="7" borderId="118" xfId="16" applyNumberFormat="1" applyFont="1" applyFill="1" applyBorder="1" applyAlignment="1">
      <alignment vertical="center"/>
    </xf>
    <xf numFmtId="40" fontId="24" fillId="7" borderId="116" xfId="16" applyNumberFormat="1" applyFont="1" applyFill="1" applyBorder="1" applyAlignment="1">
      <alignment horizontal="center" vertical="center"/>
    </xf>
    <xf numFmtId="0" fontId="24" fillId="0" borderId="0" xfId="16" applyFont="1" applyAlignment="1">
      <alignment horizontal="center" vertical="center"/>
    </xf>
    <xf numFmtId="40" fontId="24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41" fontId="0" fillId="0" borderId="11" xfId="2" applyFont="1" applyFill="1" applyBorder="1" applyAlignment="1">
      <alignment horizontal="center" vertical="center"/>
    </xf>
    <xf numFmtId="196" fontId="0" fillId="0" borderId="0" xfId="0" applyNumberFormat="1"/>
    <xf numFmtId="9" fontId="2" fillId="0" borderId="0" xfId="3" applyFont="1"/>
    <xf numFmtId="196" fontId="2" fillId="0" borderId="0" xfId="0" applyNumberFormat="1" applyFont="1"/>
    <xf numFmtId="9" fontId="0" fillId="0" borderId="0" xfId="3" applyFont="1"/>
    <xf numFmtId="0" fontId="79" fillId="0" borderId="0" xfId="0" applyFont="1"/>
    <xf numFmtId="0" fontId="80" fillId="0" borderId="0" xfId="17"/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2" fillId="0" borderId="168" xfId="0" applyFont="1" applyBorder="1" applyAlignment="1">
      <alignment horizontal="center" vertical="center"/>
    </xf>
    <xf numFmtId="166" fontId="2" fillId="5" borderId="108" xfId="1" applyNumberFormat="1" applyFont="1" applyFill="1" applyBorder="1" applyAlignment="1">
      <alignment vertical="center"/>
    </xf>
    <xf numFmtId="0" fontId="2" fillId="0" borderId="63" xfId="0" applyFont="1" applyBorder="1" applyAlignment="1">
      <alignment vertical="center" wrapText="1"/>
    </xf>
    <xf numFmtId="43" fontId="2" fillId="0" borderId="169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0" fillId="0" borderId="11" xfId="1" applyNumberFormat="1" applyFont="1" applyFill="1" applyBorder="1" applyAlignment="1"/>
    <xf numFmtId="166" fontId="19" fillId="0" borderId="11" xfId="1" applyNumberFormat="1" applyFont="1" applyFill="1" applyBorder="1" applyAlignment="1"/>
    <xf numFmtId="166" fontId="65" fillId="0" borderId="11" xfId="1" applyNumberFormat="1" applyFont="1" applyFill="1" applyBorder="1" applyAlignment="1"/>
    <xf numFmtId="0" fontId="2" fillId="0" borderId="170" xfId="0" applyFont="1" applyBorder="1" applyAlignment="1">
      <alignment horizontal="center" vertical="center"/>
    </xf>
    <xf numFmtId="166" fontId="2" fillId="5" borderId="62" xfId="1" applyNumberFormat="1" applyFont="1" applyFill="1" applyBorder="1" applyAlignment="1">
      <alignment vertical="center"/>
    </xf>
    <xf numFmtId="43" fontId="2" fillId="0" borderId="171" xfId="1" applyFont="1" applyFill="1" applyBorder="1" applyAlignment="1">
      <alignment vertical="center"/>
    </xf>
    <xf numFmtId="10" fontId="2" fillId="0" borderId="172" xfId="1" applyNumberFormat="1" applyFont="1" applyFill="1" applyBorder="1" applyAlignment="1">
      <alignment vertical="center"/>
    </xf>
    <xf numFmtId="0" fontId="2" fillId="0" borderId="173" xfId="0" applyFont="1" applyBorder="1" applyAlignment="1">
      <alignment horizontal="center" vertical="center"/>
    </xf>
    <xf numFmtId="166" fontId="2" fillId="5" borderId="62" xfId="1" quotePrefix="1" applyNumberFormat="1" applyFont="1" applyFill="1" applyBorder="1" applyAlignment="1">
      <alignment vertical="center"/>
    </xf>
    <xf numFmtId="166" fontId="2" fillId="5" borderId="62" xfId="1" applyNumberFormat="1" applyFont="1" applyFill="1" applyBorder="1" applyAlignment="1">
      <alignment horizontal="center" vertical="center"/>
    </xf>
    <xf numFmtId="0" fontId="10" fillId="0" borderId="173" xfId="0" applyFont="1" applyBorder="1" applyAlignment="1">
      <alignment horizontal="center" vertical="center"/>
    </xf>
    <xf numFmtId="166" fontId="2" fillId="5" borderId="62" xfId="1" applyNumberFormat="1" applyFont="1" applyFill="1" applyBorder="1"/>
    <xf numFmtId="0" fontId="10" fillId="0" borderId="174" xfId="0" applyFont="1" applyBorder="1" applyAlignment="1">
      <alignment horizontal="center" vertical="center"/>
    </xf>
    <xf numFmtId="166" fontId="2" fillId="5" borderId="65" xfId="1" applyNumberFormat="1" applyFont="1" applyFill="1" applyBorder="1" applyAlignment="1">
      <alignment vertical="center"/>
    </xf>
    <xf numFmtId="43" fontId="2" fillId="0" borderId="172" xfId="1" applyFont="1" applyFill="1" applyBorder="1" applyAlignment="1">
      <alignment vertical="center"/>
    </xf>
    <xf numFmtId="0" fontId="10" fillId="0" borderId="175" xfId="0" applyFont="1" applyBorder="1" applyAlignment="1">
      <alignment horizontal="center" vertical="center"/>
    </xf>
    <xf numFmtId="43" fontId="2" fillId="0" borderId="177" xfId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166" fontId="9" fillId="0" borderId="179" xfId="1" applyNumberFormat="1" applyFont="1" applyFill="1" applyBorder="1" applyAlignment="1">
      <alignment vertical="center"/>
    </xf>
    <xf numFmtId="0" fontId="9" fillId="0" borderId="180" xfId="0" applyFont="1" applyBorder="1" applyAlignment="1">
      <alignment vertical="center"/>
    </xf>
    <xf numFmtId="43" fontId="3" fillId="0" borderId="166" xfId="1" applyFont="1" applyFill="1" applyBorder="1" applyAlignment="1">
      <alignment vertical="center"/>
    </xf>
    <xf numFmtId="43" fontId="3" fillId="0" borderId="162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70" fillId="0" borderId="0" xfId="1" applyFont="1" applyFill="1" applyAlignment="1">
      <alignment vertical="center"/>
    </xf>
    <xf numFmtId="0" fontId="77" fillId="0" borderId="0" xfId="0" applyFont="1" applyAlignment="1">
      <alignment horizontal="center"/>
    </xf>
    <xf numFmtId="166" fontId="77" fillId="0" borderId="0" xfId="1" applyNumberFormat="1" applyFont="1" applyFill="1"/>
    <xf numFmtId="0" fontId="77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4" fontId="2" fillId="0" borderId="0" xfId="1" applyNumberFormat="1" applyFont="1" applyAlignment="1">
      <alignment vertical="center"/>
    </xf>
    <xf numFmtId="170" fontId="3" fillId="0" borderId="0" xfId="1" applyNumberFormat="1" applyFont="1"/>
    <xf numFmtId="0" fontId="2" fillId="5" borderId="173" xfId="0" applyFont="1" applyFill="1" applyBorder="1" applyAlignment="1">
      <alignment horizontal="center" vertical="center"/>
    </xf>
    <xf numFmtId="43" fontId="2" fillId="5" borderId="171" xfId="1" applyFont="1" applyFill="1" applyBorder="1" applyAlignment="1">
      <alignment vertical="center"/>
    </xf>
    <xf numFmtId="10" fontId="2" fillId="5" borderId="172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2" xfId="2" applyFont="1" applyFill="1" applyBorder="1" applyAlignment="1">
      <alignment vertical="center"/>
    </xf>
    <xf numFmtId="43" fontId="2" fillId="0" borderId="181" xfId="1" applyFont="1" applyFill="1" applyBorder="1" applyAlignment="1">
      <alignment vertical="center"/>
    </xf>
    <xf numFmtId="166" fontId="2" fillId="5" borderId="65" xfId="1" applyNumberFormat="1" applyFont="1" applyFill="1" applyBorder="1"/>
    <xf numFmtId="43" fontId="2" fillId="0" borderId="182" xfId="1" applyFont="1" applyFill="1" applyBorder="1" applyAlignment="1">
      <alignment vertical="center"/>
    </xf>
    <xf numFmtId="166" fontId="2" fillId="5" borderId="176" xfId="1" applyNumberFormat="1" applyFont="1" applyFill="1" applyBorder="1"/>
    <xf numFmtId="166" fontId="9" fillId="0" borderId="166" xfId="1" applyNumberFormat="1" applyFont="1" applyFill="1" applyBorder="1" applyAlignment="1">
      <alignment vertical="center"/>
    </xf>
    <xf numFmtId="0" fontId="9" fillId="0" borderId="162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2" fontId="2" fillId="0" borderId="0" xfId="0" applyNumberFormat="1" applyFont="1"/>
    <xf numFmtId="2" fontId="8" fillId="5" borderId="0" xfId="0" applyNumberFormat="1" applyFont="1" applyFill="1"/>
    <xf numFmtId="168" fontId="2" fillId="4" borderId="4" xfId="1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2" fillId="0" borderId="0" xfId="2" applyNumberFormat="1" applyFont="1"/>
    <xf numFmtId="166" fontId="2" fillId="0" borderId="0" xfId="3" applyNumberFormat="1" applyFont="1"/>
    <xf numFmtId="43" fontId="2" fillId="0" borderId="10" xfId="24" applyFont="1" applyFill="1" applyBorder="1"/>
    <xf numFmtId="166" fontId="2" fillId="4" borderId="11" xfId="1" applyNumberFormat="1" applyFont="1" applyFill="1" applyBorder="1"/>
    <xf numFmtId="193" fontId="24" fillId="7" borderId="115" xfId="16" applyNumberFormat="1" applyFont="1" applyFill="1" applyBorder="1" applyAlignment="1">
      <alignment vertical="center"/>
    </xf>
    <xf numFmtId="0" fontId="2" fillId="5" borderId="0" xfId="3" applyNumberFormat="1" applyFont="1" applyFill="1" applyBorder="1"/>
    <xf numFmtId="166" fontId="2" fillId="5" borderId="0" xfId="3" applyNumberFormat="1" applyFont="1" applyFill="1" applyBorder="1"/>
    <xf numFmtId="0" fontId="11" fillId="0" borderId="0" xfId="0" applyFont="1" applyAlignment="1">
      <alignment horizontal="center" vertical="center"/>
    </xf>
    <xf numFmtId="0" fontId="54" fillId="2" borderId="57" xfId="0" applyFont="1" applyFill="1" applyBorder="1" applyAlignment="1">
      <alignment horizontal="center" vertical="center"/>
    </xf>
    <xf numFmtId="0" fontId="54" fillId="2" borderId="58" xfId="0" applyFont="1" applyFill="1" applyBorder="1" applyAlignment="1">
      <alignment horizontal="center" vertical="center"/>
    </xf>
    <xf numFmtId="0" fontId="54" fillId="2" borderId="2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1" fillId="10" borderId="121" xfId="0" applyFont="1" applyFill="1" applyBorder="1" applyAlignment="1">
      <alignment horizontal="left" vertical="center"/>
    </xf>
    <xf numFmtId="0" fontId="31" fillId="10" borderId="122" xfId="0" applyFont="1" applyFill="1" applyBorder="1" applyAlignment="1">
      <alignment horizontal="left" vertical="center"/>
    </xf>
    <xf numFmtId="0" fontId="31" fillId="10" borderId="123" xfId="0" applyFont="1" applyFill="1" applyBorder="1" applyAlignment="1">
      <alignment horizontal="left" vertical="center"/>
    </xf>
    <xf numFmtId="0" fontId="43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9" fillId="0" borderId="0" xfId="16" applyFont="1" applyAlignment="1">
      <alignment horizontal="center" vertical="center"/>
    </xf>
    <xf numFmtId="0" fontId="68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9" fillId="0" borderId="159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4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5" xfId="0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7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65" fillId="5" borderId="0" xfId="16" quotePrefix="1" applyFont="1" applyFill="1" applyAlignment="1">
      <alignment horizontal="left" vertical="center"/>
    </xf>
    <xf numFmtId="0" fontId="65" fillId="5" borderId="0" xfId="16" quotePrefix="1" applyFont="1" applyFill="1" applyAlignment="1">
      <alignment horizontal="left" vertical="center" wrapText="1"/>
    </xf>
    <xf numFmtId="0" fontId="73" fillId="0" borderId="0" xfId="16" quotePrefix="1" applyFont="1" applyAlignment="1">
      <alignment horizontal="left" vertical="center"/>
    </xf>
    <xf numFmtId="0" fontId="70" fillId="0" borderId="0" xfId="16" applyFont="1" applyAlignment="1">
      <alignment horizontal="center"/>
    </xf>
    <xf numFmtId="0" fontId="71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8" fillId="0" borderId="0" xfId="16" applyFont="1" applyAlignment="1">
      <alignment horizontal="left" vertical="center"/>
    </xf>
    <xf numFmtId="0" fontId="74" fillId="0" borderId="0" xfId="16" applyFont="1" applyAlignment="1">
      <alignment horizontal="center"/>
    </xf>
    <xf numFmtId="0" fontId="75" fillId="0" borderId="0" xfId="16" applyFont="1" applyAlignment="1">
      <alignment horizontal="center"/>
    </xf>
    <xf numFmtId="0" fontId="77" fillId="6" borderId="49" xfId="16" applyFont="1" applyFill="1" applyBorder="1" applyAlignment="1">
      <alignment horizontal="center" vertical="center"/>
    </xf>
    <xf numFmtId="0" fontId="77" fillId="6" borderId="50" xfId="16" applyFont="1" applyFill="1" applyBorder="1" applyAlignment="1">
      <alignment horizontal="center" vertical="center"/>
    </xf>
    <xf numFmtId="0" fontId="77" fillId="6" borderId="46" xfId="16" applyFont="1" applyFill="1" applyBorder="1" applyAlignment="1">
      <alignment horizontal="center" vertical="center"/>
    </xf>
    <xf numFmtId="0" fontId="24" fillId="0" borderId="100" xfId="16" applyFont="1" applyBorder="1" applyAlignment="1">
      <alignment horizontal="left" vertical="center" wrapText="1"/>
    </xf>
    <xf numFmtId="0" fontId="24" fillId="0" borderId="117" xfId="16" applyFont="1" applyBorder="1" applyAlignment="1">
      <alignment horizontal="left" vertical="center" wrapText="1"/>
    </xf>
    <xf numFmtId="40" fontId="24" fillId="0" borderId="100" xfId="16" applyNumberFormat="1" applyFont="1" applyBorder="1" applyAlignment="1">
      <alignment horizontal="left" vertical="center"/>
    </xf>
    <xf numFmtId="40" fontId="24" fillId="0" borderId="117" xfId="16" applyNumberFormat="1" applyFont="1" applyBorder="1" applyAlignment="1">
      <alignment horizontal="left" vertical="center"/>
    </xf>
    <xf numFmtId="0" fontId="67" fillId="0" borderId="0" xfId="16" quotePrefix="1" applyFont="1" applyAlignment="1">
      <alignment horizontal="left" vertical="center"/>
    </xf>
    <xf numFmtId="0" fontId="26" fillId="9" borderId="102" xfId="7" applyFont="1" applyFill="1" applyBorder="1" applyAlignment="1">
      <alignment horizontal="center" vertical="center"/>
    </xf>
    <xf numFmtId="3" fontId="26" fillId="9" borderId="102" xfId="7" applyNumberFormat="1" applyFont="1" applyFill="1" applyBorder="1" applyAlignment="1">
      <alignment horizontal="center" vertical="center"/>
    </xf>
    <xf numFmtId="3" fontId="26" fillId="9" borderId="103" xfId="7" applyNumberFormat="1" applyFont="1" applyFill="1" applyBorder="1" applyAlignment="1">
      <alignment horizontal="center" vertical="center"/>
    </xf>
    <xf numFmtId="3" fontId="26" fillId="9" borderId="104" xfId="7" applyNumberFormat="1" applyFont="1" applyFill="1" applyBorder="1" applyAlignment="1">
      <alignment horizontal="center" vertical="center"/>
    </xf>
    <xf numFmtId="0" fontId="26" fillId="9" borderId="103" xfId="7" applyFont="1" applyFill="1" applyBorder="1" applyAlignment="1">
      <alignment horizontal="center" vertical="center"/>
    </xf>
    <xf numFmtId="0" fontId="26" fillId="9" borderId="104" xfId="7" applyFont="1" applyFill="1" applyBorder="1" applyAlignment="1">
      <alignment horizontal="center" vertical="center"/>
    </xf>
    <xf numFmtId="0" fontId="26" fillId="10" borderId="16" xfId="0" applyFont="1" applyFill="1" applyBorder="1" applyAlignment="1">
      <alignment horizontal="center" vertical="center"/>
    </xf>
    <xf numFmtId="0" fontId="26" fillId="10" borderId="21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26" fillId="10" borderId="57" xfId="0" applyFont="1" applyFill="1" applyBorder="1" applyAlignment="1">
      <alignment horizontal="center" vertical="center"/>
    </xf>
    <xf numFmtId="0" fontId="26" fillId="10" borderId="27" xfId="0" applyFont="1" applyFill="1" applyBorder="1" applyAlignment="1">
      <alignment horizontal="center" vertical="center"/>
    </xf>
    <xf numFmtId="0" fontId="63" fillId="4" borderId="18" xfId="0" applyFont="1" applyFill="1" applyBorder="1" applyAlignment="1">
      <alignment horizontal="left" vertical="center"/>
    </xf>
    <xf numFmtId="0" fontId="63" fillId="4" borderId="85" xfId="0" applyFont="1" applyFill="1" applyBorder="1" applyAlignment="1">
      <alignment horizontal="left" vertical="center"/>
    </xf>
    <xf numFmtId="0" fontId="62" fillId="0" borderId="147" xfId="0" applyFont="1" applyBorder="1" applyAlignment="1">
      <alignment horizontal="left" vertical="center"/>
    </xf>
    <xf numFmtId="0" fontId="62" fillId="0" borderId="125" xfId="0" applyFont="1" applyBorder="1" applyAlignment="1">
      <alignment horizontal="left" vertical="center"/>
    </xf>
    <xf numFmtId="0" fontId="62" fillId="0" borderId="149" xfId="0" applyFont="1" applyBorder="1" applyAlignment="1">
      <alignment horizontal="left" vertical="center"/>
    </xf>
    <xf numFmtId="0" fontId="62" fillId="0" borderId="150" xfId="0" applyFont="1" applyBorder="1" applyAlignment="1">
      <alignment horizontal="left" vertical="center"/>
    </xf>
    <xf numFmtId="177" fontId="62" fillId="0" borderId="148" xfId="0" applyNumberFormat="1" applyFont="1" applyBorder="1" applyAlignment="1">
      <alignment horizontal="center" vertical="center"/>
    </xf>
    <xf numFmtId="0" fontId="62" fillId="0" borderId="151" xfId="0" applyFont="1" applyBorder="1" applyAlignment="1">
      <alignment horizontal="center" vertical="center"/>
    </xf>
    <xf numFmtId="0" fontId="60" fillId="15" borderId="11" xfId="0" applyFont="1" applyFill="1" applyBorder="1" applyAlignment="1">
      <alignment horizontal="center" vertical="center"/>
    </xf>
    <xf numFmtId="0" fontId="60" fillId="15" borderId="6" xfId="0" applyFont="1" applyFill="1" applyBorder="1" applyAlignment="1">
      <alignment horizontal="center" vertical="center"/>
    </xf>
    <xf numFmtId="0" fontId="60" fillId="15" borderId="11" xfId="0" applyFont="1" applyFill="1" applyBorder="1" applyAlignment="1">
      <alignment horizontal="center" vertical="center" wrapText="1"/>
    </xf>
    <xf numFmtId="0" fontId="60" fillId="15" borderId="6" xfId="0" applyFont="1" applyFill="1" applyBorder="1" applyAlignment="1">
      <alignment horizontal="center" vertical="center" wrapText="1"/>
    </xf>
    <xf numFmtId="0" fontId="61" fillId="0" borderId="145" xfId="0" applyFont="1" applyBorder="1" applyAlignment="1">
      <alignment horizontal="left" vertical="center"/>
    </xf>
    <xf numFmtId="0" fontId="61" fillId="0" borderId="137" xfId="0" applyFont="1" applyBorder="1" applyAlignment="1">
      <alignment horizontal="left" vertical="center"/>
    </xf>
    <xf numFmtId="0" fontId="61" fillId="0" borderId="146" xfId="0" applyFont="1" applyBorder="1" applyAlignment="1">
      <alignment horizontal="left" vertical="center"/>
    </xf>
    <xf numFmtId="3" fontId="26" fillId="4" borderId="16" xfId="0" applyNumberFormat="1" applyFont="1" applyFill="1" applyBorder="1" applyAlignment="1">
      <alignment horizontal="center" vertical="center"/>
    </xf>
    <xf numFmtId="3" fontId="26" fillId="4" borderId="21" xfId="0" applyNumberFormat="1" applyFont="1" applyFill="1" applyBorder="1" applyAlignment="1">
      <alignment horizontal="center" vertical="center"/>
    </xf>
    <xf numFmtId="188" fontId="50" fillId="9" borderId="19" xfId="0" applyNumberFormat="1" applyFont="1" applyFill="1" applyBorder="1" applyAlignment="1">
      <alignment horizontal="center" vertical="center" wrapText="1"/>
    </xf>
    <xf numFmtId="188" fontId="50" fillId="9" borderId="20" xfId="0" applyNumberFormat="1" applyFont="1" applyFill="1" applyBorder="1" applyAlignment="1">
      <alignment horizontal="center" vertical="center" wrapText="1"/>
    </xf>
    <xf numFmtId="0" fontId="50" fillId="0" borderId="141" xfId="0" applyFont="1" applyBorder="1" applyAlignment="1">
      <alignment horizontal="left" vertical="center" wrapText="1"/>
    </xf>
    <xf numFmtId="0" fontId="50" fillId="0" borderId="142" xfId="0" applyFont="1" applyBorder="1" applyAlignment="1">
      <alignment horizontal="left" vertical="center" wrapText="1"/>
    </xf>
    <xf numFmtId="0" fontId="27" fillId="0" borderId="39" xfId="7" applyFont="1" applyBorder="1" applyAlignment="1">
      <alignment horizontal="left" vertical="center"/>
    </xf>
    <xf numFmtId="0" fontId="27" fillId="0" borderId="76" xfId="7" applyFont="1" applyBorder="1" applyAlignment="1">
      <alignment horizontal="left" vertical="center"/>
    </xf>
    <xf numFmtId="0" fontId="27" fillId="0" borderId="75" xfId="7" applyFont="1" applyBorder="1" applyAlignment="1">
      <alignment horizontal="left" vertical="center"/>
    </xf>
    <xf numFmtId="0" fontId="27" fillId="0" borderId="0" xfId="7" applyFont="1" applyAlignment="1">
      <alignment horizontal="left" vertical="center"/>
    </xf>
    <xf numFmtId="0" fontId="50" fillId="9" borderId="41" xfId="0" applyFont="1" applyFill="1" applyBorder="1" applyAlignment="1">
      <alignment horizontal="center" vertical="center" wrapText="1"/>
    </xf>
    <xf numFmtId="0" fontId="50" fillId="9" borderId="139" xfId="0" applyFont="1" applyFill="1" applyBorder="1" applyAlignment="1">
      <alignment horizontal="center" vertical="center" wrapText="1"/>
    </xf>
    <xf numFmtId="0" fontId="50" fillId="9" borderId="42" xfId="0" applyFont="1" applyFill="1" applyBorder="1" applyAlignment="1">
      <alignment horizontal="center" vertical="center" wrapText="1"/>
    </xf>
    <xf numFmtId="0" fontId="50" fillId="9" borderId="138" xfId="0" applyFont="1" applyFill="1" applyBorder="1" applyAlignment="1">
      <alignment horizontal="center" vertical="center" wrapText="1"/>
    </xf>
    <xf numFmtId="188" fontId="50" fillId="9" borderId="85" xfId="0" applyNumberFormat="1" applyFont="1" applyFill="1" applyBorder="1" applyAlignment="1">
      <alignment horizontal="center" vertical="center" wrapText="1"/>
    </xf>
    <xf numFmtId="188" fontId="50" fillId="9" borderId="18" xfId="0" applyNumberFormat="1" applyFont="1" applyFill="1" applyBorder="1" applyAlignment="1">
      <alignment horizontal="center" vertical="center" wrapText="1"/>
    </xf>
    <xf numFmtId="0" fontId="20" fillId="9" borderId="29" xfId="0" applyFont="1" applyFill="1" applyBorder="1" applyAlignment="1">
      <alignment horizontal="left" vertical="center"/>
    </xf>
    <xf numFmtId="0" fontId="20" fillId="9" borderId="133" xfId="0" applyFont="1" applyFill="1" applyBorder="1" applyAlignment="1">
      <alignment horizontal="left" vertical="center"/>
    </xf>
    <xf numFmtId="0" fontId="48" fillId="0" borderId="137" xfId="0" applyFont="1" applyBorder="1" applyAlignment="1">
      <alignment horizontal="left" vertical="center"/>
    </xf>
    <xf numFmtId="0" fontId="29" fillId="9" borderId="102" xfId="0" applyFont="1" applyFill="1" applyBorder="1" applyAlignment="1">
      <alignment horizontal="left" vertical="center"/>
    </xf>
    <xf numFmtId="0" fontId="29" fillId="9" borderId="102" xfId="0" applyFont="1" applyFill="1" applyBorder="1" applyAlignment="1">
      <alignment horizontal="center" vertical="center"/>
    </xf>
    <xf numFmtId="0" fontId="29" fillId="9" borderId="103" xfId="0" applyFont="1" applyFill="1" applyBorder="1" applyAlignment="1">
      <alignment horizontal="center" vertical="center"/>
    </xf>
    <xf numFmtId="188" fontId="50" fillId="9" borderId="42" xfId="0" applyNumberFormat="1" applyFont="1" applyFill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57" xfId="0" applyFont="1" applyBorder="1" applyAlignment="1">
      <alignment horizontal="center"/>
    </xf>
    <xf numFmtId="0" fontId="22" fillId="0" borderId="58" xfId="0" applyFont="1" applyBorder="1" applyAlignment="1">
      <alignment horizont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2" fillId="0" borderId="11" xfId="0" applyFont="1" applyBorder="1" applyAlignment="1">
      <alignment horizontal="center"/>
    </xf>
    <xf numFmtId="0" fontId="0" fillId="0" borderId="0" xfId="0" applyAlignment="1">
      <alignment horizontal="left"/>
    </xf>
  </cellXfs>
  <cellStyles count="26">
    <cellStyle name="Comma [0] 2" xfId="19" xr:uid="{325EA78D-2DDD-4F27-8B46-B0F3C559863F}"/>
    <cellStyle name="Comma [0] 2 2" xfId="15" xr:uid="{C9B81FE9-6A9A-4DDD-8A00-157CD5DDC22E}"/>
    <cellStyle name="Comma [0] 7 6" xfId="4" xr:uid="{ECFD3BC1-7400-4267-8DA1-28CB919DA43E}"/>
    <cellStyle name="Comma [0] 7 6 2" xfId="21" xr:uid="{E8FDAA44-597E-491B-A8BD-F123401E61A6}"/>
    <cellStyle name="Comma 10" xfId="14" xr:uid="{D19F8384-4AD9-4057-9DEE-0CB81B34BF07}"/>
    <cellStyle name="Comma 2" xfId="18" xr:uid="{BFEC1C6B-1A73-441D-B9AF-09F8F438D727}"/>
    <cellStyle name="Comma 3" xfId="20" xr:uid="{44D675AE-C82A-41B6-B56D-ABEF675C7D9E}"/>
    <cellStyle name="Comma 4" xfId="24" xr:uid="{633D257A-A42F-4E38-B591-D20E04F9D3BB}"/>
    <cellStyle name="Hipertaut" xfId="17" builtinId="8"/>
    <cellStyle name="Koma" xfId="1" builtinId="3"/>
    <cellStyle name="Koma [0]" xfId="2" builtinId="6"/>
    <cellStyle name="Koma [0] 2" xfId="12" xr:uid="{5EB15217-C1FF-48F7-9B32-5BAA40EA76DC}"/>
    <cellStyle name="Koma [0] 2 2" xfId="25" xr:uid="{F12568CA-9E1C-4326-92F0-447EED56528A}"/>
    <cellStyle name="Koma 2" xfId="5" xr:uid="{18F76E38-5E99-403C-A587-8F4C77CDF59E}"/>
    <cellStyle name="Koma 2 2" xfId="22" xr:uid="{21AB7A5F-3BFF-439E-8AB8-2F7D9287792F}"/>
    <cellStyle name="Normal" xfId="0" builtinId="0"/>
    <cellStyle name="Normal 2" xfId="6" xr:uid="{A6D52D10-6F0D-4177-BF70-8FFCE34C9EC3}"/>
    <cellStyle name="Normal 2 2" xfId="7" xr:uid="{0FF02BD5-5888-4A6C-AB2D-E78FAB122086}"/>
    <cellStyle name="Normal 2 3" xfId="23" xr:uid="{A7EC4393-1FCE-4D9E-B1A6-1C6424BDDB34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1913283</xdr:colOff>
      <xdr:row>51</xdr:row>
      <xdr:rowOff>41413</xdr:rowOff>
    </xdr:from>
    <xdr:to>
      <xdr:col>8</xdr:col>
      <xdr:colOff>2981740</xdr:colOff>
      <xdr:row>52</xdr:row>
      <xdr:rowOff>49695</xdr:rowOff>
    </xdr:to>
    <xdr:sp macro="" textlink="">
      <xdr:nvSpPr>
        <xdr:cNvPr id="2" name="Persegi Panjang 1">
          <a:extLst>
            <a:ext uri="{FF2B5EF4-FFF2-40B4-BE49-F238E27FC236}">
              <a16:creationId xmlns:a16="http://schemas.microsoft.com/office/drawing/2014/main" id="{183165CC-50CA-37EA-1556-F8047B120DB5}"/>
            </a:ext>
          </a:extLst>
        </xdr:cNvPr>
        <xdr:cNvSpPr/>
      </xdr:nvSpPr>
      <xdr:spPr>
        <a:xfrm>
          <a:off x="9707218" y="10046804"/>
          <a:ext cx="1068457" cy="19878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lang="en-ID" sz="1100" kern="1200">
              <a:latin typeface="Arial" panose="020B0604020202020204" pitchFamily="34" charset="0"/>
              <a:cs typeface="Arial" panose="020B0604020202020204" pitchFamily="34" charset="0"/>
            </a:rPr>
            <a:t>Manager</a:t>
          </a:r>
          <a:r>
            <a:rPr lang="en-ID" sz="1100" kern="1200"/>
            <a:t> Plant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.xlsx" TargetMode="External"/><Relationship Id="rId1" Type="http://schemas.openxmlformats.org/officeDocument/2006/relationships/externalLinkPath" Target="file:///C:\Users\User\Downloads\11.%20PT_INL_Monthly%20Storage%20Tangki%20PT.INL%20November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).xlsx" TargetMode="External"/><Relationship Id="rId1" Type="http://schemas.openxmlformats.org/officeDocument/2006/relationships/externalLinkPath" Target="file:///C:\Users\User\Downloads\11.%20PT_INL_Monthly%20Storage%20Tangki%20PT.INL%20November%202024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2).xlsx" TargetMode="External"/><Relationship Id="rId1" Type="http://schemas.openxmlformats.org/officeDocument/2006/relationships/externalLinkPath" Target="file:///C:\Users\User\Downloads\11.%20PT_INL_Monthly%20Storage%20Tangki%20PT.INL%20November%202024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3).xlsx" TargetMode="External"/><Relationship Id="rId1" Type="http://schemas.openxmlformats.org/officeDocument/2006/relationships/externalLinkPath" Target="file:///C:\Users\User\Downloads\11.%20PT_INL_Monthly%20Storage%20Tangki%20PT.INL%20November%202024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5).xlsx" TargetMode="External"/><Relationship Id="rId1" Type="http://schemas.openxmlformats.org/officeDocument/2006/relationships/externalLinkPath" Target="file:///C:\Users\User\Downloads\11.%20PT_INL_Monthly%20Storage%20Tangki%20PT.INL%20November%202024%20(5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6).xlsx" TargetMode="External"/><Relationship Id="rId1" Type="http://schemas.openxmlformats.org/officeDocument/2006/relationships/externalLinkPath" Target="file:///C:\Users\User\Downloads\11.%20PT_INL_Monthly%20Storage%20Tangki%20PT.INL%20November%202024%20(6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7).xlsx" TargetMode="External"/><Relationship Id="rId1" Type="http://schemas.openxmlformats.org/officeDocument/2006/relationships/externalLinkPath" Target="file:///C:\Users\User\Downloads\11.%20PT_INL_Monthly%20Storage%20Tangki%20PT.INL%20November%202024%20(7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8).xlsx" TargetMode="External"/><Relationship Id="rId1" Type="http://schemas.openxmlformats.org/officeDocument/2006/relationships/externalLinkPath" Target="file:///C:\Users\User\Downloads\11.%20PT_INL_Monthly%20Storage%20Tangki%20PT.INL%20November%202024%20(8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9).xlsx" TargetMode="External"/><Relationship Id="rId1" Type="http://schemas.openxmlformats.org/officeDocument/2006/relationships/externalLinkPath" Target="file:///C:\Users\User\Downloads\11.%20PT_INL_Monthly%20Storage%20Tangki%20PT.INL%20November%202024%20(9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0).xlsx" TargetMode="External"/><Relationship Id="rId1" Type="http://schemas.openxmlformats.org/officeDocument/2006/relationships/externalLinkPath" Target="file:///C:\Users\User\Downloads\11.%20PT_INL_Monthly%20Storage%20Tangki%20PT.INL%20November%202024%20(10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1).xlsx" TargetMode="External"/><Relationship Id="rId1" Type="http://schemas.openxmlformats.org/officeDocument/2006/relationships/externalLinkPath" Target="file:///C:\Users\User\Downloads\11.%20PT_INL_Monthly%20Storage%20Tangki%20PT.INL%20November%202024%20(11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2).xlsx" TargetMode="External"/><Relationship Id="rId1" Type="http://schemas.openxmlformats.org/officeDocument/2006/relationships/externalLinkPath" Target="file:///C:\Users\User\Downloads\11.%20PT_INL_Monthly%20Storage%20Tangki%20PT.INL%20November%202024%20(12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3).xlsx" TargetMode="External"/><Relationship Id="rId1" Type="http://schemas.openxmlformats.org/officeDocument/2006/relationships/externalLinkPath" Target="file:///C:\Users\User\Downloads\11.%20PT_INL_Monthly%20Storage%20Tangki%20PT.INL%20November%202024%20(13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4).xlsx" TargetMode="External"/><Relationship Id="rId1" Type="http://schemas.openxmlformats.org/officeDocument/2006/relationships/externalLinkPath" Target="file:///C:\Users\User\Downloads\11.%20PT_INL_Monthly%20Storage%20Tangki%20PT.INL%20November%202024%20(14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5).xlsx" TargetMode="External"/><Relationship Id="rId1" Type="http://schemas.openxmlformats.org/officeDocument/2006/relationships/externalLinkPath" Target="file:///C:\Users\User\Downloads\11.%20PT_INL_Monthly%20Storage%20Tangki%20PT.INL%20November%202024%20(15)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6).xlsx" TargetMode="External"/><Relationship Id="rId1" Type="http://schemas.openxmlformats.org/officeDocument/2006/relationships/externalLinkPath" Target="file:///C:\Users\User\Downloads\11.%20PT_INL_Monthly%20Storage%20Tangki%20PT.INL%20November%202024%20(16)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7).xlsx" TargetMode="External"/><Relationship Id="rId1" Type="http://schemas.openxmlformats.org/officeDocument/2006/relationships/externalLinkPath" Target="file:///C:\Users\User\Downloads\11.%20PT_INL_Monthly%20Storage%20Tangki%20PT.INL%20November%202024%20(17)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8).xlsx" TargetMode="External"/><Relationship Id="rId1" Type="http://schemas.openxmlformats.org/officeDocument/2006/relationships/externalLinkPath" Target="file:///C:\Users\User\Downloads\11.%20PT_INL_Monthly%20Storage%20Tangki%20PT.INL%20November%202024%20(18)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19).xlsx" TargetMode="External"/><Relationship Id="rId1" Type="http://schemas.openxmlformats.org/officeDocument/2006/relationships/externalLinkPath" Target="file:///C:\Users\User\Downloads\11.%20PT_INL_Monthly%20Storage%20Tangki%20PT.INL%20November%202024%20(19)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20).xlsx" TargetMode="External"/><Relationship Id="rId1" Type="http://schemas.openxmlformats.org/officeDocument/2006/relationships/externalLinkPath" Target="file:///C:\Users\User\Downloads\11.%20PT_INL_Monthly%20Storage%20Tangki%20PT.INL%20November%202024%20(20)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PT_INL_Monthly%20Storage%20Tangki%20PT.INL%20November%202024%20(21).xlsx" TargetMode="External"/><Relationship Id="rId1" Type="http://schemas.openxmlformats.org/officeDocument/2006/relationships/externalLinkPath" Target="file:///C:\Users\User\Downloads\11.%20PT_INL_Monthly%20Storage%20Tangki%20PT.INL%20November%202024%20(21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1.%20DAILY%20REPORT%20PRODUCTION%20NOVEMBER%202024%20(2).xlsx" TargetMode="External"/><Relationship Id="rId1" Type="http://schemas.openxmlformats.org/officeDocument/2006/relationships/externalLinkPath" Target="file:///C:\Users\User\Downloads\11.%20DAILY%20REPORT%20PRODUCTION%20NOVEMBER%202024%20(2)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4.DAILY%20REPORT%20PRODUCTION%20APRIL%202024%20(4).xlsx" TargetMode="External"/><Relationship Id="rId1" Type="http://schemas.openxmlformats.org/officeDocument/2006/relationships/externalLinkPath" Target="file:///C:\Users\User\Downloads\04.DAILY%20REPORT%20PRODUCTION%20APRIL%202024%20(4)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5.DAILY%20REPORT%20PRODUCTION%20MEI%202024%20(6).xlsx" TargetMode="External"/><Relationship Id="rId1" Type="http://schemas.openxmlformats.org/officeDocument/2006/relationships/externalLinkPath" Target="file:///C:\Users\User\Downloads\05.DAILY%20REPORT%20PRODUCTION%20MEI%202024%20(6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6.DAILY%20REPORT%20PRODUCTION%20JUNI%202024%20(6).xlsx" TargetMode="External"/><Relationship Id="rId1" Type="http://schemas.openxmlformats.org/officeDocument/2006/relationships/externalLinkPath" Target="file:///C:\Users\User\Downloads\06.DAILY%20REPORT%20PRODUCTION%20JUNI%202024%20(6)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7.%20DAILY%20REPORT%20PRODUCTION%20JULI%202024.xlsx" TargetMode="External"/><Relationship Id="rId1" Type="http://schemas.openxmlformats.org/officeDocument/2006/relationships/externalLinkPath" Target="file:///C:\Users\User\Downloads\07.%20DAILY%20REPORT%20PRODUCTION%20JULI%20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8.%20DAILY%20REPORT%20PRODUCTION%20AGUSTUS%202024.xlsx" TargetMode="External"/><Relationship Id="rId1" Type="http://schemas.openxmlformats.org/officeDocument/2006/relationships/externalLinkPath" Target="08.%20DAILY%20REPORT%20PRODUCTION%20AGUSTUS%20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9.%20DAILY%20REPORT%20PRODUCTION%20SEPTEMBER%202024.xlsx" TargetMode="External"/><Relationship Id="rId1" Type="http://schemas.openxmlformats.org/officeDocument/2006/relationships/externalLinkPath" Target="09.%20DAILY%20REPORT%20PRODUCTION%20SEPTEMBER%20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10.%20DAILY%20REPORT%20PRODUCTION%20OKTOBER%202024.xlsx" TargetMode="External"/><Relationship Id="rId1" Type="http://schemas.openxmlformats.org/officeDocument/2006/relationships/externalLinkPath" Target="10.%20DAILY%20REPORT%20PRODUCTION%20OKTOBER%20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29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/>
      <sheetData sheetId="1">
        <row r="15">
          <cell r="P15">
            <v>839697</v>
          </cell>
          <cell r="Q15">
            <v>859587</v>
          </cell>
        </row>
        <row r="18">
          <cell r="P18">
            <v>832890</v>
          </cell>
          <cell r="Q18">
            <v>995005</v>
          </cell>
        </row>
        <row r="22">
          <cell r="P22">
            <v>755818</v>
          </cell>
        </row>
        <row r="26">
          <cell r="P26">
            <v>34408</v>
          </cell>
        </row>
        <row r="30">
          <cell r="P30">
            <v>238480</v>
          </cell>
        </row>
      </sheetData>
      <sheetData sheetId="2">
        <row r="15">
          <cell r="P15">
            <v>990392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</sheetNames>
    <sheetDataSet>
      <sheetData sheetId="0"/>
      <sheetData sheetId="1"/>
      <sheetData sheetId="2">
        <row r="15">
          <cell r="P15">
            <v>1188983</v>
          </cell>
          <cell r="Q15">
            <v>537300</v>
          </cell>
        </row>
        <row r="18">
          <cell r="P18">
            <v>510235</v>
          </cell>
          <cell r="Q18">
            <v>1111304</v>
          </cell>
        </row>
        <row r="22">
          <cell r="P22">
            <v>859079</v>
          </cell>
        </row>
        <row r="26">
          <cell r="P26">
            <v>24264</v>
          </cell>
        </row>
        <row r="30">
          <cell r="P30">
            <v>256212</v>
          </cell>
        </row>
      </sheetData>
      <sheetData sheetId="3">
        <row r="15">
          <cell r="P15">
            <v>686390</v>
          </cell>
          <cell r="Q15">
            <v>736801</v>
          </cell>
        </row>
        <row r="18">
          <cell r="P18">
            <v>714602</v>
          </cell>
          <cell r="Q18">
            <v>1103741</v>
          </cell>
        </row>
        <row r="22">
          <cell r="P22">
            <v>793972</v>
          </cell>
        </row>
        <row r="26">
          <cell r="P26">
            <v>31198</v>
          </cell>
        </row>
        <row r="30">
          <cell r="P30">
            <v>244038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P15">
            <v>265829</v>
          </cell>
          <cell r="Q15">
            <v>846175</v>
          </cell>
        </row>
        <row r="18">
          <cell r="P18">
            <v>799939</v>
          </cell>
          <cell r="Q18">
            <v>982946</v>
          </cell>
        </row>
        <row r="22">
          <cell r="P22">
            <v>736059</v>
          </cell>
        </row>
        <row r="26">
          <cell r="P26">
            <v>35234</v>
          </cell>
        </row>
        <row r="30">
          <cell r="P30">
            <v>203363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P15">
            <v>1355300</v>
          </cell>
          <cell r="Q15">
            <v>753834</v>
          </cell>
        </row>
        <row r="18">
          <cell r="P18">
            <v>721358</v>
          </cell>
          <cell r="Q18">
            <v>991841</v>
          </cell>
        </row>
        <row r="22">
          <cell r="P22">
            <v>763026</v>
          </cell>
        </row>
        <row r="26">
          <cell r="P26">
            <v>30033</v>
          </cell>
        </row>
        <row r="30">
          <cell r="P30">
            <v>240311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">
          <cell r="P15">
            <v>1709933</v>
          </cell>
          <cell r="Q15">
            <v>696743</v>
          </cell>
        </row>
        <row r="18">
          <cell r="P18">
            <v>680756</v>
          </cell>
          <cell r="Q18">
            <v>769268</v>
          </cell>
        </row>
        <row r="22">
          <cell r="P22">
            <v>694832</v>
          </cell>
        </row>
        <row r="26">
          <cell r="P26">
            <v>30410</v>
          </cell>
        </row>
        <row r="30">
          <cell r="P30">
            <v>204643</v>
          </cell>
        </row>
      </sheetData>
      <sheetData sheetId="9">
        <row r="15">
          <cell r="P15">
            <v>1254148</v>
          </cell>
          <cell r="Q15">
            <v>828594</v>
          </cell>
        </row>
        <row r="18">
          <cell r="P18">
            <v>711951</v>
          </cell>
          <cell r="Q18">
            <v>743523</v>
          </cell>
        </row>
        <row r="22">
          <cell r="P22">
            <v>687792</v>
          </cell>
        </row>
        <row r="26">
          <cell r="P26">
            <v>37854</v>
          </cell>
        </row>
        <row r="30">
          <cell r="P30">
            <v>235576</v>
          </cell>
        </row>
      </sheetData>
      <sheetData sheetId="10">
        <row r="15">
          <cell r="P15">
            <v>427434</v>
          </cell>
          <cell r="Q15">
            <v>1003650</v>
          </cell>
        </row>
        <row r="18">
          <cell r="P18">
            <v>957602</v>
          </cell>
          <cell r="Q18">
            <v>1142644</v>
          </cell>
        </row>
        <row r="21">
          <cell r="P21">
            <v>792648</v>
          </cell>
        </row>
        <row r="22">
          <cell r="P22">
            <v>154064</v>
          </cell>
        </row>
        <row r="26">
          <cell r="P26">
            <v>43557</v>
          </cell>
        </row>
        <row r="30">
          <cell r="P30">
            <v>231784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P15">
            <v>1046286</v>
          </cell>
          <cell r="Q15">
            <v>1000809</v>
          </cell>
        </row>
        <row r="18">
          <cell r="P18">
            <v>936080</v>
          </cell>
          <cell r="Q18">
            <v>991404</v>
          </cell>
        </row>
        <row r="21">
          <cell r="P21">
            <v>886386</v>
          </cell>
        </row>
        <row r="26">
          <cell r="P26">
            <v>43387</v>
          </cell>
        </row>
        <row r="30">
          <cell r="P30">
            <v>186882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P15">
            <v>1337112</v>
          </cell>
          <cell r="Q15">
            <v>925598</v>
          </cell>
        </row>
        <row r="18">
          <cell r="P18">
            <v>867963</v>
          </cell>
          <cell r="Q18">
            <v>958171</v>
          </cell>
        </row>
        <row r="21">
          <cell r="P21">
            <v>785685</v>
          </cell>
        </row>
        <row r="26">
          <cell r="P26">
            <v>39212</v>
          </cell>
        </row>
        <row r="30">
          <cell r="P30">
            <v>142251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">
          <cell r="P15">
            <v>1544985</v>
          </cell>
          <cell r="Q15">
            <v>803666</v>
          </cell>
        </row>
        <row r="18">
          <cell r="P18">
            <v>769203</v>
          </cell>
          <cell r="Q18">
            <v>760178</v>
          </cell>
        </row>
        <row r="21">
          <cell r="P21">
            <v>615419</v>
          </cell>
        </row>
        <row r="26">
          <cell r="P26">
            <v>41814</v>
          </cell>
        </row>
        <row r="30">
          <cell r="P30">
            <v>117109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P15">
            <v>1532271</v>
          </cell>
          <cell r="Q15">
            <v>1009988</v>
          </cell>
        </row>
        <row r="18">
          <cell r="P18">
            <v>923433</v>
          </cell>
          <cell r="Q18">
            <v>805516</v>
          </cell>
        </row>
        <row r="21">
          <cell r="P21">
            <v>827507</v>
          </cell>
        </row>
        <row r="26">
          <cell r="P26">
            <v>33066</v>
          </cell>
        </row>
        <row r="30">
          <cell r="P30">
            <v>153671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P15">
            <v>1051996</v>
          </cell>
          <cell r="Q15">
            <v>1042124</v>
          </cell>
        </row>
        <row r="18">
          <cell r="P18">
            <v>1002074</v>
          </cell>
          <cell r="Q18">
            <v>827755</v>
          </cell>
        </row>
        <row r="21">
          <cell r="P21">
            <v>420382</v>
          </cell>
        </row>
        <row r="22">
          <cell r="P22">
            <v>127749</v>
          </cell>
        </row>
        <row r="26">
          <cell r="P26">
            <v>55468</v>
          </cell>
        </row>
        <row r="30">
          <cell r="P30">
            <v>136401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P15">
            <v>1149146</v>
          </cell>
          <cell r="Q15">
            <v>991679</v>
          </cell>
        </row>
        <row r="18">
          <cell r="P18">
            <v>930887</v>
          </cell>
          <cell r="Q18">
            <v>811972</v>
          </cell>
        </row>
        <row r="22">
          <cell r="P22">
            <v>613632</v>
          </cell>
        </row>
        <row r="26">
          <cell r="P26">
            <v>39691</v>
          </cell>
        </row>
        <row r="30">
          <cell r="P30">
            <v>184988</v>
          </cell>
        </row>
      </sheetData>
      <sheetData sheetId="17">
        <row r="15">
          <cell r="P15">
            <v>0</v>
          </cell>
          <cell r="Q15">
            <v>633826</v>
          </cell>
        </row>
        <row r="18">
          <cell r="P18">
            <v>632289</v>
          </cell>
          <cell r="Q18">
            <v>928407</v>
          </cell>
        </row>
        <row r="22">
          <cell r="P22">
            <v>659915</v>
          </cell>
        </row>
        <row r="26">
          <cell r="P26">
            <v>31383</v>
          </cell>
        </row>
        <row r="30">
          <cell r="P30">
            <v>201291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5">
          <cell r="P15">
            <v>1135049</v>
          </cell>
          <cell r="Q15">
            <v>1114065</v>
          </cell>
        </row>
        <row r="18">
          <cell r="P18">
            <v>1025583</v>
          </cell>
          <cell r="Q18">
            <v>862219</v>
          </cell>
        </row>
        <row r="22">
          <cell r="P22">
            <v>581266</v>
          </cell>
        </row>
        <row r="26">
          <cell r="P26">
            <v>47540</v>
          </cell>
        </row>
        <row r="30">
          <cell r="P30">
            <v>194152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P15">
            <v>890223</v>
          </cell>
          <cell r="Q15">
            <v>1358019</v>
          </cell>
        </row>
        <row r="18">
          <cell r="P18">
            <v>1290508</v>
          </cell>
          <cell r="Q18">
            <v>882883</v>
          </cell>
        </row>
        <row r="22">
          <cell r="P22">
            <v>698344</v>
          </cell>
        </row>
        <row r="26">
          <cell r="P26">
            <v>40680</v>
          </cell>
        </row>
        <row r="30">
          <cell r="P30">
            <v>225340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5">
          <cell r="P15">
            <v>949617</v>
          </cell>
          <cell r="Q15">
            <v>1573360</v>
          </cell>
        </row>
        <row r="18">
          <cell r="P18">
            <v>1465477</v>
          </cell>
          <cell r="Q18">
            <v>920378</v>
          </cell>
        </row>
        <row r="22">
          <cell r="P22">
            <v>694902</v>
          </cell>
        </row>
        <row r="26">
          <cell r="P26">
            <v>57733</v>
          </cell>
        </row>
        <row r="30">
          <cell r="P30">
            <v>238527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5">
          <cell r="P15">
            <v>1535903</v>
          </cell>
          <cell r="Q15">
            <v>1433933</v>
          </cell>
        </row>
        <row r="18">
          <cell r="P18">
            <v>1356368</v>
          </cell>
          <cell r="Q18">
            <v>907770</v>
          </cell>
        </row>
        <row r="22">
          <cell r="P22">
            <v>745490</v>
          </cell>
        </row>
        <row r="26">
          <cell r="P26">
            <v>64108</v>
          </cell>
        </row>
        <row r="30">
          <cell r="P30">
            <v>215107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P15">
            <v>1313539</v>
          </cell>
          <cell r="Q15">
            <v>432436</v>
          </cell>
        </row>
        <row r="18">
          <cell r="P18">
            <v>503524</v>
          </cell>
          <cell r="Q18">
            <v>931307</v>
          </cell>
        </row>
        <row r="22">
          <cell r="P22">
            <v>628365</v>
          </cell>
        </row>
        <row r="26">
          <cell r="P26">
            <v>29969</v>
          </cell>
        </row>
        <row r="30">
          <cell r="P30">
            <v>206070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5">
          <cell r="P15">
            <v>1943723</v>
          </cell>
          <cell r="Q15">
            <v>0</v>
          </cell>
        </row>
        <row r="18">
          <cell r="P18">
            <v>167912</v>
          </cell>
          <cell r="Q18">
            <v>871518</v>
          </cell>
        </row>
        <row r="22">
          <cell r="P22">
            <v>717090</v>
          </cell>
        </row>
        <row r="26">
          <cell r="P26">
            <v>6321</v>
          </cell>
        </row>
        <row r="30">
          <cell r="P30">
            <v>224876</v>
          </cell>
        </row>
      </sheetData>
      <sheetData sheetId="24">
        <row r="15">
          <cell r="P15">
            <v>413342</v>
          </cell>
          <cell r="Q15">
            <v>0</v>
          </cell>
        </row>
        <row r="18">
          <cell r="P18">
            <v>0</v>
          </cell>
          <cell r="Q18">
            <v>518230</v>
          </cell>
        </row>
        <row r="21">
          <cell r="P21">
            <v>662727</v>
          </cell>
        </row>
        <row r="22">
          <cell r="P22">
            <v>164490</v>
          </cell>
        </row>
        <row r="26">
          <cell r="P26">
            <v>0</v>
          </cell>
        </row>
        <row r="30">
          <cell r="P30">
            <v>232451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5">
          <cell r="P15">
            <v>2214932</v>
          </cell>
          <cell r="Q15">
            <v>0</v>
          </cell>
        </row>
        <row r="18">
          <cell r="P18">
            <v>0</v>
          </cell>
          <cell r="Q18">
            <v>0</v>
          </cell>
        </row>
        <row r="26">
          <cell r="P26">
            <v>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5">
          <cell r="P15">
            <v>2308752</v>
          </cell>
          <cell r="Q15">
            <v>0</v>
          </cell>
        </row>
        <row r="18">
          <cell r="P18">
            <v>0</v>
          </cell>
          <cell r="Q18">
            <v>0</v>
          </cell>
        </row>
        <row r="26">
          <cell r="P26">
            <v>0</v>
          </cell>
        </row>
      </sheetData>
      <sheetData sheetId="27">
        <row r="15">
          <cell r="P15">
            <v>434771</v>
          </cell>
          <cell r="Q15">
            <v>0</v>
          </cell>
        </row>
        <row r="18">
          <cell r="P18">
            <v>0</v>
          </cell>
          <cell r="Q18">
            <v>0</v>
          </cell>
        </row>
        <row r="26">
          <cell r="P26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5">
          <cell r="P15">
            <v>1330147</v>
          </cell>
          <cell r="Q15">
            <v>0</v>
          </cell>
        </row>
        <row r="18">
          <cell r="P18">
            <v>0</v>
          </cell>
          <cell r="Q18">
            <v>0</v>
          </cell>
        </row>
        <row r="26">
          <cell r="P26">
            <v>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 (Stock Opnam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P15">
            <v>1416573</v>
          </cell>
          <cell r="Q15">
            <v>0</v>
          </cell>
        </row>
        <row r="18">
          <cell r="P18">
            <v>0</v>
          </cell>
          <cell r="Q18">
            <v>0</v>
          </cell>
        </row>
        <row r="26">
          <cell r="P26">
            <v>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ember 2024"/>
      <sheetName val="SUMMARY HPP "/>
      <sheetName val="Convert Gas"/>
      <sheetName val="OIP Refinery"/>
      <sheetName val="OIP Fract"/>
      <sheetName val="2024"/>
      <sheetName val="Downtime Ref Oktober"/>
      <sheetName val="Downtime Fract Oktober"/>
      <sheetName val="Prod"/>
      <sheetName val="Utility"/>
      <sheetName val="Qty cons analysis"/>
      <sheetName val="HPP REF "/>
      <sheetName val="HPP FRACT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/>
      <sheetData sheetId="1"/>
      <sheetData sheetId="2">
        <row r="8">
          <cell r="J8">
            <v>181.22913033976042</v>
          </cell>
        </row>
      </sheetData>
      <sheetData sheetId="3">
        <row r="5">
          <cell r="G5">
            <v>-406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/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/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>
        <row r="9">
          <cell r="AL9">
            <v>11</v>
          </cell>
        </row>
        <row r="10">
          <cell r="AL10">
            <v>17.224766862170089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</sheetData>
      <sheetData sheetId="4" refreshError="1"/>
      <sheetData sheetId="5" refreshError="1">
        <row r="9">
          <cell r="AL9">
            <v>5</v>
          </cell>
        </row>
        <row r="10">
          <cell r="AL10">
            <v>4.5497712609970664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6" refreshError="1">
        <row r="9">
          <cell r="AL9">
            <v>0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68">
          <cell r="AL68">
            <v>0</v>
          </cell>
        </row>
        <row r="69">
          <cell r="AL69">
            <v>0</v>
          </cell>
        </row>
        <row r="70">
          <cell r="AL70">
            <v>0</v>
          </cell>
        </row>
        <row r="71">
          <cell r="AL71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7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8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9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0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1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2" refreshError="1"/>
      <sheetData sheetId="13" refreshError="1"/>
      <sheetData sheetId="14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</sheetData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6">
          <cell r="AL156">
            <v>0</v>
          </cell>
        </row>
        <row r="160">
          <cell r="AL160">
            <v>0</v>
          </cell>
        </row>
        <row r="161">
          <cell r="AL161">
            <v>0</v>
          </cell>
        </row>
        <row r="162">
          <cell r="AL162">
            <v>0</v>
          </cell>
        </row>
        <row r="172">
          <cell r="AL172" t="e">
            <v>#DIV/0!</v>
          </cell>
        </row>
        <row r="173">
          <cell r="AL173" t="e">
            <v>#DIV/0!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- 24"/>
    </sheetNames>
    <sheetDataSet>
      <sheetData sheetId="0">
        <row r="11">
          <cell r="AK11"/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 - 24"/>
    </sheetNames>
    <sheetDataSet>
      <sheetData sheetId="0">
        <row r="11">
          <cell r="AL11">
            <v>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- 24"/>
    </sheetNames>
    <sheetDataSet>
      <sheetData sheetId="0">
        <row r="11">
          <cell r="AL11">
            <v>13.078035190615838</v>
          </cell>
        </row>
        <row r="19">
          <cell r="D19">
            <v>34250178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 ( Revisi )"/>
      <sheetName val="Juli - 2024( Asli )"/>
      <sheetName val="Convert Gas"/>
      <sheetName val="OIP Refinery"/>
      <sheetName val="OIP Fraksinasi"/>
      <sheetName val="Direct Refinery To Fract "/>
      <sheetName val="Flow Meter"/>
      <sheetName val="Juli - 2024"/>
    </sheetNames>
    <sheetDataSet>
      <sheetData sheetId="0" refreshError="1"/>
      <sheetData sheetId="1">
        <row r="6">
          <cell r="AL6">
            <v>22</v>
          </cell>
        </row>
        <row r="8">
          <cell r="AL8">
            <v>23.454543988269798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L6">
            <v>21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ustus - 2024"/>
      <sheetName val="HPP REF "/>
      <sheetName val="HPP FRACT "/>
      <sheetName val="SUMARY HPP"/>
      <sheetName val="Convert Gas"/>
      <sheetName val="OIP Refinery"/>
      <sheetName val="OIP Fract"/>
      <sheetName val="Detail Agustus OIP Akhir Plant"/>
      <sheetName val="Juli - 2024xx"/>
      <sheetName val="2024"/>
      <sheetName val="Flow Meter"/>
    </sheetNames>
    <sheetDataSet>
      <sheetData sheetId="0">
        <row r="8">
          <cell r="AN8">
            <v>33.834847507331382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 - 2024"/>
      <sheetName val="SUMMARY HPP "/>
      <sheetName val="HPP REF "/>
      <sheetName val="HPP FRACT"/>
      <sheetName val="AMOR"/>
      <sheetName val="DEP"/>
      <sheetName val="MTC"/>
      <sheetName val="LOG"/>
      <sheetName val="OH"/>
      <sheetName val="Convert Gas"/>
      <sheetName val="OIP Refinery"/>
      <sheetName val="OIP Fract"/>
      <sheetName val="Time Sheet Bulanan"/>
      <sheetName val="2024"/>
      <sheetName val="Detail Septembe OIP Akhir Plant"/>
      <sheetName val="Prod"/>
      <sheetName val="Utility"/>
      <sheetName val="Qty cons analysis"/>
      <sheetName val="Downtime Ref September"/>
      <sheetName val="Downtime Fract September"/>
      <sheetName val="Downtime Ref"/>
      <sheetName val="Flow Meter"/>
      <sheetName val="HPP FRACT "/>
    </sheetNames>
    <sheetDataSet>
      <sheetData sheetId="0">
        <row r="8">
          <cell r="AM8">
            <v>40.481969696969699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ktober- 2024"/>
      <sheetName val="SUMMARY HPP "/>
      <sheetName val="Convert Gas"/>
      <sheetName val="OIP Refinery"/>
      <sheetName val="OIP Fract"/>
      <sheetName val="2024"/>
      <sheetName val="Prod"/>
      <sheetName val="Utility"/>
      <sheetName val="Qty cons analysis"/>
      <sheetName val="HPP REF "/>
      <sheetName val="HPP FRACT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>
        <row r="8">
          <cell r="AM8">
            <v>37.300668831168828</v>
          </cell>
        </row>
        <row r="9">
          <cell r="E9">
            <v>36359000</v>
          </cell>
        </row>
        <row r="13">
          <cell r="AM13">
            <v>3.710654761904761</v>
          </cell>
        </row>
        <row r="14">
          <cell r="AM14">
            <v>0.37321428571428578</v>
          </cell>
        </row>
        <row r="15">
          <cell r="AM15">
            <v>19.655749999999994</v>
          </cell>
        </row>
        <row r="25">
          <cell r="AM25">
            <v>18946789</v>
          </cell>
        </row>
        <row r="32">
          <cell r="AM32">
            <v>0</v>
          </cell>
        </row>
        <row r="33">
          <cell r="AM33">
            <v>0</v>
          </cell>
        </row>
        <row r="34">
          <cell r="AM34">
            <v>0</v>
          </cell>
        </row>
        <row r="36">
          <cell r="AM36">
            <v>0</v>
          </cell>
        </row>
        <row r="37">
          <cell r="AM37">
            <v>0</v>
          </cell>
        </row>
        <row r="38">
          <cell r="AM38">
            <v>0</v>
          </cell>
        </row>
        <row r="39">
          <cell r="AM39">
            <v>0</v>
          </cell>
        </row>
        <row r="50">
          <cell r="AM5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VE300"/>
  <sheetViews>
    <sheetView zoomScale="80" zoomScaleNormal="80" zoomScaleSheetLayoutView="80" workbookViewId="0">
      <pane xSplit="6" ySplit="3" topLeftCell="Y45" activePane="bottomRight" state="frozen"/>
      <selection pane="topRight" activeCell="G1" sqref="G1"/>
      <selection pane="bottomLeft" activeCell="A4" sqref="A4"/>
      <selection pane="bottomRight" activeCell="AL234" sqref="AL234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36" width="13.5703125" style="1" customWidth="1"/>
    <col min="37" max="37" width="3.85546875" style="1" customWidth="1"/>
    <col min="38" max="38" width="25.5703125" style="1" customWidth="1"/>
    <col min="39" max="39" width="8.140625" style="1" hidden="1" customWidth="1"/>
    <col min="40" max="40" width="13" style="1" hidden="1" customWidth="1"/>
    <col min="41" max="41" width="8.140625" style="1" customWidth="1"/>
    <col min="42" max="42" width="15.140625" style="1" bestFit="1" customWidth="1"/>
    <col min="43" max="43" width="13.7109375" style="1" bestFit="1" customWidth="1"/>
    <col min="44" max="44" width="12.42578125" style="1" bestFit="1" customWidth="1"/>
    <col min="45" max="51" width="8.140625" style="1" customWidth="1"/>
    <col min="52" max="52" width="8.140625" style="1" hidden="1" customWidth="1"/>
    <col min="53" max="54" width="7.5703125" style="1" hidden="1" customWidth="1"/>
    <col min="55" max="56" width="8.140625" style="1" hidden="1" customWidth="1"/>
    <col min="57" max="59" width="8.140625" style="1" customWidth="1"/>
    <col min="60" max="71" width="9" style="1"/>
    <col min="72" max="72" width="12.5703125" style="1" customWidth="1"/>
    <col min="73" max="73" width="12.140625" style="1" customWidth="1"/>
    <col min="74" max="74" width="9.140625" style="1" customWidth="1"/>
    <col min="75" max="75" width="9.85546875" style="1" customWidth="1"/>
    <col min="76" max="76" width="15.85546875" style="1" customWidth="1"/>
    <col min="77" max="77" width="12.85546875" style="1" customWidth="1"/>
    <col min="78" max="78" width="14.140625" style="1" customWidth="1"/>
    <col min="79" max="90" width="9" style="1"/>
    <col min="91" max="91" width="9.5703125" style="142" customWidth="1"/>
    <col min="92" max="92" width="12.42578125" style="1" customWidth="1"/>
    <col min="93" max="15056" width="9" style="1"/>
    <col min="15057" max="16384" width="9" style="46"/>
  </cols>
  <sheetData>
    <row r="1" spans="3:91" ht="45" customHeight="1" thickBot="1" x14ac:dyDescent="0.3">
      <c r="C1" s="1637" t="s">
        <v>86</v>
      </c>
      <c r="D1" s="1637"/>
      <c r="E1" s="1637"/>
      <c r="F1" s="1637"/>
      <c r="G1" s="1637"/>
      <c r="H1" s="1637"/>
      <c r="I1" s="1637"/>
      <c r="J1" s="1637"/>
      <c r="K1" s="1637"/>
      <c r="L1" s="1637"/>
      <c r="M1" s="1637"/>
      <c r="N1" s="1637"/>
      <c r="O1" s="1637"/>
      <c r="P1" s="1637"/>
      <c r="Q1" s="1637"/>
      <c r="R1" s="1637"/>
      <c r="S1" s="1637"/>
      <c r="T1" s="1637"/>
      <c r="U1" s="1637"/>
      <c r="V1" s="1637"/>
      <c r="W1" s="1637"/>
      <c r="X1" s="1637"/>
      <c r="Y1" s="1637"/>
      <c r="Z1" s="1637"/>
      <c r="AA1" s="1637"/>
      <c r="AB1" s="1637"/>
      <c r="AC1" s="1637"/>
      <c r="AD1" s="1637"/>
      <c r="AE1" s="1637"/>
      <c r="AF1" s="1637"/>
      <c r="AG1" s="1637"/>
      <c r="AH1" s="1637"/>
      <c r="AI1" s="1637"/>
      <c r="AJ1" s="1637"/>
      <c r="AK1" s="1637"/>
      <c r="AL1" s="1637"/>
    </row>
    <row r="2" spans="3:91" ht="30" customHeight="1" x14ac:dyDescent="0.25">
      <c r="C2" s="1641" t="s">
        <v>100</v>
      </c>
      <c r="D2" s="1643" t="s">
        <v>101</v>
      </c>
      <c r="E2" s="1645" t="s">
        <v>102</v>
      </c>
      <c r="F2" s="1647" t="s">
        <v>103</v>
      </c>
      <c r="G2" s="1638" t="s">
        <v>881</v>
      </c>
      <c r="H2" s="1639"/>
      <c r="I2" s="1639"/>
      <c r="J2" s="1639"/>
      <c r="K2" s="1639"/>
      <c r="L2" s="1639"/>
      <c r="M2" s="1639"/>
      <c r="N2" s="1639"/>
      <c r="O2" s="1639"/>
      <c r="P2" s="1639"/>
      <c r="Q2" s="1639"/>
      <c r="R2" s="1639"/>
      <c r="S2" s="1639"/>
      <c r="T2" s="1639"/>
      <c r="U2" s="1639"/>
      <c r="V2" s="1639"/>
      <c r="W2" s="1639"/>
      <c r="X2" s="1639"/>
      <c r="Y2" s="1639"/>
      <c r="Z2" s="1639"/>
      <c r="AA2" s="1639"/>
      <c r="AB2" s="1639"/>
      <c r="AC2" s="1639"/>
      <c r="AD2" s="1639"/>
      <c r="AE2" s="1639"/>
      <c r="AF2" s="1639"/>
      <c r="AG2" s="1639"/>
      <c r="AH2" s="1639"/>
      <c r="AI2" s="1639"/>
      <c r="AJ2" s="1640"/>
      <c r="AL2" s="1649" t="s">
        <v>302</v>
      </c>
    </row>
    <row r="3" spans="3:91" x14ac:dyDescent="0.25">
      <c r="C3" s="1642"/>
      <c r="D3" s="1644"/>
      <c r="E3" s="1646"/>
      <c r="F3" s="1648"/>
      <c r="G3" s="366">
        <v>1</v>
      </c>
      <c r="H3" s="366">
        <v>2</v>
      </c>
      <c r="I3" s="366">
        <v>3</v>
      </c>
      <c r="J3" s="366">
        <v>4</v>
      </c>
      <c r="K3" s="366">
        <v>5</v>
      </c>
      <c r="L3" s="366">
        <v>6</v>
      </c>
      <c r="M3" s="366">
        <v>7</v>
      </c>
      <c r="N3" s="366">
        <v>8</v>
      </c>
      <c r="O3" s="366">
        <v>9</v>
      </c>
      <c r="P3" s="366">
        <v>10</v>
      </c>
      <c r="Q3" s="366">
        <v>11</v>
      </c>
      <c r="R3" s="366">
        <v>12</v>
      </c>
      <c r="S3" s="366">
        <v>13</v>
      </c>
      <c r="T3" s="366">
        <v>14</v>
      </c>
      <c r="U3" s="366">
        <v>15</v>
      </c>
      <c r="V3" s="366">
        <v>16</v>
      </c>
      <c r="W3" s="366">
        <v>17</v>
      </c>
      <c r="X3" s="366">
        <v>18</v>
      </c>
      <c r="Y3" s="366">
        <v>19</v>
      </c>
      <c r="Z3" s="366">
        <v>20</v>
      </c>
      <c r="AA3" s="366">
        <v>21</v>
      </c>
      <c r="AB3" s="366">
        <v>22</v>
      </c>
      <c r="AC3" s="366">
        <v>23</v>
      </c>
      <c r="AD3" s="366">
        <v>24</v>
      </c>
      <c r="AE3" s="366">
        <v>25</v>
      </c>
      <c r="AF3" s="366">
        <v>26</v>
      </c>
      <c r="AG3" s="366">
        <v>27</v>
      </c>
      <c r="AH3" s="366">
        <v>28</v>
      </c>
      <c r="AI3" s="366">
        <v>29</v>
      </c>
      <c r="AJ3" s="366">
        <v>30</v>
      </c>
      <c r="AL3" s="1650"/>
    </row>
    <row r="4" spans="3:91" x14ac:dyDescent="0.25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1633"/>
      <c r="AK4" s="3"/>
      <c r="AL4" s="52" t="s">
        <v>128</v>
      </c>
    </row>
    <row r="5" spans="3:91" x14ac:dyDescent="0.25">
      <c r="C5" s="8"/>
      <c r="D5" s="9" t="s">
        <v>16</v>
      </c>
      <c r="E5" s="251"/>
      <c r="F5" s="1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3"/>
      <c r="AL5" s="53" t="s">
        <v>16</v>
      </c>
    </row>
    <row r="6" spans="3:91" x14ac:dyDescent="0.25">
      <c r="C6" s="8"/>
      <c r="D6" s="11" t="s">
        <v>84</v>
      </c>
      <c r="E6" s="252"/>
      <c r="F6" s="12" t="s">
        <v>83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"/>
      <c r="AL6" s="55">
        <f>SUM(G6:AJ6)</f>
        <v>22</v>
      </c>
    </row>
    <row r="7" spans="3:91" x14ac:dyDescent="0.25">
      <c r="C7" s="8"/>
      <c r="D7" s="72" t="s">
        <v>126</v>
      </c>
      <c r="E7" s="252"/>
      <c r="F7" s="73" t="s">
        <v>14</v>
      </c>
      <c r="G7" s="271">
        <f>'[1]01'!$P$15</f>
        <v>839697</v>
      </c>
      <c r="H7" s="271">
        <f>'[2]02'!$P$15</f>
        <v>1188983</v>
      </c>
      <c r="I7" s="271">
        <f>'[2]03'!$P$15</f>
        <v>686390</v>
      </c>
      <c r="J7" s="271">
        <v>631759</v>
      </c>
      <c r="K7" s="271">
        <v>768297</v>
      </c>
      <c r="L7" s="271">
        <f>'[3]06'!$P$15</f>
        <v>265829</v>
      </c>
      <c r="M7" s="271">
        <f>'[4]07'!$P$15</f>
        <v>1355300</v>
      </c>
      <c r="N7" s="271">
        <f>'[5]08'!$P$15</f>
        <v>1709933</v>
      </c>
      <c r="O7" s="271">
        <f>'[5]09'!$P$15</f>
        <v>1254148</v>
      </c>
      <c r="P7" s="271">
        <f>'[5]10'!$P$15</f>
        <v>427434</v>
      </c>
      <c r="Q7" s="271">
        <f>'[6]11'!$P$15</f>
        <v>1046286</v>
      </c>
      <c r="R7" s="271">
        <f>'[7]12'!$P$15</f>
        <v>1337112</v>
      </c>
      <c r="S7" s="271">
        <f>'[8]13'!$P$15</f>
        <v>1544985</v>
      </c>
      <c r="T7" s="271">
        <f>'[9]14'!$P$15</f>
        <v>1532271</v>
      </c>
      <c r="U7" s="271">
        <f>'[10]15'!$P$15</f>
        <v>1051996</v>
      </c>
      <c r="V7" s="271">
        <f>'[11]16'!$P$15</f>
        <v>1149146</v>
      </c>
      <c r="W7" s="271">
        <f>'[11]17'!$P$15</f>
        <v>0</v>
      </c>
      <c r="X7" s="271">
        <f>'[12]18'!$P$15</f>
        <v>1135049</v>
      </c>
      <c r="Y7" s="271">
        <f>'[13]19'!$P$15</f>
        <v>890223</v>
      </c>
      <c r="Z7" s="271">
        <f>'[14]20'!$P$15</f>
        <v>949617</v>
      </c>
      <c r="AA7" s="271">
        <f>'[15]21'!$P$15</f>
        <v>1535903</v>
      </c>
      <c r="AB7" s="271">
        <f>'[16]22'!$P$15</f>
        <v>1313539</v>
      </c>
      <c r="AC7" s="271">
        <f>'[17]23'!$P$15</f>
        <v>1943723</v>
      </c>
      <c r="AD7" s="271">
        <f>'[17]24'!$P$15</f>
        <v>413342</v>
      </c>
      <c r="AE7" s="271">
        <f>'[18]25'!$P$15</f>
        <v>2214932</v>
      </c>
      <c r="AF7" s="271">
        <f>'[19]26'!$P$15</f>
        <v>2308752</v>
      </c>
      <c r="AG7" s="271">
        <f>'[19]27'!$P$15</f>
        <v>434771</v>
      </c>
      <c r="AH7" s="271">
        <f>'[20]28'!$P$15</f>
        <v>1330147</v>
      </c>
      <c r="AI7" s="271">
        <f>'[1]28'!$P$15</f>
        <v>990392</v>
      </c>
      <c r="AJ7" s="271">
        <f>'[21]30 (Stock Opname)'!$P$15</f>
        <v>1416573</v>
      </c>
      <c r="AK7" s="3"/>
      <c r="AL7" s="58">
        <f>SUM(G7:AJ7)</f>
        <v>33666529</v>
      </c>
      <c r="AQ7" s="3"/>
    </row>
    <row r="8" spans="3:91" x14ac:dyDescent="0.25">
      <c r="C8" s="8"/>
      <c r="D8" s="11" t="s">
        <v>104</v>
      </c>
      <c r="E8" s="252"/>
      <c r="F8" s="13" t="s">
        <v>25</v>
      </c>
      <c r="G8" s="34">
        <f>G9/2200000*100</f>
        <v>39.072136363636361</v>
      </c>
      <c r="H8" s="34">
        <f>H9/2200000*100</f>
        <v>24.422727272727272</v>
      </c>
      <c r="I8" s="34">
        <f t="shared" ref="I8:AJ8" si="0">I9/2200000*100</f>
        <v>33.490954545454542</v>
      </c>
      <c r="J8" s="34">
        <f t="shared" si="0"/>
        <v>40.663136363636369</v>
      </c>
      <c r="K8" s="34">
        <v>40.936545454545453</v>
      </c>
      <c r="L8" s="34">
        <f t="shared" si="0"/>
        <v>38.462499999999999</v>
      </c>
      <c r="M8" s="34">
        <f t="shared" si="0"/>
        <v>34.265181818181816</v>
      </c>
      <c r="N8" s="34">
        <f t="shared" si="0"/>
        <v>31.670136363636363</v>
      </c>
      <c r="O8" s="34">
        <f t="shared" si="0"/>
        <v>37.663363636363634</v>
      </c>
      <c r="P8" s="34">
        <f t="shared" si="0"/>
        <v>45.62045454545455</v>
      </c>
      <c r="Q8" s="34">
        <f t="shared" si="0"/>
        <v>45.49131818181818</v>
      </c>
      <c r="R8" s="34">
        <f t="shared" si="0"/>
        <v>42.072636363636363</v>
      </c>
      <c r="S8" s="34">
        <f t="shared" si="0"/>
        <v>36.530272727272731</v>
      </c>
      <c r="T8" s="34">
        <f t="shared" si="0"/>
        <v>45.908545454545454</v>
      </c>
      <c r="U8" s="34">
        <f t="shared" si="0"/>
        <v>47.36927272727273</v>
      </c>
      <c r="V8" s="34">
        <f t="shared" si="0"/>
        <v>45.076318181818181</v>
      </c>
      <c r="W8" s="34">
        <f t="shared" si="0"/>
        <v>28.810272727272729</v>
      </c>
      <c r="X8" s="34">
        <f t="shared" si="0"/>
        <v>50.639318181818183</v>
      </c>
      <c r="Y8" s="34">
        <f t="shared" si="0"/>
        <v>61.728136363636366</v>
      </c>
      <c r="Z8" s="34">
        <f t="shared" si="0"/>
        <v>71.516363636363636</v>
      </c>
      <c r="AA8" s="34">
        <f t="shared" si="0"/>
        <v>65.17877272727273</v>
      </c>
      <c r="AB8" s="34">
        <f t="shared" si="0"/>
        <v>19.656181818181818</v>
      </c>
      <c r="AC8" s="34">
        <f t="shared" si="0"/>
        <v>0</v>
      </c>
      <c r="AD8" s="34">
        <f t="shared" si="0"/>
        <v>0</v>
      </c>
      <c r="AE8" s="34">
        <f t="shared" si="0"/>
        <v>0</v>
      </c>
      <c r="AF8" s="34">
        <f t="shared" si="0"/>
        <v>0</v>
      </c>
      <c r="AG8" s="34">
        <f t="shared" si="0"/>
        <v>0</v>
      </c>
      <c r="AH8" s="34">
        <f t="shared" si="0"/>
        <v>0</v>
      </c>
      <c r="AI8" s="34">
        <f t="shared" si="0"/>
        <v>0</v>
      </c>
      <c r="AJ8" s="34">
        <f t="shared" si="0"/>
        <v>0</v>
      </c>
      <c r="AK8" s="3"/>
      <c r="AL8" s="59">
        <f>SUM(G8:AJ8)/AL6</f>
        <v>42.102024793388438</v>
      </c>
      <c r="AP8" s="1538"/>
    </row>
    <row r="9" spans="3:91" s="1" customFormat="1" x14ac:dyDescent="0.25">
      <c r="C9" s="8"/>
      <c r="D9" s="56" t="s">
        <v>97</v>
      </c>
      <c r="E9" s="235">
        <v>36359000</v>
      </c>
      <c r="F9" s="57" t="s">
        <v>14</v>
      </c>
      <c r="G9" s="271">
        <f>'[1]01'!$Q$15</f>
        <v>859587</v>
      </c>
      <c r="H9" s="271">
        <f>'[2]02'!$Q$15</f>
        <v>537300</v>
      </c>
      <c r="I9" s="271">
        <f>'[2]03'!$Q$15</f>
        <v>736801</v>
      </c>
      <c r="J9" s="271">
        <v>894589</v>
      </c>
      <c r="K9" s="271">
        <v>900604</v>
      </c>
      <c r="L9" s="271">
        <f>'[3]06'!$Q$15</f>
        <v>846175</v>
      </c>
      <c r="M9" s="271">
        <f>'[4]07'!$Q$15</f>
        <v>753834</v>
      </c>
      <c r="N9" s="271">
        <f>'[5]08'!$Q$15</f>
        <v>696743</v>
      </c>
      <c r="O9" s="271">
        <f>'[5]09'!$Q$15</f>
        <v>828594</v>
      </c>
      <c r="P9" s="271">
        <f>'[5]10'!$Q$15</f>
        <v>1003650</v>
      </c>
      <c r="Q9" s="271">
        <f>'[6]11'!$Q$15</f>
        <v>1000809</v>
      </c>
      <c r="R9" s="271">
        <f>'[7]12'!$Q$15</f>
        <v>925598</v>
      </c>
      <c r="S9" s="271">
        <f>'[8]13'!$Q$15</f>
        <v>803666</v>
      </c>
      <c r="T9" s="271">
        <f>'[9]14'!$Q$15</f>
        <v>1009988</v>
      </c>
      <c r="U9" s="271">
        <f>'[10]15'!$Q$15</f>
        <v>1042124</v>
      </c>
      <c r="V9" s="271">
        <f>'[11]16'!$Q$15</f>
        <v>991679</v>
      </c>
      <c r="W9" s="271">
        <f>'[11]17'!$Q$15</f>
        <v>633826</v>
      </c>
      <c r="X9" s="271">
        <f>'[12]18'!$Q$15</f>
        <v>1114065</v>
      </c>
      <c r="Y9" s="271">
        <f>'[13]19'!$Q$15</f>
        <v>1358019</v>
      </c>
      <c r="Z9" s="271">
        <f>'[14]20'!$Q$15</f>
        <v>1573360</v>
      </c>
      <c r="AA9" s="271">
        <f>'[15]21'!$Q$15</f>
        <v>1433933</v>
      </c>
      <c r="AB9" s="271">
        <f>'[16]22'!$Q$15</f>
        <v>432436</v>
      </c>
      <c r="AC9" s="271">
        <f>'[17]23'!$Q$15</f>
        <v>0</v>
      </c>
      <c r="AD9" s="271">
        <f>'[17]24'!$Q$15</f>
        <v>0</v>
      </c>
      <c r="AE9" s="271">
        <f>'[18]25'!$Q$15</f>
        <v>0</v>
      </c>
      <c r="AF9" s="271">
        <f>'[19]26'!$Q$15</f>
        <v>0</v>
      </c>
      <c r="AG9" s="271">
        <f>'[19]27'!$Q$15</f>
        <v>0</v>
      </c>
      <c r="AH9" s="271">
        <f>'[20]28'!$Q$15</f>
        <v>0</v>
      </c>
      <c r="AI9" s="271">
        <f>'[1]28'!$Q$15</f>
        <v>0</v>
      </c>
      <c r="AJ9" s="271">
        <f>'[21]30 (Stock Opname)'!$Q$15</f>
        <v>0</v>
      </c>
      <c r="AL9" s="58">
        <f>SUM(G9:AJ9)</f>
        <v>20377380</v>
      </c>
      <c r="AP9" s="1538"/>
      <c r="BF9" s="4"/>
      <c r="CM9" s="143"/>
    </row>
    <row r="10" spans="3:91" s="1" customFormat="1" x14ac:dyDescent="0.25">
      <c r="C10" s="8"/>
      <c r="D10" s="951" t="s">
        <v>387</v>
      </c>
      <c r="E10" s="952"/>
      <c r="F10" s="62"/>
      <c r="G10" s="953"/>
      <c r="H10" s="953"/>
      <c r="I10" s="953"/>
      <c r="J10" s="953"/>
      <c r="K10" s="953"/>
      <c r="L10" s="953"/>
      <c r="M10" s="953"/>
      <c r="N10" s="953"/>
      <c r="O10" s="953"/>
      <c r="P10" s="953"/>
      <c r="Q10" s="953"/>
      <c r="R10" s="953"/>
      <c r="S10" s="953"/>
      <c r="T10" s="953"/>
      <c r="U10" s="953"/>
      <c r="V10" s="953"/>
      <c r="W10" s="953"/>
      <c r="X10" s="953"/>
      <c r="Y10" s="953"/>
      <c r="Z10" s="953"/>
      <c r="AA10" s="953"/>
      <c r="AB10" s="953"/>
      <c r="AC10" s="953"/>
      <c r="AD10" s="953"/>
      <c r="AE10" s="953"/>
      <c r="AF10" s="953"/>
      <c r="AG10" s="953"/>
      <c r="AH10" s="953"/>
      <c r="AI10" s="953"/>
      <c r="AJ10" s="953"/>
      <c r="AK10" s="63"/>
      <c r="AL10" s="524">
        <f>AL9/AL6</f>
        <v>926244.54545454541</v>
      </c>
      <c r="AM10" s="478">
        <f>AL9/E9</f>
        <v>0.56044940729943071</v>
      </c>
      <c r="AP10" s="1631"/>
      <c r="BF10" s="4"/>
      <c r="CM10" s="143"/>
    </row>
    <row r="11" spans="3:91" s="1" customFormat="1" x14ac:dyDescent="0.25">
      <c r="C11" s="8"/>
      <c r="D11" s="21" t="s">
        <v>98</v>
      </c>
      <c r="E11" s="235">
        <v>29045000</v>
      </c>
      <c r="F11" s="13" t="s">
        <v>14</v>
      </c>
      <c r="G11" s="33">
        <f t="shared" ref="G11" si="1">G9-G12</f>
        <v>859587</v>
      </c>
      <c r="H11" s="33">
        <f t="shared" ref="H11" si="2">H9-H12</f>
        <v>537300</v>
      </c>
      <c r="I11" s="33">
        <f t="shared" ref="I11:AJ11" si="3">I9-I12</f>
        <v>736801</v>
      </c>
      <c r="J11" s="33">
        <f t="shared" si="3"/>
        <v>894589</v>
      </c>
      <c r="K11" s="33">
        <v>900604</v>
      </c>
      <c r="L11" s="33">
        <f t="shared" si="3"/>
        <v>846175</v>
      </c>
      <c r="M11" s="33">
        <f t="shared" si="3"/>
        <v>753834</v>
      </c>
      <c r="N11" s="33">
        <f t="shared" si="3"/>
        <v>696743</v>
      </c>
      <c r="O11" s="33">
        <f t="shared" si="3"/>
        <v>828594</v>
      </c>
      <c r="P11" s="33">
        <f t="shared" si="3"/>
        <v>1003650</v>
      </c>
      <c r="Q11" s="33">
        <f t="shared" si="3"/>
        <v>1000809</v>
      </c>
      <c r="R11" s="33">
        <f t="shared" si="3"/>
        <v>925598</v>
      </c>
      <c r="S11" s="33">
        <f t="shared" si="3"/>
        <v>803666</v>
      </c>
      <c r="T11" s="33">
        <f t="shared" si="3"/>
        <v>1009988</v>
      </c>
      <c r="U11" s="33">
        <f t="shared" si="3"/>
        <v>1042124</v>
      </c>
      <c r="V11" s="33">
        <f t="shared" si="3"/>
        <v>991679</v>
      </c>
      <c r="W11" s="33">
        <f t="shared" si="3"/>
        <v>633826</v>
      </c>
      <c r="X11" s="33">
        <f t="shared" si="3"/>
        <v>1114065</v>
      </c>
      <c r="Y11" s="33">
        <f t="shared" si="3"/>
        <v>1358019</v>
      </c>
      <c r="Z11" s="33">
        <f t="shared" si="3"/>
        <v>1573360</v>
      </c>
      <c r="AA11" s="33">
        <f t="shared" si="3"/>
        <v>1433933</v>
      </c>
      <c r="AB11" s="33">
        <f t="shared" si="3"/>
        <v>432436</v>
      </c>
      <c r="AC11" s="33">
        <f t="shared" si="3"/>
        <v>0</v>
      </c>
      <c r="AD11" s="33">
        <f t="shared" si="3"/>
        <v>0</v>
      </c>
      <c r="AE11" s="33">
        <f t="shared" si="3"/>
        <v>0</v>
      </c>
      <c r="AF11" s="33">
        <f t="shared" si="3"/>
        <v>0</v>
      </c>
      <c r="AG11" s="33">
        <f t="shared" si="3"/>
        <v>0</v>
      </c>
      <c r="AH11" s="33">
        <f t="shared" si="3"/>
        <v>0</v>
      </c>
      <c r="AI11" s="33">
        <f t="shared" si="3"/>
        <v>0</v>
      </c>
      <c r="AJ11" s="33">
        <f t="shared" si="3"/>
        <v>0</v>
      </c>
      <c r="AL11" s="55">
        <f>SUM(G11:AJ11)</f>
        <v>20377380</v>
      </c>
      <c r="CM11" s="143"/>
    </row>
    <row r="12" spans="3:91" s="1" customFormat="1" x14ac:dyDescent="0.25">
      <c r="C12" s="8"/>
      <c r="D12" s="21" t="s">
        <v>99</v>
      </c>
      <c r="E12" s="235">
        <v>7314000</v>
      </c>
      <c r="F12" s="13" t="s">
        <v>14</v>
      </c>
      <c r="G12" s="33">
        <f t="shared" ref="G12" si="4">G36+G45+G50</f>
        <v>0</v>
      </c>
      <c r="H12" s="33">
        <f t="shared" ref="H12" si="5">H36+H45+H50</f>
        <v>0</v>
      </c>
      <c r="I12" s="33">
        <f t="shared" ref="I12:AJ12" si="6">I36+I45+I50</f>
        <v>0</v>
      </c>
      <c r="J12" s="33">
        <f t="shared" si="6"/>
        <v>0</v>
      </c>
      <c r="K12" s="33">
        <v>0</v>
      </c>
      <c r="L12" s="33">
        <f t="shared" si="6"/>
        <v>0</v>
      </c>
      <c r="M12" s="33">
        <f t="shared" si="6"/>
        <v>0</v>
      </c>
      <c r="N12" s="33">
        <f t="shared" si="6"/>
        <v>0</v>
      </c>
      <c r="O12" s="33">
        <f t="shared" si="6"/>
        <v>0</v>
      </c>
      <c r="P12" s="33">
        <f t="shared" si="6"/>
        <v>0</v>
      </c>
      <c r="Q12" s="33">
        <f t="shared" si="6"/>
        <v>0</v>
      </c>
      <c r="R12" s="33">
        <f t="shared" si="6"/>
        <v>0</v>
      </c>
      <c r="S12" s="33">
        <f t="shared" si="6"/>
        <v>0</v>
      </c>
      <c r="T12" s="33">
        <f t="shared" si="6"/>
        <v>0</v>
      </c>
      <c r="U12" s="33">
        <f t="shared" si="6"/>
        <v>0</v>
      </c>
      <c r="V12" s="33">
        <f t="shared" si="6"/>
        <v>0</v>
      </c>
      <c r="W12" s="33">
        <f t="shared" si="6"/>
        <v>0</v>
      </c>
      <c r="X12" s="33">
        <f t="shared" si="6"/>
        <v>0</v>
      </c>
      <c r="Y12" s="33">
        <f t="shared" si="6"/>
        <v>0</v>
      </c>
      <c r="Z12" s="33">
        <f t="shared" si="6"/>
        <v>0</v>
      </c>
      <c r="AA12" s="33">
        <f t="shared" si="6"/>
        <v>0</v>
      </c>
      <c r="AB12" s="33">
        <f t="shared" si="6"/>
        <v>0</v>
      </c>
      <c r="AC12" s="33">
        <f t="shared" si="6"/>
        <v>0</v>
      </c>
      <c r="AD12" s="33">
        <f t="shared" si="6"/>
        <v>0</v>
      </c>
      <c r="AE12" s="33">
        <f t="shared" si="6"/>
        <v>0</v>
      </c>
      <c r="AF12" s="33">
        <f t="shared" si="6"/>
        <v>0</v>
      </c>
      <c r="AG12" s="33">
        <f t="shared" si="6"/>
        <v>0</v>
      </c>
      <c r="AH12" s="33">
        <f t="shared" si="6"/>
        <v>0</v>
      </c>
      <c r="AI12" s="33">
        <f t="shared" si="6"/>
        <v>0</v>
      </c>
      <c r="AJ12" s="33">
        <f t="shared" si="6"/>
        <v>0</v>
      </c>
      <c r="AL12" s="55">
        <f>SUM(G12:AJ12)</f>
        <v>0</v>
      </c>
      <c r="AP12" s="1538"/>
      <c r="CM12" s="143"/>
    </row>
    <row r="13" spans="3:91" s="1" customFormat="1" x14ac:dyDescent="0.25">
      <c r="C13" s="8"/>
      <c r="D13" s="14" t="s">
        <v>82</v>
      </c>
      <c r="E13" s="253">
        <v>5</v>
      </c>
      <c r="F13" s="13" t="s">
        <v>25</v>
      </c>
      <c r="G13" s="29">
        <v>3.95</v>
      </c>
      <c r="H13" s="29">
        <f>(4.11+3.38)/2</f>
        <v>3.7450000000000001</v>
      </c>
      <c r="I13" s="29">
        <f>(4.12+3.52)/2</f>
        <v>3.8200000000000003</v>
      </c>
      <c r="J13" s="29">
        <v>3.84</v>
      </c>
      <c r="K13" s="29">
        <v>3.87</v>
      </c>
      <c r="L13" s="29">
        <v>3.93</v>
      </c>
      <c r="M13" s="29">
        <v>3.65</v>
      </c>
      <c r="N13" s="29">
        <f>(4.3+3.73)/2</f>
        <v>4.0149999999999997</v>
      </c>
      <c r="O13" s="29">
        <v>4.04</v>
      </c>
      <c r="P13" s="29">
        <f>(4.06+3.79)/2</f>
        <v>3.9249999999999998</v>
      </c>
      <c r="Q13" s="29">
        <v>3.86</v>
      </c>
      <c r="R13" s="29">
        <f>(3.9+3.87+3.35)/3</f>
        <v>3.7066666666666666</v>
      </c>
      <c r="S13" s="29">
        <f>(3.73+3.33)/2</f>
        <v>3.5300000000000002</v>
      </c>
      <c r="T13" s="29">
        <f>(3.86+3.36)/2</f>
        <v>3.61</v>
      </c>
      <c r="U13" s="29">
        <f>(3.96+3.45)/2</f>
        <v>3.7050000000000001</v>
      </c>
      <c r="V13" s="29">
        <f>(3.75+3.52)/2</f>
        <v>3.6349999999999998</v>
      </c>
      <c r="W13" s="29">
        <v>4.17</v>
      </c>
      <c r="X13" s="29">
        <f>(4.3+3.83)/2</f>
        <v>4.0649999999999995</v>
      </c>
      <c r="Y13" s="29">
        <f>(4.33+3.69)/2</f>
        <v>4.01</v>
      </c>
      <c r="Z13" s="29">
        <f>(4.03+3.71)/2</f>
        <v>3.87</v>
      </c>
      <c r="AA13" s="29">
        <v>4.16</v>
      </c>
      <c r="AB13" s="29">
        <v>4.0599999999999996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L13" s="59">
        <f>SUM(G13:AJ13)/AL6</f>
        <v>3.8712121212121207</v>
      </c>
      <c r="CM13" s="142"/>
    </row>
    <row r="14" spans="3:91" s="1" customFormat="1" x14ac:dyDescent="0.25">
      <c r="C14" s="8"/>
      <c r="D14" s="14" t="s">
        <v>81</v>
      </c>
      <c r="E14" s="253">
        <v>0.5</v>
      </c>
      <c r="F14" s="13" t="s">
        <v>25</v>
      </c>
      <c r="G14" s="29">
        <v>0.41</v>
      </c>
      <c r="H14" s="29">
        <f>(0.48+0.44)/2</f>
        <v>0.45999999999999996</v>
      </c>
      <c r="I14" s="29">
        <f>(0.48+0.48)/2</f>
        <v>0.48</v>
      </c>
      <c r="J14" s="29">
        <v>0.42</v>
      </c>
      <c r="K14" s="29">
        <v>0.45</v>
      </c>
      <c r="L14" s="29">
        <v>0.47</v>
      </c>
      <c r="M14" s="29">
        <v>0.41</v>
      </c>
      <c r="N14" s="29">
        <f>(0.41+0.45)/2</f>
        <v>0.43</v>
      </c>
      <c r="O14" s="29">
        <v>0.43</v>
      </c>
      <c r="P14" s="29">
        <f>(0.4+0.45)/2</f>
        <v>0.42500000000000004</v>
      </c>
      <c r="Q14" s="29">
        <v>0.48</v>
      </c>
      <c r="R14" s="29">
        <f>(0.4+0.4+0.45)/3</f>
        <v>0.41666666666666669</v>
      </c>
      <c r="S14" s="29">
        <f>(0.42+0.4)/2</f>
        <v>0.41000000000000003</v>
      </c>
      <c r="T14" s="29">
        <f>(0.38+0.43)/2</f>
        <v>0.40500000000000003</v>
      </c>
      <c r="U14" s="29">
        <f>(0.42+0.43)/2</f>
        <v>0.42499999999999999</v>
      </c>
      <c r="V14" s="29">
        <f>(0.42+0.44)/2</f>
        <v>0.43</v>
      </c>
      <c r="W14" s="29">
        <v>0.45</v>
      </c>
      <c r="X14" s="29">
        <f>(0.46+0.42)/2</f>
        <v>0.44</v>
      </c>
      <c r="Y14" s="29">
        <f>(0.4+0.39)/2</f>
        <v>0.39500000000000002</v>
      </c>
      <c r="Z14" s="29">
        <f>(0.42+0.41)/2</f>
        <v>0.41499999999999998</v>
      </c>
      <c r="AA14" s="29">
        <v>0.45</v>
      </c>
      <c r="AB14" s="29">
        <v>0.45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L14" s="59">
        <f>SUM(G14:AJ14)/AL6</f>
        <v>0.43416666666666665</v>
      </c>
      <c r="BF14" s="4"/>
      <c r="CM14" s="143"/>
    </row>
    <row r="15" spans="3:91" s="1" customFormat="1" x14ac:dyDescent="0.25">
      <c r="C15" s="8"/>
      <c r="D15" s="14" t="s">
        <v>80</v>
      </c>
      <c r="E15" s="254" t="s">
        <v>79</v>
      </c>
      <c r="F15" s="13" t="s">
        <v>25</v>
      </c>
      <c r="G15" s="29">
        <v>2.02</v>
      </c>
      <c r="H15" s="29">
        <v>2.0099999999999998</v>
      </c>
      <c r="I15" s="29">
        <v>2.02</v>
      </c>
      <c r="J15" s="29">
        <v>2.0099999999999998</v>
      </c>
      <c r="K15" s="29">
        <v>2.02</v>
      </c>
      <c r="L15" s="29">
        <v>2.0099999999999998</v>
      </c>
      <c r="M15" s="29">
        <v>2.02</v>
      </c>
      <c r="N15" s="29">
        <v>2.0099999999999998</v>
      </c>
      <c r="O15" s="29">
        <v>2.02</v>
      </c>
      <c r="P15" s="29">
        <v>2.0099999999999998</v>
      </c>
      <c r="Q15" s="29">
        <v>2.02</v>
      </c>
      <c r="R15" s="29">
        <v>2.0099999999999998</v>
      </c>
      <c r="S15" s="29">
        <v>2.02</v>
      </c>
      <c r="T15" s="29">
        <v>2.0099999999999998</v>
      </c>
      <c r="U15" s="29">
        <v>2.02</v>
      </c>
      <c r="V15" s="29">
        <v>2.0099999999999998</v>
      </c>
      <c r="W15" s="29">
        <v>2.02</v>
      </c>
      <c r="X15" s="29">
        <v>2.0099999999999998</v>
      </c>
      <c r="Y15" s="29">
        <v>2.02</v>
      </c>
      <c r="Z15" s="29">
        <v>2.0099999999999998</v>
      </c>
      <c r="AA15" s="29">
        <v>2.02</v>
      </c>
      <c r="AB15" s="29">
        <v>2.0099999999999998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L15" s="59">
        <f>SUM(G15:AJ15)/AL6</f>
        <v>2.0150000000000001</v>
      </c>
      <c r="CM15" s="143"/>
    </row>
    <row r="16" spans="3:91" s="1" customFormat="1" x14ac:dyDescent="0.25">
      <c r="C16" s="8"/>
      <c r="D16" s="60" t="s">
        <v>78</v>
      </c>
      <c r="E16" s="255"/>
      <c r="F16" s="6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63"/>
      <c r="AL16" s="64" t="s">
        <v>78</v>
      </c>
      <c r="CM16" s="143"/>
    </row>
    <row r="17" spans="1:15104" s="1" customFormat="1" x14ac:dyDescent="0.25">
      <c r="C17" s="8"/>
      <c r="D17" s="834" t="s">
        <v>368</v>
      </c>
      <c r="E17" s="255"/>
      <c r="F17" s="62"/>
      <c r="G17" s="33">
        <f>'[22]OIP Refinery'!G5</f>
        <v>-406</v>
      </c>
      <c r="H17" s="33">
        <f>'OIP Refinery'!G6</f>
        <v>-6347</v>
      </c>
      <c r="I17" s="33">
        <f>'OIP Refinery'!G7</f>
        <v>3041</v>
      </c>
      <c r="J17" s="33">
        <f>'OIP Refinery'!G8</f>
        <v>-3727</v>
      </c>
      <c r="K17" s="33">
        <v>3867</v>
      </c>
      <c r="L17" s="33">
        <f>'OIP Refinery'!G10</f>
        <v>4672</v>
      </c>
      <c r="M17" s="33">
        <f>'OIP Refinery'!G11</f>
        <v>-3984</v>
      </c>
      <c r="N17" s="33">
        <f>'OIP Refinery'!G12</f>
        <v>-49689</v>
      </c>
      <c r="O17" s="33">
        <f>'OIP Refinery'!G13</f>
        <v>42583</v>
      </c>
      <c r="P17" s="33">
        <f>'OIP Refinery'!G14</f>
        <v>9236</v>
      </c>
      <c r="Q17" s="33">
        <f>'OIP Refinery'!G15</f>
        <v>12226</v>
      </c>
      <c r="R17" s="33">
        <f>'OIP Refinery'!G16</f>
        <v>2888</v>
      </c>
      <c r="S17" s="33">
        <f>'OIP Refinery'!G17</f>
        <v>-11029</v>
      </c>
      <c r="T17" s="33">
        <f>'OIP Refinery'!G18</f>
        <v>14415</v>
      </c>
      <c r="U17" s="33">
        <f>'OIP Refinery'!G19</f>
        <v>-23435</v>
      </c>
      <c r="V17" s="33">
        <f>'OIP Refinery'!G20</f>
        <v>15090</v>
      </c>
      <c r="W17" s="33">
        <f>'OIP Refinery'!G21</f>
        <v>-22972</v>
      </c>
      <c r="X17" s="33">
        <f>'OIP Refinery'!G22</f>
        <v>32794</v>
      </c>
      <c r="Y17" s="33">
        <f>'OIP Refinery'!G23</f>
        <v>-20863</v>
      </c>
      <c r="Z17" s="33">
        <f>'OIP Refinery'!G24</f>
        <v>-38825</v>
      </c>
      <c r="AA17" s="33">
        <f>'OIP Refinery'!G25</f>
        <v>40150</v>
      </c>
      <c r="AB17" s="33">
        <f>'OIP Refinery'!G26</f>
        <v>-95665</v>
      </c>
      <c r="AC17" s="33">
        <f>'OIP Refinery'!G27</f>
        <v>-179950</v>
      </c>
      <c r="AD17" s="33">
        <f>'OIP Refinery'!G28</f>
        <v>0</v>
      </c>
      <c r="AE17" s="33">
        <f>'OIP Refinery'!G29</f>
        <v>0</v>
      </c>
      <c r="AF17" s="33">
        <f>'OIP Refinery'!G30</f>
        <v>0</v>
      </c>
      <c r="AG17" s="33">
        <f>'OIP Refinery'!G31</f>
        <v>0</v>
      </c>
      <c r="AH17" s="33">
        <f>'OIP Refinery'!G32</f>
        <v>0</v>
      </c>
      <c r="AI17" s="33">
        <f>'OIP Refinery'!G33</f>
        <v>0</v>
      </c>
      <c r="AJ17" s="33">
        <f>'OIP Refinery'!G34</f>
        <v>0</v>
      </c>
      <c r="AK17" s="63"/>
      <c r="AL17" s="64"/>
      <c r="CM17" s="143"/>
    </row>
    <row r="18" spans="1:15104" s="1" customFormat="1" x14ac:dyDescent="0.25">
      <c r="C18" s="15"/>
      <c r="D18" s="65" t="s">
        <v>197</v>
      </c>
      <c r="E18" s="235">
        <v>34458000</v>
      </c>
      <c r="F18" s="66" t="s">
        <v>14</v>
      </c>
      <c r="G18" s="271">
        <f>'[1]01'!$P$18+G17</f>
        <v>832484</v>
      </c>
      <c r="H18" s="271">
        <f>'[2]02'!$P$18+H17</f>
        <v>503888</v>
      </c>
      <c r="I18" s="271">
        <f>'[2]03'!$P$18+I17</f>
        <v>717643</v>
      </c>
      <c r="J18" s="271">
        <f>854343+J17</f>
        <v>850616</v>
      </c>
      <c r="K18" s="271">
        <f>862559+K17</f>
        <v>866426</v>
      </c>
      <c r="L18" s="271">
        <f>'[3]06'!$P$18+L17</f>
        <v>804611</v>
      </c>
      <c r="M18" s="271">
        <f>'[4]07'!$P$18+M17</f>
        <v>717374</v>
      </c>
      <c r="N18" s="271">
        <f>'[5]08'!$P$18+N17</f>
        <v>631067</v>
      </c>
      <c r="O18" s="271">
        <f>'[5]09'!$P$18+O17</f>
        <v>754534</v>
      </c>
      <c r="P18" s="271">
        <f>'[5]10'!$P$18+P17</f>
        <v>966838</v>
      </c>
      <c r="Q18" s="271">
        <f>'[6]11'!$P$18+Q17</f>
        <v>948306</v>
      </c>
      <c r="R18" s="271">
        <f>'[7]12'!$P$18+R17</f>
        <v>870851</v>
      </c>
      <c r="S18" s="271">
        <f>'[8]13'!$P$18+S17</f>
        <v>758174</v>
      </c>
      <c r="T18" s="271">
        <f>'[9]14'!$P$18+T17</f>
        <v>937848</v>
      </c>
      <c r="U18" s="271">
        <f>'[10]15'!$P$18+U17</f>
        <v>978639</v>
      </c>
      <c r="V18" s="271">
        <f>'[11]16'!$P$18+V17</f>
        <v>945977</v>
      </c>
      <c r="W18" s="271">
        <f>'[11]17'!$P$18+22972</f>
        <v>655261</v>
      </c>
      <c r="X18" s="271">
        <f>'[12]18'!$P$18+X17</f>
        <v>1058377</v>
      </c>
      <c r="Y18" s="271">
        <f>'[13]19'!$P$18+20863</f>
        <v>1311371</v>
      </c>
      <c r="Z18" s="271">
        <f>'[14]20'!$P$18+38825</f>
        <v>1504302</v>
      </c>
      <c r="AA18" s="271">
        <f>'[15]21'!$P$18+40150</f>
        <v>1396518</v>
      </c>
      <c r="AB18" s="271">
        <f>'[16]22'!$P$18+95665</f>
        <v>599189</v>
      </c>
      <c r="AC18" s="271">
        <f>'[17]23'!$P$18+179950</f>
        <v>347862</v>
      </c>
      <c r="AD18" s="271">
        <f>'[17]24'!$P$18</f>
        <v>0</v>
      </c>
      <c r="AE18" s="271">
        <f>'[18]25'!$P$18</f>
        <v>0</v>
      </c>
      <c r="AF18" s="271">
        <f>'[19]26'!$P$18</f>
        <v>0</v>
      </c>
      <c r="AG18" s="271">
        <f>'[19]27'!$P$18</f>
        <v>0</v>
      </c>
      <c r="AH18" s="271">
        <f>'[20]28'!$P$18</f>
        <v>0</v>
      </c>
      <c r="AI18" s="271">
        <f>'[1]28'!$P$18</f>
        <v>0</v>
      </c>
      <c r="AJ18" s="271">
        <f>'[21]30 (Stock Opname)'!$P$18</f>
        <v>0</v>
      </c>
      <c r="AL18" s="58">
        <f>SUM(G18:AJ18)</f>
        <v>19958156</v>
      </c>
      <c r="CM18" s="142"/>
      <c r="VGF18" s="46"/>
      <c r="VGG18" s="46"/>
      <c r="VGH18" s="46"/>
      <c r="VGI18" s="46"/>
      <c r="VGJ18" s="46"/>
      <c r="VGK18" s="46"/>
      <c r="VGL18" s="46"/>
      <c r="VGM18" s="46"/>
      <c r="VGN18" s="46"/>
      <c r="VGO18" s="46"/>
      <c r="VGP18" s="46"/>
      <c r="VGQ18" s="46"/>
      <c r="VGR18" s="46"/>
      <c r="VGS18" s="46"/>
      <c r="VGT18" s="46"/>
      <c r="VGU18" s="46"/>
      <c r="VGV18" s="46"/>
      <c r="VGW18" s="46"/>
      <c r="VGX18" s="46"/>
      <c r="VGY18" s="46"/>
      <c r="VGZ18" s="46"/>
      <c r="VHA18" s="46"/>
      <c r="VHB18" s="46"/>
      <c r="VHC18" s="46"/>
      <c r="VHD18" s="46"/>
      <c r="VHE18" s="46"/>
      <c r="VHF18" s="46"/>
      <c r="VHG18" s="46"/>
      <c r="VHH18" s="46"/>
      <c r="VHI18" s="46"/>
      <c r="VHJ18" s="46"/>
      <c r="VHK18" s="46"/>
      <c r="VHL18" s="46"/>
      <c r="VHM18" s="46"/>
      <c r="VHN18" s="46"/>
      <c r="VHO18" s="46"/>
      <c r="VHP18" s="46"/>
      <c r="VHQ18" s="46"/>
      <c r="VHR18" s="46"/>
      <c r="VHS18" s="46"/>
      <c r="VHT18" s="46"/>
      <c r="VHU18" s="46"/>
      <c r="VHV18" s="46"/>
      <c r="VHW18" s="46"/>
      <c r="VHX18" s="46"/>
    </row>
    <row r="19" spans="1:15104" s="1" customFormat="1" x14ac:dyDescent="0.25">
      <c r="C19" s="15"/>
      <c r="D19" s="65" t="s">
        <v>64</v>
      </c>
      <c r="E19" s="235">
        <v>1636000</v>
      </c>
      <c r="F19" s="66" t="s">
        <v>14</v>
      </c>
      <c r="G19" s="271">
        <f>'[1]01'!$P$26</f>
        <v>34408</v>
      </c>
      <c r="H19" s="271">
        <f>'[2]02'!$P$26</f>
        <v>24264</v>
      </c>
      <c r="I19" s="271">
        <f>'[2]03'!$P$26</f>
        <v>31198</v>
      </c>
      <c r="J19" s="271">
        <v>43177</v>
      </c>
      <c r="K19" s="271">
        <v>29951</v>
      </c>
      <c r="L19" s="271">
        <f>'[3]06'!$P$26</f>
        <v>35234</v>
      </c>
      <c r="M19" s="271">
        <f>'[4]07'!$P$26</f>
        <v>30033</v>
      </c>
      <c r="N19" s="271">
        <f>'[5]08'!$P$26</f>
        <v>30410</v>
      </c>
      <c r="O19" s="271">
        <f>'[5]09'!$P$26</f>
        <v>37854</v>
      </c>
      <c r="P19" s="271">
        <f>'[5]10'!$P$26</f>
        <v>43557</v>
      </c>
      <c r="Q19" s="271">
        <f>'[6]11'!$P$26</f>
        <v>43387</v>
      </c>
      <c r="R19" s="271">
        <f>'[7]12'!$P$26</f>
        <v>39212</v>
      </c>
      <c r="S19" s="271">
        <f>'[8]13'!$P$26</f>
        <v>41814</v>
      </c>
      <c r="T19" s="271">
        <f>'[9]14'!$P$26</f>
        <v>33066</v>
      </c>
      <c r="U19" s="271">
        <f>'[10]15'!$P$26</f>
        <v>55468</v>
      </c>
      <c r="V19" s="271">
        <f>'[11]16'!$P$26</f>
        <v>39691</v>
      </c>
      <c r="W19" s="271">
        <f>'[11]17'!$P$26</f>
        <v>31383</v>
      </c>
      <c r="X19" s="271">
        <f>'[12]18'!$P$26</f>
        <v>47540</v>
      </c>
      <c r="Y19" s="271">
        <f>'[13]19'!$P$26</f>
        <v>40680</v>
      </c>
      <c r="Z19" s="271">
        <f>'[14]20'!$P$26</f>
        <v>57733</v>
      </c>
      <c r="AA19" s="271">
        <f>'[15]21'!$P$26</f>
        <v>64108</v>
      </c>
      <c r="AB19" s="271">
        <f>'[16]22'!$P$26</f>
        <v>29969</v>
      </c>
      <c r="AC19" s="271">
        <f>'[17]23'!$P$26</f>
        <v>6321</v>
      </c>
      <c r="AD19" s="271">
        <f>'[17]24'!$P$26</f>
        <v>0</v>
      </c>
      <c r="AE19" s="271">
        <f>'[18]25'!$P$26</f>
        <v>0</v>
      </c>
      <c r="AF19" s="271">
        <f>'[19]26'!$P$26</f>
        <v>0</v>
      </c>
      <c r="AG19" s="271">
        <f>'[19]27'!$P$26</f>
        <v>0</v>
      </c>
      <c r="AH19" s="271">
        <f>'[20]28'!$P$26</f>
        <v>0</v>
      </c>
      <c r="AI19" s="271">
        <f>'[1]28'!$P$26</f>
        <v>0</v>
      </c>
      <c r="AJ19" s="271">
        <f>'[21]30 (Stock Opname)'!$P$26</f>
        <v>0</v>
      </c>
      <c r="AL19" s="58">
        <f>SUM(G19:AJ19)</f>
        <v>870458</v>
      </c>
      <c r="CM19" s="142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  <c r="VGW19" s="46"/>
      <c r="VGX19" s="46"/>
      <c r="VGY19" s="46"/>
      <c r="VGZ19" s="46"/>
      <c r="VHA19" s="46"/>
      <c r="VHB19" s="46"/>
      <c r="VHC19" s="46"/>
      <c r="VHD19" s="46"/>
      <c r="VHE19" s="46"/>
      <c r="VHF19" s="46"/>
      <c r="VHG19" s="46"/>
      <c r="VHH19" s="46"/>
      <c r="VHI19" s="46"/>
      <c r="VHJ19" s="46"/>
      <c r="VHK19" s="46"/>
      <c r="VHL19" s="46"/>
      <c r="VHM19" s="46"/>
      <c r="VHN19" s="46"/>
      <c r="VHO19" s="46"/>
      <c r="VHP19" s="46"/>
      <c r="VHQ19" s="46"/>
      <c r="VHR19" s="46"/>
      <c r="VHS19" s="46"/>
      <c r="VHT19" s="46"/>
      <c r="VHU19" s="46"/>
      <c r="VHV19" s="46"/>
      <c r="VHW19" s="46"/>
      <c r="VHX19" s="46"/>
    </row>
    <row r="20" spans="1:15104" s="1" customFormat="1" x14ac:dyDescent="0.25">
      <c r="C20" s="15"/>
      <c r="D20" s="721" t="s">
        <v>359</v>
      </c>
      <c r="E20" s="746"/>
      <c r="F20" s="20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L20" s="55"/>
      <c r="CM20" s="142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  <c r="VGW20" s="46"/>
      <c r="VGX20" s="46"/>
      <c r="VGY20" s="46"/>
      <c r="VGZ20" s="46"/>
      <c r="VHA20" s="46"/>
      <c r="VHB20" s="46"/>
      <c r="VHC20" s="46"/>
      <c r="VHD20" s="46"/>
      <c r="VHE20" s="46"/>
      <c r="VHF20" s="46"/>
      <c r="VHG20" s="46"/>
      <c r="VHH20" s="46"/>
      <c r="VHI20" s="46"/>
      <c r="VHJ20" s="46"/>
      <c r="VHK20" s="46"/>
      <c r="VHL20" s="46"/>
      <c r="VHM20" s="46"/>
      <c r="VHN20" s="46"/>
      <c r="VHO20" s="46"/>
      <c r="VHP20" s="46"/>
      <c r="VHQ20" s="46"/>
      <c r="VHR20" s="46"/>
      <c r="VHS20" s="46"/>
      <c r="VHT20" s="46"/>
      <c r="VHU20" s="46"/>
      <c r="VHV20" s="46"/>
      <c r="VHW20" s="46"/>
      <c r="VHX20" s="46"/>
    </row>
    <row r="21" spans="1:15104" x14ac:dyDescent="0.25">
      <c r="C21" s="8"/>
      <c r="D21" s="11" t="s">
        <v>84</v>
      </c>
      <c r="E21" s="252"/>
      <c r="F21" s="12" t="s">
        <v>83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  <c r="AC21" s="33">
        <v>1</v>
      </c>
      <c r="AD21" s="33">
        <v>1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"/>
      <c r="AL21" s="55">
        <f>SUM(G21:AJ21)</f>
        <v>24</v>
      </c>
      <c r="AP21" s="3"/>
    </row>
    <row r="22" spans="1:15104" x14ac:dyDescent="0.25">
      <c r="C22" s="8"/>
      <c r="D22" s="11" t="s">
        <v>363</v>
      </c>
      <c r="E22" s="252"/>
      <c r="F22" s="12" t="s">
        <v>14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"/>
      <c r="AL22" s="55">
        <f>SUM(G22:AJ22)</f>
        <v>0</v>
      </c>
      <c r="AP22" s="3"/>
      <c r="AS22" s="1" t="s">
        <v>357</v>
      </c>
    </row>
    <row r="23" spans="1:15104" s="1" customFormat="1" x14ac:dyDescent="0.25">
      <c r="C23" s="15"/>
      <c r="D23" s="65" t="s">
        <v>362</v>
      </c>
      <c r="E23" s="235"/>
      <c r="F23" s="66" t="s">
        <v>14</v>
      </c>
      <c r="G23" s="271">
        <f>'[1]01'!$Q$18</f>
        <v>995005</v>
      </c>
      <c r="H23" s="271">
        <f>'[2]02'!$Q$18</f>
        <v>1111304</v>
      </c>
      <c r="I23" s="271">
        <f>'[2]03'!$Q$18</f>
        <v>1103741</v>
      </c>
      <c r="J23" s="271">
        <v>952027</v>
      </c>
      <c r="K23" s="271">
        <v>967829</v>
      </c>
      <c r="L23" s="271">
        <f>'[3]06'!$Q$18</f>
        <v>982946</v>
      </c>
      <c r="M23" s="271">
        <f>'[4]07'!$Q$18</f>
        <v>991841</v>
      </c>
      <c r="N23" s="271">
        <f>'[5]08'!$Q$18</f>
        <v>769268</v>
      </c>
      <c r="O23" s="271">
        <f>'[5]09'!$Q$18</f>
        <v>743523</v>
      </c>
      <c r="P23" s="271">
        <f>'[5]10'!$Q$18</f>
        <v>1142644</v>
      </c>
      <c r="Q23" s="271">
        <f>'[6]11'!$Q$18</f>
        <v>991404</v>
      </c>
      <c r="R23" s="271">
        <f>'[7]12'!$Q$18</f>
        <v>958171</v>
      </c>
      <c r="S23" s="271">
        <f>'[8]13'!$Q$18</f>
        <v>760178</v>
      </c>
      <c r="T23" s="271">
        <f>'[9]14'!$Q$18</f>
        <v>805516</v>
      </c>
      <c r="U23" s="271">
        <f>'[10]15'!$Q$18</f>
        <v>827755</v>
      </c>
      <c r="V23" s="271">
        <f>'[11]16'!$Q$18</f>
        <v>811972</v>
      </c>
      <c r="W23" s="271">
        <f>'[11]17'!$Q$18</f>
        <v>928407</v>
      </c>
      <c r="X23" s="271">
        <f>'[12]18'!$Q$18</f>
        <v>862219</v>
      </c>
      <c r="Y23" s="271">
        <f>'[13]19'!$Q$18</f>
        <v>882883</v>
      </c>
      <c r="Z23" s="271">
        <f>'[14]20'!$Q$18</f>
        <v>920378</v>
      </c>
      <c r="AA23" s="271">
        <f>'[15]21'!$Q$18</f>
        <v>907770</v>
      </c>
      <c r="AB23" s="271">
        <f>'[16]22'!$Q$18</f>
        <v>931307</v>
      </c>
      <c r="AC23" s="271">
        <f>'[17]23'!$Q$18</f>
        <v>871518</v>
      </c>
      <c r="AD23" s="271">
        <f>'[17]24'!$Q$18</f>
        <v>518230</v>
      </c>
      <c r="AE23" s="271">
        <f>'[18]25'!$Q$18</f>
        <v>0</v>
      </c>
      <c r="AF23" s="271">
        <f>'[19]26'!$Q$18</f>
        <v>0</v>
      </c>
      <c r="AG23" s="271">
        <f>'[19]27'!$Q$18</f>
        <v>0</v>
      </c>
      <c r="AH23" s="271">
        <f>'[20]28'!$Q$18</f>
        <v>0</v>
      </c>
      <c r="AI23" s="271">
        <f>'[1]28'!$Q$18</f>
        <v>0</v>
      </c>
      <c r="AJ23" s="271">
        <f>'[21]30 (Stock Opname)'!$Q$18</f>
        <v>0</v>
      </c>
      <c r="AL23" s="58">
        <f>SUM(G23:AJ23)</f>
        <v>21737836</v>
      </c>
      <c r="CM23" s="142"/>
      <c r="VGF23" s="46"/>
      <c r="VGG23" s="46"/>
      <c r="VGH23" s="46"/>
      <c r="VGI23" s="46"/>
      <c r="VGJ23" s="46"/>
      <c r="VGK23" s="46"/>
      <c r="VGL23" s="46"/>
      <c r="VGM23" s="46"/>
      <c r="VGN23" s="46"/>
      <c r="VGO23" s="46"/>
      <c r="VGP23" s="46"/>
      <c r="VGQ23" s="46"/>
      <c r="VGR23" s="46"/>
      <c r="VGS23" s="46"/>
      <c r="VGT23" s="46"/>
      <c r="VGU23" s="46"/>
      <c r="VGV23" s="46"/>
      <c r="VGW23" s="46"/>
      <c r="VGX23" s="46"/>
      <c r="VGY23" s="46"/>
      <c r="VGZ23" s="46"/>
      <c r="VHA23" s="46"/>
      <c r="VHB23" s="46"/>
      <c r="VHC23" s="46"/>
      <c r="VHD23" s="46"/>
      <c r="VHE23" s="46"/>
      <c r="VHF23" s="46"/>
      <c r="VHG23" s="46"/>
      <c r="VHH23" s="46"/>
      <c r="VHI23" s="46"/>
      <c r="VHJ23" s="46"/>
      <c r="VHK23" s="46"/>
      <c r="VHL23" s="46"/>
      <c r="VHM23" s="46"/>
      <c r="VHN23" s="46"/>
      <c r="VHO23" s="46"/>
      <c r="VHP23" s="46"/>
      <c r="VHQ23" s="46"/>
      <c r="VHR23" s="46"/>
      <c r="VHS23" s="46"/>
      <c r="VHT23" s="46"/>
      <c r="VHU23" s="46"/>
      <c r="VHV23" s="46"/>
      <c r="VHW23" s="46"/>
      <c r="VHX23" s="46"/>
    </row>
    <row r="24" spans="1:15104" s="1" customFormat="1" x14ac:dyDescent="0.25">
      <c r="C24" s="15"/>
      <c r="D24" s="951" t="s">
        <v>386</v>
      </c>
      <c r="E24" s="952"/>
      <c r="F24" s="70"/>
      <c r="G24" s="953"/>
      <c r="H24" s="953"/>
      <c r="I24" s="953"/>
      <c r="J24" s="953"/>
      <c r="K24" s="953"/>
      <c r="L24" s="953"/>
      <c r="M24" s="953"/>
      <c r="N24" s="953"/>
      <c r="O24" s="953"/>
      <c r="P24" s="953"/>
      <c r="Q24" s="953"/>
      <c r="R24" s="953"/>
      <c r="S24" s="953"/>
      <c r="T24" s="953"/>
      <c r="U24" s="953"/>
      <c r="V24" s="953"/>
      <c r="W24" s="953"/>
      <c r="X24" s="953"/>
      <c r="Y24" s="953"/>
      <c r="Z24" s="953"/>
      <c r="AA24" s="953"/>
      <c r="AB24" s="953"/>
      <c r="AC24" s="953"/>
      <c r="AD24" s="953"/>
      <c r="AE24" s="953"/>
      <c r="AF24" s="953"/>
      <c r="AG24" s="953"/>
      <c r="AH24" s="953"/>
      <c r="AI24" s="953"/>
      <c r="AJ24" s="953"/>
      <c r="AK24" s="63"/>
      <c r="AL24" s="524">
        <f>AL23/AL21</f>
        <v>905743.16666666663</v>
      </c>
      <c r="CM24" s="142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  <c r="VGU24" s="46"/>
      <c r="VGV24" s="46"/>
      <c r="VGW24" s="46"/>
      <c r="VGX24" s="46"/>
      <c r="VGY24" s="46"/>
      <c r="VGZ24" s="46"/>
      <c r="VHA24" s="46"/>
      <c r="VHB24" s="46"/>
      <c r="VHC24" s="46"/>
      <c r="VHD24" s="46"/>
      <c r="VHE24" s="46"/>
      <c r="VHF24" s="46"/>
      <c r="VHG24" s="46"/>
      <c r="VHH24" s="46"/>
      <c r="VHI24" s="46"/>
      <c r="VHJ24" s="46"/>
      <c r="VHK24" s="46"/>
      <c r="VHL24" s="46"/>
      <c r="VHM24" s="46"/>
      <c r="VHN24" s="46"/>
      <c r="VHO24" s="46"/>
      <c r="VHP24" s="46"/>
      <c r="VHQ24" s="46"/>
      <c r="VHR24" s="46"/>
      <c r="VHS24" s="46"/>
      <c r="VHT24" s="46"/>
      <c r="VHU24" s="46"/>
      <c r="VHV24" s="46"/>
      <c r="VHW24" s="46"/>
      <c r="VHX24" s="46"/>
    </row>
    <row r="25" spans="1:15104" s="1" customFormat="1" x14ac:dyDescent="0.25">
      <c r="C25" s="15"/>
      <c r="D25" s="14" t="s">
        <v>361</v>
      </c>
      <c r="E25" s="745"/>
      <c r="F25" s="13" t="s">
        <v>14</v>
      </c>
      <c r="G25" s="33">
        <f>SUM(G28,G32,G37,G41,G51)</f>
        <v>994298</v>
      </c>
      <c r="H25" s="33">
        <f t="shared" ref="H25:AJ25" si="7">SUM(H28,H32,H37,H41,H51)</f>
        <v>1115291</v>
      </c>
      <c r="I25" s="33">
        <f t="shared" si="7"/>
        <v>1038010</v>
      </c>
      <c r="J25" s="33">
        <f t="shared" si="7"/>
        <v>1058141</v>
      </c>
      <c r="K25" s="33">
        <v>899356</v>
      </c>
      <c r="L25" s="33">
        <f t="shared" si="7"/>
        <v>939422</v>
      </c>
      <c r="M25" s="33">
        <f t="shared" si="7"/>
        <v>1003337</v>
      </c>
      <c r="N25" s="33">
        <f>SUM(N28,N32,N37,N41,N51)</f>
        <v>899475</v>
      </c>
      <c r="O25" s="33">
        <f t="shared" si="7"/>
        <v>923368</v>
      </c>
      <c r="P25" s="33">
        <f t="shared" si="7"/>
        <v>1178496</v>
      </c>
      <c r="Q25" s="33">
        <f>SUM(Q28,Q32,Q37,Q41,Q51)</f>
        <v>1073268</v>
      </c>
      <c r="R25" s="33">
        <f t="shared" si="7"/>
        <v>927936</v>
      </c>
      <c r="S25" s="33">
        <f t="shared" si="7"/>
        <v>732528</v>
      </c>
      <c r="T25" s="33">
        <f t="shared" si="7"/>
        <v>981178</v>
      </c>
      <c r="U25" s="33">
        <f t="shared" si="7"/>
        <v>684532</v>
      </c>
      <c r="V25" s="33">
        <f t="shared" si="7"/>
        <v>798620</v>
      </c>
      <c r="W25" s="33">
        <f t="shared" si="7"/>
        <v>861206</v>
      </c>
      <c r="X25" s="33">
        <f t="shared" si="7"/>
        <v>775418</v>
      </c>
      <c r="Y25" s="33">
        <f t="shared" si="7"/>
        <v>923684</v>
      </c>
      <c r="Z25" s="33">
        <f t="shared" si="7"/>
        <v>933429</v>
      </c>
      <c r="AA25" s="33">
        <f t="shared" si="7"/>
        <v>960597</v>
      </c>
      <c r="AB25" s="33">
        <f t="shared" si="7"/>
        <v>834435</v>
      </c>
      <c r="AC25" s="33">
        <f t="shared" si="7"/>
        <v>941966</v>
      </c>
      <c r="AD25" s="33">
        <f t="shared" si="7"/>
        <v>1059668</v>
      </c>
      <c r="AE25" s="33">
        <f t="shared" si="7"/>
        <v>0</v>
      </c>
      <c r="AF25" s="33">
        <f t="shared" si="7"/>
        <v>0</v>
      </c>
      <c r="AG25" s="33">
        <f t="shared" si="7"/>
        <v>0</v>
      </c>
      <c r="AH25" s="33">
        <f t="shared" si="7"/>
        <v>0</v>
      </c>
      <c r="AI25" s="33">
        <f t="shared" si="7"/>
        <v>0</v>
      </c>
      <c r="AJ25" s="33">
        <f t="shared" si="7"/>
        <v>0</v>
      </c>
      <c r="AL25" s="55">
        <f>SUM(G25:AJ25)</f>
        <v>22537659</v>
      </c>
      <c r="AM25" s="748">
        <f>AL25/E18</f>
        <v>0.65406172732021595</v>
      </c>
      <c r="AP25" s="1538"/>
      <c r="CM25" s="143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  <c r="VGU25" s="46"/>
      <c r="VGV25" s="46"/>
      <c r="VGW25" s="46"/>
      <c r="VGX25" s="46"/>
      <c r="VGY25" s="46"/>
      <c r="VGZ25" s="46"/>
      <c r="VHA25" s="46"/>
      <c r="VHB25" s="46"/>
      <c r="VHC25" s="46"/>
      <c r="VHD25" s="46"/>
      <c r="VHE25" s="46"/>
      <c r="VHF25" s="46"/>
      <c r="VHG25" s="46"/>
      <c r="VHH25" s="46"/>
      <c r="VHI25" s="46"/>
      <c r="VHJ25" s="46"/>
      <c r="VHK25" s="46"/>
      <c r="VHL25" s="46"/>
      <c r="VHM25" s="46"/>
      <c r="VHN25" s="46"/>
      <c r="VHO25" s="46"/>
      <c r="VHP25" s="46"/>
      <c r="VHQ25" s="46"/>
      <c r="VHR25" s="46"/>
      <c r="VHS25" s="46"/>
      <c r="VHT25" s="46"/>
      <c r="VHU25" s="46"/>
      <c r="VHV25" s="46"/>
      <c r="VHW25" s="46"/>
      <c r="VHX25" s="46"/>
    </row>
    <row r="26" spans="1:15104" s="1" customFormat="1" hidden="1" x14ac:dyDescent="0.25">
      <c r="C26" s="15"/>
      <c r="D26" s="14" t="s">
        <v>360</v>
      </c>
      <c r="E26" s="747"/>
      <c r="F26" s="13" t="s">
        <v>14</v>
      </c>
      <c r="G26" s="33">
        <f t="shared" ref="G26" si="8">G23-G25</f>
        <v>707</v>
      </c>
      <c r="H26" s="33"/>
      <c r="I26" s="33">
        <f t="shared" ref="I26:AJ26" si="9">I23-I25</f>
        <v>65731</v>
      </c>
      <c r="J26" s="33">
        <f t="shared" si="9"/>
        <v>-106114</v>
      </c>
      <c r="K26" s="33">
        <v>68473</v>
      </c>
      <c r="L26" s="33">
        <f t="shared" si="9"/>
        <v>43524</v>
      </c>
      <c r="M26" s="33">
        <f t="shared" si="9"/>
        <v>-11496</v>
      </c>
      <c r="N26" s="33">
        <f t="shared" si="9"/>
        <v>-130207</v>
      </c>
      <c r="O26" s="33">
        <f t="shared" si="9"/>
        <v>-179845</v>
      </c>
      <c r="P26" s="33">
        <f t="shared" si="9"/>
        <v>-35852</v>
      </c>
      <c r="Q26" s="33">
        <f t="shared" si="9"/>
        <v>-81864</v>
      </c>
      <c r="R26" s="33">
        <f t="shared" si="9"/>
        <v>30235</v>
      </c>
      <c r="S26" s="33">
        <f t="shared" si="9"/>
        <v>27650</v>
      </c>
      <c r="T26" s="33">
        <f t="shared" si="9"/>
        <v>-175662</v>
      </c>
      <c r="U26" s="33">
        <f t="shared" si="9"/>
        <v>143223</v>
      </c>
      <c r="V26" s="33">
        <f t="shared" si="9"/>
        <v>13352</v>
      </c>
      <c r="W26" s="33">
        <f t="shared" si="9"/>
        <v>67201</v>
      </c>
      <c r="X26" s="33">
        <f t="shared" si="9"/>
        <v>86801</v>
      </c>
      <c r="Y26" s="33">
        <f t="shared" si="9"/>
        <v>-40801</v>
      </c>
      <c r="Z26" s="33">
        <f t="shared" si="9"/>
        <v>-13051</v>
      </c>
      <c r="AA26" s="33">
        <f t="shared" si="9"/>
        <v>-52827</v>
      </c>
      <c r="AB26" s="33">
        <f t="shared" si="9"/>
        <v>96872</v>
      </c>
      <c r="AC26" s="33">
        <f t="shared" si="9"/>
        <v>-70448</v>
      </c>
      <c r="AD26" s="33">
        <f t="shared" si="9"/>
        <v>-541438</v>
      </c>
      <c r="AE26" s="33">
        <f t="shared" si="9"/>
        <v>0</v>
      </c>
      <c r="AF26" s="33">
        <f t="shared" si="9"/>
        <v>0</v>
      </c>
      <c r="AG26" s="33">
        <f t="shared" si="9"/>
        <v>0</v>
      </c>
      <c r="AH26" s="33">
        <f t="shared" si="9"/>
        <v>0</v>
      </c>
      <c r="AI26" s="33">
        <f t="shared" si="9"/>
        <v>0</v>
      </c>
      <c r="AJ26" s="33">
        <f t="shared" si="9"/>
        <v>0</v>
      </c>
      <c r="AL26" s="55">
        <f>SUM(G26:AJ26)</f>
        <v>-795836</v>
      </c>
      <c r="CM26" s="143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  <c r="VGU26" s="46"/>
      <c r="VGV26" s="46"/>
      <c r="VGW26" s="46"/>
      <c r="VGX26" s="46"/>
      <c r="VGY26" s="46"/>
      <c r="VGZ26" s="46"/>
      <c r="VHA26" s="46"/>
      <c r="VHB26" s="46"/>
      <c r="VHC26" s="46"/>
      <c r="VHD26" s="46"/>
      <c r="VHE26" s="46"/>
      <c r="VHF26" s="46"/>
      <c r="VHG26" s="46"/>
      <c r="VHH26" s="46"/>
      <c r="VHI26" s="46"/>
      <c r="VHJ26" s="46"/>
      <c r="VHK26" s="46"/>
      <c r="VHL26" s="46"/>
      <c r="VHM26" s="46"/>
      <c r="VHN26" s="46"/>
      <c r="VHO26" s="46"/>
      <c r="VHP26" s="46"/>
      <c r="VHQ26" s="46"/>
      <c r="VHR26" s="46"/>
      <c r="VHS26" s="46"/>
      <c r="VHT26" s="46"/>
      <c r="VHU26" s="46"/>
      <c r="VHV26" s="46"/>
      <c r="VHW26" s="46"/>
      <c r="VHX26" s="46"/>
    </row>
    <row r="27" spans="1:15104" x14ac:dyDescent="0.25">
      <c r="C27" s="15"/>
      <c r="D27" s="231" t="s">
        <v>76</v>
      </c>
      <c r="E27" s="232"/>
      <c r="F27" s="233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L27" s="67" t="s">
        <v>63</v>
      </c>
    </row>
    <row r="28" spans="1:15104" s="1" customFormat="1" x14ac:dyDescent="0.25">
      <c r="C28" s="15"/>
      <c r="D28" s="14" t="s">
        <v>75</v>
      </c>
      <c r="E28" s="256"/>
      <c r="F28" s="20" t="s">
        <v>14</v>
      </c>
      <c r="G28" s="33">
        <f t="shared" ref="G28" si="10">G29+G30</f>
        <v>0</v>
      </c>
      <c r="H28" s="33">
        <f t="shared" ref="H28" si="11">H29+H30</f>
        <v>0</v>
      </c>
      <c r="I28" s="33">
        <f t="shared" ref="I28:AJ28" si="12">I29+I30</f>
        <v>0</v>
      </c>
      <c r="J28" s="33">
        <f t="shared" si="12"/>
        <v>0</v>
      </c>
      <c r="K28" s="33">
        <v>0</v>
      </c>
      <c r="L28" s="33">
        <f t="shared" si="12"/>
        <v>0</v>
      </c>
      <c r="M28" s="33">
        <f t="shared" si="12"/>
        <v>0</v>
      </c>
      <c r="N28" s="33">
        <f t="shared" si="12"/>
        <v>0</v>
      </c>
      <c r="O28" s="33">
        <f t="shared" si="12"/>
        <v>0</v>
      </c>
      <c r="P28" s="33">
        <f t="shared" si="12"/>
        <v>958540</v>
      </c>
      <c r="Q28" s="33">
        <f t="shared" si="12"/>
        <v>1073268</v>
      </c>
      <c r="R28" s="33">
        <f t="shared" si="12"/>
        <v>927936</v>
      </c>
      <c r="S28" s="33">
        <f t="shared" si="12"/>
        <v>732528</v>
      </c>
      <c r="T28" s="33">
        <f t="shared" si="12"/>
        <v>981178</v>
      </c>
      <c r="U28" s="33">
        <f t="shared" si="12"/>
        <v>503932</v>
      </c>
      <c r="V28" s="33">
        <f t="shared" si="12"/>
        <v>0</v>
      </c>
      <c r="W28" s="33">
        <f t="shared" si="12"/>
        <v>0</v>
      </c>
      <c r="X28" s="33">
        <f t="shared" si="12"/>
        <v>0</v>
      </c>
      <c r="Y28" s="33">
        <f t="shared" si="12"/>
        <v>0</v>
      </c>
      <c r="Z28" s="33">
        <f t="shared" si="12"/>
        <v>0</v>
      </c>
      <c r="AA28" s="33">
        <f t="shared" si="12"/>
        <v>0</v>
      </c>
      <c r="AB28" s="33">
        <f t="shared" si="12"/>
        <v>0</v>
      </c>
      <c r="AC28" s="33">
        <f t="shared" si="12"/>
        <v>0</v>
      </c>
      <c r="AD28" s="33">
        <f t="shared" si="12"/>
        <v>792840</v>
      </c>
      <c r="AE28" s="33">
        <f t="shared" si="12"/>
        <v>0</v>
      </c>
      <c r="AF28" s="33">
        <f t="shared" si="12"/>
        <v>0</v>
      </c>
      <c r="AG28" s="33">
        <f t="shared" si="12"/>
        <v>0</v>
      </c>
      <c r="AH28" s="33">
        <f t="shared" si="12"/>
        <v>0</v>
      </c>
      <c r="AI28" s="33">
        <f t="shared" si="12"/>
        <v>0</v>
      </c>
      <c r="AJ28" s="33">
        <f t="shared" si="12"/>
        <v>0</v>
      </c>
      <c r="AL28" s="55">
        <f>SUM(G28:AJ28)</f>
        <v>5970222</v>
      </c>
      <c r="AP28" s="3"/>
      <c r="CM28" s="143"/>
    </row>
    <row r="29" spans="1:15104" x14ac:dyDescent="0.25">
      <c r="C29" s="15"/>
      <c r="D29" s="65" t="s">
        <v>74</v>
      </c>
      <c r="E29" s="256"/>
      <c r="F29" s="66" t="s">
        <v>14</v>
      </c>
      <c r="G29" s="271">
        <v>0</v>
      </c>
      <c r="H29" s="271">
        <v>0</v>
      </c>
      <c r="I29" s="271">
        <v>0</v>
      </c>
      <c r="J29" s="271">
        <v>0</v>
      </c>
      <c r="K29" s="271">
        <v>0</v>
      </c>
      <c r="L29" s="271">
        <v>0</v>
      </c>
      <c r="M29" s="271">
        <v>0</v>
      </c>
      <c r="N29" s="271">
        <v>0</v>
      </c>
      <c r="O29" s="271">
        <v>0</v>
      </c>
      <c r="P29" s="271">
        <f>'[5]10'!$P$21</f>
        <v>792648</v>
      </c>
      <c r="Q29" s="271">
        <f>'[6]11'!$P$21</f>
        <v>886386</v>
      </c>
      <c r="R29" s="271">
        <f>'[7]12'!$P$21</f>
        <v>785685</v>
      </c>
      <c r="S29" s="271">
        <f>'[8]13'!$P$21</f>
        <v>615419</v>
      </c>
      <c r="T29" s="271">
        <f>'[9]14'!$P$21</f>
        <v>827507</v>
      </c>
      <c r="U29" s="271">
        <f>'[10]15'!$P$21</f>
        <v>420382</v>
      </c>
      <c r="V29" s="271">
        <v>0</v>
      </c>
      <c r="W29" s="271">
        <v>0</v>
      </c>
      <c r="X29" s="271">
        <v>0</v>
      </c>
      <c r="Y29" s="271">
        <v>0</v>
      </c>
      <c r="Z29" s="271">
        <v>0</v>
      </c>
      <c r="AA29" s="271">
        <v>0</v>
      </c>
      <c r="AB29" s="271">
        <v>0</v>
      </c>
      <c r="AC29" s="271">
        <v>0</v>
      </c>
      <c r="AD29" s="271">
        <f>'[17]24'!$P$21</f>
        <v>662727</v>
      </c>
      <c r="AE29" s="271">
        <v>0</v>
      </c>
      <c r="AF29" s="271">
        <v>0</v>
      </c>
      <c r="AG29" s="271">
        <v>0</v>
      </c>
      <c r="AH29" s="271">
        <v>0</v>
      </c>
      <c r="AI29" s="271">
        <v>0</v>
      </c>
      <c r="AJ29" s="271">
        <v>0</v>
      </c>
      <c r="AL29" s="58">
        <f>SUM(G29:AJ29)</f>
        <v>4990754</v>
      </c>
      <c r="AQ29" s="3"/>
    </row>
    <row r="30" spans="1:15104" x14ac:dyDescent="0.25">
      <c r="C30" s="15"/>
      <c r="D30" s="65" t="s">
        <v>73</v>
      </c>
      <c r="E30" s="256"/>
      <c r="F30" s="66" t="s">
        <v>14</v>
      </c>
      <c r="G30" s="272">
        <v>0</v>
      </c>
      <c r="H30" s="272">
        <v>0</v>
      </c>
      <c r="I30" s="272">
        <v>0</v>
      </c>
      <c r="J30" s="272">
        <v>0</v>
      </c>
      <c r="K30" s="272">
        <v>0</v>
      </c>
      <c r="L30" s="272">
        <v>0</v>
      </c>
      <c r="M30" s="272">
        <v>0</v>
      </c>
      <c r="N30" s="272">
        <v>0</v>
      </c>
      <c r="O30" s="272">
        <v>0</v>
      </c>
      <c r="P30" s="272">
        <v>165892</v>
      </c>
      <c r="Q30" s="272">
        <f>'[6]11'!$P$30</f>
        <v>186882</v>
      </c>
      <c r="R30" s="272">
        <f>'[7]12'!$P$30</f>
        <v>142251</v>
      </c>
      <c r="S30" s="272">
        <f>'[8]13'!$P$30</f>
        <v>117109</v>
      </c>
      <c r="T30" s="272">
        <f>'[9]14'!$P$30</f>
        <v>153671</v>
      </c>
      <c r="U30" s="272">
        <v>83550</v>
      </c>
      <c r="V30" s="272">
        <v>0</v>
      </c>
      <c r="W30" s="272">
        <v>0</v>
      </c>
      <c r="X30" s="272">
        <v>0</v>
      </c>
      <c r="Y30" s="272">
        <v>0</v>
      </c>
      <c r="Z30" s="272">
        <v>0</v>
      </c>
      <c r="AA30" s="272">
        <v>0</v>
      </c>
      <c r="AB30" s="272">
        <v>0</v>
      </c>
      <c r="AC30" s="272">
        <v>0</v>
      </c>
      <c r="AD30" s="272">
        <v>130113</v>
      </c>
      <c r="AE30" s="272">
        <v>0</v>
      </c>
      <c r="AF30" s="272">
        <v>0</v>
      </c>
      <c r="AG30" s="272">
        <v>0</v>
      </c>
      <c r="AH30" s="272">
        <v>0</v>
      </c>
      <c r="AI30" s="272">
        <v>0</v>
      </c>
      <c r="AJ30" s="272">
        <v>0</v>
      </c>
      <c r="AL30" s="58">
        <f>SUM(G30:AJ30)</f>
        <v>979468</v>
      </c>
      <c r="AP30" s="3"/>
    </row>
    <row r="31" spans="1:15104" s="71" customFormat="1" x14ac:dyDescent="0.25">
      <c r="A31" s="63"/>
      <c r="B31" s="63"/>
      <c r="C31" s="69"/>
      <c r="D31" s="231" t="s">
        <v>105</v>
      </c>
      <c r="E31" s="306"/>
      <c r="F31" s="9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  <c r="AJ31" s="273"/>
      <c r="AK31" s="63"/>
      <c r="AL31" s="67" t="s">
        <v>107</v>
      </c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144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  <c r="EX31" s="63"/>
      <c r="EY31" s="63"/>
      <c r="EZ31" s="63"/>
      <c r="FA31" s="63"/>
      <c r="FB31" s="63"/>
      <c r="FC31" s="63"/>
      <c r="FD31" s="63"/>
      <c r="FE31" s="63"/>
      <c r="FF31" s="63"/>
      <c r="FG31" s="63"/>
      <c r="FH31" s="63"/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3"/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3"/>
      <c r="GR31" s="63"/>
      <c r="GS31" s="63"/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3"/>
      <c r="HT31" s="63"/>
      <c r="HU31" s="63"/>
      <c r="HV31" s="63"/>
      <c r="HW31" s="63"/>
      <c r="HX31" s="63"/>
      <c r="HY31" s="63"/>
      <c r="HZ31" s="63"/>
      <c r="IA31" s="63"/>
      <c r="IB31" s="63"/>
      <c r="IC31" s="63"/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3"/>
      <c r="IO31" s="63"/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63"/>
      <c r="JE31" s="63"/>
      <c r="JF31" s="63"/>
      <c r="JG31" s="63"/>
      <c r="JH31" s="63"/>
      <c r="JI31" s="63"/>
      <c r="JJ31" s="63"/>
      <c r="JK31" s="63"/>
      <c r="JL31" s="63"/>
      <c r="JM31" s="63"/>
      <c r="JN31" s="63"/>
      <c r="JO31" s="63"/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63"/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63"/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  <c r="MN31" s="63"/>
      <c r="MO31" s="63"/>
      <c r="MP31" s="63"/>
      <c r="MQ31" s="63"/>
      <c r="MR31" s="63"/>
      <c r="MS31" s="63"/>
      <c r="MT31" s="63"/>
      <c r="MU31" s="63"/>
      <c r="MV31" s="63"/>
      <c r="MW31" s="63"/>
      <c r="MX31" s="63"/>
      <c r="MY31" s="63"/>
      <c r="MZ31" s="63"/>
      <c r="NA31" s="63"/>
      <c r="NB31" s="63"/>
      <c r="NC31" s="63"/>
      <c r="ND31" s="63"/>
      <c r="NE31" s="63"/>
      <c r="NF31" s="63"/>
      <c r="NG31" s="63"/>
      <c r="NH31" s="63"/>
      <c r="NI31" s="63"/>
      <c r="NJ31" s="63"/>
      <c r="NK31" s="63"/>
      <c r="NL31" s="63"/>
      <c r="NM31" s="63"/>
      <c r="NN31" s="63"/>
      <c r="NO31" s="63"/>
      <c r="NP31" s="63"/>
      <c r="NQ31" s="63"/>
      <c r="NR31" s="63"/>
      <c r="NS31" s="63"/>
      <c r="NT31" s="63"/>
      <c r="NU31" s="63"/>
      <c r="NV31" s="63"/>
      <c r="NW31" s="63"/>
      <c r="NX31" s="63"/>
      <c r="NY31" s="63"/>
      <c r="NZ31" s="63"/>
      <c r="OA31" s="63"/>
      <c r="OB31" s="63"/>
      <c r="OC31" s="63"/>
      <c r="OD31" s="63"/>
      <c r="OE31" s="63"/>
      <c r="OF31" s="63"/>
      <c r="OG31" s="63"/>
      <c r="OH31" s="63"/>
      <c r="OI31" s="63"/>
      <c r="OJ31" s="63"/>
      <c r="OK31" s="63"/>
      <c r="OL31" s="63"/>
      <c r="OM31" s="63"/>
      <c r="ON31" s="63"/>
      <c r="OO31" s="63"/>
      <c r="OP31" s="63"/>
      <c r="OQ31" s="63"/>
      <c r="OR31" s="63"/>
      <c r="OS31" s="63"/>
      <c r="OT31" s="63"/>
      <c r="OU31" s="63"/>
      <c r="OV31" s="63"/>
      <c r="OW31" s="63"/>
      <c r="OX31" s="63"/>
      <c r="OY31" s="63"/>
      <c r="OZ31" s="63"/>
      <c r="PA31" s="63"/>
      <c r="PB31" s="63"/>
      <c r="PC31" s="63"/>
      <c r="PD31" s="63"/>
      <c r="PE31" s="63"/>
      <c r="PF31" s="63"/>
      <c r="PG31" s="63"/>
      <c r="PH31" s="63"/>
      <c r="PI31" s="63"/>
      <c r="PJ31" s="63"/>
      <c r="PK31" s="63"/>
      <c r="PL31" s="63"/>
      <c r="PM31" s="63"/>
      <c r="PN31" s="63"/>
      <c r="PO31" s="63"/>
      <c r="PP31" s="63"/>
      <c r="PQ31" s="63"/>
      <c r="PR31" s="63"/>
      <c r="PS31" s="63"/>
      <c r="PT31" s="63"/>
      <c r="PU31" s="63"/>
      <c r="PV31" s="63"/>
      <c r="PW31" s="63"/>
      <c r="PX31" s="63"/>
      <c r="PY31" s="63"/>
      <c r="PZ31" s="63"/>
      <c r="QA31" s="63"/>
      <c r="QB31" s="63"/>
      <c r="QC31" s="63"/>
      <c r="QD31" s="63"/>
      <c r="QE31" s="63"/>
      <c r="QF31" s="63"/>
      <c r="QG31" s="63"/>
      <c r="QH31" s="63"/>
      <c r="QI31" s="63"/>
      <c r="QJ31" s="63"/>
      <c r="QK31" s="63"/>
      <c r="QL31" s="63"/>
      <c r="QM31" s="63"/>
      <c r="QN31" s="63"/>
      <c r="QO31" s="63"/>
      <c r="QP31" s="63"/>
      <c r="QQ31" s="63"/>
      <c r="QR31" s="63"/>
      <c r="QS31" s="63"/>
      <c r="QT31" s="63"/>
      <c r="QU31" s="63"/>
      <c r="QV31" s="63"/>
      <c r="QW31" s="63"/>
      <c r="QX31" s="63"/>
      <c r="QY31" s="63"/>
      <c r="QZ31" s="63"/>
      <c r="RA31" s="63"/>
      <c r="RB31" s="63"/>
      <c r="RC31" s="63"/>
      <c r="RD31" s="63"/>
      <c r="RE31" s="63"/>
      <c r="RF31" s="63"/>
      <c r="RG31" s="63"/>
      <c r="RH31" s="63"/>
      <c r="RI31" s="63"/>
      <c r="RJ31" s="63"/>
      <c r="RK31" s="63"/>
      <c r="RL31" s="63"/>
      <c r="RM31" s="63"/>
      <c r="RN31" s="63"/>
      <c r="RO31" s="63"/>
      <c r="RP31" s="63"/>
      <c r="RQ31" s="63"/>
      <c r="RR31" s="63"/>
      <c r="RS31" s="63"/>
      <c r="RT31" s="63"/>
      <c r="RU31" s="63"/>
      <c r="RV31" s="63"/>
      <c r="RW31" s="63"/>
      <c r="RX31" s="63"/>
      <c r="RY31" s="63"/>
      <c r="RZ31" s="63"/>
      <c r="SA31" s="63"/>
      <c r="SB31" s="63"/>
      <c r="SC31" s="63"/>
      <c r="SD31" s="63"/>
      <c r="SE31" s="63"/>
      <c r="SF31" s="63"/>
      <c r="SG31" s="63"/>
      <c r="SH31" s="63"/>
      <c r="SI31" s="63"/>
      <c r="SJ31" s="63"/>
      <c r="SK31" s="63"/>
      <c r="SL31" s="63"/>
      <c r="SM31" s="63"/>
      <c r="SN31" s="63"/>
      <c r="SO31" s="63"/>
      <c r="SP31" s="63"/>
      <c r="SQ31" s="63"/>
      <c r="SR31" s="63"/>
      <c r="SS31" s="63"/>
      <c r="ST31" s="63"/>
      <c r="SU31" s="63"/>
      <c r="SV31" s="63"/>
      <c r="SW31" s="63"/>
      <c r="SX31" s="63"/>
      <c r="SY31" s="63"/>
      <c r="SZ31" s="63"/>
      <c r="TA31" s="63"/>
      <c r="TB31" s="63"/>
      <c r="TC31" s="63"/>
      <c r="TD31" s="63"/>
      <c r="TE31" s="63"/>
      <c r="TF31" s="63"/>
      <c r="TG31" s="63"/>
      <c r="TH31" s="63"/>
      <c r="TI31" s="63"/>
      <c r="TJ31" s="63"/>
      <c r="TK31" s="63"/>
      <c r="TL31" s="63"/>
      <c r="TM31" s="63"/>
      <c r="TN31" s="63"/>
      <c r="TO31" s="63"/>
      <c r="TP31" s="63"/>
      <c r="TQ31" s="63"/>
      <c r="TR31" s="63"/>
      <c r="TS31" s="63"/>
      <c r="TT31" s="63"/>
      <c r="TU31" s="63"/>
      <c r="TV31" s="63"/>
      <c r="TW31" s="63"/>
      <c r="TX31" s="63"/>
      <c r="TY31" s="63"/>
      <c r="TZ31" s="63"/>
      <c r="UA31" s="63"/>
      <c r="UB31" s="63"/>
      <c r="UC31" s="63"/>
      <c r="UD31" s="63"/>
      <c r="UE31" s="63"/>
      <c r="UF31" s="63"/>
      <c r="UG31" s="63"/>
      <c r="UH31" s="63"/>
      <c r="UI31" s="63"/>
      <c r="UJ31" s="63"/>
      <c r="UK31" s="63"/>
      <c r="UL31" s="63"/>
      <c r="UM31" s="63"/>
      <c r="UN31" s="63"/>
      <c r="UO31" s="63"/>
      <c r="UP31" s="63"/>
      <c r="UQ31" s="63"/>
      <c r="UR31" s="63"/>
      <c r="US31" s="63"/>
      <c r="UT31" s="63"/>
      <c r="UU31" s="63"/>
      <c r="UV31" s="63"/>
      <c r="UW31" s="63"/>
      <c r="UX31" s="63"/>
      <c r="UY31" s="63"/>
      <c r="UZ31" s="63"/>
      <c r="VA31" s="63"/>
      <c r="VB31" s="63"/>
      <c r="VC31" s="63"/>
      <c r="VD31" s="63"/>
      <c r="VE31" s="63"/>
      <c r="VF31" s="63"/>
      <c r="VG31" s="63"/>
      <c r="VH31" s="63"/>
      <c r="VI31" s="63"/>
      <c r="VJ31" s="63"/>
      <c r="VK31" s="63"/>
      <c r="VL31" s="63"/>
      <c r="VM31" s="63"/>
      <c r="VN31" s="63"/>
      <c r="VO31" s="63"/>
      <c r="VP31" s="63"/>
      <c r="VQ31" s="63"/>
      <c r="VR31" s="63"/>
      <c r="VS31" s="63"/>
      <c r="VT31" s="63"/>
      <c r="VU31" s="63"/>
      <c r="VV31" s="63"/>
      <c r="VW31" s="63"/>
      <c r="VX31" s="63"/>
      <c r="VY31" s="63"/>
      <c r="VZ31" s="63"/>
      <c r="WA31" s="63"/>
      <c r="WB31" s="63"/>
      <c r="WC31" s="63"/>
      <c r="WD31" s="63"/>
      <c r="WE31" s="63"/>
      <c r="WF31" s="63"/>
      <c r="WG31" s="63"/>
      <c r="WH31" s="63"/>
      <c r="WI31" s="63"/>
      <c r="WJ31" s="63"/>
      <c r="WK31" s="63"/>
      <c r="WL31" s="63"/>
      <c r="WM31" s="63"/>
      <c r="WN31" s="63"/>
      <c r="WO31" s="63"/>
      <c r="WP31" s="63"/>
      <c r="WQ31" s="63"/>
      <c r="WR31" s="63"/>
      <c r="WS31" s="63"/>
      <c r="WT31" s="63"/>
      <c r="WU31" s="63"/>
      <c r="WV31" s="63"/>
      <c r="WW31" s="63"/>
      <c r="WX31" s="63"/>
      <c r="WY31" s="63"/>
      <c r="WZ31" s="63"/>
      <c r="XA31" s="63"/>
      <c r="XB31" s="63"/>
      <c r="XC31" s="63"/>
      <c r="XD31" s="63"/>
      <c r="XE31" s="63"/>
      <c r="XF31" s="63"/>
      <c r="XG31" s="63"/>
      <c r="XH31" s="63"/>
      <c r="XI31" s="63"/>
      <c r="XJ31" s="63"/>
      <c r="XK31" s="63"/>
      <c r="XL31" s="63"/>
      <c r="XM31" s="63"/>
      <c r="XN31" s="63"/>
      <c r="XO31" s="63"/>
      <c r="XP31" s="63"/>
      <c r="XQ31" s="63"/>
      <c r="XR31" s="63"/>
      <c r="XS31" s="63"/>
      <c r="XT31" s="63"/>
      <c r="XU31" s="63"/>
      <c r="XV31" s="63"/>
      <c r="XW31" s="63"/>
      <c r="XX31" s="63"/>
      <c r="XY31" s="63"/>
      <c r="XZ31" s="63"/>
      <c r="YA31" s="63"/>
      <c r="YB31" s="63"/>
      <c r="YC31" s="63"/>
      <c r="YD31" s="63"/>
      <c r="YE31" s="63"/>
      <c r="YF31" s="63"/>
      <c r="YG31" s="63"/>
      <c r="YH31" s="63"/>
      <c r="YI31" s="63"/>
      <c r="YJ31" s="63"/>
      <c r="YK31" s="63"/>
      <c r="YL31" s="63"/>
      <c r="YM31" s="63"/>
      <c r="YN31" s="63"/>
      <c r="YO31" s="63"/>
      <c r="YP31" s="63"/>
      <c r="YQ31" s="63"/>
      <c r="YR31" s="63"/>
      <c r="YS31" s="63"/>
      <c r="YT31" s="63"/>
      <c r="YU31" s="63"/>
      <c r="YV31" s="63"/>
      <c r="YW31" s="63"/>
      <c r="YX31" s="63"/>
      <c r="YY31" s="63"/>
      <c r="YZ31" s="63"/>
      <c r="ZA31" s="63"/>
      <c r="ZB31" s="63"/>
      <c r="ZC31" s="63"/>
      <c r="ZD31" s="63"/>
      <c r="ZE31" s="63"/>
      <c r="ZF31" s="63"/>
      <c r="ZG31" s="63"/>
      <c r="ZH31" s="63"/>
      <c r="ZI31" s="63"/>
      <c r="ZJ31" s="63"/>
      <c r="ZK31" s="63"/>
      <c r="ZL31" s="63"/>
      <c r="ZM31" s="63"/>
      <c r="ZN31" s="63"/>
      <c r="ZO31" s="63"/>
      <c r="ZP31" s="63"/>
      <c r="ZQ31" s="63"/>
      <c r="ZR31" s="63"/>
      <c r="ZS31" s="63"/>
      <c r="ZT31" s="63"/>
      <c r="ZU31" s="63"/>
      <c r="ZV31" s="63"/>
      <c r="ZW31" s="63"/>
      <c r="ZX31" s="63"/>
      <c r="ZY31" s="63"/>
      <c r="ZZ31" s="63"/>
      <c r="AAA31" s="63"/>
      <c r="AAB31" s="63"/>
      <c r="AAC31" s="63"/>
      <c r="AAD31" s="63"/>
      <c r="AAE31" s="63"/>
      <c r="AAF31" s="63"/>
      <c r="AAG31" s="63"/>
      <c r="AAH31" s="63"/>
      <c r="AAI31" s="63"/>
      <c r="AAJ31" s="63"/>
      <c r="AAK31" s="63"/>
      <c r="AAL31" s="63"/>
      <c r="AAM31" s="63"/>
      <c r="AAN31" s="63"/>
      <c r="AAO31" s="63"/>
      <c r="AAP31" s="63"/>
      <c r="AAQ31" s="63"/>
      <c r="AAR31" s="63"/>
      <c r="AAS31" s="63"/>
      <c r="AAT31" s="63"/>
      <c r="AAU31" s="63"/>
      <c r="AAV31" s="63"/>
      <c r="AAW31" s="63"/>
      <c r="AAX31" s="63"/>
      <c r="AAY31" s="63"/>
      <c r="AAZ31" s="63"/>
      <c r="ABA31" s="63"/>
      <c r="ABB31" s="63"/>
      <c r="ABC31" s="63"/>
      <c r="ABD31" s="63"/>
      <c r="ABE31" s="63"/>
      <c r="ABF31" s="63"/>
      <c r="ABG31" s="63"/>
      <c r="ABH31" s="63"/>
      <c r="ABI31" s="63"/>
      <c r="ABJ31" s="63"/>
      <c r="ABK31" s="63"/>
      <c r="ABL31" s="63"/>
      <c r="ABM31" s="63"/>
      <c r="ABN31" s="63"/>
      <c r="ABO31" s="63"/>
      <c r="ABP31" s="63"/>
      <c r="ABQ31" s="63"/>
      <c r="ABR31" s="63"/>
      <c r="ABS31" s="63"/>
      <c r="ABT31" s="63"/>
      <c r="ABU31" s="63"/>
      <c r="ABV31" s="63"/>
      <c r="ABW31" s="63"/>
      <c r="ABX31" s="63"/>
      <c r="ABY31" s="63"/>
      <c r="ABZ31" s="63"/>
      <c r="ACA31" s="63"/>
      <c r="ACB31" s="63"/>
      <c r="ACC31" s="63"/>
      <c r="ACD31" s="63"/>
      <c r="ACE31" s="63"/>
      <c r="ACF31" s="63"/>
      <c r="ACG31" s="63"/>
      <c r="ACH31" s="63"/>
      <c r="ACI31" s="63"/>
      <c r="ACJ31" s="63"/>
      <c r="ACK31" s="63"/>
      <c r="ACL31" s="63"/>
      <c r="ACM31" s="63"/>
      <c r="ACN31" s="63"/>
      <c r="ACO31" s="63"/>
      <c r="ACP31" s="63"/>
      <c r="ACQ31" s="63"/>
      <c r="ACR31" s="63"/>
      <c r="ACS31" s="63"/>
      <c r="ACT31" s="63"/>
      <c r="ACU31" s="63"/>
      <c r="ACV31" s="63"/>
      <c r="ACW31" s="63"/>
      <c r="ACX31" s="63"/>
      <c r="ACY31" s="63"/>
      <c r="ACZ31" s="63"/>
      <c r="ADA31" s="63"/>
      <c r="ADB31" s="63"/>
      <c r="ADC31" s="63"/>
      <c r="ADD31" s="63"/>
      <c r="ADE31" s="63"/>
      <c r="ADF31" s="63"/>
      <c r="ADG31" s="63"/>
      <c r="ADH31" s="63"/>
      <c r="ADI31" s="63"/>
      <c r="ADJ31" s="63"/>
      <c r="ADK31" s="63"/>
      <c r="ADL31" s="63"/>
      <c r="ADM31" s="63"/>
      <c r="ADN31" s="63"/>
      <c r="ADO31" s="63"/>
      <c r="ADP31" s="63"/>
      <c r="ADQ31" s="63"/>
      <c r="ADR31" s="63"/>
      <c r="ADS31" s="63"/>
      <c r="ADT31" s="63"/>
      <c r="ADU31" s="63"/>
      <c r="ADV31" s="63"/>
      <c r="ADW31" s="63"/>
      <c r="ADX31" s="63"/>
      <c r="ADY31" s="63"/>
      <c r="ADZ31" s="63"/>
      <c r="AEA31" s="63"/>
      <c r="AEB31" s="63"/>
      <c r="AEC31" s="63"/>
      <c r="AED31" s="63"/>
      <c r="AEE31" s="63"/>
      <c r="AEF31" s="63"/>
      <c r="AEG31" s="63"/>
      <c r="AEH31" s="63"/>
      <c r="AEI31" s="63"/>
      <c r="AEJ31" s="63"/>
      <c r="AEK31" s="63"/>
      <c r="AEL31" s="63"/>
      <c r="AEM31" s="63"/>
      <c r="AEN31" s="63"/>
      <c r="AEO31" s="63"/>
      <c r="AEP31" s="63"/>
      <c r="AEQ31" s="63"/>
      <c r="AER31" s="63"/>
      <c r="AES31" s="63"/>
      <c r="AET31" s="63"/>
      <c r="AEU31" s="63"/>
      <c r="AEV31" s="63"/>
      <c r="AEW31" s="63"/>
      <c r="AEX31" s="63"/>
      <c r="AEY31" s="63"/>
      <c r="AEZ31" s="63"/>
      <c r="AFA31" s="63"/>
      <c r="AFB31" s="63"/>
      <c r="AFC31" s="63"/>
      <c r="AFD31" s="63"/>
      <c r="AFE31" s="63"/>
      <c r="AFF31" s="63"/>
      <c r="AFG31" s="63"/>
      <c r="AFH31" s="63"/>
      <c r="AFI31" s="63"/>
      <c r="AFJ31" s="63"/>
      <c r="AFK31" s="63"/>
      <c r="AFL31" s="63"/>
      <c r="AFM31" s="63"/>
      <c r="AFN31" s="63"/>
      <c r="AFO31" s="63"/>
      <c r="AFP31" s="63"/>
      <c r="AFQ31" s="63"/>
      <c r="AFR31" s="63"/>
      <c r="AFS31" s="63"/>
      <c r="AFT31" s="63"/>
      <c r="AFU31" s="63"/>
      <c r="AFV31" s="63"/>
      <c r="AFW31" s="63"/>
      <c r="AFX31" s="63"/>
      <c r="AFY31" s="63"/>
      <c r="AFZ31" s="63"/>
      <c r="AGA31" s="63"/>
      <c r="AGB31" s="63"/>
      <c r="AGC31" s="63"/>
      <c r="AGD31" s="63"/>
      <c r="AGE31" s="63"/>
      <c r="AGF31" s="63"/>
      <c r="AGG31" s="63"/>
      <c r="AGH31" s="63"/>
      <c r="AGI31" s="63"/>
      <c r="AGJ31" s="63"/>
      <c r="AGK31" s="63"/>
      <c r="AGL31" s="63"/>
      <c r="AGM31" s="63"/>
      <c r="AGN31" s="63"/>
      <c r="AGO31" s="63"/>
      <c r="AGP31" s="63"/>
      <c r="AGQ31" s="63"/>
      <c r="AGR31" s="63"/>
      <c r="AGS31" s="63"/>
      <c r="AGT31" s="63"/>
      <c r="AGU31" s="63"/>
      <c r="AGV31" s="63"/>
      <c r="AGW31" s="63"/>
      <c r="AGX31" s="63"/>
      <c r="AGY31" s="63"/>
      <c r="AGZ31" s="63"/>
      <c r="AHA31" s="63"/>
      <c r="AHB31" s="63"/>
      <c r="AHC31" s="63"/>
      <c r="AHD31" s="63"/>
      <c r="AHE31" s="63"/>
      <c r="AHF31" s="63"/>
      <c r="AHG31" s="63"/>
      <c r="AHH31" s="63"/>
      <c r="AHI31" s="63"/>
      <c r="AHJ31" s="63"/>
      <c r="AHK31" s="63"/>
      <c r="AHL31" s="63"/>
      <c r="AHM31" s="63"/>
      <c r="AHN31" s="63"/>
      <c r="AHO31" s="63"/>
      <c r="AHP31" s="63"/>
      <c r="AHQ31" s="63"/>
      <c r="AHR31" s="63"/>
      <c r="AHS31" s="63"/>
      <c r="AHT31" s="63"/>
      <c r="AHU31" s="63"/>
      <c r="AHV31" s="63"/>
      <c r="AHW31" s="63"/>
      <c r="AHX31" s="63"/>
      <c r="AHY31" s="63"/>
      <c r="AHZ31" s="63"/>
      <c r="AIA31" s="63"/>
      <c r="AIB31" s="63"/>
      <c r="AIC31" s="63"/>
      <c r="AID31" s="63"/>
      <c r="AIE31" s="63"/>
      <c r="AIF31" s="63"/>
      <c r="AIG31" s="63"/>
      <c r="AIH31" s="63"/>
      <c r="AII31" s="63"/>
      <c r="AIJ31" s="63"/>
      <c r="AIK31" s="63"/>
      <c r="AIL31" s="63"/>
      <c r="AIM31" s="63"/>
      <c r="AIN31" s="63"/>
      <c r="AIO31" s="63"/>
      <c r="AIP31" s="63"/>
      <c r="AIQ31" s="63"/>
      <c r="AIR31" s="63"/>
      <c r="AIS31" s="63"/>
      <c r="AIT31" s="63"/>
      <c r="AIU31" s="63"/>
      <c r="AIV31" s="63"/>
      <c r="AIW31" s="63"/>
      <c r="AIX31" s="63"/>
      <c r="AIY31" s="63"/>
      <c r="AIZ31" s="63"/>
      <c r="AJA31" s="63"/>
      <c r="AJB31" s="63"/>
      <c r="AJC31" s="63"/>
      <c r="AJD31" s="63"/>
      <c r="AJE31" s="63"/>
      <c r="AJF31" s="63"/>
      <c r="AJG31" s="63"/>
      <c r="AJH31" s="63"/>
      <c r="AJI31" s="63"/>
      <c r="AJJ31" s="63"/>
      <c r="AJK31" s="63"/>
      <c r="AJL31" s="63"/>
      <c r="AJM31" s="63"/>
      <c r="AJN31" s="63"/>
      <c r="AJO31" s="63"/>
      <c r="AJP31" s="63"/>
      <c r="AJQ31" s="63"/>
      <c r="AJR31" s="63"/>
      <c r="AJS31" s="63"/>
      <c r="AJT31" s="63"/>
      <c r="AJU31" s="63"/>
      <c r="AJV31" s="63"/>
      <c r="AJW31" s="63"/>
      <c r="AJX31" s="63"/>
      <c r="AJY31" s="63"/>
      <c r="AJZ31" s="63"/>
      <c r="AKA31" s="63"/>
      <c r="AKB31" s="63"/>
      <c r="AKC31" s="63"/>
      <c r="AKD31" s="63"/>
      <c r="AKE31" s="63"/>
      <c r="AKF31" s="63"/>
      <c r="AKG31" s="63"/>
      <c r="AKH31" s="63"/>
      <c r="AKI31" s="63"/>
      <c r="AKJ31" s="63"/>
      <c r="AKK31" s="63"/>
      <c r="AKL31" s="63"/>
      <c r="AKM31" s="63"/>
      <c r="AKN31" s="63"/>
      <c r="AKO31" s="63"/>
      <c r="AKP31" s="63"/>
      <c r="AKQ31" s="63"/>
      <c r="AKR31" s="63"/>
      <c r="AKS31" s="63"/>
      <c r="AKT31" s="63"/>
      <c r="AKU31" s="63"/>
      <c r="AKV31" s="63"/>
      <c r="AKW31" s="63"/>
      <c r="AKX31" s="63"/>
      <c r="AKY31" s="63"/>
      <c r="AKZ31" s="63"/>
      <c r="ALA31" s="63"/>
      <c r="ALB31" s="63"/>
      <c r="ALC31" s="63"/>
      <c r="ALD31" s="63"/>
      <c r="ALE31" s="63"/>
      <c r="ALF31" s="63"/>
      <c r="ALG31" s="63"/>
      <c r="ALH31" s="63"/>
      <c r="ALI31" s="63"/>
      <c r="ALJ31" s="63"/>
      <c r="ALK31" s="63"/>
      <c r="ALL31" s="63"/>
      <c r="ALM31" s="63"/>
      <c r="ALN31" s="63"/>
      <c r="ALO31" s="63"/>
      <c r="ALP31" s="63"/>
      <c r="ALQ31" s="63"/>
      <c r="ALR31" s="63"/>
      <c r="ALS31" s="63"/>
      <c r="ALT31" s="63"/>
      <c r="ALU31" s="63"/>
      <c r="ALV31" s="63"/>
      <c r="ALW31" s="63"/>
      <c r="ALX31" s="63"/>
      <c r="ALY31" s="63"/>
      <c r="ALZ31" s="63"/>
      <c r="AMA31" s="63"/>
      <c r="AMB31" s="63"/>
      <c r="AMC31" s="63"/>
      <c r="AMD31" s="63"/>
      <c r="AME31" s="63"/>
      <c r="AMF31" s="63"/>
      <c r="AMG31" s="63"/>
      <c r="AMH31" s="63"/>
      <c r="AMI31" s="63"/>
      <c r="AMJ31" s="63"/>
      <c r="AMK31" s="63"/>
      <c r="AML31" s="63"/>
      <c r="AMM31" s="63"/>
      <c r="AMN31" s="63"/>
      <c r="AMO31" s="63"/>
      <c r="AMP31" s="63"/>
      <c r="AMQ31" s="63"/>
      <c r="AMR31" s="63"/>
      <c r="AMS31" s="63"/>
      <c r="AMT31" s="63"/>
      <c r="AMU31" s="63"/>
      <c r="AMV31" s="63"/>
      <c r="AMW31" s="63"/>
      <c r="AMX31" s="63"/>
      <c r="AMY31" s="63"/>
      <c r="AMZ31" s="63"/>
      <c r="ANA31" s="63"/>
      <c r="ANB31" s="63"/>
      <c r="ANC31" s="63"/>
      <c r="AND31" s="63"/>
      <c r="ANE31" s="63"/>
      <c r="ANF31" s="63"/>
      <c r="ANG31" s="63"/>
      <c r="ANH31" s="63"/>
      <c r="ANI31" s="63"/>
      <c r="ANJ31" s="63"/>
      <c r="ANK31" s="63"/>
      <c r="ANL31" s="63"/>
      <c r="ANM31" s="63"/>
      <c r="ANN31" s="63"/>
      <c r="ANO31" s="63"/>
      <c r="ANP31" s="63"/>
      <c r="ANQ31" s="63"/>
      <c r="ANR31" s="63"/>
      <c r="ANS31" s="63"/>
      <c r="ANT31" s="63"/>
      <c r="ANU31" s="63"/>
      <c r="ANV31" s="63"/>
      <c r="ANW31" s="63"/>
      <c r="ANX31" s="63"/>
      <c r="ANY31" s="63"/>
      <c r="ANZ31" s="63"/>
      <c r="AOA31" s="63"/>
      <c r="AOB31" s="63"/>
      <c r="AOC31" s="63"/>
      <c r="AOD31" s="63"/>
      <c r="AOE31" s="63"/>
      <c r="AOF31" s="63"/>
      <c r="AOG31" s="63"/>
      <c r="AOH31" s="63"/>
      <c r="AOI31" s="63"/>
      <c r="AOJ31" s="63"/>
      <c r="AOK31" s="63"/>
      <c r="AOL31" s="63"/>
      <c r="AOM31" s="63"/>
      <c r="AON31" s="63"/>
      <c r="AOO31" s="63"/>
      <c r="AOP31" s="63"/>
      <c r="AOQ31" s="63"/>
      <c r="AOR31" s="63"/>
      <c r="AOS31" s="63"/>
      <c r="AOT31" s="63"/>
      <c r="AOU31" s="63"/>
      <c r="AOV31" s="63"/>
      <c r="AOW31" s="63"/>
      <c r="AOX31" s="63"/>
      <c r="AOY31" s="63"/>
      <c r="AOZ31" s="63"/>
      <c r="APA31" s="63"/>
      <c r="APB31" s="63"/>
      <c r="APC31" s="63"/>
      <c r="APD31" s="63"/>
      <c r="APE31" s="63"/>
      <c r="APF31" s="63"/>
      <c r="APG31" s="63"/>
      <c r="APH31" s="63"/>
      <c r="API31" s="63"/>
      <c r="APJ31" s="63"/>
      <c r="APK31" s="63"/>
      <c r="APL31" s="63"/>
      <c r="APM31" s="63"/>
      <c r="APN31" s="63"/>
      <c r="APO31" s="63"/>
      <c r="APP31" s="63"/>
      <c r="APQ31" s="63"/>
      <c r="APR31" s="63"/>
      <c r="APS31" s="63"/>
      <c r="APT31" s="63"/>
      <c r="APU31" s="63"/>
      <c r="APV31" s="63"/>
      <c r="APW31" s="63"/>
      <c r="APX31" s="63"/>
      <c r="APY31" s="63"/>
      <c r="APZ31" s="63"/>
      <c r="AQA31" s="63"/>
      <c r="AQB31" s="63"/>
      <c r="AQC31" s="63"/>
      <c r="AQD31" s="63"/>
      <c r="AQE31" s="63"/>
      <c r="AQF31" s="63"/>
      <c r="AQG31" s="63"/>
      <c r="AQH31" s="63"/>
      <c r="AQI31" s="63"/>
      <c r="AQJ31" s="63"/>
      <c r="AQK31" s="63"/>
      <c r="AQL31" s="63"/>
      <c r="AQM31" s="63"/>
      <c r="AQN31" s="63"/>
      <c r="AQO31" s="63"/>
      <c r="AQP31" s="63"/>
      <c r="AQQ31" s="63"/>
      <c r="AQR31" s="63"/>
      <c r="AQS31" s="63"/>
      <c r="AQT31" s="63"/>
      <c r="AQU31" s="63"/>
      <c r="AQV31" s="63"/>
      <c r="AQW31" s="63"/>
      <c r="AQX31" s="63"/>
      <c r="AQY31" s="63"/>
      <c r="AQZ31" s="63"/>
      <c r="ARA31" s="63"/>
      <c r="ARB31" s="63"/>
      <c r="ARC31" s="63"/>
      <c r="ARD31" s="63"/>
      <c r="ARE31" s="63"/>
      <c r="ARF31" s="63"/>
      <c r="ARG31" s="63"/>
      <c r="ARH31" s="63"/>
      <c r="ARI31" s="63"/>
      <c r="ARJ31" s="63"/>
      <c r="ARK31" s="63"/>
      <c r="ARL31" s="63"/>
      <c r="ARM31" s="63"/>
      <c r="ARN31" s="63"/>
      <c r="ARO31" s="63"/>
      <c r="ARP31" s="63"/>
      <c r="ARQ31" s="63"/>
      <c r="ARR31" s="63"/>
      <c r="ARS31" s="63"/>
      <c r="ART31" s="63"/>
      <c r="ARU31" s="63"/>
      <c r="ARV31" s="63"/>
      <c r="ARW31" s="63"/>
      <c r="ARX31" s="63"/>
      <c r="ARY31" s="63"/>
      <c r="ARZ31" s="63"/>
      <c r="ASA31" s="63"/>
      <c r="ASB31" s="63"/>
      <c r="ASC31" s="63"/>
      <c r="ASD31" s="63"/>
      <c r="ASE31" s="63"/>
      <c r="ASF31" s="63"/>
      <c r="ASG31" s="63"/>
      <c r="ASH31" s="63"/>
      <c r="ASI31" s="63"/>
      <c r="ASJ31" s="63"/>
      <c r="ASK31" s="63"/>
      <c r="ASL31" s="63"/>
      <c r="ASM31" s="63"/>
      <c r="ASN31" s="63"/>
      <c r="ASO31" s="63"/>
      <c r="ASP31" s="63"/>
      <c r="ASQ31" s="63"/>
      <c r="ASR31" s="63"/>
      <c r="ASS31" s="63"/>
      <c r="AST31" s="63"/>
      <c r="ASU31" s="63"/>
      <c r="ASV31" s="63"/>
      <c r="ASW31" s="63"/>
      <c r="ASX31" s="63"/>
      <c r="ASY31" s="63"/>
      <c r="ASZ31" s="63"/>
      <c r="ATA31" s="63"/>
      <c r="ATB31" s="63"/>
      <c r="ATC31" s="63"/>
      <c r="ATD31" s="63"/>
      <c r="ATE31" s="63"/>
      <c r="ATF31" s="63"/>
      <c r="ATG31" s="63"/>
      <c r="ATH31" s="63"/>
      <c r="ATI31" s="63"/>
      <c r="ATJ31" s="63"/>
      <c r="ATK31" s="63"/>
      <c r="ATL31" s="63"/>
      <c r="ATM31" s="63"/>
      <c r="ATN31" s="63"/>
      <c r="ATO31" s="63"/>
      <c r="ATP31" s="63"/>
      <c r="ATQ31" s="63"/>
      <c r="ATR31" s="63"/>
      <c r="ATS31" s="63"/>
      <c r="ATT31" s="63"/>
      <c r="ATU31" s="63"/>
      <c r="ATV31" s="63"/>
      <c r="ATW31" s="63"/>
      <c r="ATX31" s="63"/>
      <c r="ATY31" s="63"/>
      <c r="ATZ31" s="63"/>
      <c r="AUA31" s="63"/>
      <c r="AUB31" s="63"/>
      <c r="AUC31" s="63"/>
      <c r="AUD31" s="63"/>
      <c r="AUE31" s="63"/>
      <c r="AUF31" s="63"/>
      <c r="AUG31" s="63"/>
      <c r="AUH31" s="63"/>
      <c r="AUI31" s="63"/>
      <c r="AUJ31" s="63"/>
      <c r="AUK31" s="63"/>
      <c r="AUL31" s="63"/>
      <c r="AUM31" s="63"/>
      <c r="AUN31" s="63"/>
      <c r="AUO31" s="63"/>
      <c r="AUP31" s="63"/>
      <c r="AUQ31" s="63"/>
      <c r="AUR31" s="63"/>
      <c r="AUS31" s="63"/>
      <c r="AUT31" s="63"/>
      <c r="AUU31" s="63"/>
      <c r="AUV31" s="63"/>
      <c r="AUW31" s="63"/>
      <c r="AUX31" s="63"/>
      <c r="AUY31" s="63"/>
      <c r="AUZ31" s="63"/>
      <c r="AVA31" s="63"/>
      <c r="AVB31" s="63"/>
      <c r="AVC31" s="63"/>
      <c r="AVD31" s="63"/>
      <c r="AVE31" s="63"/>
      <c r="AVF31" s="63"/>
      <c r="AVG31" s="63"/>
      <c r="AVH31" s="63"/>
      <c r="AVI31" s="63"/>
      <c r="AVJ31" s="63"/>
      <c r="AVK31" s="63"/>
      <c r="AVL31" s="63"/>
      <c r="AVM31" s="63"/>
      <c r="AVN31" s="63"/>
      <c r="AVO31" s="63"/>
      <c r="AVP31" s="63"/>
      <c r="AVQ31" s="63"/>
      <c r="AVR31" s="63"/>
      <c r="AVS31" s="63"/>
      <c r="AVT31" s="63"/>
      <c r="AVU31" s="63"/>
      <c r="AVV31" s="63"/>
      <c r="AVW31" s="63"/>
      <c r="AVX31" s="63"/>
      <c r="AVY31" s="63"/>
      <c r="AVZ31" s="63"/>
      <c r="AWA31" s="63"/>
      <c r="AWB31" s="63"/>
      <c r="AWC31" s="63"/>
      <c r="AWD31" s="63"/>
      <c r="AWE31" s="63"/>
      <c r="AWF31" s="63"/>
      <c r="AWG31" s="63"/>
      <c r="AWH31" s="63"/>
      <c r="AWI31" s="63"/>
      <c r="AWJ31" s="63"/>
      <c r="AWK31" s="63"/>
      <c r="AWL31" s="63"/>
      <c r="AWM31" s="63"/>
      <c r="AWN31" s="63"/>
      <c r="AWO31" s="63"/>
      <c r="AWP31" s="63"/>
      <c r="AWQ31" s="63"/>
      <c r="AWR31" s="63"/>
      <c r="AWS31" s="63"/>
      <c r="AWT31" s="63"/>
      <c r="AWU31" s="63"/>
      <c r="AWV31" s="63"/>
      <c r="AWW31" s="63"/>
      <c r="AWX31" s="63"/>
      <c r="AWY31" s="63"/>
      <c r="AWZ31" s="63"/>
      <c r="AXA31" s="63"/>
      <c r="AXB31" s="63"/>
      <c r="AXC31" s="63"/>
      <c r="AXD31" s="63"/>
      <c r="AXE31" s="63"/>
      <c r="AXF31" s="63"/>
      <c r="AXG31" s="63"/>
      <c r="AXH31" s="63"/>
      <c r="AXI31" s="63"/>
      <c r="AXJ31" s="63"/>
      <c r="AXK31" s="63"/>
      <c r="AXL31" s="63"/>
      <c r="AXM31" s="63"/>
      <c r="AXN31" s="63"/>
      <c r="AXO31" s="63"/>
      <c r="AXP31" s="63"/>
      <c r="AXQ31" s="63"/>
      <c r="AXR31" s="63"/>
      <c r="AXS31" s="63"/>
      <c r="AXT31" s="63"/>
      <c r="AXU31" s="63"/>
      <c r="AXV31" s="63"/>
      <c r="AXW31" s="63"/>
      <c r="AXX31" s="63"/>
      <c r="AXY31" s="63"/>
      <c r="AXZ31" s="63"/>
      <c r="AYA31" s="63"/>
      <c r="AYB31" s="63"/>
      <c r="AYC31" s="63"/>
      <c r="AYD31" s="63"/>
      <c r="AYE31" s="63"/>
      <c r="AYF31" s="63"/>
      <c r="AYG31" s="63"/>
      <c r="AYH31" s="63"/>
      <c r="AYI31" s="63"/>
      <c r="AYJ31" s="63"/>
      <c r="AYK31" s="63"/>
      <c r="AYL31" s="63"/>
      <c r="AYM31" s="63"/>
      <c r="AYN31" s="63"/>
      <c r="AYO31" s="63"/>
      <c r="AYP31" s="63"/>
      <c r="AYQ31" s="63"/>
      <c r="AYR31" s="63"/>
      <c r="AYS31" s="63"/>
      <c r="AYT31" s="63"/>
      <c r="AYU31" s="63"/>
      <c r="AYV31" s="63"/>
      <c r="AYW31" s="63"/>
      <c r="AYX31" s="63"/>
      <c r="AYY31" s="63"/>
      <c r="AYZ31" s="63"/>
      <c r="AZA31" s="63"/>
      <c r="AZB31" s="63"/>
      <c r="AZC31" s="63"/>
      <c r="AZD31" s="63"/>
      <c r="AZE31" s="63"/>
      <c r="AZF31" s="63"/>
      <c r="AZG31" s="63"/>
      <c r="AZH31" s="63"/>
      <c r="AZI31" s="63"/>
      <c r="AZJ31" s="63"/>
      <c r="AZK31" s="63"/>
      <c r="AZL31" s="63"/>
      <c r="AZM31" s="63"/>
      <c r="AZN31" s="63"/>
      <c r="AZO31" s="63"/>
      <c r="AZP31" s="63"/>
      <c r="AZQ31" s="63"/>
      <c r="AZR31" s="63"/>
      <c r="AZS31" s="63"/>
      <c r="AZT31" s="63"/>
      <c r="AZU31" s="63"/>
      <c r="AZV31" s="63"/>
      <c r="AZW31" s="63"/>
      <c r="AZX31" s="63"/>
      <c r="AZY31" s="63"/>
      <c r="AZZ31" s="63"/>
      <c r="BAA31" s="63"/>
      <c r="BAB31" s="63"/>
      <c r="BAC31" s="63"/>
      <c r="BAD31" s="63"/>
      <c r="BAE31" s="63"/>
      <c r="BAF31" s="63"/>
      <c r="BAG31" s="63"/>
      <c r="BAH31" s="63"/>
      <c r="BAI31" s="63"/>
      <c r="BAJ31" s="63"/>
      <c r="BAK31" s="63"/>
      <c r="BAL31" s="63"/>
      <c r="BAM31" s="63"/>
      <c r="BAN31" s="63"/>
      <c r="BAO31" s="63"/>
      <c r="BAP31" s="63"/>
      <c r="BAQ31" s="63"/>
      <c r="BAR31" s="63"/>
      <c r="BAS31" s="63"/>
      <c r="BAT31" s="63"/>
      <c r="BAU31" s="63"/>
      <c r="BAV31" s="63"/>
      <c r="BAW31" s="63"/>
      <c r="BAX31" s="63"/>
      <c r="BAY31" s="63"/>
      <c r="BAZ31" s="63"/>
      <c r="BBA31" s="63"/>
      <c r="BBB31" s="63"/>
      <c r="BBC31" s="63"/>
      <c r="BBD31" s="63"/>
      <c r="BBE31" s="63"/>
      <c r="BBF31" s="63"/>
      <c r="BBG31" s="63"/>
      <c r="BBH31" s="63"/>
      <c r="BBI31" s="63"/>
      <c r="BBJ31" s="63"/>
      <c r="BBK31" s="63"/>
      <c r="BBL31" s="63"/>
      <c r="BBM31" s="63"/>
      <c r="BBN31" s="63"/>
      <c r="BBO31" s="63"/>
      <c r="BBP31" s="63"/>
      <c r="BBQ31" s="63"/>
      <c r="BBR31" s="63"/>
      <c r="BBS31" s="63"/>
      <c r="BBT31" s="63"/>
      <c r="BBU31" s="63"/>
      <c r="BBV31" s="63"/>
      <c r="BBW31" s="63"/>
      <c r="BBX31" s="63"/>
      <c r="BBY31" s="63"/>
      <c r="BBZ31" s="63"/>
      <c r="BCA31" s="63"/>
      <c r="BCB31" s="63"/>
      <c r="BCC31" s="63"/>
      <c r="BCD31" s="63"/>
      <c r="BCE31" s="63"/>
      <c r="BCF31" s="63"/>
      <c r="BCG31" s="63"/>
      <c r="BCH31" s="63"/>
      <c r="BCI31" s="63"/>
      <c r="BCJ31" s="63"/>
      <c r="BCK31" s="63"/>
      <c r="BCL31" s="63"/>
      <c r="BCM31" s="63"/>
      <c r="BCN31" s="63"/>
      <c r="BCO31" s="63"/>
      <c r="BCP31" s="63"/>
      <c r="BCQ31" s="63"/>
      <c r="BCR31" s="63"/>
      <c r="BCS31" s="63"/>
      <c r="BCT31" s="63"/>
      <c r="BCU31" s="63"/>
      <c r="BCV31" s="63"/>
      <c r="BCW31" s="63"/>
      <c r="BCX31" s="63"/>
      <c r="BCY31" s="63"/>
      <c r="BCZ31" s="63"/>
      <c r="BDA31" s="63"/>
      <c r="BDB31" s="63"/>
      <c r="BDC31" s="63"/>
      <c r="BDD31" s="63"/>
      <c r="BDE31" s="63"/>
      <c r="BDF31" s="63"/>
      <c r="BDG31" s="63"/>
      <c r="BDH31" s="63"/>
      <c r="BDI31" s="63"/>
      <c r="BDJ31" s="63"/>
      <c r="BDK31" s="63"/>
      <c r="BDL31" s="63"/>
      <c r="BDM31" s="63"/>
      <c r="BDN31" s="63"/>
      <c r="BDO31" s="63"/>
      <c r="BDP31" s="63"/>
      <c r="BDQ31" s="63"/>
      <c r="BDR31" s="63"/>
      <c r="BDS31" s="63"/>
      <c r="BDT31" s="63"/>
      <c r="BDU31" s="63"/>
      <c r="BDV31" s="63"/>
      <c r="BDW31" s="63"/>
      <c r="BDX31" s="63"/>
      <c r="BDY31" s="63"/>
      <c r="BDZ31" s="63"/>
      <c r="BEA31" s="63"/>
      <c r="BEB31" s="63"/>
      <c r="BEC31" s="63"/>
      <c r="BED31" s="63"/>
      <c r="BEE31" s="63"/>
      <c r="BEF31" s="63"/>
      <c r="BEG31" s="63"/>
      <c r="BEH31" s="63"/>
      <c r="BEI31" s="63"/>
      <c r="BEJ31" s="63"/>
      <c r="BEK31" s="63"/>
      <c r="BEL31" s="63"/>
      <c r="BEM31" s="63"/>
      <c r="BEN31" s="63"/>
      <c r="BEO31" s="63"/>
      <c r="BEP31" s="63"/>
      <c r="BEQ31" s="63"/>
      <c r="BER31" s="63"/>
      <c r="BES31" s="63"/>
      <c r="BET31" s="63"/>
      <c r="BEU31" s="63"/>
      <c r="BEV31" s="63"/>
      <c r="BEW31" s="63"/>
      <c r="BEX31" s="63"/>
      <c r="BEY31" s="63"/>
      <c r="BEZ31" s="63"/>
      <c r="BFA31" s="63"/>
      <c r="BFB31" s="63"/>
      <c r="BFC31" s="63"/>
      <c r="BFD31" s="63"/>
      <c r="BFE31" s="63"/>
      <c r="BFF31" s="63"/>
      <c r="BFG31" s="63"/>
      <c r="BFH31" s="63"/>
      <c r="BFI31" s="63"/>
      <c r="BFJ31" s="63"/>
      <c r="BFK31" s="63"/>
      <c r="BFL31" s="63"/>
      <c r="BFM31" s="63"/>
      <c r="BFN31" s="63"/>
      <c r="BFO31" s="63"/>
      <c r="BFP31" s="63"/>
      <c r="BFQ31" s="63"/>
      <c r="BFR31" s="63"/>
      <c r="BFS31" s="63"/>
      <c r="BFT31" s="63"/>
      <c r="BFU31" s="63"/>
      <c r="BFV31" s="63"/>
      <c r="BFW31" s="63"/>
      <c r="BFX31" s="63"/>
      <c r="BFY31" s="63"/>
      <c r="BFZ31" s="63"/>
      <c r="BGA31" s="63"/>
      <c r="BGB31" s="63"/>
      <c r="BGC31" s="63"/>
      <c r="BGD31" s="63"/>
      <c r="BGE31" s="63"/>
      <c r="BGF31" s="63"/>
      <c r="BGG31" s="63"/>
      <c r="BGH31" s="63"/>
      <c r="BGI31" s="63"/>
      <c r="BGJ31" s="63"/>
      <c r="BGK31" s="63"/>
      <c r="BGL31" s="63"/>
      <c r="BGM31" s="63"/>
      <c r="BGN31" s="63"/>
      <c r="BGO31" s="63"/>
      <c r="BGP31" s="63"/>
      <c r="BGQ31" s="63"/>
      <c r="BGR31" s="63"/>
      <c r="BGS31" s="63"/>
      <c r="BGT31" s="63"/>
      <c r="BGU31" s="63"/>
      <c r="BGV31" s="63"/>
      <c r="BGW31" s="63"/>
      <c r="BGX31" s="63"/>
      <c r="BGY31" s="63"/>
      <c r="BGZ31" s="63"/>
      <c r="BHA31" s="63"/>
      <c r="BHB31" s="63"/>
      <c r="BHC31" s="63"/>
      <c r="BHD31" s="63"/>
      <c r="BHE31" s="63"/>
      <c r="BHF31" s="63"/>
      <c r="BHG31" s="63"/>
      <c r="BHH31" s="63"/>
      <c r="BHI31" s="63"/>
      <c r="BHJ31" s="63"/>
      <c r="BHK31" s="63"/>
      <c r="BHL31" s="63"/>
      <c r="BHM31" s="63"/>
      <c r="BHN31" s="63"/>
      <c r="BHO31" s="63"/>
      <c r="BHP31" s="63"/>
      <c r="BHQ31" s="63"/>
      <c r="BHR31" s="63"/>
      <c r="BHS31" s="63"/>
      <c r="BHT31" s="63"/>
      <c r="BHU31" s="63"/>
      <c r="BHV31" s="63"/>
      <c r="BHW31" s="63"/>
      <c r="BHX31" s="63"/>
      <c r="BHY31" s="63"/>
      <c r="BHZ31" s="63"/>
      <c r="BIA31" s="63"/>
      <c r="BIB31" s="63"/>
      <c r="BIC31" s="63"/>
      <c r="BID31" s="63"/>
      <c r="BIE31" s="63"/>
      <c r="BIF31" s="63"/>
      <c r="BIG31" s="63"/>
      <c r="BIH31" s="63"/>
      <c r="BII31" s="63"/>
      <c r="BIJ31" s="63"/>
      <c r="BIK31" s="63"/>
      <c r="BIL31" s="63"/>
      <c r="BIM31" s="63"/>
      <c r="BIN31" s="63"/>
      <c r="BIO31" s="63"/>
      <c r="BIP31" s="63"/>
      <c r="BIQ31" s="63"/>
      <c r="BIR31" s="63"/>
      <c r="BIS31" s="63"/>
      <c r="BIT31" s="63"/>
      <c r="BIU31" s="63"/>
      <c r="BIV31" s="63"/>
      <c r="BIW31" s="63"/>
      <c r="BIX31" s="63"/>
      <c r="BIY31" s="63"/>
      <c r="BIZ31" s="63"/>
      <c r="BJA31" s="63"/>
      <c r="BJB31" s="63"/>
      <c r="BJC31" s="63"/>
      <c r="BJD31" s="63"/>
      <c r="BJE31" s="63"/>
      <c r="BJF31" s="63"/>
      <c r="BJG31" s="63"/>
      <c r="BJH31" s="63"/>
      <c r="BJI31" s="63"/>
      <c r="BJJ31" s="63"/>
      <c r="BJK31" s="63"/>
      <c r="BJL31" s="63"/>
      <c r="BJM31" s="63"/>
      <c r="BJN31" s="63"/>
      <c r="BJO31" s="63"/>
      <c r="BJP31" s="63"/>
      <c r="BJQ31" s="63"/>
      <c r="BJR31" s="63"/>
      <c r="BJS31" s="63"/>
      <c r="BJT31" s="63"/>
      <c r="BJU31" s="63"/>
      <c r="BJV31" s="63"/>
      <c r="BJW31" s="63"/>
      <c r="BJX31" s="63"/>
      <c r="BJY31" s="63"/>
      <c r="BJZ31" s="63"/>
      <c r="BKA31" s="63"/>
      <c r="BKB31" s="63"/>
      <c r="BKC31" s="63"/>
      <c r="BKD31" s="63"/>
      <c r="BKE31" s="63"/>
      <c r="BKF31" s="63"/>
      <c r="BKG31" s="63"/>
      <c r="BKH31" s="63"/>
      <c r="BKI31" s="63"/>
      <c r="BKJ31" s="63"/>
      <c r="BKK31" s="63"/>
      <c r="BKL31" s="63"/>
      <c r="BKM31" s="63"/>
      <c r="BKN31" s="63"/>
      <c r="BKO31" s="63"/>
      <c r="BKP31" s="63"/>
      <c r="BKQ31" s="63"/>
      <c r="BKR31" s="63"/>
      <c r="BKS31" s="63"/>
      <c r="BKT31" s="63"/>
      <c r="BKU31" s="63"/>
      <c r="BKV31" s="63"/>
      <c r="BKW31" s="63"/>
      <c r="BKX31" s="63"/>
      <c r="BKY31" s="63"/>
      <c r="BKZ31" s="63"/>
      <c r="BLA31" s="63"/>
      <c r="BLB31" s="63"/>
      <c r="BLC31" s="63"/>
      <c r="BLD31" s="63"/>
      <c r="BLE31" s="63"/>
      <c r="BLF31" s="63"/>
      <c r="BLG31" s="63"/>
      <c r="BLH31" s="63"/>
      <c r="BLI31" s="63"/>
      <c r="BLJ31" s="63"/>
      <c r="BLK31" s="63"/>
      <c r="BLL31" s="63"/>
      <c r="BLM31" s="63"/>
      <c r="BLN31" s="63"/>
      <c r="BLO31" s="63"/>
      <c r="BLP31" s="63"/>
      <c r="BLQ31" s="63"/>
      <c r="BLR31" s="63"/>
      <c r="BLS31" s="63"/>
      <c r="BLT31" s="63"/>
      <c r="BLU31" s="63"/>
      <c r="BLV31" s="63"/>
      <c r="BLW31" s="63"/>
      <c r="BLX31" s="63"/>
      <c r="BLY31" s="63"/>
      <c r="BLZ31" s="63"/>
      <c r="BMA31" s="63"/>
      <c r="BMB31" s="63"/>
      <c r="BMC31" s="63"/>
      <c r="BMD31" s="63"/>
      <c r="BME31" s="63"/>
      <c r="BMF31" s="63"/>
      <c r="BMG31" s="63"/>
      <c r="BMH31" s="63"/>
      <c r="BMI31" s="63"/>
      <c r="BMJ31" s="63"/>
      <c r="BMK31" s="63"/>
      <c r="BML31" s="63"/>
      <c r="BMM31" s="63"/>
      <c r="BMN31" s="63"/>
      <c r="BMO31" s="63"/>
      <c r="BMP31" s="63"/>
      <c r="BMQ31" s="63"/>
      <c r="BMR31" s="63"/>
      <c r="BMS31" s="63"/>
      <c r="BMT31" s="63"/>
      <c r="BMU31" s="63"/>
      <c r="BMV31" s="63"/>
      <c r="BMW31" s="63"/>
      <c r="BMX31" s="63"/>
      <c r="BMY31" s="63"/>
      <c r="BMZ31" s="63"/>
      <c r="BNA31" s="63"/>
      <c r="BNB31" s="63"/>
      <c r="BNC31" s="63"/>
      <c r="BND31" s="63"/>
      <c r="BNE31" s="63"/>
      <c r="BNF31" s="63"/>
      <c r="BNG31" s="63"/>
      <c r="BNH31" s="63"/>
      <c r="BNI31" s="63"/>
      <c r="BNJ31" s="63"/>
      <c r="BNK31" s="63"/>
      <c r="BNL31" s="63"/>
      <c r="BNM31" s="63"/>
      <c r="BNN31" s="63"/>
      <c r="BNO31" s="63"/>
      <c r="BNP31" s="63"/>
      <c r="BNQ31" s="63"/>
      <c r="BNR31" s="63"/>
      <c r="BNS31" s="63"/>
      <c r="BNT31" s="63"/>
      <c r="BNU31" s="63"/>
      <c r="BNV31" s="63"/>
      <c r="BNW31" s="63"/>
      <c r="BNX31" s="63"/>
      <c r="BNY31" s="63"/>
      <c r="BNZ31" s="63"/>
      <c r="BOA31" s="63"/>
      <c r="BOB31" s="63"/>
      <c r="BOC31" s="63"/>
      <c r="BOD31" s="63"/>
      <c r="BOE31" s="63"/>
      <c r="BOF31" s="63"/>
      <c r="BOG31" s="63"/>
      <c r="BOH31" s="63"/>
      <c r="BOI31" s="63"/>
      <c r="BOJ31" s="63"/>
      <c r="BOK31" s="63"/>
      <c r="BOL31" s="63"/>
      <c r="BOM31" s="63"/>
      <c r="BON31" s="63"/>
      <c r="BOO31" s="63"/>
      <c r="BOP31" s="63"/>
      <c r="BOQ31" s="63"/>
      <c r="BOR31" s="63"/>
      <c r="BOS31" s="63"/>
      <c r="BOT31" s="63"/>
      <c r="BOU31" s="63"/>
      <c r="BOV31" s="63"/>
      <c r="BOW31" s="63"/>
      <c r="BOX31" s="63"/>
      <c r="BOY31" s="63"/>
      <c r="BOZ31" s="63"/>
      <c r="BPA31" s="63"/>
      <c r="BPB31" s="63"/>
      <c r="BPC31" s="63"/>
      <c r="BPD31" s="63"/>
      <c r="BPE31" s="63"/>
      <c r="BPF31" s="63"/>
      <c r="BPG31" s="63"/>
      <c r="BPH31" s="63"/>
      <c r="BPI31" s="63"/>
      <c r="BPJ31" s="63"/>
      <c r="BPK31" s="63"/>
      <c r="BPL31" s="63"/>
      <c r="BPM31" s="63"/>
      <c r="BPN31" s="63"/>
      <c r="BPO31" s="63"/>
      <c r="BPP31" s="63"/>
      <c r="BPQ31" s="63"/>
      <c r="BPR31" s="63"/>
      <c r="BPS31" s="63"/>
      <c r="BPT31" s="63"/>
      <c r="BPU31" s="63"/>
      <c r="BPV31" s="63"/>
      <c r="BPW31" s="63"/>
      <c r="BPX31" s="63"/>
      <c r="BPY31" s="63"/>
      <c r="BPZ31" s="63"/>
      <c r="BQA31" s="63"/>
      <c r="BQB31" s="63"/>
      <c r="BQC31" s="63"/>
      <c r="BQD31" s="63"/>
      <c r="BQE31" s="63"/>
      <c r="BQF31" s="63"/>
      <c r="BQG31" s="63"/>
      <c r="BQH31" s="63"/>
      <c r="BQI31" s="63"/>
      <c r="BQJ31" s="63"/>
      <c r="BQK31" s="63"/>
      <c r="BQL31" s="63"/>
      <c r="BQM31" s="63"/>
      <c r="BQN31" s="63"/>
      <c r="BQO31" s="63"/>
      <c r="BQP31" s="63"/>
      <c r="BQQ31" s="63"/>
      <c r="BQR31" s="63"/>
      <c r="BQS31" s="63"/>
      <c r="BQT31" s="63"/>
      <c r="BQU31" s="63"/>
      <c r="BQV31" s="63"/>
      <c r="BQW31" s="63"/>
      <c r="BQX31" s="63"/>
      <c r="BQY31" s="63"/>
      <c r="BQZ31" s="63"/>
      <c r="BRA31" s="63"/>
      <c r="BRB31" s="63"/>
      <c r="BRC31" s="63"/>
      <c r="BRD31" s="63"/>
      <c r="BRE31" s="63"/>
      <c r="BRF31" s="63"/>
      <c r="BRG31" s="63"/>
      <c r="BRH31" s="63"/>
      <c r="BRI31" s="63"/>
      <c r="BRJ31" s="63"/>
      <c r="BRK31" s="63"/>
      <c r="BRL31" s="63"/>
      <c r="BRM31" s="63"/>
      <c r="BRN31" s="63"/>
      <c r="BRO31" s="63"/>
      <c r="BRP31" s="63"/>
      <c r="BRQ31" s="63"/>
      <c r="BRR31" s="63"/>
      <c r="BRS31" s="63"/>
      <c r="BRT31" s="63"/>
      <c r="BRU31" s="63"/>
      <c r="BRV31" s="63"/>
      <c r="BRW31" s="63"/>
      <c r="BRX31" s="63"/>
      <c r="BRY31" s="63"/>
      <c r="BRZ31" s="63"/>
      <c r="BSA31" s="63"/>
      <c r="BSB31" s="63"/>
      <c r="BSC31" s="63"/>
      <c r="BSD31" s="63"/>
      <c r="BSE31" s="63"/>
      <c r="BSF31" s="63"/>
      <c r="BSG31" s="63"/>
      <c r="BSH31" s="63"/>
      <c r="BSI31" s="63"/>
      <c r="BSJ31" s="63"/>
      <c r="BSK31" s="63"/>
      <c r="BSL31" s="63"/>
      <c r="BSM31" s="63"/>
      <c r="BSN31" s="63"/>
      <c r="BSO31" s="63"/>
      <c r="BSP31" s="63"/>
      <c r="BSQ31" s="63"/>
      <c r="BSR31" s="63"/>
      <c r="BSS31" s="63"/>
      <c r="BST31" s="63"/>
      <c r="BSU31" s="63"/>
      <c r="BSV31" s="63"/>
      <c r="BSW31" s="63"/>
      <c r="BSX31" s="63"/>
      <c r="BSY31" s="63"/>
      <c r="BSZ31" s="63"/>
      <c r="BTA31" s="63"/>
      <c r="BTB31" s="63"/>
      <c r="BTC31" s="63"/>
      <c r="BTD31" s="63"/>
      <c r="BTE31" s="63"/>
      <c r="BTF31" s="63"/>
      <c r="BTG31" s="63"/>
      <c r="BTH31" s="63"/>
      <c r="BTI31" s="63"/>
      <c r="BTJ31" s="63"/>
      <c r="BTK31" s="63"/>
      <c r="BTL31" s="63"/>
      <c r="BTM31" s="63"/>
      <c r="BTN31" s="63"/>
      <c r="BTO31" s="63"/>
      <c r="BTP31" s="63"/>
      <c r="BTQ31" s="63"/>
      <c r="BTR31" s="63"/>
      <c r="BTS31" s="63"/>
      <c r="BTT31" s="63"/>
      <c r="BTU31" s="63"/>
      <c r="BTV31" s="63"/>
      <c r="BTW31" s="63"/>
      <c r="BTX31" s="63"/>
      <c r="BTY31" s="63"/>
      <c r="BTZ31" s="63"/>
      <c r="BUA31" s="63"/>
      <c r="BUB31" s="63"/>
      <c r="BUC31" s="63"/>
      <c r="BUD31" s="63"/>
      <c r="BUE31" s="63"/>
      <c r="BUF31" s="63"/>
      <c r="BUG31" s="63"/>
      <c r="BUH31" s="63"/>
      <c r="BUI31" s="63"/>
      <c r="BUJ31" s="63"/>
      <c r="BUK31" s="63"/>
      <c r="BUL31" s="63"/>
      <c r="BUM31" s="63"/>
      <c r="BUN31" s="63"/>
      <c r="BUO31" s="63"/>
      <c r="BUP31" s="63"/>
      <c r="BUQ31" s="63"/>
      <c r="BUR31" s="63"/>
      <c r="BUS31" s="63"/>
      <c r="BUT31" s="63"/>
      <c r="BUU31" s="63"/>
      <c r="BUV31" s="63"/>
      <c r="BUW31" s="63"/>
      <c r="BUX31" s="63"/>
      <c r="BUY31" s="63"/>
      <c r="BUZ31" s="63"/>
      <c r="BVA31" s="63"/>
      <c r="BVB31" s="63"/>
      <c r="BVC31" s="63"/>
      <c r="BVD31" s="63"/>
      <c r="BVE31" s="63"/>
      <c r="BVF31" s="63"/>
      <c r="BVG31" s="63"/>
      <c r="BVH31" s="63"/>
      <c r="BVI31" s="63"/>
      <c r="BVJ31" s="63"/>
      <c r="BVK31" s="63"/>
      <c r="BVL31" s="63"/>
      <c r="BVM31" s="63"/>
      <c r="BVN31" s="63"/>
      <c r="BVO31" s="63"/>
      <c r="BVP31" s="63"/>
      <c r="BVQ31" s="63"/>
      <c r="BVR31" s="63"/>
      <c r="BVS31" s="63"/>
      <c r="BVT31" s="63"/>
      <c r="BVU31" s="63"/>
      <c r="BVV31" s="63"/>
      <c r="BVW31" s="63"/>
      <c r="BVX31" s="63"/>
      <c r="BVY31" s="63"/>
      <c r="BVZ31" s="63"/>
      <c r="BWA31" s="63"/>
      <c r="BWB31" s="63"/>
      <c r="BWC31" s="63"/>
      <c r="BWD31" s="63"/>
      <c r="BWE31" s="63"/>
      <c r="BWF31" s="63"/>
      <c r="BWG31" s="63"/>
      <c r="BWH31" s="63"/>
      <c r="BWI31" s="63"/>
      <c r="BWJ31" s="63"/>
      <c r="BWK31" s="63"/>
      <c r="BWL31" s="63"/>
      <c r="BWM31" s="63"/>
      <c r="BWN31" s="63"/>
      <c r="BWO31" s="63"/>
      <c r="BWP31" s="63"/>
      <c r="BWQ31" s="63"/>
      <c r="BWR31" s="63"/>
      <c r="BWS31" s="63"/>
      <c r="BWT31" s="63"/>
      <c r="BWU31" s="63"/>
      <c r="BWV31" s="63"/>
      <c r="BWW31" s="63"/>
      <c r="BWX31" s="63"/>
      <c r="BWY31" s="63"/>
      <c r="BWZ31" s="63"/>
      <c r="BXA31" s="63"/>
      <c r="BXB31" s="63"/>
      <c r="BXC31" s="63"/>
      <c r="BXD31" s="63"/>
      <c r="BXE31" s="63"/>
      <c r="BXF31" s="63"/>
      <c r="BXG31" s="63"/>
      <c r="BXH31" s="63"/>
      <c r="BXI31" s="63"/>
      <c r="BXJ31" s="63"/>
      <c r="BXK31" s="63"/>
      <c r="BXL31" s="63"/>
      <c r="BXM31" s="63"/>
      <c r="BXN31" s="63"/>
      <c r="BXO31" s="63"/>
      <c r="BXP31" s="63"/>
      <c r="BXQ31" s="63"/>
      <c r="BXR31" s="63"/>
      <c r="BXS31" s="63"/>
      <c r="BXT31" s="63"/>
      <c r="BXU31" s="63"/>
      <c r="BXV31" s="63"/>
      <c r="BXW31" s="63"/>
      <c r="BXX31" s="63"/>
      <c r="BXY31" s="63"/>
      <c r="BXZ31" s="63"/>
      <c r="BYA31" s="63"/>
      <c r="BYB31" s="63"/>
      <c r="BYC31" s="63"/>
      <c r="BYD31" s="63"/>
      <c r="BYE31" s="63"/>
      <c r="BYF31" s="63"/>
      <c r="BYG31" s="63"/>
      <c r="BYH31" s="63"/>
      <c r="BYI31" s="63"/>
      <c r="BYJ31" s="63"/>
      <c r="BYK31" s="63"/>
      <c r="BYL31" s="63"/>
      <c r="BYM31" s="63"/>
      <c r="BYN31" s="63"/>
      <c r="BYO31" s="63"/>
      <c r="BYP31" s="63"/>
      <c r="BYQ31" s="63"/>
      <c r="BYR31" s="63"/>
      <c r="BYS31" s="63"/>
      <c r="BYT31" s="63"/>
      <c r="BYU31" s="63"/>
      <c r="BYV31" s="63"/>
      <c r="BYW31" s="63"/>
      <c r="BYX31" s="63"/>
      <c r="BYY31" s="63"/>
      <c r="BYZ31" s="63"/>
      <c r="BZA31" s="63"/>
      <c r="BZB31" s="63"/>
      <c r="BZC31" s="63"/>
      <c r="BZD31" s="63"/>
      <c r="BZE31" s="63"/>
      <c r="BZF31" s="63"/>
      <c r="BZG31" s="63"/>
      <c r="BZH31" s="63"/>
      <c r="BZI31" s="63"/>
      <c r="BZJ31" s="63"/>
      <c r="BZK31" s="63"/>
      <c r="BZL31" s="63"/>
      <c r="BZM31" s="63"/>
      <c r="BZN31" s="63"/>
      <c r="BZO31" s="63"/>
      <c r="BZP31" s="63"/>
      <c r="BZQ31" s="63"/>
      <c r="BZR31" s="63"/>
      <c r="BZS31" s="63"/>
      <c r="BZT31" s="63"/>
      <c r="BZU31" s="63"/>
      <c r="BZV31" s="63"/>
      <c r="BZW31" s="63"/>
      <c r="BZX31" s="63"/>
      <c r="BZY31" s="63"/>
      <c r="BZZ31" s="63"/>
      <c r="CAA31" s="63"/>
      <c r="CAB31" s="63"/>
      <c r="CAC31" s="63"/>
      <c r="CAD31" s="63"/>
      <c r="CAE31" s="63"/>
      <c r="CAF31" s="63"/>
      <c r="CAG31" s="63"/>
      <c r="CAH31" s="63"/>
      <c r="CAI31" s="63"/>
      <c r="CAJ31" s="63"/>
      <c r="CAK31" s="63"/>
      <c r="CAL31" s="63"/>
      <c r="CAM31" s="63"/>
      <c r="CAN31" s="63"/>
      <c r="CAO31" s="63"/>
      <c r="CAP31" s="63"/>
      <c r="CAQ31" s="63"/>
      <c r="CAR31" s="63"/>
      <c r="CAS31" s="63"/>
      <c r="CAT31" s="63"/>
      <c r="CAU31" s="63"/>
      <c r="CAV31" s="63"/>
      <c r="CAW31" s="63"/>
      <c r="CAX31" s="63"/>
      <c r="CAY31" s="63"/>
      <c r="CAZ31" s="63"/>
      <c r="CBA31" s="63"/>
      <c r="CBB31" s="63"/>
      <c r="CBC31" s="63"/>
      <c r="CBD31" s="63"/>
      <c r="CBE31" s="63"/>
      <c r="CBF31" s="63"/>
      <c r="CBG31" s="63"/>
      <c r="CBH31" s="63"/>
      <c r="CBI31" s="63"/>
      <c r="CBJ31" s="63"/>
      <c r="CBK31" s="63"/>
      <c r="CBL31" s="63"/>
      <c r="CBM31" s="63"/>
      <c r="CBN31" s="63"/>
      <c r="CBO31" s="63"/>
      <c r="CBP31" s="63"/>
      <c r="CBQ31" s="63"/>
      <c r="CBR31" s="63"/>
      <c r="CBS31" s="63"/>
      <c r="CBT31" s="63"/>
      <c r="CBU31" s="63"/>
      <c r="CBV31" s="63"/>
      <c r="CBW31" s="63"/>
      <c r="CBX31" s="63"/>
      <c r="CBY31" s="63"/>
      <c r="CBZ31" s="63"/>
      <c r="CCA31" s="63"/>
      <c r="CCB31" s="63"/>
      <c r="CCC31" s="63"/>
      <c r="CCD31" s="63"/>
      <c r="CCE31" s="63"/>
      <c r="CCF31" s="63"/>
      <c r="CCG31" s="63"/>
      <c r="CCH31" s="63"/>
      <c r="CCI31" s="63"/>
      <c r="CCJ31" s="63"/>
      <c r="CCK31" s="63"/>
      <c r="CCL31" s="63"/>
      <c r="CCM31" s="63"/>
      <c r="CCN31" s="63"/>
      <c r="CCO31" s="63"/>
      <c r="CCP31" s="63"/>
      <c r="CCQ31" s="63"/>
      <c r="CCR31" s="63"/>
      <c r="CCS31" s="63"/>
      <c r="CCT31" s="63"/>
      <c r="CCU31" s="63"/>
      <c r="CCV31" s="63"/>
      <c r="CCW31" s="63"/>
      <c r="CCX31" s="63"/>
      <c r="CCY31" s="63"/>
      <c r="CCZ31" s="63"/>
      <c r="CDA31" s="63"/>
      <c r="CDB31" s="63"/>
      <c r="CDC31" s="63"/>
      <c r="CDD31" s="63"/>
      <c r="CDE31" s="63"/>
      <c r="CDF31" s="63"/>
      <c r="CDG31" s="63"/>
      <c r="CDH31" s="63"/>
      <c r="CDI31" s="63"/>
      <c r="CDJ31" s="63"/>
      <c r="CDK31" s="63"/>
      <c r="CDL31" s="63"/>
      <c r="CDM31" s="63"/>
      <c r="CDN31" s="63"/>
      <c r="CDO31" s="63"/>
      <c r="CDP31" s="63"/>
      <c r="CDQ31" s="63"/>
      <c r="CDR31" s="63"/>
      <c r="CDS31" s="63"/>
      <c r="CDT31" s="63"/>
      <c r="CDU31" s="63"/>
      <c r="CDV31" s="63"/>
      <c r="CDW31" s="63"/>
      <c r="CDX31" s="63"/>
      <c r="CDY31" s="63"/>
      <c r="CDZ31" s="63"/>
      <c r="CEA31" s="63"/>
      <c r="CEB31" s="63"/>
      <c r="CEC31" s="63"/>
      <c r="CED31" s="63"/>
      <c r="CEE31" s="63"/>
      <c r="CEF31" s="63"/>
      <c r="CEG31" s="63"/>
      <c r="CEH31" s="63"/>
      <c r="CEI31" s="63"/>
      <c r="CEJ31" s="63"/>
      <c r="CEK31" s="63"/>
      <c r="CEL31" s="63"/>
      <c r="CEM31" s="63"/>
      <c r="CEN31" s="63"/>
      <c r="CEO31" s="63"/>
      <c r="CEP31" s="63"/>
      <c r="CEQ31" s="63"/>
      <c r="CER31" s="63"/>
      <c r="CES31" s="63"/>
      <c r="CET31" s="63"/>
      <c r="CEU31" s="63"/>
      <c r="CEV31" s="63"/>
      <c r="CEW31" s="63"/>
      <c r="CEX31" s="63"/>
      <c r="CEY31" s="63"/>
      <c r="CEZ31" s="63"/>
      <c r="CFA31" s="63"/>
      <c r="CFB31" s="63"/>
      <c r="CFC31" s="63"/>
      <c r="CFD31" s="63"/>
      <c r="CFE31" s="63"/>
      <c r="CFF31" s="63"/>
      <c r="CFG31" s="63"/>
      <c r="CFH31" s="63"/>
      <c r="CFI31" s="63"/>
      <c r="CFJ31" s="63"/>
      <c r="CFK31" s="63"/>
      <c r="CFL31" s="63"/>
      <c r="CFM31" s="63"/>
      <c r="CFN31" s="63"/>
      <c r="CFO31" s="63"/>
      <c r="CFP31" s="63"/>
      <c r="CFQ31" s="63"/>
      <c r="CFR31" s="63"/>
      <c r="CFS31" s="63"/>
      <c r="CFT31" s="63"/>
      <c r="CFU31" s="63"/>
      <c r="CFV31" s="63"/>
      <c r="CFW31" s="63"/>
      <c r="CFX31" s="63"/>
      <c r="CFY31" s="63"/>
      <c r="CFZ31" s="63"/>
      <c r="CGA31" s="63"/>
      <c r="CGB31" s="63"/>
      <c r="CGC31" s="63"/>
      <c r="CGD31" s="63"/>
      <c r="CGE31" s="63"/>
      <c r="CGF31" s="63"/>
      <c r="CGG31" s="63"/>
      <c r="CGH31" s="63"/>
      <c r="CGI31" s="63"/>
      <c r="CGJ31" s="63"/>
      <c r="CGK31" s="63"/>
      <c r="CGL31" s="63"/>
      <c r="CGM31" s="63"/>
      <c r="CGN31" s="63"/>
      <c r="CGO31" s="63"/>
      <c r="CGP31" s="63"/>
      <c r="CGQ31" s="63"/>
      <c r="CGR31" s="63"/>
      <c r="CGS31" s="63"/>
      <c r="CGT31" s="63"/>
      <c r="CGU31" s="63"/>
      <c r="CGV31" s="63"/>
      <c r="CGW31" s="63"/>
      <c r="CGX31" s="63"/>
      <c r="CGY31" s="63"/>
      <c r="CGZ31" s="63"/>
      <c r="CHA31" s="63"/>
      <c r="CHB31" s="63"/>
      <c r="CHC31" s="63"/>
      <c r="CHD31" s="63"/>
      <c r="CHE31" s="63"/>
      <c r="CHF31" s="63"/>
      <c r="CHG31" s="63"/>
      <c r="CHH31" s="63"/>
      <c r="CHI31" s="63"/>
      <c r="CHJ31" s="63"/>
      <c r="CHK31" s="63"/>
      <c r="CHL31" s="63"/>
      <c r="CHM31" s="63"/>
      <c r="CHN31" s="63"/>
      <c r="CHO31" s="63"/>
      <c r="CHP31" s="63"/>
      <c r="CHQ31" s="63"/>
      <c r="CHR31" s="63"/>
      <c r="CHS31" s="63"/>
      <c r="CHT31" s="63"/>
      <c r="CHU31" s="63"/>
      <c r="CHV31" s="63"/>
      <c r="CHW31" s="63"/>
      <c r="CHX31" s="63"/>
      <c r="CHY31" s="63"/>
      <c r="CHZ31" s="63"/>
      <c r="CIA31" s="63"/>
      <c r="CIB31" s="63"/>
      <c r="CIC31" s="63"/>
      <c r="CID31" s="63"/>
      <c r="CIE31" s="63"/>
      <c r="CIF31" s="63"/>
      <c r="CIG31" s="63"/>
      <c r="CIH31" s="63"/>
      <c r="CII31" s="63"/>
      <c r="CIJ31" s="63"/>
      <c r="CIK31" s="63"/>
      <c r="CIL31" s="63"/>
      <c r="CIM31" s="63"/>
      <c r="CIN31" s="63"/>
      <c r="CIO31" s="63"/>
      <c r="CIP31" s="63"/>
      <c r="CIQ31" s="63"/>
      <c r="CIR31" s="63"/>
      <c r="CIS31" s="63"/>
      <c r="CIT31" s="63"/>
      <c r="CIU31" s="63"/>
      <c r="CIV31" s="63"/>
      <c r="CIW31" s="63"/>
      <c r="CIX31" s="63"/>
      <c r="CIY31" s="63"/>
      <c r="CIZ31" s="63"/>
      <c r="CJA31" s="63"/>
      <c r="CJB31" s="63"/>
      <c r="CJC31" s="63"/>
      <c r="CJD31" s="63"/>
      <c r="CJE31" s="63"/>
      <c r="CJF31" s="63"/>
      <c r="CJG31" s="63"/>
      <c r="CJH31" s="63"/>
      <c r="CJI31" s="63"/>
      <c r="CJJ31" s="63"/>
      <c r="CJK31" s="63"/>
      <c r="CJL31" s="63"/>
      <c r="CJM31" s="63"/>
      <c r="CJN31" s="63"/>
      <c r="CJO31" s="63"/>
      <c r="CJP31" s="63"/>
      <c r="CJQ31" s="63"/>
      <c r="CJR31" s="63"/>
      <c r="CJS31" s="63"/>
      <c r="CJT31" s="63"/>
      <c r="CJU31" s="63"/>
      <c r="CJV31" s="63"/>
      <c r="CJW31" s="63"/>
      <c r="CJX31" s="63"/>
      <c r="CJY31" s="63"/>
      <c r="CJZ31" s="63"/>
      <c r="CKA31" s="63"/>
      <c r="CKB31" s="63"/>
      <c r="CKC31" s="63"/>
      <c r="CKD31" s="63"/>
      <c r="CKE31" s="63"/>
      <c r="CKF31" s="63"/>
      <c r="CKG31" s="63"/>
      <c r="CKH31" s="63"/>
      <c r="CKI31" s="63"/>
      <c r="CKJ31" s="63"/>
      <c r="CKK31" s="63"/>
      <c r="CKL31" s="63"/>
      <c r="CKM31" s="63"/>
      <c r="CKN31" s="63"/>
      <c r="CKO31" s="63"/>
      <c r="CKP31" s="63"/>
      <c r="CKQ31" s="63"/>
      <c r="CKR31" s="63"/>
      <c r="CKS31" s="63"/>
      <c r="CKT31" s="63"/>
      <c r="CKU31" s="63"/>
      <c r="CKV31" s="63"/>
      <c r="CKW31" s="63"/>
      <c r="CKX31" s="63"/>
      <c r="CKY31" s="63"/>
      <c r="CKZ31" s="63"/>
      <c r="CLA31" s="63"/>
      <c r="CLB31" s="63"/>
      <c r="CLC31" s="63"/>
      <c r="CLD31" s="63"/>
      <c r="CLE31" s="63"/>
      <c r="CLF31" s="63"/>
      <c r="CLG31" s="63"/>
      <c r="CLH31" s="63"/>
      <c r="CLI31" s="63"/>
      <c r="CLJ31" s="63"/>
      <c r="CLK31" s="63"/>
      <c r="CLL31" s="63"/>
      <c r="CLM31" s="63"/>
      <c r="CLN31" s="63"/>
      <c r="CLO31" s="63"/>
      <c r="CLP31" s="63"/>
      <c r="CLQ31" s="63"/>
      <c r="CLR31" s="63"/>
      <c r="CLS31" s="63"/>
      <c r="CLT31" s="63"/>
      <c r="CLU31" s="63"/>
      <c r="CLV31" s="63"/>
      <c r="CLW31" s="63"/>
      <c r="CLX31" s="63"/>
      <c r="CLY31" s="63"/>
      <c r="CLZ31" s="63"/>
      <c r="CMA31" s="63"/>
      <c r="CMB31" s="63"/>
      <c r="CMC31" s="63"/>
      <c r="CMD31" s="63"/>
      <c r="CME31" s="63"/>
      <c r="CMF31" s="63"/>
      <c r="CMG31" s="63"/>
      <c r="CMH31" s="63"/>
      <c r="CMI31" s="63"/>
      <c r="CMJ31" s="63"/>
      <c r="CMK31" s="63"/>
      <c r="CML31" s="63"/>
      <c r="CMM31" s="63"/>
      <c r="CMN31" s="63"/>
      <c r="CMO31" s="63"/>
      <c r="CMP31" s="63"/>
      <c r="CMQ31" s="63"/>
      <c r="CMR31" s="63"/>
      <c r="CMS31" s="63"/>
      <c r="CMT31" s="63"/>
      <c r="CMU31" s="63"/>
      <c r="CMV31" s="63"/>
      <c r="CMW31" s="63"/>
      <c r="CMX31" s="63"/>
      <c r="CMY31" s="63"/>
      <c r="CMZ31" s="63"/>
      <c r="CNA31" s="63"/>
      <c r="CNB31" s="63"/>
      <c r="CNC31" s="63"/>
      <c r="CND31" s="63"/>
      <c r="CNE31" s="63"/>
      <c r="CNF31" s="63"/>
      <c r="CNG31" s="63"/>
      <c r="CNH31" s="63"/>
      <c r="CNI31" s="63"/>
      <c r="CNJ31" s="63"/>
      <c r="CNK31" s="63"/>
      <c r="CNL31" s="63"/>
      <c r="CNM31" s="63"/>
      <c r="CNN31" s="63"/>
      <c r="CNO31" s="63"/>
      <c r="CNP31" s="63"/>
      <c r="CNQ31" s="63"/>
      <c r="CNR31" s="63"/>
      <c r="CNS31" s="63"/>
      <c r="CNT31" s="63"/>
      <c r="CNU31" s="63"/>
      <c r="CNV31" s="63"/>
      <c r="CNW31" s="63"/>
      <c r="CNX31" s="63"/>
      <c r="CNY31" s="63"/>
      <c r="CNZ31" s="63"/>
      <c r="COA31" s="63"/>
      <c r="COB31" s="63"/>
      <c r="COC31" s="63"/>
      <c r="COD31" s="63"/>
      <c r="COE31" s="63"/>
      <c r="COF31" s="63"/>
      <c r="COG31" s="63"/>
      <c r="COH31" s="63"/>
      <c r="COI31" s="63"/>
      <c r="COJ31" s="63"/>
      <c r="COK31" s="63"/>
      <c r="COL31" s="63"/>
      <c r="COM31" s="63"/>
      <c r="CON31" s="63"/>
      <c r="COO31" s="63"/>
      <c r="COP31" s="63"/>
      <c r="COQ31" s="63"/>
      <c r="COR31" s="63"/>
      <c r="COS31" s="63"/>
      <c r="COT31" s="63"/>
      <c r="COU31" s="63"/>
      <c r="COV31" s="63"/>
      <c r="COW31" s="63"/>
      <c r="COX31" s="63"/>
      <c r="COY31" s="63"/>
      <c r="COZ31" s="63"/>
      <c r="CPA31" s="63"/>
      <c r="CPB31" s="63"/>
      <c r="CPC31" s="63"/>
      <c r="CPD31" s="63"/>
      <c r="CPE31" s="63"/>
      <c r="CPF31" s="63"/>
      <c r="CPG31" s="63"/>
      <c r="CPH31" s="63"/>
      <c r="CPI31" s="63"/>
      <c r="CPJ31" s="63"/>
      <c r="CPK31" s="63"/>
      <c r="CPL31" s="63"/>
      <c r="CPM31" s="63"/>
      <c r="CPN31" s="63"/>
      <c r="CPO31" s="63"/>
      <c r="CPP31" s="63"/>
      <c r="CPQ31" s="63"/>
      <c r="CPR31" s="63"/>
      <c r="CPS31" s="63"/>
      <c r="CPT31" s="63"/>
      <c r="CPU31" s="63"/>
      <c r="CPV31" s="63"/>
      <c r="CPW31" s="63"/>
      <c r="CPX31" s="63"/>
      <c r="CPY31" s="63"/>
      <c r="CPZ31" s="63"/>
      <c r="CQA31" s="63"/>
      <c r="CQB31" s="63"/>
      <c r="CQC31" s="63"/>
      <c r="CQD31" s="63"/>
      <c r="CQE31" s="63"/>
      <c r="CQF31" s="63"/>
      <c r="CQG31" s="63"/>
      <c r="CQH31" s="63"/>
      <c r="CQI31" s="63"/>
      <c r="CQJ31" s="63"/>
      <c r="CQK31" s="63"/>
      <c r="CQL31" s="63"/>
      <c r="CQM31" s="63"/>
      <c r="CQN31" s="63"/>
      <c r="CQO31" s="63"/>
      <c r="CQP31" s="63"/>
      <c r="CQQ31" s="63"/>
      <c r="CQR31" s="63"/>
      <c r="CQS31" s="63"/>
      <c r="CQT31" s="63"/>
      <c r="CQU31" s="63"/>
      <c r="CQV31" s="63"/>
      <c r="CQW31" s="63"/>
      <c r="CQX31" s="63"/>
      <c r="CQY31" s="63"/>
      <c r="CQZ31" s="63"/>
      <c r="CRA31" s="63"/>
      <c r="CRB31" s="63"/>
      <c r="CRC31" s="63"/>
      <c r="CRD31" s="63"/>
      <c r="CRE31" s="63"/>
      <c r="CRF31" s="63"/>
      <c r="CRG31" s="63"/>
      <c r="CRH31" s="63"/>
      <c r="CRI31" s="63"/>
      <c r="CRJ31" s="63"/>
      <c r="CRK31" s="63"/>
      <c r="CRL31" s="63"/>
      <c r="CRM31" s="63"/>
      <c r="CRN31" s="63"/>
      <c r="CRO31" s="63"/>
      <c r="CRP31" s="63"/>
      <c r="CRQ31" s="63"/>
      <c r="CRR31" s="63"/>
      <c r="CRS31" s="63"/>
      <c r="CRT31" s="63"/>
      <c r="CRU31" s="63"/>
      <c r="CRV31" s="63"/>
      <c r="CRW31" s="63"/>
      <c r="CRX31" s="63"/>
      <c r="CRY31" s="63"/>
      <c r="CRZ31" s="63"/>
      <c r="CSA31" s="63"/>
      <c r="CSB31" s="63"/>
      <c r="CSC31" s="63"/>
      <c r="CSD31" s="63"/>
      <c r="CSE31" s="63"/>
      <c r="CSF31" s="63"/>
      <c r="CSG31" s="63"/>
      <c r="CSH31" s="63"/>
      <c r="CSI31" s="63"/>
      <c r="CSJ31" s="63"/>
      <c r="CSK31" s="63"/>
      <c r="CSL31" s="63"/>
      <c r="CSM31" s="63"/>
      <c r="CSN31" s="63"/>
      <c r="CSO31" s="63"/>
      <c r="CSP31" s="63"/>
      <c r="CSQ31" s="63"/>
      <c r="CSR31" s="63"/>
      <c r="CSS31" s="63"/>
      <c r="CST31" s="63"/>
      <c r="CSU31" s="63"/>
      <c r="CSV31" s="63"/>
      <c r="CSW31" s="63"/>
      <c r="CSX31" s="63"/>
      <c r="CSY31" s="63"/>
      <c r="CSZ31" s="63"/>
      <c r="CTA31" s="63"/>
      <c r="CTB31" s="63"/>
      <c r="CTC31" s="63"/>
      <c r="CTD31" s="63"/>
      <c r="CTE31" s="63"/>
      <c r="CTF31" s="63"/>
      <c r="CTG31" s="63"/>
      <c r="CTH31" s="63"/>
      <c r="CTI31" s="63"/>
      <c r="CTJ31" s="63"/>
      <c r="CTK31" s="63"/>
      <c r="CTL31" s="63"/>
      <c r="CTM31" s="63"/>
      <c r="CTN31" s="63"/>
      <c r="CTO31" s="63"/>
      <c r="CTP31" s="63"/>
      <c r="CTQ31" s="63"/>
      <c r="CTR31" s="63"/>
      <c r="CTS31" s="63"/>
      <c r="CTT31" s="63"/>
      <c r="CTU31" s="63"/>
      <c r="CTV31" s="63"/>
      <c r="CTW31" s="63"/>
      <c r="CTX31" s="63"/>
      <c r="CTY31" s="63"/>
      <c r="CTZ31" s="63"/>
      <c r="CUA31" s="63"/>
      <c r="CUB31" s="63"/>
      <c r="CUC31" s="63"/>
      <c r="CUD31" s="63"/>
      <c r="CUE31" s="63"/>
      <c r="CUF31" s="63"/>
      <c r="CUG31" s="63"/>
      <c r="CUH31" s="63"/>
      <c r="CUI31" s="63"/>
      <c r="CUJ31" s="63"/>
      <c r="CUK31" s="63"/>
      <c r="CUL31" s="63"/>
      <c r="CUM31" s="63"/>
      <c r="CUN31" s="63"/>
      <c r="CUO31" s="63"/>
      <c r="CUP31" s="63"/>
      <c r="CUQ31" s="63"/>
      <c r="CUR31" s="63"/>
      <c r="CUS31" s="63"/>
      <c r="CUT31" s="63"/>
      <c r="CUU31" s="63"/>
      <c r="CUV31" s="63"/>
      <c r="CUW31" s="63"/>
      <c r="CUX31" s="63"/>
      <c r="CUY31" s="63"/>
      <c r="CUZ31" s="63"/>
      <c r="CVA31" s="63"/>
      <c r="CVB31" s="63"/>
      <c r="CVC31" s="63"/>
      <c r="CVD31" s="63"/>
      <c r="CVE31" s="63"/>
      <c r="CVF31" s="63"/>
      <c r="CVG31" s="63"/>
      <c r="CVH31" s="63"/>
      <c r="CVI31" s="63"/>
      <c r="CVJ31" s="63"/>
      <c r="CVK31" s="63"/>
      <c r="CVL31" s="63"/>
      <c r="CVM31" s="63"/>
      <c r="CVN31" s="63"/>
      <c r="CVO31" s="63"/>
      <c r="CVP31" s="63"/>
      <c r="CVQ31" s="63"/>
      <c r="CVR31" s="63"/>
      <c r="CVS31" s="63"/>
      <c r="CVT31" s="63"/>
      <c r="CVU31" s="63"/>
      <c r="CVV31" s="63"/>
      <c r="CVW31" s="63"/>
      <c r="CVX31" s="63"/>
      <c r="CVY31" s="63"/>
      <c r="CVZ31" s="63"/>
      <c r="CWA31" s="63"/>
      <c r="CWB31" s="63"/>
      <c r="CWC31" s="63"/>
      <c r="CWD31" s="63"/>
      <c r="CWE31" s="63"/>
      <c r="CWF31" s="63"/>
      <c r="CWG31" s="63"/>
      <c r="CWH31" s="63"/>
      <c r="CWI31" s="63"/>
      <c r="CWJ31" s="63"/>
      <c r="CWK31" s="63"/>
      <c r="CWL31" s="63"/>
      <c r="CWM31" s="63"/>
      <c r="CWN31" s="63"/>
      <c r="CWO31" s="63"/>
      <c r="CWP31" s="63"/>
      <c r="CWQ31" s="63"/>
      <c r="CWR31" s="63"/>
      <c r="CWS31" s="63"/>
      <c r="CWT31" s="63"/>
      <c r="CWU31" s="63"/>
      <c r="CWV31" s="63"/>
      <c r="CWW31" s="63"/>
      <c r="CWX31" s="63"/>
      <c r="CWY31" s="63"/>
      <c r="CWZ31" s="63"/>
      <c r="CXA31" s="63"/>
      <c r="CXB31" s="63"/>
      <c r="CXC31" s="63"/>
      <c r="CXD31" s="63"/>
      <c r="CXE31" s="63"/>
      <c r="CXF31" s="63"/>
      <c r="CXG31" s="63"/>
      <c r="CXH31" s="63"/>
      <c r="CXI31" s="63"/>
      <c r="CXJ31" s="63"/>
      <c r="CXK31" s="63"/>
      <c r="CXL31" s="63"/>
      <c r="CXM31" s="63"/>
      <c r="CXN31" s="63"/>
      <c r="CXO31" s="63"/>
      <c r="CXP31" s="63"/>
      <c r="CXQ31" s="63"/>
      <c r="CXR31" s="63"/>
      <c r="CXS31" s="63"/>
      <c r="CXT31" s="63"/>
      <c r="CXU31" s="63"/>
      <c r="CXV31" s="63"/>
      <c r="CXW31" s="63"/>
      <c r="CXX31" s="63"/>
      <c r="CXY31" s="63"/>
      <c r="CXZ31" s="63"/>
      <c r="CYA31" s="63"/>
      <c r="CYB31" s="63"/>
      <c r="CYC31" s="63"/>
      <c r="CYD31" s="63"/>
      <c r="CYE31" s="63"/>
      <c r="CYF31" s="63"/>
      <c r="CYG31" s="63"/>
      <c r="CYH31" s="63"/>
      <c r="CYI31" s="63"/>
      <c r="CYJ31" s="63"/>
      <c r="CYK31" s="63"/>
      <c r="CYL31" s="63"/>
      <c r="CYM31" s="63"/>
      <c r="CYN31" s="63"/>
      <c r="CYO31" s="63"/>
      <c r="CYP31" s="63"/>
      <c r="CYQ31" s="63"/>
      <c r="CYR31" s="63"/>
      <c r="CYS31" s="63"/>
      <c r="CYT31" s="63"/>
      <c r="CYU31" s="63"/>
      <c r="CYV31" s="63"/>
      <c r="CYW31" s="63"/>
      <c r="CYX31" s="63"/>
      <c r="CYY31" s="63"/>
      <c r="CYZ31" s="63"/>
      <c r="CZA31" s="63"/>
      <c r="CZB31" s="63"/>
      <c r="CZC31" s="63"/>
      <c r="CZD31" s="63"/>
      <c r="CZE31" s="63"/>
      <c r="CZF31" s="63"/>
      <c r="CZG31" s="63"/>
      <c r="CZH31" s="63"/>
      <c r="CZI31" s="63"/>
      <c r="CZJ31" s="63"/>
      <c r="CZK31" s="63"/>
      <c r="CZL31" s="63"/>
      <c r="CZM31" s="63"/>
      <c r="CZN31" s="63"/>
      <c r="CZO31" s="63"/>
      <c r="CZP31" s="63"/>
      <c r="CZQ31" s="63"/>
      <c r="CZR31" s="63"/>
      <c r="CZS31" s="63"/>
      <c r="CZT31" s="63"/>
      <c r="CZU31" s="63"/>
      <c r="CZV31" s="63"/>
      <c r="CZW31" s="63"/>
      <c r="CZX31" s="63"/>
      <c r="CZY31" s="63"/>
      <c r="CZZ31" s="63"/>
      <c r="DAA31" s="63"/>
      <c r="DAB31" s="63"/>
      <c r="DAC31" s="63"/>
      <c r="DAD31" s="63"/>
      <c r="DAE31" s="63"/>
      <c r="DAF31" s="63"/>
      <c r="DAG31" s="63"/>
      <c r="DAH31" s="63"/>
      <c r="DAI31" s="63"/>
      <c r="DAJ31" s="63"/>
      <c r="DAK31" s="63"/>
      <c r="DAL31" s="63"/>
      <c r="DAM31" s="63"/>
      <c r="DAN31" s="63"/>
      <c r="DAO31" s="63"/>
      <c r="DAP31" s="63"/>
      <c r="DAQ31" s="63"/>
      <c r="DAR31" s="63"/>
      <c r="DAS31" s="63"/>
      <c r="DAT31" s="63"/>
      <c r="DAU31" s="63"/>
      <c r="DAV31" s="63"/>
      <c r="DAW31" s="63"/>
      <c r="DAX31" s="63"/>
      <c r="DAY31" s="63"/>
      <c r="DAZ31" s="63"/>
      <c r="DBA31" s="63"/>
      <c r="DBB31" s="63"/>
      <c r="DBC31" s="63"/>
      <c r="DBD31" s="63"/>
      <c r="DBE31" s="63"/>
      <c r="DBF31" s="63"/>
      <c r="DBG31" s="63"/>
      <c r="DBH31" s="63"/>
      <c r="DBI31" s="63"/>
      <c r="DBJ31" s="63"/>
      <c r="DBK31" s="63"/>
      <c r="DBL31" s="63"/>
      <c r="DBM31" s="63"/>
      <c r="DBN31" s="63"/>
      <c r="DBO31" s="63"/>
      <c r="DBP31" s="63"/>
      <c r="DBQ31" s="63"/>
      <c r="DBR31" s="63"/>
      <c r="DBS31" s="63"/>
      <c r="DBT31" s="63"/>
      <c r="DBU31" s="63"/>
      <c r="DBV31" s="63"/>
      <c r="DBW31" s="63"/>
      <c r="DBX31" s="63"/>
      <c r="DBY31" s="63"/>
      <c r="DBZ31" s="63"/>
      <c r="DCA31" s="63"/>
      <c r="DCB31" s="63"/>
      <c r="DCC31" s="63"/>
      <c r="DCD31" s="63"/>
      <c r="DCE31" s="63"/>
      <c r="DCF31" s="63"/>
      <c r="DCG31" s="63"/>
      <c r="DCH31" s="63"/>
      <c r="DCI31" s="63"/>
      <c r="DCJ31" s="63"/>
      <c r="DCK31" s="63"/>
      <c r="DCL31" s="63"/>
      <c r="DCM31" s="63"/>
      <c r="DCN31" s="63"/>
      <c r="DCO31" s="63"/>
      <c r="DCP31" s="63"/>
      <c r="DCQ31" s="63"/>
      <c r="DCR31" s="63"/>
      <c r="DCS31" s="63"/>
      <c r="DCT31" s="63"/>
      <c r="DCU31" s="63"/>
      <c r="DCV31" s="63"/>
      <c r="DCW31" s="63"/>
      <c r="DCX31" s="63"/>
      <c r="DCY31" s="63"/>
      <c r="DCZ31" s="63"/>
      <c r="DDA31" s="63"/>
      <c r="DDB31" s="63"/>
      <c r="DDC31" s="63"/>
      <c r="DDD31" s="63"/>
      <c r="DDE31" s="63"/>
      <c r="DDF31" s="63"/>
      <c r="DDG31" s="63"/>
      <c r="DDH31" s="63"/>
      <c r="DDI31" s="63"/>
      <c r="DDJ31" s="63"/>
      <c r="DDK31" s="63"/>
      <c r="DDL31" s="63"/>
      <c r="DDM31" s="63"/>
      <c r="DDN31" s="63"/>
      <c r="DDO31" s="63"/>
      <c r="DDP31" s="63"/>
      <c r="DDQ31" s="63"/>
      <c r="DDR31" s="63"/>
      <c r="DDS31" s="63"/>
      <c r="DDT31" s="63"/>
      <c r="DDU31" s="63"/>
      <c r="DDV31" s="63"/>
      <c r="DDW31" s="63"/>
      <c r="DDX31" s="63"/>
      <c r="DDY31" s="63"/>
      <c r="DDZ31" s="63"/>
      <c r="DEA31" s="63"/>
      <c r="DEB31" s="63"/>
      <c r="DEC31" s="63"/>
      <c r="DED31" s="63"/>
      <c r="DEE31" s="63"/>
      <c r="DEF31" s="63"/>
      <c r="DEG31" s="63"/>
      <c r="DEH31" s="63"/>
      <c r="DEI31" s="63"/>
      <c r="DEJ31" s="63"/>
      <c r="DEK31" s="63"/>
      <c r="DEL31" s="63"/>
      <c r="DEM31" s="63"/>
      <c r="DEN31" s="63"/>
      <c r="DEO31" s="63"/>
      <c r="DEP31" s="63"/>
      <c r="DEQ31" s="63"/>
      <c r="DER31" s="63"/>
      <c r="DES31" s="63"/>
      <c r="DET31" s="63"/>
      <c r="DEU31" s="63"/>
      <c r="DEV31" s="63"/>
      <c r="DEW31" s="63"/>
      <c r="DEX31" s="63"/>
      <c r="DEY31" s="63"/>
      <c r="DEZ31" s="63"/>
      <c r="DFA31" s="63"/>
      <c r="DFB31" s="63"/>
      <c r="DFC31" s="63"/>
      <c r="DFD31" s="63"/>
      <c r="DFE31" s="63"/>
      <c r="DFF31" s="63"/>
      <c r="DFG31" s="63"/>
      <c r="DFH31" s="63"/>
      <c r="DFI31" s="63"/>
      <c r="DFJ31" s="63"/>
      <c r="DFK31" s="63"/>
      <c r="DFL31" s="63"/>
      <c r="DFM31" s="63"/>
      <c r="DFN31" s="63"/>
      <c r="DFO31" s="63"/>
      <c r="DFP31" s="63"/>
      <c r="DFQ31" s="63"/>
      <c r="DFR31" s="63"/>
      <c r="DFS31" s="63"/>
      <c r="DFT31" s="63"/>
      <c r="DFU31" s="63"/>
      <c r="DFV31" s="63"/>
      <c r="DFW31" s="63"/>
      <c r="DFX31" s="63"/>
      <c r="DFY31" s="63"/>
      <c r="DFZ31" s="63"/>
      <c r="DGA31" s="63"/>
      <c r="DGB31" s="63"/>
      <c r="DGC31" s="63"/>
      <c r="DGD31" s="63"/>
      <c r="DGE31" s="63"/>
      <c r="DGF31" s="63"/>
      <c r="DGG31" s="63"/>
      <c r="DGH31" s="63"/>
      <c r="DGI31" s="63"/>
      <c r="DGJ31" s="63"/>
      <c r="DGK31" s="63"/>
      <c r="DGL31" s="63"/>
      <c r="DGM31" s="63"/>
      <c r="DGN31" s="63"/>
      <c r="DGO31" s="63"/>
      <c r="DGP31" s="63"/>
      <c r="DGQ31" s="63"/>
      <c r="DGR31" s="63"/>
      <c r="DGS31" s="63"/>
      <c r="DGT31" s="63"/>
      <c r="DGU31" s="63"/>
      <c r="DGV31" s="63"/>
      <c r="DGW31" s="63"/>
      <c r="DGX31" s="63"/>
      <c r="DGY31" s="63"/>
      <c r="DGZ31" s="63"/>
      <c r="DHA31" s="63"/>
      <c r="DHB31" s="63"/>
      <c r="DHC31" s="63"/>
      <c r="DHD31" s="63"/>
      <c r="DHE31" s="63"/>
      <c r="DHF31" s="63"/>
      <c r="DHG31" s="63"/>
      <c r="DHH31" s="63"/>
      <c r="DHI31" s="63"/>
      <c r="DHJ31" s="63"/>
      <c r="DHK31" s="63"/>
      <c r="DHL31" s="63"/>
      <c r="DHM31" s="63"/>
      <c r="DHN31" s="63"/>
      <c r="DHO31" s="63"/>
      <c r="DHP31" s="63"/>
      <c r="DHQ31" s="63"/>
      <c r="DHR31" s="63"/>
      <c r="DHS31" s="63"/>
      <c r="DHT31" s="63"/>
      <c r="DHU31" s="63"/>
      <c r="DHV31" s="63"/>
      <c r="DHW31" s="63"/>
      <c r="DHX31" s="63"/>
      <c r="DHY31" s="63"/>
      <c r="DHZ31" s="63"/>
      <c r="DIA31" s="63"/>
      <c r="DIB31" s="63"/>
      <c r="DIC31" s="63"/>
      <c r="DID31" s="63"/>
      <c r="DIE31" s="63"/>
      <c r="DIF31" s="63"/>
      <c r="DIG31" s="63"/>
      <c r="DIH31" s="63"/>
      <c r="DII31" s="63"/>
      <c r="DIJ31" s="63"/>
      <c r="DIK31" s="63"/>
      <c r="DIL31" s="63"/>
      <c r="DIM31" s="63"/>
      <c r="DIN31" s="63"/>
      <c r="DIO31" s="63"/>
      <c r="DIP31" s="63"/>
      <c r="DIQ31" s="63"/>
      <c r="DIR31" s="63"/>
      <c r="DIS31" s="63"/>
      <c r="DIT31" s="63"/>
      <c r="DIU31" s="63"/>
      <c r="DIV31" s="63"/>
      <c r="DIW31" s="63"/>
      <c r="DIX31" s="63"/>
      <c r="DIY31" s="63"/>
      <c r="DIZ31" s="63"/>
      <c r="DJA31" s="63"/>
      <c r="DJB31" s="63"/>
      <c r="DJC31" s="63"/>
      <c r="DJD31" s="63"/>
      <c r="DJE31" s="63"/>
      <c r="DJF31" s="63"/>
      <c r="DJG31" s="63"/>
      <c r="DJH31" s="63"/>
      <c r="DJI31" s="63"/>
      <c r="DJJ31" s="63"/>
      <c r="DJK31" s="63"/>
      <c r="DJL31" s="63"/>
      <c r="DJM31" s="63"/>
      <c r="DJN31" s="63"/>
      <c r="DJO31" s="63"/>
      <c r="DJP31" s="63"/>
      <c r="DJQ31" s="63"/>
      <c r="DJR31" s="63"/>
      <c r="DJS31" s="63"/>
      <c r="DJT31" s="63"/>
      <c r="DJU31" s="63"/>
      <c r="DJV31" s="63"/>
      <c r="DJW31" s="63"/>
      <c r="DJX31" s="63"/>
      <c r="DJY31" s="63"/>
      <c r="DJZ31" s="63"/>
      <c r="DKA31" s="63"/>
      <c r="DKB31" s="63"/>
      <c r="DKC31" s="63"/>
      <c r="DKD31" s="63"/>
      <c r="DKE31" s="63"/>
      <c r="DKF31" s="63"/>
      <c r="DKG31" s="63"/>
      <c r="DKH31" s="63"/>
      <c r="DKI31" s="63"/>
      <c r="DKJ31" s="63"/>
      <c r="DKK31" s="63"/>
      <c r="DKL31" s="63"/>
      <c r="DKM31" s="63"/>
      <c r="DKN31" s="63"/>
      <c r="DKO31" s="63"/>
      <c r="DKP31" s="63"/>
      <c r="DKQ31" s="63"/>
      <c r="DKR31" s="63"/>
      <c r="DKS31" s="63"/>
      <c r="DKT31" s="63"/>
      <c r="DKU31" s="63"/>
      <c r="DKV31" s="63"/>
      <c r="DKW31" s="63"/>
      <c r="DKX31" s="63"/>
      <c r="DKY31" s="63"/>
      <c r="DKZ31" s="63"/>
      <c r="DLA31" s="63"/>
      <c r="DLB31" s="63"/>
      <c r="DLC31" s="63"/>
      <c r="DLD31" s="63"/>
      <c r="DLE31" s="63"/>
      <c r="DLF31" s="63"/>
      <c r="DLG31" s="63"/>
      <c r="DLH31" s="63"/>
      <c r="DLI31" s="63"/>
      <c r="DLJ31" s="63"/>
      <c r="DLK31" s="63"/>
      <c r="DLL31" s="63"/>
      <c r="DLM31" s="63"/>
      <c r="DLN31" s="63"/>
      <c r="DLO31" s="63"/>
      <c r="DLP31" s="63"/>
      <c r="DLQ31" s="63"/>
      <c r="DLR31" s="63"/>
      <c r="DLS31" s="63"/>
      <c r="DLT31" s="63"/>
      <c r="DLU31" s="63"/>
      <c r="DLV31" s="63"/>
      <c r="DLW31" s="63"/>
      <c r="DLX31" s="63"/>
      <c r="DLY31" s="63"/>
      <c r="DLZ31" s="63"/>
      <c r="DMA31" s="63"/>
      <c r="DMB31" s="63"/>
      <c r="DMC31" s="63"/>
      <c r="DMD31" s="63"/>
      <c r="DME31" s="63"/>
      <c r="DMF31" s="63"/>
      <c r="DMG31" s="63"/>
      <c r="DMH31" s="63"/>
      <c r="DMI31" s="63"/>
      <c r="DMJ31" s="63"/>
      <c r="DMK31" s="63"/>
      <c r="DML31" s="63"/>
      <c r="DMM31" s="63"/>
      <c r="DMN31" s="63"/>
      <c r="DMO31" s="63"/>
      <c r="DMP31" s="63"/>
      <c r="DMQ31" s="63"/>
      <c r="DMR31" s="63"/>
      <c r="DMS31" s="63"/>
      <c r="DMT31" s="63"/>
      <c r="DMU31" s="63"/>
      <c r="DMV31" s="63"/>
      <c r="DMW31" s="63"/>
      <c r="DMX31" s="63"/>
      <c r="DMY31" s="63"/>
      <c r="DMZ31" s="63"/>
      <c r="DNA31" s="63"/>
      <c r="DNB31" s="63"/>
      <c r="DNC31" s="63"/>
      <c r="DND31" s="63"/>
      <c r="DNE31" s="63"/>
      <c r="DNF31" s="63"/>
      <c r="DNG31" s="63"/>
      <c r="DNH31" s="63"/>
      <c r="DNI31" s="63"/>
      <c r="DNJ31" s="63"/>
      <c r="DNK31" s="63"/>
      <c r="DNL31" s="63"/>
      <c r="DNM31" s="63"/>
      <c r="DNN31" s="63"/>
      <c r="DNO31" s="63"/>
      <c r="DNP31" s="63"/>
      <c r="DNQ31" s="63"/>
      <c r="DNR31" s="63"/>
      <c r="DNS31" s="63"/>
      <c r="DNT31" s="63"/>
      <c r="DNU31" s="63"/>
      <c r="DNV31" s="63"/>
      <c r="DNW31" s="63"/>
      <c r="DNX31" s="63"/>
      <c r="DNY31" s="63"/>
      <c r="DNZ31" s="63"/>
      <c r="DOA31" s="63"/>
      <c r="DOB31" s="63"/>
      <c r="DOC31" s="63"/>
      <c r="DOD31" s="63"/>
      <c r="DOE31" s="63"/>
      <c r="DOF31" s="63"/>
      <c r="DOG31" s="63"/>
      <c r="DOH31" s="63"/>
      <c r="DOI31" s="63"/>
      <c r="DOJ31" s="63"/>
      <c r="DOK31" s="63"/>
      <c r="DOL31" s="63"/>
      <c r="DOM31" s="63"/>
      <c r="DON31" s="63"/>
      <c r="DOO31" s="63"/>
      <c r="DOP31" s="63"/>
      <c r="DOQ31" s="63"/>
      <c r="DOR31" s="63"/>
      <c r="DOS31" s="63"/>
      <c r="DOT31" s="63"/>
      <c r="DOU31" s="63"/>
      <c r="DOV31" s="63"/>
      <c r="DOW31" s="63"/>
      <c r="DOX31" s="63"/>
      <c r="DOY31" s="63"/>
      <c r="DOZ31" s="63"/>
      <c r="DPA31" s="63"/>
      <c r="DPB31" s="63"/>
      <c r="DPC31" s="63"/>
      <c r="DPD31" s="63"/>
      <c r="DPE31" s="63"/>
      <c r="DPF31" s="63"/>
      <c r="DPG31" s="63"/>
      <c r="DPH31" s="63"/>
      <c r="DPI31" s="63"/>
      <c r="DPJ31" s="63"/>
      <c r="DPK31" s="63"/>
      <c r="DPL31" s="63"/>
      <c r="DPM31" s="63"/>
      <c r="DPN31" s="63"/>
      <c r="DPO31" s="63"/>
      <c r="DPP31" s="63"/>
      <c r="DPQ31" s="63"/>
      <c r="DPR31" s="63"/>
      <c r="DPS31" s="63"/>
      <c r="DPT31" s="63"/>
      <c r="DPU31" s="63"/>
      <c r="DPV31" s="63"/>
      <c r="DPW31" s="63"/>
      <c r="DPX31" s="63"/>
      <c r="DPY31" s="63"/>
      <c r="DPZ31" s="63"/>
      <c r="DQA31" s="63"/>
      <c r="DQB31" s="63"/>
      <c r="DQC31" s="63"/>
      <c r="DQD31" s="63"/>
      <c r="DQE31" s="63"/>
      <c r="DQF31" s="63"/>
      <c r="DQG31" s="63"/>
      <c r="DQH31" s="63"/>
      <c r="DQI31" s="63"/>
      <c r="DQJ31" s="63"/>
      <c r="DQK31" s="63"/>
      <c r="DQL31" s="63"/>
      <c r="DQM31" s="63"/>
      <c r="DQN31" s="63"/>
      <c r="DQO31" s="63"/>
      <c r="DQP31" s="63"/>
      <c r="DQQ31" s="63"/>
      <c r="DQR31" s="63"/>
      <c r="DQS31" s="63"/>
      <c r="DQT31" s="63"/>
      <c r="DQU31" s="63"/>
      <c r="DQV31" s="63"/>
      <c r="DQW31" s="63"/>
      <c r="DQX31" s="63"/>
      <c r="DQY31" s="63"/>
      <c r="DQZ31" s="63"/>
      <c r="DRA31" s="63"/>
      <c r="DRB31" s="63"/>
      <c r="DRC31" s="63"/>
      <c r="DRD31" s="63"/>
      <c r="DRE31" s="63"/>
      <c r="DRF31" s="63"/>
      <c r="DRG31" s="63"/>
      <c r="DRH31" s="63"/>
      <c r="DRI31" s="63"/>
      <c r="DRJ31" s="63"/>
      <c r="DRK31" s="63"/>
      <c r="DRL31" s="63"/>
      <c r="DRM31" s="63"/>
      <c r="DRN31" s="63"/>
      <c r="DRO31" s="63"/>
      <c r="DRP31" s="63"/>
      <c r="DRQ31" s="63"/>
      <c r="DRR31" s="63"/>
      <c r="DRS31" s="63"/>
      <c r="DRT31" s="63"/>
      <c r="DRU31" s="63"/>
      <c r="DRV31" s="63"/>
      <c r="DRW31" s="63"/>
      <c r="DRX31" s="63"/>
      <c r="DRY31" s="63"/>
      <c r="DRZ31" s="63"/>
      <c r="DSA31" s="63"/>
      <c r="DSB31" s="63"/>
      <c r="DSC31" s="63"/>
      <c r="DSD31" s="63"/>
      <c r="DSE31" s="63"/>
      <c r="DSF31" s="63"/>
      <c r="DSG31" s="63"/>
      <c r="DSH31" s="63"/>
      <c r="DSI31" s="63"/>
      <c r="DSJ31" s="63"/>
      <c r="DSK31" s="63"/>
      <c r="DSL31" s="63"/>
      <c r="DSM31" s="63"/>
      <c r="DSN31" s="63"/>
      <c r="DSO31" s="63"/>
      <c r="DSP31" s="63"/>
      <c r="DSQ31" s="63"/>
      <c r="DSR31" s="63"/>
      <c r="DSS31" s="63"/>
      <c r="DST31" s="63"/>
      <c r="DSU31" s="63"/>
      <c r="DSV31" s="63"/>
      <c r="DSW31" s="63"/>
      <c r="DSX31" s="63"/>
      <c r="DSY31" s="63"/>
      <c r="DSZ31" s="63"/>
      <c r="DTA31" s="63"/>
      <c r="DTB31" s="63"/>
      <c r="DTC31" s="63"/>
      <c r="DTD31" s="63"/>
      <c r="DTE31" s="63"/>
      <c r="DTF31" s="63"/>
      <c r="DTG31" s="63"/>
      <c r="DTH31" s="63"/>
      <c r="DTI31" s="63"/>
      <c r="DTJ31" s="63"/>
      <c r="DTK31" s="63"/>
      <c r="DTL31" s="63"/>
      <c r="DTM31" s="63"/>
      <c r="DTN31" s="63"/>
      <c r="DTO31" s="63"/>
      <c r="DTP31" s="63"/>
      <c r="DTQ31" s="63"/>
      <c r="DTR31" s="63"/>
      <c r="DTS31" s="63"/>
      <c r="DTT31" s="63"/>
      <c r="DTU31" s="63"/>
      <c r="DTV31" s="63"/>
      <c r="DTW31" s="63"/>
      <c r="DTX31" s="63"/>
      <c r="DTY31" s="63"/>
      <c r="DTZ31" s="63"/>
      <c r="DUA31" s="63"/>
      <c r="DUB31" s="63"/>
      <c r="DUC31" s="63"/>
      <c r="DUD31" s="63"/>
      <c r="DUE31" s="63"/>
      <c r="DUF31" s="63"/>
      <c r="DUG31" s="63"/>
      <c r="DUH31" s="63"/>
      <c r="DUI31" s="63"/>
      <c r="DUJ31" s="63"/>
      <c r="DUK31" s="63"/>
      <c r="DUL31" s="63"/>
      <c r="DUM31" s="63"/>
      <c r="DUN31" s="63"/>
      <c r="DUO31" s="63"/>
      <c r="DUP31" s="63"/>
      <c r="DUQ31" s="63"/>
      <c r="DUR31" s="63"/>
      <c r="DUS31" s="63"/>
      <c r="DUT31" s="63"/>
      <c r="DUU31" s="63"/>
      <c r="DUV31" s="63"/>
      <c r="DUW31" s="63"/>
      <c r="DUX31" s="63"/>
      <c r="DUY31" s="63"/>
      <c r="DUZ31" s="63"/>
      <c r="DVA31" s="63"/>
      <c r="DVB31" s="63"/>
      <c r="DVC31" s="63"/>
      <c r="DVD31" s="63"/>
      <c r="DVE31" s="63"/>
      <c r="DVF31" s="63"/>
      <c r="DVG31" s="63"/>
      <c r="DVH31" s="63"/>
      <c r="DVI31" s="63"/>
      <c r="DVJ31" s="63"/>
      <c r="DVK31" s="63"/>
      <c r="DVL31" s="63"/>
      <c r="DVM31" s="63"/>
      <c r="DVN31" s="63"/>
      <c r="DVO31" s="63"/>
      <c r="DVP31" s="63"/>
      <c r="DVQ31" s="63"/>
      <c r="DVR31" s="63"/>
      <c r="DVS31" s="63"/>
      <c r="DVT31" s="63"/>
      <c r="DVU31" s="63"/>
      <c r="DVV31" s="63"/>
      <c r="DVW31" s="63"/>
      <c r="DVX31" s="63"/>
      <c r="DVY31" s="63"/>
      <c r="DVZ31" s="63"/>
      <c r="DWA31" s="63"/>
      <c r="DWB31" s="63"/>
      <c r="DWC31" s="63"/>
      <c r="DWD31" s="63"/>
      <c r="DWE31" s="63"/>
      <c r="DWF31" s="63"/>
      <c r="DWG31" s="63"/>
      <c r="DWH31" s="63"/>
      <c r="DWI31" s="63"/>
      <c r="DWJ31" s="63"/>
      <c r="DWK31" s="63"/>
      <c r="DWL31" s="63"/>
      <c r="DWM31" s="63"/>
      <c r="DWN31" s="63"/>
      <c r="DWO31" s="63"/>
      <c r="DWP31" s="63"/>
      <c r="DWQ31" s="63"/>
      <c r="DWR31" s="63"/>
      <c r="DWS31" s="63"/>
      <c r="DWT31" s="63"/>
      <c r="DWU31" s="63"/>
      <c r="DWV31" s="63"/>
      <c r="DWW31" s="63"/>
      <c r="DWX31" s="63"/>
      <c r="DWY31" s="63"/>
      <c r="DWZ31" s="63"/>
      <c r="DXA31" s="63"/>
      <c r="DXB31" s="63"/>
      <c r="DXC31" s="63"/>
      <c r="DXD31" s="63"/>
      <c r="DXE31" s="63"/>
      <c r="DXF31" s="63"/>
      <c r="DXG31" s="63"/>
      <c r="DXH31" s="63"/>
      <c r="DXI31" s="63"/>
      <c r="DXJ31" s="63"/>
      <c r="DXK31" s="63"/>
      <c r="DXL31" s="63"/>
      <c r="DXM31" s="63"/>
      <c r="DXN31" s="63"/>
      <c r="DXO31" s="63"/>
      <c r="DXP31" s="63"/>
      <c r="DXQ31" s="63"/>
      <c r="DXR31" s="63"/>
      <c r="DXS31" s="63"/>
      <c r="DXT31" s="63"/>
      <c r="DXU31" s="63"/>
      <c r="DXV31" s="63"/>
      <c r="DXW31" s="63"/>
      <c r="DXX31" s="63"/>
      <c r="DXY31" s="63"/>
      <c r="DXZ31" s="63"/>
      <c r="DYA31" s="63"/>
      <c r="DYB31" s="63"/>
      <c r="DYC31" s="63"/>
      <c r="DYD31" s="63"/>
      <c r="DYE31" s="63"/>
      <c r="DYF31" s="63"/>
      <c r="DYG31" s="63"/>
      <c r="DYH31" s="63"/>
      <c r="DYI31" s="63"/>
      <c r="DYJ31" s="63"/>
      <c r="DYK31" s="63"/>
      <c r="DYL31" s="63"/>
      <c r="DYM31" s="63"/>
      <c r="DYN31" s="63"/>
      <c r="DYO31" s="63"/>
      <c r="DYP31" s="63"/>
      <c r="DYQ31" s="63"/>
      <c r="DYR31" s="63"/>
      <c r="DYS31" s="63"/>
      <c r="DYT31" s="63"/>
      <c r="DYU31" s="63"/>
      <c r="DYV31" s="63"/>
      <c r="DYW31" s="63"/>
      <c r="DYX31" s="63"/>
      <c r="DYY31" s="63"/>
      <c r="DYZ31" s="63"/>
      <c r="DZA31" s="63"/>
      <c r="DZB31" s="63"/>
      <c r="DZC31" s="63"/>
      <c r="DZD31" s="63"/>
      <c r="DZE31" s="63"/>
      <c r="DZF31" s="63"/>
      <c r="DZG31" s="63"/>
      <c r="DZH31" s="63"/>
      <c r="DZI31" s="63"/>
      <c r="DZJ31" s="63"/>
      <c r="DZK31" s="63"/>
      <c r="DZL31" s="63"/>
      <c r="DZM31" s="63"/>
      <c r="DZN31" s="63"/>
      <c r="DZO31" s="63"/>
      <c r="DZP31" s="63"/>
      <c r="DZQ31" s="63"/>
      <c r="DZR31" s="63"/>
      <c r="DZS31" s="63"/>
      <c r="DZT31" s="63"/>
      <c r="DZU31" s="63"/>
      <c r="DZV31" s="63"/>
      <c r="DZW31" s="63"/>
      <c r="DZX31" s="63"/>
      <c r="DZY31" s="63"/>
      <c r="DZZ31" s="63"/>
      <c r="EAA31" s="63"/>
      <c r="EAB31" s="63"/>
      <c r="EAC31" s="63"/>
      <c r="EAD31" s="63"/>
      <c r="EAE31" s="63"/>
      <c r="EAF31" s="63"/>
      <c r="EAG31" s="63"/>
      <c r="EAH31" s="63"/>
      <c r="EAI31" s="63"/>
      <c r="EAJ31" s="63"/>
      <c r="EAK31" s="63"/>
      <c r="EAL31" s="63"/>
      <c r="EAM31" s="63"/>
      <c r="EAN31" s="63"/>
      <c r="EAO31" s="63"/>
      <c r="EAP31" s="63"/>
      <c r="EAQ31" s="63"/>
      <c r="EAR31" s="63"/>
      <c r="EAS31" s="63"/>
      <c r="EAT31" s="63"/>
      <c r="EAU31" s="63"/>
      <c r="EAV31" s="63"/>
      <c r="EAW31" s="63"/>
      <c r="EAX31" s="63"/>
      <c r="EAY31" s="63"/>
      <c r="EAZ31" s="63"/>
      <c r="EBA31" s="63"/>
      <c r="EBB31" s="63"/>
      <c r="EBC31" s="63"/>
      <c r="EBD31" s="63"/>
      <c r="EBE31" s="63"/>
      <c r="EBF31" s="63"/>
      <c r="EBG31" s="63"/>
      <c r="EBH31" s="63"/>
      <c r="EBI31" s="63"/>
      <c r="EBJ31" s="63"/>
      <c r="EBK31" s="63"/>
      <c r="EBL31" s="63"/>
      <c r="EBM31" s="63"/>
      <c r="EBN31" s="63"/>
      <c r="EBO31" s="63"/>
      <c r="EBP31" s="63"/>
      <c r="EBQ31" s="63"/>
      <c r="EBR31" s="63"/>
      <c r="EBS31" s="63"/>
      <c r="EBT31" s="63"/>
      <c r="EBU31" s="63"/>
      <c r="EBV31" s="63"/>
      <c r="EBW31" s="63"/>
      <c r="EBX31" s="63"/>
      <c r="EBY31" s="63"/>
      <c r="EBZ31" s="63"/>
      <c r="ECA31" s="63"/>
      <c r="ECB31" s="63"/>
      <c r="ECC31" s="63"/>
      <c r="ECD31" s="63"/>
      <c r="ECE31" s="63"/>
      <c r="ECF31" s="63"/>
      <c r="ECG31" s="63"/>
      <c r="ECH31" s="63"/>
      <c r="ECI31" s="63"/>
      <c r="ECJ31" s="63"/>
      <c r="ECK31" s="63"/>
      <c r="ECL31" s="63"/>
      <c r="ECM31" s="63"/>
      <c r="ECN31" s="63"/>
      <c r="ECO31" s="63"/>
      <c r="ECP31" s="63"/>
      <c r="ECQ31" s="63"/>
      <c r="ECR31" s="63"/>
      <c r="ECS31" s="63"/>
      <c r="ECT31" s="63"/>
      <c r="ECU31" s="63"/>
      <c r="ECV31" s="63"/>
      <c r="ECW31" s="63"/>
      <c r="ECX31" s="63"/>
      <c r="ECY31" s="63"/>
      <c r="ECZ31" s="63"/>
      <c r="EDA31" s="63"/>
      <c r="EDB31" s="63"/>
      <c r="EDC31" s="63"/>
      <c r="EDD31" s="63"/>
      <c r="EDE31" s="63"/>
      <c r="EDF31" s="63"/>
      <c r="EDG31" s="63"/>
      <c r="EDH31" s="63"/>
      <c r="EDI31" s="63"/>
      <c r="EDJ31" s="63"/>
      <c r="EDK31" s="63"/>
      <c r="EDL31" s="63"/>
      <c r="EDM31" s="63"/>
      <c r="EDN31" s="63"/>
      <c r="EDO31" s="63"/>
      <c r="EDP31" s="63"/>
      <c r="EDQ31" s="63"/>
      <c r="EDR31" s="63"/>
      <c r="EDS31" s="63"/>
      <c r="EDT31" s="63"/>
      <c r="EDU31" s="63"/>
      <c r="EDV31" s="63"/>
      <c r="EDW31" s="63"/>
      <c r="EDX31" s="63"/>
      <c r="EDY31" s="63"/>
      <c r="EDZ31" s="63"/>
      <c r="EEA31" s="63"/>
      <c r="EEB31" s="63"/>
      <c r="EEC31" s="63"/>
      <c r="EED31" s="63"/>
      <c r="EEE31" s="63"/>
      <c r="EEF31" s="63"/>
      <c r="EEG31" s="63"/>
      <c r="EEH31" s="63"/>
      <c r="EEI31" s="63"/>
      <c r="EEJ31" s="63"/>
      <c r="EEK31" s="63"/>
      <c r="EEL31" s="63"/>
      <c r="EEM31" s="63"/>
      <c r="EEN31" s="63"/>
      <c r="EEO31" s="63"/>
      <c r="EEP31" s="63"/>
      <c r="EEQ31" s="63"/>
      <c r="EER31" s="63"/>
      <c r="EES31" s="63"/>
      <c r="EET31" s="63"/>
      <c r="EEU31" s="63"/>
      <c r="EEV31" s="63"/>
      <c r="EEW31" s="63"/>
      <c r="EEX31" s="63"/>
      <c r="EEY31" s="63"/>
      <c r="EEZ31" s="63"/>
      <c r="EFA31" s="63"/>
      <c r="EFB31" s="63"/>
      <c r="EFC31" s="63"/>
      <c r="EFD31" s="63"/>
      <c r="EFE31" s="63"/>
      <c r="EFF31" s="63"/>
      <c r="EFG31" s="63"/>
      <c r="EFH31" s="63"/>
      <c r="EFI31" s="63"/>
      <c r="EFJ31" s="63"/>
      <c r="EFK31" s="63"/>
      <c r="EFL31" s="63"/>
      <c r="EFM31" s="63"/>
      <c r="EFN31" s="63"/>
      <c r="EFO31" s="63"/>
      <c r="EFP31" s="63"/>
      <c r="EFQ31" s="63"/>
      <c r="EFR31" s="63"/>
      <c r="EFS31" s="63"/>
      <c r="EFT31" s="63"/>
      <c r="EFU31" s="63"/>
      <c r="EFV31" s="63"/>
      <c r="EFW31" s="63"/>
      <c r="EFX31" s="63"/>
      <c r="EFY31" s="63"/>
      <c r="EFZ31" s="63"/>
      <c r="EGA31" s="63"/>
      <c r="EGB31" s="63"/>
      <c r="EGC31" s="63"/>
      <c r="EGD31" s="63"/>
      <c r="EGE31" s="63"/>
      <c r="EGF31" s="63"/>
      <c r="EGG31" s="63"/>
      <c r="EGH31" s="63"/>
      <c r="EGI31" s="63"/>
      <c r="EGJ31" s="63"/>
      <c r="EGK31" s="63"/>
      <c r="EGL31" s="63"/>
      <c r="EGM31" s="63"/>
      <c r="EGN31" s="63"/>
      <c r="EGO31" s="63"/>
      <c r="EGP31" s="63"/>
      <c r="EGQ31" s="63"/>
      <c r="EGR31" s="63"/>
      <c r="EGS31" s="63"/>
      <c r="EGT31" s="63"/>
      <c r="EGU31" s="63"/>
      <c r="EGV31" s="63"/>
      <c r="EGW31" s="63"/>
      <c r="EGX31" s="63"/>
      <c r="EGY31" s="63"/>
      <c r="EGZ31" s="63"/>
      <c r="EHA31" s="63"/>
      <c r="EHB31" s="63"/>
      <c r="EHC31" s="63"/>
      <c r="EHD31" s="63"/>
      <c r="EHE31" s="63"/>
      <c r="EHF31" s="63"/>
      <c r="EHG31" s="63"/>
      <c r="EHH31" s="63"/>
      <c r="EHI31" s="63"/>
      <c r="EHJ31" s="63"/>
      <c r="EHK31" s="63"/>
      <c r="EHL31" s="63"/>
      <c r="EHM31" s="63"/>
      <c r="EHN31" s="63"/>
      <c r="EHO31" s="63"/>
      <c r="EHP31" s="63"/>
      <c r="EHQ31" s="63"/>
      <c r="EHR31" s="63"/>
      <c r="EHS31" s="63"/>
      <c r="EHT31" s="63"/>
      <c r="EHU31" s="63"/>
      <c r="EHV31" s="63"/>
      <c r="EHW31" s="63"/>
      <c r="EHX31" s="63"/>
      <c r="EHY31" s="63"/>
      <c r="EHZ31" s="63"/>
      <c r="EIA31" s="63"/>
      <c r="EIB31" s="63"/>
      <c r="EIC31" s="63"/>
      <c r="EID31" s="63"/>
      <c r="EIE31" s="63"/>
      <c r="EIF31" s="63"/>
      <c r="EIG31" s="63"/>
      <c r="EIH31" s="63"/>
      <c r="EII31" s="63"/>
      <c r="EIJ31" s="63"/>
      <c r="EIK31" s="63"/>
      <c r="EIL31" s="63"/>
      <c r="EIM31" s="63"/>
      <c r="EIN31" s="63"/>
      <c r="EIO31" s="63"/>
      <c r="EIP31" s="63"/>
      <c r="EIQ31" s="63"/>
      <c r="EIR31" s="63"/>
      <c r="EIS31" s="63"/>
      <c r="EIT31" s="63"/>
      <c r="EIU31" s="63"/>
      <c r="EIV31" s="63"/>
      <c r="EIW31" s="63"/>
      <c r="EIX31" s="63"/>
      <c r="EIY31" s="63"/>
      <c r="EIZ31" s="63"/>
      <c r="EJA31" s="63"/>
      <c r="EJB31" s="63"/>
      <c r="EJC31" s="63"/>
      <c r="EJD31" s="63"/>
      <c r="EJE31" s="63"/>
      <c r="EJF31" s="63"/>
      <c r="EJG31" s="63"/>
      <c r="EJH31" s="63"/>
      <c r="EJI31" s="63"/>
      <c r="EJJ31" s="63"/>
      <c r="EJK31" s="63"/>
      <c r="EJL31" s="63"/>
      <c r="EJM31" s="63"/>
      <c r="EJN31" s="63"/>
      <c r="EJO31" s="63"/>
      <c r="EJP31" s="63"/>
      <c r="EJQ31" s="63"/>
      <c r="EJR31" s="63"/>
      <c r="EJS31" s="63"/>
      <c r="EJT31" s="63"/>
      <c r="EJU31" s="63"/>
      <c r="EJV31" s="63"/>
      <c r="EJW31" s="63"/>
      <c r="EJX31" s="63"/>
      <c r="EJY31" s="63"/>
      <c r="EJZ31" s="63"/>
      <c r="EKA31" s="63"/>
      <c r="EKB31" s="63"/>
      <c r="EKC31" s="63"/>
      <c r="EKD31" s="63"/>
      <c r="EKE31" s="63"/>
      <c r="EKF31" s="63"/>
      <c r="EKG31" s="63"/>
      <c r="EKH31" s="63"/>
      <c r="EKI31" s="63"/>
      <c r="EKJ31" s="63"/>
      <c r="EKK31" s="63"/>
      <c r="EKL31" s="63"/>
      <c r="EKM31" s="63"/>
      <c r="EKN31" s="63"/>
      <c r="EKO31" s="63"/>
      <c r="EKP31" s="63"/>
      <c r="EKQ31" s="63"/>
      <c r="EKR31" s="63"/>
      <c r="EKS31" s="63"/>
      <c r="EKT31" s="63"/>
      <c r="EKU31" s="63"/>
      <c r="EKV31" s="63"/>
      <c r="EKW31" s="63"/>
      <c r="EKX31" s="63"/>
      <c r="EKY31" s="63"/>
      <c r="EKZ31" s="63"/>
      <c r="ELA31" s="63"/>
      <c r="ELB31" s="63"/>
      <c r="ELC31" s="63"/>
      <c r="ELD31" s="63"/>
      <c r="ELE31" s="63"/>
      <c r="ELF31" s="63"/>
      <c r="ELG31" s="63"/>
      <c r="ELH31" s="63"/>
      <c r="ELI31" s="63"/>
      <c r="ELJ31" s="63"/>
      <c r="ELK31" s="63"/>
      <c r="ELL31" s="63"/>
      <c r="ELM31" s="63"/>
      <c r="ELN31" s="63"/>
      <c r="ELO31" s="63"/>
      <c r="ELP31" s="63"/>
      <c r="ELQ31" s="63"/>
      <c r="ELR31" s="63"/>
      <c r="ELS31" s="63"/>
      <c r="ELT31" s="63"/>
      <c r="ELU31" s="63"/>
      <c r="ELV31" s="63"/>
      <c r="ELW31" s="63"/>
      <c r="ELX31" s="63"/>
      <c r="ELY31" s="63"/>
      <c r="ELZ31" s="63"/>
      <c r="EMA31" s="63"/>
      <c r="EMB31" s="63"/>
      <c r="EMC31" s="63"/>
      <c r="EMD31" s="63"/>
      <c r="EME31" s="63"/>
      <c r="EMF31" s="63"/>
      <c r="EMG31" s="63"/>
      <c r="EMH31" s="63"/>
      <c r="EMI31" s="63"/>
      <c r="EMJ31" s="63"/>
      <c r="EMK31" s="63"/>
      <c r="EML31" s="63"/>
      <c r="EMM31" s="63"/>
      <c r="EMN31" s="63"/>
      <c r="EMO31" s="63"/>
      <c r="EMP31" s="63"/>
      <c r="EMQ31" s="63"/>
      <c r="EMR31" s="63"/>
      <c r="EMS31" s="63"/>
      <c r="EMT31" s="63"/>
      <c r="EMU31" s="63"/>
      <c r="EMV31" s="63"/>
      <c r="EMW31" s="63"/>
      <c r="EMX31" s="63"/>
      <c r="EMY31" s="63"/>
      <c r="EMZ31" s="63"/>
      <c r="ENA31" s="63"/>
      <c r="ENB31" s="63"/>
      <c r="ENC31" s="63"/>
      <c r="END31" s="63"/>
      <c r="ENE31" s="63"/>
      <c r="ENF31" s="63"/>
      <c r="ENG31" s="63"/>
      <c r="ENH31" s="63"/>
      <c r="ENI31" s="63"/>
      <c r="ENJ31" s="63"/>
      <c r="ENK31" s="63"/>
      <c r="ENL31" s="63"/>
      <c r="ENM31" s="63"/>
      <c r="ENN31" s="63"/>
      <c r="ENO31" s="63"/>
      <c r="ENP31" s="63"/>
      <c r="ENQ31" s="63"/>
      <c r="ENR31" s="63"/>
      <c r="ENS31" s="63"/>
      <c r="ENT31" s="63"/>
      <c r="ENU31" s="63"/>
      <c r="ENV31" s="63"/>
      <c r="ENW31" s="63"/>
      <c r="ENX31" s="63"/>
      <c r="ENY31" s="63"/>
      <c r="ENZ31" s="63"/>
      <c r="EOA31" s="63"/>
      <c r="EOB31" s="63"/>
      <c r="EOC31" s="63"/>
      <c r="EOD31" s="63"/>
      <c r="EOE31" s="63"/>
      <c r="EOF31" s="63"/>
      <c r="EOG31" s="63"/>
      <c r="EOH31" s="63"/>
      <c r="EOI31" s="63"/>
      <c r="EOJ31" s="63"/>
      <c r="EOK31" s="63"/>
      <c r="EOL31" s="63"/>
      <c r="EOM31" s="63"/>
      <c r="EON31" s="63"/>
      <c r="EOO31" s="63"/>
      <c r="EOP31" s="63"/>
      <c r="EOQ31" s="63"/>
      <c r="EOR31" s="63"/>
      <c r="EOS31" s="63"/>
      <c r="EOT31" s="63"/>
      <c r="EOU31" s="63"/>
      <c r="EOV31" s="63"/>
      <c r="EOW31" s="63"/>
      <c r="EOX31" s="63"/>
      <c r="EOY31" s="63"/>
      <c r="EOZ31" s="63"/>
      <c r="EPA31" s="63"/>
      <c r="EPB31" s="63"/>
      <c r="EPC31" s="63"/>
      <c r="EPD31" s="63"/>
      <c r="EPE31" s="63"/>
      <c r="EPF31" s="63"/>
      <c r="EPG31" s="63"/>
      <c r="EPH31" s="63"/>
      <c r="EPI31" s="63"/>
      <c r="EPJ31" s="63"/>
      <c r="EPK31" s="63"/>
      <c r="EPL31" s="63"/>
      <c r="EPM31" s="63"/>
      <c r="EPN31" s="63"/>
      <c r="EPO31" s="63"/>
      <c r="EPP31" s="63"/>
      <c r="EPQ31" s="63"/>
      <c r="EPR31" s="63"/>
      <c r="EPS31" s="63"/>
      <c r="EPT31" s="63"/>
      <c r="EPU31" s="63"/>
      <c r="EPV31" s="63"/>
      <c r="EPW31" s="63"/>
      <c r="EPX31" s="63"/>
      <c r="EPY31" s="63"/>
      <c r="EPZ31" s="63"/>
      <c r="EQA31" s="63"/>
      <c r="EQB31" s="63"/>
      <c r="EQC31" s="63"/>
      <c r="EQD31" s="63"/>
      <c r="EQE31" s="63"/>
      <c r="EQF31" s="63"/>
      <c r="EQG31" s="63"/>
      <c r="EQH31" s="63"/>
      <c r="EQI31" s="63"/>
      <c r="EQJ31" s="63"/>
      <c r="EQK31" s="63"/>
      <c r="EQL31" s="63"/>
      <c r="EQM31" s="63"/>
      <c r="EQN31" s="63"/>
      <c r="EQO31" s="63"/>
      <c r="EQP31" s="63"/>
      <c r="EQQ31" s="63"/>
      <c r="EQR31" s="63"/>
      <c r="EQS31" s="63"/>
      <c r="EQT31" s="63"/>
      <c r="EQU31" s="63"/>
      <c r="EQV31" s="63"/>
      <c r="EQW31" s="63"/>
      <c r="EQX31" s="63"/>
      <c r="EQY31" s="63"/>
      <c r="EQZ31" s="63"/>
      <c r="ERA31" s="63"/>
      <c r="ERB31" s="63"/>
      <c r="ERC31" s="63"/>
      <c r="ERD31" s="63"/>
      <c r="ERE31" s="63"/>
      <c r="ERF31" s="63"/>
      <c r="ERG31" s="63"/>
      <c r="ERH31" s="63"/>
      <c r="ERI31" s="63"/>
      <c r="ERJ31" s="63"/>
      <c r="ERK31" s="63"/>
      <c r="ERL31" s="63"/>
      <c r="ERM31" s="63"/>
      <c r="ERN31" s="63"/>
      <c r="ERO31" s="63"/>
      <c r="ERP31" s="63"/>
      <c r="ERQ31" s="63"/>
      <c r="ERR31" s="63"/>
      <c r="ERS31" s="63"/>
      <c r="ERT31" s="63"/>
      <c r="ERU31" s="63"/>
      <c r="ERV31" s="63"/>
      <c r="ERW31" s="63"/>
      <c r="ERX31" s="63"/>
      <c r="ERY31" s="63"/>
      <c r="ERZ31" s="63"/>
      <c r="ESA31" s="63"/>
      <c r="ESB31" s="63"/>
      <c r="ESC31" s="63"/>
      <c r="ESD31" s="63"/>
      <c r="ESE31" s="63"/>
      <c r="ESF31" s="63"/>
      <c r="ESG31" s="63"/>
      <c r="ESH31" s="63"/>
      <c r="ESI31" s="63"/>
      <c r="ESJ31" s="63"/>
      <c r="ESK31" s="63"/>
      <c r="ESL31" s="63"/>
      <c r="ESM31" s="63"/>
      <c r="ESN31" s="63"/>
      <c r="ESO31" s="63"/>
      <c r="ESP31" s="63"/>
      <c r="ESQ31" s="63"/>
      <c r="ESR31" s="63"/>
      <c r="ESS31" s="63"/>
      <c r="EST31" s="63"/>
      <c r="ESU31" s="63"/>
      <c r="ESV31" s="63"/>
      <c r="ESW31" s="63"/>
      <c r="ESX31" s="63"/>
      <c r="ESY31" s="63"/>
      <c r="ESZ31" s="63"/>
      <c r="ETA31" s="63"/>
      <c r="ETB31" s="63"/>
      <c r="ETC31" s="63"/>
      <c r="ETD31" s="63"/>
      <c r="ETE31" s="63"/>
      <c r="ETF31" s="63"/>
      <c r="ETG31" s="63"/>
      <c r="ETH31" s="63"/>
      <c r="ETI31" s="63"/>
      <c r="ETJ31" s="63"/>
      <c r="ETK31" s="63"/>
      <c r="ETL31" s="63"/>
      <c r="ETM31" s="63"/>
      <c r="ETN31" s="63"/>
      <c r="ETO31" s="63"/>
      <c r="ETP31" s="63"/>
      <c r="ETQ31" s="63"/>
      <c r="ETR31" s="63"/>
      <c r="ETS31" s="63"/>
      <c r="ETT31" s="63"/>
      <c r="ETU31" s="63"/>
      <c r="ETV31" s="63"/>
      <c r="ETW31" s="63"/>
      <c r="ETX31" s="63"/>
      <c r="ETY31" s="63"/>
      <c r="ETZ31" s="63"/>
      <c r="EUA31" s="63"/>
      <c r="EUB31" s="63"/>
      <c r="EUC31" s="63"/>
      <c r="EUD31" s="63"/>
      <c r="EUE31" s="63"/>
      <c r="EUF31" s="63"/>
      <c r="EUG31" s="63"/>
      <c r="EUH31" s="63"/>
      <c r="EUI31" s="63"/>
      <c r="EUJ31" s="63"/>
      <c r="EUK31" s="63"/>
      <c r="EUL31" s="63"/>
      <c r="EUM31" s="63"/>
      <c r="EUN31" s="63"/>
      <c r="EUO31" s="63"/>
      <c r="EUP31" s="63"/>
      <c r="EUQ31" s="63"/>
      <c r="EUR31" s="63"/>
      <c r="EUS31" s="63"/>
      <c r="EUT31" s="63"/>
      <c r="EUU31" s="63"/>
      <c r="EUV31" s="63"/>
      <c r="EUW31" s="63"/>
      <c r="EUX31" s="63"/>
      <c r="EUY31" s="63"/>
      <c r="EUZ31" s="63"/>
      <c r="EVA31" s="63"/>
      <c r="EVB31" s="63"/>
      <c r="EVC31" s="63"/>
      <c r="EVD31" s="63"/>
      <c r="EVE31" s="63"/>
      <c r="EVF31" s="63"/>
      <c r="EVG31" s="63"/>
      <c r="EVH31" s="63"/>
      <c r="EVI31" s="63"/>
      <c r="EVJ31" s="63"/>
      <c r="EVK31" s="63"/>
      <c r="EVL31" s="63"/>
      <c r="EVM31" s="63"/>
      <c r="EVN31" s="63"/>
      <c r="EVO31" s="63"/>
      <c r="EVP31" s="63"/>
      <c r="EVQ31" s="63"/>
      <c r="EVR31" s="63"/>
      <c r="EVS31" s="63"/>
      <c r="EVT31" s="63"/>
      <c r="EVU31" s="63"/>
      <c r="EVV31" s="63"/>
      <c r="EVW31" s="63"/>
      <c r="EVX31" s="63"/>
      <c r="EVY31" s="63"/>
      <c r="EVZ31" s="63"/>
      <c r="EWA31" s="63"/>
      <c r="EWB31" s="63"/>
      <c r="EWC31" s="63"/>
      <c r="EWD31" s="63"/>
      <c r="EWE31" s="63"/>
      <c r="EWF31" s="63"/>
      <c r="EWG31" s="63"/>
      <c r="EWH31" s="63"/>
      <c r="EWI31" s="63"/>
      <c r="EWJ31" s="63"/>
      <c r="EWK31" s="63"/>
      <c r="EWL31" s="63"/>
      <c r="EWM31" s="63"/>
      <c r="EWN31" s="63"/>
      <c r="EWO31" s="63"/>
      <c r="EWP31" s="63"/>
      <c r="EWQ31" s="63"/>
      <c r="EWR31" s="63"/>
      <c r="EWS31" s="63"/>
      <c r="EWT31" s="63"/>
      <c r="EWU31" s="63"/>
      <c r="EWV31" s="63"/>
      <c r="EWW31" s="63"/>
      <c r="EWX31" s="63"/>
      <c r="EWY31" s="63"/>
      <c r="EWZ31" s="63"/>
      <c r="EXA31" s="63"/>
      <c r="EXB31" s="63"/>
      <c r="EXC31" s="63"/>
      <c r="EXD31" s="63"/>
      <c r="EXE31" s="63"/>
      <c r="EXF31" s="63"/>
      <c r="EXG31" s="63"/>
      <c r="EXH31" s="63"/>
      <c r="EXI31" s="63"/>
      <c r="EXJ31" s="63"/>
      <c r="EXK31" s="63"/>
      <c r="EXL31" s="63"/>
      <c r="EXM31" s="63"/>
      <c r="EXN31" s="63"/>
      <c r="EXO31" s="63"/>
      <c r="EXP31" s="63"/>
      <c r="EXQ31" s="63"/>
      <c r="EXR31" s="63"/>
      <c r="EXS31" s="63"/>
      <c r="EXT31" s="63"/>
      <c r="EXU31" s="63"/>
      <c r="EXV31" s="63"/>
      <c r="EXW31" s="63"/>
      <c r="EXX31" s="63"/>
      <c r="EXY31" s="63"/>
      <c r="EXZ31" s="63"/>
      <c r="EYA31" s="63"/>
      <c r="EYB31" s="63"/>
      <c r="EYC31" s="63"/>
      <c r="EYD31" s="63"/>
      <c r="EYE31" s="63"/>
      <c r="EYF31" s="63"/>
      <c r="EYG31" s="63"/>
      <c r="EYH31" s="63"/>
      <c r="EYI31" s="63"/>
      <c r="EYJ31" s="63"/>
      <c r="EYK31" s="63"/>
      <c r="EYL31" s="63"/>
      <c r="EYM31" s="63"/>
      <c r="EYN31" s="63"/>
      <c r="EYO31" s="63"/>
      <c r="EYP31" s="63"/>
      <c r="EYQ31" s="63"/>
      <c r="EYR31" s="63"/>
      <c r="EYS31" s="63"/>
      <c r="EYT31" s="63"/>
      <c r="EYU31" s="63"/>
      <c r="EYV31" s="63"/>
      <c r="EYW31" s="63"/>
      <c r="EYX31" s="63"/>
      <c r="EYY31" s="63"/>
      <c r="EYZ31" s="63"/>
      <c r="EZA31" s="63"/>
      <c r="EZB31" s="63"/>
      <c r="EZC31" s="63"/>
      <c r="EZD31" s="63"/>
      <c r="EZE31" s="63"/>
      <c r="EZF31" s="63"/>
      <c r="EZG31" s="63"/>
      <c r="EZH31" s="63"/>
      <c r="EZI31" s="63"/>
      <c r="EZJ31" s="63"/>
      <c r="EZK31" s="63"/>
      <c r="EZL31" s="63"/>
      <c r="EZM31" s="63"/>
      <c r="EZN31" s="63"/>
      <c r="EZO31" s="63"/>
      <c r="EZP31" s="63"/>
      <c r="EZQ31" s="63"/>
      <c r="EZR31" s="63"/>
      <c r="EZS31" s="63"/>
      <c r="EZT31" s="63"/>
      <c r="EZU31" s="63"/>
      <c r="EZV31" s="63"/>
      <c r="EZW31" s="63"/>
      <c r="EZX31" s="63"/>
      <c r="EZY31" s="63"/>
      <c r="EZZ31" s="63"/>
      <c r="FAA31" s="63"/>
      <c r="FAB31" s="63"/>
      <c r="FAC31" s="63"/>
      <c r="FAD31" s="63"/>
      <c r="FAE31" s="63"/>
      <c r="FAF31" s="63"/>
      <c r="FAG31" s="63"/>
      <c r="FAH31" s="63"/>
      <c r="FAI31" s="63"/>
      <c r="FAJ31" s="63"/>
      <c r="FAK31" s="63"/>
      <c r="FAL31" s="63"/>
      <c r="FAM31" s="63"/>
      <c r="FAN31" s="63"/>
      <c r="FAO31" s="63"/>
      <c r="FAP31" s="63"/>
      <c r="FAQ31" s="63"/>
      <c r="FAR31" s="63"/>
      <c r="FAS31" s="63"/>
      <c r="FAT31" s="63"/>
      <c r="FAU31" s="63"/>
      <c r="FAV31" s="63"/>
      <c r="FAW31" s="63"/>
      <c r="FAX31" s="63"/>
      <c r="FAY31" s="63"/>
      <c r="FAZ31" s="63"/>
      <c r="FBA31" s="63"/>
      <c r="FBB31" s="63"/>
      <c r="FBC31" s="63"/>
      <c r="FBD31" s="63"/>
      <c r="FBE31" s="63"/>
      <c r="FBF31" s="63"/>
      <c r="FBG31" s="63"/>
      <c r="FBH31" s="63"/>
      <c r="FBI31" s="63"/>
      <c r="FBJ31" s="63"/>
      <c r="FBK31" s="63"/>
      <c r="FBL31" s="63"/>
      <c r="FBM31" s="63"/>
      <c r="FBN31" s="63"/>
      <c r="FBO31" s="63"/>
      <c r="FBP31" s="63"/>
      <c r="FBQ31" s="63"/>
      <c r="FBR31" s="63"/>
      <c r="FBS31" s="63"/>
      <c r="FBT31" s="63"/>
      <c r="FBU31" s="63"/>
      <c r="FBV31" s="63"/>
      <c r="FBW31" s="63"/>
      <c r="FBX31" s="63"/>
      <c r="FBY31" s="63"/>
      <c r="FBZ31" s="63"/>
      <c r="FCA31" s="63"/>
      <c r="FCB31" s="63"/>
      <c r="FCC31" s="63"/>
      <c r="FCD31" s="63"/>
      <c r="FCE31" s="63"/>
      <c r="FCF31" s="63"/>
      <c r="FCG31" s="63"/>
      <c r="FCH31" s="63"/>
      <c r="FCI31" s="63"/>
      <c r="FCJ31" s="63"/>
      <c r="FCK31" s="63"/>
      <c r="FCL31" s="63"/>
      <c r="FCM31" s="63"/>
      <c r="FCN31" s="63"/>
      <c r="FCO31" s="63"/>
      <c r="FCP31" s="63"/>
      <c r="FCQ31" s="63"/>
      <c r="FCR31" s="63"/>
      <c r="FCS31" s="63"/>
      <c r="FCT31" s="63"/>
      <c r="FCU31" s="63"/>
      <c r="FCV31" s="63"/>
      <c r="FCW31" s="63"/>
      <c r="FCX31" s="63"/>
      <c r="FCY31" s="63"/>
      <c r="FCZ31" s="63"/>
      <c r="FDA31" s="63"/>
      <c r="FDB31" s="63"/>
      <c r="FDC31" s="63"/>
      <c r="FDD31" s="63"/>
      <c r="FDE31" s="63"/>
      <c r="FDF31" s="63"/>
      <c r="FDG31" s="63"/>
      <c r="FDH31" s="63"/>
      <c r="FDI31" s="63"/>
      <c r="FDJ31" s="63"/>
      <c r="FDK31" s="63"/>
      <c r="FDL31" s="63"/>
      <c r="FDM31" s="63"/>
      <c r="FDN31" s="63"/>
      <c r="FDO31" s="63"/>
      <c r="FDP31" s="63"/>
      <c r="FDQ31" s="63"/>
      <c r="FDR31" s="63"/>
      <c r="FDS31" s="63"/>
      <c r="FDT31" s="63"/>
      <c r="FDU31" s="63"/>
      <c r="FDV31" s="63"/>
      <c r="FDW31" s="63"/>
      <c r="FDX31" s="63"/>
      <c r="FDY31" s="63"/>
      <c r="FDZ31" s="63"/>
      <c r="FEA31" s="63"/>
      <c r="FEB31" s="63"/>
      <c r="FEC31" s="63"/>
      <c r="FED31" s="63"/>
      <c r="FEE31" s="63"/>
      <c r="FEF31" s="63"/>
      <c r="FEG31" s="63"/>
      <c r="FEH31" s="63"/>
      <c r="FEI31" s="63"/>
      <c r="FEJ31" s="63"/>
      <c r="FEK31" s="63"/>
      <c r="FEL31" s="63"/>
      <c r="FEM31" s="63"/>
      <c r="FEN31" s="63"/>
      <c r="FEO31" s="63"/>
      <c r="FEP31" s="63"/>
      <c r="FEQ31" s="63"/>
      <c r="FER31" s="63"/>
      <c r="FES31" s="63"/>
      <c r="FET31" s="63"/>
      <c r="FEU31" s="63"/>
      <c r="FEV31" s="63"/>
      <c r="FEW31" s="63"/>
      <c r="FEX31" s="63"/>
      <c r="FEY31" s="63"/>
      <c r="FEZ31" s="63"/>
      <c r="FFA31" s="63"/>
      <c r="FFB31" s="63"/>
      <c r="FFC31" s="63"/>
      <c r="FFD31" s="63"/>
      <c r="FFE31" s="63"/>
      <c r="FFF31" s="63"/>
      <c r="FFG31" s="63"/>
      <c r="FFH31" s="63"/>
      <c r="FFI31" s="63"/>
      <c r="FFJ31" s="63"/>
      <c r="FFK31" s="63"/>
      <c r="FFL31" s="63"/>
      <c r="FFM31" s="63"/>
      <c r="FFN31" s="63"/>
      <c r="FFO31" s="63"/>
      <c r="FFP31" s="63"/>
      <c r="FFQ31" s="63"/>
      <c r="FFR31" s="63"/>
      <c r="FFS31" s="63"/>
      <c r="FFT31" s="63"/>
      <c r="FFU31" s="63"/>
      <c r="FFV31" s="63"/>
      <c r="FFW31" s="63"/>
      <c r="FFX31" s="63"/>
      <c r="FFY31" s="63"/>
      <c r="FFZ31" s="63"/>
      <c r="FGA31" s="63"/>
      <c r="FGB31" s="63"/>
      <c r="FGC31" s="63"/>
      <c r="FGD31" s="63"/>
      <c r="FGE31" s="63"/>
      <c r="FGF31" s="63"/>
      <c r="FGG31" s="63"/>
      <c r="FGH31" s="63"/>
      <c r="FGI31" s="63"/>
      <c r="FGJ31" s="63"/>
      <c r="FGK31" s="63"/>
      <c r="FGL31" s="63"/>
      <c r="FGM31" s="63"/>
      <c r="FGN31" s="63"/>
      <c r="FGO31" s="63"/>
      <c r="FGP31" s="63"/>
      <c r="FGQ31" s="63"/>
      <c r="FGR31" s="63"/>
      <c r="FGS31" s="63"/>
      <c r="FGT31" s="63"/>
      <c r="FGU31" s="63"/>
      <c r="FGV31" s="63"/>
      <c r="FGW31" s="63"/>
      <c r="FGX31" s="63"/>
      <c r="FGY31" s="63"/>
      <c r="FGZ31" s="63"/>
      <c r="FHA31" s="63"/>
      <c r="FHB31" s="63"/>
      <c r="FHC31" s="63"/>
      <c r="FHD31" s="63"/>
      <c r="FHE31" s="63"/>
      <c r="FHF31" s="63"/>
      <c r="FHG31" s="63"/>
      <c r="FHH31" s="63"/>
      <c r="FHI31" s="63"/>
      <c r="FHJ31" s="63"/>
      <c r="FHK31" s="63"/>
      <c r="FHL31" s="63"/>
      <c r="FHM31" s="63"/>
      <c r="FHN31" s="63"/>
      <c r="FHO31" s="63"/>
      <c r="FHP31" s="63"/>
      <c r="FHQ31" s="63"/>
      <c r="FHR31" s="63"/>
      <c r="FHS31" s="63"/>
      <c r="FHT31" s="63"/>
      <c r="FHU31" s="63"/>
      <c r="FHV31" s="63"/>
      <c r="FHW31" s="63"/>
      <c r="FHX31" s="63"/>
      <c r="FHY31" s="63"/>
      <c r="FHZ31" s="63"/>
      <c r="FIA31" s="63"/>
      <c r="FIB31" s="63"/>
      <c r="FIC31" s="63"/>
      <c r="FID31" s="63"/>
      <c r="FIE31" s="63"/>
      <c r="FIF31" s="63"/>
      <c r="FIG31" s="63"/>
      <c r="FIH31" s="63"/>
      <c r="FII31" s="63"/>
      <c r="FIJ31" s="63"/>
      <c r="FIK31" s="63"/>
      <c r="FIL31" s="63"/>
      <c r="FIM31" s="63"/>
      <c r="FIN31" s="63"/>
      <c r="FIO31" s="63"/>
      <c r="FIP31" s="63"/>
      <c r="FIQ31" s="63"/>
      <c r="FIR31" s="63"/>
      <c r="FIS31" s="63"/>
      <c r="FIT31" s="63"/>
      <c r="FIU31" s="63"/>
      <c r="FIV31" s="63"/>
      <c r="FIW31" s="63"/>
      <c r="FIX31" s="63"/>
      <c r="FIY31" s="63"/>
      <c r="FIZ31" s="63"/>
      <c r="FJA31" s="63"/>
      <c r="FJB31" s="63"/>
      <c r="FJC31" s="63"/>
      <c r="FJD31" s="63"/>
      <c r="FJE31" s="63"/>
      <c r="FJF31" s="63"/>
      <c r="FJG31" s="63"/>
      <c r="FJH31" s="63"/>
      <c r="FJI31" s="63"/>
      <c r="FJJ31" s="63"/>
      <c r="FJK31" s="63"/>
      <c r="FJL31" s="63"/>
      <c r="FJM31" s="63"/>
      <c r="FJN31" s="63"/>
      <c r="FJO31" s="63"/>
      <c r="FJP31" s="63"/>
      <c r="FJQ31" s="63"/>
      <c r="FJR31" s="63"/>
      <c r="FJS31" s="63"/>
      <c r="FJT31" s="63"/>
      <c r="FJU31" s="63"/>
      <c r="FJV31" s="63"/>
      <c r="FJW31" s="63"/>
      <c r="FJX31" s="63"/>
      <c r="FJY31" s="63"/>
      <c r="FJZ31" s="63"/>
      <c r="FKA31" s="63"/>
      <c r="FKB31" s="63"/>
      <c r="FKC31" s="63"/>
      <c r="FKD31" s="63"/>
      <c r="FKE31" s="63"/>
      <c r="FKF31" s="63"/>
      <c r="FKG31" s="63"/>
      <c r="FKH31" s="63"/>
      <c r="FKI31" s="63"/>
      <c r="FKJ31" s="63"/>
      <c r="FKK31" s="63"/>
      <c r="FKL31" s="63"/>
      <c r="FKM31" s="63"/>
      <c r="FKN31" s="63"/>
      <c r="FKO31" s="63"/>
      <c r="FKP31" s="63"/>
      <c r="FKQ31" s="63"/>
      <c r="FKR31" s="63"/>
      <c r="FKS31" s="63"/>
      <c r="FKT31" s="63"/>
      <c r="FKU31" s="63"/>
      <c r="FKV31" s="63"/>
      <c r="FKW31" s="63"/>
      <c r="FKX31" s="63"/>
      <c r="FKY31" s="63"/>
      <c r="FKZ31" s="63"/>
      <c r="FLA31" s="63"/>
      <c r="FLB31" s="63"/>
      <c r="FLC31" s="63"/>
      <c r="FLD31" s="63"/>
      <c r="FLE31" s="63"/>
      <c r="FLF31" s="63"/>
      <c r="FLG31" s="63"/>
      <c r="FLH31" s="63"/>
      <c r="FLI31" s="63"/>
      <c r="FLJ31" s="63"/>
      <c r="FLK31" s="63"/>
      <c r="FLL31" s="63"/>
      <c r="FLM31" s="63"/>
      <c r="FLN31" s="63"/>
      <c r="FLO31" s="63"/>
      <c r="FLP31" s="63"/>
      <c r="FLQ31" s="63"/>
      <c r="FLR31" s="63"/>
      <c r="FLS31" s="63"/>
      <c r="FLT31" s="63"/>
      <c r="FLU31" s="63"/>
      <c r="FLV31" s="63"/>
      <c r="FLW31" s="63"/>
      <c r="FLX31" s="63"/>
      <c r="FLY31" s="63"/>
      <c r="FLZ31" s="63"/>
      <c r="FMA31" s="63"/>
      <c r="FMB31" s="63"/>
      <c r="FMC31" s="63"/>
      <c r="FMD31" s="63"/>
      <c r="FME31" s="63"/>
      <c r="FMF31" s="63"/>
      <c r="FMG31" s="63"/>
      <c r="FMH31" s="63"/>
      <c r="FMI31" s="63"/>
      <c r="FMJ31" s="63"/>
      <c r="FMK31" s="63"/>
      <c r="FML31" s="63"/>
      <c r="FMM31" s="63"/>
      <c r="FMN31" s="63"/>
      <c r="FMO31" s="63"/>
      <c r="FMP31" s="63"/>
      <c r="FMQ31" s="63"/>
      <c r="FMR31" s="63"/>
      <c r="FMS31" s="63"/>
      <c r="FMT31" s="63"/>
      <c r="FMU31" s="63"/>
      <c r="FMV31" s="63"/>
      <c r="FMW31" s="63"/>
      <c r="FMX31" s="63"/>
      <c r="FMY31" s="63"/>
      <c r="FMZ31" s="63"/>
      <c r="FNA31" s="63"/>
      <c r="FNB31" s="63"/>
      <c r="FNC31" s="63"/>
      <c r="FND31" s="63"/>
      <c r="FNE31" s="63"/>
      <c r="FNF31" s="63"/>
      <c r="FNG31" s="63"/>
      <c r="FNH31" s="63"/>
      <c r="FNI31" s="63"/>
      <c r="FNJ31" s="63"/>
      <c r="FNK31" s="63"/>
      <c r="FNL31" s="63"/>
      <c r="FNM31" s="63"/>
      <c r="FNN31" s="63"/>
      <c r="FNO31" s="63"/>
      <c r="FNP31" s="63"/>
      <c r="FNQ31" s="63"/>
      <c r="FNR31" s="63"/>
      <c r="FNS31" s="63"/>
      <c r="FNT31" s="63"/>
      <c r="FNU31" s="63"/>
      <c r="FNV31" s="63"/>
      <c r="FNW31" s="63"/>
      <c r="FNX31" s="63"/>
      <c r="FNY31" s="63"/>
      <c r="FNZ31" s="63"/>
      <c r="FOA31" s="63"/>
      <c r="FOB31" s="63"/>
      <c r="FOC31" s="63"/>
      <c r="FOD31" s="63"/>
      <c r="FOE31" s="63"/>
      <c r="FOF31" s="63"/>
      <c r="FOG31" s="63"/>
      <c r="FOH31" s="63"/>
      <c r="FOI31" s="63"/>
      <c r="FOJ31" s="63"/>
      <c r="FOK31" s="63"/>
      <c r="FOL31" s="63"/>
      <c r="FOM31" s="63"/>
      <c r="FON31" s="63"/>
      <c r="FOO31" s="63"/>
      <c r="FOP31" s="63"/>
      <c r="FOQ31" s="63"/>
      <c r="FOR31" s="63"/>
      <c r="FOS31" s="63"/>
      <c r="FOT31" s="63"/>
      <c r="FOU31" s="63"/>
      <c r="FOV31" s="63"/>
      <c r="FOW31" s="63"/>
      <c r="FOX31" s="63"/>
      <c r="FOY31" s="63"/>
      <c r="FOZ31" s="63"/>
      <c r="FPA31" s="63"/>
      <c r="FPB31" s="63"/>
      <c r="FPC31" s="63"/>
      <c r="FPD31" s="63"/>
      <c r="FPE31" s="63"/>
      <c r="FPF31" s="63"/>
      <c r="FPG31" s="63"/>
      <c r="FPH31" s="63"/>
      <c r="FPI31" s="63"/>
      <c r="FPJ31" s="63"/>
      <c r="FPK31" s="63"/>
      <c r="FPL31" s="63"/>
      <c r="FPM31" s="63"/>
      <c r="FPN31" s="63"/>
      <c r="FPO31" s="63"/>
      <c r="FPP31" s="63"/>
      <c r="FPQ31" s="63"/>
      <c r="FPR31" s="63"/>
      <c r="FPS31" s="63"/>
      <c r="FPT31" s="63"/>
      <c r="FPU31" s="63"/>
      <c r="FPV31" s="63"/>
      <c r="FPW31" s="63"/>
      <c r="FPX31" s="63"/>
      <c r="FPY31" s="63"/>
      <c r="FPZ31" s="63"/>
      <c r="FQA31" s="63"/>
      <c r="FQB31" s="63"/>
      <c r="FQC31" s="63"/>
      <c r="FQD31" s="63"/>
      <c r="FQE31" s="63"/>
      <c r="FQF31" s="63"/>
      <c r="FQG31" s="63"/>
      <c r="FQH31" s="63"/>
      <c r="FQI31" s="63"/>
      <c r="FQJ31" s="63"/>
      <c r="FQK31" s="63"/>
      <c r="FQL31" s="63"/>
      <c r="FQM31" s="63"/>
      <c r="FQN31" s="63"/>
      <c r="FQO31" s="63"/>
      <c r="FQP31" s="63"/>
      <c r="FQQ31" s="63"/>
      <c r="FQR31" s="63"/>
      <c r="FQS31" s="63"/>
      <c r="FQT31" s="63"/>
      <c r="FQU31" s="63"/>
      <c r="FQV31" s="63"/>
      <c r="FQW31" s="63"/>
      <c r="FQX31" s="63"/>
      <c r="FQY31" s="63"/>
      <c r="FQZ31" s="63"/>
      <c r="FRA31" s="63"/>
      <c r="FRB31" s="63"/>
      <c r="FRC31" s="63"/>
      <c r="FRD31" s="63"/>
      <c r="FRE31" s="63"/>
      <c r="FRF31" s="63"/>
      <c r="FRG31" s="63"/>
      <c r="FRH31" s="63"/>
      <c r="FRI31" s="63"/>
      <c r="FRJ31" s="63"/>
      <c r="FRK31" s="63"/>
      <c r="FRL31" s="63"/>
      <c r="FRM31" s="63"/>
      <c r="FRN31" s="63"/>
      <c r="FRO31" s="63"/>
      <c r="FRP31" s="63"/>
      <c r="FRQ31" s="63"/>
      <c r="FRR31" s="63"/>
      <c r="FRS31" s="63"/>
      <c r="FRT31" s="63"/>
      <c r="FRU31" s="63"/>
      <c r="FRV31" s="63"/>
      <c r="FRW31" s="63"/>
      <c r="FRX31" s="63"/>
      <c r="FRY31" s="63"/>
      <c r="FRZ31" s="63"/>
      <c r="FSA31" s="63"/>
      <c r="FSB31" s="63"/>
      <c r="FSC31" s="63"/>
      <c r="FSD31" s="63"/>
      <c r="FSE31" s="63"/>
      <c r="FSF31" s="63"/>
      <c r="FSG31" s="63"/>
      <c r="FSH31" s="63"/>
      <c r="FSI31" s="63"/>
      <c r="FSJ31" s="63"/>
      <c r="FSK31" s="63"/>
      <c r="FSL31" s="63"/>
      <c r="FSM31" s="63"/>
      <c r="FSN31" s="63"/>
      <c r="FSO31" s="63"/>
      <c r="FSP31" s="63"/>
      <c r="FSQ31" s="63"/>
      <c r="FSR31" s="63"/>
      <c r="FSS31" s="63"/>
      <c r="FST31" s="63"/>
      <c r="FSU31" s="63"/>
      <c r="FSV31" s="63"/>
      <c r="FSW31" s="63"/>
      <c r="FSX31" s="63"/>
      <c r="FSY31" s="63"/>
      <c r="FSZ31" s="63"/>
      <c r="FTA31" s="63"/>
      <c r="FTB31" s="63"/>
      <c r="FTC31" s="63"/>
      <c r="FTD31" s="63"/>
      <c r="FTE31" s="63"/>
      <c r="FTF31" s="63"/>
      <c r="FTG31" s="63"/>
      <c r="FTH31" s="63"/>
      <c r="FTI31" s="63"/>
      <c r="FTJ31" s="63"/>
      <c r="FTK31" s="63"/>
      <c r="FTL31" s="63"/>
      <c r="FTM31" s="63"/>
      <c r="FTN31" s="63"/>
      <c r="FTO31" s="63"/>
      <c r="FTP31" s="63"/>
      <c r="FTQ31" s="63"/>
      <c r="FTR31" s="63"/>
      <c r="FTS31" s="63"/>
      <c r="FTT31" s="63"/>
      <c r="FTU31" s="63"/>
      <c r="FTV31" s="63"/>
      <c r="FTW31" s="63"/>
      <c r="FTX31" s="63"/>
      <c r="FTY31" s="63"/>
      <c r="FTZ31" s="63"/>
      <c r="FUA31" s="63"/>
      <c r="FUB31" s="63"/>
      <c r="FUC31" s="63"/>
      <c r="FUD31" s="63"/>
      <c r="FUE31" s="63"/>
      <c r="FUF31" s="63"/>
      <c r="FUG31" s="63"/>
      <c r="FUH31" s="63"/>
      <c r="FUI31" s="63"/>
      <c r="FUJ31" s="63"/>
      <c r="FUK31" s="63"/>
      <c r="FUL31" s="63"/>
      <c r="FUM31" s="63"/>
      <c r="FUN31" s="63"/>
      <c r="FUO31" s="63"/>
      <c r="FUP31" s="63"/>
      <c r="FUQ31" s="63"/>
      <c r="FUR31" s="63"/>
      <c r="FUS31" s="63"/>
      <c r="FUT31" s="63"/>
      <c r="FUU31" s="63"/>
      <c r="FUV31" s="63"/>
      <c r="FUW31" s="63"/>
      <c r="FUX31" s="63"/>
      <c r="FUY31" s="63"/>
      <c r="FUZ31" s="63"/>
      <c r="FVA31" s="63"/>
      <c r="FVB31" s="63"/>
      <c r="FVC31" s="63"/>
      <c r="FVD31" s="63"/>
      <c r="FVE31" s="63"/>
      <c r="FVF31" s="63"/>
      <c r="FVG31" s="63"/>
      <c r="FVH31" s="63"/>
      <c r="FVI31" s="63"/>
      <c r="FVJ31" s="63"/>
      <c r="FVK31" s="63"/>
      <c r="FVL31" s="63"/>
      <c r="FVM31" s="63"/>
      <c r="FVN31" s="63"/>
      <c r="FVO31" s="63"/>
      <c r="FVP31" s="63"/>
      <c r="FVQ31" s="63"/>
      <c r="FVR31" s="63"/>
      <c r="FVS31" s="63"/>
      <c r="FVT31" s="63"/>
      <c r="FVU31" s="63"/>
      <c r="FVV31" s="63"/>
      <c r="FVW31" s="63"/>
      <c r="FVX31" s="63"/>
      <c r="FVY31" s="63"/>
      <c r="FVZ31" s="63"/>
      <c r="FWA31" s="63"/>
      <c r="FWB31" s="63"/>
      <c r="FWC31" s="63"/>
      <c r="FWD31" s="63"/>
      <c r="FWE31" s="63"/>
      <c r="FWF31" s="63"/>
      <c r="FWG31" s="63"/>
      <c r="FWH31" s="63"/>
      <c r="FWI31" s="63"/>
      <c r="FWJ31" s="63"/>
      <c r="FWK31" s="63"/>
      <c r="FWL31" s="63"/>
      <c r="FWM31" s="63"/>
      <c r="FWN31" s="63"/>
      <c r="FWO31" s="63"/>
      <c r="FWP31" s="63"/>
      <c r="FWQ31" s="63"/>
      <c r="FWR31" s="63"/>
      <c r="FWS31" s="63"/>
      <c r="FWT31" s="63"/>
      <c r="FWU31" s="63"/>
      <c r="FWV31" s="63"/>
      <c r="FWW31" s="63"/>
      <c r="FWX31" s="63"/>
      <c r="FWY31" s="63"/>
      <c r="FWZ31" s="63"/>
      <c r="FXA31" s="63"/>
      <c r="FXB31" s="63"/>
      <c r="FXC31" s="63"/>
      <c r="FXD31" s="63"/>
      <c r="FXE31" s="63"/>
      <c r="FXF31" s="63"/>
      <c r="FXG31" s="63"/>
      <c r="FXH31" s="63"/>
      <c r="FXI31" s="63"/>
      <c r="FXJ31" s="63"/>
      <c r="FXK31" s="63"/>
      <c r="FXL31" s="63"/>
      <c r="FXM31" s="63"/>
      <c r="FXN31" s="63"/>
      <c r="FXO31" s="63"/>
      <c r="FXP31" s="63"/>
      <c r="FXQ31" s="63"/>
      <c r="FXR31" s="63"/>
      <c r="FXS31" s="63"/>
      <c r="FXT31" s="63"/>
      <c r="FXU31" s="63"/>
      <c r="FXV31" s="63"/>
      <c r="FXW31" s="63"/>
      <c r="FXX31" s="63"/>
      <c r="FXY31" s="63"/>
      <c r="FXZ31" s="63"/>
      <c r="FYA31" s="63"/>
      <c r="FYB31" s="63"/>
      <c r="FYC31" s="63"/>
      <c r="FYD31" s="63"/>
      <c r="FYE31" s="63"/>
      <c r="FYF31" s="63"/>
      <c r="FYG31" s="63"/>
      <c r="FYH31" s="63"/>
      <c r="FYI31" s="63"/>
      <c r="FYJ31" s="63"/>
      <c r="FYK31" s="63"/>
      <c r="FYL31" s="63"/>
      <c r="FYM31" s="63"/>
      <c r="FYN31" s="63"/>
      <c r="FYO31" s="63"/>
      <c r="FYP31" s="63"/>
      <c r="FYQ31" s="63"/>
      <c r="FYR31" s="63"/>
      <c r="FYS31" s="63"/>
      <c r="FYT31" s="63"/>
      <c r="FYU31" s="63"/>
      <c r="FYV31" s="63"/>
      <c r="FYW31" s="63"/>
      <c r="FYX31" s="63"/>
      <c r="FYY31" s="63"/>
      <c r="FYZ31" s="63"/>
      <c r="FZA31" s="63"/>
      <c r="FZB31" s="63"/>
      <c r="FZC31" s="63"/>
      <c r="FZD31" s="63"/>
      <c r="FZE31" s="63"/>
      <c r="FZF31" s="63"/>
      <c r="FZG31" s="63"/>
      <c r="FZH31" s="63"/>
      <c r="FZI31" s="63"/>
      <c r="FZJ31" s="63"/>
      <c r="FZK31" s="63"/>
      <c r="FZL31" s="63"/>
      <c r="FZM31" s="63"/>
      <c r="FZN31" s="63"/>
      <c r="FZO31" s="63"/>
      <c r="FZP31" s="63"/>
      <c r="FZQ31" s="63"/>
      <c r="FZR31" s="63"/>
      <c r="FZS31" s="63"/>
      <c r="FZT31" s="63"/>
      <c r="FZU31" s="63"/>
      <c r="FZV31" s="63"/>
      <c r="FZW31" s="63"/>
      <c r="FZX31" s="63"/>
      <c r="FZY31" s="63"/>
      <c r="FZZ31" s="63"/>
      <c r="GAA31" s="63"/>
      <c r="GAB31" s="63"/>
      <c r="GAC31" s="63"/>
      <c r="GAD31" s="63"/>
      <c r="GAE31" s="63"/>
      <c r="GAF31" s="63"/>
      <c r="GAG31" s="63"/>
      <c r="GAH31" s="63"/>
      <c r="GAI31" s="63"/>
      <c r="GAJ31" s="63"/>
      <c r="GAK31" s="63"/>
      <c r="GAL31" s="63"/>
      <c r="GAM31" s="63"/>
      <c r="GAN31" s="63"/>
      <c r="GAO31" s="63"/>
      <c r="GAP31" s="63"/>
      <c r="GAQ31" s="63"/>
      <c r="GAR31" s="63"/>
      <c r="GAS31" s="63"/>
      <c r="GAT31" s="63"/>
      <c r="GAU31" s="63"/>
      <c r="GAV31" s="63"/>
      <c r="GAW31" s="63"/>
      <c r="GAX31" s="63"/>
      <c r="GAY31" s="63"/>
      <c r="GAZ31" s="63"/>
      <c r="GBA31" s="63"/>
      <c r="GBB31" s="63"/>
      <c r="GBC31" s="63"/>
      <c r="GBD31" s="63"/>
      <c r="GBE31" s="63"/>
      <c r="GBF31" s="63"/>
      <c r="GBG31" s="63"/>
      <c r="GBH31" s="63"/>
      <c r="GBI31" s="63"/>
      <c r="GBJ31" s="63"/>
      <c r="GBK31" s="63"/>
      <c r="GBL31" s="63"/>
      <c r="GBM31" s="63"/>
      <c r="GBN31" s="63"/>
      <c r="GBO31" s="63"/>
      <c r="GBP31" s="63"/>
      <c r="GBQ31" s="63"/>
      <c r="GBR31" s="63"/>
      <c r="GBS31" s="63"/>
      <c r="GBT31" s="63"/>
      <c r="GBU31" s="63"/>
      <c r="GBV31" s="63"/>
      <c r="GBW31" s="63"/>
      <c r="GBX31" s="63"/>
      <c r="GBY31" s="63"/>
      <c r="GBZ31" s="63"/>
      <c r="GCA31" s="63"/>
      <c r="GCB31" s="63"/>
      <c r="GCC31" s="63"/>
      <c r="GCD31" s="63"/>
      <c r="GCE31" s="63"/>
      <c r="GCF31" s="63"/>
      <c r="GCG31" s="63"/>
      <c r="GCH31" s="63"/>
      <c r="GCI31" s="63"/>
      <c r="GCJ31" s="63"/>
      <c r="GCK31" s="63"/>
      <c r="GCL31" s="63"/>
      <c r="GCM31" s="63"/>
      <c r="GCN31" s="63"/>
      <c r="GCO31" s="63"/>
      <c r="GCP31" s="63"/>
      <c r="GCQ31" s="63"/>
      <c r="GCR31" s="63"/>
      <c r="GCS31" s="63"/>
      <c r="GCT31" s="63"/>
      <c r="GCU31" s="63"/>
      <c r="GCV31" s="63"/>
      <c r="GCW31" s="63"/>
      <c r="GCX31" s="63"/>
      <c r="GCY31" s="63"/>
      <c r="GCZ31" s="63"/>
      <c r="GDA31" s="63"/>
      <c r="GDB31" s="63"/>
      <c r="GDC31" s="63"/>
      <c r="GDD31" s="63"/>
      <c r="GDE31" s="63"/>
      <c r="GDF31" s="63"/>
      <c r="GDG31" s="63"/>
      <c r="GDH31" s="63"/>
      <c r="GDI31" s="63"/>
      <c r="GDJ31" s="63"/>
      <c r="GDK31" s="63"/>
      <c r="GDL31" s="63"/>
      <c r="GDM31" s="63"/>
      <c r="GDN31" s="63"/>
      <c r="GDO31" s="63"/>
      <c r="GDP31" s="63"/>
      <c r="GDQ31" s="63"/>
      <c r="GDR31" s="63"/>
      <c r="GDS31" s="63"/>
      <c r="GDT31" s="63"/>
      <c r="GDU31" s="63"/>
      <c r="GDV31" s="63"/>
      <c r="GDW31" s="63"/>
      <c r="GDX31" s="63"/>
      <c r="GDY31" s="63"/>
      <c r="GDZ31" s="63"/>
      <c r="GEA31" s="63"/>
      <c r="GEB31" s="63"/>
      <c r="GEC31" s="63"/>
      <c r="GED31" s="63"/>
      <c r="GEE31" s="63"/>
      <c r="GEF31" s="63"/>
      <c r="GEG31" s="63"/>
      <c r="GEH31" s="63"/>
      <c r="GEI31" s="63"/>
      <c r="GEJ31" s="63"/>
      <c r="GEK31" s="63"/>
      <c r="GEL31" s="63"/>
      <c r="GEM31" s="63"/>
      <c r="GEN31" s="63"/>
      <c r="GEO31" s="63"/>
      <c r="GEP31" s="63"/>
      <c r="GEQ31" s="63"/>
      <c r="GER31" s="63"/>
      <c r="GES31" s="63"/>
      <c r="GET31" s="63"/>
      <c r="GEU31" s="63"/>
      <c r="GEV31" s="63"/>
      <c r="GEW31" s="63"/>
      <c r="GEX31" s="63"/>
      <c r="GEY31" s="63"/>
      <c r="GEZ31" s="63"/>
      <c r="GFA31" s="63"/>
      <c r="GFB31" s="63"/>
      <c r="GFC31" s="63"/>
      <c r="GFD31" s="63"/>
      <c r="GFE31" s="63"/>
      <c r="GFF31" s="63"/>
      <c r="GFG31" s="63"/>
      <c r="GFH31" s="63"/>
      <c r="GFI31" s="63"/>
      <c r="GFJ31" s="63"/>
      <c r="GFK31" s="63"/>
      <c r="GFL31" s="63"/>
      <c r="GFM31" s="63"/>
      <c r="GFN31" s="63"/>
      <c r="GFO31" s="63"/>
      <c r="GFP31" s="63"/>
      <c r="GFQ31" s="63"/>
      <c r="GFR31" s="63"/>
      <c r="GFS31" s="63"/>
      <c r="GFT31" s="63"/>
      <c r="GFU31" s="63"/>
      <c r="GFV31" s="63"/>
      <c r="GFW31" s="63"/>
      <c r="GFX31" s="63"/>
      <c r="GFY31" s="63"/>
      <c r="GFZ31" s="63"/>
      <c r="GGA31" s="63"/>
      <c r="GGB31" s="63"/>
      <c r="GGC31" s="63"/>
      <c r="GGD31" s="63"/>
      <c r="GGE31" s="63"/>
      <c r="GGF31" s="63"/>
      <c r="GGG31" s="63"/>
      <c r="GGH31" s="63"/>
      <c r="GGI31" s="63"/>
      <c r="GGJ31" s="63"/>
      <c r="GGK31" s="63"/>
      <c r="GGL31" s="63"/>
      <c r="GGM31" s="63"/>
      <c r="GGN31" s="63"/>
      <c r="GGO31" s="63"/>
      <c r="GGP31" s="63"/>
      <c r="GGQ31" s="63"/>
      <c r="GGR31" s="63"/>
      <c r="GGS31" s="63"/>
      <c r="GGT31" s="63"/>
      <c r="GGU31" s="63"/>
      <c r="GGV31" s="63"/>
      <c r="GGW31" s="63"/>
      <c r="GGX31" s="63"/>
      <c r="GGY31" s="63"/>
      <c r="GGZ31" s="63"/>
      <c r="GHA31" s="63"/>
      <c r="GHB31" s="63"/>
      <c r="GHC31" s="63"/>
      <c r="GHD31" s="63"/>
      <c r="GHE31" s="63"/>
      <c r="GHF31" s="63"/>
      <c r="GHG31" s="63"/>
      <c r="GHH31" s="63"/>
      <c r="GHI31" s="63"/>
      <c r="GHJ31" s="63"/>
      <c r="GHK31" s="63"/>
      <c r="GHL31" s="63"/>
      <c r="GHM31" s="63"/>
      <c r="GHN31" s="63"/>
      <c r="GHO31" s="63"/>
      <c r="GHP31" s="63"/>
      <c r="GHQ31" s="63"/>
      <c r="GHR31" s="63"/>
      <c r="GHS31" s="63"/>
      <c r="GHT31" s="63"/>
      <c r="GHU31" s="63"/>
      <c r="GHV31" s="63"/>
      <c r="GHW31" s="63"/>
      <c r="GHX31" s="63"/>
      <c r="GHY31" s="63"/>
      <c r="GHZ31" s="63"/>
      <c r="GIA31" s="63"/>
      <c r="GIB31" s="63"/>
      <c r="GIC31" s="63"/>
      <c r="GID31" s="63"/>
      <c r="GIE31" s="63"/>
      <c r="GIF31" s="63"/>
      <c r="GIG31" s="63"/>
      <c r="GIH31" s="63"/>
      <c r="GII31" s="63"/>
      <c r="GIJ31" s="63"/>
      <c r="GIK31" s="63"/>
      <c r="GIL31" s="63"/>
      <c r="GIM31" s="63"/>
      <c r="GIN31" s="63"/>
      <c r="GIO31" s="63"/>
      <c r="GIP31" s="63"/>
      <c r="GIQ31" s="63"/>
      <c r="GIR31" s="63"/>
      <c r="GIS31" s="63"/>
      <c r="GIT31" s="63"/>
      <c r="GIU31" s="63"/>
      <c r="GIV31" s="63"/>
      <c r="GIW31" s="63"/>
      <c r="GIX31" s="63"/>
      <c r="GIY31" s="63"/>
      <c r="GIZ31" s="63"/>
      <c r="GJA31" s="63"/>
      <c r="GJB31" s="63"/>
      <c r="GJC31" s="63"/>
      <c r="GJD31" s="63"/>
      <c r="GJE31" s="63"/>
      <c r="GJF31" s="63"/>
      <c r="GJG31" s="63"/>
      <c r="GJH31" s="63"/>
      <c r="GJI31" s="63"/>
      <c r="GJJ31" s="63"/>
      <c r="GJK31" s="63"/>
      <c r="GJL31" s="63"/>
      <c r="GJM31" s="63"/>
      <c r="GJN31" s="63"/>
      <c r="GJO31" s="63"/>
      <c r="GJP31" s="63"/>
      <c r="GJQ31" s="63"/>
      <c r="GJR31" s="63"/>
      <c r="GJS31" s="63"/>
      <c r="GJT31" s="63"/>
      <c r="GJU31" s="63"/>
      <c r="GJV31" s="63"/>
      <c r="GJW31" s="63"/>
      <c r="GJX31" s="63"/>
      <c r="GJY31" s="63"/>
      <c r="GJZ31" s="63"/>
      <c r="GKA31" s="63"/>
      <c r="GKB31" s="63"/>
      <c r="GKC31" s="63"/>
      <c r="GKD31" s="63"/>
      <c r="GKE31" s="63"/>
      <c r="GKF31" s="63"/>
      <c r="GKG31" s="63"/>
      <c r="GKH31" s="63"/>
      <c r="GKI31" s="63"/>
      <c r="GKJ31" s="63"/>
      <c r="GKK31" s="63"/>
      <c r="GKL31" s="63"/>
      <c r="GKM31" s="63"/>
      <c r="GKN31" s="63"/>
      <c r="GKO31" s="63"/>
      <c r="GKP31" s="63"/>
      <c r="GKQ31" s="63"/>
      <c r="GKR31" s="63"/>
      <c r="GKS31" s="63"/>
      <c r="GKT31" s="63"/>
      <c r="GKU31" s="63"/>
      <c r="GKV31" s="63"/>
      <c r="GKW31" s="63"/>
      <c r="GKX31" s="63"/>
      <c r="GKY31" s="63"/>
      <c r="GKZ31" s="63"/>
      <c r="GLA31" s="63"/>
      <c r="GLB31" s="63"/>
      <c r="GLC31" s="63"/>
      <c r="GLD31" s="63"/>
      <c r="GLE31" s="63"/>
      <c r="GLF31" s="63"/>
      <c r="GLG31" s="63"/>
      <c r="GLH31" s="63"/>
      <c r="GLI31" s="63"/>
      <c r="GLJ31" s="63"/>
      <c r="GLK31" s="63"/>
      <c r="GLL31" s="63"/>
      <c r="GLM31" s="63"/>
      <c r="GLN31" s="63"/>
      <c r="GLO31" s="63"/>
      <c r="GLP31" s="63"/>
      <c r="GLQ31" s="63"/>
      <c r="GLR31" s="63"/>
      <c r="GLS31" s="63"/>
      <c r="GLT31" s="63"/>
      <c r="GLU31" s="63"/>
      <c r="GLV31" s="63"/>
      <c r="GLW31" s="63"/>
      <c r="GLX31" s="63"/>
      <c r="GLY31" s="63"/>
      <c r="GLZ31" s="63"/>
      <c r="GMA31" s="63"/>
      <c r="GMB31" s="63"/>
      <c r="GMC31" s="63"/>
      <c r="GMD31" s="63"/>
      <c r="GME31" s="63"/>
      <c r="GMF31" s="63"/>
      <c r="GMG31" s="63"/>
      <c r="GMH31" s="63"/>
      <c r="GMI31" s="63"/>
      <c r="GMJ31" s="63"/>
      <c r="GMK31" s="63"/>
      <c r="GML31" s="63"/>
      <c r="GMM31" s="63"/>
      <c r="GMN31" s="63"/>
      <c r="GMO31" s="63"/>
      <c r="GMP31" s="63"/>
      <c r="GMQ31" s="63"/>
      <c r="GMR31" s="63"/>
      <c r="GMS31" s="63"/>
      <c r="GMT31" s="63"/>
      <c r="GMU31" s="63"/>
      <c r="GMV31" s="63"/>
      <c r="GMW31" s="63"/>
      <c r="GMX31" s="63"/>
      <c r="GMY31" s="63"/>
      <c r="GMZ31" s="63"/>
      <c r="GNA31" s="63"/>
      <c r="GNB31" s="63"/>
      <c r="GNC31" s="63"/>
      <c r="GND31" s="63"/>
      <c r="GNE31" s="63"/>
      <c r="GNF31" s="63"/>
      <c r="GNG31" s="63"/>
      <c r="GNH31" s="63"/>
      <c r="GNI31" s="63"/>
      <c r="GNJ31" s="63"/>
      <c r="GNK31" s="63"/>
      <c r="GNL31" s="63"/>
      <c r="GNM31" s="63"/>
      <c r="GNN31" s="63"/>
      <c r="GNO31" s="63"/>
      <c r="GNP31" s="63"/>
      <c r="GNQ31" s="63"/>
      <c r="GNR31" s="63"/>
      <c r="GNS31" s="63"/>
      <c r="GNT31" s="63"/>
      <c r="GNU31" s="63"/>
      <c r="GNV31" s="63"/>
      <c r="GNW31" s="63"/>
      <c r="GNX31" s="63"/>
      <c r="GNY31" s="63"/>
      <c r="GNZ31" s="63"/>
      <c r="GOA31" s="63"/>
      <c r="GOB31" s="63"/>
      <c r="GOC31" s="63"/>
      <c r="GOD31" s="63"/>
      <c r="GOE31" s="63"/>
      <c r="GOF31" s="63"/>
      <c r="GOG31" s="63"/>
      <c r="GOH31" s="63"/>
      <c r="GOI31" s="63"/>
      <c r="GOJ31" s="63"/>
      <c r="GOK31" s="63"/>
      <c r="GOL31" s="63"/>
      <c r="GOM31" s="63"/>
      <c r="GON31" s="63"/>
      <c r="GOO31" s="63"/>
      <c r="GOP31" s="63"/>
      <c r="GOQ31" s="63"/>
      <c r="GOR31" s="63"/>
      <c r="GOS31" s="63"/>
      <c r="GOT31" s="63"/>
      <c r="GOU31" s="63"/>
      <c r="GOV31" s="63"/>
      <c r="GOW31" s="63"/>
      <c r="GOX31" s="63"/>
      <c r="GOY31" s="63"/>
      <c r="GOZ31" s="63"/>
      <c r="GPA31" s="63"/>
      <c r="GPB31" s="63"/>
      <c r="GPC31" s="63"/>
      <c r="GPD31" s="63"/>
      <c r="GPE31" s="63"/>
      <c r="GPF31" s="63"/>
      <c r="GPG31" s="63"/>
      <c r="GPH31" s="63"/>
      <c r="GPI31" s="63"/>
      <c r="GPJ31" s="63"/>
      <c r="GPK31" s="63"/>
      <c r="GPL31" s="63"/>
      <c r="GPM31" s="63"/>
      <c r="GPN31" s="63"/>
      <c r="GPO31" s="63"/>
      <c r="GPP31" s="63"/>
      <c r="GPQ31" s="63"/>
      <c r="GPR31" s="63"/>
      <c r="GPS31" s="63"/>
      <c r="GPT31" s="63"/>
      <c r="GPU31" s="63"/>
      <c r="GPV31" s="63"/>
      <c r="GPW31" s="63"/>
      <c r="GPX31" s="63"/>
      <c r="GPY31" s="63"/>
      <c r="GPZ31" s="63"/>
      <c r="GQA31" s="63"/>
      <c r="GQB31" s="63"/>
      <c r="GQC31" s="63"/>
      <c r="GQD31" s="63"/>
      <c r="GQE31" s="63"/>
      <c r="GQF31" s="63"/>
      <c r="GQG31" s="63"/>
      <c r="GQH31" s="63"/>
      <c r="GQI31" s="63"/>
      <c r="GQJ31" s="63"/>
      <c r="GQK31" s="63"/>
      <c r="GQL31" s="63"/>
      <c r="GQM31" s="63"/>
      <c r="GQN31" s="63"/>
      <c r="GQO31" s="63"/>
      <c r="GQP31" s="63"/>
      <c r="GQQ31" s="63"/>
      <c r="GQR31" s="63"/>
      <c r="GQS31" s="63"/>
      <c r="GQT31" s="63"/>
      <c r="GQU31" s="63"/>
      <c r="GQV31" s="63"/>
      <c r="GQW31" s="63"/>
      <c r="GQX31" s="63"/>
      <c r="GQY31" s="63"/>
      <c r="GQZ31" s="63"/>
      <c r="GRA31" s="63"/>
      <c r="GRB31" s="63"/>
      <c r="GRC31" s="63"/>
      <c r="GRD31" s="63"/>
      <c r="GRE31" s="63"/>
      <c r="GRF31" s="63"/>
      <c r="GRG31" s="63"/>
      <c r="GRH31" s="63"/>
      <c r="GRI31" s="63"/>
      <c r="GRJ31" s="63"/>
      <c r="GRK31" s="63"/>
      <c r="GRL31" s="63"/>
      <c r="GRM31" s="63"/>
      <c r="GRN31" s="63"/>
      <c r="GRO31" s="63"/>
      <c r="GRP31" s="63"/>
      <c r="GRQ31" s="63"/>
      <c r="GRR31" s="63"/>
      <c r="GRS31" s="63"/>
      <c r="GRT31" s="63"/>
      <c r="GRU31" s="63"/>
      <c r="GRV31" s="63"/>
      <c r="GRW31" s="63"/>
      <c r="GRX31" s="63"/>
      <c r="GRY31" s="63"/>
      <c r="GRZ31" s="63"/>
      <c r="GSA31" s="63"/>
      <c r="GSB31" s="63"/>
      <c r="GSC31" s="63"/>
      <c r="GSD31" s="63"/>
      <c r="GSE31" s="63"/>
      <c r="GSF31" s="63"/>
      <c r="GSG31" s="63"/>
      <c r="GSH31" s="63"/>
      <c r="GSI31" s="63"/>
      <c r="GSJ31" s="63"/>
      <c r="GSK31" s="63"/>
      <c r="GSL31" s="63"/>
      <c r="GSM31" s="63"/>
      <c r="GSN31" s="63"/>
      <c r="GSO31" s="63"/>
      <c r="GSP31" s="63"/>
      <c r="GSQ31" s="63"/>
      <c r="GSR31" s="63"/>
      <c r="GSS31" s="63"/>
      <c r="GST31" s="63"/>
      <c r="GSU31" s="63"/>
      <c r="GSV31" s="63"/>
      <c r="GSW31" s="63"/>
      <c r="GSX31" s="63"/>
      <c r="GSY31" s="63"/>
      <c r="GSZ31" s="63"/>
      <c r="GTA31" s="63"/>
      <c r="GTB31" s="63"/>
      <c r="GTC31" s="63"/>
      <c r="GTD31" s="63"/>
      <c r="GTE31" s="63"/>
      <c r="GTF31" s="63"/>
      <c r="GTG31" s="63"/>
      <c r="GTH31" s="63"/>
      <c r="GTI31" s="63"/>
      <c r="GTJ31" s="63"/>
      <c r="GTK31" s="63"/>
      <c r="GTL31" s="63"/>
      <c r="GTM31" s="63"/>
      <c r="GTN31" s="63"/>
      <c r="GTO31" s="63"/>
      <c r="GTP31" s="63"/>
      <c r="GTQ31" s="63"/>
      <c r="GTR31" s="63"/>
      <c r="GTS31" s="63"/>
      <c r="GTT31" s="63"/>
      <c r="GTU31" s="63"/>
      <c r="GTV31" s="63"/>
      <c r="GTW31" s="63"/>
      <c r="GTX31" s="63"/>
      <c r="GTY31" s="63"/>
      <c r="GTZ31" s="63"/>
      <c r="GUA31" s="63"/>
      <c r="GUB31" s="63"/>
      <c r="GUC31" s="63"/>
      <c r="GUD31" s="63"/>
      <c r="GUE31" s="63"/>
      <c r="GUF31" s="63"/>
      <c r="GUG31" s="63"/>
      <c r="GUH31" s="63"/>
      <c r="GUI31" s="63"/>
      <c r="GUJ31" s="63"/>
      <c r="GUK31" s="63"/>
      <c r="GUL31" s="63"/>
      <c r="GUM31" s="63"/>
      <c r="GUN31" s="63"/>
      <c r="GUO31" s="63"/>
      <c r="GUP31" s="63"/>
      <c r="GUQ31" s="63"/>
      <c r="GUR31" s="63"/>
      <c r="GUS31" s="63"/>
      <c r="GUT31" s="63"/>
      <c r="GUU31" s="63"/>
      <c r="GUV31" s="63"/>
      <c r="GUW31" s="63"/>
      <c r="GUX31" s="63"/>
      <c r="GUY31" s="63"/>
      <c r="GUZ31" s="63"/>
      <c r="GVA31" s="63"/>
      <c r="GVB31" s="63"/>
      <c r="GVC31" s="63"/>
      <c r="GVD31" s="63"/>
      <c r="GVE31" s="63"/>
      <c r="GVF31" s="63"/>
      <c r="GVG31" s="63"/>
      <c r="GVH31" s="63"/>
      <c r="GVI31" s="63"/>
      <c r="GVJ31" s="63"/>
      <c r="GVK31" s="63"/>
      <c r="GVL31" s="63"/>
      <c r="GVM31" s="63"/>
      <c r="GVN31" s="63"/>
      <c r="GVO31" s="63"/>
      <c r="GVP31" s="63"/>
      <c r="GVQ31" s="63"/>
      <c r="GVR31" s="63"/>
      <c r="GVS31" s="63"/>
      <c r="GVT31" s="63"/>
      <c r="GVU31" s="63"/>
      <c r="GVV31" s="63"/>
      <c r="GVW31" s="63"/>
      <c r="GVX31" s="63"/>
      <c r="GVY31" s="63"/>
      <c r="GVZ31" s="63"/>
      <c r="GWA31" s="63"/>
      <c r="GWB31" s="63"/>
      <c r="GWC31" s="63"/>
      <c r="GWD31" s="63"/>
      <c r="GWE31" s="63"/>
      <c r="GWF31" s="63"/>
      <c r="GWG31" s="63"/>
      <c r="GWH31" s="63"/>
      <c r="GWI31" s="63"/>
      <c r="GWJ31" s="63"/>
      <c r="GWK31" s="63"/>
      <c r="GWL31" s="63"/>
      <c r="GWM31" s="63"/>
      <c r="GWN31" s="63"/>
      <c r="GWO31" s="63"/>
      <c r="GWP31" s="63"/>
      <c r="GWQ31" s="63"/>
      <c r="GWR31" s="63"/>
      <c r="GWS31" s="63"/>
      <c r="GWT31" s="63"/>
      <c r="GWU31" s="63"/>
      <c r="GWV31" s="63"/>
      <c r="GWW31" s="63"/>
      <c r="GWX31" s="63"/>
      <c r="GWY31" s="63"/>
      <c r="GWZ31" s="63"/>
      <c r="GXA31" s="63"/>
      <c r="GXB31" s="63"/>
      <c r="GXC31" s="63"/>
      <c r="GXD31" s="63"/>
      <c r="GXE31" s="63"/>
      <c r="GXF31" s="63"/>
      <c r="GXG31" s="63"/>
      <c r="GXH31" s="63"/>
      <c r="GXI31" s="63"/>
      <c r="GXJ31" s="63"/>
      <c r="GXK31" s="63"/>
      <c r="GXL31" s="63"/>
      <c r="GXM31" s="63"/>
      <c r="GXN31" s="63"/>
      <c r="GXO31" s="63"/>
      <c r="GXP31" s="63"/>
      <c r="GXQ31" s="63"/>
      <c r="GXR31" s="63"/>
      <c r="GXS31" s="63"/>
      <c r="GXT31" s="63"/>
      <c r="GXU31" s="63"/>
      <c r="GXV31" s="63"/>
      <c r="GXW31" s="63"/>
      <c r="GXX31" s="63"/>
      <c r="GXY31" s="63"/>
      <c r="GXZ31" s="63"/>
      <c r="GYA31" s="63"/>
      <c r="GYB31" s="63"/>
      <c r="GYC31" s="63"/>
      <c r="GYD31" s="63"/>
      <c r="GYE31" s="63"/>
      <c r="GYF31" s="63"/>
      <c r="GYG31" s="63"/>
      <c r="GYH31" s="63"/>
      <c r="GYI31" s="63"/>
      <c r="GYJ31" s="63"/>
      <c r="GYK31" s="63"/>
      <c r="GYL31" s="63"/>
      <c r="GYM31" s="63"/>
      <c r="GYN31" s="63"/>
      <c r="GYO31" s="63"/>
      <c r="GYP31" s="63"/>
      <c r="GYQ31" s="63"/>
      <c r="GYR31" s="63"/>
      <c r="GYS31" s="63"/>
      <c r="GYT31" s="63"/>
      <c r="GYU31" s="63"/>
      <c r="GYV31" s="63"/>
      <c r="GYW31" s="63"/>
      <c r="GYX31" s="63"/>
      <c r="GYY31" s="63"/>
      <c r="GYZ31" s="63"/>
      <c r="GZA31" s="63"/>
      <c r="GZB31" s="63"/>
      <c r="GZC31" s="63"/>
      <c r="GZD31" s="63"/>
      <c r="GZE31" s="63"/>
      <c r="GZF31" s="63"/>
      <c r="GZG31" s="63"/>
      <c r="GZH31" s="63"/>
      <c r="GZI31" s="63"/>
      <c r="GZJ31" s="63"/>
      <c r="GZK31" s="63"/>
      <c r="GZL31" s="63"/>
      <c r="GZM31" s="63"/>
      <c r="GZN31" s="63"/>
      <c r="GZO31" s="63"/>
      <c r="GZP31" s="63"/>
      <c r="GZQ31" s="63"/>
      <c r="GZR31" s="63"/>
      <c r="GZS31" s="63"/>
      <c r="GZT31" s="63"/>
      <c r="GZU31" s="63"/>
      <c r="GZV31" s="63"/>
      <c r="GZW31" s="63"/>
      <c r="GZX31" s="63"/>
      <c r="GZY31" s="63"/>
      <c r="GZZ31" s="63"/>
      <c r="HAA31" s="63"/>
      <c r="HAB31" s="63"/>
      <c r="HAC31" s="63"/>
      <c r="HAD31" s="63"/>
      <c r="HAE31" s="63"/>
      <c r="HAF31" s="63"/>
      <c r="HAG31" s="63"/>
      <c r="HAH31" s="63"/>
      <c r="HAI31" s="63"/>
      <c r="HAJ31" s="63"/>
      <c r="HAK31" s="63"/>
      <c r="HAL31" s="63"/>
      <c r="HAM31" s="63"/>
      <c r="HAN31" s="63"/>
      <c r="HAO31" s="63"/>
      <c r="HAP31" s="63"/>
      <c r="HAQ31" s="63"/>
      <c r="HAR31" s="63"/>
      <c r="HAS31" s="63"/>
      <c r="HAT31" s="63"/>
      <c r="HAU31" s="63"/>
      <c r="HAV31" s="63"/>
      <c r="HAW31" s="63"/>
      <c r="HAX31" s="63"/>
      <c r="HAY31" s="63"/>
      <c r="HAZ31" s="63"/>
      <c r="HBA31" s="63"/>
      <c r="HBB31" s="63"/>
      <c r="HBC31" s="63"/>
      <c r="HBD31" s="63"/>
      <c r="HBE31" s="63"/>
      <c r="HBF31" s="63"/>
      <c r="HBG31" s="63"/>
      <c r="HBH31" s="63"/>
      <c r="HBI31" s="63"/>
      <c r="HBJ31" s="63"/>
      <c r="HBK31" s="63"/>
      <c r="HBL31" s="63"/>
      <c r="HBM31" s="63"/>
      <c r="HBN31" s="63"/>
      <c r="HBO31" s="63"/>
      <c r="HBP31" s="63"/>
      <c r="HBQ31" s="63"/>
      <c r="HBR31" s="63"/>
      <c r="HBS31" s="63"/>
      <c r="HBT31" s="63"/>
      <c r="HBU31" s="63"/>
      <c r="HBV31" s="63"/>
      <c r="HBW31" s="63"/>
      <c r="HBX31" s="63"/>
      <c r="HBY31" s="63"/>
      <c r="HBZ31" s="63"/>
      <c r="HCA31" s="63"/>
      <c r="HCB31" s="63"/>
      <c r="HCC31" s="63"/>
      <c r="HCD31" s="63"/>
      <c r="HCE31" s="63"/>
      <c r="HCF31" s="63"/>
      <c r="HCG31" s="63"/>
      <c r="HCH31" s="63"/>
      <c r="HCI31" s="63"/>
      <c r="HCJ31" s="63"/>
      <c r="HCK31" s="63"/>
      <c r="HCL31" s="63"/>
      <c r="HCM31" s="63"/>
      <c r="HCN31" s="63"/>
      <c r="HCO31" s="63"/>
      <c r="HCP31" s="63"/>
      <c r="HCQ31" s="63"/>
      <c r="HCR31" s="63"/>
      <c r="HCS31" s="63"/>
      <c r="HCT31" s="63"/>
      <c r="HCU31" s="63"/>
      <c r="HCV31" s="63"/>
      <c r="HCW31" s="63"/>
      <c r="HCX31" s="63"/>
      <c r="HCY31" s="63"/>
      <c r="HCZ31" s="63"/>
      <c r="HDA31" s="63"/>
      <c r="HDB31" s="63"/>
      <c r="HDC31" s="63"/>
      <c r="HDD31" s="63"/>
      <c r="HDE31" s="63"/>
      <c r="HDF31" s="63"/>
      <c r="HDG31" s="63"/>
      <c r="HDH31" s="63"/>
      <c r="HDI31" s="63"/>
      <c r="HDJ31" s="63"/>
      <c r="HDK31" s="63"/>
      <c r="HDL31" s="63"/>
      <c r="HDM31" s="63"/>
      <c r="HDN31" s="63"/>
      <c r="HDO31" s="63"/>
      <c r="HDP31" s="63"/>
      <c r="HDQ31" s="63"/>
      <c r="HDR31" s="63"/>
      <c r="HDS31" s="63"/>
      <c r="HDT31" s="63"/>
      <c r="HDU31" s="63"/>
      <c r="HDV31" s="63"/>
      <c r="HDW31" s="63"/>
      <c r="HDX31" s="63"/>
      <c r="HDY31" s="63"/>
      <c r="HDZ31" s="63"/>
      <c r="HEA31" s="63"/>
      <c r="HEB31" s="63"/>
      <c r="HEC31" s="63"/>
      <c r="HED31" s="63"/>
      <c r="HEE31" s="63"/>
      <c r="HEF31" s="63"/>
      <c r="HEG31" s="63"/>
      <c r="HEH31" s="63"/>
      <c r="HEI31" s="63"/>
      <c r="HEJ31" s="63"/>
      <c r="HEK31" s="63"/>
      <c r="HEL31" s="63"/>
      <c r="HEM31" s="63"/>
      <c r="HEN31" s="63"/>
      <c r="HEO31" s="63"/>
      <c r="HEP31" s="63"/>
      <c r="HEQ31" s="63"/>
      <c r="HER31" s="63"/>
      <c r="HES31" s="63"/>
      <c r="HET31" s="63"/>
      <c r="HEU31" s="63"/>
      <c r="HEV31" s="63"/>
      <c r="HEW31" s="63"/>
      <c r="HEX31" s="63"/>
      <c r="HEY31" s="63"/>
      <c r="HEZ31" s="63"/>
      <c r="HFA31" s="63"/>
      <c r="HFB31" s="63"/>
      <c r="HFC31" s="63"/>
      <c r="HFD31" s="63"/>
      <c r="HFE31" s="63"/>
      <c r="HFF31" s="63"/>
      <c r="HFG31" s="63"/>
      <c r="HFH31" s="63"/>
      <c r="HFI31" s="63"/>
      <c r="HFJ31" s="63"/>
      <c r="HFK31" s="63"/>
      <c r="HFL31" s="63"/>
      <c r="HFM31" s="63"/>
      <c r="HFN31" s="63"/>
      <c r="HFO31" s="63"/>
      <c r="HFP31" s="63"/>
      <c r="HFQ31" s="63"/>
      <c r="HFR31" s="63"/>
      <c r="HFS31" s="63"/>
      <c r="HFT31" s="63"/>
      <c r="HFU31" s="63"/>
      <c r="HFV31" s="63"/>
      <c r="HFW31" s="63"/>
      <c r="HFX31" s="63"/>
      <c r="HFY31" s="63"/>
      <c r="HFZ31" s="63"/>
      <c r="HGA31" s="63"/>
      <c r="HGB31" s="63"/>
      <c r="HGC31" s="63"/>
      <c r="HGD31" s="63"/>
      <c r="HGE31" s="63"/>
      <c r="HGF31" s="63"/>
      <c r="HGG31" s="63"/>
      <c r="HGH31" s="63"/>
      <c r="HGI31" s="63"/>
      <c r="HGJ31" s="63"/>
      <c r="HGK31" s="63"/>
      <c r="HGL31" s="63"/>
      <c r="HGM31" s="63"/>
      <c r="HGN31" s="63"/>
      <c r="HGO31" s="63"/>
      <c r="HGP31" s="63"/>
      <c r="HGQ31" s="63"/>
      <c r="HGR31" s="63"/>
      <c r="HGS31" s="63"/>
      <c r="HGT31" s="63"/>
      <c r="HGU31" s="63"/>
      <c r="HGV31" s="63"/>
      <c r="HGW31" s="63"/>
      <c r="HGX31" s="63"/>
      <c r="HGY31" s="63"/>
      <c r="HGZ31" s="63"/>
      <c r="HHA31" s="63"/>
      <c r="HHB31" s="63"/>
      <c r="HHC31" s="63"/>
      <c r="HHD31" s="63"/>
      <c r="HHE31" s="63"/>
      <c r="HHF31" s="63"/>
      <c r="HHG31" s="63"/>
      <c r="HHH31" s="63"/>
      <c r="HHI31" s="63"/>
      <c r="HHJ31" s="63"/>
      <c r="HHK31" s="63"/>
      <c r="HHL31" s="63"/>
      <c r="HHM31" s="63"/>
      <c r="HHN31" s="63"/>
      <c r="HHO31" s="63"/>
      <c r="HHP31" s="63"/>
      <c r="HHQ31" s="63"/>
      <c r="HHR31" s="63"/>
      <c r="HHS31" s="63"/>
      <c r="HHT31" s="63"/>
      <c r="HHU31" s="63"/>
      <c r="HHV31" s="63"/>
      <c r="HHW31" s="63"/>
      <c r="HHX31" s="63"/>
      <c r="HHY31" s="63"/>
      <c r="HHZ31" s="63"/>
      <c r="HIA31" s="63"/>
      <c r="HIB31" s="63"/>
      <c r="HIC31" s="63"/>
      <c r="HID31" s="63"/>
      <c r="HIE31" s="63"/>
      <c r="HIF31" s="63"/>
      <c r="HIG31" s="63"/>
      <c r="HIH31" s="63"/>
      <c r="HII31" s="63"/>
      <c r="HIJ31" s="63"/>
      <c r="HIK31" s="63"/>
      <c r="HIL31" s="63"/>
      <c r="HIM31" s="63"/>
      <c r="HIN31" s="63"/>
      <c r="HIO31" s="63"/>
      <c r="HIP31" s="63"/>
      <c r="HIQ31" s="63"/>
      <c r="HIR31" s="63"/>
      <c r="HIS31" s="63"/>
      <c r="HIT31" s="63"/>
      <c r="HIU31" s="63"/>
      <c r="HIV31" s="63"/>
      <c r="HIW31" s="63"/>
      <c r="HIX31" s="63"/>
      <c r="HIY31" s="63"/>
      <c r="HIZ31" s="63"/>
      <c r="HJA31" s="63"/>
      <c r="HJB31" s="63"/>
      <c r="HJC31" s="63"/>
      <c r="HJD31" s="63"/>
      <c r="HJE31" s="63"/>
      <c r="HJF31" s="63"/>
      <c r="HJG31" s="63"/>
      <c r="HJH31" s="63"/>
      <c r="HJI31" s="63"/>
      <c r="HJJ31" s="63"/>
      <c r="HJK31" s="63"/>
      <c r="HJL31" s="63"/>
      <c r="HJM31" s="63"/>
      <c r="HJN31" s="63"/>
      <c r="HJO31" s="63"/>
      <c r="HJP31" s="63"/>
      <c r="HJQ31" s="63"/>
      <c r="HJR31" s="63"/>
      <c r="HJS31" s="63"/>
      <c r="HJT31" s="63"/>
      <c r="HJU31" s="63"/>
      <c r="HJV31" s="63"/>
      <c r="HJW31" s="63"/>
      <c r="HJX31" s="63"/>
      <c r="HJY31" s="63"/>
      <c r="HJZ31" s="63"/>
      <c r="HKA31" s="63"/>
      <c r="HKB31" s="63"/>
      <c r="HKC31" s="63"/>
      <c r="HKD31" s="63"/>
      <c r="HKE31" s="63"/>
      <c r="HKF31" s="63"/>
      <c r="HKG31" s="63"/>
      <c r="HKH31" s="63"/>
      <c r="HKI31" s="63"/>
      <c r="HKJ31" s="63"/>
      <c r="HKK31" s="63"/>
      <c r="HKL31" s="63"/>
      <c r="HKM31" s="63"/>
      <c r="HKN31" s="63"/>
      <c r="HKO31" s="63"/>
      <c r="HKP31" s="63"/>
      <c r="HKQ31" s="63"/>
      <c r="HKR31" s="63"/>
      <c r="HKS31" s="63"/>
      <c r="HKT31" s="63"/>
      <c r="HKU31" s="63"/>
      <c r="HKV31" s="63"/>
      <c r="HKW31" s="63"/>
      <c r="HKX31" s="63"/>
      <c r="HKY31" s="63"/>
      <c r="HKZ31" s="63"/>
      <c r="HLA31" s="63"/>
      <c r="HLB31" s="63"/>
      <c r="HLC31" s="63"/>
      <c r="HLD31" s="63"/>
      <c r="HLE31" s="63"/>
      <c r="HLF31" s="63"/>
      <c r="HLG31" s="63"/>
      <c r="HLH31" s="63"/>
      <c r="HLI31" s="63"/>
      <c r="HLJ31" s="63"/>
      <c r="HLK31" s="63"/>
      <c r="HLL31" s="63"/>
      <c r="HLM31" s="63"/>
      <c r="HLN31" s="63"/>
      <c r="HLO31" s="63"/>
      <c r="HLP31" s="63"/>
      <c r="HLQ31" s="63"/>
      <c r="HLR31" s="63"/>
      <c r="HLS31" s="63"/>
      <c r="HLT31" s="63"/>
      <c r="HLU31" s="63"/>
      <c r="HLV31" s="63"/>
      <c r="HLW31" s="63"/>
      <c r="HLX31" s="63"/>
      <c r="HLY31" s="63"/>
      <c r="HLZ31" s="63"/>
      <c r="HMA31" s="63"/>
      <c r="HMB31" s="63"/>
      <c r="HMC31" s="63"/>
      <c r="HMD31" s="63"/>
      <c r="HME31" s="63"/>
      <c r="HMF31" s="63"/>
      <c r="HMG31" s="63"/>
      <c r="HMH31" s="63"/>
      <c r="HMI31" s="63"/>
      <c r="HMJ31" s="63"/>
      <c r="HMK31" s="63"/>
      <c r="HML31" s="63"/>
      <c r="HMM31" s="63"/>
      <c r="HMN31" s="63"/>
      <c r="HMO31" s="63"/>
      <c r="HMP31" s="63"/>
      <c r="HMQ31" s="63"/>
      <c r="HMR31" s="63"/>
      <c r="HMS31" s="63"/>
      <c r="HMT31" s="63"/>
      <c r="HMU31" s="63"/>
      <c r="HMV31" s="63"/>
      <c r="HMW31" s="63"/>
      <c r="HMX31" s="63"/>
      <c r="HMY31" s="63"/>
      <c r="HMZ31" s="63"/>
      <c r="HNA31" s="63"/>
      <c r="HNB31" s="63"/>
      <c r="HNC31" s="63"/>
      <c r="HND31" s="63"/>
      <c r="HNE31" s="63"/>
      <c r="HNF31" s="63"/>
      <c r="HNG31" s="63"/>
      <c r="HNH31" s="63"/>
      <c r="HNI31" s="63"/>
      <c r="HNJ31" s="63"/>
      <c r="HNK31" s="63"/>
      <c r="HNL31" s="63"/>
      <c r="HNM31" s="63"/>
      <c r="HNN31" s="63"/>
      <c r="HNO31" s="63"/>
      <c r="HNP31" s="63"/>
      <c r="HNQ31" s="63"/>
      <c r="HNR31" s="63"/>
      <c r="HNS31" s="63"/>
      <c r="HNT31" s="63"/>
      <c r="HNU31" s="63"/>
      <c r="HNV31" s="63"/>
      <c r="HNW31" s="63"/>
      <c r="HNX31" s="63"/>
      <c r="HNY31" s="63"/>
      <c r="HNZ31" s="63"/>
      <c r="HOA31" s="63"/>
      <c r="HOB31" s="63"/>
      <c r="HOC31" s="63"/>
      <c r="HOD31" s="63"/>
      <c r="HOE31" s="63"/>
      <c r="HOF31" s="63"/>
      <c r="HOG31" s="63"/>
      <c r="HOH31" s="63"/>
      <c r="HOI31" s="63"/>
      <c r="HOJ31" s="63"/>
      <c r="HOK31" s="63"/>
      <c r="HOL31" s="63"/>
      <c r="HOM31" s="63"/>
      <c r="HON31" s="63"/>
      <c r="HOO31" s="63"/>
      <c r="HOP31" s="63"/>
      <c r="HOQ31" s="63"/>
      <c r="HOR31" s="63"/>
      <c r="HOS31" s="63"/>
      <c r="HOT31" s="63"/>
      <c r="HOU31" s="63"/>
      <c r="HOV31" s="63"/>
      <c r="HOW31" s="63"/>
      <c r="HOX31" s="63"/>
      <c r="HOY31" s="63"/>
      <c r="HOZ31" s="63"/>
      <c r="HPA31" s="63"/>
      <c r="HPB31" s="63"/>
      <c r="HPC31" s="63"/>
      <c r="HPD31" s="63"/>
      <c r="HPE31" s="63"/>
      <c r="HPF31" s="63"/>
      <c r="HPG31" s="63"/>
      <c r="HPH31" s="63"/>
      <c r="HPI31" s="63"/>
      <c r="HPJ31" s="63"/>
      <c r="HPK31" s="63"/>
      <c r="HPL31" s="63"/>
      <c r="HPM31" s="63"/>
      <c r="HPN31" s="63"/>
      <c r="HPO31" s="63"/>
      <c r="HPP31" s="63"/>
      <c r="HPQ31" s="63"/>
      <c r="HPR31" s="63"/>
      <c r="HPS31" s="63"/>
      <c r="HPT31" s="63"/>
      <c r="HPU31" s="63"/>
      <c r="HPV31" s="63"/>
      <c r="HPW31" s="63"/>
      <c r="HPX31" s="63"/>
      <c r="HPY31" s="63"/>
      <c r="HPZ31" s="63"/>
      <c r="HQA31" s="63"/>
      <c r="HQB31" s="63"/>
      <c r="HQC31" s="63"/>
      <c r="HQD31" s="63"/>
      <c r="HQE31" s="63"/>
      <c r="HQF31" s="63"/>
      <c r="HQG31" s="63"/>
      <c r="HQH31" s="63"/>
      <c r="HQI31" s="63"/>
      <c r="HQJ31" s="63"/>
      <c r="HQK31" s="63"/>
      <c r="HQL31" s="63"/>
      <c r="HQM31" s="63"/>
      <c r="HQN31" s="63"/>
      <c r="HQO31" s="63"/>
      <c r="HQP31" s="63"/>
      <c r="HQQ31" s="63"/>
      <c r="HQR31" s="63"/>
      <c r="HQS31" s="63"/>
      <c r="HQT31" s="63"/>
      <c r="HQU31" s="63"/>
      <c r="HQV31" s="63"/>
      <c r="HQW31" s="63"/>
      <c r="HQX31" s="63"/>
      <c r="HQY31" s="63"/>
      <c r="HQZ31" s="63"/>
      <c r="HRA31" s="63"/>
      <c r="HRB31" s="63"/>
      <c r="HRC31" s="63"/>
      <c r="HRD31" s="63"/>
      <c r="HRE31" s="63"/>
      <c r="HRF31" s="63"/>
      <c r="HRG31" s="63"/>
      <c r="HRH31" s="63"/>
      <c r="HRI31" s="63"/>
      <c r="HRJ31" s="63"/>
      <c r="HRK31" s="63"/>
      <c r="HRL31" s="63"/>
      <c r="HRM31" s="63"/>
      <c r="HRN31" s="63"/>
      <c r="HRO31" s="63"/>
      <c r="HRP31" s="63"/>
      <c r="HRQ31" s="63"/>
      <c r="HRR31" s="63"/>
      <c r="HRS31" s="63"/>
      <c r="HRT31" s="63"/>
      <c r="HRU31" s="63"/>
      <c r="HRV31" s="63"/>
      <c r="HRW31" s="63"/>
      <c r="HRX31" s="63"/>
      <c r="HRY31" s="63"/>
      <c r="HRZ31" s="63"/>
      <c r="HSA31" s="63"/>
      <c r="HSB31" s="63"/>
      <c r="HSC31" s="63"/>
      <c r="HSD31" s="63"/>
      <c r="HSE31" s="63"/>
      <c r="HSF31" s="63"/>
      <c r="HSG31" s="63"/>
      <c r="HSH31" s="63"/>
      <c r="HSI31" s="63"/>
      <c r="HSJ31" s="63"/>
      <c r="HSK31" s="63"/>
      <c r="HSL31" s="63"/>
      <c r="HSM31" s="63"/>
      <c r="HSN31" s="63"/>
      <c r="HSO31" s="63"/>
      <c r="HSP31" s="63"/>
      <c r="HSQ31" s="63"/>
      <c r="HSR31" s="63"/>
      <c r="HSS31" s="63"/>
      <c r="HST31" s="63"/>
      <c r="HSU31" s="63"/>
      <c r="HSV31" s="63"/>
      <c r="HSW31" s="63"/>
      <c r="HSX31" s="63"/>
      <c r="HSY31" s="63"/>
      <c r="HSZ31" s="63"/>
      <c r="HTA31" s="63"/>
      <c r="HTB31" s="63"/>
      <c r="HTC31" s="63"/>
      <c r="HTD31" s="63"/>
      <c r="HTE31" s="63"/>
      <c r="HTF31" s="63"/>
      <c r="HTG31" s="63"/>
      <c r="HTH31" s="63"/>
      <c r="HTI31" s="63"/>
      <c r="HTJ31" s="63"/>
      <c r="HTK31" s="63"/>
      <c r="HTL31" s="63"/>
      <c r="HTM31" s="63"/>
      <c r="HTN31" s="63"/>
      <c r="HTO31" s="63"/>
      <c r="HTP31" s="63"/>
      <c r="HTQ31" s="63"/>
      <c r="HTR31" s="63"/>
      <c r="HTS31" s="63"/>
      <c r="HTT31" s="63"/>
      <c r="HTU31" s="63"/>
      <c r="HTV31" s="63"/>
      <c r="HTW31" s="63"/>
      <c r="HTX31" s="63"/>
      <c r="HTY31" s="63"/>
      <c r="HTZ31" s="63"/>
      <c r="HUA31" s="63"/>
      <c r="HUB31" s="63"/>
      <c r="HUC31" s="63"/>
      <c r="HUD31" s="63"/>
      <c r="HUE31" s="63"/>
      <c r="HUF31" s="63"/>
      <c r="HUG31" s="63"/>
      <c r="HUH31" s="63"/>
      <c r="HUI31" s="63"/>
      <c r="HUJ31" s="63"/>
      <c r="HUK31" s="63"/>
      <c r="HUL31" s="63"/>
      <c r="HUM31" s="63"/>
      <c r="HUN31" s="63"/>
      <c r="HUO31" s="63"/>
      <c r="HUP31" s="63"/>
      <c r="HUQ31" s="63"/>
      <c r="HUR31" s="63"/>
      <c r="HUS31" s="63"/>
      <c r="HUT31" s="63"/>
      <c r="HUU31" s="63"/>
      <c r="HUV31" s="63"/>
      <c r="HUW31" s="63"/>
      <c r="HUX31" s="63"/>
      <c r="HUY31" s="63"/>
      <c r="HUZ31" s="63"/>
      <c r="HVA31" s="63"/>
      <c r="HVB31" s="63"/>
      <c r="HVC31" s="63"/>
      <c r="HVD31" s="63"/>
      <c r="HVE31" s="63"/>
      <c r="HVF31" s="63"/>
      <c r="HVG31" s="63"/>
      <c r="HVH31" s="63"/>
      <c r="HVI31" s="63"/>
      <c r="HVJ31" s="63"/>
      <c r="HVK31" s="63"/>
      <c r="HVL31" s="63"/>
      <c r="HVM31" s="63"/>
      <c r="HVN31" s="63"/>
      <c r="HVO31" s="63"/>
      <c r="HVP31" s="63"/>
      <c r="HVQ31" s="63"/>
      <c r="HVR31" s="63"/>
      <c r="HVS31" s="63"/>
      <c r="HVT31" s="63"/>
      <c r="HVU31" s="63"/>
      <c r="HVV31" s="63"/>
      <c r="HVW31" s="63"/>
      <c r="HVX31" s="63"/>
      <c r="HVY31" s="63"/>
      <c r="HVZ31" s="63"/>
      <c r="HWA31" s="63"/>
      <c r="HWB31" s="63"/>
      <c r="HWC31" s="63"/>
      <c r="HWD31" s="63"/>
      <c r="HWE31" s="63"/>
      <c r="HWF31" s="63"/>
      <c r="HWG31" s="63"/>
      <c r="HWH31" s="63"/>
      <c r="HWI31" s="63"/>
      <c r="HWJ31" s="63"/>
      <c r="HWK31" s="63"/>
      <c r="HWL31" s="63"/>
      <c r="HWM31" s="63"/>
      <c r="HWN31" s="63"/>
      <c r="HWO31" s="63"/>
      <c r="HWP31" s="63"/>
      <c r="HWQ31" s="63"/>
      <c r="HWR31" s="63"/>
      <c r="HWS31" s="63"/>
      <c r="HWT31" s="63"/>
      <c r="HWU31" s="63"/>
      <c r="HWV31" s="63"/>
      <c r="HWW31" s="63"/>
      <c r="HWX31" s="63"/>
      <c r="HWY31" s="63"/>
      <c r="HWZ31" s="63"/>
      <c r="HXA31" s="63"/>
      <c r="HXB31" s="63"/>
      <c r="HXC31" s="63"/>
      <c r="HXD31" s="63"/>
      <c r="HXE31" s="63"/>
      <c r="HXF31" s="63"/>
      <c r="HXG31" s="63"/>
      <c r="HXH31" s="63"/>
      <c r="HXI31" s="63"/>
      <c r="HXJ31" s="63"/>
      <c r="HXK31" s="63"/>
      <c r="HXL31" s="63"/>
      <c r="HXM31" s="63"/>
      <c r="HXN31" s="63"/>
      <c r="HXO31" s="63"/>
      <c r="HXP31" s="63"/>
      <c r="HXQ31" s="63"/>
      <c r="HXR31" s="63"/>
      <c r="HXS31" s="63"/>
      <c r="HXT31" s="63"/>
      <c r="HXU31" s="63"/>
      <c r="HXV31" s="63"/>
      <c r="HXW31" s="63"/>
      <c r="HXX31" s="63"/>
      <c r="HXY31" s="63"/>
      <c r="HXZ31" s="63"/>
      <c r="HYA31" s="63"/>
      <c r="HYB31" s="63"/>
      <c r="HYC31" s="63"/>
      <c r="HYD31" s="63"/>
      <c r="HYE31" s="63"/>
      <c r="HYF31" s="63"/>
      <c r="HYG31" s="63"/>
      <c r="HYH31" s="63"/>
      <c r="HYI31" s="63"/>
      <c r="HYJ31" s="63"/>
      <c r="HYK31" s="63"/>
      <c r="HYL31" s="63"/>
      <c r="HYM31" s="63"/>
      <c r="HYN31" s="63"/>
      <c r="HYO31" s="63"/>
      <c r="HYP31" s="63"/>
      <c r="HYQ31" s="63"/>
      <c r="HYR31" s="63"/>
      <c r="HYS31" s="63"/>
      <c r="HYT31" s="63"/>
      <c r="HYU31" s="63"/>
      <c r="HYV31" s="63"/>
      <c r="HYW31" s="63"/>
      <c r="HYX31" s="63"/>
      <c r="HYY31" s="63"/>
      <c r="HYZ31" s="63"/>
      <c r="HZA31" s="63"/>
      <c r="HZB31" s="63"/>
      <c r="HZC31" s="63"/>
      <c r="HZD31" s="63"/>
      <c r="HZE31" s="63"/>
      <c r="HZF31" s="63"/>
      <c r="HZG31" s="63"/>
      <c r="HZH31" s="63"/>
      <c r="HZI31" s="63"/>
      <c r="HZJ31" s="63"/>
      <c r="HZK31" s="63"/>
      <c r="HZL31" s="63"/>
      <c r="HZM31" s="63"/>
      <c r="HZN31" s="63"/>
      <c r="HZO31" s="63"/>
      <c r="HZP31" s="63"/>
      <c r="HZQ31" s="63"/>
      <c r="HZR31" s="63"/>
      <c r="HZS31" s="63"/>
      <c r="HZT31" s="63"/>
      <c r="HZU31" s="63"/>
      <c r="HZV31" s="63"/>
      <c r="HZW31" s="63"/>
      <c r="HZX31" s="63"/>
      <c r="HZY31" s="63"/>
      <c r="HZZ31" s="63"/>
      <c r="IAA31" s="63"/>
      <c r="IAB31" s="63"/>
      <c r="IAC31" s="63"/>
      <c r="IAD31" s="63"/>
      <c r="IAE31" s="63"/>
      <c r="IAF31" s="63"/>
      <c r="IAG31" s="63"/>
      <c r="IAH31" s="63"/>
      <c r="IAI31" s="63"/>
      <c r="IAJ31" s="63"/>
      <c r="IAK31" s="63"/>
      <c r="IAL31" s="63"/>
      <c r="IAM31" s="63"/>
      <c r="IAN31" s="63"/>
      <c r="IAO31" s="63"/>
      <c r="IAP31" s="63"/>
      <c r="IAQ31" s="63"/>
      <c r="IAR31" s="63"/>
      <c r="IAS31" s="63"/>
      <c r="IAT31" s="63"/>
      <c r="IAU31" s="63"/>
      <c r="IAV31" s="63"/>
      <c r="IAW31" s="63"/>
      <c r="IAX31" s="63"/>
      <c r="IAY31" s="63"/>
      <c r="IAZ31" s="63"/>
      <c r="IBA31" s="63"/>
      <c r="IBB31" s="63"/>
      <c r="IBC31" s="63"/>
      <c r="IBD31" s="63"/>
      <c r="IBE31" s="63"/>
      <c r="IBF31" s="63"/>
      <c r="IBG31" s="63"/>
      <c r="IBH31" s="63"/>
      <c r="IBI31" s="63"/>
      <c r="IBJ31" s="63"/>
      <c r="IBK31" s="63"/>
      <c r="IBL31" s="63"/>
      <c r="IBM31" s="63"/>
      <c r="IBN31" s="63"/>
      <c r="IBO31" s="63"/>
      <c r="IBP31" s="63"/>
      <c r="IBQ31" s="63"/>
      <c r="IBR31" s="63"/>
      <c r="IBS31" s="63"/>
      <c r="IBT31" s="63"/>
      <c r="IBU31" s="63"/>
      <c r="IBV31" s="63"/>
      <c r="IBW31" s="63"/>
      <c r="IBX31" s="63"/>
      <c r="IBY31" s="63"/>
      <c r="IBZ31" s="63"/>
      <c r="ICA31" s="63"/>
      <c r="ICB31" s="63"/>
      <c r="ICC31" s="63"/>
      <c r="ICD31" s="63"/>
      <c r="ICE31" s="63"/>
      <c r="ICF31" s="63"/>
      <c r="ICG31" s="63"/>
      <c r="ICH31" s="63"/>
      <c r="ICI31" s="63"/>
      <c r="ICJ31" s="63"/>
      <c r="ICK31" s="63"/>
      <c r="ICL31" s="63"/>
      <c r="ICM31" s="63"/>
      <c r="ICN31" s="63"/>
      <c r="ICO31" s="63"/>
      <c r="ICP31" s="63"/>
      <c r="ICQ31" s="63"/>
      <c r="ICR31" s="63"/>
      <c r="ICS31" s="63"/>
      <c r="ICT31" s="63"/>
      <c r="ICU31" s="63"/>
      <c r="ICV31" s="63"/>
      <c r="ICW31" s="63"/>
      <c r="ICX31" s="63"/>
      <c r="ICY31" s="63"/>
      <c r="ICZ31" s="63"/>
      <c r="IDA31" s="63"/>
      <c r="IDB31" s="63"/>
      <c r="IDC31" s="63"/>
      <c r="IDD31" s="63"/>
      <c r="IDE31" s="63"/>
      <c r="IDF31" s="63"/>
      <c r="IDG31" s="63"/>
      <c r="IDH31" s="63"/>
      <c r="IDI31" s="63"/>
      <c r="IDJ31" s="63"/>
      <c r="IDK31" s="63"/>
      <c r="IDL31" s="63"/>
      <c r="IDM31" s="63"/>
      <c r="IDN31" s="63"/>
      <c r="IDO31" s="63"/>
      <c r="IDP31" s="63"/>
      <c r="IDQ31" s="63"/>
      <c r="IDR31" s="63"/>
      <c r="IDS31" s="63"/>
      <c r="IDT31" s="63"/>
      <c r="IDU31" s="63"/>
      <c r="IDV31" s="63"/>
      <c r="IDW31" s="63"/>
      <c r="IDX31" s="63"/>
      <c r="IDY31" s="63"/>
      <c r="IDZ31" s="63"/>
      <c r="IEA31" s="63"/>
      <c r="IEB31" s="63"/>
      <c r="IEC31" s="63"/>
      <c r="IED31" s="63"/>
      <c r="IEE31" s="63"/>
      <c r="IEF31" s="63"/>
      <c r="IEG31" s="63"/>
      <c r="IEH31" s="63"/>
      <c r="IEI31" s="63"/>
      <c r="IEJ31" s="63"/>
      <c r="IEK31" s="63"/>
      <c r="IEL31" s="63"/>
      <c r="IEM31" s="63"/>
      <c r="IEN31" s="63"/>
      <c r="IEO31" s="63"/>
      <c r="IEP31" s="63"/>
      <c r="IEQ31" s="63"/>
      <c r="IER31" s="63"/>
      <c r="IES31" s="63"/>
      <c r="IET31" s="63"/>
      <c r="IEU31" s="63"/>
      <c r="IEV31" s="63"/>
      <c r="IEW31" s="63"/>
      <c r="IEX31" s="63"/>
      <c r="IEY31" s="63"/>
      <c r="IEZ31" s="63"/>
      <c r="IFA31" s="63"/>
      <c r="IFB31" s="63"/>
      <c r="IFC31" s="63"/>
      <c r="IFD31" s="63"/>
      <c r="IFE31" s="63"/>
      <c r="IFF31" s="63"/>
      <c r="IFG31" s="63"/>
      <c r="IFH31" s="63"/>
      <c r="IFI31" s="63"/>
      <c r="IFJ31" s="63"/>
      <c r="IFK31" s="63"/>
      <c r="IFL31" s="63"/>
      <c r="IFM31" s="63"/>
      <c r="IFN31" s="63"/>
      <c r="IFO31" s="63"/>
      <c r="IFP31" s="63"/>
      <c r="IFQ31" s="63"/>
      <c r="IFR31" s="63"/>
      <c r="IFS31" s="63"/>
      <c r="IFT31" s="63"/>
      <c r="IFU31" s="63"/>
      <c r="IFV31" s="63"/>
      <c r="IFW31" s="63"/>
      <c r="IFX31" s="63"/>
      <c r="IFY31" s="63"/>
      <c r="IFZ31" s="63"/>
      <c r="IGA31" s="63"/>
      <c r="IGB31" s="63"/>
      <c r="IGC31" s="63"/>
      <c r="IGD31" s="63"/>
      <c r="IGE31" s="63"/>
      <c r="IGF31" s="63"/>
      <c r="IGG31" s="63"/>
      <c r="IGH31" s="63"/>
      <c r="IGI31" s="63"/>
      <c r="IGJ31" s="63"/>
      <c r="IGK31" s="63"/>
      <c r="IGL31" s="63"/>
      <c r="IGM31" s="63"/>
      <c r="IGN31" s="63"/>
      <c r="IGO31" s="63"/>
      <c r="IGP31" s="63"/>
      <c r="IGQ31" s="63"/>
      <c r="IGR31" s="63"/>
      <c r="IGS31" s="63"/>
      <c r="IGT31" s="63"/>
      <c r="IGU31" s="63"/>
      <c r="IGV31" s="63"/>
      <c r="IGW31" s="63"/>
      <c r="IGX31" s="63"/>
      <c r="IGY31" s="63"/>
      <c r="IGZ31" s="63"/>
      <c r="IHA31" s="63"/>
      <c r="IHB31" s="63"/>
      <c r="IHC31" s="63"/>
      <c r="IHD31" s="63"/>
      <c r="IHE31" s="63"/>
      <c r="IHF31" s="63"/>
      <c r="IHG31" s="63"/>
      <c r="IHH31" s="63"/>
      <c r="IHI31" s="63"/>
      <c r="IHJ31" s="63"/>
      <c r="IHK31" s="63"/>
      <c r="IHL31" s="63"/>
      <c r="IHM31" s="63"/>
      <c r="IHN31" s="63"/>
      <c r="IHO31" s="63"/>
      <c r="IHP31" s="63"/>
      <c r="IHQ31" s="63"/>
      <c r="IHR31" s="63"/>
      <c r="IHS31" s="63"/>
      <c r="IHT31" s="63"/>
      <c r="IHU31" s="63"/>
      <c r="IHV31" s="63"/>
      <c r="IHW31" s="63"/>
      <c r="IHX31" s="63"/>
      <c r="IHY31" s="63"/>
      <c r="IHZ31" s="63"/>
      <c r="IIA31" s="63"/>
      <c r="IIB31" s="63"/>
      <c r="IIC31" s="63"/>
      <c r="IID31" s="63"/>
      <c r="IIE31" s="63"/>
      <c r="IIF31" s="63"/>
      <c r="IIG31" s="63"/>
      <c r="IIH31" s="63"/>
      <c r="III31" s="63"/>
      <c r="IIJ31" s="63"/>
      <c r="IIK31" s="63"/>
      <c r="IIL31" s="63"/>
      <c r="IIM31" s="63"/>
      <c r="IIN31" s="63"/>
      <c r="IIO31" s="63"/>
      <c r="IIP31" s="63"/>
      <c r="IIQ31" s="63"/>
      <c r="IIR31" s="63"/>
      <c r="IIS31" s="63"/>
      <c r="IIT31" s="63"/>
      <c r="IIU31" s="63"/>
      <c r="IIV31" s="63"/>
      <c r="IIW31" s="63"/>
      <c r="IIX31" s="63"/>
      <c r="IIY31" s="63"/>
      <c r="IIZ31" s="63"/>
      <c r="IJA31" s="63"/>
      <c r="IJB31" s="63"/>
      <c r="IJC31" s="63"/>
      <c r="IJD31" s="63"/>
      <c r="IJE31" s="63"/>
      <c r="IJF31" s="63"/>
      <c r="IJG31" s="63"/>
      <c r="IJH31" s="63"/>
      <c r="IJI31" s="63"/>
      <c r="IJJ31" s="63"/>
      <c r="IJK31" s="63"/>
      <c r="IJL31" s="63"/>
      <c r="IJM31" s="63"/>
      <c r="IJN31" s="63"/>
      <c r="IJO31" s="63"/>
      <c r="IJP31" s="63"/>
      <c r="IJQ31" s="63"/>
      <c r="IJR31" s="63"/>
      <c r="IJS31" s="63"/>
      <c r="IJT31" s="63"/>
      <c r="IJU31" s="63"/>
      <c r="IJV31" s="63"/>
      <c r="IJW31" s="63"/>
      <c r="IJX31" s="63"/>
      <c r="IJY31" s="63"/>
      <c r="IJZ31" s="63"/>
      <c r="IKA31" s="63"/>
      <c r="IKB31" s="63"/>
      <c r="IKC31" s="63"/>
      <c r="IKD31" s="63"/>
      <c r="IKE31" s="63"/>
      <c r="IKF31" s="63"/>
      <c r="IKG31" s="63"/>
      <c r="IKH31" s="63"/>
      <c r="IKI31" s="63"/>
      <c r="IKJ31" s="63"/>
      <c r="IKK31" s="63"/>
      <c r="IKL31" s="63"/>
      <c r="IKM31" s="63"/>
      <c r="IKN31" s="63"/>
      <c r="IKO31" s="63"/>
      <c r="IKP31" s="63"/>
      <c r="IKQ31" s="63"/>
      <c r="IKR31" s="63"/>
      <c r="IKS31" s="63"/>
      <c r="IKT31" s="63"/>
      <c r="IKU31" s="63"/>
      <c r="IKV31" s="63"/>
      <c r="IKW31" s="63"/>
      <c r="IKX31" s="63"/>
      <c r="IKY31" s="63"/>
      <c r="IKZ31" s="63"/>
      <c r="ILA31" s="63"/>
      <c r="ILB31" s="63"/>
      <c r="ILC31" s="63"/>
      <c r="ILD31" s="63"/>
      <c r="ILE31" s="63"/>
      <c r="ILF31" s="63"/>
      <c r="ILG31" s="63"/>
      <c r="ILH31" s="63"/>
      <c r="ILI31" s="63"/>
      <c r="ILJ31" s="63"/>
      <c r="ILK31" s="63"/>
      <c r="ILL31" s="63"/>
      <c r="ILM31" s="63"/>
      <c r="ILN31" s="63"/>
      <c r="ILO31" s="63"/>
      <c r="ILP31" s="63"/>
      <c r="ILQ31" s="63"/>
      <c r="ILR31" s="63"/>
      <c r="ILS31" s="63"/>
      <c r="ILT31" s="63"/>
      <c r="ILU31" s="63"/>
      <c r="ILV31" s="63"/>
      <c r="ILW31" s="63"/>
      <c r="ILX31" s="63"/>
      <c r="ILY31" s="63"/>
      <c r="ILZ31" s="63"/>
      <c r="IMA31" s="63"/>
      <c r="IMB31" s="63"/>
      <c r="IMC31" s="63"/>
      <c r="IMD31" s="63"/>
      <c r="IME31" s="63"/>
      <c r="IMF31" s="63"/>
      <c r="IMG31" s="63"/>
      <c r="IMH31" s="63"/>
      <c r="IMI31" s="63"/>
      <c r="IMJ31" s="63"/>
      <c r="IMK31" s="63"/>
      <c r="IML31" s="63"/>
      <c r="IMM31" s="63"/>
      <c r="IMN31" s="63"/>
      <c r="IMO31" s="63"/>
      <c r="IMP31" s="63"/>
      <c r="IMQ31" s="63"/>
      <c r="IMR31" s="63"/>
      <c r="IMS31" s="63"/>
      <c r="IMT31" s="63"/>
      <c r="IMU31" s="63"/>
      <c r="IMV31" s="63"/>
      <c r="IMW31" s="63"/>
      <c r="IMX31" s="63"/>
      <c r="IMY31" s="63"/>
      <c r="IMZ31" s="63"/>
      <c r="INA31" s="63"/>
      <c r="INB31" s="63"/>
      <c r="INC31" s="63"/>
      <c r="IND31" s="63"/>
      <c r="INE31" s="63"/>
      <c r="INF31" s="63"/>
      <c r="ING31" s="63"/>
      <c r="INH31" s="63"/>
      <c r="INI31" s="63"/>
      <c r="INJ31" s="63"/>
      <c r="INK31" s="63"/>
      <c r="INL31" s="63"/>
      <c r="INM31" s="63"/>
      <c r="INN31" s="63"/>
      <c r="INO31" s="63"/>
      <c r="INP31" s="63"/>
      <c r="INQ31" s="63"/>
      <c r="INR31" s="63"/>
      <c r="INS31" s="63"/>
      <c r="INT31" s="63"/>
      <c r="INU31" s="63"/>
      <c r="INV31" s="63"/>
      <c r="INW31" s="63"/>
      <c r="INX31" s="63"/>
      <c r="INY31" s="63"/>
      <c r="INZ31" s="63"/>
      <c r="IOA31" s="63"/>
      <c r="IOB31" s="63"/>
      <c r="IOC31" s="63"/>
      <c r="IOD31" s="63"/>
      <c r="IOE31" s="63"/>
      <c r="IOF31" s="63"/>
      <c r="IOG31" s="63"/>
      <c r="IOH31" s="63"/>
      <c r="IOI31" s="63"/>
      <c r="IOJ31" s="63"/>
      <c r="IOK31" s="63"/>
      <c r="IOL31" s="63"/>
      <c r="IOM31" s="63"/>
      <c r="ION31" s="63"/>
      <c r="IOO31" s="63"/>
      <c r="IOP31" s="63"/>
      <c r="IOQ31" s="63"/>
      <c r="IOR31" s="63"/>
      <c r="IOS31" s="63"/>
      <c r="IOT31" s="63"/>
      <c r="IOU31" s="63"/>
      <c r="IOV31" s="63"/>
      <c r="IOW31" s="63"/>
      <c r="IOX31" s="63"/>
      <c r="IOY31" s="63"/>
      <c r="IOZ31" s="63"/>
      <c r="IPA31" s="63"/>
      <c r="IPB31" s="63"/>
      <c r="IPC31" s="63"/>
      <c r="IPD31" s="63"/>
      <c r="IPE31" s="63"/>
      <c r="IPF31" s="63"/>
      <c r="IPG31" s="63"/>
      <c r="IPH31" s="63"/>
      <c r="IPI31" s="63"/>
      <c r="IPJ31" s="63"/>
      <c r="IPK31" s="63"/>
      <c r="IPL31" s="63"/>
      <c r="IPM31" s="63"/>
      <c r="IPN31" s="63"/>
      <c r="IPO31" s="63"/>
      <c r="IPP31" s="63"/>
      <c r="IPQ31" s="63"/>
      <c r="IPR31" s="63"/>
      <c r="IPS31" s="63"/>
      <c r="IPT31" s="63"/>
      <c r="IPU31" s="63"/>
      <c r="IPV31" s="63"/>
      <c r="IPW31" s="63"/>
      <c r="IPX31" s="63"/>
      <c r="IPY31" s="63"/>
      <c r="IPZ31" s="63"/>
      <c r="IQA31" s="63"/>
      <c r="IQB31" s="63"/>
      <c r="IQC31" s="63"/>
      <c r="IQD31" s="63"/>
      <c r="IQE31" s="63"/>
      <c r="IQF31" s="63"/>
      <c r="IQG31" s="63"/>
      <c r="IQH31" s="63"/>
      <c r="IQI31" s="63"/>
      <c r="IQJ31" s="63"/>
      <c r="IQK31" s="63"/>
      <c r="IQL31" s="63"/>
      <c r="IQM31" s="63"/>
      <c r="IQN31" s="63"/>
      <c r="IQO31" s="63"/>
      <c r="IQP31" s="63"/>
      <c r="IQQ31" s="63"/>
      <c r="IQR31" s="63"/>
      <c r="IQS31" s="63"/>
      <c r="IQT31" s="63"/>
      <c r="IQU31" s="63"/>
      <c r="IQV31" s="63"/>
      <c r="IQW31" s="63"/>
      <c r="IQX31" s="63"/>
      <c r="IQY31" s="63"/>
      <c r="IQZ31" s="63"/>
      <c r="IRA31" s="63"/>
      <c r="IRB31" s="63"/>
      <c r="IRC31" s="63"/>
      <c r="IRD31" s="63"/>
      <c r="IRE31" s="63"/>
      <c r="IRF31" s="63"/>
      <c r="IRG31" s="63"/>
      <c r="IRH31" s="63"/>
      <c r="IRI31" s="63"/>
      <c r="IRJ31" s="63"/>
      <c r="IRK31" s="63"/>
      <c r="IRL31" s="63"/>
      <c r="IRM31" s="63"/>
      <c r="IRN31" s="63"/>
      <c r="IRO31" s="63"/>
      <c r="IRP31" s="63"/>
      <c r="IRQ31" s="63"/>
      <c r="IRR31" s="63"/>
      <c r="IRS31" s="63"/>
      <c r="IRT31" s="63"/>
      <c r="IRU31" s="63"/>
      <c r="IRV31" s="63"/>
      <c r="IRW31" s="63"/>
      <c r="IRX31" s="63"/>
      <c r="IRY31" s="63"/>
      <c r="IRZ31" s="63"/>
      <c r="ISA31" s="63"/>
      <c r="ISB31" s="63"/>
      <c r="ISC31" s="63"/>
      <c r="ISD31" s="63"/>
      <c r="ISE31" s="63"/>
      <c r="ISF31" s="63"/>
      <c r="ISG31" s="63"/>
      <c r="ISH31" s="63"/>
      <c r="ISI31" s="63"/>
      <c r="ISJ31" s="63"/>
      <c r="ISK31" s="63"/>
      <c r="ISL31" s="63"/>
      <c r="ISM31" s="63"/>
      <c r="ISN31" s="63"/>
      <c r="ISO31" s="63"/>
      <c r="ISP31" s="63"/>
      <c r="ISQ31" s="63"/>
      <c r="ISR31" s="63"/>
      <c r="ISS31" s="63"/>
      <c r="IST31" s="63"/>
      <c r="ISU31" s="63"/>
      <c r="ISV31" s="63"/>
      <c r="ISW31" s="63"/>
      <c r="ISX31" s="63"/>
      <c r="ISY31" s="63"/>
      <c r="ISZ31" s="63"/>
      <c r="ITA31" s="63"/>
      <c r="ITB31" s="63"/>
      <c r="ITC31" s="63"/>
      <c r="ITD31" s="63"/>
      <c r="ITE31" s="63"/>
      <c r="ITF31" s="63"/>
      <c r="ITG31" s="63"/>
      <c r="ITH31" s="63"/>
      <c r="ITI31" s="63"/>
      <c r="ITJ31" s="63"/>
      <c r="ITK31" s="63"/>
      <c r="ITL31" s="63"/>
      <c r="ITM31" s="63"/>
      <c r="ITN31" s="63"/>
      <c r="ITO31" s="63"/>
      <c r="ITP31" s="63"/>
      <c r="ITQ31" s="63"/>
      <c r="ITR31" s="63"/>
      <c r="ITS31" s="63"/>
      <c r="ITT31" s="63"/>
      <c r="ITU31" s="63"/>
      <c r="ITV31" s="63"/>
      <c r="ITW31" s="63"/>
      <c r="ITX31" s="63"/>
      <c r="ITY31" s="63"/>
      <c r="ITZ31" s="63"/>
      <c r="IUA31" s="63"/>
      <c r="IUB31" s="63"/>
      <c r="IUC31" s="63"/>
      <c r="IUD31" s="63"/>
      <c r="IUE31" s="63"/>
      <c r="IUF31" s="63"/>
      <c r="IUG31" s="63"/>
      <c r="IUH31" s="63"/>
      <c r="IUI31" s="63"/>
      <c r="IUJ31" s="63"/>
      <c r="IUK31" s="63"/>
      <c r="IUL31" s="63"/>
      <c r="IUM31" s="63"/>
      <c r="IUN31" s="63"/>
      <c r="IUO31" s="63"/>
      <c r="IUP31" s="63"/>
      <c r="IUQ31" s="63"/>
      <c r="IUR31" s="63"/>
      <c r="IUS31" s="63"/>
      <c r="IUT31" s="63"/>
      <c r="IUU31" s="63"/>
      <c r="IUV31" s="63"/>
      <c r="IUW31" s="63"/>
      <c r="IUX31" s="63"/>
      <c r="IUY31" s="63"/>
      <c r="IUZ31" s="63"/>
      <c r="IVA31" s="63"/>
      <c r="IVB31" s="63"/>
      <c r="IVC31" s="63"/>
      <c r="IVD31" s="63"/>
      <c r="IVE31" s="63"/>
      <c r="IVF31" s="63"/>
      <c r="IVG31" s="63"/>
      <c r="IVH31" s="63"/>
      <c r="IVI31" s="63"/>
      <c r="IVJ31" s="63"/>
      <c r="IVK31" s="63"/>
      <c r="IVL31" s="63"/>
      <c r="IVM31" s="63"/>
      <c r="IVN31" s="63"/>
      <c r="IVO31" s="63"/>
      <c r="IVP31" s="63"/>
      <c r="IVQ31" s="63"/>
      <c r="IVR31" s="63"/>
      <c r="IVS31" s="63"/>
      <c r="IVT31" s="63"/>
      <c r="IVU31" s="63"/>
      <c r="IVV31" s="63"/>
      <c r="IVW31" s="63"/>
      <c r="IVX31" s="63"/>
      <c r="IVY31" s="63"/>
      <c r="IVZ31" s="63"/>
      <c r="IWA31" s="63"/>
      <c r="IWB31" s="63"/>
      <c r="IWC31" s="63"/>
      <c r="IWD31" s="63"/>
      <c r="IWE31" s="63"/>
      <c r="IWF31" s="63"/>
      <c r="IWG31" s="63"/>
      <c r="IWH31" s="63"/>
      <c r="IWI31" s="63"/>
      <c r="IWJ31" s="63"/>
      <c r="IWK31" s="63"/>
      <c r="IWL31" s="63"/>
      <c r="IWM31" s="63"/>
      <c r="IWN31" s="63"/>
      <c r="IWO31" s="63"/>
      <c r="IWP31" s="63"/>
      <c r="IWQ31" s="63"/>
      <c r="IWR31" s="63"/>
      <c r="IWS31" s="63"/>
      <c r="IWT31" s="63"/>
      <c r="IWU31" s="63"/>
      <c r="IWV31" s="63"/>
      <c r="IWW31" s="63"/>
      <c r="IWX31" s="63"/>
      <c r="IWY31" s="63"/>
      <c r="IWZ31" s="63"/>
      <c r="IXA31" s="63"/>
      <c r="IXB31" s="63"/>
      <c r="IXC31" s="63"/>
      <c r="IXD31" s="63"/>
      <c r="IXE31" s="63"/>
      <c r="IXF31" s="63"/>
      <c r="IXG31" s="63"/>
      <c r="IXH31" s="63"/>
      <c r="IXI31" s="63"/>
      <c r="IXJ31" s="63"/>
      <c r="IXK31" s="63"/>
      <c r="IXL31" s="63"/>
      <c r="IXM31" s="63"/>
      <c r="IXN31" s="63"/>
      <c r="IXO31" s="63"/>
      <c r="IXP31" s="63"/>
      <c r="IXQ31" s="63"/>
      <c r="IXR31" s="63"/>
      <c r="IXS31" s="63"/>
      <c r="IXT31" s="63"/>
      <c r="IXU31" s="63"/>
      <c r="IXV31" s="63"/>
      <c r="IXW31" s="63"/>
      <c r="IXX31" s="63"/>
      <c r="IXY31" s="63"/>
      <c r="IXZ31" s="63"/>
      <c r="IYA31" s="63"/>
      <c r="IYB31" s="63"/>
      <c r="IYC31" s="63"/>
      <c r="IYD31" s="63"/>
      <c r="IYE31" s="63"/>
      <c r="IYF31" s="63"/>
      <c r="IYG31" s="63"/>
      <c r="IYH31" s="63"/>
      <c r="IYI31" s="63"/>
      <c r="IYJ31" s="63"/>
      <c r="IYK31" s="63"/>
      <c r="IYL31" s="63"/>
      <c r="IYM31" s="63"/>
      <c r="IYN31" s="63"/>
      <c r="IYO31" s="63"/>
      <c r="IYP31" s="63"/>
      <c r="IYQ31" s="63"/>
      <c r="IYR31" s="63"/>
      <c r="IYS31" s="63"/>
      <c r="IYT31" s="63"/>
      <c r="IYU31" s="63"/>
      <c r="IYV31" s="63"/>
      <c r="IYW31" s="63"/>
      <c r="IYX31" s="63"/>
      <c r="IYY31" s="63"/>
      <c r="IYZ31" s="63"/>
      <c r="IZA31" s="63"/>
      <c r="IZB31" s="63"/>
      <c r="IZC31" s="63"/>
      <c r="IZD31" s="63"/>
      <c r="IZE31" s="63"/>
      <c r="IZF31" s="63"/>
      <c r="IZG31" s="63"/>
      <c r="IZH31" s="63"/>
      <c r="IZI31" s="63"/>
      <c r="IZJ31" s="63"/>
      <c r="IZK31" s="63"/>
      <c r="IZL31" s="63"/>
      <c r="IZM31" s="63"/>
      <c r="IZN31" s="63"/>
      <c r="IZO31" s="63"/>
      <c r="IZP31" s="63"/>
      <c r="IZQ31" s="63"/>
      <c r="IZR31" s="63"/>
      <c r="IZS31" s="63"/>
      <c r="IZT31" s="63"/>
      <c r="IZU31" s="63"/>
      <c r="IZV31" s="63"/>
      <c r="IZW31" s="63"/>
      <c r="IZX31" s="63"/>
      <c r="IZY31" s="63"/>
      <c r="IZZ31" s="63"/>
      <c r="JAA31" s="63"/>
      <c r="JAB31" s="63"/>
      <c r="JAC31" s="63"/>
      <c r="JAD31" s="63"/>
      <c r="JAE31" s="63"/>
      <c r="JAF31" s="63"/>
      <c r="JAG31" s="63"/>
      <c r="JAH31" s="63"/>
      <c r="JAI31" s="63"/>
      <c r="JAJ31" s="63"/>
      <c r="JAK31" s="63"/>
      <c r="JAL31" s="63"/>
      <c r="JAM31" s="63"/>
      <c r="JAN31" s="63"/>
      <c r="JAO31" s="63"/>
      <c r="JAP31" s="63"/>
      <c r="JAQ31" s="63"/>
      <c r="JAR31" s="63"/>
      <c r="JAS31" s="63"/>
      <c r="JAT31" s="63"/>
      <c r="JAU31" s="63"/>
      <c r="JAV31" s="63"/>
      <c r="JAW31" s="63"/>
      <c r="JAX31" s="63"/>
      <c r="JAY31" s="63"/>
      <c r="JAZ31" s="63"/>
      <c r="JBA31" s="63"/>
      <c r="JBB31" s="63"/>
      <c r="JBC31" s="63"/>
      <c r="JBD31" s="63"/>
      <c r="JBE31" s="63"/>
      <c r="JBF31" s="63"/>
      <c r="JBG31" s="63"/>
      <c r="JBH31" s="63"/>
      <c r="JBI31" s="63"/>
      <c r="JBJ31" s="63"/>
      <c r="JBK31" s="63"/>
      <c r="JBL31" s="63"/>
      <c r="JBM31" s="63"/>
      <c r="JBN31" s="63"/>
      <c r="JBO31" s="63"/>
      <c r="JBP31" s="63"/>
      <c r="JBQ31" s="63"/>
      <c r="JBR31" s="63"/>
      <c r="JBS31" s="63"/>
      <c r="JBT31" s="63"/>
      <c r="JBU31" s="63"/>
      <c r="JBV31" s="63"/>
      <c r="JBW31" s="63"/>
      <c r="JBX31" s="63"/>
      <c r="JBY31" s="63"/>
      <c r="JBZ31" s="63"/>
      <c r="JCA31" s="63"/>
      <c r="JCB31" s="63"/>
      <c r="JCC31" s="63"/>
      <c r="JCD31" s="63"/>
      <c r="JCE31" s="63"/>
      <c r="JCF31" s="63"/>
      <c r="JCG31" s="63"/>
      <c r="JCH31" s="63"/>
      <c r="JCI31" s="63"/>
      <c r="JCJ31" s="63"/>
      <c r="JCK31" s="63"/>
      <c r="JCL31" s="63"/>
      <c r="JCM31" s="63"/>
      <c r="JCN31" s="63"/>
      <c r="JCO31" s="63"/>
      <c r="JCP31" s="63"/>
      <c r="JCQ31" s="63"/>
      <c r="JCR31" s="63"/>
      <c r="JCS31" s="63"/>
      <c r="JCT31" s="63"/>
      <c r="JCU31" s="63"/>
      <c r="JCV31" s="63"/>
      <c r="JCW31" s="63"/>
      <c r="JCX31" s="63"/>
      <c r="JCY31" s="63"/>
      <c r="JCZ31" s="63"/>
      <c r="JDA31" s="63"/>
      <c r="JDB31" s="63"/>
      <c r="JDC31" s="63"/>
      <c r="JDD31" s="63"/>
      <c r="JDE31" s="63"/>
      <c r="JDF31" s="63"/>
      <c r="JDG31" s="63"/>
      <c r="JDH31" s="63"/>
      <c r="JDI31" s="63"/>
      <c r="JDJ31" s="63"/>
      <c r="JDK31" s="63"/>
      <c r="JDL31" s="63"/>
      <c r="JDM31" s="63"/>
      <c r="JDN31" s="63"/>
      <c r="JDO31" s="63"/>
      <c r="JDP31" s="63"/>
      <c r="JDQ31" s="63"/>
      <c r="JDR31" s="63"/>
      <c r="JDS31" s="63"/>
      <c r="JDT31" s="63"/>
      <c r="JDU31" s="63"/>
      <c r="JDV31" s="63"/>
      <c r="JDW31" s="63"/>
      <c r="JDX31" s="63"/>
      <c r="JDY31" s="63"/>
      <c r="JDZ31" s="63"/>
      <c r="JEA31" s="63"/>
      <c r="JEB31" s="63"/>
      <c r="JEC31" s="63"/>
      <c r="JED31" s="63"/>
      <c r="JEE31" s="63"/>
      <c r="JEF31" s="63"/>
      <c r="JEG31" s="63"/>
      <c r="JEH31" s="63"/>
      <c r="JEI31" s="63"/>
      <c r="JEJ31" s="63"/>
      <c r="JEK31" s="63"/>
      <c r="JEL31" s="63"/>
      <c r="JEM31" s="63"/>
      <c r="JEN31" s="63"/>
      <c r="JEO31" s="63"/>
      <c r="JEP31" s="63"/>
      <c r="JEQ31" s="63"/>
      <c r="JER31" s="63"/>
      <c r="JES31" s="63"/>
      <c r="JET31" s="63"/>
      <c r="JEU31" s="63"/>
      <c r="JEV31" s="63"/>
      <c r="JEW31" s="63"/>
      <c r="JEX31" s="63"/>
      <c r="JEY31" s="63"/>
      <c r="JEZ31" s="63"/>
      <c r="JFA31" s="63"/>
      <c r="JFB31" s="63"/>
      <c r="JFC31" s="63"/>
      <c r="JFD31" s="63"/>
      <c r="JFE31" s="63"/>
      <c r="JFF31" s="63"/>
      <c r="JFG31" s="63"/>
      <c r="JFH31" s="63"/>
      <c r="JFI31" s="63"/>
      <c r="JFJ31" s="63"/>
      <c r="JFK31" s="63"/>
      <c r="JFL31" s="63"/>
      <c r="JFM31" s="63"/>
      <c r="JFN31" s="63"/>
      <c r="JFO31" s="63"/>
      <c r="JFP31" s="63"/>
      <c r="JFQ31" s="63"/>
      <c r="JFR31" s="63"/>
      <c r="JFS31" s="63"/>
      <c r="JFT31" s="63"/>
      <c r="JFU31" s="63"/>
      <c r="JFV31" s="63"/>
      <c r="JFW31" s="63"/>
      <c r="JFX31" s="63"/>
      <c r="JFY31" s="63"/>
      <c r="JFZ31" s="63"/>
      <c r="JGA31" s="63"/>
      <c r="JGB31" s="63"/>
      <c r="JGC31" s="63"/>
      <c r="JGD31" s="63"/>
      <c r="JGE31" s="63"/>
      <c r="JGF31" s="63"/>
      <c r="JGG31" s="63"/>
      <c r="JGH31" s="63"/>
      <c r="JGI31" s="63"/>
      <c r="JGJ31" s="63"/>
      <c r="JGK31" s="63"/>
      <c r="JGL31" s="63"/>
      <c r="JGM31" s="63"/>
      <c r="JGN31" s="63"/>
      <c r="JGO31" s="63"/>
      <c r="JGP31" s="63"/>
      <c r="JGQ31" s="63"/>
      <c r="JGR31" s="63"/>
      <c r="JGS31" s="63"/>
      <c r="JGT31" s="63"/>
      <c r="JGU31" s="63"/>
      <c r="JGV31" s="63"/>
      <c r="JGW31" s="63"/>
      <c r="JGX31" s="63"/>
      <c r="JGY31" s="63"/>
      <c r="JGZ31" s="63"/>
      <c r="JHA31" s="63"/>
      <c r="JHB31" s="63"/>
      <c r="JHC31" s="63"/>
      <c r="JHD31" s="63"/>
      <c r="JHE31" s="63"/>
      <c r="JHF31" s="63"/>
      <c r="JHG31" s="63"/>
      <c r="JHH31" s="63"/>
      <c r="JHI31" s="63"/>
      <c r="JHJ31" s="63"/>
      <c r="JHK31" s="63"/>
      <c r="JHL31" s="63"/>
      <c r="JHM31" s="63"/>
      <c r="JHN31" s="63"/>
      <c r="JHO31" s="63"/>
      <c r="JHP31" s="63"/>
      <c r="JHQ31" s="63"/>
      <c r="JHR31" s="63"/>
      <c r="JHS31" s="63"/>
      <c r="JHT31" s="63"/>
      <c r="JHU31" s="63"/>
      <c r="JHV31" s="63"/>
      <c r="JHW31" s="63"/>
      <c r="JHX31" s="63"/>
      <c r="JHY31" s="63"/>
      <c r="JHZ31" s="63"/>
      <c r="JIA31" s="63"/>
      <c r="JIB31" s="63"/>
      <c r="JIC31" s="63"/>
      <c r="JID31" s="63"/>
      <c r="JIE31" s="63"/>
      <c r="JIF31" s="63"/>
      <c r="JIG31" s="63"/>
      <c r="JIH31" s="63"/>
      <c r="JII31" s="63"/>
      <c r="JIJ31" s="63"/>
      <c r="JIK31" s="63"/>
      <c r="JIL31" s="63"/>
      <c r="JIM31" s="63"/>
      <c r="JIN31" s="63"/>
      <c r="JIO31" s="63"/>
      <c r="JIP31" s="63"/>
      <c r="JIQ31" s="63"/>
      <c r="JIR31" s="63"/>
      <c r="JIS31" s="63"/>
      <c r="JIT31" s="63"/>
      <c r="JIU31" s="63"/>
      <c r="JIV31" s="63"/>
      <c r="JIW31" s="63"/>
      <c r="JIX31" s="63"/>
      <c r="JIY31" s="63"/>
      <c r="JIZ31" s="63"/>
      <c r="JJA31" s="63"/>
      <c r="JJB31" s="63"/>
      <c r="JJC31" s="63"/>
      <c r="JJD31" s="63"/>
      <c r="JJE31" s="63"/>
      <c r="JJF31" s="63"/>
      <c r="JJG31" s="63"/>
      <c r="JJH31" s="63"/>
      <c r="JJI31" s="63"/>
      <c r="JJJ31" s="63"/>
      <c r="JJK31" s="63"/>
      <c r="JJL31" s="63"/>
      <c r="JJM31" s="63"/>
      <c r="JJN31" s="63"/>
      <c r="JJO31" s="63"/>
      <c r="JJP31" s="63"/>
      <c r="JJQ31" s="63"/>
      <c r="JJR31" s="63"/>
      <c r="JJS31" s="63"/>
      <c r="JJT31" s="63"/>
      <c r="JJU31" s="63"/>
      <c r="JJV31" s="63"/>
      <c r="JJW31" s="63"/>
      <c r="JJX31" s="63"/>
      <c r="JJY31" s="63"/>
      <c r="JJZ31" s="63"/>
      <c r="JKA31" s="63"/>
      <c r="JKB31" s="63"/>
      <c r="JKC31" s="63"/>
      <c r="JKD31" s="63"/>
      <c r="JKE31" s="63"/>
      <c r="JKF31" s="63"/>
      <c r="JKG31" s="63"/>
      <c r="JKH31" s="63"/>
      <c r="JKI31" s="63"/>
      <c r="JKJ31" s="63"/>
      <c r="JKK31" s="63"/>
      <c r="JKL31" s="63"/>
      <c r="JKM31" s="63"/>
      <c r="JKN31" s="63"/>
      <c r="JKO31" s="63"/>
      <c r="JKP31" s="63"/>
      <c r="JKQ31" s="63"/>
      <c r="JKR31" s="63"/>
      <c r="JKS31" s="63"/>
      <c r="JKT31" s="63"/>
      <c r="JKU31" s="63"/>
      <c r="JKV31" s="63"/>
      <c r="JKW31" s="63"/>
      <c r="JKX31" s="63"/>
      <c r="JKY31" s="63"/>
      <c r="JKZ31" s="63"/>
      <c r="JLA31" s="63"/>
      <c r="JLB31" s="63"/>
      <c r="JLC31" s="63"/>
      <c r="JLD31" s="63"/>
      <c r="JLE31" s="63"/>
      <c r="JLF31" s="63"/>
      <c r="JLG31" s="63"/>
      <c r="JLH31" s="63"/>
      <c r="JLI31" s="63"/>
      <c r="JLJ31" s="63"/>
      <c r="JLK31" s="63"/>
      <c r="JLL31" s="63"/>
      <c r="JLM31" s="63"/>
      <c r="JLN31" s="63"/>
      <c r="JLO31" s="63"/>
      <c r="JLP31" s="63"/>
      <c r="JLQ31" s="63"/>
      <c r="JLR31" s="63"/>
      <c r="JLS31" s="63"/>
      <c r="JLT31" s="63"/>
      <c r="JLU31" s="63"/>
      <c r="JLV31" s="63"/>
      <c r="JLW31" s="63"/>
      <c r="JLX31" s="63"/>
      <c r="JLY31" s="63"/>
      <c r="JLZ31" s="63"/>
      <c r="JMA31" s="63"/>
      <c r="JMB31" s="63"/>
      <c r="JMC31" s="63"/>
      <c r="JMD31" s="63"/>
      <c r="JME31" s="63"/>
      <c r="JMF31" s="63"/>
      <c r="JMG31" s="63"/>
      <c r="JMH31" s="63"/>
      <c r="JMI31" s="63"/>
      <c r="JMJ31" s="63"/>
      <c r="JMK31" s="63"/>
      <c r="JML31" s="63"/>
      <c r="JMM31" s="63"/>
      <c r="JMN31" s="63"/>
      <c r="JMO31" s="63"/>
      <c r="JMP31" s="63"/>
      <c r="JMQ31" s="63"/>
      <c r="JMR31" s="63"/>
      <c r="JMS31" s="63"/>
      <c r="JMT31" s="63"/>
      <c r="JMU31" s="63"/>
      <c r="JMV31" s="63"/>
      <c r="JMW31" s="63"/>
      <c r="JMX31" s="63"/>
      <c r="JMY31" s="63"/>
      <c r="JMZ31" s="63"/>
      <c r="JNA31" s="63"/>
      <c r="JNB31" s="63"/>
      <c r="JNC31" s="63"/>
      <c r="JND31" s="63"/>
      <c r="JNE31" s="63"/>
      <c r="JNF31" s="63"/>
      <c r="JNG31" s="63"/>
      <c r="JNH31" s="63"/>
      <c r="JNI31" s="63"/>
      <c r="JNJ31" s="63"/>
      <c r="JNK31" s="63"/>
      <c r="JNL31" s="63"/>
      <c r="JNM31" s="63"/>
      <c r="JNN31" s="63"/>
      <c r="JNO31" s="63"/>
      <c r="JNP31" s="63"/>
      <c r="JNQ31" s="63"/>
      <c r="JNR31" s="63"/>
      <c r="JNS31" s="63"/>
      <c r="JNT31" s="63"/>
      <c r="JNU31" s="63"/>
      <c r="JNV31" s="63"/>
      <c r="JNW31" s="63"/>
      <c r="JNX31" s="63"/>
      <c r="JNY31" s="63"/>
      <c r="JNZ31" s="63"/>
      <c r="JOA31" s="63"/>
      <c r="JOB31" s="63"/>
      <c r="JOC31" s="63"/>
      <c r="JOD31" s="63"/>
      <c r="JOE31" s="63"/>
      <c r="JOF31" s="63"/>
      <c r="JOG31" s="63"/>
      <c r="JOH31" s="63"/>
      <c r="JOI31" s="63"/>
      <c r="JOJ31" s="63"/>
      <c r="JOK31" s="63"/>
      <c r="JOL31" s="63"/>
      <c r="JOM31" s="63"/>
      <c r="JON31" s="63"/>
      <c r="JOO31" s="63"/>
      <c r="JOP31" s="63"/>
      <c r="JOQ31" s="63"/>
      <c r="JOR31" s="63"/>
      <c r="JOS31" s="63"/>
      <c r="JOT31" s="63"/>
      <c r="JOU31" s="63"/>
      <c r="JOV31" s="63"/>
      <c r="JOW31" s="63"/>
      <c r="JOX31" s="63"/>
      <c r="JOY31" s="63"/>
      <c r="JOZ31" s="63"/>
      <c r="JPA31" s="63"/>
      <c r="JPB31" s="63"/>
      <c r="JPC31" s="63"/>
      <c r="JPD31" s="63"/>
      <c r="JPE31" s="63"/>
      <c r="JPF31" s="63"/>
      <c r="JPG31" s="63"/>
      <c r="JPH31" s="63"/>
      <c r="JPI31" s="63"/>
      <c r="JPJ31" s="63"/>
      <c r="JPK31" s="63"/>
      <c r="JPL31" s="63"/>
      <c r="JPM31" s="63"/>
      <c r="JPN31" s="63"/>
      <c r="JPO31" s="63"/>
      <c r="JPP31" s="63"/>
      <c r="JPQ31" s="63"/>
      <c r="JPR31" s="63"/>
      <c r="JPS31" s="63"/>
      <c r="JPT31" s="63"/>
      <c r="JPU31" s="63"/>
      <c r="JPV31" s="63"/>
      <c r="JPW31" s="63"/>
      <c r="JPX31" s="63"/>
      <c r="JPY31" s="63"/>
      <c r="JPZ31" s="63"/>
      <c r="JQA31" s="63"/>
      <c r="JQB31" s="63"/>
      <c r="JQC31" s="63"/>
      <c r="JQD31" s="63"/>
      <c r="JQE31" s="63"/>
      <c r="JQF31" s="63"/>
      <c r="JQG31" s="63"/>
      <c r="JQH31" s="63"/>
      <c r="JQI31" s="63"/>
      <c r="JQJ31" s="63"/>
      <c r="JQK31" s="63"/>
      <c r="JQL31" s="63"/>
      <c r="JQM31" s="63"/>
      <c r="JQN31" s="63"/>
      <c r="JQO31" s="63"/>
      <c r="JQP31" s="63"/>
      <c r="JQQ31" s="63"/>
      <c r="JQR31" s="63"/>
      <c r="JQS31" s="63"/>
      <c r="JQT31" s="63"/>
      <c r="JQU31" s="63"/>
      <c r="JQV31" s="63"/>
      <c r="JQW31" s="63"/>
      <c r="JQX31" s="63"/>
      <c r="JQY31" s="63"/>
      <c r="JQZ31" s="63"/>
      <c r="JRA31" s="63"/>
      <c r="JRB31" s="63"/>
      <c r="JRC31" s="63"/>
      <c r="JRD31" s="63"/>
      <c r="JRE31" s="63"/>
      <c r="JRF31" s="63"/>
      <c r="JRG31" s="63"/>
      <c r="JRH31" s="63"/>
      <c r="JRI31" s="63"/>
      <c r="JRJ31" s="63"/>
      <c r="JRK31" s="63"/>
      <c r="JRL31" s="63"/>
      <c r="JRM31" s="63"/>
      <c r="JRN31" s="63"/>
      <c r="JRO31" s="63"/>
      <c r="JRP31" s="63"/>
      <c r="JRQ31" s="63"/>
      <c r="JRR31" s="63"/>
      <c r="JRS31" s="63"/>
      <c r="JRT31" s="63"/>
      <c r="JRU31" s="63"/>
      <c r="JRV31" s="63"/>
      <c r="JRW31" s="63"/>
      <c r="JRX31" s="63"/>
      <c r="JRY31" s="63"/>
      <c r="JRZ31" s="63"/>
      <c r="JSA31" s="63"/>
      <c r="JSB31" s="63"/>
      <c r="JSC31" s="63"/>
      <c r="JSD31" s="63"/>
      <c r="JSE31" s="63"/>
      <c r="JSF31" s="63"/>
      <c r="JSG31" s="63"/>
      <c r="JSH31" s="63"/>
      <c r="JSI31" s="63"/>
      <c r="JSJ31" s="63"/>
      <c r="JSK31" s="63"/>
      <c r="JSL31" s="63"/>
      <c r="JSM31" s="63"/>
      <c r="JSN31" s="63"/>
      <c r="JSO31" s="63"/>
      <c r="JSP31" s="63"/>
      <c r="JSQ31" s="63"/>
      <c r="JSR31" s="63"/>
      <c r="JSS31" s="63"/>
      <c r="JST31" s="63"/>
      <c r="JSU31" s="63"/>
      <c r="JSV31" s="63"/>
      <c r="JSW31" s="63"/>
      <c r="JSX31" s="63"/>
      <c r="JSY31" s="63"/>
      <c r="JSZ31" s="63"/>
      <c r="JTA31" s="63"/>
      <c r="JTB31" s="63"/>
      <c r="JTC31" s="63"/>
      <c r="JTD31" s="63"/>
      <c r="JTE31" s="63"/>
      <c r="JTF31" s="63"/>
      <c r="JTG31" s="63"/>
      <c r="JTH31" s="63"/>
      <c r="JTI31" s="63"/>
      <c r="JTJ31" s="63"/>
      <c r="JTK31" s="63"/>
      <c r="JTL31" s="63"/>
      <c r="JTM31" s="63"/>
      <c r="JTN31" s="63"/>
      <c r="JTO31" s="63"/>
      <c r="JTP31" s="63"/>
      <c r="JTQ31" s="63"/>
      <c r="JTR31" s="63"/>
      <c r="JTS31" s="63"/>
      <c r="JTT31" s="63"/>
      <c r="JTU31" s="63"/>
      <c r="JTV31" s="63"/>
      <c r="JTW31" s="63"/>
      <c r="JTX31" s="63"/>
      <c r="JTY31" s="63"/>
      <c r="JTZ31" s="63"/>
      <c r="JUA31" s="63"/>
      <c r="JUB31" s="63"/>
      <c r="JUC31" s="63"/>
      <c r="JUD31" s="63"/>
      <c r="JUE31" s="63"/>
      <c r="JUF31" s="63"/>
      <c r="JUG31" s="63"/>
      <c r="JUH31" s="63"/>
      <c r="JUI31" s="63"/>
      <c r="JUJ31" s="63"/>
      <c r="JUK31" s="63"/>
      <c r="JUL31" s="63"/>
      <c r="JUM31" s="63"/>
      <c r="JUN31" s="63"/>
      <c r="JUO31" s="63"/>
      <c r="JUP31" s="63"/>
      <c r="JUQ31" s="63"/>
      <c r="JUR31" s="63"/>
      <c r="JUS31" s="63"/>
      <c r="JUT31" s="63"/>
      <c r="JUU31" s="63"/>
      <c r="JUV31" s="63"/>
      <c r="JUW31" s="63"/>
      <c r="JUX31" s="63"/>
      <c r="JUY31" s="63"/>
      <c r="JUZ31" s="63"/>
      <c r="JVA31" s="63"/>
      <c r="JVB31" s="63"/>
      <c r="JVC31" s="63"/>
      <c r="JVD31" s="63"/>
      <c r="JVE31" s="63"/>
      <c r="JVF31" s="63"/>
      <c r="JVG31" s="63"/>
      <c r="JVH31" s="63"/>
      <c r="JVI31" s="63"/>
      <c r="JVJ31" s="63"/>
      <c r="JVK31" s="63"/>
      <c r="JVL31" s="63"/>
      <c r="JVM31" s="63"/>
      <c r="JVN31" s="63"/>
      <c r="JVO31" s="63"/>
      <c r="JVP31" s="63"/>
      <c r="JVQ31" s="63"/>
      <c r="JVR31" s="63"/>
      <c r="JVS31" s="63"/>
      <c r="JVT31" s="63"/>
      <c r="JVU31" s="63"/>
      <c r="JVV31" s="63"/>
      <c r="JVW31" s="63"/>
      <c r="JVX31" s="63"/>
      <c r="JVY31" s="63"/>
      <c r="JVZ31" s="63"/>
      <c r="JWA31" s="63"/>
      <c r="JWB31" s="63"/>
      <c r="JWC31" s="63"/>
      <c r="JWD31" s="63"/>
      <c r="JWE31" s="63"/>
      <c r="JWF31" s="63"/>
      <c r="JWG31" s="63"/>
      <c r="JWH31" s="63"/>
      <c r="JWI31" s="63"/>
      <c r="JWJ31" s="63"/>
      <c r="JWK31" s="63"/>
      <c r="JWL31" s="63"/>
      <c r="JWM31" s="63"/>
      <c r="JWN31" s="63"/>
      <c r="JWO31" s="63"/>
      <c r="JWP31" s="63"/>
      <c r="JWQ31" s="63"/>
      <c r="JWR31" s="63"/>
      <c r="JWS31" s="63"/>
      <c r="JWT31" s="63"/>
      <c r="JWU31" s="63"/>
      <c r="JWV31" s="63"/>
      <c r="JWW31" s="63"/>
      <c r="JWX31" s="63"/>
      <c r="JWY31" s="63"/>
      <c r="JWZ31" s="63"/>
      <c r="JXA31" s="63"/>
      <c r="JXB31" s="63"/>
      <c r="JXC31" s="63"/>
      <c r="JXD31" s="63"/>
      <c r="JXE31" s="63"/>
      <c r="JXF31" s="63"/>
      <c r="JXG31" s="63"/>
      <c r="JXH31" s="63"/>
      <c r="JXI31" s="63"/>
      <c r="JXJ31" s="63"/>
      <c r="JXK31" s="63"/>
      <c r="JXL31" s="63"/>
      <c r="JXM31" s="63"/>
      <c r="JXN31" s="63"/>
      <c r="JXO31" s="63"/>
      <c r="JXP31" s="63"/>
      <c r="JXQ31" s="63"/>
      <c r="JXR31" s="63"/>
      <c r="JXS31" s="63"/>
      <c r="JXT31" s="63"/>
      <c r="JXU31" s="63"/>
      <c r="JXV31" s="63"/>
      <c r="JXW31" s="63"/>
      <c r="JXX31" s="63"/>
      <c r="JXY31" s="63"/>
      <c r="JXZ31" s="63"/>
      <c r="JYA31" s="63"/>
      <c r="JYB31" s="63"/>
      <c r="JYC31" s="63"/>
      <c r="JYD31" s="63"/>
      <c r="JYE31" s="63"/>
      <c r="JYF31" s="63"/>
      <c r="JYG31" s="63"/>
      <c r="JYH31" s="63"/>
      <c r="JYI31" s="63"/>
      <c r="JYJ31" s="63"/>
      <c r="JYK31" s="63"/>
      <c r="JYL31" s="63"/>
      <c r="JYM31" s="63"/>
      <c r="JYN31" s="63"/>
      <c r="JYO31" s="63"/>
      <c r="JYP31" s="63"/>
      <c r="JYQ31" s="63"/>
      <c r="JYR31" s="63"/>
      <c r="JYS31" s="63"/>
      <c r="JYT31" s="63"/>
      <c r="JYU31" s="63"/>
      <c r="JYV31" s="63"/>
      <c r="JYW31" s="63"/>
      <c r="JYX31" s="63"/>
      <c r="JYY31" s="63"/>
      <c r="JYZ31" s="63"/>
      <c r="JZA31" s="63"/>
      <c r="JZB31" s="63"/>
      <c r="JZC31" s="63"/>
      <c r="JZD31" s="63"/>
      <c r="JZE31" s="63"/>
      <c r="JZF31" s="63"/>
      <c r="JZG31" s="63"/>
      <c r="JZH31" s="63"/>
      <c r="JZI31" s="63"/>
      <c r="JZJ31" s="63"/>
      <c r="JZK31" s="63"/>
      <c r="JZL31" s="63"/>
      <c r="JZM31" s="63"/>
      <c r="JZN31" s="63"/>
      <c r="JZO31" s="63"/>
      <c r="JZP31" s="63"/>
      <c r="JZQ31" s="63"/>
      <c r="JZR31" s="63"/>
      <c r="JZS31" s="63"/>
      <c r="JZT31" s="63"/>
      <c r="JZU31" s="63"/>
      <c r="JZV31" s="63"/>
      <c r="JZW31" s="63"/>
      <c r="JZX31" s="63"/>
      <c r="JZY31" s="63"/>
      <c r="JZZ31" s="63"/>
      <c r="KAA31" s="63"/>
      <c r="KAB31" s="63"/>
      <c r="KAC31" s="63"/>
      <c r="KAD31" s="63"/>
      <c r="KAE31" s="63"/>
      <c r="KAF31" s="63"/>
      <c r="KAG31" s="63"/>
      <c r="KAH31" s="63"/>
      <c r="KAI31" s="63"/>
      <c r="KAJ31" s="63"/>
      <c r="KAK31" s="63"/>
      <c r="KAL31" s="63"/>
      <c r="KAM31" s="63"/>
      <c r="KAN31" s="63"/>
      <c r="KAO31" s="63"/>
      <c r="KAP31" s="63"/>
      <c r="KAQ31" s="63"/>
      <c r="KAR31" s="63"/>
      <c r="KAS31" s="63"/>
      <c r="KAT31" s="63"/>
      <c r="KAU31" s="63"/>
      <c r="KAV31" s="63"/>
      <c r="KAW31" s="63"/>
      <c r="KAX31" s="63"/>
      <c r="KAY31" s="63"/>
      <c r="KAZ31" s="63"/>
      <c r="KBA31" s="63"/>
      <c r="KBB31" s="63"/>
      <c r="KBC31" s="63"/>
      <c r="KBD31" s="63"/>
      <c r="KBE31" s="63"/>
      <c r="KBF31" s="63"/>
      <c r="KBG31" s="63"/>
      <c r="KBH31" s="63"/>
      <c r="KBI31" s="63"/>
      <c r="KBJ31" s="63"/>
      <c r="KBK31" s="63"/>
      <c r="KBL31" s="63"/>
      <c r="KBM31" s="63"/>
      <c r="KBN31" s="63"/>
      <c r="KBO31" s="63"/>
      <c r="KBP31" s="63"/>
      <c r="KBQ31" s="63"/>
      <c r="KBR31" s="63"/>
      <c r="KBS31" s="63"/>
      <c r="KBT31" s="63"/>
      <c r="KBU31" s="63"/>
      <c r="KBV31" s="63"/>
      <c r="KBW31" s="63"/>
      <c r="KBX31" s="63"/>
      <c r="KBY31" s="63"/>
      <c r="KBZ31" s="63"/>
      <c r="KCA31" s="63"/>
      <c r="KCB31" s="63"/>
      <c r="KCC31" s="63"/>
      <c r="KCD31" s="63"/>
      <c r="KCE31" s="63"/>
      <c r="KCF31" s="63"/>
      <c r="KCG31" s="63"/>
      <c r="KCH31" s="63"/>
      <c r="KCI31" s="63"/>
      <c r="KCJ31" s="63"/>
      <c r="KCK31" s="63"/>
      <c r="KCL31" s="63"/>
      <c r="KCM31" s="63"/>
      <c r="KCN31" s="63"/>
      <c r="KCO31" s="63"/>
      <c r="KCP31" s="63"/>
      <c r="KCQ31" s="63"/>
      <c r="KCR31" s="63"/>
      <c r="KCS31" s="63"/>
      <c r="KCT31" s="63"/>
      <c r="KCU31" s="63"/>
      <c r="KCV31" s="63"/>
      <c r="KCW31" s="63"/>
      <c r="KCX31" s="63"/>
      <c r="KCY31" s="63"/>
      <c r="KCZ31" s="63"/>
      <c r="KDA31" s="63"/>
      <c r="KDB31" s="63"/>
      <c r="KDC31" s="63"/>
      <c r="KDD31" s="63"/>
      <c r="KDE31" s="63"/>
      <c r="KDF31" s="63"/>
      <c r="KDG31" s="63"/>
      <c r="KDH31" s="63"/>
      <c r="KDI31" s="63"/>
      <c r="KDJ31" s="63"/>
      <c r="KDK31" s="63"/>
      <c r="KDL31" s="63"/>
      <c r="KDM31" s="63"/>
      <c r="KDN31" s="63"/>
      <c r="KDO31" s="63"/>
      <c r="KDP31" s="63"/>
      <c r="KDQ31" s="63"/>
      <c r="KDR31" s="63"/>
      <c r="KDS31" s="63"/>
      <c r="KDT31" s="63"/>
      <c r="KDU31" s="63"/>
      <c r="KDV31" s="63"/>
      <c r="KDW31" s="63"/>
      <c r="KDX31" s="63"/>
      <c r="KDY31" s="63"/>
      <c r="KDZ31" s="63"/>
      <c r="KEA31" s="63"/>
      <c r="KEB31" s="63"/>
      <c r="KEC31" s="63"/>
      <c r="KED31" s="63"/>
      <c r="KEE31" s="63"/>
      <c r="KEF31" s="63"/>
      <c r="KEG31" s="63"/>
      <c r="KEH31" s="63"/>
      <c r="KEI31" s="63"/>
      <c r="KEJ31" s="63"/>
      <c r="KEK31" s="63"/>
      <c r="KEL31" s="63"/>
      <c r="KEM31" s="63"/>
      <c r="KEN31" s="63"/>
      <c r="KEO31" s="63"/>
      <c r="KEP31" s="63"/>
      <c r="KEQ31" s="63"/>
      <c r="KER31" s="63"/>
      <c r="KES31" s="63"/>
      <c r="KET31" s="63"/>
      <c r="KEU31" s="63"/>
      <c r="KEV31" s="63"/>
      <c r="KEW31" s="63"/>
      <c r="KEX31" s="63"/>
      <c r="KEY31" s="63"/>
      <c r="KEZ31" s="63"/>
      <c r="KFA31" s="63"/>
      <c r="KFB31" s="63"/>
      <c r="KFC31" s="63"/>
      <c r="KFD31" s="63"/>
      <c r="KFE31" s="63"/>
      <c r="KFF31" s="63"/>
      <c r="KFG31" s="63"/>
      <c r="KFH31" s="63"/>
      <c r="KFI31" s="63"/>
      <c r="KFJ31" s="63"/>
      <c r="KFK31" s="63"/>
      <c r="KFL31" s="63"/>
      <c r="KFM31" s="63"/>
      <c r="KFN31" s="63"/>
      <c r="KFO31" s="63"/>
      <c r="KFP31" s="63"/>
      <c r="KFQ31" s="63"/>
      <c r="KFR31" s="63"/>
      <c r="KFS31" s="63"/>
      <c r="KFT31" s="63"/>
      <c r="KFU31" s="63"/>
      <c r="KFV31" s="63"/>
      <c r="KFW31" s="63"/>
      <c r="KFX31" s="63"/>
      <c r="KFY31" s="63"/>
      <c r="KFZ31" s="63"/>
      <c r="KGA31" s="63"/>
      <c r="KGB31" s="63"/>
      <c r="KGC31" s="63"/>
      <c r="KGD31" s="63"/>
      <c r="KGE31" s="63"/>
      <c r="KGF31" s="63"/>
      <c r="KGG31" s="63"/>
      <c r="KGH31" s="63"/>
      <c r="KGI31" s="63"/>
      <c r="KGJ31" s="63"/>
      <c r="KGK31" s="63"/>
      <c r="KGL31" s="63"/>
      <c r="KGM31" s="63"/>
      <c r="KGN31" s="63"/>
      <c r="KGO31" s="63"/>
      <c r="KGP31" s="63"/>
      <c r="KGQ31" s="63"/>
      <c r="KGR31" s="63"/>
      <c r="KGS31" s="63"/>
      <c r="KGT31" s="63"/>
      <c r="KGU31" s="63"/>
      <c r="KGV31" s="63"/>
      <c r="KGW31" s="63"/>
      <c r="KGX31" s="63"/>
      <c r="KGY31" s="63"/>
      <c r="KGZ31" s="63"/>
      <c r="KHA31" s="63"/>
      <c r="KHB31" s="63"/>
      <c r="KHC31" s="63"/>
      <c r="KHD31" s="63"/>
      <c r="KHE31" s="63"/>
      <c r="KHF31" s="63"/>
      <c r="KHG31" s="63"/>
      <c r="KHH31" s="63"/>
      <c r="KHI31" s="63"/>
      <c r="KHJ31" s="63"/>
      <c r="KHK31" s="63"/>
      <c r="KHL31" s="63"/>
      <c r="KHM31" s="63"/>
      <c r="KHN31" s="63"/>
      <c r="KHO31" s="63"/>
      <c r="KHP31" s="63"/>
      <c r="KHQ31" s="63"/>
      <c r="KHR31" s="63"/>
      <c r="KHS31" s="63"/>
      <c r="KHT31" s="63"/>
      <c r="KHU31" s="63"/>
      <c r="KHV31" s="63"/>
      <c r="KHW31" s="63"/>
      <c r="KHX31" s="63"/>
      <c r="KHY31" s="63"/>
      <c r="KHZ31" s="63"/>
      <c r="KIA31" s="63"/>
      <c r="KIB31" s="63"/>
      <c r="KIC31" s="63"/>
      <c r="KID31" s="63"/>
      <c r="KIE31" s="63"/>
      <c r="KIF31" s="63"/>
      <c r="KIG31" s="63"/>
      <c r="KIH31" s="63"/>
      <c r="KII31" s="63"/>
      <c r="KIJ31" s="63"/>
      <c r="KIK31" s="63"/>
      <c r="KIL31" s="63"/>
      <c r="KIM31" s="63"/>
      <c r="KIN31" s="63"/>
      <c r="KIO31" s="63"/>
      <c r="KIP31" s="63"/>
      <c r="KIQ31" s="63"/>
      <c r="KIR31" s="63"/>
      <c r="KIS31" s="63"/>
      <c r="KIT31" s="63"/>
      <c r="KIU31" s="63"/>
      <c r="KIV31" s="63"/>
      <c r="KIW31" s="63"/>
      <c r="KIX31" s="63"/>
      <c r="KIY31" s="63"/>
      <c r="KIZ31" s="63"/>
      <c r="KJA31" s="63"/>
      <c r="KJB31" s="63"/>
      <c r="KJC31" s="63"/>
      <c r="KJD31" s="63"/>
      <c r="KJE31" s="63"/>
      <c r="KJF31" s="63"/>
      <c r="KJG31" s="63"/>
      <c r="KJH31" s="63"/>
      <c r="KJI31" s="63"/>
      <c r="KJJ31" s="63"/>
      <c r="KJK31" s="63"/>
      <c r="KJL31" s="63"/>
      <c r="KJM31" s="63"/>
      <c r="KJN31" s="63"/>
      <c r="KJO31" s="63"/>
      <c r="KJP31" s="63"/>
      <c r="KJQ31" s="63"/>
      <c r="KJR31" s="63"/>
      <c r="KJS31" s="63"/>
      <c r="KJT31" s="63"/>
      <c r="KJU31" s="63"/>
      <c r="KJV31" s="63"/>
      <c r="KJW31" s="63"/>
      <c r="KJX31" s="63"/>
      <c r="KJY31" s="63"/>
      <c r="KJZ31" s="63"/>
      <c r="KKA31" s="63"/>
      <c r="KKB31" s="63"/>
      <c r="KKC31" s="63"/>
      <c r="KKD31" s="63"/>
      <c r="KKE31" s="63"/>
      <c r="KKF31" s="63"/>
      <c r="KKG31" s="63"/>
      <c r="KKH31" s="63"/>
      <c r="KKI31" s="63"/>
      <c r="KKJ31" s="63"/>
      <c r="KKK31" s="63"/>
      <c r="KKL31" s="63"/>
      <c r="KKM31" s="63"/>
      <c r="KKN31" s="63"/>
      <c r="KKO31" s="63"/>
      <c r="KKP31" s="63"/>
      <c r="KKQ31" s="63"/>
      <c r="KKR31" s="63"/>
      <c r="KKS31" s="63"/>
      <c r="KKT31" s="63"/>
      <c r="KKU31" s="63"/>
      <c r="KKV31" s="63"/>
      <c r="KKW31" s="63"/>
      <c r="KKX31" s="63"/>
      <c r="KKY31" s="63"/>
      <c r="KKZ31" s="63"/>
      <c r="KLA31" s="63"/>
      <c r="KLB31" s="63"/>
      <c r="KLC31" s="63"/>
      <c r="KLD31" s="63"/>
      <c r="KLE31" s="63"/>
      <c r="KLF31" s="63"/>
      <c r="KLG31" s="63"/>
      <c r="KLH31" s="63"/>
      <c r="KLI31" s="63"/>
      <c r="KLJ31" s="63"/>
      <c r="KLK31" s="63"/>
      <c r="KLL31" s="63"/>
      <c r="KLM31" s="63"/>
      <c r="KLN31" s="63"/>
      <c r="KLO31" s="63"/>
      <c r="KLP31" s="63"/>
      <c r="KLQ31" s="63"/>
      <c r="KLR31" s="63"/>
      <c r="KLS31" s="63"/>
      <c r="KLT31" s="63"/>
      <c r="KLU31" s="63"/>
      <c r="KLV31" s="63"/>
      <c r="KLW31" s="63"/>
      <c r="KLX31" s="63"/>
      <c r="KLY31" s="63"/>
      <c r="KLZ31" s="63"/>
      <c r="KMA31" s="63"/>
      <c r="KMB31" s="63"/>
      <c r="KMC31" s="63"/>
      <c r="KMD31" s="63"/>
      <c r="KME31" s="63"/>
      <c r="KMF31" s="63"/>
      <c r="KMG31" s="63"/>
      <c r="KMH31" s="63"/>
      <c r="KMI31" s="63"/>
      <c r="KMJ31" s="63"/>
      <c r="KMK31" s="63"/>
      <c r="KML31" s="63"/>
      <c r="KMM31" s="63"/>
      <c r="KMN31" s="63"/>
      <c r="KMO31" s="63"/>
      <c r="KMP31" s="63"/>
      <c r="KMQ31" s="63"/>
      <c r="KMR31" s="63"/>
      <c r="KMS31" s="63"/>
      <c r="KMT31" s="63"/>
      <c r="KMU31" s="63"/>
      <c r="KMV31" s="63"/>
      <c r="KMW31" s="63"/>
      <c r="KMX31" s="63"/>
      <c r="KMY31" s="63"/>
      <c r="KMZ31" s="63"/>
      <c r="KNA31" s="63"/>
      <c r="KNB31" s="63"/>
      <c r="KNC31" s="63"/>
      <c r="KND31" s="63"/>
      <c r="KNE31" s="63"/>
      <c r="KNF31" s="63"/>
      <c r="KNG31" s="63"/>
      <c r="KNH31" s="63"/>
      <c r="KNI31" s="63"/>
      <c r="KNJ31" s="63"/>
      <c r="KNK31" s="63"/>
      <c r="KNL31" s="63"/>
      <c r="KNM31" s="63"/>
      <c r="KNN31" s="63"/>
      <c r="KNO31" s="63"/>
      <c r="KNP31" s="63"/>
      <c r="KNQ31" s="63"/>
      <c r="KNR31" s="63"/>
      <c r="KNS31" s="63"/>
      <c r="KNT31" s="63"/>
      <c r="KNU31" s="63"/>
      <c r="KNV31" s="63"/>
      <c r="KNW31" s="63"/>
      <c r="KNX31" s="63"/>
      <c r="KNY31" s="63"/>
      <c r="KNZ31" s="63"/>
      <c r="KOA31" s="63"/>
      <c r="KOB31" s="63"/>
      <c r="KOC31" s="63"/>
      <c r="KOD31" s="63"/>
      <c r="KOE31" s="63"/>
      <c r="KOF31" s="63"/>
      <c r="KOG31" s="63"/>
      <c r="KOH31" s="63"/>
      <c r="KOI31" s="63"/>
      <c r="KOJ31" s="63"/>
      <c r="KOK31" s="63"/>
      <c r="KOL31" s="63"/>
      <c r="KOM31" s="63"/>
      <c r="KON31" s="63"/>
      <c r="KOO31" s="63"/>
      <c r="KOP31" s="63"/>
      <c r="KOQ31" s="63"/>
      <c r="KOR31" s="63"/>
      <c r="KOS31" s="63"/>
      <c r="KOT31" s="63"/>
      <c r="KOU31" s="63"/>
      <c r="KOV31" s="63"/>
      <c r="KOW31" s="63"/>
      <c r="KOX31" s="63"/>
      <c r="KOY31" s="63"/>
      <c r="KOZ31" s="63"/>
      <c r="KPA31" s="63"/>
      <c r="KPB31" s="63"/>
      <c r="KPC31" s="63"/>
      <c r="KPD31" s="63"/>
      <c r="KPE31" s="63"/>
      <c r="KPF31" s="63"/>
      <c r="KPG31" s="63"/>
      <c r="KPH31" s="63"/>
      <c r="KPI31" s="63"/>
      <c r="KPJ31" s="63"/>
      <c r="KPK31" s="63"/>
      <c r="KPL31" s="63"/>
      <c r="KPM31" s="63"/>
      <c r="KPN31" s="63"/>
      <c r="KPO31" s="63"/>
      <c r="KPP31" s="63"/>
      <c r="KPQ31" s="63"/>
      <c r="KPR31" s="63"/>
      <c r="KPS31" s="63"/>
      <c r="KPT31" s="63"/>
      <c r="KPU31" s="63"/>
      <c r="KPV31" s="63"/>
      <c r="KPW31" s="63"/>
      <c r="KPX31" s="63"/>
      <c r="KPY31" s="63"/>
      <c r="KPZ31" s="63"/>
      <c r="KQA31" s="63"/>
      <c r="KQB31" s="63"/>
      <c r="KQC31" s="63"/>
      <c r="KQD31" s="63"/>
      <c r="KQE31" s="63"/>
      <c r="KQF31" s="63"/>
      <c r="KQG31" s="63"/>
      <c r="KQH31" s="63"/>
      <c r="KQI31" s="63"/>
      <c r="KQJ31" s="63"/>
      <c r="KQK31" s="63"/>
      <c r="KQL31" s="63"/>
      <c r="KQM31" s="63"/>
      <c r="KQN31" s="63"/>
      <c r="KQO31" s="63"/>
      <c r="KQP31" s="63"/>
      <c r="KQQ31" s="63"/>
      <c r="KQR31" s="63"/>
      <c r="KQS31" s="63"/>
      <c r="KQT31" s="63"/>
      <c r="KQU31" s="63"/>
      <c r="KQV31" s="63"/>
      <c r="KQW31" s="63"/>
      <c r="KQX31" s="63"/>
      <c r="KQY31" s="63"/>
      <c r="KQZ31" s="63"/>
      <c r="KRA31" s="63"/>
      <c r="KRB31" s="63"/>
      <c r="KRC31" s="63"/>
      <c r="KRD31" s="63"/>
      <c r="KRE31" s="63"/>
      <c r="KRF31" s="63"/>
      <c r="KRG31" s="63"/>
      <c r="KRH31" s="63"/>
      <c r="KRI31" s="63"/>
      <c r="KRJ31" s="63"/>
      <c r="KRK31" s="63"/>
      <c r="KRL31" s="63"/>
      <c r="KRM31" s="63"/>
      <c r="KRN31" s="63"/>
      <c r="KRO31" s="63"/>
      <c r="KRP31" s="63"/>
      <c r="KRQ31" s="63"/>
      <c r="KRR31" s="63"/>
      <c r="KRS31" s="63"/>
      <c r="KRT31" s="63"/>
      <c r="KRU31" s="63"/>
      <c r="KRV31" s="63"/>
      <c r="KRW31" s="63"/>
      <c r="KRX31" s="63"/>
      <c r="KRY31" s="63"/>
      <c r="KRZ31" s="63"/>
      <c r="KSA31" s="63"/>
      <c r="KSB31" s="63"/>
      <c r="KSC31" s="63"/>
      <c r="KSD31" s="63"/>
      <c r="KSE31" s="63"/>
      <c r="KSF31" s="63"/>
      <c r="KSG31" s="63"/>
      <c r="KSH31" s="63"/>
      <c r="KSI31" s="63"/>
      <c r="KSJ31" s="63"/>
      <c r="KSK31" s="63"/>
      <c r="KSL31" s="63"/>
      <c r="KSM31" s="63"/>
      <c r="KSN31" s="63"/>
      <c r="KSO31" s="63"/>
      <c r="KSP31" s="63"/>
      <c r="KSQ31" s="63"/>
      <c r="KSR31" s="63"/>
      <c r="KSS31" s="63"/>
      <c r="KST31" s="63"/>
      <c r="KSU31" s="63"/>
      <c r="KSV31" s="63"/>
      <c r="KSW31" s="63"/>
      <c r="KSX31" s="63"/>
      <c r="KSY31" s="63"/>
      <c r="KSZ31" s="63"/>
      <c r="KTA31" s="63"/>
      <c r="KTB31" s="63"/>
      <c r="KTC31" s="63"/>
      <c r="KTD31" s="63"/>
      <c r="KTE31" s="63"/>
      <c r="KTF31" s="63"/>
      <c r="KTG31" s="63"/>
      <c r="KTH31" s="63"/>
      <c r="KTI31" s="63"/>
      <c r="KTJ31" s="63"/>
      <c r="KTK31" s="63"/>
      <c r="KTL31" s="63"/>
      <c r="KTM31" s="63"/>
      <c r="KTN31" s="63"/>
      <c r="KTO31" s="63"/>
      <c r="KTP31" s="63"/>
      <c r="KTQ31" s="63"/>
      <c r="KTR31" s="63"/>
      <c r="KTS31" s="63"/>
      <c r="KTT31" s="63"/>
      <c r="KTU31" s="63"/>
      <c r="KTV31" s="63"/>
      <c r="KTW31" s="63"/>
      <c r="KTX31" s="63"/>
      <c r="KTY31" s="63"/>
      <c r="KTZ31" s="63"/>
      <c r="KUA31" s="63"/>
      <c r="KUB31" s="63"/>
      <c r="KUC31" s="63"/>
      <c r="KUD31" s="63"/>
      <c r="KUE31" s="63"/>
      <c r="KUF31" s="63"/>
      <c r="KUG31" s="63"/>
      <c r="KUH31" s="63"/>
      <c r="KUI31" s="63"/>
      <c r="KUJ31" s="63"/>
      <c r="KUK31" s="63"/>
      <c r="KUL31" s="63"/>
      <c r="KUM31" s="63"/>
      <c r="KUN31" s="63"/>
      <c r="KUO31" s="63"/>
      <c r="KUP31" s="63"/>
      <c r="KUQ31" s="63"/>
      <c r="KUR31" s="63"/>
      <c r="KUS31" s="63"/>
      <c r="KUT31" s="63"/>
      <c r="KUU31" s="63"/>
      <c r="KUV31" s="63"/>
      <c r="KUW31" s="63"/>
      <c r="KUX31" s="63"/>
      <c r="KUY31" s="63"/>
      <c r="KUZ31" s="63"/>
      <c r="KVA31" s="63"/>
      <c r="KVB31" s="63"/>
      <c r="KVC31" s="63"/>
      <c r="KVD31" s="63"/>
      <c r="KVE31" s="63"/>
      <c r="KVF31" s="63"/>
      <c r="KVG31" s="63"/>
      <c r="KVH31" s="63"/>
      <c r="KVI31" s="63"/>
      <c r="KVJ31" s="63"/>
      <c r="KVK31" s="63"/>
      <c r="KVL31" s="63"/>
      <c r="KVM31" s="63"/>
      <c r="KVN31" s="63"/>
      <c r="KVO31" s="63"/>
      <c r="KVP31" s="63"/>
      <c r="KVQ31" s="63"/>
      <c r="KVR31" s="63"/>
      <c r="KVS31" s="63"/>
      <c r="KVT31" s="63"/>
      <c r="KVU31" s="63"/>
      <c r="KVV31" s="63"/>
      <c r="KVW31" s="63"/>
      <c r="KVX31" s="63"/>
      <c r="KVY31" s="63"/>
      <c r="KVZ31" s="63"/>
      <c r="KWA31" s="63"/>
      <c r="KWB31" s="63"/>
      <c r="KWC31" s="63"/>
      <c r="KWD31" s="63"/>
      <c r="KWE31" s="63"/>
      <c r="KWF31" s="63"/>
      <c r="KWG31" s="63"/>
      <c r="KWH31" s="63"/>
      <c r="KWI31" s="63"/>
      <c r="KWJ31" s="63"/>
      <c r="KWK31" s="63"/>
      <c r="KWL31" s="63"/>
      <c r="KWM31" s="63"/>
      <c r="KWN31" s="63"/>
      <c r="KWO31" s="63"/>
      <c r="KWP31" s="63"/>
      <c r="KWQ31" s="63"/>
      <c r="KWR31" s="63"/>
      <c r="KWS31" s="63"/>
      <c r="KWT31" s="63"/>
      <c r="KWU31" s="63"/>
      <c r="KWV31" s="63"/>
      <c r="KWW31" s="63"/>
      <c r="KWX31" s="63"/>
      <c r="KWY31" s="63"/>
      <c r="KWZ31" s="63"/>
      <c r="KXA31" s="63"/>
      <c r="KXB31" s="63"/>
      <c r="KXC31" s="63"/>
      <c r="KXD31" s="63"/>
      <c r="KXE31" s="63"/>
      <c r="KXF31" s="63"/>
      <c r="KXG31" s="63"/>
      <c r="KXH31" s="63"/>
      <c r="KXI31" s="63"/>
      <c r="KXJ31" s="63"/>
      <c r="KXK31" s="63"/>
      <c r="KXL31" s="63"/>
      <c r="KXM31" s="63"/>
      <c r="KXN31" s="63"/>
      <c r="KXO31" s="63"/>
      <c r="KXP31" s="63"/>
      <c r="KXQ31" s="63"/>
      <c r="KXR31" s="63"/>
      <c r="KXS31" s="63"/>
      <c r="KXT31" s="63"/>
      <c r="KXU31" s="63"/>
      <c r="KXV31" s="63"/>
      <c r="KXW31" s="63"/>
      <c r="KXX31" s="63"/>
      <c r="KXY31" s="63"/>
      <c r="KXZ31" s="63"/>
      <c r="KYA31" s="63"/>
      <c r="KYB31" s="63"/>
      <c r="KYC31" s="63"/>
      <c r="KYD31" s="63"/>
      <c r="KYE31" s="63"/>
      <c r="KYF31" s="63"/>
      <c r="KYG31" s="63"/>
      <c r="KYH31" s="63"/>
      <c r="KYI31" s="63"/>
      <c r="KYJ31" s="63"/>
      <c r="KYK31" s="63"/>
      <c r="KYL31" s="63"/>
      <c r="KYM31" s="63"/>
      <c r="KYN31" s="63"/>
      <c r="KYO31" s="63"/>
      <c r="KYP31" s="63"/>
      <c r="KYQ31" s="63"/>
      <c r="KYR31" s="63"/>
      <c r="KYS31" s="63"/>
      <c r="KYT31" s="63"/>
      <c r="KYU31" s="63"/>
      <c r="KYV31" s="63"/>
      <c r="KYW31" s="63"/>
      <c r="KYX31" s="63"/>
      <c r="KYY31" s="63"/>
      <c r="KYZ31" s="63"/>
      <c r="KZA31" s="63"/>
      <c r="KZB31" s="63"/>
      <c r="KZC31" s="63"/>
      <c r="KZD31" s="63"/>
      <c r="KZE31" s="63"/>
      <c r="KZF31" s="63"/>
      <c r="KZG31" s="63"/>
      <c r="KZH31" s="63"/>
      <c r="KZI31" s="63"/>
      <c r="KZJ31" s="63"/>
      <c r="KZK31" s="63"/>
      <c r="KZL31" s="63"/>
      <c r="KZM31" s="63"/>
      <c r="KZN31" s="63"/>
      <c r="KZO31" s="63"/>
      <c r="KZP31" s="63"/>
      <c r="KZQ31" s="63"/>
      <c r="KZR31" s="63"/>
      <c r="KZS31" s="63"/>
      <c r="KZT31" s="63"/>
      <c r="KZU31" s="63"/>
      <c r="KZV31" s="63"/>
      <c r="KZW31" s="63"/>
      <c r="KZX31" s="63"/>
      <c r="KZY31" s="63"/>
      <c r="KZZ31" s="63"/>
      <c r="LAA31" s="63"/>
      <c r="LAB31" s="63"/>
      <c r="LAC31" s="63"/>
      <c r="LAD31" s="63"/>
      <c r="LAE31" s="63"/>
      <c r="LAF31" s="63"/>
      <c r="LAG31" s="63"/>
      <c r="LAH31" s="63"/>
      <c r="LAI31" s="63"/>
      <c r="LAJ31" s="63"/>
      <c r="LAK31" s="63"/>
      <c r="LAL31" s="63"/>
      <c r="LAM31" s="63"/>
      <c r="LAN31" s="63"/>
      <c r="LAO31" s="63"/>
      <c r="LAP31" s="63"/>
      <c r="LAQ31" s="63"/>
      <c r="LAR31" s="63"/>
      <c r="LAS31" s="63"/>
      <c r="LAT31" s="63"/>
      <c r="LAU31" s="63"/>
      <c r="LAV31" s="63"/>
      <c r="LAW31" s="63"/>
      <c r="LAX31" s="63"/>
      <c r="LAY31" s="63"/>
      <c r="LAZ31" s="63"/>
      <c r="LBA31" s="63"/>
      <c r="LBB31" s="63"/>
      <c r="LBC31" s="63"/>
      <c r="LBD31" s="63"/>
      <c r="LBE31" s="63"/>
      <c r="LBF31" s="63"/>
      <c r="LBG31" s="63"/>
      <c r="LBH31" s="63"/>
      <c r="LBI31" s="63"/>
      <c r="LBJ31" s="63"/>
      <c r="LBK31" s="63"/>
      <c r="LBL31" s="63"/>
      <c r="LBM31" s="63"/>
      <c r="LBN31" s="63"/>
      <c r="LBO31" s="63"/>
      <c r="LBP31" s="63"/>
      <c r="LBQ31" s="63"/>
      <c r="LBR31" s="63"/>
      <c r="LBS31" s="63"/>
      <c r="LBT31" s="63"/>
      <c r="LBU31" s="63"/>
      <c r="LBV31" s="63"/>
      <c r="LBW31" s="63"/>
      <c r="LBX31" s="63"/>
      <c r="LBY31" s="63"/>
      <c r="LBZ31" s="63"/>
      <c r="LCA31" s="63"/>
      <c r="LCB31" s="63"/>
      <c r="LCC31" s="63"/>
      <c r="LCD31" s="63"/>
      <c r="LCE31" s="63"/>
      <c r="LCF31" s="63"/>
      <c r="LCG31" s="63"/>
      <c r="LCH31" s="63"/>
      <c r="LCI31" s="63"/>
      <c r="LCJ31" s="63"/>
      <c r="LCK31" s="63"/>
      <c r="LCL31" s="63"/>
      <c r="LCM31" s="63"/>
      <c r="LCN31" s="63"/>
      <c r="LCO31" s="63"/>
      <c r="LCP31" s="63"/>
      <c r="LCQ31" s="63"/>
      <c r="LCR31" s="63"/>
      <c r="LCS31" s="63"/>
      <c r="LCT31" s="63"/>
      <c r="LCU31" s="63"/>
      <c r="LCV31" s="63"/>
      <c r="LCW31" s="63"/>
      <c r="LCX31" s="63"/>
      <c r="LCY31" s="63"/>
      <c r="LCZ31" s="63"/>
      <c r="LDA31" s="63"/>
      <c r="LDB31" s="63"/>
      <c r="LDC31" s="63"/>
      <c r="LDD31" s="63"/>
      <c r="LDE31" s="63"/>
      <c r="LDF31" s="63"/>
      <c r="LDG31" s="63"/>
      <c r="LDH31" s="63"/>
      <c r="LDI31" s="63"/>
      <c r="LDJ31" s="63"/>
      <c r="LDK31" s="63"/>
      <c r="LDL31" s="63"/>
      <c r="LDM31" s="63"/>
      <c r="LDN31" s="63"/>
      <c r="LDO31" s="63"/>
      <c r="LDP31" s="63"/>
      <c r="LDQ31" s="63"/>
      <c r="LDR31" s="63"/>
      <c r="LDS31" s="63"/>
      <c r="LDT31" s="63"/>
      <c r="LDU31" s="63"/>
      <c r="LDV31" s="63"/>
      <c r="LDW31" s="63"/>
      <c r="LDX31" s="63"/>
      <c r="LDY31" s="63"/>
      <c r="LDZ31" s="63"/>
      <c r="LEA31" s="63"/>
      <c r="LEB31" s="63"/>
      <c r="LEC31" s="63"/>
      <c r="LED31" s="63"/>
      <c r="LEE31" s="63"/>
      <c r="LEF31" s="63"/>
      <c r="LEG31" s="63"/>
      <c r="LEH31" s="63"/>
      <c r="LEI31" s="63"/>
      <c r="LEJ31" s="63"/>
      <c r="LEK31" s="63"/>
      <c r="LEL31" s="63"/>
      <c r="LEM31" s="63"/>
      <c r="LEN31" s="63"/>
      <c r="LEO31" s="63"/>
      <c r="LEP31" s="63"/>
      <c r="LEQ31" s="63"/>
      <c r="LER31" s="63"/>
      <c r="LES31" s="63"/>
      <c r="LET31" s="63"/>
      <c r="LEU31" s="63"/>
      <c r="LEV31" s="63"/>
      <c r="LEW31" s="63"/>
      <c r="LEX31" s="63"/>
      <c r="LEY31" s="63"/>
      <c r="LEZ31" s="63"/>
      <c r="LFA31" s="63"/>
      <c r="LFB31" s="63"/>
      <c r="LFC31" s="63"/>
      <c r="LFD31" s="63"/>
      <c r="LFE31" s="63"/>
      <c r="LFF31" s="63"/>
      <c r="LFG31" s="63"/>
      <c r="LFH31" s="63"/>
      <c r="LFI31" s="63"/>
      <c r="LFJ31" s="63"/>
      <c r="LFK31" s="63"/>
      <c r="LFL31" s="63"/>
      <c r="LFM31" s="63"/>
      <c r="LFN31" s="63"/>
      <c r="LFO31" s="63"/>
      <c r="LFP31" s="63"/>
      <c r="LFQ31" s="63"/>
      <c r="LFR31" s="63"/>
      <c r="LFS31" s="63"/>
      <c r="LFT31" s="63"/>
      <c r="LFU31" s="63"/>
      <c r="LFV31" s="63"/>
      <c r="LFW31" s="63"/>
      <c r="LFX31" s="63"/>
      <c r="LFY31" s="63"/>
      <c r="LFZ31" s="63"/>
      <c r="LGA31" s="63"/>
      <c r="LGB31" s="63"/>
      <c r="LGC31" s="63"/>
      <c r="LGD31" s="63"/>
      <c r="LGE31" s="63"/>
      <c r="LGF31" s="63"/>
      <c r="LGG31" s="63"/>
      <c r="LGH31" s="63"/>
      <c r="LGI31" s="63"/>
      <c r="LGJ31" s="63"/>
      <c r="LGK31" s="63"/>
      <c r="LGL31" s="63"/>
      <c r="LGM31" s="63"/>
      <c r="LGN31" s="63"/>
      <c r="LGO31" s="63"/>
      <c r="LGP31" s="63"/>
      <c r="LGQ31" s="63"/>
      <c r="LGR31" s="63"/>
      <c r="LGS31" s="63"/>
      <c r="LGT31" s="63"/>
      <c r="LGU31" s="63"/>
      <c r="LGV31" s="63"/>
      <c r="LGW31" s="63"/>
      <c r="LGX31" s="63"/>
      <c r="LGY31" s="63"/>
      <c r="LGZ31" s="63"/>
      <c r="LHA31" s="63"/>
      <c r="LHB31" s="63"/>
      <c r="LHC31" s="63"/>
      <c r="LHD31" s="63"/>
      <c r="LHE31" s="63"/>
      <c r="LHF31" s="63"/>
      <c r="LHG31" s="63"/>
      <c r="LHH31" s="63"/>
      <c r="LHI31" s="63"/>
      <c r="LHJ31" s="63"/>
      <c r="LHK31" s="63"/>
      <c r="LHL31" s="63"/>
      <c r="LHM31" s="63"/>
      <c r="LHN31" s="63"/>
      <c r="LHO31" s="63"/>
      <c r="LHP31" s="63"/>
      <c r="LHQ31" s="63"/>
      <c r="LHR31" s="63"/>
      <c r="LHS31" s="63"/>
      <c r="LHT31" s="63"/>
      <c r="LHU31" s="63"/>
      <c r="LHV31" s="63"/>
      <c r="LHW31" s="63"/>
      <c r="LHX31" s="63"/>
      <c r="LHY31" s="63"/>
      <c r="LHZ31" s="63"/>
      <c r="LIA31" s="63"/>
      <c r="LIB31" s="63"/>
      <c r="LIC31" s="63"/>
      <c r="LID31" s="63"/>
      <c r="LIE31" s="63"/>
      <c r="LIF31" s="63"/>
      <c r="LIG31" s="63"/>
      <c r="LIH31" s="63"/>
      <c r="LII31" s="63"/>
      <c r="LIJ31" s="63"/>
      <c r="LIK31" s="63"/>
      <c r="LIL31" s="63"/>
      <c r="LIM31" s="63"/>
      <c r="LIN31" s="63"/>
      <c r="LIO31" s="63"/>
      <c r="LIP31" s="63"/>
      <c r="LIQ31" s="63"/>
      <c r="LIR31" s="63"/>
      <c r="LIS31" s="63"/>
      <c r="LIT31" s="63"/>
      <c r="LIU31" s="63"/>
      <c r="LIV31" s="63"/>
      <c r="LIW31" s="63"/>
      <c r="LIX31" s="63"/>
      <c r="LIY31" s="63"/>
      <c r="LIZ31" s="63"/>
      <c r="LJA31" s="63"/>
      <c r="LJB31" s="63"/>
      <c r="LJC31" s="63"/>
      <c r="LJD31" s="63"/>
      <c r="LJE31" s="63"/>
      <c r="LJF31" s="63"/>
      <c r="LJG31" s="63"/>
      <c r="LJH31" s="63"/>
      <c r="LJI31" s="63"/>
      <c r="LJJ31" s="63"/>
      <c r="LJK31" s="63"/>
      <c r="LJL31" s="63"/>
      <c r="LJM31" s="63"/>
      <c r="LJN31" s="63"/>
      <c r="LJO31" s="63"/>
      <c r="LJP31" s="63"/>
      <c r="LJQ31" s="63"/>
      <c r="LJR31" s="63"/>
      <c r="LJS31" s="63"/>
      <c r="LJT31" s="63"/>
      <c r="LJU31" s="63"/>
      <c r="LJV31" s="63"/>
      <c r="LJW31" s="63"/>
      <c r="LJX31" s="63"/>
      <c r="LJY31" s="63"/>
      <c r="LJZ31" s="63"/>
      <c r="LKA31" s="63"/>
      <c r="LKB31" s="63"/>
      <c r="LKC31" s="63"/>
      <c r="LKD31" s="63"/>
      <c r="LKE31" s="63"/>
      <c r="LKF31" s="63"/>
      <c r="LKG31" s="63"/>
      <c r="LKH31" s="63"/>
      <c r="LKI31" s="63"/>
      <c r="LKJ31" s="63"/>
      <c r="LKK31" s="63"/>
      <c r="LKL31" s="63"/>
      <c r="LKM31" s="63"/>
      <c r="LKN31" s="63"/>
      <c r="LKO31" s="63"/>
      <c r="LKP31" s="63"/>
      <c r="LKQ31" s="63"/>
      <c r="LKR31" s="63"/>
      <c r="LKS31" s="63"/>
      <c r="LKT31" s="63"/>
      <c r="LKU31" s="63"/>
      <c r="LKV31" s="63"/>
      <c r="LKW31" s="63"/>
      <c r="LKX31" s="63"/>
      <c r="LKY31" s="63"/>
      <c r="LKZ31" s="63"/>
      <c r="LLA31" s="63"/>
      <c r="LLB31" s="63"/>
      <c r="LLC31" s="63"/>
      <c r="LLD31" s="63"/>
      <c r="LLE31" s="63"/>
      <c r="LLF31" s="63"/>
      <c r="LLG31" s="63"/>
      <c r="LLH31" s="63"/>
      <c r="LLI31" s="63"/>
      <c r="LLJ31" s="63"/>
      <c r="LLK31" s="63"/>
      <c r="LLL31" s="63"/>
      <c r="LLM31" s="63"/>
      <c r="LLN31" s="63"/>
      <c r="LLO31" s="63"/>
      <c r="LLP31" s="63"/>
      <c r="LLQ31" s="63"/>
      <c r="LLR31" s="63"/>
      <c r="LLS31" s="63"/>
      <c r="LLT31" s="63"/>
      <c r="LLU31" s="63"/>
      <c r="LLV31" s="63"/>
      <c r="LLW31" s="63"/>
      <c r="LLX31" s="63"/>
      <c r="LLY31" s="63"/>
      <c r="LLZ31" s="63"/>
      <c r="LMA31" s="63"/>
      <c r="LMB31" s="63"/>
      <c r="LMC31" s="63"/>
      <c r="LMD31" s="63"/>
      <c r="LME31" s="63"/>
      <c r="LMF31" s="63"/>
      <c r="LMG31" s="63"/>
      <c r="LMH31" s="63"/>
      <c r="LMI31" s="63"/>
      <c r="LMJ31" s="63"/>
      <c r="LMK31" s="63"/>
      <c r="LML31" s="63"/>
      <c r="LMM31" s="63"/>
      <c r="LMN31" s="63"/>
      <c r="LMO31" s="63"/>
      <c r="LMP31" s="63"/>
      <c r="LMQ31" s="63"/>
      <c r="LMR31" s="63"/>
      <c r="LMS31" s="63"/>
      <c r="LMT31" s="63"/>
      <c r="LMU31" s="63"/>
      <c r="LMV31" s="63"/>
      <c r="LMW31" s="63"/>
      <c r="LMX31" s="63"/>
      <c r="LMY31" s="63"/>
      <c r="LMZ31" s="63"/>
      <c r="LNA31" s="63"/>
      <c r="LNB31" s="63"/>
      <c r="LNC31" s="63"/>
      <c r="LND31" s="63"/>
      <c r="LNE31" s="63"/>
      <c r="LNF31" s="63"/>
      <c r="LNG31" s="63"/>
      <c r="LNH31" s="63"/>
      <c r="LNI31" s="63"/>
      <c r="LNJ31" s="63"/>
      <c r="LNK31" s="63"/>
      <c r="LNL31" s="63"/>
      <c r="LNM31" s="63"/>
      <c r="LNN31" s="63"/>
      <c r="LNO31" s="63"/>
      <c r="LNP31" s="63"/>
      <c r="LNQ31" s="63"/>
      <c r="LNR31" s="63"/>
      <c r="LNS31" s="63"/>
      <c r="LNT31" s="63"/>
      <c r="LNU31" s="63"/>
      <c r="LNV31" s="63"/>
      <c r="LNW31" s="63"/>
      <c r="LNX31" s="63"/>
      <c r="LNY31" s="63"/>
      <c r="LNZ31" s="63"/>
      <c r="LOA31" s="63"/>
      <c r="LOB31" s="63"/>
      <c r="LOC31" s="63"/>
      <c r="LOD31" s="63"/>
      <c r="LOE31" s="63"/>
      <c r="LOF31" s="63"/>
      <c r="LOG31" s="63"/>
      <c r="LOH31" s="63"/>
      <c r="LOI31" s="63"/>
      <c r="LOJ31" s="63"/>
      <c r="LOK31" s="63"/>
      <c r="LOL31" s="63"/>
      <c r="LOM31" s="63"/>
      <c r="LON31" s="63"/>
      <c r="LOO31" s="63"/>
      <c r="LOP31" s="63"/>
      <c r="LOQ31" s="63"/>
      <c r="LOR31" s="63"/>
      <c r="LOS31" s="63"/>
      <c r="LOT31" s="63"/>
      <c r="LOU31" s="63"/>
      <c r="LOV31" s="63"/>
      <c r="LOW31" s="63"/>
      <c r="LOX31" s="63"/>
      <c r="LOY31" s="63"/>
      <c r="LOZ31" s="63"/>
      <c r="LPA31" s="63"/>
      <c r="LPB31" s="63"/>
      <c r="LPC31" s="63"/>
      <c r="LPD31" s="63"/>
      <c r="LPE31" s="63"/>
      <c r="LPF31" s="63"/>
      <c r="LPG31" s="63"/>
      <c r="LPH31" s="63"/>
      <c r="LPI31" s="63"/>
      <c r="LPJ31" s="63"/>
      <c r="LPK31" s="63"/>
      <c r="LPL31" s="63"/>
      <c r="LPM31" s="63"/>
      <c r="LPN31" s="63"/>
      <c r="LPO31" s="63"/>
      <c r="LPP31" s="63"/>
      <c r="LPQ31" s="63"/>
      <c r="LPR31" s="63"/>
      <c r="LPS31" s="63"/>
      <c r="LPT31" s="63"/>
      <c r="LPU31" s="63"/>
      <c r="LPV31" s="63"/>
      <c r="LPW31" s="63"/>
      <c r="LPX31" s="63"/>
      <c r="LPY31" s="63"/>
      <c r="LPZ31" s="63"/>
      <c r="LQA31" s="63"/>
      <c r="LQB31" s="63"/>
      <c r="LQC31" s="63"/>
      <c r="LQD31" s="63"/>
      <c r="LQE31" s="63"/>
      <c r="LQF31" s="63"/>
      <c r="LQG31" s="63"/>
      <c r="LQH31" s="63"/>
      <c r="LQI31" s="63"/>
      <c r="LQJ31" s="63"/>
      <c r="LQK31" s="63"/>
      <c r="LQL31" s="63"/>
      <c r="LQM31" s="63"/>
      <c r="LQN31" s="63"/>
      <c r="LQO31" s="63"/>
      <c r="LQP31" s="63"/>
      <c r="LQQ31" s="63"/>
      <c r="LQR31" s="63"/>
      <c r="LQS31" s="63"/>
      <c r="LQT31" s="63"/>
      <c r="LQU31" s="63"/>
      <c r="LQV31" s="63"/>
      <c r="LQW31" s="63"/>
      <c r="LQX31" s="63"/>
      <c r="LQY31" s="63"/>
      <c r="LQZ31" s="63"/>
      <c r="LRA31" s="63"/>
      <c r="LRB31" s="63"/>
      <c r="LRC31" s="63"/>
      <c r="LRD31" s="63"/>
      <c r="LRE31" s="63"/>
      <c r="LRF31" s="63"/>
      <c r="LRG31" s="63"/>
      <c r="LRH31" s="63"/>
      <c r="LRI31" s="63"/>
      <c r="LRJ31" s="63"/>
      <c r="LRK31" s="63"/>
      <c r="LRL31" s="63"/>
      <c r="LRM31" s="63"/>
      <c r="LRN31" s="63"/>
      <c r="LRO31" s="63"/>
      <c r="LRP31" s="63"/>
      <c r="LRQ31" s="63"/>
      <c r="LRR31" s="63"/>
      <c r="LRS31" s="63"/>
      <c r="LRT31" s="63"/>
      <c r="LRU31" s="63"/>
      <c r="LRV31" s="63"/>
      <c r="LRW31" s="63"/>
      <c r="LRX31" s="63"/>
      <c r="LRY31" s="63"/>
      <c r="LRZ31" s="63"/>
      <c r="LSA31" s="63"/>
      <c r="LSB31" s="63"/>
      <c r="LSC31" s="63"/>
      <c r="LSD31" s="63"/>
      <c r="LSE31" s="63"/>
      <c r="LSF31" s="63"/>
      <c r="LSG31" s="63"/>
      <c r="LSH31" s="63"/>
      <c r="LSI31" s="63"/>
      <c r="LSJ31" s="63"/>
      <c r="LSK31" s="63"/>
      <c r="LSL31" s="63"/>
      <c r="LSM31" s="63"/>
      <c r="LSN31" s="63"/>
      <c r="LSO31" s="63"/>
      <c r="LSP31" s="63"/>
      <c r="LSQ31" s="63"/>
      <c r="LSR31" s="63"/>
      <c r="LSS31" s="63"/>
      <c r="LST31" s="63"/>
      <c r="LSU31" s="63"/>
      <c r="LSV31" s="63"/>
      <c r="LSW31" s="63"/>
      <c r="LSX31" s="63"/>
      <c r="LSY31" s="63"/>
      <c r="LSZ31" s="63"/>
      <c r="LTA31" s="63"/>
      <c r="LTB31" s="63"/>
      <c r="LTC31" s="63"/>
      <c r="LTD31" s="63"/>
      <c r="LTE31" s="63"/>
      <c r="LTF31" s="63"/>
      <c r="LTG31" s="63"/>
      <c r="LTH31" s="63"/>
      <c r="LTI31" s="63"/>
      <c r="LTJ31" s="63"/>
      <c r="LTK31" s="63"/>
      <c r="LTL31" s="63"/>
      <c r="LTM31" s="63"/>
      <c r="LTN31" s="63"/>
      <c r="LTO31" s="63"/>
      <c r="LTP31" s="63"/>
      <c r="LTQ31" s="63"/>
      <c r="LTR31" s="63"/>
      <c r="LTS31" s="63"/>
      <c r="LTT31" s="63"/>
      <c r="LTU31" s="63"/>
      <c r="LTV31" s="63"/>
      <c r="LTW31" s="63"/>
      <c r="LTX31" s="63"/>
      <c r="LTY31" s="63"/>
      <c r="LTZ31" s="63"/>
      <c r="LUA31" s="63"/>
      <c r="LUB31" s="63"/>
      <c r="LUC31" s="63"/>
      <c r="LUD31" s="63"/>
      <c r="LUE31" s="63"/>
      <c r="LUF31" s="63"/>
      <c r="LUG31" s="63"/>
      <c r="LUH31" s="63"/>
      <c r="LUI31" s="63"/>
      <c r="LUJ31" s="63"/>
      <c r="LUK31" s="63"/>
      <c r="LUL31" s="63"/>
      <c r="LUM31" s="63"/>
      <c r="LUN31" s="63"/>
      <c r="LUO31" s="63"/>
      <c r="LUP31" s="63"/>
      <c r="LUQ31" s="63"/>
      <c r="LUR31" s="63"/>
      <c r="LUS31" s="63"/>
      <c r="LUT31" s="63"/>
      <c r="LUU31" s="63"/>
      <c r="LUV31" s="63"/>
      <c r="LUW31" s="63"/>
      <c r="LUX31" s="63"/>
      <c r="LUY31" s="63"/>
      <c r="LUZ31" s="63"/>
      <c r="LVA31" s="63"/>
      <c r="LVB31" s="63"/>
      <c r="LVC31" s="63"/>
      <c r="LVD31" s="63"/>
      <c r="LVE31" s="63"/>
      <c r="LVF31" s="63"/>
      <c r="LVG31" s="63"/>
      <c r="LVH31" s="63"/>
      <c r="LVI31" s="63"/>
      <c r="LVJ31" s="63"/>
      <c r="LVK31" s="63"/>
      <c r="LVL31" s="63"/>
      <c r="LVM31" s="63"/>
      <c r="LVN31" s="63"/>
      <c r="LVO31" s="63"/>
      <c r="LVP31" s="63"/>
      <c r="LVQ31" s="63"/>
      <c r="LVR31" s="63"/>
      <c r="LVS31" s="63"/>
      <c r="LVT31" s="63"/>
      <c r="LVU31" s="63"/>
      <c r="LVV31" s="63"/>
      <c r="LVW31" s="63"/>
      <c r="LVX31" s="63"/>
      <c r="LVY31" s="63"/>
      <c r="LVZ31" s="63"/>
      <c r="LWA31" s="63"/>
      <c r="LWB31" s="63"/>
      <c r="LWC31" s="63"/>
      <c r="LWD31" s="63"/>
      <c r="LWE31" s="63"/>
      <c r="LWF31" s="63"/>
      <c r="LWG31" s="63"/>
      <c r="LWH31" s="63"/>
      <c r="LWI31" s="63"/>
      <c r="LWJ31" s="63"/>
      <c r="LWK31" s="63"/>
      <c r="LWL31" s="63"/>
      <c r="LWM31" s="63"/>
      <c r="LWN31" s="63"/>
      <c r="LWO31" s="63"/>
      <c r="LWP31" s="63"/>
      <c r="LWQ31" s="63"/>
      <c r="LWR31" s="63"/>
      <c r="LWS31" s="63"/>
      <c r="LWT31" s="63"/>
      <c r="LWU31" s="63"/>
      <c r="LWV31" s="63"/>
      <c r="LWW31" s="63"/>
      <c r="LWX31" s="63"/>
      <c r="LWY31" s="63"/>
      <c r="LWZ31" s="63"/>
      <c r="LXA31" s="63"/>
      <c r="LXB31" s="63"/>
      <c r="LXC31" s="63"/>
      <c r="LXD31" s="63"/>
      <c r="LXE31" s="63"/>
      <c r="LXF31" s="63"/>
      <c r="LXG31" s="63"/>
      <c r="LXH31" s="63"/>
      <c r="LXI31" s="63"/>
      <c r="LXJ31" s="63"/>
      <c r="LXK31" s="63"/>
      <c r="LXL31" s="63"/>
      <c r="LXM31" s="63"/>
      <c r="LXN31" s="63"/>
      <c r="LXO31" s="63"/>
      <c r="LXP31" s="63"/>
      <c r="LXQ31" s="63"/>
      <c r="LXR31" s="63"/>
      <c r="LXS31" s="63"/>
      <c r="LXT31" s="63"/>
      <c r="LXU31" s="63"/>
      <c r="LXV31" s="63"/>
      <c r="LXW31" s="63"/>
      <c r="LXX31" s="63"/>
      <c r="LXY31" s="63"/>
      <c r="LXZ31" s="63"/>
      <c r="LYA31" s="63"/>
      <c r="LYB31" s="63"/>
      <c r="LYC31" s="63"/>
      <c r="LYD31" s="63"/>
      <c r="LYE31" s="63"/>
      <c r="LYF31" s="63"/>
      <c r="LYG31" s="63"/>
      <c r="LYH31" s="63"/>
      <c r="LYI31" s="63"/>
      <c r="LYJ31" s="63"/>
      <c r="LYK31" s="63"/>
      <c r="LYL31" s="63"/>
      <c r="LYM31" s="63"/>
      <c r="LYN31" s="63"/>
      <c r="LYO31" s="63"/>
      <c r="LYP31" s="63"/>
      <c r="LYQ31" s="63"/>
      <c r="LYR31" s="63"/>
      <c r="LYS31" s="63"/>
      <c r="LYT31" s="63"/>
      <c r="LYU31" s="63"/>
      <c r="LYV31" s="63"/>
      <c r="LYW31" s="63"/>
      <c r="LYX31" s="63"/>
      <c r="LYY31" s="63"/>
      <c r="LYZ31" s="63"/>
      <c r="LZA31" s="63"/>
      <c r="LZB31" s="63"/>
      <c r="LZC31" s="63"/>
      <c r="LZD31" s="63"/>
      <c r="LZE31" s="63"/>
      <c r="LZF31" s="63"/>
      <c r="LZG31" s="63"/>
      <c r="LZH31" s="63"/>
      <c r="LZI31" s="63"/>
      <c r="LZJ31" s="63"/>
      <c r="LZK31" s="63"/>
      <c r="LZL31" s="63"/>
      <c r="LZM31" s="63"/>
      <c r="LZN31" s="63"/>
      <c r="LZO31" s="63"/>
      <c r="LZP31" s="63"/>
      <c r="LZQ31" s="63"/>
      <c r="LZR31" s="63"/>
      <c r="LZS31" s="63"/>
      <c r="LZT31" s="63"/>
      <c r="LZU31" s="63"/>
      <c r="LZV31" s="63"/>
      <c r="LZW31" s="63"/>
      <c r="LZX31" s="63"/>
      <c r="LZY31" s="63"/>
      <c r="LZZ31" s="63"/>
      <c r="MAA31" s="63"/>
      <c r="MAB31" s="63"/>
      <c r="MAC31" s="63"/>
      <c r="MAD31" s="63"/>
      <c r="MAE31" s="63"/>
      <c r="MAF31" s="63"/>
      <c r="MAG31" s="63"/>
      <c r="MAH31" s="63"/>
      <c r="MAI31" s="63"/>
      <c r="MAJ31" s="63"/>
      <c r="MAK31" s="63"/>
      <c r="MAL31" s="63"/>
      <c r="MAM31" s="63"/>
      <c r="MAN31" s="63"/>
      <c r="MAO31" s="63"/>
      <c r="MAP31" s="63"/>
      <c r="MAQ31" s="63"/>
      <c r="MAR31" s="63"/>
      <c r="MAS31" s="63"/>
      <c r="MAT31" s="63"/>
      <c r="MAU31" s="63"/>
      <c r="MAV31" s="63"/>
      <c r="MAW31" s="63"/>
      <c r="MAX31" s="63"/>
      <c r="MAY31" s="63"/>
      <c r="MAZ31" s="63"/>
      <c r="MBA31" s="63"/>
      <c r="MBB31" s="63"/>
      <c r="MBC31" s="63"/>
      <c r="MBD31" s="63"/>
      <c r="MBE31" s="63"/>
      <c r="MBF31" s="63"/>
      <c r="MBG31" s="63"/>
      <c r="MBH31" s="63"/>
      <c r="MBI31" s="63"/>
      <c r="MBJ31" s="63"/>
      <c r="MBK31" s="63"/>
      <c r="MBL31" s="63"/>
      <c r="MBM31" s="63"/>
      <c r="MBN31" s="63"/>
      <c r="MBO31" s="63"/>
      <c r="MBP31" s="63"/>
      <c r="MBQ31" s="63"/>
      <c r="MBR31" s="63"/>
      <c r="MBS31" s="63"/>
      <c r="MBT31" s="63"/>
      <c r="MBU31" s="63"/>
      <c r="MBV31" s="63"/>
      <c r="MBW31" s="63"/>
      <c r="MBX31" s="63"/>
      <c r="MBY31" s="63"/>
      <c r="MBZ31" s="63"/>
      <c r="MCA31" s="63"/>
      <c r="MCB31" s="63"/>
      <c r="MCC31" s="63"/>
      <c r="MCD31" s="63"/>
      <c r="MCE31" s="63"/>
      <c r="MCF31" s="63"/>
      <c r="MCG31" s="63"/>
      <c r="MCH31" s="63"/>
      <c r="MCI31" s="63"/>
      <c r="MCJ31" s="63"/>
      <c r="MCK31" s="63"/>
      <c r="MCL31" s="63"/>
      <c r="MCM31" s="63"/>
      <c r="MCN31" s="63"/>
      <c r="MCO31" s="63"/>
      <c r="MCP31" s="63"/>
      <c r="MCQ31" s="63"/>
      <c r="MCR31" s="63"/>
      <c r="MCS31" s="63"/>
      <c r="MCT31" s="63"/>
      <c r="MCU31" s="63"/>
      <c r="MCV31" s="63"/>
      <c r="MCW31" s="63"/>
      <c r="MCX31" s="63"/>
      <c r="MCY31" s="63"/>
      <c r="MCZ31" s="63"/>
      <c r="MDA31" s="63"/>
      <c r="MDB31" s="63"/>
      <c r="MDC31" s="63"/>
      <c r="MDD31" s="63"/>
      <c r="MDE31" s="63"/>
      <c r="MDF31" s="63"/>
      <c r="MDG31" s="63"/>
      <c r="MDH31" s="63"/>
      <c r="MDI31" s="63"/>
      <c r="MDJ31" s="63"/>
      <c r="MDK31" s="63"/>
      <c r="MDL31" s="63"/>
      <c r="MDM31" s="63"/>
      <c r="MDN31" s="63"/>
      <c r="MDO31" s="63"/>
      <c r="MDP31" s="63"/>
      <c r="MDQ31" s="63"/>
      <c r="MDR31" s="63"/>
      <c r="MDS31" s="63"/>
      <c r="MDT31" s="63"/>
      <c r="MDU31" s="63"/>
      <c r="MDV31" s="63"/>
      <c r="MDW31" s="63"/>
      <c r="MDX31" s="63"/>
      <c r="MDY31" s="63"/>
      <c r="MDZ31" s="63"/>
      <c r="MEA31" s="63"/>
      <c r="MEB31" s="63"/>
      <c r="MEC31" s="63"/>
      <c r="MED31" s="63"/>
      <c r="MEE31" s="63"/>
      <c r="MEF31" s="63"/>
      <c r="MEG31" s="63"/>
      <c r="MEH31" s="63"/>
      <c r="MEI31" s="63"/>
      <c r="MEJ31" s="63"/>
      <c r="MEK31" s="63"/>
      <c r="MEL31" s="63"/>
      <c r="MEM31" s="63"/>
      <c r="MEN31" s="63"/>
      <c r="MEO31" s="63"/>
      <c r="MEP31" s="63"/>
      <c r="MEQ31" s="63"/>
      <c r="MER31" s="63"/>
      <c r="MES31" s="63"/>
      <c r="MET31" s="63"/>
      <c r="MEU31" s="63"/>
      <c r="MEV31" s="63"/>
      <c r="MEW31" s="63"/>
      <c r="MEX31" s="63"/>
      <c r="MEY31" s="63"/>
      <c r="MEZ31" s="63"/>
      <c r="MFA31" s="63"/>
      <c r="MFB31" s="63"/>
      <c r="MFC31" s="63"/>
      <c r="MFD31" s="63"/>
      <c r="MFE31" s="63"/>
      <c r="MFF31" s="63"/>
      <c r="MFG31" s="63"/>
      <c r="MFH31" s="63"/>
      <c r="MFI31" s="63"/>
      <c r="MFJ31" s="63"/>
      <c r="MFK31" s="63"/>
      <c r="MFL31" s="63"/>
      <c r="MFM31" s="63"/>
      <c r="MFN31" s="63"/>
      <c r="MFO31" s="63"/>
      <c r="MFP31" s="63"/>
      <c r="MFQ31" s="63"/>
      <c r="MFR31" s="63"/>
      <c r="MFS31" s="63"/>
      <c r="MFT31" s="63"/>
      <c r="MFU31" s="63"/>
      <c r="MFV31" s="63"/>
      <c r="MFW31" s="63"/>
      <c r="MFX31" s="63"/>
      <c r="MFY31" s="63"/>
      <c r="MFZ31" s="63"/>
      <c r="MGA31" s="63"/>
      <c r="MGB31" s="63"/>
      <c r="MGC31" s="63"/>
      <c r="MGD31" s="63"/>
      <c r="MGE31" s="63"/>
      <c r="MGF31" s="63"/>
      <c r="MGG31" s="63"/>
      <c r="MGH31" s="63"/>
      <c r="MGI31" s="63"/>
      <c r="MGJ31" s="63"/>
      <c r="MGK31" s="63"/>
      <c r="MGL31" s="63"/>
      <c r="MGM31" s="63"/>
      <c r="MGN31" s="63"/>
      <c r="MGO31" s="63"/>
      <c r="MGP31" s="63"/>
      <c r="MGQ31" s="63"/>
      <c r="MGR31" s="63"/>
      <c r="MGS31" s="63"/>
      <c r="MGT31" s="63"/>
      <c r="MGU31" s="63"/>
      <c r="MGV31" s="63"/>
      <c r="MGW31" s="63"/>
      <c r="MGX31" s="63"/>
      <c r="MGY31" s="63"/>
      <c r="MGZ31" s="63"/>
      <c r="MHA31" s="63"/>
      <c r="MHB31" s="63"/>
      <c r="MHC31" s="63"/>
      <c r="MHD31" s="63"/>
      <c r="MHE31" s="63"/>
      <c r="MHF31" s="63"/>
      <c r="MHG31" s="63"/>
      <c r="MHH31" s="63"/>
      <c r="MHI31" s="63"/>
      <c r="MHJ31" s="63"/>
      <c r="MHK31" s="63"/>
      <c r="MHL31" s="63"/>
      <c r="MHM31" s="63"/>
      <c r="MHN31" s="63"/>
      <c r="MHO31" s="63"/>
      <c r="MHP31" s="63"/>
      <c r="MHQ31" s="63"/>
      <c r="MHR31" s="63"/>
      <c r="MHS31" s="63"/>
      <c r="MHT31" s="63"/>
      <c r="MHU31" s="63"/>
      <c r="MHV31" s="63"/>
      <c r="MHW31" s="63"/>
      <c r="MHX31" s="63"/>
      <c r="MHY31" s="63"/>
      <c r="MHZ31" s="63"/>
      <c r="MIA31" s="63"/>
      <c r="MIB31" s="63"/>
      <c r="MIC31" s="63"/>
      <c r="MID31" s="63"/>
      <c r="MIE31" s="63"/>
      <c r="MIF31" s="63"/>
      <c r="MIG31" s="63"/>
      <c r="MIH31" s="63"/>
      <c r="MII31" s="63"/>
      <c r="MIJ31" s="63"/>
      <c r="MIK31" s="63"/>
      <c r="MIL31" s="63"/>
      <c r="MIM31" s="63"/>
      <c r="MIN31" s="63"/>
      <c r="MIO31" s="63"/>
      <c r="MIP31" s="63"/>
      <c r="MIQ31" s="63"/>
      <c r="MIR31" s="63"/>
      <c r="MIS31" s="63"/>
      <c r="MIT31" s="63"/>
      <c r="MIU31" s="63"/>
      <c r="MIV31" s="63"/>
      <c r="MIW31" s="63"/>
      <c r="MIX31" s="63"/>
      <c r="MIY31" s="63"/>
      <c r="MIZ31" s="63"/>
      <c r="MJA31" s="63"/>
      <c r="MJB31" s="63"/>
      <c r="MJC31" s="63"/>
      <c r="MJD31" s="63"/>
      <c r="MJE31" s="63"/>
      <c r="MJF31" s="63"/>
      <c r="MJG31" s="63"/>
      <c r="MJH31" s="63"/>
      <c r="MJI31" s="63"/>
      <c r="MJJ31" s="63"/>
      <c r="MJK31" s="63"/>
      <c r="MJL31" s="63"/>
      <c r="MJM31" s="63"/>
      <c r="MJN31" s="63"/>
      <c r="MJO31" s="63"/>
      <c r="MJP31" s="63"/>
      <c r="MJQ31" s="63"/>
      <c r="MJR31" s="63"/>
      <c r="MJS31" s="63"/>
      <c r="MJT31" s="63"/>
      <c r="MJU31" s="63"/>
      <c r="MJV31" s="63"/>
      <c r="MJW31" s="63"/>
      <c r="MJX31" s="63"/>
      <c r="MJY31" s="63"/>
      <c r="MJZ31" s="63"/>
      <c r="MKA31" s="63"/>
      <c r="MKB31" s="63"/>
      <c r="MKC31" s="63"/>
      <c r="MKD31" s="63"/>
      <c r="MKE31" s="63"/>
      <c r="MKF31" s="63"/>
      <c r="MKG31" s="63"/>
      <c r="MKH31" s="63"/>
      <c r="MKI31" s="63"/>
      <c r="MKJ31" s="63"/>
      <c r="MKK31" s="63"/>
      <c r="MKL31" s="63"/>
      <c r="MKM31" s="63"/>
      <c r="MKN31" s="63"/>
      <c r="MKO31" s="63"/>
      <c r="MKP31" s="63"/>
      <c r="MKQ31" s="63"/>
      <c r="MKR31" s="63"/>
      <c r="MKS31" s="63"/>
      <c r="MKT31" s="63"/>
      <c r="MKU31" s="63"/>
      <c r="MKV31" s="63"/>
      <c r="MKW31" s="63"/>
      <c r="MKX31" s="63"/>
      <c r="MKY31" s="63"/>
      <c r="MKZ31" s="63"/>
      <c r="MLA31" s="63"/>
      <c r="MLB31" s="63"/>
      <c r="MLC31" s="63"/>
      <c r="MLD31" s="63"/>
      <c r="MLE31" s="63"/>
      <c r="MLF31" s="63"/>
      <c r="MLG31" s="63"/>
      <c r="MLH31" s="63"/>
      <c r="MLI31" s="63"/>
      <c r="MLJ31" s="63"/>
      <c r="MLK31" s="63"/>
      <c r="MLL31" s="63"/>
      <c r="MLM31" s="63"/>
      <c r="MLN31" s="63"/>
      <c r="MLO31" s="63"/>
      <c r="MLP31" s="63"/>
      <c r="MLQ31" s="63"/>
      <c r="MLR31" s="63"/>
      <c r="MLS31" s="63"/>
      <c r="MLT31" s="63"/>
      <c r="MLU31" s="63"/>
      <c r="MLV31" s="63"/>
      <c r="MLW31" s="63"/>
      <c r="MLX31" s="63"/>
      <c r="MLY31" s="63"/>
      <c r="MLZ31" s="63"/>
      <c r="MMA31" s="63"/>
      <c r="MMB31" s="63"/>
      <c r="MMC31" s="63"/>
      <c r="MMD31" s="63"/>
      <c r="MME31" s="63"/>
      <c r="MMF31" s="63"/>
      <c r="MMG31" s="63"/>
      <c r="MMH31" s="63"/>
      <c r="MMI31" s="63"/>
      <c r="MMJ31" s="63"/>
      <c r="MMK31" s="63"/>
      <c r="MML31" s="63"/>
      <c r="MMM31" s="63"/>
      <c r="MMN31" s="63"/>
      <c r="MMO31" s="63"/>
      <c r="MMP31" s="63"/>
      <c r="MMQ31" s="63"/>
      <c r="MMR31" s="63"/>
      <c r="MMS31" s="63"/>
      <c r="MMT31" s="63"/>
      <c r="MMU31" s="63"/>
      <c r="MMV31" s="63"/>
      <c r="MMW31" s="63"/>
      <c r="MMX31" s="63"/>
      <c r="MMY31" s="63"/>
      <c r="MMZ31" s="63"/>
      <c r="MNA31" s="63"/>
      <c r="MNB31" s="63"/>
      <c r="MNC31" s="63"/>
      <c r="MND31" s="63"/>
      <c r="MNE31" s="63"/>
      <c r="MNF31" s="63"/>
      <c r="MNG31" s="63"/>
      <c r="MNH31" s="63"/>
      <c r="MNI31" s="63"/>
      <c r="MNJ31" s="63"/>
      <c r="MNK31" s="63"/>
      <c r="MNL31" s="63"/>
      <c r="MNM31" s="63"/>
      <c r="MNN31" s="63"/>
      <c r="MNO31" s="63"/>
      <c r="MNP31" s="63"/>
      <c r="MNQ31" s="63"/>
      <c r="MNR31" s="63"/>
      <c r="MNS31" s="63"/>
      <c r="MNT31" s="63"/>
      <c r="MNU31" s="63"/>
      <c r="MNV31" s="63"/>
      <c r="MNW31" s="63"/>
      <c r="MNX31" s="63"/>
      <c r="MNY31" s="63"/>
      <c r="MNZ31" s="63"/>
      <c r="MOA31" s="63"/>
      <c r="MOB31" s="63"/>
      <c r="MOC31" s="63"/>
      <c r="MOD31" s="63"/>
      <c r="MOE31" s="63"/>
      <c r="MOF31" s="63"/>
      <c r="MOG31" s="63"/>
      <c r="MOH31" s="63"/>
      <c r="MOI31" s="63"/>
      <c r="MOJ31" s="63"/>
      <c r="MOK31" s="63"/>
      <c r="MOL31" s="63"/>
      <c r="MOM31" s="63"/>
      <c r="MON31" s="63"/>
      <c r="MOO31" s="63"/>
      <c r="MOP31" s="63"/>
      <c r="MOQ31" s="63"/>
      <c r="MOR31" s="63"/>
      <c r="MOS31" s="63"/>
      <c r="MOT31" s="63"/>
      <c r="MOU31" s="63"/>
      <c r="MOV31" s="63"/>
      <c r="MOW31" s="63"/>
      <c r="MOX31" s="63"/>
      <c r="MOY31" s="63"/>
      <c r="MOZ31" s="63"/>
      <c r="MPA31" s="63"/>
      <c r="MPB31" s="63"/>
      <c r="MPC31" s="63"/>
      <c r="MPD31" s="63"/>
      <c r="MPE31" s="63"/>
      <c r="MPF31" s="63"/>
      <c r="MPG31" s="63"/>
      <c r="MPH31" s="63"/>
      <c r="MPI31" s="63"/>
      <c r="MPJ31" s="63"/>
      <c r="MPK31" s="63"/>
      <c r="MPL31" s="63"/>
      <c r="MPM31" s="63"/>
      <c r="MPN31" s="63"/>
      <c r="MPO31" s="63"/>
      <c r="MPP31" s="63"/>
      <c r="MPQ31" s="63"/>
      <c r="MPR31" s="63"/>
      <c r="MPS31" s="63"/>
      <c r="MPT31" s="63"/>
      <c r="MPU31" s="63"/>
      <c r="MPV31" s="63"/>
      <c r="MPW31" s="63"/>
      <c r="MPX31" s="63"/>
      <c r="MPY31" s="63"/>
      <c r="MPZ31" s="63"/>
      <c r="MQA31" s="63"/>
      <c r="MQB31" s="63"/>
      <c r="MQC31" s="63"/>
      <c r="MQD31" s="63"/>
      <c r="MQE31" s="63"/>
      <c r="MQF31" s="63"/>
      <c r="MQG31" s="63"/>
      <c r="MQH31" s="63"/>
      <c r="MQI31" s="63"/>
      <c r="MQJ31" s="63"/>
      <c r="MQK31" s="63"/>
      <c r="MQL31" s="63"/>
      <c r="MQM31" s="63"/>
      <c r="MQN31" s="63"/>
      <c r="MQO31" s="63"/>
      <c r="MQP31" s="63"/>
      <c r="MQQ31" s="63"/>
      <c r="MQR31" s="63"/>
      <c r="MQS31" s="63"/>
      <c r="MQT31" s="63"/>
      <c r="MQU31" s="63"/>
      <c r="MQV31" s="63"/>
      <c r="MQW31" s="63"/>
      <c r="MQX31" s="63"/>
      <c r="MQY31" s="63"/>
      <c r="MQZ31" s="63"/>
      <c r="MRA31" s="63"/>
      <c r="MRB31" s="63"/>
      <c r="MRC31" s="63"/>
      <c r="MRD31" s="63"/>
      <c r="MRE31" s="63"/>
      <c r="MRF31" s="63"/>
      <c r="MRG31" s="63"/>
      <c r="MRH31" s="63"/>
      <c r="MRI31" s="63"/>
      <c r="MRJ31" s="63"/>
      <c r="MRK31" s="63"/>
      <c r="MRL31" s="63"/>
      <c r="MRM31" s="63"/>
      <c r="MRN31" s="63"/>
      <c r="MRO31" s="63"/>
      <c r="MRP31" s="63"/>
      <c r="MRQ31" s="63"/>
      <c r="MRR31" s="63"/>
      <c r="MRS31" s="63"/>
      <c r="MRT31" s="63"/>
      <c r="MRU31" s="63"/>
      <c r="MRV31" s="63"/>
      <c r="MRW31" s="63"/>
      <c r="MRX31" s="63"/>
      <c r="MRY31" s="63"/>
      <c r="MRZ31" s="63"/>
      <c r="MSA31" s="63"/>
      <c r="MSB31" s="63"/>
      <c r="MSC31" s="63"/>
      <c r="MSD31" s="63"/>
      <c r="MSE31" s="63"/>
      <c r="MSF31" s="63"/>
      <c r="MSG31" s="63"/>
      <c r="MSH31" s="63"/>
      <c r="MSI31" s="63"/>
      <c r="MSJ31" s="63"/>
      <c r="MSK31" s="63"/>
      <c r="MSL31" s="63"/>
      <c r="MSM31" s="63"/>
      <c r="MSN31" s="63"/>
      <c r="MSO31" s="63"/>
      <c r="MSP31" s="63"/>
      <c r="MSQ31" s="63"/>
      <c r="MSR31" s="63"/>
      <c r="MSS31" s="63"/>
      <c r="MST31" s="63"/>
      <c r="MSU31" s="63"/>
      <c r="MSV31" s="63"/>
      <c r="MSW31" s="63"/>
      <c r="MSX31" s="63"/>
      <c r="MSY31" s="63"/>
      <c r="MSZ31" s="63"/>
      <c r="MTA31" s="63"/>
      <c r="MTB31" s="63"/>
      <c r="MTC31" s="63"/>
      <c r="MTD31" s="63"/>
      <c r="MTE31" s="63"/>
      <c r="MTF31" s="63"/>
      <c r="MTG31" s="63"/>
      <c r="MTH31" s="63"/>
      <c r="MTI31" s="63"/>
      <c r="MTJ31" s="63"/>
      <c r="MTK31" s="63"/>
      <c r="MTL31" s="63"/>
      <c r="MTM31" s="63"/>
      <c r="MTN31" s="63"/>
      <c r="MTO31" s="63"/>
      <c r="MTP31" s="63"/>
      <c r="MTQ31" s="63"/>
      <c r="MTR31" s="63"/>
      <c r="MTS31" s="63"/>
      <c r="MTT31" s="63"/>
      <c r="MTU31" s="63"/>
      <c r="MTV31" s="63"/>
      <c r="MTW31" s="63"/>
      <c r="MTX31" s="63"/>
      <c r="MTY31" s="63"/>
      <c r="MTZ31" s="63"/>
      <c r="MUA31" s="63"/>
      <c r="MUB31" s="63"/>
      <c r="MUC31" s="63"/>
      <c r="MUD31" s="63"/>
      <c r="MUE31" s="63"/>
      <c r="MUF31" s="63"/>
      <c r="MUG31" s="63"/>
      <c r="MUH31" s="63"/>
      <c r="MUI31" s="63"/>
      <c r="MUJ31" s="63"/>
      <c r="MUK31" s="63"/>
      <c r="MUL31" s="63"/>
      <c r="MUM31" s="63"/>
      <c r="MUN31" s="63"/>
      <c r="MUO31" s="63"/>
      <c r="MUP31" s="63"/>
      <c r="MUQ31" s="63"/>
      <c r="MUR31" s="63"/>
      <c r="MUS31" s="63"/>
      <c r="MUT31" s="63"/>
      <c r="MUU31" s="63"/>
      <c r="MUV31" s="63"/>
      <c r="MUW31" s="63"/>
      <c r="MUX31" s="63"/>
      <c r="MUY31" s="63"/>
      <c r="MUZ31" s="63"/>
      <c r="MVA31" s="63"/>
      <c r="MVB31" s="63"/>
      <c r="MVC31" s="63"/>
      <c r="MVD31" s="63"/>
      <c r="MVE31" s="63"/>
      <c r="MVF31" s="63"/>
      <c r="MVG31" s="63"/>
      <c r="MVH31" s="63"/>
      <c r="MVI31" s="63"/>
      <c r="MVJ31" s="63"/>
      <c r="MVK31" s="63"/>
      <c r="MVL31" s="63"/>
      <c r="MVM31" s="63"/>
      <c r="MVN31" s="63"/>
      <c r="MVO31" s="63"/>
      <c r="MVP31" s="63"/>
      <c r="MVQ31" s="63"/>
      <c r="MVR31" s="63"/>
      <c r="MVS31" s="63"/>
      <c r="MVT31" s="63"/>
      <c r="MVU31" s="63"/>
      <c r="MVV31" s="63"/>
      <c r="MVW31" s="63"/>
      <c r="MVX31" s="63"/>
      <c r="MVY31" s="63"/>
      <c r="MVZ31" s="63"/>
      <c r="MWA31" s="63"/>
      <c r="MWB31" s="63"/>
      <c r="MWC31" s="63"/>
      <c r="MWD31" s="63"/>
      <c r="MWE31" s="63"/>
      <c r="MWF31" s="63"/>
      <c r="MWG31" s="63"/>
      <c r="MWH31" s="63"/>
      <c r="MWI31" s="63"/>
      <c r="MWJ31" s="63"/>
      <c r="MWK31" s="63"/>
      <c r="MWL31" s="63"/>
      <c r="MWM31" s="63"/>
      <c r="MWN31" s="63"/>
      <c r="MWO31" s="63"/>
      <c r="MWP31" s="63"/>
      <c r="MWQ31" s="63"/>
      <c r="MWR31" s="63"/>
      <c r="MWS31" s="63"/>
      <c r="MWT31" s="63"/>
      <c r="MWU31" s="63"/>
      <c r="MWV31" s="63"/>
      <c r="MWW31" s="63"/>
      <c r="MWX31" s="63"/>
      <c r="MWY31" s="63"/>
      <c r="MWZ31" s="63"/>
      <c r="MXA31" s="63"/>
      <c r="MXB31" s="63"/>
      <c r="MXC31" s="63"/>
      <c r="MXD31" s="63"/>
      <c r="MXE31" s="63"/>
      <c r="MXF31" s="63"/>
      <c r="MXG31" s="63"/>
      <c r="MXH31" s="63"/>
      <c r="MXI31" s="63"/>
      <c r="MXJ31" s="63"/>
      <c r="MXK31" s="63"/>
      <c r="MXL31" s="63"/>
      <c r="MXM31" s="63"/>
      <c r="MXN31" s="63"/>
      <c r="MXO31" s="63"/>
      <c r="MXP31" s="63"/>
      <c r="MXQ31" s="63"/>
      <c r="MXR31" s="63"/>
      <c r="MXS31" s="63"/>
      <c r="MXT31" s="63"/>
      <c r="MXU31" s="63"/>
      <c r="MXV31" s="63"/>
      <c r="MXW31" s="63"/>
      <c r="MXX31" s="63"/>
      <c r="MXY31" s="63"/>
      <c r="MXZ31" s="63"/>
      <c r="MYA31" s="63"/>
      <c r="MYB31" s="63"/>
      <c r="MYC31" s="63"/>
      <c r="MYD31" s="63"/>
      <c r="MYE31" s="63"/>
      <c r="MYF31" s="63"/>
      <c r="MYG31" s="63"/>
      <c r="MYH31" s="63"/>
      <c r="MYI31" s="63"/>
      <c r="MYJ31" s="63"/>
      <c r="MYK31" s="63"/>
      <c r="MYL31" s="63"/>
      <c r="MYM31" s="63"/>
      <c r="MYN31" s="63"/>
      <c r="MYO31" s="63"/>
      <c r="MYP31" s="63"/>
      <c r="MYQ31" s="63"/>
      <c r="MYR31" s="63"/>
      <c r="MYS31" s="63"/>
      <c r="MYT31" s="63"/>
      <c r="MYU31" s="63"/>
      <c r="MYV31" s="63"/>
      <c r="MYW31" s="63"/>
      <c r="MYX31" s="63"/>
      <c r="MYY31" s="63"/>
      <c r="MYZ31" s="63"/>
      <c r="MZA31" s="63"/>
      <c r="MZB31" s="63"/>
      <c r="MZC31" s="63"/>
      <c r="MZD31" s="63"/>
      <c r="MZE31" s="63"/>
      <c r="MZF31" s="63"/>
      <c r="MZG31" s="63"/>
      <c r="MZH31" s="63"/>
      <c r="MZI31" s="63"/>
      <c r="MZJ31" s="63"/>
      <c r="MZK31" s="63"/>
      <c r="MZL31" s="63"/>
      <c r="MZM31" s="63"/>
      <c r="MZN31" s="63"/>
      <c r="MZO31" s="63"/>
      <c r="MZP31" s="63"/>
      <c r="MZQ31" s="63"/>
      <c r="MZR31" s="63"/>
      <c r="MZS31" s="63"/>
      <c r="MZT31" s="63"/>
      <c r="MZU31" s="63"/>
      <c r="MZV31" s="63"/>
      <c r="MZW31" s="63"/>
      <c r="MZX31" s="63"/>
      <c r="MZY31" s="63"/>
      <c r="MZZ31" s="63"/>
      <c r="NAA31" s="63"/>
      <c r="NAB31" s="63"/>
      <c r="NAC31" s="63"/>
      <c r="NAD31" s="63"/>
      <c r="NAE31" s="63"/>
      <c r="NAF31" s="63"/>
      <c r="NAG31" s="63"/>
      <c r="NAH31" s="63"/>
      <c r="NAI31" s="63"/>
      <c r="NAJ31" s="63"/>
      <c r="NAK31" s="63"/>
      <c r="NAL31" s="63"/>
      <c r="NAM31" s="63"/>
      <c r="NAN31" s="63"/>
      <c r="NAO31" s="63"/>
      <c r="NAP31" s="63"/>
      <c r="NAQ31" s="63"/>
      <c r="NAR31" s="63"/>
      <c r="NAS31" s="63"/>
      <c r="NAT31" s="63"/>
      <c r="NAU31" s="63"/>
      <c r="NAV31" s="63"/>
      <c r="NAW31" s="63"/>
      <c r="NAX31" s="63"/>
      <c r="NAY31" s="63"/>
      <c r="NAZ31" s="63"/>
      <c r="NBA31" s="63"/>
      <c r="NBB31" s="63"/>
      <c r="NBC31" s="63"/>
      <c r="NBD31" s="63"/>
      <c r="NBE31" s="63"/>
      <c r="NBF31" s="63"/>
      <c r="NBG31" s="63"/>
      <c r="NBH31" s="63"/>
      <c r="NBI31" s="63"/>
      <c r="NBJ31" s="63"/>
      <c r="NBK31" s="63"/>
      <c r="NBL31" s="63"/>
      <c r="NBM31" s="63"/>
      <c r="NBN31" s="63"/>
      <c r="NBO31" s="63"/>
      <c r="NBP31" s="63"/>
      <c r="NBQ31" s="63"/>
      <c r="NBR31" s="63"/>
      <c r="NBS31" s="63"/>
      <c r="NBT31" s="63"/>
      <c r="NBU31" s="63"/>
      <c r="NBV31" s="63"/>
      <c r="NBW31" s="63"/>
      <c r="NBX31" s="63"/>
      <c r="NBY31" s="63"/>
      <c r="NBZ31" s="63"/>
      <c r="NCA31" s="63"/>
      <c r="NCB31" s="63"/>
      <c r="NCC31" s="63"/>
      <c r="NCD31" s="63"/>
      <c r="NCE31" s="63"/>
      <c r="NCF31" s="63"/>
      <c r="NCG31" s="63"/>
      <c r="NCH31" s="63"/>
      <c r="NCI31" s="63"/>
      <c r="NCJ31" s="63"/>
      <c r="NCK31" s="63"/>
      <c r="NCL31" s="63"/>
      <c r="NCM31" s="63"/>
      <c r="NCN31" s="63"/>
      <c r="NCO31" s="63"/>
      <c r="NCP31" s="63"/>
      <c r="NCQ31" s="63"/>
      <c r="NCR31" s="63"/>
      <c r="NCS31" s="63"/>
      <c r="NCT31" s="63"/>
      <c r="NCU31" s="63"/>
      <c r="NCV31" s="63"/>
      <c r="NCW31" s="63"/>
      <c r="NCX31" s="63"/>
      <c r="NCY31" s="63"/>
      <c r="NCZ31" s="63"/>
      <c r="NDA31" s="63"/>
      <c r="NDB31" s="63"/>
      <c r="NDC31" s="63"/>
      <c r="NDD31" s="63"/>
      <c r="NDE31" s="63"/>
      <c r="NDF31" s="63"/>
      <c r="NDG31" s="63"/>
      <c r="NDH31" s="63"/>
      <c r="NDI31" s="63"/>
      <c r="NDJ31" s="63"/>
      <c r="NDK31" s="63"/>
      <c r="NDL31" s="63"/>
      <c r="NDM31" s="63"/>
      <c r="NDN31" s="63"/>
      <c r="NDO31" s="63"/>
      <c r="NDP31" s="63"/>
      <c r="NDQ31" s="63"/>
      <c r="NDR31" s="63"/>
      <c r="NDS31" s="63"/>
      <c r="NDT31" s="63"/>
      <c r="NDU31" s="63"/>
      <c r="NDV31" s="63"/>
      <c r="NDW31" s="63"/>
      <c r="NDX31" s="63"/>
      <c r="NDY31" s="63"/>
      <c r="NDZ31" s="63"/>
      <c r="NEA31" s="63"/>
      <c r="NEB31" s="63"/>
      <c r="NEC31" s="63"/>
      <c r="NED31" s="63"/>
      <c r="NEE31" s="63"/>
      <c r="NEF31" s="63"/>
      <c r="NEG31" s="63"/>
      <c r="NEH31" s="63"/>
      <c r="NEI31" s="63"/>
      <c r="NEJ31" s="63"/>
      <c r="NEK31" s="63"/>
      <c r="NEL31" s="63"/>
      <c r="NEM31" s="63"/>
      <c r="NEN31" s="63"/>
      <c r="NEO31" s="63"/>
      <c r="NEP31" s="63"/>
      <c r="NEQ31" s="63"/>
      <c r="NER31" s="63"/>
      <c r="NES31" s="63"/>
      <c r="NET31" s="63"/>
      <c r="NEU31" s="63"/>
      <c r="NEV31" s="63"/>
      <c r="NEW31" s="63"/>
      <c r="NEX31" s="63"/>
      <c r="NEY31" s="63"/>
      <c r="NEZ31" s="63"/>
      <c r="NFA31" s="63"/>
      <c r="NFB31" s="63"/>
      <c r="NFC31" s="63"/>
      <c r="NFD31" s="63"/>
      <c r="NFE31" s="63"/>
      <c r="NFF31" s="63"/>
      <c r="NFG31" s="63"/>
      <c r="NFH31" s="63"/>
      <c r="NFI31" s="63"/>
      <c r="NFJ31" s="63"/>
      <c r="NFK31" s="63"/>
      <c r="NFL31" s="63"/>
      <c r="NFM31" s="63"/>
      <c r="NFN31" s="63"/>
      <c r="NFO31" s="63"/>
      <c r="NFP31" s="63"/>
      <c r="NFQ31" s="63"/>
      <c r="NFR31" s="63"/>
      <c r="NFS31" s="63"/>
      <c r="NFT31" s="63"/>
      <c r="NFU31" s="63"/>
      <c r="NFV31" s="63"/>
      <c r="NFW31" s="63"/>
      <c r="NFX31" s="63"/>
      <c r="NFY31" s="63"/>
      <c r="NFZ31" s="63"/>
      <c r="NGA31" s="63"/>
      <c r="NGB31" s="63"/>
      <c r="NGC31" s="63"/>
      <c r="NGD31" s="63"/>
      <c r="NGE31" s="63"/>
      <c r="NGF31" s="63"/>
      <c r="NGG31" s="63"/>
      <c r="NGH31" s="63"/>
      <c r="NGI31" s="63"/>
      <c r="NGJ31" s="63"/>
      <c r="NGK31" s="63"/>
      <c r="NGL31" s="63"/>
      <c r="NGM31" s="63"/>
      <c r="NGN31" s="63"/>
      <c r="NGO31" s="63"/>
      <c r="NGP31" s="63"/>
      <c r="NGQ31" s="63"/>
      <c r="NGR31" s="63"/>
      <c r="NGS31" s="63"/>
      <c r="NGT31" s="63"/>
      <c r="NGU31" s="63"/>
      <c r="NGV31" s="63"/>
      <c r="NGW31" s="63"/>
      <c r="NGX31" s="63"/>
      <c r="NGY31" s="63"/>
      <c r="NGZ31" s="63"/>
      <c r="NHA31" s="63"/>
      <c r="NHB31" s="63"/>
      <c r="NHC31" s="63"/>
      <c r="NHD31" s="63"/>
      <c r="NHE31" s="63"/>
      <c r="NHF31" s="63"/>
      <c r="NHG31" s="63"/>
      <c r="NHH31" s="63"/>
      <c r="NHI31" s="63"/>
      <c r="NHJ31" s="63"/>
      <c r="NHK31" s="63"/>
      <c r="NHL31" s="63"/>
      <c r="NHM31" s="63"/>
      <c r="NHN31" s="63"/>
      <c r="NHO31" s="63"/>
      <c r="NHP31" s="63"/>
      <c r="NHQ31" s="63"/>
      <c r="NHR31" s="63"/>
      <c r="NHS31" s="63"/>
      <c r="NHT31" s="63"/>
      <c r="NHU31" s="63"/>
      <c r="NHV31" s="63"/>
      <c r="NHW31" s="63"/>
      <c r="NHX31" s="63"/>
      <c r="NHY31" s="63"/>
      <c r="NHZ31" s="63"/>
      <c r="NIA31" s="63"/>
      <c r="NIB31" s="63"/>
      <c r="NIC31" s="63"/>
      <c r="NID31" s="63"/>
      <c r="NIE31" s="63"/>
      <c r="NIF31" s="63"/>
      <c r="NIG31" s="63"/>
      <c r="NIH31" s="63"/>
      <c r="NII31" s="63"/>
      <c r="NIJ31" s="63"/>
      <c r="NIK31" s="63"/>
      <c r="NIL31" s="63"/>
      <c r="NIM31" s="63"/>
      <c r="NIN31" s="63"/>
      <c r="NIO31" s="63"/>
      <c r="NIP31" s="63"/>
      <c r="NIQ31" s="63"/>
      <c r="NIR31" s="63"/>
      <c r="NIS31" s="63"/>
      <c r="NIT31" s="63"/>
      <c r="NIU31" s="63"/>
      <c r="NIV31" s="63"/>
      <c r="NIW31" s="63"/>
      <c r="NIX31" s="63"/>
      <c r="NIY31" s="63"/>
      <c r="NIZ31" s="63"/>
      <c r="NJA31" s="63"/>
      <c r="NJB31" s="63"/>
      <c r="NJC31" s="63"/>
      <c r="NJD31" s="63"/>
      <c r="NJE31" s="63"/>
      <c r="NJF31" s="63"/>
      <c r="NJG31" s="63"/>
      <c r="NJH31" s="63"/>
      <c r="NJI31" s="63"/>
      <c r="NJJ31" s="63"/>
      <c r="NJK31" s="63"/>
      <c r="NJL31" s="63"/>
      <c r="NJM31" s="63"/>
      <c r="NJN31" s="63"/>
      <c r="NJO31" s="63"/>
      <c r="NJP31" s="63"/>
      <c r="NJQ31" s="63"/>
      <c r="NJR31" s="63"/>
      <c r="NJS31" s="63"/>
      <c r="NJT31" s="63"/>
      <c r="NJU31" s="63"/>
      <c r="NJV31" s="63"/>
      <c r="NJW31" s="63"/>
      <c r="NJX31" s="63"/>
      <c r="NJY31" s="63"/>
      <c r="NJZ31" s="63"/>
      <c r="NKA31" s="63"/>
      <c r="NKB31" s="63"/>
      <c r="NKC31" s="63"/>
      <c r="NKD31" s="63"/>
      <c r="NKE31" s="63"/>
      <c r="NKF31" s="63"/>
      <c r="NKG31" s="63"/>
      <c r="NKH31" s="63"/>
      <c r="NKI31" s="63"/>
      <c r="NKJ31" s="63"/>
      <c r="NKK31" s="63"/>
      <c r="NKL31" s="63"/>
      <c r="NKM31" s="63"/>
      <c r="NKN31" s="63"/>
      <c r="NKO31" s="63"/>
      <c r="NKP31" s="63"/>
      <c r="NKQ31" s="63"/>
      <c r="NKR31" s="63"/>
      <c r="NKS31" s="63"/>
      <c r="NKT31" s="63"/>
      <c r="NKU31" s="63"/>
      <c r="NKV31" s="63"/>
      <c r="NKW31" s="63"/>
      <c r="NKX31" s="63"/>
      <c r="NKY31" s="63"/>
      <c r="NKZ31" s="63"/>
      <c r="NLA31" s="63"/>
      <c r="NLB31" s="63"/>
      <c r="NLC31" s="63"/>
      <c r="NLD31" s="63"/>
      <c r="NLE31" s="63"/>
      <c r="NLF31" s="63"/>
      <c r="NLG31" s="63"/>
      <c r="NLH31" s="63"/>
      <c r="NLI31" s="63"/>
      <c r="NLJ31" s="63"/>
      <c r="NLK31" s="63"/>
      <c r="NLL31" s="63"/>
      <c r="NLM31" s="63"/>
      <c r="NLN31" s="63"/>
      <c r="NLO31" s="63"/>
      <c r="NLP31" s="63"/>
      <c r="NLQ31" s="63"/>
      <c r="NLR31" s="63"/>
      <c r="NLS31" s="63"/>
      <c r="NLT31" s="63"/>
      <c r="NLU31" s="63"/>
      <c r="NLV31" s="63"/>
      <c r="NLW31" s="63"/>
      <c r="NLX31" s="63"/>
      <c r="NLY31" s="63"/>
      <c r="NLZ31" s="63"/>
      <c r="NMA31" s="63"/>
      <c r="NMB31" s="63"/>
      <c r="NMC31" s="63"/>
      <c r="NMD31" s="63"/>
      <c r="NME31" s="63"/>
      <c r="NMF31" s="63"/>
      <c r="NMG31" s="63"/>
      <c r="NMH31" s="63"/>
      <c r="NMI31" s="63"/>
      <c r="NMJ31" s="63"/>
      <c r="NMK31" s="63"/>
      <c r="NML31" s="63"/>
      <c r="NMM31" s="63"/>
      <c r="NMN31" s="63"/>
      <c r="NMO31" s="63"/>
      <c r="NMP31" s="63"/>
      <c r="NMQ31" s="63"/>
      <c r="NMR31" s="63"/>
      <c r="NMS31" s="63"/>
      <c r="NMT31" s="63"/>
      <c r="NMU31" s="63"/>
      <c r="NMV31" s="63"/>
      <c r="NMW31" s="63"/>
      <c r="NMX31" s="63"/>
      <c r="NMY31" s="63"/>
      <c r="NMZ31" s="63"/>
      <c r="NNA31" s="63"/>
      <c r="NNB31" s="63"/>
      <c r="NNC31" s="63"/>
      <c r="NND31" s="63"/>
      <c r="NNE31" s="63"/>
      <c r="NNF31" s="63"/>
      <c r="NNG31" s="63"/>
      <c r="NNH31" s="63"/>
      <c r="NNI31" s="63"/>
      <c r="NNJ31" s="63"/>
      <c r="NNK31" s="63"/>
      <c r="NNL31" s="63"/>
      <c r="NNM31" s="63"/>
      <c r="NNN31" s="63"/>
      <c r="NNO31" s="63"/>
      <c r="NNP31" s="63"/>
      <c r="NNQ31" s="63"/>
      <c r="NNR31" s="63"/>
      <c r="NNS31" s="63"/>
      <c r="NNT31" s="63"/>
      <c r="NNU31" s="63"/>
      <c r="NNV31" s="63"/>
      <c r="NNW31" s="63"/>
      <c r="NNX31" s="63"/>
      <c r="NNY31" s="63"/>
      <c r="NNZ31" s="63"/>
      <c r="NOA31" s="63"/>
      <c r="NOB31" s="63"/>
      <c r="NOC31" s="63"/>
      <c r="NOD31" s="63"/>
      <c r="NOE31" s="63"/>
      <c r="NOF31" s="63"/>
      <c r="NOG31" s="63"/>
      <c r="NOH31" s="63"/>
      <c r="NOI31" s="63"/>
      <c r="NOJ31" s="63"/>
      <c r="NOK31" s="63"/>
      <c r="NOL31" s="63"/>
      <c r="NOM31" s="63"/>
      <c r="NON31" s="63"/>
      <c r="NOO31" s="63"/>
      <c r="NOP31" s="63"/>
      <c r="NOQ31" s="63"/>
      <c r="NOR31" s="63"/>
      <c r="NOS31" s="63"/>
      <c r="NOT31" s="63"/>
      <c r="NOU31" s="63"/>
      <c r="NOV31" s="63"/>
      <c r="NOW31" s="63"/>
      <c r="NOX31" s="63"/>
      <c r="NOY31" s="63"/>
      <c r="NOZ31" s="63"/>
      <c r="NPA31" s="63"/>
      <c r="NPB31" s="63"/>
      <c r="NPC31" s="63"/>
      <c r="NPD31" s="63"/>
      <c r="NPE31" s="63"/>
      <c r="NPF31" s="63"/>
      <c r="NPG31" s="63"/>
      <c r="NPH31" s="63"/>
      <c r="NPI31" s="63"/>
      <c r="NPJ31" s="63"/>
      <c r="NPK31" s="63"/>
      <c r="NPL31" s="63"/>
      <c r="NPM31" s="63"/>
      <c r="NPN31" s="63"/>
      <c r="NPO31" s="63"/>
      <c r="NPP31" s="63"/>
      <c r="NPQ31" s="63"/>
      <c r="NPR31" s="63"/>
      <c r="NPS31" s="63"/>
      <c r="NPT31" s="63"/>
      <c r="NPU31" s="63"/>
      <c r="NPV31" s="63"/>
      <c r="NPW31" s="63"/>
      <c r="NPX31" s="63"/>
      <c r="NPY31" s="63"/>
      <c r="NPZ31" s="63"/>
      <c r="NQA31" s="63"/>
      <c r="NQB31" s="63"/>
      <c r="NQC31" s="63"/>
      <c r="NQD31" s="63"/>
      <c r="NQE31" s="63"/>
      <c r="NQF31" s="63"/>
      <c r="NQG31" s="63"/>
      <c r="NQH31" s="63"/>
      <c r="NQI31" s="63"/>
      <c r="NQJ31" s="63"/>
      <c r="NQK31" s="63"/>
      <c r="NQL31" s="63"/>
      <c r="NQM31" s="63"/>
      <c r="NQN31" s="63"/>
      <c r="NQO31" s="63"/>
      <c r="NQP31" s="63"/>
      <c r="NQQ31" s="63"/>
      <c r="NQR31" s="63"/>
      <c r="NQS31" s="63"/>
      <c r="NQT31" s="63"/>
      <c r="NQU31" s="63"/>
      <c r="NQV31" s="63"/>
      <c r="NQW31" s="63"/>
      <c r="NQX31" s="63"/>
      <c r="NQY31" s="63"/>
      <c r="NQZ31" s="63"/>
      <c r="NRA31" s="63"/>
      <c r="NRB31" s="63"/>
      <c r="NRC31" s="63"/>
      <c r="NRD31" s="63"/>
      <c r="NRE31" s="63"/>
      <c r="NRF31" s="63"/>
      <c r="NRG31" s="63"/>
      <c r="NRH31" s="63"/>
      <c r="NRI31" s="63"/>
      <c r="NRJ31" s="63"/>
      <c r="NRK31" s="63"/>
      <c r="NRL31" s="63"/>
      <c r="NRM31" s="63"/>
      <c r="NRN31" s="63"/>
      <c r="NRO31" s="63"/>
      <c r="NRP31" s="63"/>
      <c r="NRQ31" s="63"/>
      <c r="NRR31" s="63"/>
      <c r="NRS31" s="63"/>
      <c r="NRT31" s="63"/>
      <c r="NRU31" s="63"/>
      <c r="NRV31" s="63"/>
      <c r="NRW31" s="63"/>
      <c r="NRX31" s="63"/>
      <c r="NRY31" s="63"/>
      <c r="NRZ31" s="63"/>
      <c r="NSA31" s="63"/>
      <c r="NSB31" s="63"/>
      <c r="NSC31" s="63"/>
      <c r="NSD31" s="63"/>
      <c r="NSE31" s="63"/>
      <c r="NSF31" s="63"/>
      <c r="NSG31" s="63"/>
      <c r="NSH31" s="63"/>
      <c r="NSI31" s="63"/>
      <c r="NSJ31" s="63"/>
      <c r="NSK31" s="63"/>
      <c r="NSL31" s="63"/>
      <c r="NSM31" s="63"/>
      <c r="NSN31" s="63"/>
      <c r="NSO31" s="63"/>
      <c r="NSP31" s="63"/>
      <c r="NSQ31" s="63"/>
      <c r="NSR31" s="63"/>
      <c r="NSS31" s="63"/>
      <c r="NST31" s="63"/>
      <c r="NSU31" s="63"/>
      <c r="NSV31" s="63"/>
      <c r="NSW31" s="63"/>
      <c r="NSX31" s="63"/>
      <c r="NSY31" s="63"/>
      <c r="NSZ31" s="63"/>
      <c r="NTA31" s="63"/>
      <c r="NTB31" s="63"/>
      <c r="NTC31" s="63"/>
      <c r="NTD31" s="63"/>
      <c r="NTE31" s="63"/>
      <c r="NTF31" s="63"/>
      <c r="NTG31" s="63"/>
      <c r="NTH31" s="63"/>
      <c r="NTI31" s="63"/>
      <c r="NTJ31" s="63"/>
      <c r="NTK31" s="63"/>
      <c r="NTL31" s="63"/>
      <c r="NTM31" s="63"/>
      <c r="NTN31" s="63"/>
      <c r="NTO31" s="63"/>
      <c r="NTP31" s="63"/>
      <c r="NTQ31" s="63"/>
      <c r="NTR31" s="63"/>
      <c r="NTS31" s="63"/>
      <c r="NTT31" s="63"/>
      <c r="NTU31" s="63"/>
      <c r="NTV31" s="63"/>
      <c r="NTW31" s="63"/>
      <c r="NTX31" s="63"/>
      <c r="NTY31" s="63"/>
      <c r="NTZ31" s="63"/>
      <c r="NUA31" s="63"/>
      <c r="NUB31" s="63"/>
      <c r="NUC31" s="63"/>
      <c r="NUD31" s="63"/>
      <c r="NUE31" s="63"/>
      <c r="NUF31" s="63"/>
      <c r="NUG31" s="63"/>
      <c r="NUH31" s="63"/>
      <c r="NUI31" s="63"/>
      <c r="NUJ31" s="63"/>
      <c r="NUK31" s="63"/>
      <c r="NUL31" s="63"/>
      <c r="NUM31" s="63"/>
      <c r="NUN31" s="63"/>
      <c r="NUO31" s="63"/>
      <c r="NUP31" s="63"/>
      <c r="NUQ31" s="63"/>
      <c r="NUR31" s="63"/>
      <c r="NUS31" s="63"/>
      <c r="NUT31" s="63"/>
      <c r="NUU31" s="63"/>
      <c r="NUV31" s="63"/>
      <c r="NUW31" s="63"/>
      <c r="NUX31" s="63"/>
      <c r="NUY31" s="63"/>
      <c r="NUZ31" s="63"/>
      <c r="NVA31" s="63"/>
      <c r="NVB31" s="63"/>
      <c r="NVC31" s="63"/>
      <c r="NVD31" s="63"/>
      <c r="NVE31" s="63"/>
      <c r="NVF31" s="63"/>
      <c r="NVG31" s="63"/>
      <c r="NVH31" s="63"/>
      <c r="NVI31" s="63"/>
      <c r="NVJ31" s="63"/>
      <c r="NVK31" s="63"/>
      <c r="NVL31" s="63"/>
      <c r="NVM31" s="63"/>
      <c r="NVN31" s="63"/>
      <c r="NVO31" s="63"/>
      <c r="NVP31" s="63"/>
      <c r="NVQ31" s="63"/>
      <c r="NVR31" s="63"/>
      <c r="NVS31" s="63"/>
      <c r="NVT31" s="63"/>
      <c r="NVU31" s="63"/>
      <c r="NVV31" s="63"/>
      <c r="NVW31" s="63"/>
      <c r="NVX31" s="63"/>
      <c r="NVY31" s="63"/>
      <c r="NVZ31" s="63"/>
      <c r="NWA31" s="63"/>
      <c r="NWB31" s="63"/>
      <c r="NWC31" s="63"/>
      <c r="NWD31" s="63"/>
      <c r="NWE31" s="63"/>
      <c r="NWF31" s="63"/>
      <c r="NWG31" s="63"/>
      <c r="NWH31" s="63"/>
      <c r="NWI31" s="63"/>
      <c r="NWJ31" s="63"/>
      <c r="NWK31" s="63"/>
      <c r="NWL31" s="63"/>
      <c r="NWM31" s="63"/>
      <c r="NWN31" s="63"/>
      <c r="NWO31" s="63"/>
      <c r="NWP31" s="63"/>
      <c r="NWQ31" s="63"/>
      <c r="NWR31" s="63"/>
      <c r="NWS31" s="63"/>
      <c r="NWT31" s="63"/>
      <c r="NWU31" s="63"/>
      <c r="NWV31" s="63"/>
      <c r="NWW31" s="63"/>
      <c r="NWX31" s="63"/>
      <c r="NWY31" s="63"/>
      <c r="NWZ31" s="63"/>
      <c r="NXA31" s="63"/>
      <c r="NXB31" s="63"/>
      <c r="NXC31" s="63"/>
      <c r="NXD31" s="63"/>
      <c r="NXE31" s="63"/>
      <c r="NXF31" s="63"/>
      <c r="NXG31" s="63"/>
      <c r="NXH31" s="63"/>
      <c r="NXI31" s="63"/>
      <c r="NXJ31" s="63"/>
      <c r="NXK31" s="63"/>
      <c r="NXL31" s="63"/>
      <c r="NXM31" s="63"/>
      <c r="NXN31" s="63"/>
      <c r="NXO31" s="63"/>
      <c r="NXP31" s="63"/>
      <c r="NXQ31" s="63"/>
      <c r="NXR31" s="63"/>
      <c r="NXS31" s="63"/>
      <c r="NXT31" s="63"/>
      <c r="NXU31" s="63"/>
      <c r="NXV31" s="63"/>
      <c r="NXW31" s="63"/>
      <c r="NXX31" s="63"/>
      <c r="NXY31" s="63"/>
      <c r="NXZ31" s="63"/>
      <c r="NYA31" s="63"/>
      <c r="NYB31" s="63"/>
      <c r="NYC31" s="63"/>
      <c r="NYD31" s="63"/>
      <c r="NYE31" s="63"/>
      <c r="NYF31" s="63"/>
      <c r="NYG31" s="63"/>
      <c r="NYH31" s="63"/>
      <c r="NYI31" s="63"/>
      <c r="NYJ31" s="63"/>
      <c r="NYK31" s="63"/>
      <c r="NYL31" s="63"/>
      <c r="NYM31" s="63"/>
      <c r="NYN31" s="63"/>
      <c r="NYO31" s="63"/>
      <c r="NYP31" s="63"/>
      <c r="NYQ31" s="63"/>
      <c r="NYR31" s="63"/>
      <c r="NYS31" s="63"/>
      <c r="NYT31" s="63"/>
      <c r="NYU31" s="63"/>
      <c r="NYV31" s="63"/>
      <c r="NYW31" s="63"/>
      <c r="NYX31" s="63"/>
      <c r="NYY31" s="63"/>
      <c r="NYZ31" s="63"/>
      <c r="NZA31" s="63"/>
      <c r="NZB31" s="63"/>
      <c r="NZC31" s="63"/>
      <c r="NZD31" s="63"/>
      <c r="NZE31" s="63"/>
      <c r="NZF31" s="63"/>
      <c r="NZG31" s="63"/>
      <c r="NZH31" s="63"/>
      <c r="NZI31" s="63"/>
      <c r="NZJ31" s="63"/>
      <c r="NZK31" s="63"/>
      <c r="NZL31" s="63"/>
      <c r="NZM31" s="63"/>
      <c r="NZN31" s="63"/>
      <c r="NZO31" s="63"/>
      <c r="NZP31" s="63"/>
      <c r="NZQ31" s="63"/>
      <c r="NZR31" s="63"/>
      <c r="NZS31" s="63"/>
      <c r="NZT31" s="63"/>
      <c r="NZU31" s="63"/>
      <c r="NZV31" s="63"/>
      <c r="NZW31" s="63"/>
      <c r="NZX31" s="63"/>
      <c r="NZY31" s="63"/>
      <c r="NZZ31" s="63"/>
      <c r="OAA31" s="63"/>
      <c r="OAB31" s="63"/>
      <c r="OAC31" s="63"/>
      <c r="OAD31" s="63"/>
      <c r="OAE31" s="63"/>
      <c r="OAF31" s="63"/>
      <c r="OAG31" s="63"/>
      <c r="OAH31" s="63"/>
      <c r="OAI31" s="63"/>
      <c r="OAJ31" s="63"/>
      <c r="OAK31" s="63"/>
      <c r="OAL31" s="63"/>
      <c r="OAM31" s="63"/>
      <c r="OAN31" s="63"/>
      <c r="OAO31" s="63"/>
      <c r="OAP31" s="63"/>
      <c r="OAQ31" s="63"/>
      <c r="OAR31" s="63"/>
      <c r="OAS31" s="63"/>
      <c r="OAT31" s="63"/>
      <c r="OAU31" s="63"/>
      <c r="OAV31" s="63"/>
      <c r="OAW31" s="63"/>
      <c r="OAX31" s="63"/>
      <c r="OAY31" s="63"/>
      <c r="OAZ31" s="63"/>
      <c r="OBA31" s="63"/>
      <c r="OBB31" s="63"/>
      <c r="OBC31" s="63"/>
      <c r="OBD31" s="63"/>
      <c r="OBE31" s="63"/>
      <c r="OBF31" s="63"/>
      <c r="OBG31" s="63"/>
      <c r="OBH31" s="63"/>
      <c r="OBI31" s="63"/>
      <c r="OBJ31" s="63"/>
      <c r="OBK31" s="63"/>
      <c r="OBL31" s="63"/>
      <c r="OBM31" s="63"/>
      <c r="OBN31" s="63"/>
      <c r="OBO31" s="63"/>
      <c r="OBP31" s="63"/>
      <c r="OBQ31" s="63"/>
      <c r="OBR31" s="63"/>
      <c r="OBS31" s="63"/>
      <c r="OBT31" s="63"/>
      <c r="OBU31" s="63"/>
      <c r="OBV31" s="63"/>
      <c r="OBW31" s="63"/>
      <c r="OBX31" s="63"/>
      <c r="OBY31" s="63"/>
      <c r="OBZ31" s="63"/>
      <c r="OCA31" s="63"/>
      <c r="OCB31" s="63"/>
      <c r="OCC31" s="63"/>
      <c r="OCD31" s="63"/>
      <c r="OCE31" s="63"/>
      <c r="OCF31" s="63"/>
      <c r="OCG31" s="63"/>
      <c r="OCH31" s="63"/>
      <c r="OCI31" s="63"/>
      <c r="OCJ31" s="63"/>
      <c r="OCK31" s="63"/>
      <c r="OCL31" s="63"/>
      <c r="OCM31" s="63"/>
      <c r="OCN31" s="63"/>
      <c r="OCO31" s="63"/>
      <c r="OCP31" s="63"/>
      <c r="OCQ31" s="63"/>
      <c r="OCR31" s="63"/>
      <c r="OCS31" s="63"/>
      <c r="OCT31" s="63"/>
      <c r="OCU31" s="63"/>
      <c r="OCV31" s="63"/>
      <c r="OCW31" s="63"/>
      <c r="OCX31" s="63"/>
      <c r="OCY31" s="63"/>
      <c r="OCZ31" s="63"/>
      <c r="ODA31" s="63"/>
      <c r="ODB31" s="63"/>
      <c r="ODC31" s="63"/>
      <c r="ODD31" s="63"/>
      <c r="ODE31" s="63"/>
      <c r="ODF31" s="63"/>
      <c r="ODG31" s="63"/>
      <c r="ODH31" s="63"/>
      <c r="ODI31" s="63"/>
      <c r="ODJ31" s="63"/>
      <c r="ODK31" s="63"/>
      <c r="ODL31" s="63"/>
      <c r="ODM31" s="63"/>
      <c r="ODN31" s="63"/>
      <c r="ODO31" s="63"/>
      <c r="ODP31" s="63"/>
      <c r="ODQ31" s="63"/>
      <c r="ODR31" s="63"/>
      <c r="ODS31" s="63"/>
      <c r="ODT31" s="63"/>
      <c r="ODU31" s="63"/>
      <c r="ODV31" s="63"/>
      <c r="ODW31" s="63"/>
      <c r="ODX31" s="63"/>
      <c r="ODY31" s="63"/>
      <c r="ODZ31" s="63"/>
      <c r="OEA31" s="63"/>
      <c r="OEB31" s="63"/>
      <c r="OEC31" s="63"/>
      <c r="OED31" s="63"/>
      <c r="OEE31" s="63"/>
      <c r="OEF31" s="63"/>
      <c r="OEG31" s="63"/>
      <c r="OEH31" s="63"/>
      <c r="OEI31" s="63"/>
      <c r="OEJ31" s="63"/>
      <c r="OEK31" s="63"/>
      <c r="OEL31" s="63"/>
      <c r="OEM31" s="63"/>
      <c r="OEN31" s="63"/>
      <c r="OEO31" s="63"/>
      <c r="OEP31" s="63"/>
      <c r="OEQ31" s="63"/>
      <c r="OER31" s="63"/>
      <c r="OES31" s="63"/>
      <c r="OET31" s="63"/>
      <c r="OEU31" s="63"/>
      <c r="OEV31" s="63"/>
      <c r="OEW31" s="63"/>
      <c r="OEX31" s="63"/>
      <c r="OEY31" s="63"/>
      <c r="OEZ31" s="63"/>
      <c r="OFA31" s="63"/>
      <c r="OFB31" s="63"/>
      <c r="OFC31" s="63"/>
      <c r="OFD31" s="63"/>
      <c r="OFE31" s="63"/>
      <c r="OFF31" s="63"/>
      <c r="OFG31" s="63"/>
      <c r="OFH31" s="63"/>
      <c r="OFI31" s="63"/>
      <c r="OFJ31" s="63"/>
      <c r="OFK31" s="63"/>
      <c r="OFL31" s="63"/>
      <c r="OFM31" s="63"/>
      <c r="OFN31" s="63"/>
      <c r="OFO31" s="63"/>
      <c r="OFP31" s="63"/>
      <c r="OFQ31" s="63"/>
      <c r="OFR31" s="63"/>
      <c r="OFS31" s="63"/>
      <c r="OFT31" s="63"/>
      <c r="OFU31" s="63"/>
      <c r="OFV31" s="63"/>
      <c r="OFW31" s="63"/>
      <c r="OFX31" s="63"/>
      <c r="OFY31" s="63"/>
      <c r="OFZ31" s="63"/>
      <c r="OGA31" s="63"/>
      <c r="OGB31" s="63"/>
      <c r="OGC31" s="63"/>
      <c r="OGD31" s="63"/>
      <c r="OGE31" s="63"/>
      <c r="OGF31" s="63"/>
      <c r="OGG31" s="63"/>
      <c r="OGH31" s="63"/>
      <c r="OGI31" s="63"/>
      <c r="OGJ31" s="63"/>
      <c r="OGK31" s="63"/>
      <c r="OGL31" s="63"/>
      <c r="OGM31" s="63"/>
      <c r="OGN31" s="63"/>
      <c r="OGO31" s="63"/>
      <c r="OGP31" s="63"/>
      <c r="OGQ31" s="63"/>
      <c r="OGR31" s="63"/>
      <c r="OGS31" s="63"/>
      <c r="OGT31" s="63"/>
      <c r="OGU31" s="63"/>
      <c r="OGV31" s="63"/>
      <c r="OGW31" s="63"/>
      <c r="OGX31" s="63"/>
      <c r="OGY31" s="63"/>
      <c r="OGZ31" s="63"/>
      <c r="OHA31" s="63"/>
      <c r="OHB31" s="63"/>
      <c r="OHC31" s="63"/>
      <c r="OHD31" s="63"/>
      <c r="OHE31" s="63"/>
      <c r="OHF31" s="63"/>
      <c r="OHG31" s="63"/>
      <c r="OHH31" s="63"/>
      <c r="OHI31" s="63"/>
      <c r="OHJ31" s="63"/>
      <c r="OHK31" s="63"/>
      <c r="OHL31" s="63"/>
      <c r="OHM31" s="63"/>
      <c r="OHN31" s="63"/>
      <c r="OHO31" s="63"/>
      <c r="OHP31" s="63"/>
      <c r="OHQ31" s="63"/>
      <c r="OHR31" s="63"/>
      <c r="OHS31" s="63"/>
      <c r="OHT31" s="63"/>
      <c r="OHU31" s="63"/>
      <c r="OHV31" s="63"/>
      <c r="OHW31" s="63"/>
      <c r="OHX31" s="63"/>
      <c r="OHY31" s="63"/>
      <c r="OHZ31" s="63"/>
      <c r="OIA31" s="63"/>
      <c r="OIB31" s="63"/>
      <c r="OIC31" s="63"/>
      <c r="OID31" s="63"/>
      <c r="OIE31" s="63"/>
      <c r="OIF31" s="63"/>
      <c r="OIG31" s="63"/>
      <c r="OIH31" s="63"/>
      <c r="OII31" s="63"/>
      <c r="OIJ31" s="63"/>
      <c r="OIK31" s="63"/>
      <c r="OIL31" s="63"/>
      <c r="OIM31" s="63"/>
      <c r="OIN31" s="63"/>
      <c r="OIO31" s="63"/>
      <c r="OIP31" s="63"/>
      <c r="OIQ31" s="63"/>
      <c r="OIR31" s="63"/>
      <c r="OIS31" s="63"/>
      <c r="OIT31" s="63"/>
      <c r="OIU31" s="63"/>
      <c r="OIV31" s="63"/>
      <c r="OIW31" s="63"/>
      <c r="OIX31" s="63"/>
      <c r="OIY31" s="63"/>
      <c r="OIZ31" s="63"/>
      <c r="OJA31" s="63"/>
      <c r="OJB31" s="63"/>
      <c r="OJC31" s="63"/>
      <c r="OJD31" s="63"/>
      <c r="OJE31" s="63"/>
      <c r="OJF31" s="63"/>
      <c r="OJG31" s="63"/>
      <c r="OJH31" s="63"/>
      <c r="OJI31" s="63"/>
      <c r="OJJ31" s="63"/>
      <c r="OJK31" s="63"/>
      <c r="OJL31" s="63"/>
      <c r="OJM31" s="63"/>
      <c r="OJN31" s="63"/>
      <c r="OJO31" s="63"/>
      <c r="OJP31" s="63"/>
      <c r="OJQ31" s="63"/>
      <c r="OJR31" s="63"/>
      <c r="OJS31" s="63"/>
      <c r="OJT31" s="63"/>
      <c r="OJU31" s="63"/>
      <c r="OJV31" s="63"/>
      <c r="OJW31" s="63"/>
      <c r="OJX31" s="63"/>
      <c r="OJY31" s="63"/>
      <c r="OJZ31" s="63"/>
      <c r="OKA31" s="63"/>
      <c r="OKB31" s="63"/>
      <c r="OKC31" s="63"/>
      <c r="OKD31" s="63"/>
      <c r="OKE31" s="63"/>
      <c r="OKF31" s="63"/>
      <c r="OKG31" s="63"/>
      <c r="OKH31" s="63"/>
      <c r="OKI31" s="63"/>
      <c r="OKJ31" s="63"/>
      <c r="OKK31" s="63"/>
      <c r="OKL31" s="63"/>
      <c r="OKM31" s="63"/>
      <c r="OKN31" s="63"/>
      <c r="OKO31" s="63"/>
      <c r="OKP31" s="63"/>
      <c r="OKQ31" s="63"/>
      <c r="OKR31" s="63"/>
      <c r="OKS31" s="63"/>
      <c r="OKT31" s="63"/>
      <c r="OKU31" s="63"/>
      <c r="OKV31" s="63"/>
      <c r="OKW31" s="63"/>
      <c r="OKX31" s="63"/>
      <c r="OKY31" s="63"/>
      <c r="OKZ31" s="63"/>
      <c r="OLA31" s="63"/>
      <c r="OLB31" s="63"/>
      <c r="OLC31" s="63"/>
      <c r="OLD31" s="63"/>
      <c r="OLE31" s="63"/>
      <c r="OLF31" s="63"/>
      <c r="OLG31" s="63"/>
      <c r="OLH31" s="63"/>
      <c r="OLI31" s="63"/>
      <c r="OLJ31" s="63"/>
      <c r="OLK31" s="63"/>
      <c r="OLL31" s="63"/>
      <c r="OLM31" s="63"/>
      <c r="OLN31" s="63"/>
      <c r="OLO31" s="63"/>
      <c r="OLP31" s="63"/>
      <c r="OLQ31" s="63"/>
      <c r="OLR31" s="63"/>
      <c r="OLS31" s="63"/>
      <c r="OLT31" s="63"/>
      <c r="OLU31" s="63"/>
      <c r="OLV31" s="63"/>
      <c r="OLW31" s="63"/>
      <c r="OLX31" s="63"/>
      <c r="OLY31" s="63"/>
      <c r="OLZ31" s="63"/>
      <c r="OMA31" s="63"/>
      <c r="OMB31" s="63"/>
      <c r="OMC31" s="63"/>
      <c r="OMD31" s="63"/>
      <c r="OME31" s="63"/>
      <c r="OMF31" s="63"/>
      <c r="OMG31" s="63"/>
      <c r="OMH31" s="63"/>
      <c r="OMI31" s="63"/>
      <c r="OMJ31" s="63"/>
      <c r="OMK31" s="63"/>
      <c r="OML31" s="63"/>
      <c r="OMM31" s="63"/>
      <c r="OMN31" s="63"/>
      <c r="OMO31" s="63"/>
      <c r="OMP31" s="63"/>
      <c r="OMQ31" s="63"/>
      <c r="OMR31" s="63"/>
      <c r="OMS31" s="63"/>
      <c r="OMT31" s="63"/>
      <c r="OMU31" s="63"/>
      <c r="OMV31" s="63"/>
      <c r="OMW31" s="63"/>
      <c r="OMX31" s="63"/>
      <c r="OMY31" s="63"/>
      <c r="OMZ31" s="63"/>
      <c r="ONA31" s="63"/>
      <c r="ONB31" s="63"/>
      <c r="ONC31" s="63"/>
      <c r="OND31" s="63"/>
      <c r="ONE31" s="63"/>
      <c r="ONF31" s="63"/>
      <c r="ONG31" s="63"/>
      <c r="ONH31" s="63"/>
      <c r="ONI31" s="63"/>
      <c r="ONJ31" s="63"/>
      <c r="ONK31" s="63"/>
      <c r="ONL31" s="63"/>
      <c r="ONM31" s="63"/>
      <c r="ONN31" s="63"/>
      <c r="ONO31" s="63"/>
      <c r="ONP31" s="63"/>
      <c r="ONQ31" s="63"/>
      <c r="ONR31" s="63"/>
      <c r="ONS31" s="63"/>
      <c r="ONT31" s="63"/>
      <c r="ONU31" s="63"/>
      <c r="ONV31" s="63"/>
      <c r="ONW31" s="63"/>
      <c r="ONX31" s="63"/>
      <c r="ONY31" s="63"/>
      <c r="ONZ31" s="63"/>
      <c r="OOA31" s="63"/>
      <c r="OOB31" s="63"/>
      <c r="OOC31" s="63"/>
      <c r="OOD31" s="63"/>
      <c r="OOE31" s="63"/>
      <c r="OOF31" s="63"/>
      <c r="OOG31" s="63"/>
      <c r="OOH31" s="63"/>
      <c r="OOI31" s="63"/>
      <c r="OOJ31" s="63"/>
      <c r="OOK31" s="63"/>
      <c r="OOL31" s="63"/>
      <c r="OOM31" s="63"/>
      <c r="OON31" s="63"/>
      <c r="OOO31" s="63"/>
      <c r="OOP31" s="63"/>
      <c r="OOQ31" s="63"/>
      <c r="OOR31" s="63"/>
      <c r="OOS31" s="63"/>
      <c r="OOT31" s="63"/>
      <c r="OOU31" s="63"/>
      <c r="OOV31" s="63"/>
      <c r="OOW31" s="63"/>
      <c r="OOX31" s="63"/>
      <c r="OOY31" s="63"/>
      <c r="OOZ31" s="63"/>
      <c r="OPA31" s="63"/>
      <c r="OPB31" s="63"/>
      <c r="OPC31" s="63"/>
      <c r="OPD31" s="63"/>
      <c r="OPE31" s="63"/>
      <c r="OPF31" s="63"/>
      <c r="OPG31" s="63"/>
      <c r="OPH31" s="63"/>
      <c r="OPI31" s="63"/>
      <c r="OPJ31" s="63"/>
      <c r="OPK31" s="63"/>
      <c r="OPL31" s="63"/>
      <c r="OPM31" s="63"/>
      <c r="OPN31" s="63"/>
      <c r="OPO31" s="63"/>
      <c r="OPP31" s="63"/>
      <c r="OPQ31" s="63"/>
      <c r="OPR31" s="63"/>
      <c r="OPS31" s="63"/>
      <c r="OPT31" s="63"/>
      <c r="OPU31" s="63"/>
      <c r="OPV31" s="63"/>
      <c r="OPW31" s="63"/>
      <c r="OPX31" s="63"/>
      <c r="OPY31" s="63"/>
      <c r="OPZ31" s="63"/>
      <c r="OQA31" s="63"/>
      <c r="OQB31" s="63"/>
      <c r="OQC31" s="63"/>
      <c r="OQD31" s="63"/>
      <c r="OQE31" s="63"/>
      <c r="OQF31" s="63"/>
      <c r="OQG31" s="63"/>
      <c r="OQH31" s="63"/>
      <c r="OQI31" s="63"/>
      <c r="OQJ31" s="63"/>
      <c r="OQK31" s="63"/>
      <c r="OQL31" s="63"/>
      <c r="OQM31" s="63"/>
      <c r="OQN31" s="63"/>
      <c r="OQO31" s="63"/>
      <c r="OQP31" s="63"/>
      <c r="OQQ31" s="63"/>
      <c r="OQR31" s="63"/>
      <c r="OQS31" s="63"/>
      <c r="OQT31" s="63"/>
      <c r="OQU31" s="63"/>
      <c r="OQV31" s="63"/>
      <c r="OQW31" s="63"/>
      <c r="OQX31" s="63"/>
      <c r="OQY31" s="63"/>
      <c r="OQZ31" s="63"/>
      <c r="ORA31" s="63"/>
      <c r="ORB31" s="63"/>
      <c r="ORC31" s="63"/>
      <c r="ORD31" s="63"/>
      <c r="ORE31" s="63"/>
      <c r="ORF31" s="63"/>
      <c r="ORG31" s="63"/>
      <c r="ORH31" s="63"/>
      <c r="ORI31" s="63"/>
      <c r="ORJ31" s="63"/>
      <c r="ORK31" s="63"/>
      <c r="ORL31" s="63"/>
      <c r="ORM31" s="63"/>
      <c r="ORN31" s="63"/>
      <c r="ORO31" s="63"/>
      <c r="ORP31" s="63"/>
      <c r="ORQ31" s="63"/>
      <c r="ORR31" s="63"/>
      <c r="ORS31" s="63"/>
      <c r="ORT31" s="63"/>
      <c r="ORU31" s="63"/>
      <c r="ORV31" s="63"/>
      <c r="ORW31" s="63"/>
      <c r="ORX31" s="63"/>
      <c r="ORY31" s="63"/>
      <c r="ORZ31" s="63"/>
      <c r="OSA31" s="63"/>
      <c r="OSB31" s="63"/>
      <c r="OSC31" s="63"/>
      <c r="OSD31" s="63"/>
      <c r="OSE31" s="63"/>
      <c r="OSF31" s="63"/>
      <c r="OSG31" s="63"/>
      <c r="OSH31" s="63"/>
      <c r="OSI31" s="63"/>
      <c r="OSJ31" s="63"/>
      <c r="OSK31" s="63"/>
      <c r="OSL31" s="63"/>
      <c r="OSM31" s="63"/>
      <c r="OSN31" s="63"/>
      <c r="OSO31" s="63"/>
      <c r="OSP31" s="63"/>
      <c r="OSQ31" s="63"/>
      <c r="OSR31" s="63"/>
      <c r="OSS31" s="63"/>
      <c r="OST31" s="63"/>
      <c r="OSU31" s="63"/>
      <c r="OSV31" s="63"/>
      <c r="OSW31" s="63"/>
      <c r="OSX31" s="63"/>
      <c r="OSY31" s="63"/>
      <c r="OSZ31" s="63"/>
      <c r="OTA31" s="63"/>
      <c r="OTB31" s="63"/>
      <c r="OTC31" s="63"/>
      <c r="OTD31" s="63"/>
      <c r="OTE31" s="63"/>
      <c r="OTF31" s="63"/>
      <c r="OTG31" s="63"/>
      <c r="OTH31" s="63"/>
      <c r="OTI31" s="63"/>
      <c r="OTJ31" s="63"/>
      <c r="OTK31" s="63"/>
      <c r="OTL31" s="63"/>
      <c r="OTM31" s="63"/>
      <c r="OTN31" s="63"/>
      <c r="OTO31" s="63"/>
      <c r="OTP31" s="63"/>
      <c r="OTQ31" s="63"/>
      <c r="OTR31" s="63"/>
      <c r="OTS31" s="63"/>
      <c r="OTT31" s="63"/>
      <c r="OTU31" s="63"/>
      <c r="OTV31" s="63"/>
      <c r="OTW31" s="63"/>
      <c r="OTX31" s="63"/>
      <c r="OTY31" s="63"/>
      <c r="OTZ31" s="63"/>
      <c r="OUA31" s="63"/>
      <c r="OUB31" s="63"/>
      <c r="OUC31" s="63"/>
      <c r="OUD31" s="63"/>
      <c r="OUE31" s="63"/>
      <c r="OUF31" s="63"/>
      <c r="OUG31" s="63"/>
      <c r="OUH31" s="63"/>
      <c r="OUI31" s="63"/>
      <c r="OUJ31" s="63"/>
      <c r="OUK31" s="63"/>
      <c r="OUL31" s="63"/>
      <c r="OUM31" s="63"/>
      <c r="OUN31" s="63"/>
      <c r="OUO31" s="63"/>
      <c r="OUP31" s="63"/>
      <c r="OUQ31" s="63"/>
      <c r="OUR31" s="63"/>
      <c r="OUS31" s="63"/>
      <c r="OUT31" s="63"/>
      <c r="OUU31" s="63"/>
      <c r="OUV31" s="63"/>
      <c r="OUW31" s="63"/>
      <c r="OUX31" s="63"/>
      <c r="OUY31" s="63"/>
      <c r="OUZ31" s="63"/>
      <c r="OVA31" s="63"/>
      <c r="OVB31" s="63"/>
      <c r="OVC31" s="63"/>
      <c r="OVD31" s="63"/>
      <c r="OVE31" s="63"/>
      <c r="OVF31" s="63"/>
      <c r="OVG31" s="63"/>
      <c r="OVH31" s="63"/>
      <c r="OVI31" s="63"/>
      <c r="OVJ31" s="63"/>
      <c r="OVK31" s="63"/>
      <c r="OVL31" s="63"/>
      <c r="OVM31" s="63"/>
      <c r="OVN31" s="63"/>
      <c r="OVO31" s="63"/>
      <c r="OVP31" s="63"/>
      <c r="OVQ31" s="63"/>
      <c r="OVR31" s="63"/>
      <c r="OVS31" s="63"/>
      <c r="OVT31" s="63"/>
      <c r="OVU31" s="63"/>
      <c r="OVV31" s="63"/>
      <c r="OVW31" s="63"/>
      <c r="OVX31" s="63"/>
      <c r="OVY31" s="63"/>
      <c r="OVZ31" s="63"/>
      <c r="OWA31" s="63"/>
      <c r="OWB31" s="63"/>
      <c r="OWC31" s="63"/>
      <c r="OWD31" s="63"/>
      <c r="OWE31" s="63"/>
      <c r="OWF31" s="63"/>
      <c r="OWG31" s="63"/>
      <c r="OWH31" s="63"/>
      <c r="OWI31" s="63"/>
      <c r="OWJ31" s="63"/>
      <c r="OWK31" s="63"/>
      <c r="OWL31" s="63"/>
      <c r="OWM31" s="63"/>
      <c r="OWN31" s="63"/>
      <c r="OWO31" s="63"/>
      <c r="OWP31" s="63"/>
      <c r="OWQ31" s="63"/>
      <c r="OWR31" s="63"/>
      <c r="OWS31" s="63"/>
      <c r="OWT31" s="63"/>
      <c r="OWU31" s="63"/>
      <c r="OWV31" s="63"/>
      <c r="OWW31" s="63"/>
      <c r="OWX31" s="63"/>
      <c r="OWY31" s="63"/>
      <c r="OWZ31" s="63"/>
      <c r="OXA31" s="63"/>
      <c r="OXB31" s="63"/>
      <c r="OXC31" s="63"/>
      <c r="OXD31" s="63"/>
      <c r="OXE31" s="63"/>
      <c r="OXF31" s="63"/>
      <c r="OXG31" s="63"/>
      <c r="OXH31" s="63"/>
      <c r="OXI31" s="63"/>
      <c r="OXJ31" s="63"/>
      <c r="OXK31" s="63"/>
      <c r="OXL31" s="63"/>
      <c r="OXM31" s="63"/>
      <c r="OXN31" s="63"/>
      <c r="OXO31" s="63"/>
      <c r="OXP31" s="63"/>
      <c r="OXQ31" s="63"/>
      <c r="OXR31" s="63"/>
      <c r="OXS31" s="63"/>
      <c r="OXT31" s="63"/>
      <c r="OXU31" s="63"/>
      <c r="OXV31" s="63"/>
      <c r="OXW31" s="63"/>
      <c r="OXX31" s="63"/>
      <c r="OXY31" s="63"/>
      <c r="OXZ31" s="63"/>
      <c r="OYA31" s="63"/>
      <c r="OYB31" s="63"/>
      <c r="OYC31" s="63"/>
      <c r="OYD31" s="63"/>
      <c r="OYE31" s="63"/>
      <c r="OYF31" s="63"/>
      <c r="OYG31" s="63"/>
      <c r="OYH31" s="63"/>
      <c r="OYI31" s="63"/>
      <c r="OYJ31" s="63"/>
      <c r="OYK31" s="63"/>
      <c r="OYL31" s="63"/>
      <c r="OYM31" s="63"/>
      <c r="OYN31" s="63"/>
      <c r="OYO31" s="63"/>
      <c r="OYP31" s="63"/>
      <c r="OYQ31" s="63"/>
      <c r="OYR31" s="63"/>
      <c r="OYS31" s="63"/>
      <c r="OYT31" s="63"/>
      <c r="OYU31" s="63"/>
      <c r="OYV31" s="63"/>
      <c r="OYW31" s="63"/>
      <c r="OYX31" s="63"/>
      <c r="OYY31" s="63"/>
      <c r="OYZ31" s="63"/>
      <c r="OZA31" s="63"/>
      <c r="OZB31" s="63"/>
      <c r="OZC31" s="63"/>
      <c r="OZD31" s="63"/>
      <c r="OZE31" s="63"/>
      <c r="OZF31" s="63"/>
      <c r="OZG31" s="63"/>
      <c r="OZH31" s="63"/>
      <c r="OZI31" s="63"/>
      <c r="OZJ31" s="63"/>
      <c r="OZK31" s="63"/>
      <c r="OZL31" s="63"/>
      <c r="OZM31" s="63"/>
      <c r="OZN31" s="63"/>
      <c r="OZO31" s="63"/>
      <c r="OZP31" s="63"/>
      <c r="OZQ31" s="63"/>
      <c r="OZR31" s="63"/>
      <c r="OZS31" s="63"/>
      <c r="OZT31" s="63"/>
      <c r="OZU31" s="63"/>
      <c r="OZV31" s="63"/>
      <c r="OZW31" s="63"/>
      <c r="OZX31" s="63"/>
      <c r="OZY31" s="63"/>
      <c r="OZZ31" s="63"/>
      <c r="PAA31" s="63"/>
      <c r="PAB31" s="63"/>
      <c r="PAC31" s="63"/>
      <c r="PAD31" s="63"/>
      <c r="PAE31" s="63"/>
      <c r="PAF31" s="63"/>
      <c r="PAG31" s="63"/>
      <c r="PAH31" s="63"/>
      <c r="PAI31" s="63"/>
      <c r="PAJ31" s="63"/>
      <c r="PAK31" s="63"/>
      <c r="PAL31" s="63"/>
      <c r="PAM31" s="63"/>
      <c r="PAN31" s="63"/>
      <c r="PAO31" s="63"/>
      <c r="PAP31" s="63"/>
      <c r="PAQ31" s="63"/>
      <c r="PAR31" s="63"/>
      <c r="PAS31" s="63"/>
      <c r="PAT31" s="63"/>
      <c r="PAU31" s="63"/>
      <c r="PAV31" s="63"/>
      <c r="PAW31" s="63"/>
      <c r="PAX31" s="63"/>
      <c r="PAY31" s="63"/>
      <c r="PAZ31" s="63"/>
      <c r="PBA31" s="63"/>
      <c r="PBB31" s="63"/>
      <c r="PBC31" s="63"/>
      <c r="PBD31" s="63"/>
      <c r="PBE31" s="63"/>
      <c r="PBF31" s="63"/>
      <c r="PBG31" s="63"/>
      <c r="PBH31" s="63"/>
      <c r="PBI31" s="63"/>
      <c r="PBJ31" s="63"/>
      <c r="PBK31" s="63"/>
      <c r="PBL31" s="63"/>
      <c r="PBM31" s="63"/>
      <c r="PBN31" s="63"/>
      <c r="PBO31" s="63"/>
      <c r="PBP31" s="63"/>
      <c r="PBQ31" s="63"/>
      <c r="PBR31" s="63"/>
      <c r="PBS31" s="63"/>
      <c r="PBT31" s="63"/>
      <c r="PBU31" s="63"/>
      <c r="PBV31" s="63"/>
      <c r="PBW31" s="63"/>
      <c r="PBX31" s="63"/>
      <c r="PBY31" s="63"/>
      <c r="PBZ31" s="63"/>
      <c r="PCA31" s="63"/>
      <c r="PCB31" s="63"/>
      <c r="PCC31" s="63"/>
      <c r="PCD31" s="63"/>
      <c r="PCE31" s="63"/>
      <c r="PCF31" s="63"/>
      <c r="PCG31" s="63"/>
      <c r="PCH31" s="63"/>
      <c r="PCI31" s="63"/>
      <c r="PCJ31" s="63"/>
      <c r="PCK31" s="63"/>
      <c r="PCL31" s="63"/>
      <c r="PCM31" s="63"/>
      <c r="PCN31" s="63"/>
      <c r="PCO31" s="63"/>
      <c r="PCP31" s="63"/>
      <c r="PCQ31" s="63"/>
      <c r="PCR31" s="63"/>
      <c r="PCS31" s="63"/>
      <c r="PCT31" s="63"/>
      <c r="PCU31" s="63"/>
      <c r="PCV31" s="63"/>
      <c r="PCW31" s="63"/>
      <c r="PCX31" s="63"/>
      <c r="PCY31" s="63"/>
      <c r="PCZ31" s="63"/>
      <c r="PDA31" s="63"/>
      <c r="PDB31" s="63"/>
      <c r="PDC31" s="63"/>
      <c r="PDD31" s="63"/>
      <c r="PDE31" s="63"/>
      <c r="PDF31" s="63"/>
      <c r="PDG31" s="63"/>
      <c r="PDH31" s="63"/>
      <c r="PDI31" s="63"/>
      <c r="PDJ31" s="63"/>
      <c r="PDK31" s="63"/>
      <c r="PDL31" s="63"/>
      <c r="PDM31" s="63"/>
      <c r="PDN31" s="63"/>
      <c r="PDO31" s="63"/>
      <c r="PDP31" s="63"/>
      <c r="PDQ31" s="63"/>
      <c r="PDR31" s="63"/>
      <c r="PDS31" s="63"/>
      <c r="PDT31" s="63"/>
      <c r="PDU31" s="63"/>
      <c r="PDV31" s="63"/>
      <c r="PDW31" s="63"/>
      <c r="PDX31" s="63"/>
      <c r="PDY31" s="63"/>
      <c r="PDZ31" s="63"/>
      <c r="PEA31" s="63"/>
      <c r="PEB31" s="63"/>
      <c r="PEC31" s="63"/>
      <c r="PED31" s="63"/>
      <c r="PEE31" s="63"/>
      <c r="PEF31" s="63"/>
      <c r="PEG31" s="63"/>
      <c r="PEH31" s="63"/>
      <c r="PEI31" s="63"/>
      <c r="PEJ31" s="63"/>
      <c r="PEK31" s="63"/>
      <c r="PEL31" s="63"/>
      <c r="PEM31" s="63"/>
      <c r="PEN31" s="63"/>
      <c r="PEO31" s="63"/>
      <c r="PEP31" s="63"/>
      <c r="PEQ31" s="63"/>
      <c r="PER31" s="63"/>
      <c r="PES31" s="63"/>
      <c r="PET31" s="63"/>
      <c r="PEU31" s="63"/>
      <c r="PEV31" s="63"/>
      <c r="PEW31" s="63"/>
      <c r="PEX31" s="63"/>
      <c r="PEY31" s="63"/>
      <c r="PEZ31" s="63"/>
      <c r="PFA31" s="63"/>
      <c r="PFB31" s="63"/>
      <c r="PFC31" s="63"/>
      <c r="PFD31" s="63"/>
      <c r="PFE31" s="63"/>
      <c r="PFF31" s="63"/>
      <c r="PFG31" s="63"/>
      <c r="PFH31" s="63"/>
      <c r="PFI31" s="63"/>
      <c r="PFJ31" s="63"/>
      <c r="PFK31" s="63"/>
      <c r="PFL31" s="63"/>
      <c r="PFM31" s="63"/>
      <c r="PFN31" s="63"/>
      <c r="PFO31" s="63"/>
      <c r="PFP31" s="63"/>
      <c r="PFQ31" s="63"/>
      <c r="PFR31" s="63"/>
      <c r="PFS31" s="63"/>
      <c r="PFT31" s="63"/>
      <c r="PFU31" s="63"/>
      <c r="PFV31" s="63"/>
      <c r="PFW31" s="63"/>
      <c r="PFX31" s="63"/>
      <c r="PFY31" s="63"/>
      <c r="PFZ31" s="63"/>
      <c r="PGA31" s="63"/>
      <c r="PGB31" s="63"/>
      <c r="PGC31" s="63"/>
      <c r="PGD31" s="63"/>
      <c r="PGE31" s="63"/>
      <c r="PGF31" s="63"/>
      <c r="PGG31" s="63"/>
      <c r="PGH31" s="63"/>
      <c r="PGI31" s="63"/>
      <c r="PGJ31" s="63"/>
      <c r="PGK31" s="63"/>
      <c r="PGL31" s="63"/>
      <c r="PGM31" s="63"/>
      <c r="PGN31" s="63"/>
      <c r="PGO31" s="63"/>
      <c r="PGP31" s="63"/>
      <c r="PGQ31" s="63"/>
      <c r="PGR31" s="63"/>
      <c r="PGS31" s="63"/>
      <c r="PGT31" s="63"/>
      <c r="PGU31" s="63"/>
      <c r="PGV31" s="63"/>
      <c r="PGW31" s="63"/>
      <c r="PGX31" s="63"/>
      <c r="PGY31" s="63"/>
      <c r="PGZ31" s="63"/>
      <c r="PHA31" s="63"/>
      <c r="PHB31" s="63"/>
      <c r="PHC31" s="63"/>
      <c r="PHD31" s="63"/>
      <c r="PHE31" s="63"/>
      <c r="PHF31" s="63"/>
      <c r="PHG31" s="63"/>
      <c r="PHH31" s="63"/>
      <c r="PHI31" s="63"/>
      <c r="PHJ31" s="63"/>
      <c r="PHK31" s="63"/>
      <c r="PHL31" s="63"/>
      <c r="PHM31" s="63"/>
      <c r="PHN31" s="63"/>
      <c r="PHO31" s="63"/>
      <c r="PHP31" s="63"/>
      <c r="PHQ31" s="63"/>
      <c r="PHR31" s="63"/>
      <c r="PHS31" s="63"/>
      <c r="PHT31" s="63"/>
      <c r="PHU31" s="63"/>
      <c r="PHV31" s="63"/>
      <c r="PHW31" s="63"/>
      <c r="PHX31" s="63"/>
      <c r="PHY31" s="63"/>
      <c r="PHZ31" s="63"/>
      <c r="PIA31" s="63"/>
      <c r="PIB31" s="63"/>
      <c r="PIC31" s="63"/>
      <c r="PID31" s="63"/>
      <c r="PIE31" s="63"/>
      <c r="PIF31" s="63"/>
      <c r="PIG31" s="63"/>
      <c r="PIH31" s="63"/>
      <c r="PII31" s="63"/>
      <c r="PIJ31" s="63"/>
      <c r="PIK31" s="63"/>
      <c r="PIL31" s="63"/>
      <c r="PIM31" s="63"/>
      <c r="PIN31" s="63"/>
      <c r="PIO31" s="63"/>
      <c r="PIP31" s="63"/>
      <c r="PIQ31" s="63"/>
      <c r="PIR31" s="63"/>
      <c r="PIS31" s="63"/>
      <c r="PIT31" s="63"/>
      <c r="PIU31" s="63"/>
      <c r="PIV31" s="63"/>
      <c r="PIW31" s="63"/>
      <c r="PIX31" s="63"/>
      <c r="PIY31" s="63"/>
      <c r="PIZ31" s="63"/>
      <c r="PJA31" s="63"/>
      <c r="PJB31" s="63"/>
      <c r="PJC31" s="63"/>
      <c r="PJD31" s="63"/>
      <c r="PJE31" s="63"/>
      <c r="PJF31" s="63"/>
      <c r="PJG31" s="63"/>
      <c r="PJH31" s="63"/>
      <c r="PJI31" s="63"/>
      <c r="PJJ31" s="63"/>
      <c r="PJK31" s="63"/>
      <c r="PJL31" s="63"/>
      <c r="PJM31" s="63"/>
      <c r="PJN31" s="63"/>
      <c r="PJO31" s="63"/>
      <c r="PJP31" s="63"/>
      <c r="PJQ31" s="63"/>
      <c r="PJR31" s="63"/>
      <c r="PJS31" s="63"/>
      <c r="PJT31" s="63"/>
      <c r="PJU31" s="63"/>
      <c r="PJV31" s="63"/>
      <c r="PJW31" s="63"/>
      <c r="PJX31" s="63"/>
      <c r="PJY31" s="63"/>
      <c r="PJZ31" s="63"/>
      <c r="PKA31" s="63"/>
      <c r="PKB31" s="63"/>
      <c r="PKC31" s="63"/>
      <c r="PKD31" s="63"/>
      <c r="PKE31" s="63"/>
      <c r="PKF31" s="63"/>
      <c r="PKG31" s="63"/>
      <c r="PKH31" s="63"/>
      <c r="PKI31" s="63"/>
      <c r="PKJ31" s="63"/>
      <c r="PKK31" s="63"/>
      <c r="PKL31" s="63"/>
      <c r="PKM31" s="63"/>
      <c r="PKN31" s="63"/>
      <c r="PKO31" s="63"/>
      <c r="PKP31" s="63"/>
      <c r="PKQ31" s="63"/>
      <c r="PKR31" s="63"/>
      <c r="PKS31" s="63"/>
      <c r="PKT31" s="63"/>
      <c r="PKU31" s="63"/>
      <c r="PKV31" s="63"/>
      <c r="PKW31" s="63"/>
      <c r="PKX31" s="63"/>
      <c r="PKY31" s="63"/>
      <c r="PKZ31" s="63"/>
      <c r="PLA31" s="63"/>
      <c r="PLB31" s="63"/>
      <c r="PLC31" s="63"/>
      <c r="PLD31" s="63"/>
      <c r="PLE31" s="63"/>
      <c r="PLF31" s="63"/>
      <c r="PLG31" s="63"/>
      <c r="PLH31" s="63"/>
      <c r="PLI31" s="63"/>
      <c r="PLJ31" s="63"/>
      <c r="PLK31" s="63"/>
      <c r="PLL31" s="63"/>
      <c r="PLM31" s="63"/>
      <c r="PLN31" s="63"/>
      <c r="PLO31" s="63"/>
      <c r="PLP31" s="63"/>
      <c r="PLQ31" s="63"/>
      <c r="PLR31" s="63"/>
      <c r="PLS31" s="63"/>
      <c r="PLT31" s="63"/>
      <c r="PLU31" s="63"/>
      <c r="PLV31" s="63"/>
      <c r="PLW31" s="63"/>
      <c r="PLX31" s="63"/>
      <c r="PLY31" s="63"/>
      <c r="PLZ31" s="63"/>
      <c r="PMA31" s="63"/>
      <c r="PMB31" s="63"/>
      <c r="PMC31" s="63"/>
      <c r="PMD31" s="63"/>
      <c r="PME31" s="63"/>
      <c r="PMF31" s="63"/>
      <c r="PMG31" s="63"/>
      <c r="PMH31" s="63"/>
      <c r="PMI31" s="63"/>
      <c r="PMJ31" s="63"/>
      <c r="PMK31" s="63"/>
      <c r="PML31" s="63"/>
      <c r="PMM31" s="63"/>
      <c r="PMN31" s="63"/>
      <c r="PMO31" s="63"/>
      <c r="PMP31" s="63"/>
      <c r="PMQ31" s="63"/>
      <c r="PMR31" s="63"/>
      <c r="PMS31" s="63"/>
      <c r="PMT31" s="63"/>
      <c r="PMU31" s="63"/>
      <c r="PMV31" s="63"/>
      <c r="PMW31" s="63"/>
      <c r="PMX31" s="63"/>
      <c r="PMY31" s="63"/>
      <c r="PMZ31" s="63"/>
      <c r="PNA31" s="63"/>
      <c r="PNB31" s="63"/>
      <c r="PNC31" s="63"/>
      <c r="PND31" s="63"/>
      <c r="PNE31" s="63"/>
      <c r="PNF31" s="63"/>
      <c r="PNG31" s="63"/>
      <c r="PNH31" s="63"/>
      <c r="PNI31" s="63"/>
      <c r="PNJ31" s="63"/>
      <c r="PNK31" s="63"/>
      <c r="PNL31" s="63"/>
      <c r="PNM31" s="63"/>
      <c r="PNN31" s="63"/>
      <c r="PNO31" s="63"/>
      <c r="PNP31" s="63"/>
      <c r="PNQ31" s="63"/>
      <c r="PNR31" s="63"/>
      <c r="PNS31" s="63"/>
      <c r="PNT31" s="63"/>
      <c r="PNU31" s="63"/>
      <c r="PNV31" s="63"/>
      <c r="PNW31" s="63"/>
      <c r="PNX31" s="63"/>
      <c r="PNY31" s="63"/>
      <c r="PNZ31" s="63"/>
      <c r="POA31" s="63"/>
      <c r="POB31" s="63"/>
      <c r="POC31" s="63"/>
      <c r="POD31" s="63"/>
      <c r="POE31" s="63"/>
      <c r="POF31" s="63"/>
      <c r="POG31" s="63"/>
      <c r="POH31" s="63"/>
      <c r="POI31" s="63"/>
      <c r="POJ31" s="63"/>
      <c r="POK31" s="63"/>
      <c r="POL31" s="63"/>
      <c r="POM31" s="63"/>
      <c r="PON31" s="63"/>
      <c r="POO31" s="63"/>
      <c r="POP31" s="63"/>
      <c r="POQ31" s="63"/>
      <c r="POR31" s="63"/>
      <c r="POS31" s="63"/>
      <c r="POT31" s="63"/>
      <c r="POU31" s="63"/>
      <c r="POV31" s="63"/>
      <c r="POW31" s="63"/>
      <c r="POX31" s="63"/>
      <c r="POY31" s="63"/>
      <c r="POZ31" s="63"/>
      <c r="PPA31" s="63"/>
      <c r="PPB31" s="63"/>
      <c r="PPC31" s="63"/>
      <c r="PPD31" s="63"/>
      <c r="PPE31" s="63"/>
      <c r="PPF31" s="63"/>
      <c r="PPG31" s="63"/>
      <c r="PPH31" s="63"/>
      <c r="PPI31" s="63"/>
      <c r="PPJ31" s="63"/>
      <c r="PPK31" s="63"/>
      <c r="PPL31" s="63"/>
      <c r="PPM31" s="63"/>
      <c r="PPN31" s="63"/>
      <c r="PPO31" s="63"/>
      <c r="PPP31" s="63"/>
      <c r="PPQ31" s="63"/>
      <c r="PPR31" s="63"/>
      <c r="PPS31" s="63"/>
      <c r="PPT31" s="63"/>
      <c r="PPU31" s="63"/>
      <c r="PPV31" s="63"/>
      <c r="PPW31" s="63"/>
      <c r="PPX31" s="63"/>
      <c r="PPY31" s="63"/>
      <c r="PPZ31" s="63"/>
      <c r="PQA31" s="63"/>
      <c r="PQB31" s="63"/>
      <c r="PQC31" s="63"/>
      <c r="PQD31" s="63"/>
      <c r="PQE31" s="63"/>
      <c r="PQF31" s="63"/>
      <c r="PQG31" s="63"/>
      <c r="PQH31" s="63"/>
      <c r="PQI31" s="63"/>
      <c r="PQJ31" s="63"/>
      <c r="PQK31" s="63"/>
      <c r="PQL31" s="63"/>
      <c r="PQM31" s="63"/>
      <c r="PQN31" s="63"/>
      <c r="PQO31" s="63"/>
      <c r="PQP31" s="63"/>
      <c r="PQQ31" s="63"/>
      <c r="PQR31" s="63"/>
      <c r="PQS31" s="63"/>
      <c r="PQT31" s="63"/>
      <c r="PQU31" s="63"/>
      <c r="PQV31" s="63"/>
      <c r="PQW31" s="63"/>
      <c r="PQX31" s="63"/>
      <c r="PQY31" s="63"/>
      <c r="PQZ31" s="63"/>
      <c r="PRA31" s="63"/>
      <c r="PRB31" s="63"/>
      <c r="PRC31" s="63"/>
      <c r="PRD31" s="63"/>
      <c r="PRE31" s="63"/>
      <c r="PRF31" s="63"/>
      <c r="PRG31" s="63"/>
      <c r="PRH31" s="63"/>
      <c r="PRI31" s="63"/>
      <c r="PRJ31" s="63"/>
      <c r="PRK31" s="63"/>
      <c r="PRL31" s="63"/>
      <c r="PRM31" s="63"/>
      <c r="PRN31" s="63"/>
      <c r="PRO31" s="63"/>
      <c r="PRP31" s="63"/>
      <c r="PRQ31" s="63"/>
      <c r="PRR31" s="63"/>
      <c r="PRS31" s="63"/>
      <c r="PRT31" s="63"/>
      <c r="PRU31" s="63"/>
      <c r="PRV31" s="63"/>
      <c r="PRW31" s="63"/>
      <c r="PRX31" s="63"/>
      <c r="PRY31" s="63"/>
      <c r="PRZ31" s="63"/>
      <c r="PSA31" s="63"/>
      <c r="PSB31" s="63"/>
      <c r="PSC31" s="63"/>
      <c r="PSD31" s="63"/>
      <c r="PSE31" s="63"/>
      <c r="PSF31" s="63"/>
      <c r="PSG31" s="63"/>
      <c r="PSH31" s="63"/>
      <c r="PSI31" s="63"/>
      <c r="PSJ31" s="63"/>
      <c r="PSK31" s="63"/>
      <c r="PSL31" s="63"/>
      <c r="PSM31" s="63"/>
      <c r="PSN31" s="63"/>
      <c r="PSO31" s="63"/>
      <c r="PSP31" s="63"/>
      <c r="PSQ31" s="63"/>
      <c r="PSR31" s="63"/>
      <c r="PSS31" s="63"/>
      <c r="PST31" s="63"/>
      <c r="PSU31" s="63"/>
      <c r="PSV31" s="63"/>
      <c r="PSW31" s="63"/>
      <c r="PSX31" s="63"/>
      <c r="PSY31" s="63"/>
      <c r="PSZ31" s="63"/>
      <c r="PTA31" s="63"/>
      <c r="PTB31" s="63"/>
      <c r="PTC31" s="63"/>
      <c r="PTD31" s="63"/>
      <c r="PTE31" s="63"/>
      <c r="PTF31" s="63"/>
      <c r="PTG31" s="63"/>
      <c r="PTH31" s="63"/>
      <c r="PTI31" s="63"/>
      <c r="PTJ31" s="63"/>
      <c r="PTK31" s="63"/>
      <c r="PTL31" s="63"/>
      <c r="PTM31" s="63"/>
      <c r="PTN31" s="63"/>
      <c r="PTO31" s="63"/>
      <c r="PTP31" s="63"/>
      <c r="PTQ31" s="63"/>
      <c r="PTR31" s="63"/>
      <c r="PTS31" s="63"/>
      <c r="PTT31" s="63"/>
      <c r="PTU31" s="63"/>
      <c r="PTV31" s="63"/>
      <c r="PTW31" s="63"/>
      <c r="PTX31" s="63"/>
      <c r="PTY31" s="63"/>
      <c r="PTZ31" s="63"/>
      <c r="PUA31" s="63"/>
      <c r="PUB31" s="63"/>
      <c r="PUC31" s="63"/>
      <c r="PUD31" s="63"/>
      <c r="PUE31" s="63"/>
      <c r="PUF31" s="63"/>
      <c r="PUG31" s="63"/>
      <c r="PUH31" s="63"/>
      <c r="PUI31" s="63"/>
      <c r="PUJ31" s="63"/>
      <c r="PUK31" s="63"/>
      <c r="PUL31" s="63"/>
      <c r="PUM31" s="63"/>
      <c r="PUN31" s="63"/>
      <c r="PUO31" s="63"/>
      <c r="PUP31" s="63"/>
      <c r="PUQ31" s="63"/>
      <c r="PUR31" s="63"/>
      <c r="PUS31" s="63"/>
      <c r="PUT31" s="63"/>
      <c r="PUU31" s="63"/>
      <c r="PUV31" s="63"/>
      <c r="PUW31" s="63"/>
      <c r="PUX31" s="63"/>
      <c r="PUY31" s="63"/>
      <c r="PUZ31" s="63"/>
      <c r="PVA31" s="63"/>
      <c r="PVB31" s="63"/>
      <c r="PVC31" s="63"/>
      <c r="PVD31" s="63"/>
      <c r="PVE31" s="63"/>
      <c r="PVF31" s="63"/>
      <c r="PVG31" s="63"/>
      <c r="PVH31" s="63"/>
      <c r="PVI31" s="63"/>
      <c r="PVJ31" s="63"/>
      <c r="PVK31" s="63"/>
      <c r="PVL31" s="63"/>
      <c r="PVM31" s="63"/>
      <c r="PVN31" s="63"/>
      <c r="PVO31" s="63"/>
      <c r="PVP31" s="63"/>
      <c r="PVQ31" s="63"/>
      <c r="PVR31" s="63"/>
      <c r="PVS31" s="63"/>
      <c r="PVT31" s="63"/>
      <c r="PVU31" s="63"/>
      <c r="PVV31" s="63"/>
      <c r="PVW31" s="63"/>
      <c r="PVX31" s="63"/>
      <c r="PVY31" s="63"/>
      <c r="PVZ31" s="63"/>
      <c r="PWA31" s="63"/>
      <c r="PWB31" s="63"/>
      <c r="PWC31" s="63"/>
      <c r="PWD31" s="63"/>
      <c r="PWE31" s="63"/>
      <c r="PWF31" s="63"/>
      <c r="PWG31" s="63"/>
      <c r="PWH31" s="63"/>
      <c r="PWI31" s="63"/>
      <c r="PWJ31" s="63"/>
      <c r="PWK31" s="63"/>
      <c r="PWL31" s="63"/>
      <c r="PWM31" s="63"/>
      <c r="PWN31" s="63"/>
      <c r="PWO31" s="63"/>
      <c r="PWP31" s="63"/>
      <c r="PWQ31" s="63"/>
      <c r="PWR31" s="63"/>
      <c r="PWS31" s="63"/>
      <c r="PWT31" s="63"/>
      <c r="PWU31" s="63"/>
      <c r="PWV31" s="63"/>
      <c r="PWW31" s="63"/>
      <c r="PWX31" s="63"/>
      <c r="PWY31" s="63"/>
      <c r="PWZ31" s="63"/>
      <c r="PXA31" s="63"/>
      <c r="PXB31" s="63"/>
      <c r="PXC31" s="63"/>
      <c r="PXD31" s="63"/>
      <c r="PXE31" s="63"/>
      <c r="PXF31" s="63"/>
      <c r="PXG31" s="63"/>
      <c r="PXH31" s="63"/>
      <c r="PXI31" s="63"/>
      <c r="PXJ31" s="63"/>
      <c r="PXK31" s="63"/>
      <c r="PXL31" s="63"/>
      <c r="PXM31" s="63"/>
      <c r="PXN31" s="63"/>
      <c r="PXO31" s="63"/>
      <c r="PXP31" s="63"/>
      <c r="PXQ31" s="63"/>
      <c r="PXR31" s="63"/>
      <c r="PXS31" s="63"/>
      <c r="PXT31" s="63"/>
      <c r="PXU31" s="63"/>
      <c r="PXV31" s="63"/>
      <c r="PXW31" s="63"/>
      <c r="PXX31" s="63"/>
      <c r="PXY31" s="63"/>
      <c r="PXZ31" s="63"/>
      <c r="PYA31" s="63"/>
      <c r="PYB31" s="63"/>
      <c r="PYC31" s="63"/>
      <c r="PYD31" s="63"/>
      <c r="PYE31" s="63"/>
      <c r="PYF31" s="63"/>
      <c r="PYG31" s="63"/>
      <c r="PYH31" s="63"/>
      <c r="PYI31" s="63"/>
      <c r="PYJ31" s="63"/>
      <c r="PYK31" s="63"/>
      <c r="PYL31" s="63"/>
      <c r="PYM31" s="63"/>
      <c r="PYN31" s="63"/>
      <c r="PYO31" s="63"/>
      <c r="PYP31" s="63"/>
      <c r="PYQ31" s="63"/>
      <c r="PYR31" s="63"/>
      <c r="PYS31" s="63"/>
      <c r="PYT31" s="63"/>
      <c r="PYU31" s="63"/>
      <c r="PYV31" s="63"/>
      <c r="PYW31" s="63"/>
      <c r="PYX31" s="63"/>
      <c r="PYY31" s="63"/>
      <c r="PYZ31" s="63"/>
      <c r="PZA31" s="63"/>
      <c r="PZB31" s="63"/>
      <c r="PZC31" s="63"/>
      <c r="PZD31" s="63"/>
      <c r="PZE31" s="63"/>
      <c r="PZF31" s="63"/>
      <c r="PZG31" s="63"/>
      <c r="PZH31" s="63"/>
      <c r="PZI31" s="63"/>
      <c r="PZJ31" s="63"/>
      <c r="PZK31" s="63"/>
      <c r="PZL31" s="63"/>
      <c r="PZM31" s="63"/>
      <c r="PZN31" s="63"/>
      <c r="PZO31" s="63"/>
      <c r="PZP31" s="63"/>
      <c r="PZQ31" s="63"/>
      <c r="PZR31" s="63"/>
      <c r="PZS31" s="63"/>
      <c r="PZT31" s="63"/>
      <c r="PZU31" s="63"/>
      <c r="PZV31" s="63"/>
      <c r="PZW31" s="63"/>
      <c r="PZX31" s="63"/>
      <c r="PZY31" s="63"/>
      <c r="PZZ31" s="63"/>
      <c r="QAA31" s="63"/>
      <c r="QAB31" s="63"/>
      <c r="QAC31" s="63"/>
      <c r="QAD31" s="63"/>
      <c r="QAE31" s="63"/>
      <c r="QAF31" s="63"/>
      <c r="QAG31" s="63"/>
      <c r="QAH31" s="63"/>
      <c r="QAI31" s="63"/>
      <c r="QAJ31" s="63"/>
      <c r="QAK31" s="63"/>
      <c r="QAL31" s="63"/>
      <c r="QAM31" s="63"/>
      <c r="QAN31" s="63"/>
      <c r="QAO31" s="63"/>
      <c r="QAP31" s="63"/>
      <c r="QAQ31" s="63"/>
      <c r="QAR31" s="63"/>
      <c r="QAS31" s="63"/>
      <c r="QAT31" s="63"/>
      <c r="QAU31" s="63"/>
      <c r="QAV31" s="63"/>
      <c r="QAW31" s="63"/>
      <c r="QAX31" s="63"/>
      <c r="QAY31" s="63"/>
      <c r="QAZ31" s="63"/>
      <c r="QBA31" s="63"/>
      <c r="QBB31" s="63"/>
      <c r="QBC31" s="63"/>
      <c r="QBD31" s="63"/>
      <c r="QBE31" s="63"/>
      <c r="QBF31" s="63"/>
      <c r="QBG31" s="63"/>
      <c r="QBH31" s="63"/>
      <c r="QBI31" s="63"/>
      <c r="QBJ31" s="63"/>
      <c r="QBK31" s="63"/>
      <c r="QBL31" s="63"/>
      <c r="QBM31" s="63"/>
      <c r="QBN31" s="63"/>
      <c r="QBO31" s="63"/>
      <c r="QBP31" s="63"/>
      <c r="QBQ31" s="63"/>
      <c r="QBR31" s="63"/>
      <c r="QBS31" s="63"/>
      <c r="QBT31" s="63"/>
      <c r="QBU31" s="63"/>
      <c r="QBV31" s="63"/>
      <c r="QBW31" s="63"/>
      <c r="QBX31" s="63"/>
      <c r="QBY31" s="63"/>
      <c r="QBZ31" s="63"/>
      <c r="QCA31" s="63"/>
      <c r="QCB31" s="63"/>
      <c r="QCC31" s="63"/>
      <c r="QCD31" s="63"/>
      <c r="QCE31" s="63"/>
      <c r="QCF31" s="63"/>
      <c r="QCG31" s="63"/>
      <c r="QCH31" s="63"/>
      <c r="QCI31" s="63"/>
      <c r="QCJ31" s="63"/>
      <c r="QCK31" s="63"/>
      <c r="QCL31" s="63"/>
      <c r="QCM31" s="63"/>
      <c r="QCN31" s="63"/>
      <c r="QCO31" s="63"/>
      <c r="QCP31" s="63"/>
      <c r="QCQ31" s="63"/>
      <c r="QCR31" s="63"/>
      <c r="QCS31" s="63"/>
      <c r="QCT31" s="63"/>
      <c r="QCU31" s="63"/>
      <c r="QCV31" s="63"/>
      <c r="QCW31" s="63"/>
      <c r="QCX31" s="63"/>
      <c r="QCY31" s="63"/>
      <c r="QCZ31" s="63"/>
      <c r="QDA31" s="63"/>
      <c r="QDB31" s="63"/>
      <c r="QDC31" s="63"/>
      <c r="QDD31" s="63"/>
      <c r="QDE31" s="63"/>
      <c r="QDF31" s="63"/>
      <c r="QDG31" s="63"/>
      <c r="QDH31" s="63"/>
      <c r="QDI31" s="63"/>
      <c r="QDJ31" s="63"/>
      <c r="QDK31" s="63"/>
      <c r="QDL31" s="63"/>
      <c r="QDM31" s="63"/>
      <c r="QDN31" s="63"/>
      <c r="QDO31" s="63"/>
      <c r="QDP31" s="63"/>
      <c r="QDQ31" s="63"/>
      <c r="QDR31" s="63"/>
      <c r="QDS31" s="63"/>
      <c r="QDT31" s="63"/>
      <c r="QDU31" s="63"/>
      <c r="QDV31" s="63"/>
      <c r="QDW31" s="63"/>
      <c r="QDX31" s="63"/>
      <c r="QDY31" s="63"/>
      <c r="QDZ31" s="63"/>
      <c r="QEA31" s="63"/>
      <c r="QEB31" s="63"/>
      <c r="QEC31" s="63"/>
      <c r="QED31" s="63"/>
      <c r="QEE31" s="63"/>
      <c r="QEF31" s="63"/>
      <c r="QEG31" s="63"/>
      <c r="QEH31" s="63"/>
      <c r="QEI31" s="63"/>
      <c r="QEJ31" s="63"/>
      <c r="QEK31" s="63"/>
      <c r="QEL31" s="63"/>
      <c r="QEM31" s="63"/>
      <c r="QEN31" s="63"/>
      <c r="QEO31" s="63"/>
      <c r="QEP31" s="63"/>
      <c r="QEQ31" s="63"/>
      <c r="QER31" s="63"/>
      <c r="QES31" s="63"/>
      <c r="QET31" s="63"/>
      <c r="QEU31" s="63"/>
      <c r="QEV31" s="63"/>
      <c r="QEW31" s="63"/>
      <c r="QEX31" s="63"/>
      <c r="QEY31" s="63"/>
      <c r="QEZ31" s="63"/>
      <c r="QFA31" s="63"/>
      <c r="QFB31" s="63"/>
      <c r="QFC31" s="63"/>
      <c r="QFD31" s="63"/>
      <c r="QFE31" s="63"/>
      <c r="QFF31" s="63"/>
      <c r="QFG31" s="63"/>
      <c r="QFH31" s="63"/>
      <c r="QFI31" s="63"/>
      <c r="QFJ31" s="63"/>
      <c r="QFK31" s="63"/>
      <c r="QFL31" s="63"/>
      <c r="QFM31" s="63"/>
      <c r="QFN31" s="63"/>
      <c r="QFO31" s="63"/>
      <c r="QFP31" s="63"/>
      <c r="QFQ31" s="63"/>
      <c r="QFR31" s="63"/>
      <c r="QFS31" s="63"/>
      <c r="QFT31" s="63"/>
      <c r="QFU31" s="63"/>
      <c r="QFV31" s="63"/>
      <c r="QFW31" s="63"/>
      <c r="QFX31" s="63"/>
      <c r="QFY31" s="63"/>
      <c r="QFZ31" s="63"/>
      <c r="QGA31" s="63"/>
      <c r="QGB31" s="63"/>
      <c r="QGC31" s="63"/>
      <c r="QGD31" s="63"/>
      <c r="QGE31" s="63"/>
      <c r="QGF31" s="63"/>
      <c r="QGG31" s="63"/>
      <c r="QGH31" s="63"/>
      <c r="QGI31" s="63"/>
      <c r="QGJ31" s="63"/>
      <c r="QGK31" s="63"/>
      <c r="QGL31" s="63"/>
      <c r="QGM31" s="63"/>
      <c r="QGN31" s="63"/>
      <c r="QGO31" s="63"/>
      <c r="QGP31" s="63"/>
      <c r="QGQ31" s="63"/>
      <c r="QGR31" s="63"/>
      <c r="QGS31" s="63"/>
      <c r="QGT31" s="63"/>
      <c r="QGU31" s="63"/>
      <c r="QGV31" s="63"/>
      <c r="QGW31" s="63"/>
      <c r="QGX31" s="63"/>
      <c r="QGY31" s="63"/>
      <c r="QGZ31" s="63"/>
      <c r="QHA31" s="63"/>
      <c r="QHB31" s="63"/>
      <c r="QHC31" s="63"/>
      <c r="QHD31" s="63"/>
      <c r="QHE31" s="63"/>
      <c r="QHF31" s="63"/>
      <c r="QHG31" s="63"/>
      <c r="QHH31" s="63"/>
      <c r="QHI31" s="63"/>
      <c r="QHJ31" s="63"/>
      <c r="QHK31" s="63"/>
      <c r="QHL31" s="63"/>
      <c r="QHM31" s="63"/>
      <c r="QHN31" s="63"/>
      <c r="QHO31" s="63"/>
      <c r="QHP31" s="63"/>
      <c r="QHQ31" s="63"/>
      <c r="QHR31" s="63"/>
      <c r="QHS31" s="63"/>
      <c r="QHT31" s="63"/>
      <c r="QHU31" s="63"/>
      <c r="QHV31" s="63"/>
      <c r="QHW31" s="63"/>
      <c r="QHX31" s="63"/>
      <c r="QHY31" s="63"/>
      <c r="QHZ31" s="63"/>
      <c r="QIA31" s="63"/>
      <c r="QIB31" s="63"/>
      <c r="QIC31" s="63"/>
      <c r="QID31" s="63"/>
      <c r="QIE31" s="63"/>
      <c r="QIF31" s="63"/>
      <c r="QIG31" s="63"/>
      <c r="QIH31" s="63"/>
      <c r="QII31" s="63"/>
      <c r="QIJ31" s="63"/>
      <c r="QIK31" s="63"/>
      <c r="QIL31" s="63"/>
      <c r="QIM31" s="63"/>
      <c r="QIN31" s="63"/>
      <c r="QIO31" s="63"/>
      <c r="QIP31" s="63"/>
      <c r="QIQ31" s="63"/>
      <c r="QIR31" s="63"/>
      <c r="QIS31" s="63"/>
      <c r="QIT31" s="63"/>
      <c r="QIU31" s="63"/>
      <c r="QIV31" s="63"/>
      <c r="QIW31" s="63"/>
      <c r="QIX31" s="63"/>
      <c r="QIY31" s="63"/>
      <c r="QIZ31" s="63"/>
      <c r="QJA31" s="63"/>
      <c r="QJB31" s="63"/>
      <c r="QJC31" s="63"/>
      <c r="QJD31" s="63"/>
      <c r="QJE31" s="63"/>
      <c r="QJF31" s="63"/>
      <c r="QJG31" s="63"/>
      <c r="QJH31" s="63"/>
      <c r="QJI31" s="63"/>
      <c r="QJJ31" s="63"/>
      <c r="QJK31" s="63"/>
      <c r="QJL31" s="63"/>
      <c r="QJM31" s="63"/>
      <c r="QJN31" s="63"/>
      <c r="QJO31" s="63"/>
      <c r="QJP31" s="63"/>
      <c r="QJQ31" s="63"/>
      <c r="QJR31" s="63"/>
      <c r="QJS31" s="63"/>
      <c r="QJT31" s="63"/>
      <c r="QJU31" s="63"/>
      <c r="QJV31" s="63"/>
      <c r="QJW31" s="63"/>
      <c r="QJX31" s="63"/>
      <c r="QJY31" s="63"/>
      <c r="QJZ31" s="63"/>
      <c r="QKA31" s="63"/>
      <c r="QKB31" s="63"/>
      <c r="QKC31" s="63"/>
      <c r="QKD31" s="63"/>
      <c r="QKE31" s="63"/>
      <c r="QKF31" s="63"/>
      <c r="QKG31" s="63"/>
      <c r="QKH31" s="63"/>
      <c r="QKI31" s="63"/>
      <c r="QKJ31" s="63"/>
      <c r="QKK31" s="63"/>
      <c r="QKL31" s="63"/>
      <c r="QKM31" s="63"/>
      <c r="QKN31" s="63"/>
      <c r="QKO31" s="63"/>
      <c r="QKP31" s="63"/>
      <c r="QKQ31" s="63"/>
      <c r="QKR31" s="63"/>
      <c r="QKS31" s="63"/>
      <c r="QKT31" s="63"/>
      <c r="QKU31" s="63"/>
      <c r="QKV31" s="63"/>
      <c r="QKW31" s="63"/>
      <c r="QKX31" s="63"/>
      <c r="QKY31" s="63"/>
      <c r="QKZ31" s="63"/>
      <c r="QLA31" s="63"/>
      <c r="QLB31" s="63"/>
      <c r="QLC31" s="63"/>
      <c r="QLD31" s="63"/>
      <c r="QLE31" s="63"/>
      <c r="QLF31" s="63"/>
      <c r="QLG31" s="63"/>
      <c r="QLH31" s="63"/>
      <c r="QLI31" s="63"/>
      <c r="QLJ31" s="63"/>
      <c r="QLK31" s="63"/>
      <c r="QLL31" s="63"/>
      <c r="QLM31" s="63"/>
      <c r="QLN31" s="63"/>
      <c r="QLO31" s="63"/>
      <c r="QLP31" s="63"/>
      <c r="QLQ31" s="63"/>
      <c r="QLR31" s="63"/>
      <c r="QLS31" s="63"/>
      <c r="QLT31" s="63"/>
      <c r="QLU31" s="63"/>
      <c r="QLV31" s="63"/>
      <c r="QLW31" s="63"/>
      <c r="QLX31" s="63"/>
      <c r="QLY31" s="63"/>
      <c r="QLZ31" s="63"/>
      <c r="QMA31" s="63"/>
      <c r="QMB31" s="63"/>
      <c r="QMC31" s="63"/>
      <c r="QMD31" s="63"/>
      <c r="QME31" s="63"/>
      <c r="QMF31" s="63"/>
      <c r="QMG31" s="63"/>
      <c r="QMH31" s="63"/>
      <c r="QMI31" s="63"/>
      <c r="QMJ31" s="63"/>
      <c r="QMK31" s="63"/>
      <c r="QML31" s="63"/>
      <c r="QMM31" s="63"/>
      <c r="QMN31" s="63"/>
      <c r="QMO31" s="63"/>
      <c r="QMP31" s="63"/>
      <c r="QMQ31" s="63"/>
      <c r="QMR31" s="63"/>
      <c r="QMS31" s="63"/>
      <c r="QMT31" s="63"/>
      <c r="QMU31" s="63"/>
      <c r="QMV31" s="63"/>
      <c r="QMW31" s="63"/>
      <c r="QMX31" s="63"/>
      <c r="QMY31" s="63"/>
      <c r="QMZ31" s="63"/>
      <c r="QNA31" s="63"/>
      <c r="QNB31" s="63"/>
      <c r="QNC31" s="63"/>
      <c r="QND31" s="63"/>
      <c r="QNE31" s="63"/>
      <c r="QNF31" s="63"/>
      <c r="QNG31" s="63"/>
      <c r="QNH31" s="63"/>
      <c r="QNI31" s="63"/>
      <c r="QNJ31" s="63"/>
      <c r="QNK31" s="63"/>
      <c r="QNL31" s="63"/>
      <c r="QNM31" s="63"/>
      <c r="QNN31" s="63"/>
      <c r="QNO31" s="63"/>
      <c r="QNP31" s="63"/>
      <c r="QNQ31" s="63"/>
      <c r="QNR31" s="63"/>
      <c r="QNS31" s="63"/>
      <c r="QNT31" s="63"/>
      <c r="QNU31" s="63"/>
      <c r="QNV31" s="63"/>
      <c r="QNW31" s="63"/>
      <c r="QNX31" s="63"/>
      <c r="QNY31" s="63"/>
      <c r="QNZ31" s="63"/>
      <c r="QOA31" s="63"/>
      <c r="QOB31" s="63"/>
      <c r="QOC31" s="63"/>
      <c r="QOD31" s="63"/>
      <c r="QOE31" s="63"/>
      <c r="QOF31" s="63"/>
      <c r="QOG31" s="63"/>
      <c r="QOH31" s="63"/>
      <c r="QOI31" s="63"/>
      <c r="QOJ31" s="63"/>
      <c r="QOK31" s="63"/>
      <c r="QOL31" s="63"/>
      <c r="QOM31" s="63"/>
      <c r="QON31" s="63"/>
      <c r="QOO31" s="63"/>
      <c r="QOP31" s="63"/>
      <c r="QOQ31" s="63"/>
      <c r="QOR31" s="63"/>
      <c r="QOS31" s="63"/>
      <c r="QOT31" s="63"/>
      <c r="QOU31" s="63"/>
      <c r="QOV31" s="63"/>
      <c r="QOW31" s="63"/>
      <c r="QOX31" s="63"/>
      <c r="QOY31" s="63"/>
      <c r="QOZ31" s="63"/>
      <c r="QPA31" s="63"/>
      <c r="QPB31" s="63"/>
      <c r="QPC31" s="63"/>
      <c r="QPD31" s="63"/>
      <c r="QPE31" s="63"/>
      <c r="QPF31" s="63"/>
      <c r="QPG31" s="63"/>
      <c r="QPH31" s="63"/>
      <c r="QPI31" s="63"/>
      <c r="QPJ31" s="63"/>
      <c r="QPK31" s="63"/>
      <c r="QPL31" s="63"/>
      <c r="QPM31" s="63"/>
      <c r="QPN31" s="63"/>
      <c r="QPO31" s="63"/>
      <c r="QPP31" s="63"/>
      <c r="QPQ31" s="63"/>
      <c r="QPR31" s="63"/>
      <c r="QPS31" s="63"/>
      <c r="QPT31" s="63"/>
      <c r="QPU31" s="63"/>
      <c r="QPV31" s="63"/>
      <c r="QPW31" s="63"/>
      <c r="QPX31" s="63"/>
      <c r="QPY31" s="63"/>
      <c r="QPZ31" s="63"/>
      <c r="QQA31" s="63"/>
      <c r="QQB31" s="63"/>
      <c r="QQC31" s="63"/>
      <c r="QQD31" s="63"/>
      <c r="QQE31" s="63"/>
      <c r="QQF31" s="63"/>
      <c r="QQG31" s="63"/>
      <c r="QQH31" s="63"/>
      <c r="QQI31" s="63"/>
      <c r="QQJ31" s="63"/>
      <c r="QQK31" s="63"/>
      <c r="QQL31" s="63"/>
      <c r="QQM31" s="63"/>
      <c r="QQN31" s="63"/>
      <c r="QQO31" s="63"/>
      <c r="QQP31" s="63"/>
      <c r="QQQ31" s="63"/>
      <c r="QQR31" s="63"/>
      <c r="QQS31" s="63"/>
      <c r="QQT31" s="63"/>
      <c r="QQU31" s="63"/>
      <c r="QQV31" s="63"/>
      <c r="QQW31" s="63"/>
      <c r="QQX31" s="63"/>
      <c r="QQY31" s="63"/>
      <c r="QQZ31" s="63"/>
      <c r="QRA31" s="63"/>
      <c r="QRB31" s="63"/>
      <c r="QRC31" s="63"/>
      <c r="QRD31" s="63"/>
      <c r="QRE31" s="63"/>
      <c r="QRF31" s="63"/>
      <c r="QRG31" s="63"/>
      <c r="QRH31" s="63"/>
      <c r="QRI31" s="63"/>
      <c r="QRJ31" s="63"/>
      <c r="QRK31" s="63"/>
      <c r="QRL31" s="63"/>
      <c r="QRM31" s="63"/>
      <c r="QRN31" s="63"/>
      <c r="QRO31" s="63"/>
      <c r="QRP31" s="63"/>
      <c r="QRQ31" s="63"/>
      <c r="QRR31" s="63"/>
      <c r="QRS31" s="63"/>
      <c r="QRT31" s="63"/>
      <c r="QRU31" s="63"/>
      <c r="QRV31" s="63"/>
      <c r="QRW31" s="63"/>
      <c r="QRX31" s="63"/>
      <c r="QRY31" s="63"/>
      <c r="QRZ31" s="63"/>
      <c r="QSA31" s="63"/>
      <c r="QSB31" s="63"/>
      <c r="QSC31" s="63"/>
      <c r="QSD31" s="63"/>
      <c r="QSE31" s="63"/>
      <c r="QSF31" s="63"/>
      <c r="QSG31" s="63"/>
      <c r="QSH31" s="63"/>
      <c r="QSI31" s="63"/>
      <c r="QSJ31" s="63"/>
      <c r="QSK31" s="63"/>
      <c r="QSL31" s="63"/>
      <c r="QSM31" s="63"/>
      <c r="QSN31" s="63"/>
      <c r="QSO31" s="63"/>
      <c r="QSP31" s="63"/>
      <c r="QSQ31" s="63"/>
      <c r="QSR31" s="63"/>
      <c r="QSS31" s="63"/>
      <c r="QST31" s="63"/>
      <c r="QSU31" s="63"/>
      <c r="QSV31" s="63"/>
      <c r="QSW31" s="63"/>
      <c r="QSX31" s="63"/>
      <c r="QSY31" s="63"/>
      <c r="QSZ31" s="63"/>
      <c r="QTA31" s="63"/>
      <c r="QTB31" s="63"/>
      <c r="QTC31" s="63"/>
      <c r="QTD31" s="63"/>
      <c r="QTE31" s="63"/>
      <c r="QTF31" s="63"/>
      <c r="QTG31" s="63"/>
      <c r="QTH31" s="63"/>
      <c r="QTI31" s="63"/>
      <c r="QTJ31" s="63"/>
      <c r="QTK31" s="63"/>
      <c r="QTL31" s="63"/>
      <c r="QTM31" s="63"/>
      <c r="QTN31" s="63"/>
      <c r="QTO31" s="63"/>
      <c r="QTP31" s="63"/>
      <c r="QTQ31" s="63"/>
      <c r="QTR31" s="63"/>
      <c r="QTS31" s="63"/>
      <c r="QTT31" s="63"/>
      <c r="QTU31" s="63"/>
      <c r="QTV31" s="63"/>
      <c r="QTW31" s="63"/>
      <c r="QTX31" s="63"/>
      <c r="QTY31" s="63"/>
      <c r="QTZ31" s="63"/>
      <c r="QUA31" s="63"/>
      <c r="QUB31" s="63"/>
      <c r="QUC31" s="63"/>
      <c r="QUD31" s="63"/>
      <c r="QUE31" s="63"/>
      <c r="QUF31" s="63"/>
      <c r="QUG31" s="63"/>
      <c r="QUH31" s="63"/>
      <c r="QUI31" s="63"/>
      <c r="QUJ31" s="63"/>
      <c r="QUK31" s="63"/>
      <c r="QUL31" s="63"/>
      <c r="QUM31" s="63"/>
      <c r="QUN31" s="63"/>
      <c r="QUO31" s="63"/>
      <c r="QUP31" s="63"/>
      <c r="QUQ31" s="63"/>
      <c r="QUR31" s="63"/>
      <c r="QUS31" s="63"/>
      <c r="QUT31" s="63"/>
      <c r="QUU31" s="63"/>
      <c r="QUV31" s="63"/>
      <c r="QUW31" s="63"/>
      <c r="QUX31" s="63"/>
      <c r="QUY31" s="63"/>
      <c r="QUZ31" s="63"/>
      <c r="QVA31" s="63"/>
      <c r="QVB31" s="63"/>
      <c r="QVC31" s="63"/>
      <c r="QVD31" s="63"/>
      <c r="QVE31" s="63"/>
      <c r="QVF31" s="63"/>
      <c r="QVG31" s="63"/>
      <c r="QVH31" s="63"/>
      <c r="QVI31" s="63"/>
      <c r="QVJ31" s="63"/>
      <c r="QVK31" s="63"/>
      <c r="QVL31" s="63"/>
      <c r="QVM31" s="63"/>
      <c r="QVN31" s="63"/>
      <c r="QVO31" s="63"/>
      <c r="QVP31" s="63"/>
      <c r="QVQ31" s="63"/>
      <c r="QVR31" s="63"/>
      <c r="QVS31" s="63"/>
      <c r="QVT31" s="63"/>
      <c r="QVU31" s="63"/>
      <c r="QVV31" s="63"/>
      <c r="QVW31" s="63"/>
      <c r="QVX31" s="63"/>
      <c r="QVY31" s="63"/>
      <c r="QVZ31" s="63"/>
      <c r="QWA31" s="63"/>
      <c r="QWB31" s="63"/>
      <c r="QWC31" s="63"/>
      <c r="QWD31" s="63"/>
      <c r="QWE31" s="63"/>
      <c r="QWF31" s="63"/>
      <c r="QWG31" s="63"/>
      <c r="QWH31" s="63"/>
      <c r="QWI31" s="63"/>
      <c r="QWJ31" s="63"/>
      <c r="QWK31" s="63"/>
      <c r="QWL31" s="63"/>
      <c r="QWM31" s="63"/>
      <c r="QWN31" s="63"/>
      <c r="QWO31" s="63"/>
      <c r="QWP31" s="63"/>
      <c r="QWQ31" s="63"/>
      <c r="QWR31" s="63"/>
      <c r="QWS31" s="63"/>
      <c r="QWT31" s="63"/>
      <c r="QWU31" s="63"/>
      <c r="QWV31" s="63"/>
      <c r="QWW31" s="63"/>
      <c r="QWX31" s="63"/>
      <c r="QWY31" s="63"/>
      <c r="QWZ31" s="63"/>
      <c r="QXA31" s="63"/>
      <c r="QXB31" s="63"/>
      <c r="QXC31" s="63"/>
      <c r="QXD31" s="63"/>
      <c r="QXE31" s="63"/>
      <c r="QXF31" s="63"/>
      <c r="QXG31" s="63"/>
      <c r="QXH31" s="63"/>
      <c r="QXI31" s="63"/>
      <c r="QXJ31" s="63"/>
      <c r="QXK31" s="63"/>
      <c r="QXL31" s="63"/>
      <c r="QXM31" s="63"/>
      <c r="QXN31" s="63"/>
      <c r="QXO31" s="63"/>
      <c r="QXP31" s="63"/>
      <c r="QXQ31" s="63"/>
      <c r="QXR31" s="63"/>
      <c r="QXS31" s="63"/>
      <c r="QXT31" s="63"/>
      <c r="QXU31" s="63"/>
      <c r="QXV31" s="63"/>
      <c r="QXW31" s="63"/>
      <c r="QXX31" s="63"/>
      <c r="QXY31" s="63"/>
      <c r="QXZ31" s="63"/>
      <c r="QYA31" s="63"/>
      <c r="QYB31" s="63"/>
      <c r="QYC31" s="63"/>
      <c r="QYD31" s="63"/>
      <c r="QYE31" s="63"/>
      <c r="QYF31" s="63"/>
      <c r="QYG31" s="63"/>
      <c r="QYH31" s="63"/>
      <c r="QYI31" s="63"/>
      <c r="QYJ31" s="63"/>
      <c r="QYK31" s="63"/>
      <c r="QYL31" s="63"/>
      <c r="QYM31" s="63"/>
      <c r="QYN31" s="63"/>
      <c r="QYO31" s="63"/>
      <c r="QYP31" s="63"/>
      <c r="QYQ31" s="63"/>
      <c r="QYR31" s="63"/>
      <c r="QYS31" s="63"/>
      <c r="QYT31" s="63"/>
      <c r="QYU31" s="63"/>
      <c r="QYV31" s="63"/>
      <c r="QYW31" s="63"/>
      <c r="QYX31" s="63"/>
      <c r="QYY31" s="63"/>
      <c r="QYZ31" s="63"/>
      <c r="QZA31" s="63"/>
      <c r="QZB31" s="63"/>
      <c r="QZC31" s="63"/>
      <c r="QZD31" s="63"/>
      <c r="QZE31" s="63"/>
      <c r="QZF31" s="63"/>
      <c r="QZG31" s="63"/>
      <c r="QZH31" s="63"/>
      <c r="QZI31" s="63"/>
      <c r="QZJ31" s="63"/>
      <c r="QZK31" s="63"/>
      <c r="QZL31" s="63"/>
      <c r="QZM31" s="63"/>
      <c r="QZN31" s="63"/>
      <c r="QZO31" s="63"/>
      <c r="QZP31" s="63"/>
      <c r="QZQ31" s="63"/>
      <c r="QZR31" s="63"/>
      <c r="QZS31" s="63"/>
      <c r="QZT31" s="63"/>
      <c r="QZU31" s="63"/>
      <c r="QZV31" s="63"/>
      <c r="QZW31" s="63"/>
      <c r="QZX31" s="63"/>
      <c r="QZY31" s="63"/>
      <c r="QZZ31" s="63"/>
      <c r="RAA31" s="63"/>
      <c r="RAB31" s="63"/>
      <c r="RAC31" s="63"/>
      <c r="RAD31" s="63"/>
      <c r="RAE31" s="63"/>
      <c r="RAF31" s="63"/>
      <c r="RAG31" s="63"/>
      <c r="RAH31" s="63"/>
      <c r="RAI31" s="63"/>
      <c r="RAJ31" s="63"/>
      <c r="RAK31" s="63"/>
      <c r="RAL31" s="63"/>
      <c r="RAM31" s="63"/>
      <c r="RAN31" s="63"/>
      <c r="RAO31" s="63"/>
      <c r="RAP31" s="63"/>
      <c r="RAQ31" s="63"/>
      <c r="RAR31" s="63"/>
      <c r="RAS31" s="63"/>
      <c r="RAT31" s="63"/>
      <c r="RAU31" s="63"/>
      <c r="RAV31" s="63"/>
      <c r="RAW31" s="63"/>
      <c r="RAX31" s="63"/>
      <c r="RAY31" s="63"/>
      <c r="RAZ31" s="63"/>
      <c r="RBA31" s="63"/>
      <c r="RBB31" s="63"/>
      <c r="RBC31" s="63"/>
      <c r="RBD31" s="63"/>
      <c r="RBE31" s="63"/>
      <c r="RBF31" s="63"/>
      <c r="RBG31" s="63"/>
      <c r="RBH31" s="63"/>
      <c r="RBI31" s="63"/>
      <c r="RBJ31" s="63"/>
      <c r="RBK31" s="63"/>
      <c r="RBL31" s="63"/>
      <c r="RBM31" s="63"/>
      <c r="RBN31" s="63"/>
      <c r="RBO31" s="63"/>
      <c r="RBP31" s="63"/>
      <c r="RBQ31" s="63"/>
      <c r="RBR31" s="63"/>
      <c r="RBS31" s="63"/>
      <c r="RBT31" s="63"/>
      <c r="RBU31" s="63"/>
      <c r="RBV31" s="63"/>
      <c r="RBW31" s="63"/>
      <c r="RBX31" s="63"/>
      <c r="RBY31" s="63"/>
      <c r="RBZ31" s="63"/>
      <c r="RCA31" s="63"/>
      <c r="RCB31" s="63"/>
      <c r="RCC31" s="63"/>
      <c r="RCD31" s="63"/>
      <c r="RCE31" s="63"/>
      <c r="RCF31" s="63"/>
      <c r="RCG31" s="63"/>
      <c r="RCH31" s="63"/>
      <c r="RCI31" s="63"/>
      <c r="RCJ31" s="63"/>
      <c r="RCK31" s="63"/>
      <c r="RCL31" s="63"/>
      <c r="RCM31" s="63"/>
      <c r="RCN31" s="63"/>
      <c r="RCO31" s="63"/>
      <c r="RCP31" s="63"/>
      <c r="RCQ31" s="63"/>
      <c r="RCR31" s="63"/>
      <c r="RCS31" s="63"/>
      <c r="RCT31" s="63"/>
      <c r="RCU31" s="63"/>
      <c r="RCV31" s="63"/>
      <c r="RCW31" s="63"/>
      <c r="RCX31" s="63"/>
      <c r="RCY31" s="63"/>
      <c r="RCZ31" s="63"/>
      <c r="RDA31" s="63"/>
      <c r="RDB31" s="63"/>
      <c r="RDC31" s="63"/>
      <c r="RDD31" s="63"/>
      <c r="RDE31" s="63"/>
      <c r="RDF31" s="63"/>
      <c r="RDG31" s="63"/>
      <c r="RDH31" s="63"/>
      <c r="RDI31" s="63"/>
      <c r="RDJ31" s="63"/>
      <c r="RDK31" s="63"/>
      <c r="RDL31" s="63"/>
      <c r="RDM31" s="63"/>
      <c r="RDN31" s="63"/>
      <c r="RDO31" s="63"/>
      <c r="RDP31" s="63"/>
      <c r="RDQ31" s="63"/>
      <c r="RDR31" s="63"/>
      <c r="RDS31" s="63"/>
      <c r="RDT31" s="63"/>
      <c r="RDU31" s="63"/>
      <c r="RDV31" s="63"/>
      <c r="RDW31" s="63"/>
      <c r="RDX31" s="63"/>
      <c r="RDY31" s="63"/>
      <c r="RDZ31" s="63"/>
      <c r="REA31" s="63"/>
      <c r="REB31" s="63"/>
      <c r="REC31" s="63"/>
      <c r="RED31" s="63"/>
      <c r="REE31" s="63"/>
      <c r="REF31" s="63"/>
      <c r="REG31" s="63"/>
      <c r="REH31" s="63"/>
      <c r="REI31" s="63"/>
      <c r="REJ31" s="63"/>
      <c r="REK31" s="63"/>
      <c r="REL31" s="63"/>
      <c r="REM31" s="63"/>
      <c r="REN31" s="63"/>
      <c r="REO31" s="63"/>
      <c r="REP31" s="63"/>
      <c r="REQ31" s="63"/>
      <c r="RER31" s="63"/>
      <c r="RES31" s="63"/>
      <c r="RET31" s="63"/>
      <c r="REU31" s="63"/>
      <c r="REV31" s="63"/>
      <c r="REW31" s="63"/>
      <c r="REX31" s="63"/>
      <c r="REY31" s="63"/>
      <c r="REZ31" s="63"/>
      <c r="RFA31" s="63"/>
      <c r="RFB31" s="63"/>
      <c r="RFC31" s="63"/>
      <c r="RFD31" s="63"/>
      <c r="RFE31" s="63"/>
      <c r="RFF31" s="63"/>
      <c r="RFG31" s="63"/>
      <c r="RFH31" s="63"/>
      <c r="RFI31" s="63"/>
      <c r="RFJ31" s="63"/>
      <c r="RFK31" s="63"/>
      <c r="RFL31" s="63"/>
      <c r="RFM31" s="63"/>
      <c r="RFN31" s="63"/>
      <c r="RFO31" s="63"/>
      <c r="RFP31" s="63"/>
      <c r="RFQ31" s="63"/>
      <c r="RFR31" s="63"/>
      <c r="RFS31" s="63"/>
      <c r="RFT31" s="63"/>
      <c r="RFU31" s="63"/>
      <c r="RFV31" s="63"/>
      <c r="RFW31" s="63"/>
      <c r="RFX31" s="63"/>
      <c r="RFY31" s="63"/>
      <c r="RFZ31" s="63"/>
      <c r="RGA31" s="63"/>
      <c r="RGB31" s="63"/>
      <c r="RGC31" s="63"/>
      <c r="RGD31" s="63"/>
      <c r="RGE31" s="63"/>
      <c r="RGF31" s="63"/>
      <c r="RGG31" s="63"/>
      <c r="RGH31" s="63"/>
      <c r="RGI31" s="63"/>
      <c r="RGJ31" s="63"/>
      <c r="RGK31" s="63"/>
      <c r="RGL31" s="63"/>
      <c r="RGM31" s="63"/>
      <c r="RGN31" s="63"/>
      <c r="RGO31" s="63"/>
      <c r="RGP31" s="63"/>
      <c r="RGQ31" s="63"/>
      <c r="RGR31" s="63"/>
      <c r="RGS31" s="63"/>
      <c r="RGT31" s="63"/>
      <c r="RGU31" s="63"/>
      <c r="RGV31" s="63"/>
      <c r="RGW31" s="63"/>
      <c r="RGX31" s="63"/>
      <c r="RGY31" s="63"/>
      <c r="RGZ31" s="63"/>
      <c r="RHA31" s="63"/>
      <c r="RHB31" s="63"/>
      <c r="RHC31" s="63"/>
      <c r="RHD31" s="63"/>
      <c r="RHE31" s="63"/>
      <c r="RHF31" s="63"/>
      <c r="RHG31" s="63"/>
      <c r="RHH31" s="63"/>
      <c r="RHI31" s="63"/>
      <c r="RHJ31" s="63"/>
      <c r="RHK31" s="63"/>
      <c r="RHL31" s="63"/>
      <c r="RHM31" s="63"/>
      <c r="RHN31" s="63"/>
      <c r="RHO31" s="63"/>
      <c r="RHP31" s="63"/>
      <c r="RHQ31" s="63"/>
      <c r="RHR31" s="63"/>
      <c r="RHS31" s="63"/>
      <c r="RHT31" s="63"/>
      <c r="RHU31" s="63"/>
      <c r="RHV31" s="63"/>
      <c r="RHW31" s="63"/>
      <c r="RHX31" s="63"/>
      <c r="RHY31" s="63"/>
      <c r="RHZ31" s="63"/>
      <c r="RIA31" s="63"/>
      <c r="RIB31" s="63"/>
      <c r="RIC31" s="63"/>
      <c r="RID31" s="63"/>
      <c r="RIE31" s="63"/>
      <c r="RIF31" s="63"/>
      <c r="RIG31" s="63"/>
      <c r="RIH31" s="63"/>
      <c r="RII31" s="63"/>
      <c r="RIJ31" s="63"/>
      <c r="RIK31" s="63"/>
      <c r="RIL31" s="63"/>
      <c r="RIM31" s="63"/>
      <c r="RIN31" s="63"/>
      <c r="RIO31" s="63"/>
      <c r="RIP31" s="63"/>
      <c r="RIQ31" s="63"/>
      <c r="RIR31" s="63"/>
      <c r="RIS31" s="63"/>
      <c r="RIT31" s="63"/>
      <c r="RIU31" s="63"/>
      <c r="RIV31" s="63"/>
      <c r="RIW31" s="63"/>
      <c r="RIX31" s="63"/>
      <c r="RIY31" s="63"/>
      <c r="RIZ31" s="63"/>
      <c r="RJA31" s="63"/>
      <c r="RJB31" s="63"/>
      <c r="RJC31" s="63"/>
      <c r="RJD31" s="63"/>
      <c r="RJE31" s="63"/>
      <c r="RJF31" s="63"/>
      <c r="RJG31" s="63"/>
      <c r="RJH31" s="63"/>
      <c r="RJI31" s="63"/>
      <c r="RJJ31" s="63"/>
      <c r="RJK31" s="63"/>
      <c r="RJL31" s="63"/>
      <c r="RJM31" s="63"/>
      <c r="RJN31" s="63"/>
      <c r="RJO31" s="63"/>
      <c r="RJP31" s="63"/>
      <c r="RJQ31" s="63"/>
      <c r="RJR31" s="63"/>
      <c r="RJS31" s="63"/>
      <c r="RJT31" s="63"/>
      <c r="RJU31" s="63"/>
      <c r="RJV31" s="63"/>
      <c r="RJW31" s="63"/>
      <c r="RJX31" s="63"/>
      <c r="RJY31" s="63"/>
      <c r="RJZ31" s="63"/>
      <c r="RKA31" s="63"/>
      <c r="RKB31" s="63"/>
      <c r="RKC31" s="63"/>
      <c r="RKD31" s="63"/>
      <c r="RKE31" s="63"/>
      <c r="RKF31" s="63"/>
      <c r="RKG31" s="63"/>
      <c r="RKH31" s="63"/>
      <c r="RKI31" s="63"/>
      <c r="RKJ31" s="63"/>
      <c r="RKK31" s="63"/>
      <c r="RKL31" s="63"/>
      <c r="RKM31" s="63"/>
      <c r="RKN31" s="63"/>
      <c r="RKO31" s="63"/>
      <c r="RKP31" s="63"/>
      <c r="RKQ31" s="63"/>
      <c r="RKR31" s="63"/>
      <c r="RKS31" s="63"/>
      <c r="RKT31" s="63"/>
      <c r="RKU31" s="63"/>
      <c r="RKV31" s="63"/>
      <c r="RKW31" s="63"/>
      <c r="RKX31" s="63"/>
      <c r="RKY31" s="63"/>
      <c r="RKZ31" s="63"/>
      <c r="RLA31" s="63"/>
      <c r="RLB31" s="63"/>
      <c r="RLC31" s="63"/>
      <c r="RLD31" s="63"/>
      <c r="RLE31" s="63"/>
      <c r="RLF31" s="63"/>
      <c r="RLG31" s="63"/>
      <c r="RLH31" s="63"/>
      <c r="RLI31" s="63"/>
      <c r="RLJ31" s="63"/>
      <c r="RLK31" s="63"/>
      <c r="RLL31" s="63"/>
      <c r="RLM31" s="63"/>
      <c r="RLN31" s="63"/>
      <c r="RLO31" s="63"/>
      <c r="RLP31" s="63"/>
      <c r="RLQ31" s="63"/>
      <c r="RLR31" s="63"/>
      <c r="RLS31" s="63"/>
      <c r="RLT31" s="63"/>
      <c r="RLU31" s="63"/>
      <c r="RLV31" s="63"/>
      <c r="RLW31" s="63"/>
      <c r="RLX31" s="63"/>
      <c r="RLY31" s="63"/>
      <c r="RLZ31" s="63"/>
      <c r="RMA31" s="63"/>
      <c r="RMB31" s="63"/>
      <c r="RMC31" s="63"/>
      <c r="RMD31" s="63"/>
      <c r="RME31" s="63"/>
      <c r="RMF31" s="63"/>
      <c r="RMG31" s="63"/>
      <c r="RMH31" s="63"/>
      <c r="RMI31" s="63"/>
      <c r="RMJ31" s="63"/>
      <c r="RMK31" s="63"/>
      <c r="RML31" s="63"/>
      <c r="RMM31" s="63"/>
      <c r="RMN31" s="63"/>
      <c r="RMO31" s="63"/>
      <c r="RMP31" s="63"/>
      <c r="RMQ31" s="63"/>
      <c r="RMR31" s="63"/>
      <c r="RMS31" s="63"/>
      <c r="RMT31" s="63"/>
      <c r="RMU31" s="63"/>
      <c r="RMV31" s="63"/>
      <c r="RMW31" s="63"/>
      <c r="RMX31" s="63"/>
      <c r="RMY31" s="63"/>
      <c r="RMZ31" s="63"/>
      <c r="RNA31" s="63"/>
      <c r="RNB31" s="63"/>
      <c r="RNC31" s="63"/>
      <c r="RND31" s="63"/>
      <c r="RNE31" s="63"/>
      <c r="RNF31" s="63"/>
      <c r="RNG31" s="63"/>
      <c r="RNH31" s="63"/>
      <c r="RNI31" s="63"/>
      <c r="RNJ31" s="63"/>
      <c r="RNK31" s="63"/>
      <c r="RNL31" s="63"/>
      <c r="RNM31" s="63"/>
      <c r="RNN31" s="63"/>
      <c r="RNO31" s="63"/>
      <c r="RNP31" s="63"/>
      <c r="RNQ31" s="63"/>
      <c r="RNR31" s="63"/>
      <c r="RNS31" s="63"/>
      <c r="RNT31" s="63"/>
      <c r="RNU31" s="63"/>
      <c r="RNV31" s="63"/>
      <c r="RNW31" s="63"/>
      <c r="RNX31" s="63"/>
      <c r="RNY31" s="63"/>
      <c r="RNZ31" s="63"/>
      <c r="ROA31" s="63"/>
      <c r="ROB31" s="63"/>
      <c r="ROC31" s="63"/>
      <c r="ROD31" s="63"/>
      <c r="ROE31" s="63"/>
      <c r="ROF31" s="63"/>
      <c r="ROG31" s="63"/>
      <c r="ROH31" s="63"/>
      <c r="ROI31" s="63"/>
      <c r="ROJ31" s="63"/>
      <c r="ROK31" s="63"/>
      <c r="ROL31" s="63"/>
      <c r="ROM31" s="63"/>
      <c r="RON31" s="63"/>
      <c r="ROO31" s="63"/>
      <c r="ROP31" s="63"/>
      <c r="ROQ31" s="63"/>
      <c r="ROR31" s="63"/>
      <c r="ROS31" s="63"/>
      <c r="ROT31" s="63"/>
      <c r="ROU31" s="63"/>
      <c r="ROV31" s="63"/>
      <c r="ROW31" s="63"/>
      <c r="ROX31" s="63"/>
      <c r="ROY31" s="63"/>
      <c r="ROZ31" s="63"/>
      <c r="RPA31" s="63"/>
      <c r="RPB31" s="63"/>
      <c r="RPC31" s="63"/>
      <c r="RPD31" s="63"/>
      <c r="RPE31" s="63"/>
      <c r="RPF31" s="63"/>
      <c r="RPG31" s="63"/>
      <c r="RPH31" s="63"/>
      <c r="RPI31" s="63"/>
      <c r="RPJ31" s="63"/>
      <c r="RPK31" s="63"/>
      <c r="RPL31" s="63"/>
      <c r="RPM31" s="63"/>
      <c r="RPN31" s="63"/>
      <c r="RPO31" s="63"/>
      <c r="RPP31" s="63"/>
      <c r="RPQ31" s="63"/>
      <c r="RPR31" s="63"/>
      <c r="RPS31" s="63"/>
      <c r="RPT31" s="63"/>
      <c r="RPU31" s="63"/>
      <c r="RPV31" s="63"/>
      <c r="RPW31" s="63"/>
      <c r="RPX31" s="63"/>
      <c r="RPY31" s="63"/>
      <c r="RPZ31" s="63"/>
      <c r="RQA31" s="63"/>
      <c r="RQB31" s="63"/>
      <c r="RQC31" s="63"/>
      <c r="RQD31" s="63"/>
      <c r="RQE31" s="63"/>
      <c r="RQF31" s="63"/>
      <c r="RQG31" s="63"/>
      <c r="RQH31" s="63"/>
      <c r="RQI31" s="63"/>
      <c r="RQJ31" s="63"/>
      <c r="RQK31" s="63"/>
      <c r="RQL31" s="63"/>
      <c r="RQM31" s="63"/>
      <c r="RQN31" s="63"/>
      <c r="RQO31" s="63"/>
      <c r="RQP31" s="63"/>
      <c r="RQQ31" s="63"/>
      <c r="RQR31" s="63"/>
      <c r="RQS31" s="63"/>
      <c r="RQT31" s="63"/>
      <c r="RQU31" s="63"/>
      <c r="RQV31" s="63"/>
      <c r="RQW31" s="63"/>
      <c r="RQX31" s="63"/>
      <c r="RQY31" s="63"/>
      <c r="RQZ31" s="63"/>
      <c r="RRA31" s="63"/>
      <c r="RRB31" s="63"/>
      <c r="RRC31" s="63"/>
      <c r="RRD31" s="63"/>
      <c r="RRE31" s="63"/>
      <c r="RRF31" s="63"/>
      <c r="RRG31" s="63"/>
      <c r="RRH31" s="63"/>
      <c r="RRI31" s="63"/>
      <c r="RRJ31" s="63"/>
      <c r="RRK31" s="63"/>
      <c r="RRL31" s="63"/>
      <c r="RRM31" s="63"/>
      <c r="RRN31" s="63"/>
      <c r="RRO31" s="63"/>
      <c r="RRP31" s="63"/>
      <c r="RRQ31" s="63"/>
      <c r="RRR31" s="63"/>
      <c r="RRS31" s="63"/>
      <c r="RRT31" s="63"/>
      <c r="RRU31" s="63"/>
      <c r="RRV31" s="63"/>
      <c r="RRW31" s="63"/>
      <c r="RRX31" s="63"/>
      <c r="RRY31" s="63"/>
      <c r="RRZ31" s="63"/>
      <c r="RSA31" s="63"/>
      <c r="RSB31" s="63"/>
      <c r="RSC31" s="63"/>
      <c r="RSD31" s="63"/>
      <c r="RSE31" s="63"/>
      <c r="RSF31" s="63"/>
      <c r="RSG31" s="63"/>
      <c r="RSH31" s="63"/>
      <c r="RSI31" s="63"/>
      <c r="RSJ31" s="63"/>
      <c r="RSK31" s="63"/>
      <c r="RSL31" s="63"/>
      <c r="RSM31" s="63"/>
      <c r="RSN31" s="63"/>
      <c r="RSO31" s="63"/>
      <c r="RSP31" s="63"/>
      <c r="RSQ31" s="63"/>
      <c r="RSR31" s="63"/>
      <c r="RSS31" s="63"/>
      <c r="RST31" s="63"/>
      <c r="RSU31" s="63"/>
      <c r="RSV31" s="63"/>
      <c r="RSW31" s="63"/>
      <c r="RSX31" s="63"/>
      <c r="RSY31" s="63"/>
      <c r="RSZ31" s="63"/>
      <c r="RTA31" s="63"/>
      <c r="RTB31" s="63"/>
      <c r="RTC31" s="63"/>
      <c r="RTD31" s="63"/>
      <c r="RTE31" s="63"/>
      <c r="RTF31" s="63"/>
      <c r="RTG31" s="63"/>
      <c r="RTH31" s="63"/>
      <c r="RTI31" s="63"/>
      <c r="RTJ31" s="63"/>
      <c r="RTK31" s="63"/>
      <c r="RTL31" s="63"/>
      <c r="RTM31" s="63"/>
      <c r="RTN31" s="63"/>
      <c r="RTO31" s="63"/>
      <c r="RTP31" s="63"/>
      <c r="RTQ31" s="63"/>
      <c r="RTR31" s="63"/>
      <c r="RTS31" s="63"/>
      <c r="RTT31" s="63"/>
      <c r="RTU31" s="63"/>
      <c r="RTV31" s="63"/>
      <c r="RTW31" s="63"/>
      <c r="RTX31" s="63"/>
      <c r="RTY31" s="63"/>
      <c r="RTZ31" s="63"/>
      <c r="RUA31" s="63"/>
      <c r="RUB31" s="63"/>
      <c r="RUC31" s="63"/>
      <c r="RUD31" s="63"/>
      <c r="RUE31" s="63"/>
      <c r="RUF31" s="63"/>
      <c r="RUG31" s="63"/>
      <c r="RUH31" s="63"/>
      <c r="RUI31" s="63"/>
      <c r="RUJ31" s="63"/>
      <c r="RUK31" s="63"/>
      <c r="RUL31" s="63"/>
      <c r="RUM31" s="63"/>
      <c r="RUN31" s="63"/>
      <c r="RUO31" s="63"/>
      <c r="RUP31" s="63"/>
      <c r="RUQ31" s="63"/>
      <c r="RUR31" s="63"/>
      <c r="RUS31" s="63"/>
      <c r="RUT31" s="63"/>
      <c r="RUU31" s="63"/>
      <c r="RUV31" s="63"/>
      <c r="RUW31" s="63"/>
      <c r="RUX31" s="63"/>
      <c r="RUY31" s="63"/>
      <c r="RUZ31" s="63"/>
      <c r="RVA31" s="63"/>
      <c r="RVB31" s="63"/>
      <c r="RVC31" s="63"/>
      <c r="RVD31" s="63"/>
      <c r="RVE31" s="63"/>
      <c r="RVF31" s="63"/>
      <c r="RVG31" s="63"/>
      <c r="RVH31" s="63"/>
      <c r="RVI31" s="63"/>
      <c r="RVJ31" s="63"/>
      <c r="RVK31" s="63"/>
      <c r="RVL31" s="63"/>
      <c r="RVM31" s="63"/>
      <c r="RVN31" s="63"/>
      <c r="RVO31" s="63"/>
      <c r="RVP31" s="63"/>
      <c r="RVQ31" s="63"/>
      <c r="RVR31" s="63"/>
      <c r="RVS31" s="63"/>
      <c r="RVT31" s="63"/>
      <c r="RVU31" s="63"/>
      <c r="RVV31" s="63"/>
      <c r="RVW31" s="63"/>
      <c r="RVX31" s="63"/>
      <c r="RVY31" s="63"/>
      <c r="RVZ31" s="63"/>
      <c r="RWA31" s="63"/>
      <c r="RWB31" s="63"/>
      <c r="RWC31" s="63"/>
      <c r="RWD31" s="63"/>
      <c r="RWE31" s="63"/>
      <c r="RWF31" s="63"/>
      <c r="RWG31" s="63"/>
      <c r="RWH31" s="63"/>
      <c r="RWI31" s="63"/>
      <c r="RWJ31" s="63"/>
      <c r="RWK31" s="63"/>
      <c r="RWL31" s="63"/>
      <c r="RWM31" s="63"/>
      <c r="RWN31" s="63"/>
      <c r="RWO31" s="63"/>
      <c r="RWP31" s="63"/>
      <c r="RWQ31" s="63"/>
      <c r="RWR31" s="63"/>
      <c r="RWS31" s="63"/>
      <c r="RWT31" s="63"/>
      <c r="RWU31" s="63"/>
      <c r="RWV31" s="63"/>
      <c r="RWW31" s="63"/>
      <c r="RWX31" s="63"/>
      <c r="RWY31" s="63"/>
      <c r="RWZ31" s="63"/>
      <c r="RXA31" s="63"/>
      <c r="RXB31" s="63"/>
      <c r="RXC31" s="63"/>
      <c r="RXD31" s="63"/>
      <c r="RXE31" s="63"/>
      <c r="RXF31" s="63"/>
      <c r="RXG31" s="63"/>
      <c r="RXH31" s="63"/>
      <c r="RXI31" s="63"/>
      <c r="RXJ31" s="63"/>
      <c r="RXK31" s="63"/>
      <c r="RXL31" s="63"/>
      <c r="RXM31" s="63"/>
      <c r="RXN31" s="63"/>
      <c r="RXO31" s="63"/>
      <c r="RXP31" s="63"/>
      <c r="RXQ31" s="63"/>
      <c r="RXR31" s="63"/>
      <c r="RXS31" s="63"/>
      <c r="RXT31" s="63"/>
      <c r="RXU31" s="63"/>
      <c r="RXV31" s="63"/>
      <c r="RXW31" s="63"/>
      <c r="RXX31" s="63"/>
      <c r="RXY31" s="63"/>
      <c r="RXZ31" s="63"/>
      <c r="RYA31" s="63"/>
      <c r="RYB31" s="63"/>
      <c r="RYC31" s="63"/>
      <c r="RYD31" s="63"/>
      <c r="RYE31" s="63"/>
      <c r="RYF31" s="63"/>
      <c r="RYG31" s="63"/>
      <c r="RYH31" s="63"/>
      <c r="RYI31" s="63"/>
      <c r="RYJ31" s="63"/>
      <c r="RYK31" s="63"/>
      <c r="RYL31" s="63"/>
      <c r="RYM31" s="63"/>
      <c r="RYN31" s="63"/>
      <c r="RYO31" s="63"/>
      <c r="RYP31" s="63"/>
      <c r="RYQ31" s="63"/>
      <c r="RYR31" s="63"/>
      <c r="RYS31" s="63"/>
      <c r="RYT31" s="63"/>
      <c r="RYU31" s="63"/>
      <c r="RYV31" s="63"/>
      <c r="RYW31" s="63"/>
      <c r="RYX31" s="63"/>
      <c r="RYY31" s="63"/>
      <c r="RYZ31" s="63"/>
      <c r="RZA31" s="63"/>
      <c r="RZB31" s="63"/>
      <c r="RZC31" s="63"/>
      <c r="RZD31" s="63"/>
      <c r="RZE31" s="63"/>
      <c r="RZF31" s="63"/>
      <c r="RZG31" s="63"/>
      <c r="RZH31" s="63"/>
      <c r="RZI31" s="63"/>
      <c r="RZJ31" s="63"/>
      <c r="RZK31" s="63"/>
      <c r="RZL31" s="63"/>
      <c r="RZM31" s="63"/>
      <c r="RZN31" s="63"/>
      <c r="RZO31" s="63"/>
      <c r="RZP31" s="63"/>
      <c r="RZQ31" s="63"/>
      <c r="RZR31" s="63"/>
      <c r="RZS31" s="63"/>
      <c r="RZT31" s="63"/>
      <c r="RZU31" s="63"/>
      <c r="RZV31" s="63"/>
      <c r="RZW31" s="63"/>
      <c r="RZX31" s="63"/>
      <c r="RZY31" s="63"/>
      <c r="RZZ31" s="63"/>
      <c r="SAA31" s="63"/>
      <c r="SAB31" s="63"/>
      <c r="SAC31" s="63"/>
      <c r="SAD31" s="63"/>
      <c r="SAE31" s="63"/>
      <c r="SAF31" s="63"/>
      <c r="SAG31" s="63"/>
      <c r="SAH31" s="63"/>
      <c r="SAI31" s="63"/>
      <c r="SAJ31" s="63"/>
      <c r="SAK31" s="63"/>
      <c r="SAL31" s="63"/>
      <c r="SAM31" s="63"/>
      <c r="SAN31" s="63"/>
      <c r="SAO31" s="63"/>
      <c r="SAP31" s="63"/>
      <c r="SAQ31" s="63"/>
      <c r="SAR31" s="63"/>
      <c r="SAS31" s="63"/>
      <c r="SAT31" s="63"/>
      <c r="SAU31" s="63"/>
      <c r="SAV31" s="63"/>
      <c r="SAW31" s="63"/>
      <c r="SAX31" s="63"/>
      <c r="SAY31" s="63"/>
      <c r="SAZ31" s="63"/>
      <c r="SBA31" s="63"/>
      <c r="SBB31" s="63"/>
      <c r="SBC31" s="63"/>
      <c r="SBD31" s="63"/>
      <c r="SBE31" s="63"/>
      <c r="SBF31" s="63"/>
      <c r="SBG31" s="63"/>
      <c r="SBH31" s="63"/>
      <c r="SBI31" s="63"/>
      <c r="SBJ31" s="63"/>
      <c r="SBK31" s="63"/>
      <c r="SBL31" s="63"/>
      <c r="SBM31" s="63"/>
      <c r="SBN31" s="63"/>
      <c r="SBO31" s="63"/>
      <c r="SBP31" s="63"/>
      <c r="SBQ31" s="63"/>
      <c r="SBR31" s="63"/>
      <c r="SBS31" s="63"/>
      <c r="SBT31" s="63"/>
      <c r="SBU31" s="63"/>
      <c r="SBV31" s="63"/>
      <c r="SBW31" s="63"/>
      <c r="SBX31" s="63"/>
      <c r="SBY31" s="63"/>
      <c r="SBZ31" s="63"/>
      <c r="SCA31" s="63"/>
      <c r="SCB31" s="63"/>
      <c r="SCC31" s="63"/>
      <c r="SCD31" s="63"/>
      <c r="SCE31" s="63"/>
      <c r="SCF31" s="63"/>
      <c r="SCG31" s="63"/>
      <c r="SCH31" s="63"/>
      <c r="SCI31" s="63"/>
      <c r="SCJ31" s="63"/>
      <c r="SCK31" s="63"/>
      <c r="SCL31" s="63"/>
      <c r="SCM31" s="63"/>
      <c r="SCN31" s="63"/>
      <c r="SCO31" s="63"/>
      <c r="SCP31" s="63"/>
      <c r="SCQ31" s="63"/>
      <c r="SCR31" s="63"/>
      <c r="SCS31" s="63"/>
      <c r="SCT31" s="63"/>
      <c r="SCU31" s="63"/>
      <c r="SCV31" s="63"/>
      <c r="SCW31" s="63"/>
      <c r="SCX31" s="63"/>
      <c r="SCY31" s="63"/>
      <c r="SCZ31" s="63"/>
      <c r="SDA31" s="63"/>
      <c r="SDB31" s="63"/>
      <c r="SDC31" s="63"/>
      <c r="SDD31" s="63"/>
      <c r="SDE31" s="63"/>
      <c r="SDF31" s="63"/>
      <c r="SDG31" s="63"/>
      <c r="SDH31" s="63"/>
      <c r="SDI31" s="63"/>
      <c r="SDJ31" s="63"/>
      <c r="SDK31" s="63"/>
      <c r="SDL31" s="63"/>
      <c r="SDM31" s="63"/>
      <c r="SDN31" s="63"/>
      <c r="SDO31" s="63"/>
      <c r="SDP31" s="63"/>
      <c r="SDQ31" s="63"/>
      <c r="SDR31" s="63"/>
      <c r="SDS31" s="63"/>
      <c r="SDT31" s="63"/>
      <c r="SDU31" s="63"/>
      <c r="SDV31" s="63"/>
      <c r="SDW31" s="63"/>
      <c r="SDX31" s="63"/>
      <c r="SDY31" s="63"/>
      <c r="SDZ31" s="63"/>
      <c r="SEA31" s="63"/>
      <c r="SEB31" s="63"/>
      <c r="SEC31" s="63"/>
      <c r="SED31" s="63"/>
      <c r="SEE31" s="63"/>
      <c r="SEF31" s="63"/>
      <c r="SEG31" s="63"/>
      <c r="SEH31" s="63"/>
      <c r="SEI31" s="63"/>
      <c r="SEJ31" s="63"/>
      <c r="SEK31" s="63"/>
      <c r="SEL31" s="63"/>
      <c r="SEM31" s="63"/>
      <c r="SEN31" s="63"/>
      <c r="SEO31" s="63"/>
      <c r="SEP31" s="63"/>
      <c r="SEQ31" s="63"/>
      <c r="SER31" s="63"/>
      <c r="SES31" s="63"/>
      <c r="SET31" s="63"/>
      <c r="SEU31" s="63"/>
      <c r="SEV31" s="63"/>
      <c r="SEW31" s="63"/>
      <c r="SEX31" s="63"/>
      <c r="SEY31" s="63"/>
      <c r="SEZ31" s="63"/>
      <c r="SFA31" s="63"/>
      <c r="SFB31" s="63"/>
      <c r="SFC31" s="63"/>
      <c r="SFD31" s="63"/>
      <c r="SFE31" s="63"/>
      <c r="SFF31" s="63"/>
      <c r="SFG31" s="63"/>
      <c r="SFH31" s="63"/>
      <c r="SFI31" s="63"/>
      <c r="SFJ31" s="63"/>
      <c r="SFK31" s="63"/>
      <c r="SFL31" s="63"/>
      <c r="SFM31" s="63"/>
      <c r="SFN31" s="63"/>
      <c r="SFO31" s="63"/>
      <c r="SFP31" s="63"/>
      <c r="SFQ31" s="63"/>
      <c r="SFR31" s="63"/>
      <c r="SFS31" s="63"/>
      <c r="SFT31" s="63"/>
      <c r="SFU31" s="63"/>
      <c r="SFV31" s="63"/>
      <c r="SFW31" s="63"/>
      <c r="SFX31" s="63"/>
      <c r="SFY31" s="63"/>
      <c r="SFZ31" s="63"/>
      <c r="SGA31" s="63"/>
      <c r="SGB31" s="63"/>
      <c r="SGC31" s="63"/>
      <c r="SGD31" s="63"/>
      <c r="SGE31" s="63"/>
      <c r="SGF31" s="63"/>
      <c r="SGG31" s="63"/>
      <c r="SGH31" s="63"/>
      <c r="SGI31" s="63"/>
      <c r="SGJ31" s="63"/>
      <c r="SGK31" s="63"/>
      <c r="SGL31" s="63"/>
      <c r="SGM31" s="63"/>
      <c r="SGN31" s="63"/>
      <c r="SGO31" s="63"/>
      <c r="SGP31" s="63"/>
      <c r="SGQ31" s="63"/>
      <c r="SGR31" s="63"/>
      <c r="SGS31" s="63"/>
      <c r="SGT31" s="63"/>
      <c r="SGU31" s="63"/>
      <c r="SGV31" s="63"/>
      <c r="SGW31" s="63"/>
      <c r="SGX31" s="63"/>
      <c r="SGY31" s="63"/>
      <c r="SGZ31" s="63"/>
      <c r="SHA31" s="63"/>
      <c r="SHB31" s="63"/>
      <c r="SHC31" s="63"/>
      <c r="SHD31" s="63"/>
      <c r="SHE31" s="63"/>
      <c r="SHF31" s="63"/>
      <c r="SHG31" s="63"/>
      <c r="SHH31" s="63"/>
      <c r="SHI31" s="63"/>
      <c r="SHJ31" s="63"/>
      <c r="SHK31" s="63"/>
      <c r="SHL31" s="63"/>
      <c r="SHM31" s="63"/>
      <c r="SHN31" s="63"/>
      <c r="SHO31" s="63"/>
      <c r="SHP31" s="63"/>
      <c r="SHQ31" s="63"/>
      <c r="SHR31" s="63"/>
      <c r="SHS31" s="63"/>
      <c r="SHT31" s="63"/>
      <c r="SHU31" s="63"/>
      <c r="SHV31" s="63"/>
      <c r="SHW31" s="63"/>
      <c r="SHX31" s="63"/>
      <c r="SHY31" s="63"/>
      <c r="SHZ31" s="63"/>
      <c r="SIA31" s="63"/>
      <c r="SIB31" s="63"/>
      <c r="SIC31" s="63"/>
      <c r="SID31" s="63"/>
      <c r="SIE31" s="63"/>
      <c r="SIF31" s="63"/>
      <c r="SIG31" s="63"/>
      <c r="SIH31" s="63"/>
      <c r="SII31" s="63"/>
      <c r="SIJ31" s="63"/>
      <c r="SIK31" s="63"/>
      <c r="SIL31" s="63"/>
      <c r="SIM31" s="63"/>
      <c r="SIN31" s="63"/>
      <c r="SIO31" s="63"/>
      <c r="SIP31" s="63"/>
      <c r="SIQ31" s="63"/>
      <c r="SIR31" s="63"/>
      <c r="SIS31" s="63"/>
      <c r="SIT31" s="63"/>
      <c r="SIU31" s="63"/>
      <c r="SIV31" s="63"/>
      <c r="SIW31" s="63"/>
      <c r="SIX31" s="63"/>
      <c r="SIY31" s="63"/>
      <c r="SIZ31" s="63"/>
      <c r="SJA31" s="63"/>
      <c r="SJB31" s="63"/>
      <c r="SJC31" s="63"/>
      <c r="SJD31" s="63"/>
      <c r="SJE31" s="63"/>
      <c r="SJF31" s="63"/>
      <c r="SJG31" s="63"/>
      <c r="SJH31" s="63"/>
      <c r="SJI31" s="63"/>
      <c r="SJJ31" s="63"/>
      <c r="SJK31" s="63"/>
      <c r="SJL31" s="63"/>
      <c r="SJM31" s="63"/>
      <c r="SJN31" s="63"/>
      <c r="SJO31" s="63"/>
      <c r="SJP31" s="63"/>
      <c r="SJQ31" s="63"/>
      <c r="SJR31" s="63"/>
      <c r="SJS31" s="63"/>
      <c r="SJT31" s="63"/>
      <c r="SJU31" s="63"/>
      <c r="SJV31" s="63"/>
      <c r="SJW31" s="63"/>
      <c r="SJX31" s="63"/>
      <c r="SJY31" s="63"/>
      <c r="SJZ31" s="63"/>
      <c r="SKA31" s="63"/>
      <c r="SKB31" s="63"/>
      <c r="SKC31" s="63"/>
      <c r="SKD31" s="63"/>
      <c r="SKE31" s="63"/>
      <c r="SKF31" s="63"/>
      <c r="SKG31" s="63"/>
      <c r="SKH31" s="63"/>
      <c r="SKI31" s="63"/>
      <c r="SKJ31" s="63"/>
      <c r="SKK31" s="63"/>
      <c r="SKL31" s="63"/>
      <c r="SKM31" s="63"/>
      <c r="SKN31" s="63"/>
      <c r="SKO31" s="63"/>
      <c r="SKP31" s="63"/>
      <c r="SKQ31" s="63"/>
      <c r="SKR31" s="63"/>
      <c r="SKS31" s="63"/>
      <c r="SKT31" s="63"/>
      <c r="SKU31" s="63"/>
      <c r="SKV31" s="63"/>
      <c r="SKW31" s="63"/>
      <c r="SKX31" s="63"/>
      <c r="SKY31" s="63"/>
      <c r="SKZ31" s="63"/>
      <c r="SLA31" s="63"/>
      <c r="SLB31" s="63"/>
      <c r="SLC31" s="63"/>
      <c r="SLD31" s="63"/>
      <c r="SLE31" s="63"/>
      <c r="SLF31" s="63"/>
      <c r="SLG31" s="63"/>
      <c r="SLH31" s="63"/>
      <c r="SLI31" s="63"/>
      <c r="SLJ31" s="63"/>
      <c r="SLK31" s="63"/>
      <c r="SLL31" s="63"/>
      <c r="SLM31" s="63"/>
      <c r="SLN31" s="63"/>
      <c r="SLO31" s="63"/>
      <c r="SLP31" s="63"/>
      <c r="SLQ31" s="63"/>
      <c r="SLR31" s="63"/>
      <c r="SLS31" s="63"/>
      <c r="SLT31" s="63"/>
      <c r="SLU31" s="63"/>
      <c r="SLV31" s="63"/>
      <c r="SLW31" s="63"/>
      <c r="SLX31" s="63"/>
      <c r="SLY31" s="63"/>
      <c r="SLZ31" s="63"/>
      <c r="SMA31" s="63"/>
      <c r="SMB31" s="63"/>
      <c r="SMC31" s="63"/>
      <c r="SMD31" s="63"/>
      <c r="SME31" s="63"/>
      <c r="SMF31" s="63"/>
      <c r="SMG31" s="63"/>
      <c r="SMH31" s="63"/>
      <c r="SMI31" s="63"/>
      <c r="SMJ31" s="63"/>
      <c r="SMK31" s="63"/>
      <c r="SML31" s="63"/>
      <c r="SMM31" s="63"/>
      <c r="SMN31" s="63"/>
      <c r="SMO31" s="63"/>
      <c r="SMP31" s="63"/>
      <c r="SMQ31" s="63"/>
      <c r="SMR31" s="63"/>
      <c r="SMS31" s="63"/>
      <c r="SMT31" s="63"/>
      <c r="SMU31" s="63"/>
      <c r="SMV31" s="63"/>
      <c r="SMW31" s="63"/>
      <c r="SMX31" s="63"/>
      <c r="SMY31" s="63"/>
      <c r="SMZ31" s="63"/>
      <c r="SNA31" s="63"/>
      <c r="SNB31" s="63"/>
      <c r="SNC31" s="63"/>
      <c r="SND31" s="63"/>
      <c r="SNE31" s="63"/>
      <c r="SNF31" s="63"/>
      <c r="SNG31" s="63"/>
      <c r="SNH31" s="63"/>
      <c r="SNI31" s="63"/>
      <c r="SNJ31" s="63"/>
      <c r="SNK31" s="63"/>
      <c r="SNL31" s="63"/>
      <c r="SNM31" s="63"/>
      <c r="SNN31" s="63"/>
      <c r="SNO31" s="63"/>
      <c r="SNP31" s="63"/>
      <c r="SNQ31" s="63"/>
      <c r="SNR31" s="63"/>
      <c r="SNS31" s="63"/>
      <c r="SNT31" s="63"/>
      <c r="SNU31" s="63"/>
      <c r="SNV31" s="63"/>
      <c r="SNW31" s="63"/>
      <c r="SNX31" s="63"/>
      <c r="SNY31" s="63"/>
      <c r="SNZ31" s="63"/>
      <c r="SOA31" s="63"/>
      <c r="SOB31" s="63"/>
      <c r="SOC31" s="63"/>
      <c r="SOD31" s="63"/>
      <c r="SOE31" s="63"/>
      <c r="SOF31" s="63"/>
      <c r="SOG31" s="63"/>
      <c r="SOH31" s="63"/>
      <c r="SOI31" s="63"/>
      <c r="SOJ31" s="63"/>
      <c r="SOK31" s="63"/>
      <c r="SOL31" s="63"/>
      <c r="SOM31" s="63"/>
      <c r="SON31" s="63"/>
      <c r="SOO31" s="63"/>
      <c r="SOP31" s="63"/>
      <c r="SOQ31" s="63"/>
      <c r="SOR31" s="63"/>
      <c r="SOS31" s="63"/>
      <c r="SOT31" s="63"/>
      <c r="SOU31" s="63"/>
      <c r="SOV31" s="63"/>
      <c r="SOW31" s="63"/>
      <c r="SOX31" s="63"/>
      <c r="SOY31" s="63"/>
      <c r="SOZ31" s="63"/>
      <c r="SPA31" s="63"/>
      <c r="SPB31" s="63"/>
      <c r="SPC31" s="63"/>
      <c r="SPD31" s="63"/>
      <c r="SPE31" s="63"/>
      <c r="SPF31" s="63"/>
      <c r="SPG31" s="63"/>
      <c r="SPH31" s="63"/>
      <c r="SPI31" s="63"/>
      <c r="SPJ31" s="63"/>
      <c r="SPK31" s="63"/>
      <c r="SPL31" s="63"/>
      <c r="SPM31" s="63"/>
      <c r="SPN31" s="63"/>
      <c r="SPO31" s="63"/>
      <c r="SPP31" s="63"/>
      <c r="SPQ31" s="63"/>
      <c r="SPR31" s="63"/>
      <c r="SPS31" s="63"/>
      <c r="SPT31" s="63"/>
      <c r="SPU31" s="63"/>
      <c r="SPV31" s="63"/>
      <c r="SPW31" s="63"/>
      <c r="SPX31" s="63"/>
      <c r="SPY31" s="63"/>
      <c r="SPZ31" s="63"/>
      <c r="SQA31" s="63"/>
      <c r="SQB31" s="63"/>
      <c r="SQC31" s="63"/>
      <c r="SQD31" s="63"/>
      <c r="SQE31" s="63"/>
      <c r="SQF31" s="63"/>
      <c r="SQG31" s="63"/>
      <c r="SQH31" s="63"/>
      <c r="SQI31" s="63"/>
      <c r="SQJ31" s="63"/>
      <c r="SQK31" s="63"/>
      <c r="SQL31" s="63"/>
      <c r="SQM31" s="63"/>
      <c r="SQN31" s="63"/>
      <c r="SQO31" s="63"/>
      <c r="SQP31" s="63"/>
      <c r="SQQ31" s="63"/>
      <c r="SQR31" s="63"/>
      <c r="SQS31" s="63"/>
      <c r="SQT31" s="63"/>
      <c r="SQU31" s="63"/>
      <c r="SQV31" s="63"/>
      <c r="SQW31" s="63"/>
      <c r="SQX31" s="63"/>
      <c r="SQY31" s="63"/>
      <c r="SQZ31" s="63"/>
      <c r="SRA31" s="63"/>
      <c r="SRB31" s="63"/>
      <c r="SRC31" s="63"/>
      <c r="SRD31" s="63"/>
      <c r="SRE31" s="63"/>
      <c r="SRF31" s="63"/>
      <c r="SRG31" s="63"/>
      <c r="SRH31" s="63"/>
      <c r="SRI31" s="63"/>
      <c r="SRJ31" s="63"/>
      <c r="SRK31" s="63"/>
      <c r="SRL31" s="63"/>
      <c r="SRM31" s="63"/>
      <c r="SRN31" s="63"/>
      <c r="SRO31" s="63"/>
      <c r="SRP31" s="63"/>
      <c r="SRQ31" s="63"/>
      <c r="SRR31" s="63"/>
      <c r="SRS31" s="63"/>
      <c r="SRT31" s="63"/>
      <c r="SRU31" s="63"/>
      <c r="SRV31" s="63"/>
      <c r="SRW31" s="63"/>
      <c r="SRX31" s="63"/>
      <c r="SRY31" s="63"/>
      <c r="SRZ31" s="63"/>
      <c r="SSA31" s="63"/>
      <c r="SSB31" s="63"/>
      <c r="SSC31" s="63"/>
      <c r="SSD31" s="63"/>
      <c r="SSE31" s="63"/>
      <c r="SSF31" s="63"/>
      <c r="SSG31" s="63"/>
      <c r="SSH31" s="63"/>
      <c r="SSI31" s="63"/>
      <c r="SSJ31" s="63"/>
      <c r="SSK31" s="63"/>
      <c r="SSL31" s="63"/>
      <c r="SSM31" s="63"/>
      <c r="SSN31" s="63"/>
      <c r="SSO31" s="63"/>
      <c r="SSP31" s="63"/>
      <c r="SSQ31" s="63"/>
      <c r="SSR31" s="63"/>
      <c r="SSS31" s="63"/>
      <c r="SST31" s="63"/>
      <c r="SSU31" s="63"/>
      <c r="SSV31" s="63"/>
      <c r="SSW31" s="63"/>
      <c r="SSX31" s="63"/>
      <c r="SSY31" s="63"/>
      <c r="SSZ31" s="63"/>
      <c r="STA31" s="63"/>
      <c r="STB31" s="63"/>
      <c r="STC31" s="63"/>
      <c r="STD31" s="63"/>
      <c r="STE31" s="63"/>
      <c r="STF31" s="63"/>
      <c r="STG31" s="63"/>
      <c r="STH31" s="63"/>
      <c r="STI31" s="63"/>
      <c r="STJ31" s="63"/>
      <c r="STK31" s="63"/>
      <c r="STL31" s="63"/>
      <c r="STM31" s="63"/>
      <c r="STN31" s="63"/>
      <c r="STO31" s="63"/>
      <c r="STP31" s="63"/>
      <c r="STQ31" s="63"/>
      <c r="STR31" s="63"/>
      <c r="STS31" s="63"/>
      <c r="STT31" s="63"/>
      <c r="STU31" s="63"/>
      <c r="STV31" s="63"/>
      <c r="STW31" s="63"/>
      <c r="STX31" s="63"/>
      <c r="STY31" s="63"/>
      <c r="STZ31" s="63"/>
      <c r="SUA31" s="63"/>
      <c r="SUB31" s="63"/>
      <c r="SUC31" s="63"/>
      <c r="SUD31" s="63"/>
      <c r="SUE31" s="63"/>
      <c r="SUF31" s="63"/>
      <c r="SUG31" s="63"/>
      <c r="SUH31" s="63"/>
      <c r="SUI31" s="63"/>
      <c r="SUJ31" s="63"/>
      <c r="SUK31" s="63"/>
      <c r="SUL31" s="63"/>
      <c r="SUM31" s="63"/>
      <c r="SUN31" s="63"/>
      <c r="SUO31" s="63"/>
      <c r="SUP31" s="63"/>
      <c r="SUQ31" s="63"/>
      <c r="SUR31" s="63"/>
      <c r="SUS31" s="63"/>
      <c r="SUT31" s="63"/>
      <c r="SUU31" s="63"/>
      <c r="SUV31" s="63"/>
      <c r="SUW31" s="63"/>
      <c r="SUX31" s="63"/>
      <c r="SUY31" s="63"/>
      <c r="SUZ31" s="63"/>
      <c r="SVA31" s="63"/>
      <c r="SVB31" s="63"/>
      <c r="SVC31" s="63"/>
      <c r="SVD31" s="63"/>
      <c r="SVE31" s="63"/>
      <c r="SVF31" s="63"/>
      <c r="SVG31" s="63"/>
      <c r="SVH31" s="63"/>
      <c r="SVI31" s="63"/>
      <c r="SVJ31" s="63"/>
      <c r="SVK31" s="63"/>
      <c r="SVL31" s="63"/>
      <c r="SVM31" s="63"/>
      <c r="SVN31" s="63"/>
      <c r="SVO31" s="63"/>
      <c r="SVP31" s="63"/>
      <c r="SVQ31" s="63"/>
      <c r="SVR31" s="63"/>
      <c r="SVS31" s="63"/>
      <c r="SVT31" s="63"/>
      <c r="SVU31" s="63"/>
      <c r="SVV31" s="63"/>
      <c r="SVW31" s="63"/>
      <c r="SVX31" s="63"/>
      <c r="SVY31" s="63"/>
      <c r="SVZ31" s="63"/>
      <c r="SWA31" s="63"/>
      <c r="SWB31" s="63"/>
      <c r="SWC31" s="63"/>
      <c r="SWD31" s="63"/>
      <c r="SWE31" s="63"/>
      <c r="SWF31" s="63"/>
      <c r="SWG31" s="63"/>
      <c r="SWH31" s="63"/>
      <c r="SWI31" s="63"/>
      <c r="SWJ31" s="63"/>
      <c r="SWK31" s="63"/>
      <c r="SWL31" s="63"/>
      <c r="SWM31" s="63"/>
      <c r="SWN31" s="63"/>
      <c r="SWO31" s="63"/>
      <c r="SWP31" s="63"/>
      <c r="SWQ31" s="63"/>
      <c r="SWR31" s="63"/>
      <c r="SWS31" s="63"/>
      <c r="SWT31" s="63"/>
      <c r="SWU31" s="63"/>
      <c r="SWV31" s="63"/>
      <c r="SWW31" s="63"/>
      <c r="SWX31" s="63"/>
      <c r="SWY31" s="63"/>
      <c r="SWZ31" s="63"/>
      <c r="SXA31" s="63"/>
      <c r="SXB31" s="63"/>
      <c r="SXC31" s="63"/>
      <c r="SXD31" s="63"/>
      <c r="SXE31" s="63"/>
      <c r="SXF31" s="63"/>
      <c r="SXG31" s="63"/>
      <c r="SXH31" s="63"/>
      <c r="SXI31" s="63"/>
      <c r="SXJ31" s="63"/>
      <c r="SXK31" s="63"/>
      <c r="SXL31" s="63"/>
      <c r="SXM31" s="63"/>
      <c r="SXN31" s="63"/>
      <c r="SXO31" s="63"/>
      <c r="SXP31" s="63"/>
      <c r="SXQ31" s="63"/>
      <c r="SXR31" s="63"/>
      <c r="SXS31" s="63"/>
      <c r="SXT31" s="63"/>
      <c r="SXU31" s="63"/>
      <c r="SXV31" s="63"/>
      <c r="SXW31" s="63"/>
      <c r="SXX31" s="63"/>
      <c r="SXY31" s="63"/>
      <c r="SXZ31" s="63"/>
      <c r="SYA31" s="63"/>
      <c r="SYB31" s="63"/>
      <c r="SYC31" s="63"/>
      <c r="SYD31" s="63"/>
      <c r="SYE31" s="63"/>
      <c r="SYF31" s="63"/>
      <c r="SYG31" s="63"/>
      <c r="SYH31" s="63"/>
      <c r="SYI31" s="63"/>
      <c r="SYJ31" s="63"/>
      <c r="SYK31" s="63"/>
      <c r="SYL31" s="63"/>
      <c r="SYM31" s="63"/>
      <c r="SYN31" s="63"/>
      <c r="SYO31" s="63"/>
      <c r="SYP31" s="63"/>
      <c r="SYQ31" s="63"/>
      <c r="SYR31" s="63"/>
      <c r="SYS31" s="63"/>
      <c r="SYT31" s="63"/>
      <c r="SYU31" s="63"/>
      <c r="SYV31" s="63"/>
      <c r="SYW31" s="63"/>
      <c r="SYX31" s="63"/>
      <c r="SYY31" s="63"/>
      <c r="SYZ31" s="63"/>
      <c r="SZA31" s="63"/>
      <c r="SZB31" s="63"/>
      <c r="SZC31" s="63"/>
      <c r="SZD31" s="63"/>
      <c r="SZE31" s="63"/>
      <c r="SZF31" s="63"/>
      <c r="SZG31" s="63"/>
      <c r="SZH31" s="63"/>
      <c r="SZI31" s="63"/>
      <c r="SZJ31" s="63"/>
      <c r="SZK31" s="63"/>
      <c r="SZL31" s="63"/>
      <c r="SZM31" s="63"/>
      <c r="SZN31" s="63"/>
      <c r="SZO31" s="63"/>
      <c r="SZP31" s="63"/>
      <c r="SZQ31" s="63"/>
      <c r="SZR31" s="63"/>
      <c r="SZS31" s="63"/>
      <c r="SZT31" s="63"/>
      <c r="SZU31" s="63"/>
      <c r="SZV31" s="63"/>
      <c r="SZW31" s="63"/>
      <c r="SZX31" s="63"/>
      <c r="SZY31" s="63"/>
      <c r="SZZ31" s="63"/>
      <c r="TAA31" s="63"/>
      <c r="TAB31" s="63"/>
      <c r="TAC31" s="63"/>
      <c r="TAD31" s="63"/>
      <c r="TAE31" s="63"/>
      <c r="TAF31" s="63"/>
      <c r="TAG31" s="63"/>
      <c r="TAH31" s="63"/>
      <c r="TAI31" s="63"/>
      <c r="TAJ31" s="63"/>
      <c r="TAK31" s="63"/>
      <c r="TAL31" s="63"/>
      <c r="TAM31" s="63"/>
      <c r="TAN31" s="63"/>
      <c r="TAO31" s="63"/>
      <c r="TAP31" s="63"/>
      <c r="TAQ31" s="63"/>
      <c r="TAR31" s="63"/>
      <c r="TAS31" s="63"/>
      <c r="TAT31" s="63"/>
      <c r="TAU31" s="63"/>
      <c r="TAV31" s="63"/>
      <c r="TAW31" s="63"/>
      <c r="TAX31" s="63"/>
      <c r="TAY31" s="63"/>
      <c r="TAZ31" s="63"/>
      <c r="TBA31" s="63"/>
      <c r="TBB31" s="63"/>
      <c r="TBC31" s="63"/>
      <c r="TBD31" s="63"/>
      <c r="TBE31" s="63"/>
      <c r="TBF31" s="63"/>
      <c r="TBG31" s="63"/>
      <c r="TBH31" s="63"/>
      <c r="TBI31" s="63"/>
      <c r="TBJ31" s="63"/>
      <c r="TBK31" s="63"/>
      <c r="TBL31" s="63"/>
      <c r="TBM31" s="63"/>
      <c r="TBN31" s="63"/>
      <c r="TBO31" s="63"/>
      <c r="TBP31" s="63"/>
      <c r="TBQ31" s="63"/>
      <c r="TBR31" s="63"/>
      <c r="TBS31" s="63"/>
      <c r="TBT31" s="63"/>
      <c r="TBU31" s="63"/>
      <c r="TBV31" s="63"/>
      <c r="TBW31" s="63"/>
      <c r="TBX31" s="63"/>
      <c r="TBY31" s="63"/>
      <c r="TBZ31" s="63"/>
      <c r="TCA31" s="63"/>
      <c r="TCB31" s="63"/>
      <c r="TCC31" s="63"/>
      <c r="TCD31" s="63"/>
      <c r="TCE31" s="63"/>
      <c r="TCF31" s="63"/>
      <c r="TCG31" s="63"/>
      <c r="TCH31" s="63"/>
      <c r="TCI31" s="63"/>
      <c r="TCJ31" s="63"/>
      <c r="TCK31" s="63"/>
      <c r="TCL31" s="63"/>
      <c r="TCM31" s="63"/>
      <c r="TCN31" s="63"/>
      <c r="TCO31" s="63"/>
      <c r="TCP31" s="63"/>
      <c r="TCQ31" s="63"/>
      <c r="TCR31" s="63"/>
      <c r="TCS31" s="63"/>
      <c r="TCT31" s="63"/>
      <c r="TCU31" s="63"/>
      <c r="TCV31" s="63"/>
      <c r="TCW31" s="63"/>
      <c r="TCX31" s="63"/>
      <c r="TCY31" s="63"/>
      <c r="TCZ31" s="63"/>
      <c r="TDA31" s="63"/>
      <c r="TDB31" s="63"/>
      <c r="TDC31" s="63"/>
      <c r="TDD31" s="63"/>
      <c r="TDE31" s="63"/>
      <c r="TDF31" s="63"/>
      <c r="TDG31" s="63"/>
      <c r="TDH31" s="63"/>
      <c r="TDI31" s="63"/>
      <c r="TDJ31" s="63"/>
      <c r="TDK31" s="63"/>
      <c r="TDL31" s="63"/>
      <c r="TDM31" s="63"/>
      <c r="TDN31" s="63"/>
      <c r="TDO31" s="63"/>
      <c r="TDP31" s="63"/>
      <c r="TDQ31" s="63"/>
      <c r="TDR31" s="63"/>
      <c r="TDS31" s="63"/>
      <c r="TDT31" s="63"/>
      <c r="TDU31" s="63"/>
      <c r="TDV31" s="63"/>
      <c r="TDW31" s="63"/>
      <c r="TDX31" s="63"/>
      <c r="TDY31" s="63"/>
      <c r="TDZ31" s="63"/>
      <c r="TEA31" s="63"/>
      <c r="TEB31" s="63"/>
      <c r="TEC31" s="63"/>
      <c r="TED31" s="63"/>
      <c r="TEE31" s="63"/>
      <c r="TEF31" s="63"/>
      <c r="TEG31" s="63"/>
      <c r="TEH31" s="63"/>
      <c r="TEI31" s="63"/>
      <c r="TEJ31" s="63"/>
      <c r="TEK31" s="63"/>
      <c r="TEL31" s="63"/>
      <c r="TEM31" s="63"/>
      <c r="TEN31" s="63"/>
      <c r="TEO31" s="63"/>
      <c r="TEP31" s="63"/>
      <c r="TEQ31" s="63"/>
      <c r="TER31" s="63"/>
      <c r="TES31" s="63"/>
      <c r="TET31" s="63"/>
      <c r="TEU31" s="63"/>
      <c r="TEV31" s="63"/>
      <c r="TEW31" s="63"/>
      <c r="TEX31" s="63"/>
      <c r="TEY31" s="63"/>
      <c r="TEZ31" s="63"/>
      <c r="TFA31" s="63"/>
      <c r="TFB31" s="63"/>
      <c r="TFC31" s="63"/>
      <c r="TFD31" s="63"/>
      <c r="TFE31" s="63"/>
      <c r="TFF31" s="63"/>
      <c r="TFG31" s="63"/>
      <c r="TFH31" s="63"/>
      <c r="TFI31" s="63"/>
      <c r="TFJ31" s="63"/>
      <c r="TFK31" s="63"/>
      <c r="TFL31" s="63"/>
      <c r="TFM31" s="63"/>
      <c r="TFN31" s="63"/>
      <c r="TFO31" s="63"/>
      <c r="TFP31" s="63"/>
      <c r="TFQ31" s="63"/>
      <c r="TFR31" s="63"/>
      <c r="TFS31" s="63"/>
      <c r="TFT31" s="63"/>
      <c r="TFU31" s="63"/>
      <c r="TFV31" s="63"/>
      <c r="TFW31" s="63"/>
      <c r="TFX31" s="63"/>
      <c r="TFY31" s="63"/>
      <c r="TFZ31" s="63"/>
      <c r="TGA31" s="63"/>
      <c r="TGB31" s="63"/>
      <c r="TGC31" s="63"/>
      <c r="TGD31" s="63"/>
      <c r="TGE31" s="63"/>
      <c r="TGF31" s="63"/>
      <c r="TGG31" s="63"/>
      <c r="TGH31" s="63"/>
      <c r="TGI31" s="63"/>
      <c r="TGJ31" s="63"/>
      <c r="TGK31" s="63"/>
      <c r="TGL31" s="63"/>
      <c r="TGM31" s="63"/>
      <c r="TGN31" s="63"/>
      <c r="TGO31" s="63"/>
      <c r="TGP31" s="63"/>
      <c r="TGQ31" s="63"/>
      <c r="TGR31" s="63"/>
      <c r="TGS31" s="63"/>
      <c r="TGT31" s="63"/>
      <c r="TGU31" s="63"/>
      <c r="TGV31" s="63"/>
      <c r="TGW31" s="63"/>
      <c r="TGX31" s="63"/>
      <c r="TGY31" s="63"/>
      <c r="TGZ31" s="63"/>
      <c r="THA31" s="63"/>
      <c r="THB31" s="63"/>
      <c r="THC31" s="63"/>
      <c r="THD31" s="63"/>
      <c r="THE31" s="63"/>
      <c r="THF31" s="63"/>
      <c r="THG31" s="63"/>
      <c r="THH31" s="63"/>
      <c r="THI31" s="63"/>
      <c r="THJ31" s="63"/>
      <c r="THK31" s="63"/>
      <c r="THL31" s="63"/>
      <c r="THM31" s="63"/>
      <c r="THN31" s="63"/>
      <c r="THO31" s="63"/>
      <c r="THP31" s="63"/>
      <c r="THQ31" s="63"/>
      <c r="THR31" s="63"/>
      <c r="THS31" s="63"/>
      <c r="THT31" s="63"/>
      <c r="THU31" s="63"/>
      <c r="THV31" s="63"/>
      <c r="THW31" s="63"/>
      <c r="THX31" s="63"/>
      <c r="THY31" s="63"/>
      <c r="THZ31" s="63"/>
      <c r="TIA31" s="63"/>
      <c r="TIB31" s="63"/>
      <c r="TIC31" s="63"/>
      <c r="TID31" s="63"/>
      <c r="TIE31" s="63"/>
      <c r="TIF31" s="63"/>
      <c r="TIG31" s="63"/>
      <c r="TIH31" s="63"/>
      <c r="TII31" s="63"/>
      <c r="TIJ31" s="63"/>
      <c r="TIK31" s="63"/>
      <c r="TIL31" s="63"/>
      <c r="TIM31" s="63"/>
      <c r="TIN31" s="63"/>
      <c r="TIO31" s="63"/>
      <c r="TIP31" s="63"/>
      <c r="TIQ31" s="63"/>
      <c r="TIR31" s="63"/>
      <c r="TIS31" s="63"/>
      <c r="TIT31" s="63"/>
      <c r="TIU31" s="63"/>
      <c r="TIV31" s="63"/>
      <c r="TIW31" s="63"/>
      <c r="TIX31" s="63"/>
      <c r="TIY31" s="63"/>
      <c r="TIZ31" s="63"/>
      <c r="TJA31" s="63"/>
      <c r="TJB31" s="63"/>
      <c r="TJC31" s="63"/>
      <c r="TJD31" s="63"/>
      <c r="TJE31" s="63"/>
      <c r="TJF31" s="63"/>
      <c r="TJG31" s="63"/>
      <c r="TJH31" s="63"/>
      <c r="TJI31" s="63"/>
      <c r="TJJ31" s="63"/>
      <c r="TJK31" s="63"/>
      <c r="TJL31" s="63"/>
      <c r="TJM31" s="63"/>
      <c r="TJN31" s="63"/>
      <c r="TJO31" s="63"/>
      <c r="TJP31" s="63"/>
      <c r="TJQ31" s="63"/>
      <c r="TJR31" s="63"/>
      <c r="TJS31" s="63"/>
      <c r="TJT31" s="63"/>
      <c r="TJU31" s="63"/>
      <c r="TJV31" s="63"/>
      <c r="TJW31" s="63"/>
      <c r="TJX31" s="63"/>
      <c r="TJY31" s="63"/>
      <c r="TJZ31" s="63"/>
      <c r="TKA31" s="63"/>
      <c r="TKB31" s="63"/>
      <c r="TKC31" s="63"/>
      <c r="TKD31" s="63"/>
      <c r="TKE31" s="63"/>
      <c r="TKF31" s="63"/>
      <c r="TKG31" s="63"/>
      <c r="TKH31" s="63"/>
      <c r="TKI31" s="63"/>
      <c r="TKJ31" s="63"/>
      <c r="TKK31" s="63"/>
      <c r="TKL31" s="63"/>
      <c r="TKM31" s="63"/>
      <c r="TKN31" s="63"/>
      <c r="TKO31" s="63"/>
      <c r="TKP31" s="63"/>
      <c r="TKQ31" s="63"/>
      <c r="TKR31" s="63"/>
      <c r="TKS31" s="63"/>
      <c r="TKT31" s="63"/>
      <c r="TKU31" s="63"/>
      <c r="TKV31" s="63"/>
      <c r="TKW31" s="63"/>
      <c r="TKX31" s="63"/>
      <c r="TKY31" s="63"/>
      <c r="TKZ31" s="63"/>
      <c r="TLA31" s="63"/>
      <c r="TLB31" s="63"/>
      <c r="TLC31" s="63"/>
      <c r="TLD31" s="63"/>
      <c r="TLE31" s="63"/>
      <c r="TLF31" s="63"/>
      <c r="TLG31" s="63"/>
      <c r="TLH31" s="63"/>
      <c r="TLI31" s="63"/>
      <c r="TLJ31" s="63"/>
      <c r="TLK31" s="63"/>
      <c r="TLL31" s="63"/>
      <c r="TLM31" s="63"/>
      <c r="TLN31" s="63"/>
      <c r="TLO31" s="63"/>
      <c r="TLP31" s="63"/>
      <c r="TLQ31" s="63"/>
      <c r="TLR31" s="63"/>
      <c r="TLS31" s="63"/>
      <c r="TLT31" s="63"/>
      <c r="TLU31" s="63"/>
      <c r="TLV31" s="63"/>
      <c r="TLW31" s="63"/>
      <c r="TLX31" s="63"/>
      <c r="TLY31" s="63"/>
      <c r="TLZ31" s="63"/>
      <c r="TMA31" s="63"/>
      <c r="TMB31" s="63"/>
      <c r="TMC31" s="63"/>
      <c r="TMD31" s="63"/>
      <c r="TME31" s="63"/>
      <c r="TMF31" s="63"/>
      <c r="TMG31" s="63"/>
      <c r="TMH31" s="63"/>
      <c r="TMI31" s="63"/>
      <c r="TMJ31" s="63"/>
      <c r="TMK31" s="63"/>
      <c r="TML31" s="63"/>
      <c r="TMM31" s="63"/>
      <c r="TMN31" s="63"/>
      <c r="TMO31" s="63"/>
      <c r="TMP31" s="63"/>
      <c r="TMQ31" s="63"/>
      <c r="TMR31" s="63"/>
      <c r="TMS31" s="63"/>
      <c r="TMT31" s="63"/>
      <c r="TMU31" s="63"/>
      <c r="TMV31" s="63"/>
      <c r="TMW31" s="63"/>
      <c r="TMX31" s="63"/>
      <c r="TMY31" s="63"/>
      <c r="TMZ31" s="63"/>
      <c r="TNA31" s="63"/>
      <c r="TNB31" s="63"/>
      <c r="TNC31" s="63"/>
      <c r="TND31" s="63"/>
      <c r="TNE31" s="63"/>
      <c r="TNF31" s="63"/>
      <c r="TNG31" s="63"/>
      <c r="TNH31" s="63"/>
      <c r="TNI31" s="63"/>
      <c r="TNJ31" s="63"/>
      <c r="TNK31" s="63"/>
      <c r="TNL31" s="63"/>
      <c r="TNM31" s="63"/>
      <c r="TNN31" s="63"/>
      <c r="TNO31" s="63"/>
      <c r="TNP31" s="63"/>
      <c r="TNQ31" s="63"/>
      <c r="TNR31" s="63"/>
      <c r="TNS31" s="63"/>
      <c r="TNT31" s="63"/>
      <c r="TNU31" s="63"/>
      <c r="TNV31" s="63"/>
      <c r="TNW31" s="63"/>
      <c r="TNX31" s="63"/>
      <c r="TNY31" s="63"/>
      <c r="TNZ31" s="63"/>
      <c r="TOA31" s="63"/>
      <c r="TOB31" s="63"/>
      <c r="TOC31" s="63"/>
      <c r="TOD31" s="63"/>
      <c r="TOE31" s="63"/>
      <c r="TOF31" s="63"/>
      <c r="TOG31" s="63"/>
      <c r="TOH31" s="63"/>
      <c r="TOI31" s="63"/>
      <c r="TOJ31" s="63"/>
      <c r="TOK31" s="63"/>
      <c r="TOL31" s="63"/>
      <c r="TOM31" s="63"/>
      <c r="TON31" s="63"/>
      <c r="TOO31" s="63"/>
      <c r="TOP31" s="63"/>
      <c r="TOQ31" s="63"/>
      <c r="TOR31" s="63"/>
      <c r="TOS31" s="63"/>
      <c r="TOT31" s="63"/>
      <c r="TOU31" s="63"/>
      <c r="TOV31" s="63"/>
      <c r="TOW31" s="63"/>
      <c r="TOX31" s="63"/>
      <c r="TOY31" s="63"/>
      <c r="TOZ31" s="63"/>
      <c r="TPA31" s="63"/>
      <c r="TPB31" s="63"/>
      <c r="TPC31" s="63"/>
      <c r="TPD31" s="63"/>
      <c r="TPE31" s="63"/>
      <c r="TPF31" s="63"/>
      <c r="TPG31" s="63"/>
      <c r="TPH31" s="63"/>
      <c r="TPI31" s="63"/>
      <c r="TPJ31" s="63"/>
      <c r="TPK31" s="63"/>
      <c r="TPL31" s="63"/>
      <c r="TPM31" s="63"/>
      <c r="TPN31" s="63"/>
      <c r="TPO31" s="63"/>
      <c r="TPP31" s="63"/>
      <c r="TPQ31" s="63"/>
      <c r="TPR31" s="63"/>
      <c r="TPS31" s="63"/>
      <c r="TPT31" s="63"/>
      <c r="TPU31" s="63"/>
      <c r="TPV31" s="63"/>
      <c r="TPW31" s="63"/>
      <c r="TPX31" s="63"/>
      <c r="TPY31" s="63"/>
      <c r="TPZ31" s="63"/>
      <c r="TQA31" s="63"/>
      <c r="TQB31" s="63"/>
      <c r="TQC31" s="63"/>
      <c r="TQD31" s="63"/>
      <c r="TQE31" s="63"/>
      <c r="TQF31" s="63"/>
      <c r="TQG31" s="63"/>
      <c r="TQH31" s="63"/>
      <c r="TQI31" s="63"/>
      <c r="TQJ31" s="63"/>
      <c r="TQK31" s="63"/>
      <c r="TQL31" s="63"/>
      <c r="TQM31" s="63"/>
      <c r="TQN31" s="63"/>
      <c r="TQO31" s="63"/>
      <c r="TQP31" s="63"/>
      <c r="TQQ31" s="63"/>
      <c r="TQR31" s="63"/>
      <c r="TQS31" s="63"/>
      <c r="TQT31" s="63"/>
      <c r="TQU31" s="63"/>
      <c r="TQV31" s="63"/>
      <c r="TQW31" s="63"/>
      <c r="TQX31" s="63"/>
      <c r="TQY31" s="63"/>
      <c r="TQZ31" s="63"/>
      <c r="TRA31" s="63"/>
      <c r="TRB31" s="63"/>
      <c r="TRC31" s="63"/>
      <c r="TRD31" s="63"/>
      <c r="TRE31" s="63"/>
      <c r="TRF31" s="63"/>
      <c r="TRG31" s="63"/>
      <c r="TRH31" s="63"/>
      <c r="TRI31" s="63"/>
      <c r="TRJ31" s="63"/>
      <c r="TRK31" s="63"/>
      <c r="TRL31" s="63"/>
      <c r="TRM31" s="63"/>
      <c r="TRN31" s="63"/>
      <c r="TRO31" s="63"/>
      <c r="TRP31" s="63"/>
      <c r="TRQ31" s="63"/>
      <c r="TRR31" s="63"/>
      <c r="TRS31" s="63"/>
      <c r="TRT31" s="63"/>
      <c r="TRU31" s="63"/>
      <c r="TRV31" s="63"/>
      <c r="TRW31" s="63"/>
      <c r="TRX31" s="63"/>
      <c r="TRY31" s="63"/>
      <c r="TRZ31" s="63"/>
      <c r="TSA31" s="63"/>
      <c r="TSB31" s="63"/>
      <c r="TSC31" s="63"/>
      <c r="TSD31" s="63"/>
      <c r="TSE31" s="63"/>
      <c r="TSF31" s="63"/>
      <c r="TSG31" s="63"/>
      <c r="TSH31" s="63"/>
      <c r="TSI31" s="63"/>
      <c r="TSJ31" s="63"/>
      <c r="TSK31" s="63"/>
      <c r="TSL31" s="63"/>
      <c r="TSM31" s="63"/>
      <c r="TSN31" s="63"/>
      <c r="TSO31" s="63"/>
      <c r="TSP31" s="63"/>
      <c r="TSQ31" s="63"/>
      <c r="TSR31" s="63"/>
      <c r="TSS31" s="63"/>
      <c r="TST31" s="63"/>
      <c r="TSU31" s="63"/>
      <c r="TSV31" s="63"/>
      <c r="TSW31" s="63"/>
      <c r="TSX31" s="63"/>
      <c r="TSY31" s="63"/>
      <c r="TSZ31" s="63"/>
      <c r="TTA31" s="63"/>
      <c r="TTB31" s="63"/>
      <c r="TTC31" s="63"/>
      <c r="TTD31" s="63"/>
      <c r="TTE31" s="63"/>
      <c r="TTF31" s="63"/>
      <c r="TTG31" s="63"/>
      <c r="TTH31" s="63"/>
      <c r="TTI31" s="63"/>
      <c r="TTJ31" s="63"/>
      <c r="TTK31" s="63"/>
      <c r="TTL31" s="63"/>
      <c r="TTM31" s="63"/>
      <c r="TTN31" s="63"/>
      <c r="TTO31" s="63"/>
      <c r="TTP31" s="63"/>
      <c r="TTQ31" s="63"/>
      <c r="TTR31" s="63"/>
      <c r="TTS31" s="63"/>
      <c r="TTT31" s="63"/>
      <c r="TTU31" s="63"/>
      <c r="TTV31" s="63"/>
      <c r="TTW31" s="63"/>
      <c r="TTX31" s="63"/>
      <c r="TTY31" s="63"/>
      <c r="TTZ31" s="63"/>
      <c r="TUA31" s="63"/>
      <c r="TUB31" s="63"/>
      <c r="TUC31" s="63"/>
      <c r="TUD31" s="63"/>
      <c r="TUE31" s="63"/>
      <c r="TUF31" s="63"/>
      <c r="TUG31" s="63"/>
      <c r="TUH31" s="63"/>
      <c r="TUI31" s="63"/>
      <c r="TUJ31" s="63"/>
      <c r="TUK31" s="63"/>
      <c r="TUL31" s="63"/>
      <c r="TUM31" s="63"/>
      <c r="TUN31" s="63"/>
      <c r="TUO31" s="63"/>
      <c r="TUP31" s="63"/>
      <c r="TUQ31" s="63"/>
      <c r="TUR31" s="63"/>
      <c r="TUS31" s="63"/>
      <c r="TUT31" s="63"/>
      <c r="TUU31" s="63"/>
      <c r="TUV31" s="63"/>
      <c r="TUW31" s="63"/>
      <c r="TUX31" s="63"/>
      <c r="TUY31" s="63"/>
      <c r="TUZ31" s="63"/>
      <c r="TVA31" s="63"/>
      <c r="TVB31" s="63"/>
      <c r="TVC31" s="63"/>
      <c r="TVD31" s="63"/>
      <c r="TVE31" s="63"/>
      <c r="TVF31" s="63"/>
      <c r="TVG31" s="63"/>
      <c r="TVH31" s="63"/>
      <c r="TVI31" s="63"/>
      <c r="TVJ31" s="63"/>
      <c r="TVK31" s="63"/>
      <c r="TVL31" s="63"/>
      <c r="TVM31" s="63"/>
      <c r="TVN31" s="63"/>
      <c r="TVO31" s="63"/>
      <c r="TVP31" s="63"/>
      <c r="TVQ31" s="63"/>
      <c r="TVR31" s="63"/>
      <c r="TVS31" s="63"/>
      <c r="TVT31" s="63"/>
      <c r="TVU31" s="63"/>
      <c r="TVV31" s="63"/>
      <c r="TVW31" s="63"/>
      <c r="TVX31" s="63"/>
      <c r="TVY31" s="63"/>
      <c r="TVZ31" s="63"/>
      <c r="TWA31" s="63"/>
      <c r="TWB31" s="63"/>
      <c r="TWC31" s="63"/>
      <c r="TWD31" s="63"/>
      <c r="TWE31" s="63"/>
      <c r="TWF31" s="63"/>
      <c r="TWG31" s="63"/>
      <c r="TWH31" s="63"/>
      <c r="TWI31" s="63"/>
      <c r="TWJ31" s="63"/>
      <c r="TWK31" s="63"/>
      <c r="TWL31" s="63"/>
      <c r="TWM31" s="63"/>
      <c r="TWN31" s="63"/>
      <c r="TWO31" s="63"/>
      <c r="TWP31" s="63"/>
      <c r="TWQ31" s="63"/>
      <c r="TWR31" s="63"/>
      <c r="TWS31" s="63"/>
      <c r="TWT31" s="63"/>
      <c r="TWU31" s="63"/>
      <c r="TWV31" s="63"/>
      <c r="TWW31" s="63"/>
      <c r="TWX31" s="63"/>
      <c r="TWY31" s="63"/>
      <c r="TWZ31" s="63"/>
      <c r="TXA31" s="63"/>
      <c r="TXB31" s="63"/>
      <c r="TXC31" s="63"/>
      <c r="TXD31" s="63"/>
      <c r="TXE31" s="63"/>
      <c r="TXF31" s="63"/>
      <c r="TXG31" s="63"/>
      <c r="TXH31" s="63"/>
      <c r="TXI31" s="63"/>
      <c r="TXJ31" s="63"/>
      <c r="TXK31" s="63"/>
      <c r="TXL31" s="63"/>
      <c r="TXM31" s="63"/>
      <c r="TXN31" s="63"/>
      <c r="TXO31" s="63"/>
      <c r="TXP31" s="63"/>
      <c r="TXQ31" s="63"/>
      <c r="TXR31" s="63"/>
      <c r="TXS31" s="63"/>
      <c r="TXT31" s="63"/>
      <c r="TXU31" s="63"/>
      <c r="TXV31" s="63"/>
      <c r="TXW31" s="63"/>
      <c r="TXX31" s="63"/>
      <c r="TXY31" s="63"/>
      <c r="TXZ31" s="63"/>
      <c r="TYA31" s="63"/>
      <c r="TYB31" s="63"/>
      <c r="TYC31" s="63"/>
      <c r="TYD31" s="63"/>
      <c r="TYE31" s="63"/>
      <c r="TYF31" s="63"/>
      <c r="TYG31" s="63"/>
      <c r="TYH31" s="63"/>
      <c r="TYI31" s="63"/>
      <c r="TYJ31" s="63"/>
      <c r="TYK31" s="63"/>
      <c r="TYL31" s="63"/>
      <c r="TYM31" s="63"/>
      <c r="TYN31" s="63"/>
      <c r="TYO31" s="63"/>
      <c r="TYP31" s="63"/>
      <c r="TYQ31" s="63"/>
      <c r="TYR31" s="63"/>
      <c r="TYS31" s="63"/>
      <c r="TYT31" s="63"/>
      <c r="TYU31" s="63"/>
      <c r="TYV31" s="63"/>
      <c r="TYW31" s="63"/>
      <c r="TYX31" s="63"/>
      <c r="TYY31" s="63"/>
      <c r="TYZ31" s="63"/>
      <c r="TZA31" s="63"/>
      <c r="TZB31" s="63"/>
      <c r="TZC31" s="63"/>
      <c r="TZD31" s="63"/>
      <c r="TZE31" s="63"/>
      <c r="TZF31" s="63"/>
      <c r="TZG31" s="63"/>
      <c r="TZH31" s="63"/>
      <c r="TZI31" s="63"/>
      <c r="TZJ31" s="63"/>
      <c r="TZK31" s="63"/>
      <c r="TZL31" s="63"/>
      <c r="TZM31" s="63"/>
      <c r="TZN31" s="63"/>
      <c r="TZO31" s="63"/>
      <c r="TZP31" s="63"/>
      <c r="TZQ31" s="63"/>
      <c r="TZR31" s="63"/>
      <c r="TZS31" s="63"/>
      <c r="TZT31" s="63"/>
      <c r="TZU31" s="63"/>
      <c r="TZV31" s="63"/>
      <c r="TZW31" s="63"/>
      <c r="TZX31" s="63"/>
      <c r="TZY31" s="63"/>
      <c r="TZZ31" s="63"/>
      <c r="UAA31" s="63"/>
      <c r="UAB31" s="63"/>
      <c r="UAC31" s="63"/>
      <c r="UAD31" s="63"/>
      <c r="UAE31" s="63"/>
      <c r="UAF31" s="63"/>
      <c r="UAG31" s="63"/>
      <c r="UAH31" s="63"/>
      <c r="UAI31" s="63"/>
      <c r="UAJ31" s="63"/>
      <c r="UAK31" s="63"/>
      <c r="UAL31" s="63"/>
      <c r="UAM31" s="63"/>
      <c r="UAN31" s="63"/>
      <c r="UAO31" s="63"/>
      <c r="UAP31" s="63"/>
      <c r="UAQ31" s="63"/>
      <c r="UAR31" s="63"/>
      <c r="UAS31" s="63"/>
      <c r="UAT31" s="63"/>
      <c r="UAU31" s="63"/>
      <c r="UAV31" s="63"/>
      <c r="UAW31" s="63"/>
      <c r="UAX31" s="63"/>
      <c r="UAY31" s="63"/>
      <c r="UAZ31" s="63"/>
      <c r="UBA31" s="63"/>
      <c r="UBB31" s="63"/>
      <c r="UBC31" s="63"/>
      <c r="UBD31" s="63"/>
      <c r="UBE31" s="63"/>
      <c r="UBF31" s="63"/>
      <c r="UBG31" s="63"/>
      <c r="UBH31" s="63"/>
      <c r="UBI31" s="63"/>
      <c r="UBJ31" s="63"/>
      <c r="UBK31" s="63"/>
      <c r="UBL31" s="63"/>
      <c r="UBM31" s="63"/>
      <c r="UBN31" s="63"/>
      <c r="UBO31" s="63"/>
      <c r="UBP31" s="63"/>
      <c r="UBQ31" s="63"/>
      <c r="UBR31" s="63"/>
      <c r="UBS31" s="63"/>
      <c r="UBT31" s="63"/>
      <c r="UBU31" s="63"/>
      <c r="UBV31" s="63"/>
      <c r="UBW31" s="63"/>
      <c r="UBX31" s="63"/>
      <c r="UBY31" s="63"/>
      <c r="UBZ31" s="63"/>
      <c r="UCA31" s="63"/>
      <c r="UCB31" s="63"/>
      <c r="UCC31" s="63"/>
      <c r="UCD31" s="63"/>
      <c r="UCE31" s="63"/>
      <c r="UCF31" s="63"/>
      <c r="UCG31" s="63"/>
      <c r="UCH31" s="63"/>
      <c r="UCI31" s="63"/>
      <c r="UCJ31" s="63"/>
      <c r="UCK31" s="63"/>
      <c r="UCL31" s="63"/>
      <c r="UCM31" s="63"/>
      <c r="UCN31" s="63"/>
      <c r="UCO31" s="63"/>
      <c r="UCP31" s="63"/>
      <c r="UCQ31" s="63"/>
      <c r="UCR31" s="63"/>
      <c r="UCS31" s="63"/>
      <c r="UCT31" s="63"/>
      <c r="UCU31" s="63"/>
      <c r="UCV31" s="63"/>
      <c r="UCW31" s="63"/>
      <c r="UCX31" s="63"/>
      <c r="UCY31" s="63"/>
      <c r="UCZ31" s="63"/>
      <c r="UDA31" s="63"/>
      <c r="UDB31" s="63"/>
      <c r="UDC31" s="63"/>
      <c r="UDD31" s="63"/>
      <c r="UDE31" s="63"/>
      <c r="UDF31" s="63"/>
      <c r="UDG31" s="63"/>
      <c r="UDH31" s="63"/>
      <c r="UDI31" s="63"/>
      <c r="UDJ31" s="63"/>
      <c r="UDK31" s="63"/>
      <c r="UDL31" s="63"/>
      <c r="UDM31" s="63"/>
      <c r="UDN31" s="63"/>
      <c r="UDO31" s="63"/>
      <c r="UDP31" s="63"/>
      <c r="UDQ31" s="63"/>
      <c r="UDR31" s="63"/>
      <c r="UDS31" s="63"/>
      <c r="UDT31" s="63"/>
      <c r="UDU31" s="63"/>
      <c r="UDV31" s="63"/>
      <c r="UDW31" s="63"/>
      <c r="UDX31" s="63"/>
      <c r="UDY31" s="63"/>
      <c r="UDZ31" s="63"/>
      <c r="UEA31" s="63"/>
      <c r="UEB31" s="63"/>
      <c r="UEC31" s="63"/>
      <c r="UED31" s="63"/>
      <c r="UEE31" s="63"/>
      <c r="UEF31" s="63"/>
      <c r="UEG31" s="63"/>
      <c r="UEH31" s="63"/>
      <c r="UEI31" s="63"/>
      <c r="UEJ31" s="63"/>
      <c r="UEK31" s="63"/>
      <c r="UEL31" s="63"/>
      <c r="UEM31" s="63"/>
      <c r="UEN31" s="63"/>
      <c r="UEO31" s="63"/>
      <c r="UEP31" s="63"/>
      <c r="UEQ31" s="63"/>
      <c r="UER31" s="63"/>
      <c r="UES31" s="63"/>
      <c r="UET31" s="63"/>
      <c r="UEU31" s="63"/>
      <c r="UEV31" s="63"/>
      <c r="UEW31" s="63"/>
      <c r="UEX31" s="63"/>
      <c r="UEY31" s="63"/>
      <c r="UEZ31" s="63"/>
      <c r="UFA31" s="63"/>
      <c r="UFB31" s="63"/>
      <c r="UFC31" s="63"/>
      <c r="UFD31" s="63"/>
      <c r="UFE31" s="63"/>
      <c r="UFF31" s="63"/>
      <c r="UFG31" s="63"/>
      <c r="UFH31" s="63"/>
      <c r="UFI31" s="63"/>
      <c r="UFJ31" s="63"/>
      <c r="UFK31" s="63"/>
      <c r="UFL31" s="63"/>
      <c r="UFM31" s="63"/>
      <c r="UFN31" s="63"/>
      <c r="UFO31" s="63"/>
      <c r="UFP31" s="63"/>
      <c r="UFQ31" s="63"/>
      <c r="UFR31" s="63"/>
      <c r="UFS31" s="63"/>
      <c r="UFT31" s="63"/>
      <c r="UFU31" s="63"/>
      <c r="UFV31" s="63"/>
      <c r="UFW31" s="63"/>
      <c r="UFX31" s="63"/>
      <c r="UFY31" s="63"/>
      <c r="UFZ31" s="63"/>
      <c r="UGA31" s="63"/>
      <c r="UGB31" s="63"/>
      <c r="UGC31" s="63"/>
      <c r="UGD31" s="63"/>
      <c r="UGE31" s="63"/>
      <c r="UGF31" s="63"/>
      <c r="UGG31" s="63"/>
      <c r="UGH31" s="63"/>
      <c r="UGI31" s="63"/>
      <c r="UGJ31" s="63"/>
      <c r="UGK31" s="63"/>
      <c r="UGL31" s="63"/>
      <c r="UGM31" s="63"/>
      <c r="UGN31" s="63"/>
      <c r="UGO31" s="63"/>
      <c r="UGP31" s="63"/>
      <c r="UGQ31" s="63"/>
      <c r="UGR31" s="63"/>
      <c r="UGS31" s="63"/>
      <c r="UGT31" s="63"/>
      <c r="UGU31" s="63"/>
      <c r="UGV31" s="63"/>
      <c r="UGW31" s="63"/>
      <c r="UGX31" s="63"/>
      <c r="UGY31" s="63"/>
      <c r="UGZ31" s="63"/>
      <c r="UHA31" s="63"/>
      <c r="UHB31" s="63"/>
      <c r="UHC31" s="63"/>
      <c r="UHD31" s="63"/>
      <c r="UHE31" s="63"/>
      <c r="UHF31" s="63"/>
      <c r="UHG31" s="63"/>
      <c r="UHH31" s="63"/>
      <c r="UHI31" s="63"/>
      <c r="UHJ31" s="63"/>
      <c r="UHK31" s="63"/>
      <c r="UHL31" s="63"/>
      <c r="UHM31" s="63"/>
      <c r="UHN31" s="63"/>
      <c r="UHO31" s="63"/>
      <c r="UHP31" s="63"/>
      <c r="UHQ31" s="63"/>
      <c r="UHR31" s="63"/>
      <c r="UHS31" s="63"/>
      <c r="UHT31" s="63"/>
      <c r="UHU31" s="63"/>
      <c r="UHV31" s="63"/>
      <c r="UHW31" s="63"/>
      <c r="UHX31" s="63"/>
      <c r="UHY31" s="63"/>
      <c r="UHZ31" s="63"/>
      <c r="UIA31" s="63"/>
      <c r="UIB31" s="63"/>
      <c r="UIC31" s="63"/>
      <c r="UID31" s="63"/>
      <c r="UIE31" s="63"/>
      <c r="UIF31" s="63"/>
      <c r="UIG31" s="63"/>
      <c r="UIH31" s="63"/>
      <c r="UII31" s="63"/>
      <c r="UIJ31" s="63"/>
      <c r="UIK31" s="63"/>
      <c r="UIL31" s="63"/>
      <c r="UIM31" s="63"/>
      <c r="UIN31" s="63"/>
      <c r="UIO31" s="63"/>
      <c r="UIP31" s="63"/>
      <c r="UIQ31" s="63"/>
      <c r="UIR31" s="63"/>
      <c r="UIS31" s="63"/>
      <c r="UIT31" s="63"/>
      <c r="UIU31" s="63"/>
      <c r="UIV31" s="63"/>
      <c r="UIW31" s="63"/>
      <c r="UIX31" s="63"/>
      <c r="UIY31" s="63"/>
      <c r="UIZ31" s="63"/>
      <c r="UJA31" s="63"/>
      <c r="UJB31" s="63"/>
      <c r="UJC31" s="63"/>
      <c r="UJD31" s="63"/>
      <c r="UJE31" s="63"/>
      <c r="UJF31" s="63"/>
      <c r="UJG31" s="63"/>
      <c r="UJH31" s="63"/>
      <c r="UJI31" s="63"/>
      <c r="UJJ31" s="63"/>
      <c r="UJK31" s="63"/>
      <c r="UJL31" s="63"/>
      <c r="UJM31" s="63"/>
      <c r="UJN31" s="63"/>
      <c r="UJO31" s="63"/>
      <c r="UJP31" s="63"/>
      <c r="UJQ31" s="63"/>
      <c r="UJR31" s="63"/>
      <c r="UJS31" s="63"/>
      <c r="UJT31" s="63"/>
      <c r="UJU31" s="63"/>
      <c r="UJV31" s="63"/>
      <c r="UJW31" s="63"/>
      <c r="UJX31" s="63"/>
      <c r="UJY31" s="63"/>
      <c r="UJZ31" s="63"/>
      <c r="UKA31" s="63"/>
      <c r="UKB31" s="63"/>
      <c r="UKC31" s="63"/>
      <c r="UKD31" s="63"/>
      <c r="UKE31" s="63"/>
      <c r="UKF31" s="63"/>
      <c r="UKG31" s="63"/>
      <c r="UKH31" s="63"/>
      <c r="UKI31" s="63"/>
      <c r="UKJ31" s="63"/>
      <c r="UKK31" s="63"/>
      <c r="UKL31" s="63"/>
      <c r="UKM31" s="63"/>
      <c r="UKN31" s="63"/>
      <c r="UKO31" s="63"/>
      <c r="UKP31" s="63"/>
      <c r="UKQ31" s="63"/>
      <c r="UKR31" s="63"/>
      <c r="UKS31" s="63"/>
      <c r="UKT31" s="63"/>
      <c r="UKU31" s="63"/>
      <c r="UKV31" s="63"/>
      <c r="UKW31" s="63"/>
      <c r="UKX31" s="63"/>
      <c r="UKY31" s="63"/>
      <c r="UKZ31" s="63"/>
      <c r="ULA31" s="63"/>
      <c r="ULB31" s="63"/>
      <c r="ULC31" s="63"/>
      <c r="ULD31" s="63"/>
      <c r="ULE31" s="63"/>
      <c r="ULF31" s="63"/>
      <c r="ULG31" s="63"/>
      <c r="ULH31" s="63"/>
      <c r="ULI31" s="63"/>
      <c r="ULJ31" s="63"/>
      <c r="ULK31" s="63"/>
      <c r="ULL31" s="63"/>
      <c r="ULM31" s="63"/>
      <c r="ULN31" s="63"/>
      <c r="ULO31" s="63"/>
      <c r="ULP31" s="63"/>
      <c r="ULQ31" s="63"/>
      <c r="ULR31" s="63"/>
      <c r="ULS31" s="63"/>
      <c r="ULT31" s="63"/>
      <c r="ULU31" s="63"/>
      <c r="ULV31" s="63"/>
      <c r="ULW31" s="63"/>
      <c r="ULX31" s="63"/>
      <c r="ULY31" s="63"/>
      <c r="ULZ31" s="63"/>
      <c r="UMA31" s="63"/>
      <c r="UMB31" s="63"/>
      <c r="UMC31" s="63"/>
      <c r="UMD31" s="63"/>
      <c r="UME31" s="63"/>
      <c r="UMF31" s="63"/>
      <c r="UMG31" s="63"/>
      <c r="UMH31" s="63"/>
      <c r="UMI31" s="63"/>
      <c r="UMJ31" s="63"/>
      <c r="UMK31" s="63"/>
      <c r="UML31" s="63"/>
      <c r="UMM31" s="63"/>
      <c r="UMN31" s="63"/>
      <c r="UMO31" s="63"/>
      <c r="UMP31" s="63"/>
      <c r="UMQ31" s="63"/>
      <c r="UMR31" s="63"/>
      <c r="UMS31" s="63"/>
      <c r="UMT31" s="63"/>
      <c r="UMU31" s="63"/>
      <c r="UMV31" s="63"/>
      <c r="UMW31" s="63"/>
      <c r="UMX31" s="63"/>
      <c r="UMY31" s="63"/>
      <c r="UMZ31" s="63"/>
      <c r="UNA31" s="63"/>
      <c r="UNB31" s="63"/>
      <c r="UNC31" s="63"/>
      <c r="UND31" s="63"/>
      <c r="UNE31" s="63"/>
      <c r="UNF31" s="63"/>
      <c r="UNG31" s="63"/>
      <c r="UNH31" s="63"/>
      <c r="UNI31" s="63"/>
      <c r="UNJ31" s="63"/>
      <c r="UNK31" s="63"/>
      <c r="UNL31" s="63"/>
      <c r="UNM31" s="63"/>
      <c r="UNN31" s="63"/>
      <c r="UNO31" s="63"/>
      <c r="UNP31" s="63"/>
      <c r="UNQ31" s="63"/>
      <c r="UNR31" s="63"/>
      <c r="UNS31" s="63"/>
      <c r="UNT31" s="63"/>
      <c r="UNU31" s="63"/>
      <c r="UNV31" s="63"/>
      <c r="UNW31" s="63"/>
      <c r="UNX31" s="63"/>
      <c r="UNY31" s="63"/>
      <c r="UNZ31" s="63"/>
      <c r="UOA31" s="63"/>
      <c r="UOB31" s="63"/>
      <c r="UOC31" s="63"/>
      <c r="UOD31" s="63"/>
      <c r="UOE31" s="63"/>
      <c r="UOF31" s="63"/>
      <c r="UOG31" s="63"/>
      <c r="UOH31" s="63"/>
      <c r="UOI31" s="63"/>
      <c r="UOJ31" s="63"/>
      <c r="UOK31" s="63"/>
      <c r="UOL31" s="63"/>
      <c r="UOM31" s="63"/>
      <c r="UON31" s="63"/>
      <c r="UOO31" s="63"/>
      <c r="UOP31" s="63"/>
      <c r="UOQ31" s="63"/>
      <c r="UOR31" s="63"/>
      <c r="UOS31" s="63"/>
      <c r="UOT31" s="63"/>
      <c r="UOU31" s="63"/>
      <c r="UOV31" s="63"/>
      <c r="UOW31" s="63"/>
      <c r="UOX31" s="63"/>
      <c r="UOY31" s="63"/>
      <c r="UOZ31" s="63"/>
      <c r="UPA31" s="63"/>
      <c r="UPB31" s="63"/>
      <c r="UPC31" s="63"/>
      <c r="UPD31" s="63"/>
      <c r="UPE31" s="63"/>
      <c r="UPF31" s="63"/>
      <c r="UPG31" s="63"/>
      <c r="UPH31" s="63"/>
      <c r="UPI31" s="63"/>
      <c r="UPJ31" s="63"/>
      <c r="UPK31" s="63"/>
      <c r="UPL31" s="63"/>
      <c r="UPM31" s="63"/>
      <c r="UPN31" s="63"/>
      <c r="UPO31" s="63"/>
      <c r="UPP31" s="63"/>
      <c r="UPQ31" s="63"/>
      <c r="UPR31" s="63"/>
      <c r="UPS31" s="63"/>
      <c r="UPT31" s="63"/>
      <c r="UPU31" s="63"/>
      <c r="UPV31" s="63"/>
      <c r="UPW31" s="63"/>
      <c r="UPX31" s="63"/>
      <c r="UPY31" s="63"/>
      <c r="UPZ31" s="63"/>
      <c r="UQA31" s="63"/>
      <c r="UQB31" s="63"/>
      <c r="UQC31" s="63"/>
      <c r="UQD31" s="63"/>
      <c r="UQE31" s="63"/>
      <c r="UQF31" s="63"/>
      <c r="UQG31" s="63"/>
      <c r="UQH31" s="63"/>
      <c r="UQI31" s="63"/>
      <c r="UQJ31" s="63"/>
      <c r="UQK31" s="63"/>
      <c r="UQL31" s="63"/>
      <c r="UQM31" s="63"/>
      <c r="UQN31" s="63"/>
      <c r="UQO31" s="63"/>
      <c r="UQP31" s="63"/>
      <c r="UQQ31" s="63"/>
      <c r="UQR31" s="63"/>
      <c r="UQS31" s="63"/>
      <c r="UQT31" s="63"/>
      <c r="UQU31" s="63"/>
      <c r="UQV31" s="63"/>
      <c r="UQW31" s="63"/>
      <c r="UQX31" s="63"/>
      <c r="UQY31" s="63"/>
      <c r="UQZ31" s="63"/>
      <c r="URA31" s="63"/>
      <c r="URB31" s="63"/>
      <c r="URC31" s="63"/>
      <c r="URD31" s="63"/>
      <c r="URE31" s="63"/>
      <c r="URF31" s="63"/>
      <c r="URG31" s="63"/>
      <c r="URH31" s="63"/>
      <c r="URI31" s="63"/>
      <c r="URJ31" s="63"/>
      <c r="URK31" s="63"/>
      <c r="URL31" s="63"/>
      <c r="URM31" s="63"/>
      <c r="URN31" s="63"/>
      <c r="URO31" s="63"/>
      <c r="URP31" s="63"/>
      <c r="URQ31" s="63"/>
      <c r="URR31" s="63"/>
      <c r="URS31" s="63"/>
      <c r="URT31" s="63"/>
      <c r="URU31" s="63"/>
      <c r="URV31" s="63"/>
      <c r="URW31" s="63"/>
      <c r="URX31" s="63"/>
      <c r="URY31" s="63"/>
      <c r="URZ31" s="63"/>
      <c r="USA31" s="63"/>
      <c r="USB31" s="63"/>
      <c r="USC31" s="63"/>
      <c r="USD31" s="63"/>
      <c r="USE31" s="63"/>
      <c r="USF31" s="63"/>
      <c r="USG31" s="63"/>
      <c r="USH31" s="63"/>
      <c r="USI31" s="63"/>
      <c r="USJ31" s="63"/>
      <c r="USK31" s="63"/>
      <c r="USL31" s="63"/>
      <c r="USM31" s="63"/>
      <c r="USN31" s="63"/>
      <c r="USO31" s="63"/>
      <c r="USP31" s="63"/>
      <c r="USQ31" s="63"/>
      <c r="USR31" s="63"/>
      <c r="USS31" s="63"/>
      <c r="UST31" s="63"/>
      <c r="USU31" s="63"/>
      <c r="USV31" s="63"/>
      <c r="USW31" s="63"/>
      <c r="USX31" s="63"/>
      <c r="USY31" s="63"/>
      <c r="USZ31" s="63"/>
      <c r="UTA31" s="63"/>
      <c r="UTB31" s="63"/>
      <c r="UTC31" s="63"/>
      <c r="UTD31" s="63"/>
      <c r="UTE31" s="63"/>
      <c r="UTF31" s="63"/>
      <c r="UTG31" s="63"/>
      <c r="UTH31" s="63"/>
      <c r="UTI31" s="63"/>
      <c r="UTJ31" s="63"/>
      <c r="UTK31" s="63"/>
      <c r="UTL31" s="63"/>
      <c r="UTM31" s="63"/>
      <c r="UTN31" s="63"/>
      <c r="UTO31" s="63"/>
      <c r="UTP31" s="63"/>
      <c r="UTQ31" s="63"/>
      <c r="UTR31" s="63"/>
      <c r="UTS31" s="63"/>
      <c r="UTT31" s="63"/>
      <c r="UTU31" s="63"/>
      <c r="UTV31" s="63"/>
      <c r="UTW31" s="63"/>
      <c r="UTX31" s="63"/>
      <c r="UTY31" s="63"/>
      <c r="UTZ31" s="63"/>
      <c r="UUA31" s="63"/>
      <c r="UUB31" s="63"/>
      <c r="UUC31" s="63"/>
      <c r="UUD31" s="63"/>
      <c r="UUE31" s="63"/>
      <c r="UUF31" s="63"/>
      <c r="UUG31" s="63"/>
      <c r="UUH31" s="63"/>
      <c r="UUI31" s="63"/>
      <c r="UUJ31" s="63"/>
      <c r="UUK31" s="63"/>
      <c r="UUL31" s="63"/>
      <c r="UUM31" s="63"/>
      <c r="UUN31" s="63"/>
      <c r="UUO31" s="63"/>
      <c r="UUP31" s="63"/>
      <c r="UUQ31" s="63"/>
      <c r="UUR31" s="63"/>
      <c r="UUS31" s="63"/>
      <c r="UUT31" s="63"/>
      <c r="UUU31" s="63"/>
      <c r="UUV31" s="63"/>
      <c r="UUW31" s="63"/>
      <c r="UUX31" s="63"/>
      <c r="UUY31" s="63"/>
      <c r="UUZ31" s="63"/>
      <c r="UVA31" s="63"/>
      <c r="UVB31" s="63"/>
      <c r="UVC31" s="63"/>
      <c r="UVD31" s="63"/>
      <c r="UVE31" s="63"/>
      <c r="UVF31" s="63"/>
      <c r="UVG31" s="63"/>
      <c r="UVH31" s="63"/>
      <c r="UVI31" s="63"/>
      <c r="UVJ31" s="63"/>
      <c r="UVK31" s="63"/>
      <c r="UVL31" s="63"/>
      <c r="UVM31" s="63"/>
      <c r="UVN31" s="63"/>
      <c r="UVO31" s="63"/>
      <c r="UVP31" s="63"/>
      <c r="UVQ31" s="63"/>
      <c r="UVR31" s="63"/>
      <c r="UVS31" s="63"/>
      <c r="UVT31" s="63"/>
      <c r="UVU31" s="63"/>
      <c r="UVV31" s="63"/>
      <c r="UVW31" s="63"/>
      <c r="UVX31" s="63"/>
      <c r="UVY31" s="63"/>
      <c r="UVZ31" s="63"/>
      <c r="UWA31" s="63"/>
      <c r="UWB31" s="63"/>
      <c r="UWC31" s="63"/>
      <c r="UWD31" s="63"/>
      <c r="UWE31" s="63"/>
      <c r="UWF31" s="63"/>
      <c r="UWG31" s="63"/>
      <c r="UWH31" s="63"/>
      <c r="UWI31" s="63"/>
      <c r="UWJ31" s="63"/>
      <c r="UWK31" s="63"/>
      <c r="UWL31" s="63"/>
      <c r="UWM31" s="63"/>
      <c r="UWN31" s="63"/>
      <c r="UWO31" s="63"/>
      <c r="UWP31" s="63"/>
      <c r="UWQ31" s="63"/>
      <c r="UWR31" s="63"/>
      <c r="UWS31" s="63"/>
      <c r="UWT31" s="63"/>
      <c r="UWU31" s="63"/>
      <c r="UWV31" s="63"/>
      <c r="UWW31" s="63"/>
      <c r="UWX31" s="63"/>
      <c r="UWY31" s="63"/>
      <c r="UWZ31" s="63"/>
      <c r="UXA31" s="63"/>
      <c r="UXB31" s="63"/>
      <c r="UXC31" s="63"/>
      <c r="UXD31" s="63"/>
      <c r="UXE31" s="63"/>
      <c r="UXF31" s="63"/>
      <c r="UXG31" s="63"/>
      <c r="UXH31" s="63"/>
      <c r="UXI31" s="63"/>
      <c r="UXJ31" s="63"/>
      <c r="UXK31" s="63"/>
      <c r="UXL31" s="63"/>
      <c r="UXM31" s="63"/>
      <c r="UXN31" s="63"/>
      <c r="UXO31" s="63"/>
      <c r="UXP31" s="63"/>
      <c r="UXQ31" s="63"/>
      <c r="UXR31" s="63"/>
      <c r="UXS31" s="63"/>
      <c r="UXT31" s="63"/>
      <c r="UXU31" s="63"/>
      <c r="UXV31" s="63"/>
      <c r="UXW31" s="63"/>
      <c r="UXX31" s="63"/>
      <c r="UXY31" s="63"/>
      <c r="UXZ31" s="63"/>
      <c r="UYA31" s="63"/>
      <c r="UYB31" s="63"/>
      <c r="UYC31" s="63"/>
      <c r="UYD31" s="63"/>
      <c r="UYE31" s="63"/>
      <c r="UYF31" s="63"/>
      <c r="UYG31" s="63"/>
      <c r="UYH31" s="63"/>
      <c r="UYI31" s="63"/>
      <c r="UYJ31" s="63"/>
      <c r="UYK31" s="63"/>
      <c r="UYL31" s="63"/>
      <c r="UYM31" s="63"/>
      <c r="UYN31" s="63"/>
      <c r="UYO31" s="63"/>
      <c r="UYP31" s="63"/>
      <c r="UYQ31" s="63"/>
      <c r="UYR31" s="63"/>
      <c r="UYS31" s="63"/>
      <c r="UYT31" s="63"/>
      <c r="UYU31" s="63"/>
      <c r="UYV31" s="63"/>
      <c r="UYW31" s="63"/>
      <c r="UYX31" s="63"/>
      <c r="UYY31" s="63"/>
      <c r="UYZ31" s="63"/>
      <c r="UZA31" s="63"/>
      <c r="UZB31" s="63"/>
      <c r="UZC31" s="63"/>
      <c r="UZD31" s="63"/>
      <c r="UZE31" s="63"/>
      <c r="UZF31" s="63"/>
      <c r="UZG31" s="63"/>
      <c r="UZH31" s="63"/>
      <c r="UZI31" s="63"/>
      <c r="UZJ31" s="63"/>
      <c r="UZK31" s="63"/>
      <c r="UZL31" s="63"/>
      <c r="UZM31" s="63"/>
      <c r="UZN31" s="63"/>
      <c r="UZO31" s="63"/>
      <c r="UZP31" s="63"/>
      <c r="UZQ31" s="63"/>
      <c r="UZR31" s="63"/>
      <c r="UZS31" s="63"/>
      <c r="UZT31" s="63"/>
      <c r="UZU31" s="63"/>
      <c r="UZV31" s="63"/>
      <c r="UZW31" s="63"/>
      <c r="UZX31" s="63"/>
      <c r="UZY31" s="63"/>
      <c r="UZZ31" s="63"/>
      <c r="VAA31" s="63"/>
      <c r="VAB31" s="63"/>
      <c r="VAC31" s="63"/>
      <c r="VAD31" s="63"/>
      <c r="VAE31" s="63"/>
      <c r="VAF31" s="63"/>
      <c r="VAG31" s="63"/>
      <c r="VAH31" s="63"/>
      <c r="VAI31" s="63"/>
      <c r="VAJ31" s="63"/>
      <c r="VAK31" s="63"/>
      <c r="VAL31" s="63"/>
      <c r="VAM31" s="63"/>
      <c r="VAN31" s="63"/>
      <c r="VAO31" s="63"/>
      <c r="VAP31" s="63"/>
      <c r="VAQ31" s="63"/>
      <c r="VAR31" s="63"/>
      <c r="VAS31" s="63"/>
      <c r="VAT31" s="63"/>
      <c r="VAU31" s="63"/>
      <c r="VAV31" s="63"/>
      <c r="VAW31" s="63"/>
      <c r="VAX31" s="63"/>
      <c r="VAY31" s="63"/>
      <c r="VAZ31" s="63"/>
      <c r="VBA31" s="63"/>
      <c r="VBB31" s="63"/>
      <c r="VBC31" s="63"/>
      <c r="VBD31" s="63"/>
      <c r="VBE31" s="63"/>
      <c r="VBF31" s="63"/>
      <c r="VBG31" s="63"/>
      <c r="VBH31" s="63"/>
      <c r="VBI31" s="63"/>
      <c r="VBJ31" s="63"/>
      <c r="VBK31" s="63"/>
      <c r="VBL31" s="63"/>
      <c r="VBM31" s="63"/>
      <c r="VBN31" s="63"/>
      <c r="VBO31" s="63"/>
      <c r="VBP31" s="63"/>
      <c r="VBQ31" s="63"/>
      <c r="VBR31" s="63"/>
      <c r="VBS31" s="63"/>
      <c r="VBT31" s="63"/>
      <c r="VBU31" s="63"/>
      <c r="VBV31" s="63"/>
      <c r="VBW31" s="63"/>
      <c r="VBX31" s="63"/>
      <c r="VBY31" s="63"/>
      <c r="VBZ31" s="63"/>
      <c r="VCA31" s="63"/>
      <c r="VCB31" s="63"/>
      <c r="VCC31" s="63"/>
      <c r="VCD31" s="63"/>
      <c r="VCE31" s="63"/>
      <c r="VCF31" s="63"/>
      <c r="VCG31" s="63"/>
      <c r="VCH31" s="63"/>
      <c r="VCI31" s="63"/>
      <c r="VCJ31" s="63"/>
      <c r="VCK31" s="63"/>
      <c r="VCL31" s="63"/>
      <c r="VCM31" s="63"/>
      <c r="VCN31" s="63"/>
      <c r="VCO31" s="63"/>
      <c r="VCP31" s="63"/>
      <c r="VCQ31" s="63"/>
      <c r="VCR31" s="63"/>
      <c r="VCS31" s="63"/>
      <c r="VCT31" s="63"/>
      <c r="VCU31" s="63"/>
      <c r="VCV31" s="63"/>
      <c r="VCW31" s="63"/>
      <c r="VCX31" s="63"/>
      <c r="VCY31" s="63"/>
      <c r="VCZ31" s="63"/>
      <c r="VDA31" s="63"/>
      <c r="VDB31" s="63"/>
      <c r="VDC31" s="63"/>
      <c r="VDD31" s="63"/>
      <c r="VDE31" s="63"/>
      <c r="VDF31" s="63"/>
      <c r="VDG31" s="63"/>
      <c r="VDH31" s="63"/>
      <c r="VDI31" s="63"/>
      <c r="VDJ31" s="63"/>
      <c r="VDK31" s="63"/>
      <c r="VDL31" s="63"/>
      <c r="VDM31" s="63"/>
      <c r="VDN31" s="63"/>
      <c r="VDO31" s="63"/>
      <c r="VDP31" s="63"/>
      <c r="VDQ31" s="63"/>
      <c r="VDR31" s="63"/>
      <c r="VDS31" s="63"/>
      <c r="VDT31" s="63"/>
      <c r="VDU31" s="63"/>
      <c r="VDV31" s="63"/>
      <c r="VDW31" s="63"/>
      <c r="VDX31" s="63"/>
      <c r="VDY31" s="63"/>
      <c r="VDZ31" s="63"/>
      <c r="VEA31" s="63"/>
      <c r="VEB31" s="63"/>
      <c r="VEC31" s="63"/>
      <c r="VED31" s="63"/>
      <c r="VEE31" s="63"/>
      <c r="VEF31" s="63"/>
      <c r="VEG31" s="63"/>
      <c r="VEH31" s="63"/>
      <c r="VEI31" s="63"/>
      <c r="VEJ31" s="63"/>
      <c r="VEK31" s="63"/>
      <c r="VEL31" s="63"/>
      <c r="VEM31" s="63"/>
      <c r="VEN31" s="63"/>
      <c r="VEO31" s="63"/>
      <c r="VEP31" s="63"/>
      <c r="VEQ31" s="63"/>
      <c r="VER31" s="63"/>
      <c r="VES31" s="63"/>
      <c r="VET31" s="63"/>
      <c r="VEU31" s="63"/>
      <c r="VEV31" s="63"/>
      <c r="VEW31" s="63"/>
      <c r="VEX31" s="63"/>
      <c r="VEY31" s="63"/>
      <c r="VEZ31" s="63"/>
      <c r="VFA31" s="63"/>
      <c r="VFB31" s="63"/>
      <c r="VFC31" s="63"/>
      <c r="VFD31" s="63"/>
      <c r="VFE31" s="63"/>
      <c r="VFF31" s="63"/>
      <c r="VFG31" s="63"/>
      <c r="VFH31" s="63"/>
      <c r="VFI31" s="63"/>
      <c r="VFJ31" s="63"/>
      <c r="VFK31" s="63"/>
      <c r="VFL31" s="63"/>
      <c r="VFM31" s="63"/>
      <c r="VFN31" s="63"/>
      <c r="VFO31" s="63"/>
      <c r="VFP31" s="63"/>
      <c r="VFQ31" s="63"/>
      <c r="VFR31" s="63"/>
      <c r="VFS31" s="63"/>
      <c r="VFT31" s="63"/>
      <c r="VFU31" s="63"/>
      <c r="VFV31" s="63"/>
      <c r="VFW31" s="63"/>
      <c r="VFX31" s="63"/>
      <c r="VFY31" s="63"/>
      <c r="VFZ31" s="63"/>
      <c r="VGA31" s="63"/>
      <c r="VGB31" s="63"/>
    </row>
    <row r="32" spans="1:15104" x14ac:dyDescent="0.25">
      <c r="C32" s="15"/>
      <c r="D32" s="14" t="s">
        <v>75</v>
      </c>
      <c r="E32" s="256"/>
      <c r="F32" s="20" t="s">
        <v>14</v>
      </c>
      <c r="G32" s="33">
        <f t="shared" ref="G32" si="13">G33+G34</f>
        <v>0</v>
      </c>
      <c r="H32" s="33">
        <f t="shared" ref="H32" si="14">H33+H34</f>
        <v>0</v>
      </c>
      <c r="I32" s="33">
        <f t="shared" ref="I32:AJ32" si="15">I33+I34</f>
        <v>0</v>
      </c>
      <c r="J32" s="33">
        <f t="shared" si="15"/>
        <v>0</v>
      </c>
      <c r="K32" s="33">
        <v>0</v>
      </c>
      <c r="L32" s="33">
        <f t="shared" si="15"/>
        <v>0</v>
      </c>
      <c r="M32" s="33">
        <f t="shared" si="15"/>
        <v>0</v>
      </c>
      <c r="N32" s="33">
        <f t="shared" si="15"/>
        <v>0</v>
      </c>
      <c r="O32" s="33">
        <f t="shared" si="15"/>
        <v>0</v>
      </c>
      <c r="P32" s="33">
        <f t="shared" si="15"/>
        <v>0</v>
      </c>
      <c r="Q32" s="33">
        <f t="shared" si="15"/>
        <v>0</v>
      </c>
      <c r="R32" s="33">
        <f t="shared" si="15"/>
        <v>0</v>
      </c>
      <c r="S32" s="33">
        <f t="shared" si="15"/>
        <v>0</v>
      </c>
      <c r="T32" s="33">
        <f t="shared" si="15"/>
        <v>0</v>
      </c>
      <c r="U32" s="33">
        <f t="shared" si="15"/>
        <v>0</v>
      </c>
      <c r="V32" s="33">
        <f t="shared" si="15"/>
        <v>0</v>
      </c>
      <c r="W32" s="33">
        <f t="shared" si="15"/>
        <v>0</v>
      </c>
      <c r="X32" s="33">
        <f t="shared" si="15"/>
        <v>0</v>
      </c>
      <c r="Y32" s="33">
        <f t="shared" si="15"/>
        <v>0</v>
      </c>
      <c r="Z32" s="33">
        <f t="shared" si="15"/>
        <v>0</v>
      </c>
      <c r="AA32" s="33">
        <f t="shared" si="15"/>
        <v>0</v>
      </c>
      <c r="AB32" s="33">
        <f t="shared" si="15"/>
        <v>0</v>
      </c>
      <c r="AC32" s="33">
        <f t="shared" si="15"/>
        <v>0</v>
      </c>
      <c r="AD32" s="33">
        <f t="shared" si="15"/>
        <v>0</v>
      </c>
      <c r="AE32" s="33">
        <f t="shared" si="15"/>
        <v>0</v>
      </c>
      <c r="AF32" s="33">
        <f t="shared" si="15"/>
        <v>0</v>
      </c>
      <c r="AG32" s="33">
        <f t="shared" si="15"/>
        <v>0</v>
      </c>
      <c r="AH32" s="33">
        <f t="shared" si="15"/>
        <v>0</v>
      </c>
      <c r="AI32" s="33">
        <f t="shared" si="15"/>
        <v>0</v>
      </c>
      <c r="AJ32" s="33">
        <f t="shared" si="15"/>
        <v>0</v>
      </c>
      <c r="AL32" s="55">
        <f>SUM(G32:AJ32)</f>
        <v>0</v>
      </c>
      <c r="AW32" s="1542"/>
    </row>
    <row r="33" spans="1:15056" x14ac:dyDescent="0.25">
      <c r="C33" s="15"/>
      <c r="D33" s="65" t="s">
        <v>106</v>
      </c>
      <c r="E33" s="256"/>
      <c r="F33" s="66" t="s">
        <v>14</v>
      </c>
      <c r="G33" s="271">
        <v>0</v>
      </c>
      <c r="H33" s="271">
        <v>0</v>
      </c>
      <c r="I33" s="271">
        <v>0</v>
      </c>
      <c r="J33" s="271">
        <v>0</v>
      </c>
      <c r="K33" s="271">
        <v>0</v>
      </c>
      <c r="L33" s="271">
        <v>0</v>
      </c>
      <c r="M33" s="271">
        <v>0</v>
      </c>
      <c r="N33" s="271">
        <v>0</v>
      </c>
      <c r="O33" s="271">
        <v>0</v>
      </c>
      <c r="P33" s="271">
        <v>0</v>
      </c>
      <c r="Q33" s="271">
        <v>0</v>
      </c>
      <c r="R33" s="271">
        <v>0</v>
      </c>
      <c r="S33" s="271">
        <v>0</v>
      </c>
      <c r="T33" s="271">
        <v>0</v>
      </c>
      <c r="U33" s="271">
        <v>0</v>
      </c>
      <c r="V33" s="271">
        <v>0</v>
      </c>
      <c r="W33" s="271">
        <v>0</v>
      </c>
      <c r="X33" s="271">
        <v>0</v>
      </c>
      <c r="Y33" s="271">
        <v>0</v>
      </c>
      <c r="Z33" s="271">
        <v>0</v>
      </c>
      <c r="AA33" s="271">
        <v>0</v>
      </c>
      <c r="AB33" s="271">
        <v>0</v>
      </c>
      <c r="AC33" s="271">
        <v>0</v>
      </c>
      <c r="AD33" s="271">
        <v>0</v>
      </c>
      <c r="AE33" s="271">
        <v>0</v>
      </c>
      <c r="AF33" s="271">
        <v>0</v>
      </c>
      <c r="AG33" s="271">
        <v>0</v>
      </c>
      <c r="AH33" s="271">
        <v>0</v>
      </c>
      <c r="AI33" s="271">
        <v>0</v>
      </c>
      <c r="AJ33" s="271">
        <v>0</v>
      </c>
      <c r="AL33" s="58">
        <f>SUM(G33:AJ33)</f>
        <v>0</v>
      </c>
    </row>
    <row r="34" spans="1:15056" ht="17.25" x14ac:dyDescent="0.25">
      <c r="C34" s="15"/>
      <c r="D34" s="65" t="s">
        <v>73</v>
      </c>
      <c r="E34" s="256"/>
      <c r="F34" s="66" t="s">
        <v>14</v>
      </c>
      <c r="G34" s="271">
        <v>0</v>
      </c>
      <c r="H34" s="271">
        <v>0</v>
      </c>
      <c r="I34" s="271">
        <v>0</v>
      </c>
      <c r="J34" s="271">
        <v>0</v>
      </c>
      <c r="K34" s="271">
        <v>0</v>
      </c>
      <c r="L34" s="271">
        <v>0</v>
      </c>
      <c r="M34" s="271">
        <v>0</v>
      </c>
      <c r="N34" s="271">
        <v>0</v>
      </c>
      <c r="O34" s="271">
        <v>0</v>
      </c>
      <c r="P34" s="271">
        <v>0</v>
      </c>
      <c r="Q34" s="271">
        <v>0</v>
      </c>
      <c r="R34" s="271">
        <v>0</v>
      </c>
      <c r="S34" s="271">
        <v>0</v>
      </c>
      <c r="T34" s="271">
        <v>0</v>
      </c>
      <c r="U34" s="271">
        <v>0</v>
      </c>
      <c r="V34" s="271">
        <v>0</v>
      </c>
      <c r="W34" s="271">
        <v>0</v>
      </c>
      <c r="X34" s="271">
        <v>0</v>
      </c>
      <c r="Y34" s="271">
        <v>0</v>
      </c>
      <c r="Z34" s="271">
        <v>0</v>
      </c>
      <c r="AA34" s="271">
        <v>0</v>
      </c>
      <c r="AB34" s="271">
        <v>0</v>
      </c>
      <c r="AC34" s="271">
        <v>0</v>
      </c>
      <c r="AD34" s="271">
        <v>0</v>
      </c>
      <c r="AE34" s="271">
        <v>0</v>
      </c>
      <c r="AF34" s="271">
        <v>0</v>
      </c>
      <c r="AG34" s="271">
        <v>0</v>
      </c>
      <c r="AH34" s="271">
        <v>0</v>
      </c>
      <c r="AI34" s="271">
        <v>0</v>
      </c>
      <c r="AJ34" s="271">
        <v>0</v>
      </c>
      <c r="AL34" s="58">
        <f>SUM(G34:AJ34)</f>
        <v>0</v>
      </c>
      <c r="AR34" s="1541"/>
    </row>
    <row r="35" spans="1:15056" x14ac:dyDescent="0.25">
      <c r="C35" s="15"/>
      <c r="D35" s="231" t="s">
        <v>108</v>
      </c>
      <c r="E35" s="234"/>
      <c r="F35" s="233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L35" s="67" t="s">
        <v>109</v>
      </c>
    </row>
    <row r="36" spans="1:15056" s="74" customFormat="1" x14ac:dyDescent="0.2">
      <c r="A36" s="16"/>
      <c r="B36" s="16"/>
      <c r="C36" s="17"/>
      <c r="D36" s="11" t="s">
        <v>71</v>
      </c>
      <c r="E36" s="257"/>
      <c r="F36" s="12" t="s">
        <v>14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16"/>
      <c r="AL36" s="55">
        <f>SUM(G36:AJ36)</f>
        <v>0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4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</row>
    <row r="37" spans="1:15056" s="1" customFormat="1" x14ac:dyDescent="0.25">
      <c r="C37" s="15"/>
      <c r="D37" s="14" t="s">
        <v>70</v>
      </c>
      <c r="E37" s="256"/>
      <c r="F37" s="20" t="s">
        <v>14</v>
      </c>
      <c r="G37" s="33">
        <f t="shared" ref="G37" si="16">G38+G39</f>
        <v>0</v>
      </c>
      <c r="H37" s="33">
        <f>H38+H39</f>
        <v>0</v>
      </c>
      <c r="I37" s="33">
        <f t="shared" ref="I37:AJ37" si="17">I38+I39</f>
        <v>0</v>
      </c>
      <c r="J37" s="33">
        <f t="shared" si="17"/>
        <v>0</v>
      </c>
      <c r="K37" s="33">
        <v>0</v>
      </c>
      <c r="L37" s="33">
        <f t="shared" si="17"/>
        <v>0</v>
      </c>
      <c r="M37" s="33">
        <f t="shared" si="17"/>
        <v>0</v>
      </c>
      <c r="N37" s="33">
        <f t="shared" si="17"/>
        <v>0</v>
      </c>
      <c r="O37" s="33">
        <f t="shared" si="17"/>
        <v>0</v>
      </c>
      <c r="P37" s="33">
        <f t="shared" si="17"/>
        <v>0</v>
      </c>
      <c r="Q37" s="33">
        <f t="shared" si="17"/>
        <v>0</v>
      </c>
      <c r="R37" s="33">
        <f t="shared" si="17"/>
        <v>0</v>
      </c>
      <c r="S37" s="33">
        <f t="shared" si="17"/>
        <v>0</v>
      </c>
      <c r="T37" s="33">
        <f t="shared" si="17"/>
        <v>0</v>
      </c>
      <c r="U37" s="33">
        <f t="shared" si="17"/>
        <v>0</v>
      </c>
      <c r="V37" s="33">
        <f t="shared" si="17"/>
        <v>0</v>
      </c>
      <c r="W37" s="33">
        <f t="shared" si="17"/>
        <v>0</v>
      </c>
      <c r="X37" s="33">
        <f t="shared" si="17"/>
        <v>0</v>
      </c>
      <c r="Y37" s="33">
        <f t="shared" si="17"/>
        <v>0</v>
      </c>
      <c r="Z37" s="33">
        <f t="shared" si="17"/>
        <v>0</v>
      </c>
      <c r="AA37" s="33">
        <f t="shared" si="17"/>
        <v>0</v>
      </c>
      <c r="AB37" s="33">
        <f t="shared" si="17"/>
        <v>0</v>
      </c>
      <c r="AC37" s="33">
        <f t="shared" si="17"/>
        <v>0</v>
      </c>
      <c r="AD37" s="33">
        <f t="shared" si="17"/>
        <v>0</v>
      </c>
      <c r="AE37" s="33">
        <f t="shared" si="17"/>
        <v>0</v>
      </c>
      <c r="AF37" s="33">
        <f t="shared" si="17"/>
        <v>0</v>
      </c>
      <c r="AG37" s="33">
        <f t="shared" si="17"/>
        <v>0</v>
      </c>
      <c r="AH37" s="33">
        <f t="shared" si="17"/>
        <v>0</v>
      </c>
      <c r="AI37" s="33">
        <f t="shared" si="17"/>
        <v>0</v>
      </c>
      <c r="AJ37" s="33">
        <f t="shared" si="17"/>
        <v>0</v>
      </c>
      <c r="AL37" s="55">
        <f>SUM(G37:AJ37)</f>
        <v>0</v>
      </c>
      <c r="CM37" s="143"/>
    </row>
    <row r="38" spans="1:15056" s="1" customFormat="1" x14ac:dyDescent="0.25">
      <c r="C38" s="15"/>
      <c r="D38" s="65" t="s">
        <v>110</v>
      </c>
      <c r="E38" s="256"/>
      <c r="F38" s="66" t="s">
        <v>14</v>
      </c>
      <c r="G38" s="271">
        <v>0</v>
      </c>
      <c r="H38" s="271">
        <v>0</v>
      </c>
      <c r="I38" s="271">
        <v>0</v>
      </c>
      <c r="J38" s="271">
        <v>0</v>
      </c>
      <c r="K38" s="271">
        <v>0</v>
      </c>
      <c r="L38" s="271">
        <v>0</v>
      </c>
      <c r="M38" s="271">
        <v>0</v>
      </c>
      <c r="N38" s="271">
        <v>0</v>
      </c>
      <c r="O38" s="271">
        <v>0</v>
      </c>
      <c r="P38" s="271">
        <v>0</v>
      </c>
      <c r="Q38" s="271">
        <v>0</v>
      </c>
      <c r="R38" s="271">
        <v>0</v>
      </c>
      <c r="S38" s="271">
        <v>0</v>
      </c>
      <c r="T38" s="271">
        <v>0</v>
      </c>
      <c r="U38" s="271">
        <v>0</v>
      </c>
      <c r="V38" s="271">
        <v>0</v>
      </c>
      <c r="W38" s="271">
        <v>0</v>
      </c>
      <c r="X38" s="271">
        <v>0</v>
      </c>
      <c r="Y38" s="271">
        <v>0</v>
      </c>
      <c r="Z38" s="271">
        <v>0</v>
      </c>
      <c r="AA38" s="271">
        <v>0</v>
      </c>
      <c r="AB38" s="271">
        <v>0</v>
      </c>
      <c r="AC38" s="271">
        <v>0</v>
      </c>
      <c r="AD38" s="271">
        <v>0</v>
      </c>
      <c r="AE38" s="271">
        <v>0</v>
      </c>
      <c r="AF38" s="271">
        <v>0</v>
      </c>
      <c r="AG38" s="271">
        <v>0</v>
      </c>
      <c r="AH38" s="271">
        <v>0</v>
      </c>
      <c r="AI38" s="271">
        <v>0</v>
      </c>
      <c r="AJ38" s="271">
        <v>0</v>
      </c>
      <c r="AL38" s="58">
        <f>SUM(G38:AJ38)</f>
        <v>0</v>
      </c>
      <c r="CM38" s="143"/>
    </row>
    <row r="39" spans="1:15056" s="1" customFormat="1" x14ac:dyDescent="0.25">
      <c r="C39" s="15"/>
      <c r="D39" s="56" t="s">
        <v>73</v>
      </c>
      <c r="E39" s="256"/>
      <c r="F39" s="66" t="s">
        <v>14</v>
      </c>
      <c r="G39" s="272">
        <v>0</v>
      </c>
      <c r="H39" s="272">
        <v>0</v>
      </c>
      <c r="I39" s="272">
        <v>0</v>
      </c>
      <c r="J39" s="272">
        <v>0</v>
      </c>
      <c r="K39" s="272">
        <v>0</v>
      </c>
      <c r="L39" s="272">
        <v>0</v>
      </c>
      <c r="M39" s="272">
        <v>0</v>
      </c>
      <c r="N39" s="272">
        <v>0</v>
      </c>
      <c r="O39" s="272">
        <v>0</v>
      </c>
      <c r="P39" s="272">
        <v>0</v>
      </c>
      <c r="Q39" s="272">
        <v>0</v>
      </c>
      <c r="R39" s="272">
        <v>0</v>
      </c>
      <c r="S39" s="272">
        <v>0</v>
      </c>
      <c r="T39" s="272">
        <v>0</v>
      </c>
      <c r="U39" s="272">
        <v>0</v>
      </c>
      <c r="V39" s="272">
        <v>0</v>
      </c>
      <c r="W39" s="272">
        <v>0</v>
      </c>
      <c r="X39" s="272">
        <v>0</v>
      </c>
      <c r="Y39" s="272">
        <v>0</v>
      </c>
      <c r="Z39" s="272">
        <v>0</v>
      </c>
      <c r="AA39" s="272">
        <v>0</v>
      </c>
      <c r="AB39" s="272">
        <v>0</v>
      </c>
      <c r="AC39" s="272">
        <v>0</v>
      </c>
      <c r="AD39" s="272">
        <v>0</v>
      </c>
      <c r="AE39" s="272">
        <v>0</v>
      </c>
      <c r="AF39" s="272">
        <v>0</v>
      </c>
      <c r="AG39" s="272">
        <v>0</v>
      </c>
      <c r="AH39" s="272">
        <v>0</v>
      </c>
      <c r="AI39" s="272">
        <v>0</v>
      </c>
      <c r="AJ39" s="272">
        <v>0</v>
      </c>
      <c r="AL39" s="58">
        <f>SUM(G39:AJ39)</f>
        <v>0</v>
      </c>
      <c r="CM39" s="143"/>
    </row>
    <row r="40" spans="1:15056" s="71" customFormat="1" x14ac:dyDescent="0.25">
      <c r="A40" s="63"/>
      <c r="B40" s="63"/>
      <c r="C40" s="69"/>
      <c r="D40" s="231" t="s">
        <v>111</v>
      </c>
      <c r="E40" s="306"/>
      <c r="F40" s="9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63"/>
      <c r="AL40" s="67" t="s">
        <v>112</v>
      </c>
      <c r="AM40" s="63"/>
      <c r="AN40" s="63"/>
      <c r="AO40" s="63"/>
      <c r="AP40" s="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144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  <c r="FM40" s="63"/>
      <c r="FN40" s="63"/>
      <c r="FO40" s="63"/>
      <c r="FP40" s="63"/>
      <c r="FQ40" s="63"/>
      <c r="FR40" s="63"/>
      <c r="FS40" s="63"/>
      <c r="FT40" s="63"/>
      <c r="FU40" s="63"/>
      <c r="FV40" s="63"/>
      <c r="FW40" s="63"/>
      <c r="FX40" s="63"/>
      <c r="FY40" s="63"/>
      <c r="FZ40" s="63"/>
      <c r="GA40" s="63"/>
      <c r="GB40" s="63"/>
      <c r="GC40" s="63"/>
      <c r="GD40" s="63"/>
      <c r="GE40" s="63"/>
      <c r="GF40" s="63"/>
      <c r="GG40" s="63"/>
      <c r="GH40" s="63"/>
      <c r="GI40" s="63"/>
      <c r="GJ40" s="63"/>
      <c r="GK40" s="63"/>
      <c r="GL40" s="63"/>
      <c r="GM40" s="63"/>
      <c r="GN40" s="63"/>
      <c r="GO40" s="63"/>
      <c r="GP40" s="63"/>
      <c r="GQ40" s="63"/>
      <c r="GR40" s="63"/>
      <c r="GS40" s="63"/>
      <c r="GT40" s="63"/>
      <c r="GU40" s="63"/>
      <c r="GV40" s="63"/>
      <c r="GW40" s="63"/>
      <c r="GX40" s="63"/>
      <c r="GY40" s="63"/>
      <c r="GZ40" s="63"/>
      <c r="HA40" s="63"/>
      <c r="HB40" s="63"/>
      <c r="HC40" s="63"/>
      <c r="HD40" s="63"/>
      <c r="HE40" s="63"/>
      <c r="HF40" s="63"/>
      <c r="HG40" s="63"/>
      <c r="HH40" s="63"/>
      <c r="HI40" s="63"/>
      <c r="HJ40" s="63"/>
      <c r="HK40" s="63"/>
      <c r="HL40" s="63"/>
      <c r="HM40" s="63"/>
      <c r="HN40" s="63"/>
      <c r="HO40" s="63"/>
      <c r="HP40" s="63"/>
      <c r="HQ40" s="63"/>
      <c r="HR40" s="63"/>
      <c r="HS40" s="63"/>
      <c r="HT40" s="63"/>
      <c r="HU40" s="63"/>
      <c r="HV40" s="63"/>
      <c r="HW40" s="63"/>
      <c r="HX40" s="63"/>
      <c r="HY40" s="63"/>
      <c r="HZ40" s="63"/>
      <c r="IA40" s="63"/>
      <c r="IB40" s="63"/>
      <c r="IC40" s="63"/>
      <c r="ID40" s="63"/>
      <c r="IE40" s="63"/>
      <c r="IF40" s="63"/>
      <c r="IG40" s="63"/>
      <c r="IH40" s="63"/>
      <c r="II40" s="63"/>
      <c r="IJ40" s="63"/>
      <c r="IK40" s="63"/>
      <c r="IL40" s="63"/>
      <c r="IM40" s="63"/>
      <c r="IN40" s="63"/>
      <c r="IO40" s="63"/>
      <c r="IP40" s="63"/>
      <c r="IQ40" s="63"/>
      <c r="IR40" s="63"/>
      <c r="IS40" s="63"/>
      <c r="IT40" s="63"/>
      <c r="IU40" s="63"/>
      <c r="IV40" s="63"/>
      <c r="IW40" s="63"/>
      <c r="IX40" s="63"/>
      <c r="IY40" s="63"/>
      <c r="IZ40" s="63"/>
      <c r="JA40" s="63"/>
      <c r="JB40" s="63"/>
      <c r="JC40" s="63"/>
      <c r="JD40" s="63"/>
      <c r="JE40" s="63"/>
      <c r="JF40" s="63"/>
      <c r="JG40" s="63"/>
      <c r="JH40" s="63"/>
      <c r="JI40" s="63"/>
      <c r="JJ40" s="63"/>
      <c r="JK40" s="63"/>
      <c r="JL40" s="63"/>
      <c r="JM40" s="63"/>
      <c r="JN40" s="63"/>
      <c r="JO40" s="63"/>
      <c r="JP40" s="63"/>
      <c r="JQ40" s="63"/>
      <c r="JR40" s="63"/>
      <c r="JS40" s="63"/>
      <c r="JT40" s="63"/>
      <c r="JU40" s="63"/>
      <c r="JV40" s="63"/>
      <c r="JW40" s="63"/>
      <c r="JX40" s="63"/>
      <c r="JY40" s="63"/>
      <c r="JZ40" s="63"/>
      <c r="KA40" s="63"/>
      <c r="KB40" s="63"/>
      <c r="KC40" s="63"/>
      <c r="KD40" s="63"/>
      <c r="KE40" s="63"/>
      <c r="KF40" s="63"/>
      <c r="KG40" s="63"/>
      <c r="KH40" s="63"/>
      <c r="KI40" s="63"/>
      <c r="KJ40" s="63"/>
      <c r="KK40" s="63"/>
      <c r="KL40" s="63"/>
      <c r="KM40" s="63"/>
      <c r="KN40" s="63"/>
      <c r="KO40" s="63"/>
      <c r="KP40" s="63"/>
      <c r="KQ40" s="63"/>
      <c r="KR40" s="63"/>
      <c r="KS40" s="63"/>
      <c r="KT40" s="63"/>
      <c r="KU40" s="63"/>
      <c r="KV40" s="63"/>
      <c r="KW40" s="63"/>
      <c r="KX40" s="63"/>
      <c r="KY40" s="63"/>
      <c r="KZ40" s="63"/>
      <c r="LA40" s="63"/>
      <c r="LB40" s="63"/>
      <c r="LC40" s="63"/>
      <c r="LD40" s="63"/>
      <c r="LE40" s="63"/>
      <c r="LF40" s="63"/>
      <c r="LG40" s="63"/>
      <c r="LH40" s="63"/>
      <c r="LI40" s="63"/>
      <c r="LJ40" s="63"/>
      <c r="LK40" s="63"/>
      <c r="LL40" s="63"/>
      <c r="LM40" s="63"/>
      <c r="LN40" s="63"/>
      <c r="LO40" s="63"/>
      <c r="LP40" s="63"/>
      <c r="LQ40" s="63"/>
      <c r="LR40" s="63"/>
      <c r="LS40" s="63"/>
      <c r="LT40" s="63"/>
      <c r="LU40" s="63"/>
      <c r="LV40" s="63"/>
      <c r="LW40" s="63"/>
      <c r="LX40" s="63"/>
      <c r="LY40" s="63"/>
      <c r="LZ40" s="63"/>
      <c r="MA40" s="63"/>
      <c r="MB40" s="63"/>
      <c r="MC40" s="63"/>
      <c r="MD40" s="63"/>
      <c r="ME40" s="63"/>
      <c r="MF40" s="63"/>
      <c r="MG40" s="63"/>
      <c r="MH40" s="63"/>
      <c r="MI40" s="63"/>
      <c r="MJ40" s="63"/>
      <c r="MK40" s="63"/>
      <c r="ML40" s="63"/>
      <c r="MM40" s="63"/>
      <c r="MN40" s="63"/>
      <c r="MO40" s="63"/>
      <c r="MP40" s="63"/>
      <c r="MQ40" s="63"/>
      <c r="MR40" s="63"/>
      <c r="MS40" s="63"/>
      <c r="MT40" s="63"/>
      <c r="MU40" s="63"/>
      <c r="MV40" s="63"/>
      <c r="MW40" s="63"/>
      <c r="MX40" s="63"/>
      <c r="MY40" s="63"/>
      <c r="MZ40" s="63"/>
      <c r="NA40" s="63"/>
      <c r="NB40" s="63"/>
      <c r="NC40" s="63"/>
      <c r="ND40" s="63"/>
      <c r="NE40" s="63"/>
      <c r="NF40" s="63"/>
      <c r="NG40" s="63"/>
      <c r="NH40" s="63"/>
      <c r="NI40" s="63"/>
      <c r="NJ40" s="63"/>
      <c r="NK40" s="63"/>
      <c r="NL40" s="63"/>
      <c r="NM40" s="63"/>
      <c r="NN40" s="63"/>
      <c r="NO40" s="63"/>
      <c r="NP40" s="63"/>
      <c r="NQ40" s="63"/>
      <c r="NR40" s="63"/>
      <c r="NS40" s="63"/>
      <c r="NT40" s="63"/>
      <c r="NU40" s="63"/>
      <c r="NV40" s="63"/>
      <c r="NW40" s="63"/>
      <c r="NX40" s="63"/>
      <c r="NY40" s="63"/>
      <c r="NZ40" s="63"/>
      <c r="OA40" s="63"/>
      <c r="OB40" s="63"/>
      <c r="OC40" s="63"/>
      <c r="OD40" s="63"/>
      <c r="OE40" s="63"/>
      <c r="OF40" s="63"/>
      <c r="OG40" s="63"/>
      <c r="OH40" s="63"/>
      <c r="OI40" s="63"/>
      <c r="OJ40" s="63"/>
      <c r="OK40" s="63"/>
      <c r="OL40" s="63"/>
      <c r="OM40" s="63"/>
      <c r="ON40" s="63"/>
      <c r="OO40" s="63"/>
      <c r="OP40" s="63"/>
      <c r="OQ40" s="63"/>
      <c r="OR40" s="63"/>
      <c r="OS40" s="63"/>
      <c r="OT40" s="63"/>
      <c r="OU40" s="63"/>
      <c r="OV40" s="63"/>
      <c r="OW40" s="63"/>
      <c r="OX40" s="63"/>
      <c r="OY40" s="63"/>
      <c r="OZ40" s="63"/>
      <c r="PA40" s="63"/>
      <c r="PB40" s="63"/>
      <c r="PC40" s="63"/>
      <c r="PD40" s="63"/>
      <c r="PE40" s="63"/>
      <c r="PF40" s="63"/>
      <c r="PG40" s="63"/>
      <c r="PH40" s="63"/>
      <c r="PI40" s="63"/>
      <c r="PJ40" s="63"/>
      <c r="PK40" s="63"/>
      <c r="PL40" s="63"/>
      <c r="PM40" s="63"/>
      <c r="PN40" s="63"/>
      <c r="PO40" s="63"/>
      <c r="PP40" s="63"/>
      <c r="PQ40" s="63"/>
      <c r="PR40" s="63"/>
      <c r="PS40" s="63"/>
      <c r="PT40" s="63"/>
      <c r="PU40" s="63"/>
      <c r="PV40" s="63"/>
      <c r="PW40" s="63"/>
      <c r="PX40" s="63"/>
      <c r="PY40" s="63"/>
      <c r="PZ40" s="63"/>
      <c r="QA40" s="63"/>
      <c r="QB40" s="63"/>
      <c r="QC40" s="63"/>
      <c r="QD40" s="63"/>
      <c r="QE40" s="63"/>
      <c r="QF40" s="63"/>
      <c r="QG40" s="63"/>
      <c r="QH40" s="63"/>
      <c r="QI40" s="63"/>
      <c r="QJ40" s="63"/>
      <c r="QK40" s="63"/>
      <c r="QL40" s="63"/>
      <c r="QM40" s="63"/>
      <c r="QN40" s="63"/>
      <c r="QO40" s="63"/>
      <c r="QP40" s="63"/>
      <c r="QQ40" s="63"/>
      <c r="QR40" s="63"/>
      <c r="QS40" s="63"/>
      <c r="QT40" s="63"/>
      <c r="QU40" s="63"/>
      <c r="QV40" s="63"/>
      <c r="QW40" s="63"/>
      <c r="QX40" s="63"/>
      <c r="QY40" s="63"/>
      <c r="QZ40" s="63"/>
      <c r="RA40" s="63"/>
      <c r="RB40" s="63"/>
      <c r="RC40" s="63"/>
      <c r="RD40" s="63"/>
      <c r="RE40" s="63"/>
      <c r="RF40" s="63"/>
      <c r="RG40" s="63"/>
      <c r="RH40" s="63"/>
      <c r="RI40" s="63"/>
      <c r="RJ40" s="63"/>
      <c r="RK40" s="63"/>
      <c r="RL40" s="63"/>
      <c r="RM40" s="63"/>
      <c r="RN40" s="63"/>
      <c r="RO40" s="63"/>
      <c r="RP40" s="63"/>
      <c r="RQ40" s="63"/>
      <c r="RR40" s="63"/>
      <c r="RS40" s="63"/>
      <c r="RT40" s="63"/>
      <c r="RU40" s="63"/>
      <c r="RV40" s="63"/>
      <c r="RW40" s="63"/>
      <c r="RX40" s="63"/>
      <c r="RY40" s="63"/>
      <c r="RZ40" s="63"/>
      <c r="SA40" s="63"/>
      <c r="SB40" s="63"/>
      <c r="SC40" s="63"/>
      <c r="SD40" s="63"/>
      <c r="SE40" s="63"/>
      <c r="SF40" s="63"/>
      <c r="SG40" s="63"/>
      <c r="SH40" s="63"/>
      <c r="SI40" s="63"/>
      <c r="SJ40" s="63"/>
      <c r="SK40" s="63"/>
      <c r="SL40" s="63"/>
      <c r="SM40" s="63"/>
      <c r="SN40" s="63"/>
      <c r="SO40" s="63"/>
      <c r="SP40" s="63"/>
      <c r="SQ40" s="63"/>
      <c r="SR40" s="63"/>
      <c r="SS40" s="63"/>
      <c r="ST40" s="63"/>
      <c r="SU40" s="63"/>
      <c r="SV40" s="63"/>
      <c r="SW40" s="63"/>
      <c r="SX40" s="63"/>
      <c r="SY40" s="63"/>
      <c r="SZ40" s="63"/>
      <c r="TA40" s="63"/>
      <c r="TB40" s="63"/>
      <c r="TC40" s="63"/>
      <c r="TD40" s="63"/>
      <c r="TE40" s="63"/>
      <c r="TF40" s="63"/>
      <c r="TG40" s="63"/>
      <c r="TH40" s="63"/>
      <c r="TI40" s="63"/>
      <c r="TJ40" s="63"/>
      <c r="TK40" s="63"/>
      <c r="TL40" s="63"/>
      <c r="TM40" s="63"/>
      <c r="TN40" s="63"/>
      <c r="TO40" s="63"/>
      <c r="TP40" s="63"/>
      <c r="TQ40" s="63"/>
      <c r="TR40" s="63"/>
      <c r="TS40" s="63"/>
      <c r="TT40" s="63"/>
      <c r="TU40" s="63"/>
      <c r="TV40" s="63"/>
      <c r="TW40" s="63"/>
      <c r="TX40" s="63"/>
      <c r="TY40" s="63"/>
      <c r="TZ40" s="63"/>
      <c r="UA40" s="63"/>
      <c r="UB40" s="63"/>
      <c r="UC40" s="63"/>
      <c r="UD40" s="63"/>
      <c r="UE40" s="63"/>
      <c r="UF40" s="63"/>
      <c r="UG40" s="63"/>
      <c r="UH40" s="63"/>
      <c r="UI40" s="63"/>
      <c r="UJ40" s="63"/>
      <c r="UK40" s="63"/>
      <c r="UL40" s="63"/>
      <c r="UM40" s="63"/>
      <c r="UN40" s="63"/>
      <c r="UO40" s="63"/>
      <c r="UP40" s="63"/>
      <c r="UQ40" s="63"/>
      <c r="UR40" s="63"/>
      <c r="US40" s="63"/>
      <c r="UT40" s="63"/>
      <c r="UU40" s="63"/>
      <c r="UV40" s="63"/>
      <c r="UW40" s="63"/>
      <c r="UX40" s="63"/>
      <c r="UY40" s="63"/>
      <c r="UZ40" s="63"/>
      <c r="VA40" s="63"/>
      <c r="VB40" s="63"/>
      <c r="VC40" s="63"/>
      <c r="VD40" s="63"/>
      <c r="VE40" s="63"/>
      <c r="VF40" s="63"/>
      <c r="VG40" s="63"/>
      <c r="VH40" s="63"/>
      <c r="VI40" s="63"/>
      <c r="VJ40" s="63"/>
      <c r="VK40" s="63"/>
      <c r="VL40" s="63"/>
      <c r="VM40" s="63"/>
      <c r="VN40" s="63"/>
      <c r="VO40" s="63"/>
      <c r="VP40" s="63"/>
      <c r="VQ40" s="63"/>
      <c r="VR40" s="63"/>
      <c r="VS40" s="63"/>
      <c r="VT40" s="63"/>
      <c r="VU40" s="63"/>
      <c r="VV40" s="63"/>
      <c r="VW40" s="63"/>
      <c r="VX40" s="63"/>
      <c r="VY40" s="63"/>
      <c r="VZ40" s="63"/>
      <c r="WA40" s="63"/>
      <c r="WB40" s="63"/>
      <c r="WC40" s="63"/>
      <c r="WD40" s="63"/>
      <c r="WE40" s="63"/>
      <c r="WF40" s="63"/>
      <c r="WG40" s="63"/>
      <c r="WH40" s="63"/>
      <c r="WI40" s="63"/>
      <c r="WJ40" s="63"/>
      <c r="WK40" s="63"/>
      <c r="WL40" s="63"/>
      <c r="WM40" s="63"/>
      <c r="WN40" s="63"/>
      <c r="WO40" s="63"/>
      <c r="WP40" s="63"/>
      <c r="WQ40" s="63"/>
      <c r="WR40" s="63"/>
      <c r="WS40" s="63"/>
      <c r="WT40" s="63"/>
      <c r="WU40" s="63"/>
      <c r="WV40" s="63"/>
      <c r="WW40" s="63"/>
      <c r="WX40" s="63"/>
      <c r="WY40" s="63"/>
      <c r="WZ40" s="63"/>
      <c r="XA40" s="63"/>
      <c r="XB40" s="63"/>
      <c r="XC40" s="63"/>
      <c r="XD40" s="63"/>
      <c r="XE40" s="63"/>
      <c r="XF40" s="63"/>
      <c r="XG40" s="63"/>
      <c r="XH40" s="63"/>
      <c r="XI40" s="63"/>
      <c r="XJ40" s="63"/>
      <c r="XK40" s="63"/>
      <c r="XL40" s="63"/>
      <c r="XM40" s="63"/>
      <c r="XN40" s="63"/>
      <c r="XO40" s="63"/>
      <c r="XP40" s="63"/>
      <c r="XQ40" s="63"/>
      <c r="XR40" s="63"/>
      <c r="XS40" s="63"/>
      <c r="XT40" s="63"/>
      <c r="XU40" s="63"/>
      <c r="XV40" s="63"/>
      <c r="XW40" s="63"/>
      <c r="XX40" s="63"/>
      <c r="XY40" s="63"/>
      <c r="XZ40" s="63"/>
      <c r="YA40" s="63"/>
      <c r="YB40" s="63"/>
      <c r="YC40" s="63"/>
      <c r="YD40" s="63"/>
      <c r="YE40" s="63"/>
      <c r="YF40" s="63"/>
      <c r="YG40" s="63"/>
      <c r="YH40" s="63"/>
      <c r="YI40" s="63"/>
      <c r="YJ40" s="63"/>
      <c r="YK40" s="63"/>
      <c r="YL40" s="63"/>
      <c r="YM40" s="63"/>
      <c r="YN40" s="63"/>
      <c r="YO40" s="63"/>
      <c r="YP40" s="63"/>
      <c r="YQ40" s="63"/>
      <c r="YR40" s="63"/>
      <c r="YS40" s="63"/>
      <c r="YT40" s="63"/>
      <c r="YU40" s="63"/>
      <c r="YV40" s="63"/>
      <c r="YW40" s="63"/>
      <c r="YX40" s="63"/>
      <c r="YY40" s="63"/>
      <c r="YZ40" s="63"/>
      <c r="ZA40" s="63"/>
      <c r="ZB40" s="63"/>
      <c r="ZC40" s="63"/>
      <c r="ZD40" s="63"/>
      <c r="ZE40" s="63"/>
      <c r="ZF40" s="63"/>
      <c r="ZG40" s="63"/>
      <c r="ZH40" s="63"/>
      <c r="ZI40" s="63"/>
      <c r="ZJ40" s="63"/>
      <c r="ZK40" s="63"/>
      <c r="ZL40" s="63"/>
      <c r="ZM40" s="63"/>
      <c r="ZN40" s="63"/>
      <c r="ZO40" s="63"/>
      <c r="ZP40" s="63"/>
      <c r="ZQ40" s="63"/>
      <c r="ZR40" s="63"/>
      <c r="ZS40" s="63"/>
      <c r="ZT40" s="63"/>
      <c r="ZU40" s="63"/>
      <c r="ZV40" s="63"/>
      <c r="ZW40" s="63"/>
      <c r="ZX40" s="63"/>
      <c r="ZY40" s="63"/>
      <c r="ZZ40" s="63"/>
      <c r="AAA40" s="63"/>
      <c r="AAB40" s="63"/>
      <c r="AAC40" s="63"/>
      <c r="AAD40" s="63"/>
      <c r="AAE40" s="63"/>
      <c r="AAF40" s="63"/>
      <c r="AAG40" s="63"/>
      <c r="AAH40" s="63"/>
      <c r="AAI40" s="63"/>
      <c r="AAJ40" s="63"/>
      <c r="AAK40" s="63"/>
      <c r="AAL40" s="63"/>
      <c r="AAM40" s="63"/>
      <c r="AAN40" s="63"/>
      <c r="AAO40" s="63"/>
      <c r="AAP40" s="63"/>
      <c r="AAQ40" s="63"/>
      <c r="AAR40" s="63"/>
      <c r="AAS40" s="63"/>
      <c r="AAT40" s="63"/>
      <c r="AAU40" s="63"/>
      <c r="AAV40" s="63"/>
      <c r="AAW40" s="63"/>
      <c r="AAX40" s="63"/>
      <c r="AAY40" s="63"/>
      <c r="AAZ40" s="63"/>
      <c r="ABA40" s="63"/>
      <c r="ABB40" s="63"/>
      <c r="ABC40" s="63"/>
      <c r="ABD40" s="63"/>
      <c r="ABE40" s="63"/>
      <c r="ABF40" s="63"/>
      <c r="ABG40" s="63"/>
      <c r="ABH40" s="63"/>
      <c r="ABI40" s="63"/>
      <c r="ABJ40" s="63"/>
      <c r="ABK40" s="63"/>
      <c r="ABL40" s="63"/>
      <c r="ABM40" s="63"/>
      <c r="ABN40" s="63"/>
      <c r="ABO40" s="63"/>
      <c r="ABP40" s="63"/>
      <c r="ABQ40" s="63"/>
      <c r="ABR40" s="63"/>
      <c r="ABS40" s="63"/>
      <c r="ABT40" s="63"/>
      <c r="ABU40" s="63"/>
      <c r="ABV40" s="63"/>
      <c r="ABW40" s="63"/>
      <c r="ABX40" s="63"/>
      <c r="ABY40" s="63"/>
      <c r="ABZ40" s="63"/>
      <c r="ACA40" s="63"/>
      <c r="ACB40" s="63"/>
      <c r="ACC40" s="63"/>
      <c r="ACD40" s="63"/>
      <c r="ACE40" s="63"/>
      <c r="ACF40" s="63"/>
      <c r="ACG40" s="63"/>
      <c r="ACH40" s="63"/>
      <c r="ACI40" s="63"/>
      <c r="ACJ40" s="63"/>
      <c r="ACK40" s="63"/>
      <c r="ACL40" s="63"/>
      <c r="ACM40" s="63"/>
      <c r="ACN40" s="63"/>
      <c r="ACO40" s="63"/>
      <c r="ACP40" s="63"/>
      <c r="ACQ40" s="63"/>
      <c r="ACR40" s="63"/>
      <c r="ACS40" s="63"/>
      <c r="ACT40" s="63"/>
      <c r="ACU40" s="63"/>
      <c r="ACV40" s="63"/>
      <c r="ACW40" s="63"/>
      <c r="ACX40" s="63"/>
      <c r="ACY40" s="63"/>
      <c r="ACZ40" s="63"/>
      <c r="ADA40" s="63"/>
      <c r="ADB40" s="63"/>
      <c r="ADC40" s="63"/>
      <c r="ADD40" s="63"/>
      <c r="ADE40" s="63"/>
      <c r="ADF40" s="63"/>
      <c r="ADG40" s="63"/>
      <c r="ADH40" s="63"/>
      <c r="ADI40" s="63"/>
      <c r="ADJ40" s="63"/>
      <c r="ADK40" s="63"/>
      <c r="ADL40" s="63"/>
      <c r="ADM40" s="63"/>
      <c r="ADN40" s="63"/>
      <c r="ADO40" s="63"/>
      <c r="ADP40" s="63"/>
      <c r="ADQ40" s="63"/>
      <c r="ADR40" s="63"/>
      <c r="ADS40" s="63"/>
      <c r="ADT40" s="63"/>
      <c r="ADU40" s="63"/>
      <c r="ADV40" s="63"/>
      <c r="ADW40" s="63"/>
      <c r="ADX40" s="63"/>
      <c r="ADY40" s="63"/>
      <c r="ADZ40" s="63"/>
      <c r="AEA40" s="63"/>
      <c r="AEB40" s="63"/>
      <c r="AEC40" s="63"/>
      <c r="AED40" s="63"/>
      <c r="AEE40" s="63"/>
      <c r="AEF40" s="63"/>
      <c r="AEG40" s="63"/>
      <c r="AEH40" s="63"/>
      <c r="AEI40" s="63"/>
      <c r="AEJ40" s="63"/>
      <c r="AEK40" s="63"/>
      <c r="AEL40" s="63"/>
      <c r="AEM40" s="63"/>
      <c r="AEN40" s="63"/>
      <c r="AEO40" s="63"/>
      <c r="AEP40" s="63"/>
      <c r="AEQ40" s="63"/>
      <c r="AER40" s="63"/>
      <c r="AES40" s="63"/>
      <c r="AET40" s="63"/>
      <c r="AEU40" s="63"/>
      <c r="AEV40" s="63"/>
      <c r="AEW40" s="63"/>
      <c r="AEX40" s="63"/>
      <c r="AEY40" s="63"/>
      <c r="AEZ40" s="63"/>
      <c r="AFA40" s="63"/>
      <c r="AFB40" s="63"/>
      <c r="AFC40" s="63"/>
      <c r="AFD40" s="63"/>
      <c r="AFE40" s="63"/>
      <c r="AFF40" s="63"/>
      <c r="AFG40" s="63"/>
      <c r="AFH40" s="63"/>
      <c r="AFI40" s="63"/>
      <c r="AFJ40" s="63"/>
      <c r="AFK40" s="63"/>
      <c r="AFL40" s="63"/>
      <c r="AFM40" s="63"/>
      <c r="AFN40" s="63"/>
      <c r="AFO40" s="63"/>
      <c r="AFP40" s="63"/>
      <c r="AFQ40" s="63"/>
      <c r="AFR40" s="63"/>
      <c r="AFS40" s="63"/>
      <c r="AFT40" s="63"/>
      <c r="AFU40" s="63"/>
      <c r="AFV40" s="63"/>
      <c r="AFW40" s="63"/>
      <c r="AFX40" s="63"/>
      <c r="AFY40" s="63"/>
      <c r="AFZ40" s="63"/>
      <c r="AGA40" s="63"/>
      <c r="AGB40" s="63"/>
      <c r="AGC40" s="63"/>
      <c r="AGD40" s="63"/>
      <c r="AGE40" s="63"/>
      <c r="AGF40" s="63"/>
      <c r="AGG40" s="63"/>
      <c r="AGH40" s="63"/>
      <c r="AGI40" s="63"/>
      <c r="AGJ40" s="63"/>
      <c r="AGK40" s="63"/>
      <c r="AGL40" s="63"/>
      <c r="AGM40" s="63"/>
      <c r="AGN40" s="63"/>
      <c r="AGO40" s="63"/>
      <c r="AGP40" s="63"/>
      <c r="AGQ40" s="63"/>
      <c r="AGR40" s="63"/>
      <c r="AGS40" s="63"/>
      <c r="AGT40" s="63"/>
      <c r="AGU40" s="63"/>
      <c r="AGV40" s="63"/>
      <c r="AGW40" s="63"/>
      <c r="AGX40" s="63"/>
      <c r="AGY40" s="63"/>
      <c r="AGZ40" s="63"/>
      <c r="AHA40" s="63"/>
      <c r="AHB40" s="63"/>
      <c r="AHC40" s="63"/>
      <c r="AHD40" s="63"/>
      <c r="AHE40" s="63"/>
      <c r="AHF40" s="63"/>
      <c r="AHG40" s="63"/>
      <c r="AHH40" s="63"/>
      <c r="AHI40" s="63"/>
      <c r="AHJ40" s="63"/>
      <c r="AHK40" s="63"/>
      <c r="AHL40" s="63"/>
      <c r="AHM40" s="63"/>
      <c r="AHN40" s="63"/>
      <c r="AHO40" s="63"/>
      <c r="AHP40" s="63"/>
      <c r="AHQ40" s="63"/>
      <c r="AHR40" s="63"/>
      <c r="AHS40" s="63"/>
      <c r="AHT40" s="63"/>
      <c r="AHU40" s="63"/>
      <c r="AHV40" s="63"/>
      <c r="AHW40" s="63"/>
      <c r="AHX40" s="63"/>
      <c r="AHY40" s="63"/>
      <c r="AHZ40" s="63"/>
      <c r="AIA40" s="63"/>
      <c r="AIB40" s="63"/>
      <c r="AIC40" s="63"/>
      <c r="AID40" s="63"/>
      <c r="AIE40" s="63"/>
      <c r="AIF40" s="63"/>
      <c r="AIG40" s="63"/>
      <c r="AIH40" s="63"/>
      <c r="AII40" s="63"/>
      <c r="AIJ40" s="63"/>
      <c r="AIK40" s="63"/>
      <c r="AIL40" s="63"/>
      <c r="AIM40" s="63"/>
      <c r="AIN40" s="63"/>
      <c r="AIO40" s="63"/>
      <c r="AIP40" s="63"/>
      <c r="AIQ40" s="63"/>
      <c r="AIR40" s="63"/>
      <c r="AIS40" s="63"/>
      <c r="AIT40" s="63"/>
      <c r="AIU40" s="63"/>
      <c r="AIV40" s="63"/>
      <c r="AIW40" s="63"/>
      <c r="AIX40" s="63"/>
      <c r="AIY40" s="63"/>
      <c r="AIZ40" s="63"/>
      <c r="AJA40" s="63"/>
      <c r="AJB40" s="63"/>
      <c r="AJC40" s="63"/>
      <c r="AJD40" s="63"/>
      <c r="AJE40" s="63"/>
      <c r="AJF40" s="63"/>
      <c r="AJG40" s="63"/>
      <c r="AJH40" s="63"/>
      <c r="AJI40" s="63"/>
      <c r="AJJ40" s="63"/>
      <c r="AJK40" s="63"/>
      <c r="AJL40" s="63"/>
      <c r="AJM40" s="63"/>
      <c r="AJN40" s="63"/>
      <c r="AJO40" s="63"/>
      <c r="AJP40" s="63"/>
      <c r="AJQ40" s="63"/>
      <c r="AJR40" s="63"/>
      <c r="AJS40" s="63"/>
      <c r="AJT40" s="63"/>
      <c r="AJU40" s="63"/>
      <c r="AJV40" s="63"/>
      <c r="AJW40" s="63"/>
      <c r="AJX40" s="63"/>
      <c r="AJY40" s="63"/>
      <c r="AJZ40" s="63"/>
      <c r="AKA40" s="63"/>
      <c r="AKB40" s="63"/>
      <c r="AKC40" s="63"/>
      <c r="AKD40" s="63"/>
      <c r="AKE40" s="63"/>
      <c r="AKF40" s="63"/>
      <c r="AKG40" s="63"/>
      <c r="AKH40" s="63"/>
      <c r="AKI40" s="63"/>
      <c r="AKJ40" s="63"/>
      <c r="AKK40" s="63"/>
      <c r="AKL40" s="63"/>
      <c r="AKM40" s="63"/>
      <c r="AKN40" s="63"/>
      <c r="AKO40" s="63"/>
      <c r="AKP40" s="63"/>
      <c r="AKQ40" s="63"/>
      <c r="AKR40" s="63"/>
      <c r="AKS40" s="63"/>
      <c r="AKT40" s="63"/>
      <c r="AKU40" s="63"/>
      <c r="AKV40" s="63"/>
      <c r="AKW40" s="63"/>
      <c r="AKX40" s="63"/>
      <c r="AKY40" s="63"/>
      <c r="AKZ40" s="63"/>
      <c r="ALA40" s="63"/>
      <c r="ALB40" s="63"/>
      <c r="ALC40" s="63"/>
      <c r="ALD40" s="63"/>
      <c r="ALE40" s="63"/>
      <c r="ALF40" s="63"/>
      <c r="ALG40" s="63"/>
      <c r="ALH40" s="63"/>
      <c r="ALI40" s="63"/>
      <c r="ALJ40" s="63"/>
      <c r="ALK40" s="63"/>
      <c r="ALL40" s="63"/>
      <c r="ALM40" s="63"/>
      <c r="ALN40" s="63"/>
      <c r="ALO40" s="63"/>
      <c r="ALP40" s="63"/>
      <c r="ALQ40" s="63"/>
      <c r="ALR40" s="63"/>
      <c r="ALS40" s="63"/>
      <c r="ALT40" s="63"/>
      <c r="ALU40" s="63"/>
      <c r="ALV40" s="63"/>
      <c r="ALW40" s="63"/>
      <c r="ALX40" s="63"/>
      <c r="ALY40" s="63"/>
      <c r="ALZ40" s="63"/>
      <c r="AMA40" s="63"/>
      <c r="AMB40" s="63"/>
      <c r="AMC40" s="63"/>
      <c r="AMD40" s="63"/>
      <c r="AME40" s="63"/>
      <c r="AMF40" s="63"/>
      <c r="AMG40" s="63"/>
      <c r="AMH40" s="63"/>
      <c r="AMI40" s="63"/>
      <c r="AMJ40" s="63"/>
      <c r="AMK40" s="63"/>
      <c r="AML40" s="63"/>
      <c r="AMM40" s="63"/>
      <c r="AMN40" s="63"/>
      <c r="AMO40" s="63"/>
      <c r="AMP40" s="63"/>
      <c r="AMQ40" s="63"/>
      <c r="AMR40" s="63"/>
      <c r="AMS40" s="63"/>
      <c r="AMT40" s="63"/>
      <c r="AMU40" s="63"/>
      <c r="AMV40" s="63"/>
      <c r="AMW40" s="63"/>
      <c r="AMX40" s="63"/>
      <c r="AMY40" s="63"/>
      <c r="AMZ40" s="63"/>
      <c r="ANA40" s="63"/>
      <c r="ANB40" s="63"/>
      <c r="ANC40" s="63"/>
      <c r="AND40" s="63"/>
      <c r="ANE40" s="63"/>
      <c r="ANF40" s="63"/>
      <c r="ANG40" s="63"/>
      <c r="ANH40" s="63"/>
      <c r="ANI40" s="63"/>
      <c r="ANJ40" s="63"/>
      <c r="ANK40" s="63"/>
      <c r="ANL40" s="63"/>
      <c r="ANM40" s="63"/>
      <c r="ANN40" s="63"/>
      <c r="ANO40" s="63"/>
      <c r="ANP40" s="63"/>
      <c r="ANQ40" s="63"/>
      <c r="ANR40" s="63"/>
      <c r="ANS40" s="63"/>
      <c r="ANT40" s="63"/>
      <c r="ANU40" s="63"/>
      <c r="ANV40" s="63"/>
      <c r="ANW40" s="63"/>
      <c r="ANX40" s="63"/>
      <c r="ANY40" s="63"/>
      <c r="ANZ40" s="63"/>
      <c r="AOA40" s="63"/>
      <c r="AOB40" s="63"/>
      <c r="AOC40" s="63"/>
      <c r="AOD40" s="63"/>
      <c r="AOE40" s="63"/>
      <c r="AOF40" s="63"/>
      <c r="AOG40" s="63"/>
      <c r="AOH40" s="63"/>
      <c r="AOI40" s="63"/>
      <c r="AOJ40" s="63"/>
      <c r="AOK40" s="63"/>
      <c r="AOL40" s="63"/>
      <c r="AOM40" s="63"/>
      <c r="AON40" s="63"/>
      <c r="AOO40" s="63"/>
      <c r="AOP40" s="63"/>
      <c r="AOQ40" s="63"/>
      <c r="AOR40" s="63"/>
      <c r="AOS40" s="63"/>
      <c r="AOT40" s="63"/>
      <c r="AOU40" s="63"/>
      <c r="AOV40" s="63"/>
      <c r="AOW40" s="63"/>
      <c r="AOX40" s="63"/>
      <c r="AOY40" s="63"/>
      <c r="AOZ40" s="63"/>
      <c r="APA40" s="63"/>
      <c r="APB40" s="63"/>
      <c r="APC40" s="63"/>
      <c r="APD40" s="63"/>
      <c r="APE40" s="63"/>
      <c r="APF40" s="63"/>
      <c r="APG40" s="63"/>
      <c r="APH40" s="63"/>
      <c r="API40" s="63"/>
      <c r="APJ40" s="63"/>
      <c r="APK40" s="63"/>
      <c r="APL40" s="63"/>
      <c r="APM40" s="63"/>
      <c r="APN40" s="63"/>
      <c r="APO40" s="63"/>
      <c r="APP40" s="63"/>
      <c r="APQ40" s="63"/>
      <c r="APR40" s="63"/>
      <c r="APS40" s="63"/>
      <c r="APT40" s="63"/>
      <c r="APU40" s="63"/>
      <c r="APV40" s="63"/>
      <c r="APW40" s="63"/>
      <c r="APX40" s="63"/>
      <c r="APY40" s="63"/>
      <c r="APZ40" s="63"/>
      <c r="AQA40" s="63"/>
      <c r="AQB40" s="63"/>
      <c r="AQC40" s="63"/>
      <c r="AQD40" s="63"/>
      <c r="AQE40" s="63"/>
      <c r="AQF40" s="63"/>
      <c r="AQG40" s="63"/>
      <c r="AQH40" s="63"/>
      <c r="AQI40" s="63"/>
      <c r="AQJ40" s="63"/>
      <c r="AQK40" s="63"/>
      <c r="AQL40" s="63"/>
      <c r="AQM40" s="63"/>
      <c r="AQN40" s="63"/>
      <c r="AQO40" s="63"/>
      <c r="AQP40" s="63"/>
      <c r="AQQ40" s="63"/>
      <c r="AQR40" s="63"/>
      <c r="AQS40" s="63"/>
      <c r="AQT40" s="63"/>
      <c r="AQU40" s="63"/>
      <c r="AQV40" s="63"/>
      <c r="AQW40" s="63"/>
      <c r="AQX40" s="63"/>
      <c r="AQY40" s="63"/>
      <c r="AQZ40" s="63"/>
      <c r="ARA40" s="63"/>
      <c r="ARB40" s="63"/>
      <c r="ARC40" s="63"/>
      <c r="ARD40" s="63"/>
      <c r="ARE40" s="63"/>
      <c r="ARF40" s="63"/>
      <c r="ARG40" s="63"/>
      <c r="ARH40" s="63"/>
      <c r="ARI40" s="63"/>
      <c r="ARJ40" s="63"/>
      <c r="ARK40" s="63"/>
      <c r="ARL40" s="63"/>
      <c r="ARM40" s="63"/>
      <c r="ARN40" s="63"/>
      <c r="ARO40" s="63"/>
      <c r="ARP40" s="63"/>
      <c r="ARQ40" s="63"/>
      <c r="ARR40" s="63"/>
      <c r="ARS40" s="63"/>
      <c r="ART40" s="63"/>
      <c r="ARU40" s="63"/>
      <c r="ARV40" s="63"/>
      <c r="ARW40" s="63"/>
      <c r="ARX40" s="63"/>
      <c r="ARY40" s="63"/>
      <c r="ARZ40" s="63"/>
      <c r="ASA40" s="63"/>
      <c r="ASB40" s="63"/>
      <c r="ASC40" s="63"/>
      <c r="ASD40" s="63"/>
      <c r="ASE40" s="63"/>
      <c r="ASF40" s="63"/>
      <c r="ASG40" s="63"/>
      <c r="ASH40" s="63"/>
      <c r="ASI40" s="63"/>
      <c r="ASJ40" s="63"/>
      <c r="ASK40" s="63"/>
      <c r="ASL40" s="63"/>
      <c r="ASM40" s="63"/>
      <c r="ASN40" s="63"/>
      <c r="ASO40" s="63"/>
      <c r="ASP40" s="63"/>
      <c r="ASQ40" s="63"/>
      <c r="ASR40" s="63"/>
      <c r="ASS40" s="63"/>
      <c r="AST40" s="63"/>
      <c r="ASU40" s="63"/>
      <c r="ASV40" s="63"/>
      <c r="ASW40" s="63"/>
      <c r="ASX40" s="63"/>
      <c r="ASY40" s="63"/>
      <c r="ASZ40" s="63"/>
      <c r="ATA40" s="63"/>
      <c r="ATB40" s="63"/>
      <c r="ATC40" s="63"/>
      <c r="ATD40" s="63"/>
      <c r="ATE40" s="63"/>
      <c r="ATF40" s="63"/>
      <c r="ATG40" s="63"/>
      <c r="ATH40" s="63"/>
      <c r="ATI40" s="63"/>
      <c r="ATJ40" s="63"/>
      <c r="ATK40" s="63"/>
      <c r="ATL40" s="63"/>
      <c r="ATM40" s="63"/>
      <c r="ATN40" s="63"/>
      <c r="ATO40" s="63"/>
      <c r="ATP40" s="63"/>
      <c r="ATQ40" s="63"/>
      <c r="ATR40" s="63"/>
      <c r="ATS40" s="63"/>
      <c r="ATT40" s="63"/>
      <c r="ATU40" s="63"/>
      <c r="ATV40" s="63"/>
      <c r="ATW40" s="63"/>
      <c r="ATX40" s="63"/>
      <c r="ATY40" s="63"/>
      <c r="ATZ40" s="63"/>
      <c r="AUA40" s="63"/>
      <c r="AUB40" s="63"/>
      <c r="AUC40" s="63"/>
      <c r="AUD40" s="63"/>
      <c r="AUE40" s="63"/>
      <c r="AUF40" s="63"/>
      <c r="AUG40" s="63"/>
      <c r="AUH40" s="63"/>
      <c r="AUI40" s="63"/>
      <c r="AUJ40" s="63"/>
      <c r="AUK40" s="63"/>
      <c r="AUL40" s="63"/>
      <c r="AUM40" s="63"/>
      <c r="AUN40" s="63"/>
      <c r="AUO40" s="63"/>
      <c r="AUP40" s="63"/>
      <c r="AUQ40" s="63"/>
      <c r="AUR40" s="63"/>
      <c r="AUS40" s="63"/>
      <c r="AUT40" s="63"/>
      <c r="AUU40" s="63"/>
      <c r="AUV40" s="63"/>
      <c r="AUW40" s="63"/>
      <c r="AUX40" s="63"/>
      <c r="AUY40" s="63"/>
      <c r="AUZ40" s="63"/>
      <c r="AVA40" s="63"/>
      <c r="AVB40" s="63"/>
      <c r="AVC40" s="63"/>
      <c r="AVD40" s="63"/>
      <c r="AVE40" s="63"/>
      <c r="AVF40" s="63"/>
      <c r="AVG40" s="63"/>
      <c r="AVH40" s="63"/>
      <c r="AVI40" s="63"/>
      <c r="AVJ40" s="63"/>
      <c r="AVK40" s="63"/>
      <c r="AVL40" s="63"/>
      <c r="AVM40" s="63"/>
      <c r="AVN40" s="63"/>
      <c r="AVO40" s="63"/>
      <c r="AVP40" s="63"/>
      <c r="AVQ40" s="63"/>
      <c r="AVR40" s="63"/>
      <c r="AVS40" s="63"/>
      <c r="AVT40" s="63"/>
      <c r="AVU40" s="63"/>
      <c r="AVV40" s="63"/>
      <c r="AVW40" s="63"/>
      <c r="AVX40" s="63"/>
      <c r="AVY40" s="63"/>
      <c r="AVZ40" s="63"/>
      <c r="AWA40" s="63"/>
      <c r="AWB40" s="63"/>
      <c r="AWC40" s="63"/>
      <c r="AWD40" s="63"/>
      <c r="AWE40" s="63"/>
      <c r="AWF40" s="63"/>
      <c r="AWG40" s="63"/>
      <c r="AWH40" s="63"/>
      <c r="AWI40" s="63"/>
      <c r="AWJ40" s="63"/>
      <c r="AWK40" s="63"/>
      <c r="AWL40" s="63"/>
      <c r="AWM40" s="63"/>
      <c r="AWN40" s="63"/>
      <c r="AWO40" s="63"/>
      <c r="AWP40" s="63"/>
      <c r="AWQ40" s="63"/>
      <c r="AWR40" s="63"/>
      <c r="AWS40" s="63"/>
      <c r="AWT40" s="63"/>
      <c r="AWU40" s="63"/>
      <c r="AWV40" s="63"/>
      <c r="AWW40" s="63"/>
      <c r="AWX40" s="63"/>
      <c r="AWY40" s="63"/>
      <c r="AWZ40" s="63"/>
      <c r="AXA40" s="63"/>
      <c r="AXB40" s="63"/>
      <c r="AXC40" s="63"/>
      <c r="AXD40" s="63"/>
      <c r="AXE40" s="63"/>
      <c r="AXF40" s="63"/>
      <c r="AXG40" s="63"/>
      <c r="AXH40" s="63"/>
      <c r="AXI40" s="63"/>
      <c r="AXJ40" s="63"/>
      <c r="AXK40" s="63"/>
      <c r="AXL40" s="63"/>
      <c r="AXM40" s="63"/>
      <c r="AXN40" s="63"/>
      <c r="AXO40" s="63"/>
      <c r="AXP40" s="63"/>
      <c r="AXQ40" s="63"/>
      <c r="AXR40" s="63"/>
      <c r="AXS40" s="63"/>
      <c r="AXT40" s="63"/>
      <c r="AXU40" s="63"/>
      <c r="AXV40" s="63"/>
      <c r="AXW40" s="63"/>
      <c r="AXX40" s="63"/>
      <c r="AXY40" s="63"/>
      <c r="AXZ40" s="63"/>
      <c r="AYA40" s="63"/>
      <c r="AYB40" s="63"/>
      <c r="AYC40" s="63"/>
      <c r="AYD40" s="63"/>
      <c r="AYE40" s="63"/>
      <c r="AYF40" s="63"/>
      <c r="AYG40" s="63"/>
      <c r="AYH40" s="63"/>
      <c r="AYI40" s="63"/>
      <c r="AYJ40" s="63"/>
      <c r="AYK40" s="63"/>
      <c r="AYL40" s="63"/>
      <c r="AYM40" s="63"/>
      <c r="AYN40" s="63"/>
      <c r="AYO40" s="63"/>
      <c r="AYP40" s="63"/>
      <c r="AYQ40" s="63"/>
      <c r="AYR40" s="63"/>
      <c r="AYS40" s="63"/>
      <c r="AYT40" s="63"/>
      <c r="AYU40" s="63"/>
      <c r="AYV40" s="63"/>
      <c r="AYW40" s="63"/>
      <c r="AYX40" s="63"/>
      <c r="AYY40" s="63"/>
      <c r="AYZ40" s="63"/>
      <c r="AZA40" s="63"/>
      <c r="AZB40" s="63"/>
      <c r="AZC40" s="63"/>
      <c r="AZD40" s="63"/>
      <c r="AZE40" s="63"/>
      <c r="AZF40" s="63"/>
      <c r="AZG40" s="63"/>
      <c r="AZH40" s="63"/>
      <c r="AZI40" s="63"/>
      <c r="AZJ40" s="63"/>
      <c r="AZK40" s="63"/>
      <c r="AZL40" s="63"/>
      <c r="AZM40" s="63"/>
      <c r="AZN40" s="63"/>
      <c r="AZO40" s="63"/>
      <c r="AZP40" s="63"/>
      <c r="AZQ40" s="63"/>
      <c r="AZR40" s="63"/>
      <c r="AZS40" s="63"/>
      <c r="AZT40" s="63"/>
      <c r="AZU40" s="63"/>
      <c r="AZV40" s="63"/>
      <c r="AZW40" s="63"/>
      <c r="AZX40" s="63"/>
      <c r="AZY40" s="63"/>
      <c r="AZZ40" s="63"/>
      <c r="BAA40" s="63"/>
      <c r="BAB40" s="63"/>
      <c r="BAC40" s="63"/>
      <c r="BAD40" s="63"/>
      <c r="BAE40" s="63"/>
      <c r="BAF40" s="63"/>
      <c r="BAG40" s="63"/>
      <c r="BAH40" s="63"/>
      <c r="BAI40" s="63"/>
      <c r="BAJ40" s="63"/>
      <c r="BAK40" s="63"/>
      <c r="BAL40" s="63"/>
      <c r="BAM40" s="63"/>
      <c r="BAN40" s="63"/>
      <c r="BAO40" s="63"/>
      <c r="BAP40" s="63"/>
      <c r="BAQ40" s="63"/>
      <c r="BAR40" s="63"/>
      <c r="BAS40" s="63"/>
      <c r="BAT40" s="63"/>
      <c r="BAU40" s="63"/>
      <c r="BAV40" s="63"/>
      <c r="BAW40" s="63"/>
      <c r="BAX40" s="63"/>
      <c r="BAY40" s="63"/>
      <c r="BAZ40" s="63"/>
      <c r="BBA40" s="63"/>
      <c r="BBB40" s="63"/>
      <c r="BBC40" s="63"/>
      <c r="BBD40" s="63"/>
      <c r="BBE40" s="63"/>
      <c r="BBF40" s="63"/>
      <c r="BBG40" s="63"/>
      <c r="BBH40" s="63"/>
      <c r="BBI40" s="63"/>
      <c r="BBJ40" s="63"/>
      <c r="BBK40" s="63"/>
      <c r="BBL40" s="63"/>
      <c r="BBM40" s="63"/>
      <c r="BBN40" s="63"/>
      <c r="BBO40" s="63"/>
      <c r="BBP40" s="63"/>
      <c r="BBQ40" s="63"/>
      <c r="BBR40" s="63"/>
      <c r="BBS40" s="63"/>
      <c r="BBT40" s="63"/>
      <c r="BBU40" s="63"/>
      <c r="BBV40" s="63"/>
      <c r="BBW40" s="63"/>
      <c r="BBX40" s="63"/>
      <c r="BBY40" s="63"/>
      <c r="BBZ40" s="63"/>
      <c r="BCA40" s="63"/>
      <c r="BCB40" s="63"/>
      <c r="BCC40" s="63"/>
      <c r="BCD40" s="63"/>
      <c r="BCE40" s="63"/>
      <c r="BCF40" s="63"/>
      <c r="BCG40" s="63"/>
      <c r="BCH40" s="63"/>
      <c r="BCI40" s="63"/>
      <c r="BCJ40" s="63"/>
      <c r="BCK40" s="63"/>
      <c r="BCL40" s="63"/>
      <c r="BCM40" s="63"/>
      <c r="BCN40" s="63"/>
      <c r="BCO40" s="63"/>
      <c r="BCP40" s="63"/>
      <c r="BCQ40" s="63"/>
      <c r="BCR40" s="63"/>
      <c r="BCS40" s="63"/>
      <c r="BCT40" s="63"/>
      <c r="BCU40" s="63"/>
      <c r="BCV40" s="63"/>
      <c r="BCW40" s="63"/>
      <c r="BCX40" s="63"/>
      <c r="BCY40" s="63"/>
      <c r="BCZ40" s="63"/>
      <c r="BDA40" s="63"/>
      <c r="BDB40" s="63"/>
      <c r="BDC40" s="63"/>
      <c r="BDD40" s="63"/>
      <c r="BDE40" s="63"/>
      <c r="BDF40" s="63"/>
      <c r="BDG40" s="63"/>
      <c r="BDH40" s="63"/>
      <c r="BDI40" s="63"/>
      <c r="BDJ40" s="63"/>
      <c r="BDK40" s="63"/>
      <c r="BDL40" s="63"/>
      <c r="BDM40" s="63"/>
      <c r="BDN40" s="63"/>
      <c r="BDO40" s="63"/>
      <c r="BDP40" s="63"/>
      <c r="BDQ40" s="63"/>
      <c r="BDR40" s="63"/>
      <c r="BDS40" s="63"/>
      <c r="BDT40" s="63"/>
      <c r="BDU40" s="63"/>
      <c r="BDV40" s="63"/>
      <c r="BDW40" s="63"/>
      <c r="BDX40" s="63"/>
      <c r="BDY40" s="63"/>
      <c r="BDZ40" s="63"/>
      <c r="BEA40" s="63"/>
      <c r="BEB40" s="63"/>
      <c r="BEC40" s="63"/>
      <c r="BED40" s="63"/>
      <c r="BEE40" s="63"/>
      <c r="BEF40" s="63"/>
      <c r="BEG40" s="63"/>
      <c r="BEH40" s="63"/>
      <c r="BEI40" s="63"/>
      <c r="BEJ40" s="63"/>
      <c r="BEK40" s="63"/>
      <c r="BEL40" s="63"/>
      <c r="BEM40" s="63"/>
      <c r="BEN40" s="63"/>
      <c r="BEO40" s="63"/>
      <c r="BEP40" s="63"/>
      <c r="BEQ40" s="63"/>
      <c r="BER40" s="63"/>
      <c r="BES40" s="63"/>
      <c r="BET40" s="63"/>
      <c r="BEU40" s="63"/>
      <c r="BEV40" s="63"/>
      <c r="BEW40" s="63"/>
      <c r="BEX40" s="63"/>
      <c r="BEY40" s="63"/>
      <c r="BEZ40" s="63"/>
      <c r="BFA40" s="63"/>
      <c r="BFB40" s="63"/>
      <c r="BFC40" s="63"/>
      <c r="BFD40" s="63"/>
      <c r="BFE40" s="63"/>
      <c r="BFF40" s="63"/>
      <c r="BFG40" s="63"/>
      <c r="BFH40" s="63"/>
      <c r="BFI40" s="63"/>
      <c r="BFJ40" s="63"/>
      <c r="BFK40" s="63"/>
      <c r="BFL40" s="63"/>
      <c r="BFM40" s="63"/>
      <c r="BFN40" s="63"/>
      <c r="BFO40" s="63"/>
      <c r="BFP40" s="63"/>
      <c r="BFQ40" s="63"/>
      <c r="BFR40" s="63"/>
      <c r="BFS40" s="63"/>
      <c r="BFT40" s="63"/>
      <c r="BFU40" s="63"/>
      <c r="BFV40" s="63"/>
      <c r="BFW40" s="63"/>
      <c r="BFX40" s="63"/>
      <c r="BFY40" s="63"/>
      <c r="BFZ40" s="63"/>
      <c r="BGA40" s="63"/>
      <c r="BGB40" s="63"/>
      <c r="BGC40" s="63"/>
      <c r="BGD40" s="63"/>
      <c r="BGE40" s="63"/>
      <c r="BGF40" s="63"/>
      <c r="BGG40" s="63"/>
      <c r="BGH40" s="63"/>
      <c r="BGI40" s="63"/>
      <c r="BGJ40" s="63"/>
      <c r="BGK40" s="63"/>
      <c r="BGL40" s="63"/>
      <c r="BGM40" s="63"/>
      <c r="BGN40" s="63"/>
      <c r="BGO40" s="63"/>
      <c r="BGP40" s="63"/>
      <c r="BGQ40" s="63"/>
      <c r="BGR40" s="63"/>
      <c r="BGS40" s="63"/>
      <c r="BGT40" s="63"/>
      <c r="BGU40" s="63"/>
      <c r="BGV40" s="63"/>
      <c r="BGW40" s="63"/>
      <c r="BGX40" s="63"/>
      <c r="BGY40" s="63"/>
      <c r="BGZ40" s="63"/>
      <c r="BHA40" s="63"/>
      <c r="BHB40" s="63"/>
      <c r="BHC40" s="63"/>
      <c r="BHD40" s="63"/>
      <c r="BHE40" s="63"/>
      <c r="BHF40" s="63"/>
      <c r="BHG40" s="63"/>
      <c r="BHH40" s="63"/>
      <c r="BHI40" s="63"/>
      <c r="BHJ40" s="63"/>
      <c r="BHK40" s="63"/>
      <c r="BHL40" s="63"/>
      <c r="BHM40" s="63"/>
      <c r="BHN40" s="63"/>
      <c r="BHO40" s="63"/>
      <c r="BHP40" s="63"/>
      <c r="BHQ40" s="63"/>
      <c r="BHR40" s="63"/>
      <c r="BHS40" s="63"/>
      <c r="BHT40" s="63"/>
      <c r="BHU40" s="63"/>
      <c r="BHV40" s="63"/>
      <c r="BHW40" s="63"/>
      <c r="BHX40" s="63"/>
      <c r="BHY40" s="63"/>
      <c r="BHZ40" s="63"/>
      <c r="BIA40" s="63"/>
      <c r="BIB40" s="63"/>
      <c r="BIC40" s="63"/>
      <c r="BID40" s="63"/>
      <c r="BIE40" s="63"/>
      <c r="BIF40" s="63"/>
      <c r="BIG40" s="63"/>
      <c r="BIH40" s="63"/>
      <c r="BII40" s="63"/>
      <c r="BIJ40" s="63"/>
      <c r="BIK40" s="63"/>
      <c r="BIL40" s="63"/>
      <c r="BIM40" s="63"/>
      <c r="BIN40" s="63"/>
      <c r="BIO40" s="63"/>
      <c r="BIP40" s="63"/>
      <c r="BIQ40" s="63"/>
      <c r="BIR40" s="63"/>
      <c r="BIS40" s="63"/>
      <c r="BIT40" s="63"/>
      <c r="BIU40" s="63"/>
      <c r="BIV40" s="63"/>
      <c r="BIW40" s="63"/>
      <c r="BIX40" s="63"/>
      <c r="BIY40" s="63"/>
      <c r="BIZ40" s="63"/>
      <c r="BJA40" s="63"/>
      <c r="BJB40" s="63"/>
      <c r="BJC40" s="63"/>
      <c r="BJD40" s="63"/>
      <c r="BJE40" s="63"/>
      <c r="BJF40" s="63"/>
      <c r="BJG40" s="63"/>
      <c r="BJH40" s="63"/>
      <c r="BJI40" s="63"/>
      <c r="BJJ40" s="63"/>
      <c r="BJK40" s="63"/>
      <c r="BJL40" s="63"/>
      <c r="BJM40" s="63"/>
      <c r="BJN40" s="63"/>
      <c r="BJO40" s="63"/>
      <c r="BJP40" s="63"/>
      <c r="BJQ40" s="63"/>
      <c r="BJR40" s="63"/>
      <c r="BJS40" s="63"/>
      <c r="BJT40" s="63"/>
      <c r="BJU40" s="63"/>
      <c r="BJV40" s="63"/>
      <c r="BJW40" s="63"/>
      <c r="BJX40" s="63"/>
      <c r="BJY40" s="63"/>
      <c r="BJZ40" s="63"/>
      <c r="BKA40" s="63"/>
      <c r="BKB40" s="63"/>
      <c r="BKC40" s="63"/>
      <c r="BKD40" s="63"/>
      <c r="BKE40" s="63"/>
      <c r="BKF40" s="63"/>
      <c r="BKG40" s="63"/>
      <c r="BKH40" s="63"/>
      <c r="BKI40" s="63"/>
      <c r="BKJ40" s="63"/>
      <c r="BKK40" s="63"/>
      <c r="BKL40" s="63"/>
      <c r="BKM40" s="63"/>
      <c r="BKN40" s="63"/>
      <c r="BKO40" s="63"/>
      <c r="BKP40" s="63"/>
      <c r="BKQ40" s="63"/>
      <c r="BKR40" s="63"/>
      <c r="BKS40" s="63"/>
      <c r="BKT40" s="63"/>
      <c r="BKU40" s="63"/>
      <c r="BKV40" s="63"/>
      <c r="BKW40" s="63"/>
      <c r="BKX40" s="63"/>
      <c r="BKY40" s="63"/>
      <c r="BKZ40" s="63"/>
      <c r="BLA40" s="63"/>
      <c r="BLB40" s="63"/>
      <c r="BLC40" s="63"/>
      <c r="BLD40" s="63"/>
      <c r="BLE40" s="63"/>
      <c r="BLF40" s="63"/>
      <c r="BLG40" s="63"/>
      <c r="BLH40" s="63"/>
      <c r="BLI40" s="63"/>
      <c r="BLJ40" s="63"/>
      <c r="BLK40" s="63"/>
      <c r="BLL40" s="63"/>
      <c r="BLM40" s="63"/>
      <c r="BLN40" s="63"/>
      <c r="BLO40" s="63"/>
      <c r="BLP40" s="63"/>
      <c r="BLQ40" s="63"/>
      <c r="BLR40" s="63"/>
      <c r="BLS40" s="63"/>
      <c r="BLT40" s="63"/>
      <c r="BLU40" s="63"/>
      <c r="BLV40" s="63"/>
      <c r="BLW40" s="63"/>
      <c r="BLX40" s="63"/>
      <c r="BLY40" s="63"/>
      <c r="BLZ40" s="63"/>
      <c r="BMA40" s="63"/>
      <c r="BMB40" s="63"/>
      <c r="BMC40" s="63"/>
      <c r="BMD40" s="63"/>
      <c r="BME40" s="63"/>
      <c r="BMF40" s="63"/>
      <c r="BMG40" s="63"/>
      <c r="BMH40" s="63"/>
      <c r="BMI40" s="63"/>
      <c r="BMJ40" s="63"/>
      <c r="BMK40" s="63"/>
      <c r="BML40" s="63"/>
      <c r="BMM40" s="63"/>
      <c r="BMN40" s="63"/>
      <c r="BMO40" s="63"/>
      <c r="BMP40" s="63"/>
      <c r="BMQ40" s="63"/>
      <c r="BMR40" s="63"/>
      <c r="BMS40" s="63"/>
      <c r="BMT40" s="63"/>
      <c r="BMU40" s="63"/>
      <c r="BMV40" s="63"/>
      <c r="BMW40" s="63"/>
      <c r="BMX40" s="63"/>
      <c r="BMY40" s="63"/>
      <c r="BMZ40" s="63"/>
      <c r="BNA40" s="63"/>
      <c r="BNB40" s="63"/>
      <c r="BNC40" s="63"/>
      <c r="BND40" s="63"/>
      <c r="BNE40" s="63"/>
      <c r="BNF40" s="63"/>
      <c r="BNG40" s="63"/>
      <c r="BNH40" s="63"/>
      <c r="BNI40" s="63"/>
      <c r="BNJ40" s="63"/>
      <c r="BNK40" s="63"/>
      <c r="BNL40" s="63"/>
      <c r="BNM40" s="63"/>
      <c r="BNN40" s="63"/>
      <c r="BNO40" s="63"/>
      <c r="BNP40" s="63"/>
      <c r="BNQ40" s="63"/>
      <c r="BNR40" s="63"/>
      <c r="BNS40" s="63"/>
      <c r="BNT40" s="63"/>
      <c r="BNU40" s="63"/>
      <c r="BNV40" s="63"/>
      <c r="BNW40" s="63"/>
      <c r="BNX40" s="63"/>
      <c r="BNY40" s="63"/>
      <c r="BNZ40" s="63"/>
      <c r="BOA40" s="63"/>
      <c r="BOB40" s="63"/>
      <c r="BOC40" s="63"/>
      <c r="BOD40" s="63"/>
      <c r="BOE40" s="63"/>
      <c r="BOF40" s="63"/>
      <c r="BOG40" s="63"/>
      <c r="BOH40" s="63"/>
      <c r="BOI40" s="63"/>
      <c r="BOJ40" s="63"/>
      <c r="BOK40" s="63"/>
      <c r="BOL40" s="63"/>
      <c r="BOM40" s="63"/>
      <c r="BON40" s="63"/>
      <c r="BOO40" s="63"/>
      <c r="BOP40" s="63"/>
      <c r="BOQ40" s="63"/>
      <c r="BOR40" s="63"/>
      <c r="BOS40" s="63"/>
      <c r="BOT40" s="63"/>
      <c r="BOU40" s="63"/>
      <c r="BOV40" s="63"/>
      <c r="BOW40" s="63"/>
      <c r="BOX40" s="63"/>
      <c r="BOY40" s="63"/>
      <c r="BOZ40" s="63"/>
      <c r="BPA40" s="63"/>
      <c r="BPB40" s="63"/>
      <c r="BPC40" s="63"/>
      <c r="BPD40" s="63"/>
      <c r="BPE40" s="63"/>
      <c r="BPF40" s="63"/>
      <c r="BPG40" s="63"/>
      <c r="BPH40" s="63"/>
      <c r="BPI40" s="63"/>
      <c r="BPJ40" s="63"/>
      <c r="BPK40" s="63"/>
      <c r="BPL40" s="63"/>
      <c r="BPM40" s="63"/>
      <c r="BPN40" s="63"/>
      <c r="BPO40" s="63"/>
      <c r="BPP40" s="63"/>
      <c r="BPQ40" s="63"/>
      <c r="BPR40" s="63"/>
      <c r="BPS40" s="63"/>
      <c r="BPT40" s="63"/>
      <c r="BPU40" s="63"/>
      <c r="BPV40" s="63"/>
      <c r="BPW40" s="63"/>
      <c r="BPX40" s="63"/>
      <c r="BPY40" s="63"/>
      <c r="BPZ40" s="63"/>
      <c r="BQA40" s="63"/>
      <c r="BQB40" s="63"/>
      <c r="BQC40" s="63"/>
      <c r="BQD40" s="63"/>
      <c r="BQE40" s="63"/>
      <c r="BQF40" s="63"/>
      <c r="BQG40" s="63"/>
      <c r="BQH40" s="63"/>
      <c r="BQI40" s="63"/>
      <c r="BQJ40" s="63"/>
      <c r="BQK40" s="63"/>
      <c r="BQL40" s="63"/>
      <c r="BQM40" s="63"/>
      <c r="BQN40" s="63"/>
      <c r="BQO40" s="63"/>
      <c r="BQP40" s="63"/>
      <c r="BQQ40" s="63"/>
      <c r="BQR40" s="63"/>
      <c r="BQS40" s="63"/>
      <c r="BQT40" s="63"/>
      <c r="BQU40" s="63"/>
      <c r="BQV40" s="63"/>
      <c r="BQW40" s="63"/>
      <c r="BQX40" s="63"/>
      <c r="BQY40" s="63"/>
      <c r="BQZ40" s="63"/>
      <c r="BRA40" s="63"/>
      <c r="BRB40" s="63"/>
      <c r="BRC40" s="63"/>
      <c r="BRD40" s="63"/>
      <c r="BRE40" s="63"/>
      <c r="BRF40" s="63"/>
      <c r="BRG40" s="63"/>
      <c r="BRH40" s="63"/>
      <c r="BRI40" s="63"/>
      <c r="BRJ40" s="63"/>
      <c r="BRK40" s="63"/>
      <c r="BRL40" s="63"/>
      <c r="BRM40" s="63"/>
      <c r="BRN40" s="63"/>
      <c r="BRO40" s="63"/>
      <c r="BRP40" s="63"/>
      <c r="BRQ40" s="63"/>
      <c r="BRR40" s="63"/>
      <c r="BRS40" s="63"/>
      <c r="BRT40" s="63"/>
      <c r="BRU40" s="63"/>
      <c r="BRV40" s="63"/>
      <c r="BRW40" s="63"/>
      <c r="BRX40" s="63"/>
      <c r="BRY40" s="63"/>
      <c r="BRZ40" s="63"/>
      <c r="BSA40" s="63"/>
      <c r="BSB40" s="63"/>
      <c r="BSC40" s="63"/>
      <c r="BSD40" s="63"/>
      <c r="BSE40" s="63"/>
      <c r="BSF40" s="63"/>
      <c r="BSG40" s="63"/>
      <c r="BSH40" s="63"/>
      <c r="BSI40" s="63"/>
      <c r="BSJ40" s="63"/>
      <c r="BSK40" s="63"/>
      <c r="BSL40" s="63"/>
      <c r="BSM40" s="63"/>
      <c r="BSN40" s="63"/>
      <c r="BSO40" s="63"/>
      <c r="BSP40" s="63"/>
      <c r="BSQ40" s="63"/>
      <c r="BSR40" s="63"/>
      <c r="BSS40" s="63"/>
      <c r="BST40" s="63"/>
      <c r="BSU40" s="63"/>
      <c r="BSV40" s="63"/>
      <c r="BSW40" s="63"/>
      <c r="BSX40" s="63"/>
      <c r="BSY40" s="63"/>
      <c r="BSZ40" s="63"/>
      <c r="BTA40" s="63"/>
      <c r="BTB40" s="63"/>
      <c r="BTC40" s="63"/>
      <c r="BTD40" s="63"/>
      <c r="BTE40" s="63"/>
      <c r="BTF40" s="63"/>
      <c r="BTG40" s="63"/>
      <c r="BTH40" s="63"/>
      <c r="BTI40" s="63"/>
      <c r="BTJ40" s="63"/>
      <c r="BTK40" s="63"/>
      <c r="BTL40" s="63"/>
      <c r="BTM40" s="63"/>
      <c r="BTN40" s="63"/>
      <c r="BTO40" s="63"/>
      <c r="BTP40" s="63"/>
      <c r="BTQ40" s="63"/>
      <c r="BTR40" s="63"/>
      <c r="BTS40" s="63"/>
      <c r="BTT40" s="63"/>
      <c r="BTU40" s="63"/>
      <c r="BTV40" s="63"/>
      <c r="BTW40" s="63"/>
      <c r="BTX40" s="63"/>
      <c r="BTY40" s="63"/>
      <c r="BTZ40" s="63"/>
      <c r="BUA40" s="63"/>
      <c r="BUB40" s="63"/>
      <c r="BUC40" s="63"/>
      <c r="BUD40" s="63"/>
      <c r="BUE40" s="63"/>
      <c r="BUF40" s="63"/>
      <c r="BUG40" s="63"/>
      <c r="BUH40" s="63"/>
      <c r="BUI40" s="63"/>
      <c r="BUJ40" s="63"/>
      <c r="BUK40" s="63"/>
      <c r="BUL40" s="63"/>
      <c r="BUM40" s="63"/>
      <c r="BUN40" s="63"/>
      <c r="BUO40" s="63"/>
      <c r="BUP40" s="63"/>
      <c r="BUQ40" s="63"/>
      <c r="BUR40" s="63"/>
      <c r="BUS40" s="63"/>
      <c r="BUT40" s="63"/>
      <c r="BUU40" s="63"/>
      <c r="BUV40" s="63"/>
      <c r="BUW40" s="63"/>
      <c r="BUX40" s="63"/>
      <c r="BUY40" s="63"/>
      <c r="BUZ40" s="63"/>
      <c r="BVA40" s="63"/>
      <c r="BVB40" s="63"/>
      <c r="BVC40" s="63"/>
      <c r="BVD40" s="63"/>
      <c r="BVE40" s="63"/>
      <c r="BVF40" s="63"/>
      <c r="BVG40" s="63"/>
      <c r="BVH40" s="63"/>
      <c r="BVI40" s="63"/>
      <c r="BVJ40" s="63"/>
      <c r="BVK40" s="63"/>
      <c r="BVL40" s="63"/>
      <c r="BVM40" s="63"/>
      <c r="BVN40" s="63"/>
      <c r="BVO40" s="63"/>
      <c r="BVP40" s="63"/>
      <c r="BVQ40" s="63"/>
      <c r="BVR40" s="63"/>
      <c r="BVS40" s="63"/>
      <c r="BVT40" s="63"/>
      <c r="BVU40" s="63"/>
      <c r="BVV40" s="63"/>
      <c r="BVW40" s="63"/>
      <c r="BVX40" s="63"/>
      <c r="BVY40" s="63"/>
      <c r="BVZ40" s="63"/>
      <c r="BWA40" s="63"/>
      <c r="BWB40" s="63"/>
      <c r="BWC40" s="63"/>
      <c r="BWD40" s="63"/>
      <c r="BWE40" s="63"/>
      <c r="BWF40" s="63"/>
      <c r="BWG40" s="63"/>
      <c r="BWH40" s="63"/>
      <c r="BWI40" s="63"/>
      <c r="BWJ40" s="63"/>
      <c r="BWK40" s="63"/>
      <c r="BWL40" s="63"/>
      <c r="BWM40" s="63"/>
      <c r="BWN40" s="63"/>
      <c r="BWO40" s="63"/>
      <c r="BWP40" s="63"/>
      <c r="BWQ40" s="63"/>
      <c r="BWR40" s="63"/>
      <c r="BWS40" s="63"/>
      <c r="BWT40" s="63"/>
      <c r="BWU40" s="63"/>
      <c r="BWV40" s="63"/>
      <c r="BWW40" s="63"/>
      <c r="BWX40" s="63"/>
      <c r="BWY40" s="63"/>
      <c r="BWZ40" s="63"/>
      <c r="BXA40" s="63"/>
      <c r="BXB40" s="63"/>
      <c r="BXC40" s="63"/>
      <c r="BXD40" s="63"/>
      <c r="BXE40" s="63"/>
      <c r="BXF40" s="63"/>
      <c r="BXG40" s="63"/>
      <c r="BXH40" s="63"/>
      <c r="BXI40" s="63"/>
      <c r="BXJ40" s="63"/>
      <c r="BXK40" s="63"/>
      <c r="BXL40" s="63"/>
      <c r="BXM40" s="63"/>
      <c r="BXN40" s="63"/>
      <c r="BXO40" s="63"/>
      <c r="BXP40" s="63"/>
      <c r="BXQ40" s="63"/>
      <c r="BXR40" s="63"/>
      <c r="BXS40" s="63"/>
      <c r="BXT40" s="63"/>
      <c r="BXU40" s="63"/>
      <c r="BXV40" s="63"/>
      <c r="BXW40" s="63"/>
      <c r="BXX40" s="63"/>
      <c r="BXY40" s="63"/>
      <c r="BXZ40" s="63"/>
      <c r="BYA40" s="63"/>
      <c r="BYB40" s="63"/>
      <c r="BYC40" s="63"/>
      <c r="BYD40" s="63"/>
      <c r="BYE40" s="63"/>
      <c r="BYF40" s="63"/>
      <c r="BYG40" s="63"/>
      <c r="BYH40" s="63"/>
      <c r="BYI40" s="63"/>
      <c r="BYJ40" s="63"/>
      <c r="BYK40" s="63"/>
      <c r="BYL40" s="63"/>
      <c r="BYM40" s="63"/>
      <c r="BYN40" s="63"/>
      <c r="BYO40" s="63"/>
      <c r="BYP40" s="63"/>
      <c r="BYQ40" s="63"/>
      <c r="BYR40" s="63"/>
      <c r="BYS40" s="63"/>
      <c r="BYT40" s="63"/>
      <c r="BYU40" s="63"/>
      <c r="BYV40" s="63"/>
      <c r="BYW40" s="63"/>
      <c r="BYX40" s="63"/>
      <c r="BYY40" s="63"/>
      <c r="BYZ40" s="63"/>
      <c r="BZA40" s="63"/>
      <c r="BZB40" s="63"/>
      <c r="BZC40" s="63"/>
      <c r="BZD40" s="63"/>
      <c r="BZE40" s="63"/>
      <c r="BZF40" s="63"/>
      <c r="BZG40" s="63"/>
      <c r="BZH40" s="63"/>
      <c r="BZI40" s="63"/>
      <c r="BZJ40" s="63"/>
      <c r="BZK40" s="63"/>
      <c r="BZL40" s="63"/>
      <c r="BZM40" s="63"/>
      <c r="BZN40" s="63"/>
      <c r="BZO40" s="63"/>
      <c r="BZP40" s="63"/>
      <c r="BZQ40" s="63"/>
      <c r="BZR40" s="63"/>
      <c r="BZS40" s="63"/>
      <c r="BZT40" s="63"/>
      <c r="BZU40" s="63"/>
      <c r="BZV40" s="63"/>
      <c r="BZW40" s="63"/>
      <c r="BZX40" s="63"/>
      <c r="BZY40" s="63"/>
      <c r="BZZ40" s="63"/>
      <c r="CAA40" s="63"/>
      <c r="CAB40" s="63"/>
      <c r="CAC40" s="63"/>
      <c r="CAD40" s="63"/>
      <c r="CAE40" s="63"/>
      <c r="CAF40" s="63"/>
      <c r="CAG40" s="63"/>
      <c r="CAH40" s="63"/>
      <c r="CAI40" s="63"/>
      <c r="CAJ40" s="63"/>
      <c r="CAK40" s="63"/>
      <c r="CAL40" s="63"/>
      <c r="CAM40" s="63"/>
      <c r="CAN40" s="63"/>
      <c r="CAO40" s="63"/>
      <c r="CAP40" s="63"/>
      <c r="CAQ40" s="63"/>
      <c r="CAR40" s="63"/>
      <c r="CAS40" s="63"/>
      <c r="CAT40" s="63"/>
      <c r="CAU40" s="63"/>
      <c r="CAV40" s="63"/>
      <c r="CAW40" s="63"/>
      <c r="CAX40" s="63"/>
      <c r="CAY40" s="63"/>
      <c r="CAZ40" s="63"/>
      <c r="CBA40" s="63"/>
      <c r="CBB40" s="63"/>
      <c r="CBC40" s="63"/>
      <c r="CBD40" s="63"/>
      <c r="CBE40" s="63"/>
      <c r="CBF40" s="63"/>
      <c r="CBG40" s="63"/>
      <c r="CBH40" s="63"/>
      <c r="CBI40" s="63"/>
      <c r="CBJ40" s="63"/>
      <c r="CBK40" s="63"/>
      <c r="CBL40" s="63"/>
      <c r="CBM40" s="63"/>
      <c r="CBN40" s="63"/>
      <c r="CBO40" s="63"/>
      <c r="CBP40" s="63"/>
      <c r="CBQ40" s="63"/>
      <c r="CBR40" s="63"/>
      <c r="CBS40" s="63"/>
      <c r="CBT40" s="63"/>
      <c r="CBU40" s="63"/>
      <c r="CBV40" s="63"/>
      <c r="CBW40" s="63"/>
      <c r="CBX40" s="63"/>
      <c r="CBY40" s="63"/>
      <c r="CBZ40" s="63"/>
      <c r="CCA40" s="63"/>
      <c r="CCB40" s="63"/>
      <c r="CCC40" s="63"/>
      <c r="CCD40" s="63"/>
      <c r="CCE40" s="63"/>
      <c r="CCF40" s="63"/>
      <c r="CCG40" s="63"/>
      <c r="CCH40" s="63"/>
      <c r="CCI40" s="63"/>
      <c r="CCJ40" s="63"/>
      <c r="CCK40" s="63"/>
      <c r="CCL40" s="63"/>
      <c r="CCM40" s="63"/>
      <c r="CCN40" s="63"/>
      <c r="CCO40" s="63"/>
      <c r="CCP40" s="63"/>
      <c r="CCQ40" s="63"/>
      <c r="CCR40" s="63"/>
      <c r="CCS40" s="63"/>
      <c r="CCT40" s="63"/>
      <c r="CCU40" s="63"/>
      <c r="CCV40" s="63"/>
      <c r="CCW40" s="63"/>
      <c r="CCX40" s="63"/>
      <c r="CCY40" s="63"/>
      <c r="CCZ40" s="63"/>
      <c r="CDA40" s="63"/>
      <c r="CDB40" s="63"/>
      <c r="CDC40" s="63"/>
      <c r="CDD40" s="63"/>
      <c r="CDE40" s="63"/>
      <c r="CDF40" s="63"/>
      <c r="CDG40" s="63"/>
      <c r="CDH40" s="63"/>
      <c r="CDI40" s="63"/>
      <c r="CDJ40" s="63"/>
      <c r="CDK40" s="63"/>
      <c r="CDL40" s="63"/>
      <c r="CDM40" s="63"/>
      <c r="CDN40" s="63"/>
      <c r="CDO40" s="63"/>
      <c r="CDP40" s="63"/>
      <c r="CDQ40" s="63"/>
      <c r="CDR40" s="63"/>
      <c r="CDS40" s="63"/>
      <c r="CDT40" s="63"/>
      <c r="CDU40" s="63"/>
      <c r="CDV40" s="63"/>
      <c r="CDW40" s="63"/>
      <c r="CDX40" s="63"/>
      <c r="CDY40" s="63"/>
      <c r="CDZ40" s="63"/>
      <c r="CEA40" s="63"/>
      <c r="CEB40" s="63"/>
      <c r="CEC40" s="63"/>
      <c r="CED40" s="63"/>
      <c r="CEE40" s="63"/>
      <c r="CEF40" s="63"/>
      <c r="CEG40" s="63"/>
      <c r="CEH40" s="63"/>
      <c r="CEI40" s="63"/>
      <c r="CEJ40" s="63"/>
      <c r="CEK40" s="63"/>
      <c r="CEL40" s="63"/>
      <c r="CEM40" s="63"/>
      <c r="CEN40" s="63"/>
      <c r="CEO40" s="63"/>
      <c r="CEP40" s="63"/>
      <c r="CEQ40" s="63"/>
      <c r="CER40" s="63"/>
      <c r="CES40" s="63"/>
      <c r="CET40" s="63"/>
      <c r="CEU40" s="63"/>
      <c r="CEV40" s="63"/>
      <c r="CEW40" s="63"/>
      <c r="CEX40" s="63"/>
      <c r="CEY40" s="63"/>
      <c r="CEZ40" s="63"/>
      <c r="CFA40" s="63"/>
      <c r="CFB40" s="63"/>
      <c r="CFC40" s="63"/>
      <c r="CFD40" s="63"/>
      <c r="CFE40" s="63"/>
      <c r="CFF40" s="63"/>
      <c r="CFG40" s="63"/>
      <c r="CFH40" s="63"/>
      <c r="CFI40" s="63"/>
      <c r="CFJ40" s="63"/>
      <c r="CFK40" s="63"/>
      <c r="CFL40" s="63"/>
      <c r="CFM40" s="63"/>
      <c r="CFN40" s="63"/>
      <c r="CFO40" s="63"/>
      <c r="CFP40" s="63"/>
      <c r="CFQ40" s="63"/>
      <c r="CFR40" s="63"/>
      <c r="CFS40" s="63"/>
      <c r="CFT40" s="63"/>
      <c r="CFU40" s="63"/>
      <c r="CFV40" s="63"/>
      <c r="CFW40" s="63"/>
      <c r="CFX40" s="63"/>
      <c r="CFY40" s="63"/>
      <c r="CFZ40" s="63"/>
      <c r="CGA40" s="63"/>
      <c r="CGB40" s="63"/>
      <c r="CGC40" s="63"/>
      <c r="CGD40" s="63"/>
      <c r="CGE40" s="63"/>
      <c r="CGF40" s="63"/>
      <c r="CGG40" s="63"/>
      <c r="CGH40" s="63"/>
      <c r="CGI40" s="63"/>
      <c r="CGJ40" s="63"/>
      <c r="CGK40" s="63"/>
      <c r="CGL40" s="63"/>
      <c r="CGM40" s="63"/>
      <c r="CGN40" s="63"/>
      <c r="CGO40" s="63"/>
      <c r="CGP40" s="63"/>
      <c r="CGQ40" s="63"/>
      <c r="CGR40" s="63"/>
      <c r="CGS40" s="63"/>
      <c r="CGT40" s="63"/>
      <c r="CGU40" s="63"/>
      <c r="CGV40" s="63"/>
      <c r="CGW40" s="63"/>
      <c r="CGX40" s="63"/>
      <c r="CGY40" s="63"/>
      <c r="CGZ40" s="63"/>
      <c r="CHA40" s="63"/>
      <c r="CHB40" s="63"/>
      <c r="CHC40" s="63"/>
      <c r="CHD40" s="63"/>
      <c r="CHE40" s="63"/>
      <c r="CHF40" s="63"/>
      <c r="CHG40" s="63"/>
      <c r="CHH40" s="63"/>
      <c r="CHI40" s="63"/>
      <c r="CHJ40" s="63"/>
      <c r="CHK40" s="63"/>
      <c r="CHL40" s="63"/>
      <c r="CHM40" s="63"/>
      <c r="CHN40" s="63"/>
      <c r="CHO40" s="63"/>
      <c r="CHP40" s="63"/>
      <c r="CHQ40" s="63"/>
      <c r="CHR40" s="63"/>
      <c r="CHS40" s="63"/>
      <c r="CHT40" s="63"/>
      <c r="CHU40" s="63"/>
      <c r="CHV40" s="63"/>
      <c r="CHW40" s="63"/>
      <c r="CHX40" s="63"/>
      <c r="CHY40" s="63"/>
      <c r="CHZ40" s="63"/>
      <c r="CIA40" s="63"/>
      <c r="CIB40" s="63"/>
      <c r="CIC40" s="63"/>
      <c r="CID40" s="63"/>
      <c r="CIE40" s="63"/>
      <c r="CIF40" s="63"/>
      <c r="CIG40" s="63"/>
      <c r="CIH40" s="63"/>
      <c r="CII40" s="63"/>
      <c r="CIJ40" s="63"/>
      <c r="CIK40" s="63"/>
      <c r="CIL40" s="63"/>
      <c r="CIM40" s="63"/>
      <c r="CIN40" s="63"/>
      <c r="CIO40" s="63"/>
      <c r="CIP40" s="63"/>
      <c r="CIQ40" s="63"/>
      <c r="CIR40" s="63"/>
      <c r="CIS40" s="63"/>
      <c r="CIT40" s="63"/>
      <c r="CIU40" s="63"/>
      <c r="CIV40" s="63"/>
      <c r="CIW40" s="63"/>
      <c r="CIX40" s="63"/>
      <c r="CIY40" s="63"/>
      <c r="CIZ40" s="63"/>
      <c r="CJA40" s="63"/>
      <c r="CJB40" s="63"/>
      <c r="CJC40" s="63"/>
      <c r="CJD40" s="63"/>
      <c r="CJE40" s="63"/>
      <c r="CJF40" s="63"/>
      <c r="CJG40" s="63"/>
      <c r="CJH40" s="63"/>
      <c r="CJI40" s="63"/>
      <c r="CJJ40" s="63"/>
      <c r="CJK40" s="63"/>
      <c r="CJL40" s="63"/>
      <c r="CJM40" s="63"/>
      <c r="CJN40" s="63"/>
      <c r="CJO40" s="63"/>
      <c r="CJP40" s="63"/>
      <c r="CJQ40" s="63"/>
      <c r="CJR40" s="63"/>
      <c r="CJS40" s="63"/>
      <c r="CJT40" s="63"/>
      <c r="CJU40" s="63"/>
      <c r="CJV40" s="63"/>
      <c r="CJW40" s="63"/>
      <c r="CJX40" s="63"/>
      <c r="CJY40" s="63"/>
      <c r="CJZ40" s="63"/>
      <c r="CKA40" s="63"/>
      <c r="CKB40" s="63"/>
      <c r="CKC40" s="63"/>
      <c r="CKD40" s="63"/>
      <c r="CKE40" s="63"/>
      <c r="CKF40" s="63"/>
      <c r="CKG40" s="63"/>
      <c r="CKH40" s="63"/>
      <c r="CKI40" s="63"/>
      <c r="CKJ40" s="63"/>
      <c r="CKK40" s="63"/>
      <c r="CKL40" s="63"/>
      <c r="CKM40" s="63"/>
      <c r="CKN40" s="63"/>
      <c r="CKO40" s="63"/>
      <c r="CKP40" s="63"/>
      <c r="CKQ40" s="63"/>
      <c r="CKR40" s="63"/>
      <c r="CKS40" s="63"/>
      <c r="CKT40" s="63"/>
      <c r="CKU40" s="63"/>
      <c r="CKV40" s="63"/>
      <c r="CKW40" s="63"/>
      <c r="CKX40" s="63"/>
      <c r="CKY40" s="63"/>
      <c r="CKZ40" s="63"/>
      <c r="CLA40" s="63"/>
      <c r="CLB40" s="63"/>
      <c r="CLC40" s="63"/>
      <c r="CLD40" s="63"/>
      <c r="CLE40" s="63"/>
      <c r="CLF40" s="63"/>
      <c r="CLG40" s="63"/>
      <c r="CLH40" s="63"/>
      <c r="CLI40" s="63"/>
      <c r="CLJ40" s="63"/>
      <c r="CLK40" s="63"/>
      <c r="CLL40" s="63"/>
      <c r="CLM40" s="63"/>
      <c r="CLN40" s="63"/>
      <c r="CLO40" s="63"/>
      <c r="CLP40" s="63"/>
      <c r="CLQ40" s="63"/>
      <c r="CLR40" s="63"/>
      <c r="CLS40" s="63"/>
      <c r="CLT40" s="63"/>
      <c r="CLU40" s="63"/>
      <c r="CLV40" s="63"/>
      <c r="CLW40" s="63"/>
      <c r="CLX40" s="63"/>
      <c r="CLY40" s="63"/>
      <c r="CLZ40" s="63"/>
      <c r="CMA40" s="63"/>
      <c r="CMB40" s="63"/>
      <c r="CMC40" s="63"/>
      <c r="CMD40" s="63"/>
      <c r="CME40" s="63"/>
      <c r="CMF40" s="63"/>
      <c r="CMG40" s="63"/>
      <c r="CMH40" s="63"/>
      <c r="CMI40" s="63"/>
      <c r="CMJ40" s="63"/>
      <c r="CMK40" s="63"/>
      <c r="CML40" s="63"/>
      <c r="CMM40" s="63"/>
      <c r="CMN40" s="63"/>
      <c r="CMO40" s="63"/>
      <c r="CMP40" s="63"/>
      <c r="CMQ40" s="63"/>
      <c r="CMR40" s="63"/>
      <c r="CMS40" s="63"/>
      <c r="CMT40" s="63"/>
      <c r="CMU40" s="63"/>
      <c r="CMV40" s="63"/>
      <c r="CMW40" s="63"/>
      <c r="CMX40" s="63"/>
      <c r="CMY40" s="63"/>
      <c r="CMZ40" s="63"/>
      <c r="CNA40" s="63"/>
      <c r="CNB40" s="63"/>
      <c r="CNC40" s="63"/>
      <c r="CND40" s="63"/>
      <c r="CNE40" s="63"/>
      <c r="CNF40" s="63"/>
      <c r="CNG40" s="63"/>
      <c r="CNH40" s="63"/>
      <c r="CNI40" s="63"/>
      <c r="CNJ40" s="63"/>
      <c r="CNK40" s="63"/>
      <c r="CNL40" s="63"/>
      <c r="CNM40" s="63"/>
      <c r="CNN40" s="63"/>
      <c r="CNO40" s="63"/>
      <c r="CNP40" s="63"/>
      <c r="CNQ40" s="63"/>
      <c r="CNR40" s="63"/>
      <c r="CNS40" s="63"/>
      <c r="CNT40" s="63"/>
      <c r="CNU40" s="63"/>
      <c r="CNV40" s="63"/>
      <c r="CNW40" s="63"/>
      <c r="CNX40" s="63"/>
      <c r="CNY40" s="63"/>
      <c r="CNZ40" s="63"/>
      <c r="COA40" s="63"/>
      <c r="COB40" s="63"/>
      <c r="COC40" s="63"/>
      <c r="COD40" s="63"/>
      <c r="COE40" s="63"/>
      <c r="COF40" s="63"/>
      <c r="COG40" s="63"/>
      <c r="COH40" s="63"/>
      <c r="COI40" s="63"/>
      <c r="COJ40" s="63"/>
      <c r="COK40" s="63"/>
      <c r="COL40" s="63"/>
      <c r="COM40" s="63"/>
      <c r="CON40" s="63"/>
      <c r="COO40" s="63"/>
      <c r="COP40" s="63"/>
      <c r="COQ40" s="63"/>
      <c r="COR40" s="63"/>
      <c r="COS40" s="63"/>
      <c r="COT40" s="63"/>
      <c r="COU40" s="63"/>
      <c r="COV40" s="63"/>
      <c r="COW40" s="63"/>
      <c r="COX40" s="63"/>
      <c r="COY40" s="63"/>
      <c r="COZ40" s="63"/>
      <c r="CPA40" s="63"/>
      <c r="CPB40" s="63"/>
      <c r="CPC40" s="63"/>
      <c r="CPD40" s="63"/>
      <c r="CPE40" s="63"/>
      <c r="CPF40" s="63"/>
      <c r="CPG40" s="63"/>
      <c r="CPH40" s="63"/>
      <c r="CPI40" s="63"/>
      <c r="CPJ40" s="63"/>
      <c r="CPK40" s="63"/>
      <c r="CPL40" s="63"/>
      <c r="CPM40" s="63"/>
      <c r="CPN40" s="63"/>
      <c r="CPO40" s="63"/>
      <c r="CPP40" s="63"/>
      <c r="CPQ40" s="63"/>
      <c r="CPR40" s="63"/>
      <c r="CPS40" s="63"/>
      <c r="CPT40" s="63"/>
      <c r="CPU40" s="63"/>
      <c r="CPV40" s="63"/>
      <c r="CPW40" s="63"/>
      <c r="CPX40" s="63"/>
      <c r="CPY40" s="63"/>
      <c r="CPZ40" s="63"/>
      <c r="CQA40" s="63"/>
      <c r="CQB40" s="63"/>
      <c r="CQC40" s="63"/>
      <c r="CQD40" s="63"/>
      <c r="CQE40" s="63"/>
      <c r="CQF40" s="63"/>
      <c r="CQG40" s="63"/>
      <c r="CQH40" s="63"/>
      <c r="CQI40" s="63"/>
      <c r="CQJ40" s="63"/>
      <c r="CQK40" s="63"/>
      <c r="CQL40" s="63"/>
      <c r="CQM40" s="63"/>
      <c r="CQN40" s="63"/>
      <c r="CQO40" s="63"/>
      <c r="CQP40" s="63"/>
      <c r="CQQ40" s="63"/>
      <c r="CQR40" s="63"/>
      <c r="CQS40" s="63"/>
      <c r="CQT40" s="63"/>
      <c r="CQU40" s="63"/>
      <c r="CQV40" s="63"/>
      <c r="CQW40" s="63"/>
      <c r="CQX40" s="63"/>
      <c r="CQY40" s="63"/>
      <c r="CQZ40" s="63"/>
      <c r="CRA40" s="63"/>
      <c r="CRB40" s="63"/>
      <c r="CRC40" s="63"/>
      <c r="CRD40" s="63"/>
      <c r="CRE40" s="63"/>
      <c r="CRF40" s="63"/>
      <c r="CRG40" s="63"/>
      <c r="CRH40" s="63"/>
      <c r="CRI40" s="63"/>
      <c r="CRJ40" s="63"/>
      <c r="CRK40" s="63"/>
      <c r="CRL40" s="63"/>
      <c r="CRM40" s="63"/>
      <c r="CRN40" s="63"/>
      <c r="CRO40" s="63"/>
      <c r="CRP40" s="63"/>
      <c r="CRQ40" s="63"/>
      <c r="CRR40" s="63"/>
      <c r="CRS40" s="63"/>
      <c r="CRT40" s="63"/>
      <c r="CRU40" s="63"/>
      <c r="CRV40" s="63"/>
      <c r="CRW40" s="63"/>
      <c r="CRX40" s="63"/>
      <c r="CRY40" s="63"/>
      <c r="CRZ40" s="63"/>
      <c r="CSA40" s="63"/>
      <c r="CSB40" s="63"/>
      <c r="CSC40" s="63"/>
      <c r="CSD40" s="63"/>
      <c r="CSE40" s="63"/>
      <c r="CSF40" s="63"/>
      <c r="CSG40" s="63"/>
      <c r="CSH40" s="63"/>
      <c r="CSI40" s="63"/>
      <c r="CSJ40" s="63"/>
      <c r="CSK40" s="63"/>
      <c r="CSL40" s="63"/>
      <c r="CSM40" s="63"/>
      <c r="CSN40" s="63"/>
      <c r="CSO40" s="63"/>
      <c r="CSP40" s="63"/>
      <c r="CSQ40" s="63"/>
      <c r="CSR40" s="63"/>
      <c r="CSS40" s="63"/>
      <c r="CST40" s="63"/>
      <c r="CSU40" s="63"/>
      <c r="CSV40" s="63"/>
      <c r="CSW40" s="63"/>
      <c r="CSX40" s="63"/>
      <c r="CSY40" s="63"/>
      <c r="CSZ40" s="63"/>
      <c r="CTA40" s="63"/>
      <c r="CTB40" s="63"/>
      <c r="CTC40" s="63"/>
      <c r="CTD40" s="63"/>
      <c r="CTE40" s="63"/>
      <c r="CTF40" s="63"/>
      <c r="CTG40" s="63"/>
      <c r="CTH40" s="63"/>
      <c r="CTI40" s="63"/>
      <c r="CTJ40" s="63"/>
      <c r="CTK40" s="63"/>
      <c r="CTL40" s="63"/>
      <c r="CTM40" s="63"/>
      <c r="CTN40" s="63"/>
      <c r="CTO40" s="63"/>
      <c r="CTP40" s="63"/>
      <c r="CTQ40" s="63"/>
      <c r="CTR40" s="63"/>
      <c r="CTS40" s="63"/>
      <c r="CTT40" s="63"/>
      <c r="CTU40" s="63"/>
      <c r="CTV40" s="63"/>
      <c r="CTW40" s="63"/>
      <c r="CTX40" s="63"/>
      <c r="CTY40" s="63"/>
      <c r="CTZ40" s="63"/>
      <c r="CUA40" s="63"/>
      <c r="CUB40" s="63"/>
      <c r="CUC40" s="63"/>
      <c r="CUD40" s="63"/>
      <c r="CUE40" s="63"/>
      <c r="CUF40" s="63"/>
      <c r="CUG40" s="63"/>
      <c r="CUH40" s="63"/>
      <c r="CUI40" s="63"/>
      <c r="CUJ40" s="63"/>
      <c r="CUK40" s="63"/>
      <c r="CUL40" s="63"/>
      <c r="CUM40" s="63"/>
      <c r="CUN40" s="63"/>
      <c r="CUO40" s="63"/>
      <c r="CUP40" s="63"/>
      <c r="CUQ40" s="63"/>
      <c r="CUR40" s="63"/>
      <c r="CUS40" s="63"/>
      <c r="CUT40" s="63"/>
      <c r="CUU40" s="63"/>
      <c r="CUV40" s="63"/>
      <c r="CUW40" s="63"/>
      <c r="CUX40" s="63"/>
      <c r="CUY40" s="63"/>
      <c r="CUZ40" s="63"/>
      <c r="CVA40" s="63"/>
      <c r="CVB40" s="63"/>
      <c r="CVC40" s="63"/>
      <c r="CVD40" s="63"/>
      <c r="CVE40" s="63"/>
      <c r="CVF40" s="63"/>
      <c r="CVG40" s="63"/>
      <c r="CVH40" s="63"/>
      <c r="CVI40" s="63"/>
      <c r="CVJ40" s="63"/>
      <c r="CVK40" s="63"/>
      <c r="CVL40" s="63"/>
      <c r="CVM40" s="63"/>
      <c r="CVN40" s="63"/>
      <c r="CVO40" s="63"/>
      <c r="CVP40" s="63"/>
      <c r="CVQ40" s="63"/>
      <c r="CVR40" s="63"/>
      <c r="CVS40" s="63"/>
      <c r="CVT40" s="63"/>
      <c r="CVU40" s="63"/>
      <c r="CVV40" s="63"/>
      <c r="CVW40" s="63"/>
      <c r="CVX40" s="63"/>
      <c r="CVY40" s="63"/>
      <c r="CVZ40" s="63"/>
      <c r="CWA40" s="63"/>
      <c r="CWB40" s="63"/>
      <c r="CWC40" s="63"/>
      <c r="CWD40" s="63"/>
      <c r="CWE40" s="63"/>
      <c r="CWF40" s="63"/>
      <c r="CWG40" s="63"/>
      <c r="CWH40" s="63"/>
      <c r="CWI40" s="63"/>
      <c r="CWJ40" s="63"/>
      <c r="CWK40" s="63"/>
      <c r="CWL40" s="63"/>
      <c r="CWM40" s="63"/>
      <c r="CWN40" s="63"/>
      <c r="CWO40" s="63"/>
      <c r="CWP40" s="63"/>
      <c r="CWQ40" s="63"/>
      <c r="CWR40" s="63"/>
      <c r="CWS40" s="63"/>
      <c r="CWT40" s="63"/>
      <c r="CWU40" s="63"/>
      <c r="CWV40" s="63"/>
      <c r="CWW40" s="63"/>
      <c r="CWX40" s="63"/>
      <c r="CWY40" s="63"/>
      <c r="CWZ40" s="63"/>
      <c r="CXA40" s="63"/>
      <c r="CXB40" s="63"/>
      <c r="CXC40" s="63"/>
      <c r="CXD40" s="63"/>
      <c r="CXE40" s="63"/>
      <c r="CXF40" s="63"/>
      <c r="CXG40" s="63"/>
      <c r="CXH40" s="63"/>
      <c r="CXI40" s="63"/>
      <c r="CXJ40" s="63"/>
      <c r="CXK40" s="63"/>
      <c r="CXL40" s="63"/>
      <c r="CXM40" s="63"/>
      <c r="CXN40" s="63"/>
      <c r="CXO40" s="63"/>
      <c r="CXP40" s="63"/>
      <c r="CXQ40" s="63"/>
      <c r="CXR40" s="63"/>
      <c r="CXS40" s="63"/>
      <c r="CXT40" s="63"/>
      <c r="CXU40" s="63"/>
      <c r="CXV40" s="63"/>
      <c r="CXW40" s="63"/>
      <c r="CXX40" s="63"/>
      <c r="CXY40" s="63"/>
      <c r="CXZ40" s="63"/>
      <c r="CYA40" s="63"/>
      <c r="CYB40" s="63"/>
      <c r="CYC40" s="63"/>
      <c r="CYD40" s="63"/>
      <c r="CYE40" s="63"/>
      <c r="CYF40" s="63"/>
      <c r="CYG40" s="63"/>
      <c r="CYH40" s="63"/>
      <c r="CYI40" s="63"/>
      <c r="CYJ40" s="63"/>
      <c r="CYK40" s="63"/>
      <c r="CYL40" s="63"/>
      <c r="CYM40" s="63"/>
      <c r="CYN40" s="63"/>
      <c r="CYO40" s="63"/>
      <c r="CYP40" s="63"/>
      <c r="CYQ40" s="63"/>
      <c r="CYR40" s="63"/>
      <c r="CYS40" s="63"/>
      <c r="CYT40" s="63"/>
      <c r="CYU40" s="63"/>
      <c r="CYV40" s="63"/>
      <c r="CYW40" s="63"/>
      <c r="CYX40" s="63"/>
      <c r="CYY40" s="63"/>
      <c r="CYZ40" s="63"/>
      <c r="CZA40" s="63"/>
      <c r="CZB40" s="63"/>
      <c r="CZC40" s="63"/>
      <c r="CZD40" s="63"/>
      <c r="CZE40" s="63"/>
      <c r="CZF40" s="63"/>
      <c r="CZG40" s="63"/>
      <c r="CZH40" s="63"/>
      <c r="CZI40" s="63"/>
      <c r="CZJ40" s="63"/>
      <c r="CZK40" s="63"/>
      <c r="CZL40" s="63"/>
      <c r="CZM40" s="63"/>
      <c r="CZN40" s="63"/>
      <c r="CZO40" s="63"/>
      <c r="CZP40" s="63"/>
      <c r="CZQ40" s="63"/>
      <c r="CZR40" s="63"/>
      <c r="CZS40" s="63"/>
      <c r="CZT40" s="63"/>
      <c r="CZU40" s="63"/>
      <c r="CZV40" s="63"/>
      <c r="CZW40" s="63"/>
      <c r="CZX40" s="63"/>
      <c r="CZY40" s="63"/>
      <c r="CZZ40" s="63"/>
      <c r="DAA40" s="63"/>
      <c r="DAB40" s="63"/>
      <c r="DAC40" s="63"/>
      <c r="DAD40" s="63"/>
      <c r="DAE40" s="63"/>
      <c r="DAF40" s="63"/>
      <c r="DAG40" s="63"/>
      <c r="DAH40" s="63"/>
      <c r="DAI40" s="63"/>
      <c r="DAJ40" s="63"/>
      <c r="DAK40" s="63"/>
      <c r="DAL40" s="63"/>
      <c r="DAM40" s="63"/>
      <c r="DAN40" s="63"/>
      <c r="DAO40" s="63"/>
      <c r="DAP40" s="63"/>
      <c r="DAQ40" s="63"/>
      <c r="DAR40" s="63"/>
      <c r="DAS40" s="63"/>
      <c r="DAT40" s="63"/>
      <c r="DAU40" s="63"/>
      <c r="DAV40" s="63"/>
      <c r="DAW40" s="63"/>
      <c r="DAX40" s="63"/>
      <c r="DAY40" s="63"/>
      <c r="DAZ40" s="63"/>
      <c r="DBA40" s="63"/>
      <c r="DBB40" s="63"/>
      <c r="DBC40" s="63"/>
      <c r="DBD40" s="63"/>
      <c r="DBE40" s="63"/>
      <c r="DBF40" s="63"/>
      <c r="DBG40" s="63"/>
      <c r="DBH40" s="63"/>
      <c r="DBI40" s="63"/>
      <c r="DBJ40" s="63"/>
      <c r="DBK40" s="63"/>
      <c r="DBL40" s="63"/>
      <c r="DBM40" s="63"/>
      <c r="DBN40" s="63"/>
      <c r="DBO40" s="63"/>
      <c r="DBP40" s="63"/>
      <c r="DBQ40" s="63"/>
      <c r="DBR40" s="63"/>
      <c r="DBS40" s="63"/>
      <c r="DBT40" s="63"/>
      <c r="DBU40" s="63"/>
      <c r="DBV40" s="63"/>
      <c r="DBW40" s="63"/>
      <c r="DBX40" s="63"/>
      <c r="DBY40" s="63"/>
      <c r="DBZ40" s="63"/>
      <c r="DCA40" s="63"/>
      <c r="DCB40" s="63"/>
      <c r="DCC40" s="63"/>
      <c r="DCD40" s="63"/>
      <c r="DCE40" s="63"/>
      <c r="DCF40" s="63"/>
      <c r="DCG40" s="63"/>
      <c r="DCH40" s="63"/>
      <c r="DCI40" s="63"/>
      <c r="DCJ40" s="63"/>
      <c r="DCK40" s="63"/>
      <c r="DCL40" s="63"/>
      <c r="DCM40" s="63"/>
      <c r="DCN40" s="63"/>
      <c r="DCO40" s="63"/>
      <c r="DCP40" s="63"/>
      <c r="DCQ40" s="63"/>
      <c r="DCR40" s="63"/>
      <c r="DCS40" s="63"/>
      <c r="DCT40" s="63"/>
      <c r="DCU40" s="63"/>
      <c r="DCV40" s="63"/>
      <c r="DCW40" s="63"/>
      <c r="DCX40" s="63"/>
      <c r="DCY40" s="63"/>
      <c r="DCZ40" s="63"/>
      <c r="DDA40" s="63"/>
      <c r="DDB40" s="63"/>
      <c r="DDC40" s="63"/>
      <c r="DDD40" s="63"/>
      <c r="DDE40" s="63"/>
      <c r="DDF40" s="63"/>
      <c r="DDG40" s="63"/>
      <c r="DDH40" s="63"/>
      <c r="DDI40" s="63"/>
      <c r="DDJ40" s="63"/>
      <c r="DDK40" s="63"/>
      <c r="DDL40" s="63"/>
      <c r="DDM40" s="63"/>
      <c r="DDN40" s="63"/>
      <c r="DDO40" s="63"/>
      <c r="DDP40" s="63"/>
      <c r="DDQ40" s="63"/>
      <c r="DDR40" s="63"/>
      <c r="DDS40" s="63"/>
      <c r="DDT40" s="63"/>
      <c r="DDU40" s="63"/>
      <c r="DDV40" s="63"/>
      <c r="DDW40" s="63"/>
      <c r="DDX40" s="63"/>
      <c r="DDY40" s="63"/>
      <c r="DDZ40" s="63"/>
      <c r="DEA40" s="63"/>
      <c r="DEB40" s="63"/>
      <c r="DEC40" s="63"/>
      <c r="DED40" s="63"/>
      <c r="DEE40" s="63"/>
      <c r="DEF40" s="63"/>
      <c r="DEG40" s="63"/>
      <c r="DEH40" s="63"/>
      <c r="DEI40" s="63"/>
      <c r="DEJ40" s="63"/>
      <c r="DEK40" s="63"/>
      <c r="DEL40" s="63"/>
      <c r="DEM40" s="63"/>
      <c r="DEN40" s="63"/>
      <c r="DEO40" s="63"/>
      <c r="DEP40" s="63"/>
      <c r="DEQ40" s="63"/>
      <c r="DER40" s="63"/>
      <c r="DES40" s="63"/>
      <c r="DET40" s="63"/>
      <c r="DEU40" s="63"/>
      <c r="DEV40" s="63"/>
      <c r="DEW40" s="63"/>
      <c r="DEX40" s="63"/>
      <c r="DEY40" s="63"/>
      <c r="DEZ40" s="63"/>
      <c r="DFA40" s="63"/>
      <c r="DFB40" s="63"/>
      <c r="DFC40" s="63"/>
      <c r="DFD40" s="63"/>
      <c r="DFE40" s="63"/>
      <c r="DFF40" s="63"/>
      <c r="DFG40" s="63"/>
      <c r="DFH40" s="63"/>
      <c r="DFI40" s="63"/>
      <c r="DFJ40" s="63"/>
      <c r="DFK40" s="63"/>
      <c r="DFL40" s="63"/>
      <c r="DFM40" s="63"/>
      <c r="DFN40" s="63"/>
      <c r="DFO40" s="63"/>
      <c r="DFP40" s="63"/>
      <c r="DFQ40" s="63"/>
      <c r="DFR40" s="63"/>
      <c r="DFS40" s="63"/>
      <c r="DFT40" s="63"/>
      <c r="DFU40" s="63"/>
      <c r="DFV40" s="63"/>
      <c r="DFW40" s="63"/>
      <c r="DFX40" s="63"/>
      <c r="DFY40" s="63"/>
      <c r="DFZ40" s="63"/>
      <c r="DGA40" s="63"/>
      <c r="DGB40" s="63"/>
      <c r="DGC40" s="63"/>
      <c r="DGD40" s="63"/>
      <c r="DGE40" s="63"/>
      <c r="DGF40" s="63"/>
      <c r="DGG40" s="63"/>
      <c r="DGH40" s="63"/>
      <c r="DGI40" s="63"/>
      <c r="DGJ40" s="63"/>
      <c r="DGK40" s="63"/>
      <c r="DGL40" s="63"/>
      <c r="DGM40" s="63"/>
      <c r="DGN40" s="63"/>
      <c r="DGO40" s="63"/>
      <c r="DGP40" s="63"/>
      <c r="DGQ40" s="63"/>
      <c r="DGR40" s="63"/>
      <c r="DGS40" s="63"/>
      <c r="DGT40" s="63"/>
      <c r="DGU40" s="63"/>
      <c r="DGV40" s="63"/>
      <c r="DGW40" s="63"/>
      <c r="DGX40" s="63"/>
      <c r="DGY40" s="63"/>
      <c r="DGZ40" s="63"/>
      <c r="DHA40" s="63"/>
      <c r="DHB40" s="63"/>
      <c r="DHC40" s="63"/>
      <c r="DHD40" s="63"/>
      <c r="DHE40" s="63"/>
      <c r="DHF40" s="63"/>
      <c r="DHG40" s="63"/>
      <c r="DHH40" s="63"/>
      <c r="DHI40" s="63"/>
      <c r="DHJ40" s="63"/>
      <c r="DHK40" s="63"/>
      <c r="DHL40" s="63"/>
      <c r="DHM40" s="63"/>
      <c r="DHN40" s="63"/>
      <c r="DHO40" s="63"/>
      <c r="DHP40" s="63"/>
      <c r="DHQ40" s="63"/>
      <c r="DHR40" s="63"/>
      <c r="DHS40" s="63"/>
      <c r="DHT40" s="63"/>
      <c r="DHU40" s="63"/>
      <c r="DHV40" s="63"/>
      <c r="DHW40" s="63"/>
      <c r="DHX40" s="63"/>
      <c r="DHY40" s="63"/>
      <c r="DHZ40" s="63"/>
      <c r="DIA40" s="63"/>
      <c r="DIB40" s="63"/>
      <c r="DIC40" s="63"/>
      <c r="DID40" s="63"/>
      <c r="DIE40" s="63"/>
      <c r="DIF40" s="63"/>
      <c r="DIG40" s="63"/>
      <c r="DIH40" s="63"/>
      <c r="DII40" s="63"/>
      <c r="DIJ40" s="63"/>
      <c r="DIK40" s="63"/>
      <c r="DIL40" s="63"/>
      <c r="DIM40" s="63"/>
      <c r="DIN40" s="63"/>
      <c r="DIO40" s="63"/>
      <c r="DIP40" s="63"/>
      <c r="DIQ40" s="63"/>
      <c r="DIR40" s="63"/>
      <c r="DIS40" s="63"/>
      <c r="DIT40" s="63"/>
      <c r="DIU40" s="63"/>
      <c r="DIV40" s="63"/>
      <c r="DIW40" s="63"/>
      <c r="DIX40" s="63"/>
      <c r="DIY40" s="63"/>
      <c r="DIZ40" s="63"/>
      <c r="DJA40" s="63"/>
      <c r="DJB40" s="63"/>
      <c r="DJC40" s="63"/>
      <c r="DJD40" s="63"/>
      <c r="DJE40" s="63"/>
      <c r="DJF40" s="63"/>
      <c r="DJG40" s="63"/>
      <c r="DJH40" s="63"/>
      <c r="DJI40" s="63"/>
      <c r="DJJ40" s="63"/>
      <c r="DJK40" s="63"/>
      <c r="DJL40" s="63"/>
      <c r="DJM40" s="63"/>
      <c r="DJN40" s="63"/>
      <c r="DJO40" s="63"/>
      <c r="DJP40" s="63"/>
      <c r="DJQ40" s="63"/>
      <c r="DJR40" s="63"/>
      <c r="DJS40" s="63"/>
      <c r="DJT40" s="63"/>
      <c r="DJU40" s="63"/>
      <c r="DJV40" s="63"/>
      <c r="DJW40" s="63"/>
      <c r="DJX40" s="63"/>
      <c r="DJY40" s="63"/>
      <c r="DJZ40" s="63"/>
      <c r="DKA40" s="63"/>
      <c r="DKB40" s="63"/>
      <c r="DKC40" s="63"/>
      <c r="DKD40" s="63"/>
      <c r="DKE40" s="63"/>
      <c r="DKF40" s="63"/>
      <c r="DKG40" s="63"/>
      <c r="DKH40" s="63"/>
      <c r="DKI40" s="63"/>
      <c r="DKJ40" s="63"/>
      <c r="DKK40" s="63"/>
      <c r="DKL40" s="63"/>
      <c r="DKM40" s="63"/>
      <c r="DKN40" s="63"/>
      <c r="DKO40" s="63"/>
      <c r="DKP40" s="63"/>
      <c r="DKQ40" s="63"/>
      <c r="DKR40" s="63"/>
      <c r="DKS40" s="63"/>
      <c r="DKT40" s="63"/>
      <c r="DKU40" s="63"/>
      <c r="DKV40" s="63"/>
      <c r="DKW40" s="63"/>
      <c r="DKX40" s="63"/>
      <c r="DKY40" s="63"/>
      <c r="DKZ40" s="63"/>
      <c r="DLA40" s="63"/>
      <c r="DLB40" s="63"/>
      <c r="DLC40" s="63"/>
      <c r="DLD40" s="63"/>
      <c r="DLE40" s="63"/>
      <c r="DLF40" s="63"/>
      <c r="DLG40" s="63"/>
      <c r="DLH40" s="63"/>
      <c r="DLI40" s="63"/>
      <c r="DLJ40" s="63"/>
      <c r="DLK40" s="63"/>
      <c r="DLL40" s="63"/>
      <c r="DLM40" s="63"/>
      <c r="DLN40" s="63"/>
      <c r="DLO40" s="63"/>
      <c r="DLP40" s="63"/>
      <c r="DLQ40" s="63"/>
      <c r="DLR40" s="63"/>
      <c r="DLS40" s="63"/>
      <c r="DLT40" s="63"/>
      <c r="DLU40" s="63"/>
      <c r="DLV40" s="63"/>
      <c r="DLW40" s="63"/>
      <c r="DLX40" s="63"/>
      <c r="DLY40" s="63"/>
      <c r="DLZ40" s="63"/>
      <c r="DMA40" s="63"/>
      <c r="DMB40" s="63"/>
      <c r="DMC40" s="63"/>
      <c r="DMD40" s="63"/>
      <c r="DME40" s="63"/>
      <c r="DMF40" s="63"/>
      <c r="DMG40" s="63"/>
      <c r="DMH40" s="63"/>
      <c r="DMI40" s="63"/>
      <c r="DMJ40" s="63"/>
      <c r="DMK40" s="63"/>
      <c r="DML40" s="63"/>
      <c r="DMM40" s="63"/>
      <c r="DMN40" s="63"/>
      <c r="DMO40" s="63"/>
      <c r="DMP40" s="63"/>
      <c r="DMQ40" s="63"/>
      <c r="DMR40" s="63"/>
      <c r="DMS40" s="63"/>
      <c r="DMT40" s="63"/>
      <c r="DMU40" s="63"/>
      <c r="DMV40" s="63"/>
      <c r="DMW40" s="63"/>
      <c r="DMX40" s="63"/>
      <c r="DMY40" s="63"/>
      <c r="DMZ40" s="63"/>
      <c r="DNA40" s="63"/>
      <c r="DNB40" s="63"/>
      <c r="DNC40" s="63"/>
      <c r="DND40" s="63"/>
      <c r="DNE40" s="63"/>
      <c r="DNF40" s="63"/>
      <c r="DNG40" s="63"/>
      <c r="DNH40" s="63"/>
      <c r="DNI40" s="63"/>
      <c r="DNJ40" s="63"/>
      <c r="DNK40" s="63"/>
      <c r="DNL40" s="63"/>
      <c r="DNM40" s="63"/>
      <c r="DNN40" s="63"/>
      <c r="DNO40" s="63"/>
      <c r="DNP40" s="63"/>
      <c r="DNQ40" s="63"/>
      <c r="DNR40" s="63"/>
      <c r="DNS40" s="63"/>
      <c r="DNT40" s="63"/>
      <c r="DNU40" s="63"/>
      <c r="DNV40" s="63"/>
      <c r="DNW40" s="63"/>
      <c r="DNX40" s="63"/>
      <c r="DNY40" s="63"/>
      <c r="DNZ40" s="63"/>
      <c r="DOA40" s="63"/>
      <c r="DOB40" s="63"/>
      <c r="DOC40" s="63"/>
      <c r="DOD40" s="63"/>
      <c r="DOE40" s="63"/>
      <c r="DOF40" s="63"/>
      <c r="DOG40" s="63"/>
      <c r="DOH40" s="63"/>
      <c r="DOI40" s="63"/>
      <c r="DOJ40" s="63"/>
      <c r="DOK40" s="63"/>
      <c r="DOL40" s="63"/>
      <c r="DOM40" s="63"/>
      <c r="DON40" s="63"/>
      <c r="DOO40" s="63"/>
      <c r="DOP40" s="63"/>
      <c r="DOQ40" s="63"/>
      <c r="DOR40" s="63"/>
      <c r="DOS40" s="63"/>
      <c r="DOT40" s="63"/>
      <c r="DOU40" s="63"/>
      <c r="DOV40" s="63"/>
      <c r="DOW40" s="63"/>
      <c r="DOX40" s="63"/>
      <c r="DOY40" s="63"/>
      <c r="DOZ40" s="63"/>
      <c r="DPA40" s="63"/>
      <c r="DPB40" s="63"/>
      <c r="DPC40" s="63"/>
      <c r="DPD40" s="63"/>
      <c r="DPE40" s="63"/>
      <c r="DPF40" s="63"/>
      <c r="DPG40" s="63"/>
      <c r="DPH40" s="63"/>
      <c r="DPI40" s="63"/>
      <c r="DPJ40" s="63"/>
      <c r="DPK40" s="63"/>
      <c r="DPL40" s="63"/>
      <c r="DPM40" s="63"/>
      <c r="DPN40" s="63"/>
      <c r="DPO40" s="63"/>
      <c r="DPP40" s="63"/>
      <c r="DPQ40" s="63"/>
      <c r="DPR40" s="63"/>
      <c r="DPS40" s="63"/>
      <c r="DPT40" s="63"/>
      <c r="DPU40" s="63"/>
      <c r="DPV40" s="63"/>
      <c r="DPW40" s="63"/>
      <c r="DPX40" s="63"/>
      <c r="DPY40" s="63"/>
      <c r="DPZ40" s="63"/>
      <c r="DQA40" s="63"/>
      <c r="DQB40" s="63"/>
      <c r="DQC40" s="63"/>
      <c r="DQD40" s="63"/>
      <c r="DQE40" s="63"/>
      <c r="DQF40" s="63"/>
      <c r="DQG40" s="63"/>
      <c r="DQH40" s="63"/>
      <c r="DQI40" s="63"/>
      <c r="DQJ40" s="63"/>
      <c r="DQK40" s="63"/>
      <c r="DQL40" s="63"/>
      <c r="DQM40" s="63"/>
      <c r="DQN40" s="63"/>
      <c r="DQO40" s="63"/>
      <c r="DQP40" s="63"/>
      <c r="DQQ40" s="63"/>
      <c r="DQR40" s="63"/>
      <c r="DQS40" s="63"/>
      <c r="DQT40" s="63"/>
      <c r="DQU40" s="63"/>
      <c r="DQV40" s="63"/>
      <c r="DQW40" s="63"/>
      <c r="DQX40" s="63"/>
      <c r="DQY40" s="63"/>
      <c r="DQZ40" s="63"/>
      <c r="DRA40" s="63"/>
      <c r="DRB40" s="63"/>
      <c r="DRC40" s="63"/>
      <c r="DRD40" s="63"/>
      <c r="DRE40" s="63"/>
      <c r="DRF40" s="63"/>
      <c r="DRG40" s="63"/>
      <c r="DRH40" s="63"/>
      <c r="DRI40" s="63"/>
      <c r="DRJ40" s="63"/>
      <c r="DRK40" s="63"/>
      <c r="DRL40" s="63"/>
      <c r="DRM40" s="63"/>
      <c r="DRN40" s="63"/>
      <c r="DRO40" s="63"/>
      <c r="DRP40" s="63"/>
      <c r="DRQ40" s="63"/>
      <c r="DRR40" s="63"/>
      <c r="DRS40" s="63"/>
      <c r="DRT40" s="63"/>
      <c r="DRU40" s="63"/>
      <c r="DRV40" s="63"/>
      <c r="DRW40" s="63"/>
      <c r="DRX40" s="63"/>
      <c r="DRY40" s="63"/>
      <c r="DRZ40" s="63"/>
      <c r="DSA40" s="63"/>
      <c r="DSB40" s="63"/>
      <c r="DSC40" s="63"/>
      <c r="DSD40" s="63"/>
      <c r="DSE40" s="63"/>
      <c r="DSF40" s="63"/>
      <c r="DSG40" s="63"/>
      <c r="DSH40" s="63"/>
      <c r="DSI40" s="63"/>
      <c r="DSJ40" s="63"/>
      <c r="DSK40" s="63"/>
      <c r="DSL40" s="63"/>
      <c r="DSM40" s="63"/>
      <c r="DSN40" s="63"/>
      <c r="DSO40" s="63"/>
      <c r="DSP40" s="63"/>
      <c r="DSQ40" s="63"/>
      <c r="DSR40" s="63"/>
      <c r="DSS40" s="63"/>
      <c r="DST40" s="63"/>
      <c r="DSU40" s="63"/>
      <c r="DSV40" s="63"/>
      <c r="DSW40" s="63"/>
      <c r="DSX40" s="63"/>
      <c r="DSY40" s="63"/>
      <c r="DSZ40" s="63"/>
      <c r="DTA40" s="63"/>
      <c r="DTB40" s="63"/>
      <c r="DTC40" s="63"/>
      <c r="DTD40" s="63"/>
      <c r="DTE40" s="63"/>
      <c r="DTF40" s="63"/>
      <c r="DTG40" s="63"/>
      <c r="DTH40" s="63"/>
      <c r="DTI40" s="63"/>
      <c r="DTJ40" s="63"/>
      <c r="DTK40" s="63"/>
      <c r="DTL40" s="63"/>
      <c r="DTM40" s="63"/>
      <c r="DTN40" s="63"/>
      <c r="DTO40" s="63"/>
      <c r="DTP40" s="63"/>
      <c r="DTQ40" s="63"/>
      <c r="DTR40" s="63"/>
      <c r="DTS40" s="63"/>
      <c r="DTT40" s="63"/>
      <c r="DTU40" s="63"/>
      <c r="DTV40" s="63"/>
      <c r="DTW40" s="63"/>
      <c r="DTX40" s="63"/>
      <c r="DTY40" s="63"/>
      <c r="DTZ40" s="63"/>
      <c r="DUA40" s="63"/>
      <c r="DUB40" s="63"/>
      <c r="DUC40" s="63"/>
      <c r="DUD40" s="63"/>
      <c r="DUE40" s="63"/>
      <c r="DUF40" s="63"/>
      <c r="DUG40" s="63"/>
      <c r="DUH40" s="63"/>
      <c r="DUI40" s="63"/>
      <c r="DUJ40" s="63"/>
      <c r="DUK40" s="63"/>
      <c r="DUL40" s="63"/>
      <c r="DUM40" s="63"/>
      <c r="DUN40" s="63"/>
      <c r="DUO40" s="63"/>
      <c r="DUP40" s="63"/>
      <c r="DUQ40" s="63"/>
      <c r="DUR40" s="63"/>
      <c r="DUS40" s="63"/>
      <c r="DUT40" s="63"/>
      <c r="DUU40" s="63"/>
      <c r="DUV40" s="63"/>
      <c r="DUW40" s="63"/>
      <c r="DUX40" s="63"/>
      <c r="DUY40" s="63"/>
      <c r="DUZ40" s="63"/>
      <c r="DVA40" s="63"/>
      <c r="DVB40" s="63"/>
      <c r="DVC40" s="63"/>
      <c r="DVD40" s="63"/>
      <c r="DVE40" s="63"/>
      <c r="DVF40" s="63"/>
      <c r="DVG40" s="63"/>
      <c r="DVH40" s="63"/>
      <c r="DVI40" s="63"/>
      <c r="DVJ40" s="63"/>
      <c r="DVK40" s="63"/>
      <c r="DVL40" s="63"/>
      <c r="DVM40" s="63"/>
      <c r="DVN40" s="63"/>
      <c r="DVO40" s="63"/>
      <c r="DVP40" s="63"/>
      <c r="DVQ40" s="63"/>
      <c r="DVR40" s="63"/>
      <c r="DVS40" s="63"/>
      <c r="DVT40" s="63"/>
      <c r="DVU40" s="63"/>
      <c r="DVV40" s="63"/>
      <c r="DVW40" s="63"/>
      <c r="DVX40" s="63"/>
      <c r="DVY40" s="63"/>
      <c r="DVZ40" s="63"/>
      <c r="DWA40" s="63"/>
      <c r="DWB40" s="63"/>
      <c r="DWC40" s="63"/>
      <c r="DWD40" s="63"/>
      <c r="DWE40" s="63"/>
      <c r="DWF40" s="63"/>
      <c r="DWG40" s="63"/>
      <c r="DWH40" s="63"/>
      <c r="DWI40" s="63"/>
      <c r="DWJ40" s="63"/>
      <c r="DWK40" s="63"/>
      <c r="DWL40" s="63"/>
      <c r="DWM40" s="63"/>
      <c r="DWN40" s="63"/>
      <c r="DWO40" s="63"/>
      <c r="DWP40" s="63"/>
      <c r="DWQ40" s="63"/>
      <c r="DWR40" s="63"/>
      <c r="DWS40" s="63"/>
      <c r="DWT40" s="63"/>
      <c r="DWU40" s="63"/>
      <c r="DWV40" s="63"/>
      <c r="DWW40" s="63"/>
      <c r="DWX40" s="63"/>
      <c r="DWY40" s="63"/>
      <c r="DWZ40" s="63"/>
      <c r="DXA40" s="63"/>
      <c r="DXB40" s="63"/>
      <c r="DXC40" s="63"/>
      <c r="DXD40" s="63"/>
      <c r="DXE40" s="63"/>
      <c r="DXF40" s="63"/>
      <c r="DXG40" s="63"/>
      <c r="DXH40" s="63"/>
      <c r="DXI40" s="63"/>
      <c r="DXJ40" s="63"/>
      <c r="DXK40" s="63"/>
      <c r="DXL40" s="63"/>
      <c r="DXM40" s="63"/>
      <c r="DXN40" s="63"/>
      <c r="DXO40" s="63"/>
      <c r="DXP40" s="63"/>
      <c r="DXQ40" s="63"/>
      <c r="DXR40" s="63"/>
      <c r="DXS40" s="63"/>
      <c r="DXT40" s="63"/>
      <c r="DXU40" s="63"/>
      <c r="DXV40" s="63"/>
      <c r="DXW40" s="63"/>
      <c r="DXX40" s="63"/>
      <c r="DXY40" s="63"/>
      <c r="DXZ40" s="63"/>
      <c r="DYA40" s="63"/>
      <c r="DYB40" s="63"/>
      <c r="DYC40" s="63"/>
      <c r="DYD40" s="63"/>
      <c r="DYE40" s="63"/>
      <c r="DYF40" s="63"/>
      <c r="DYG40" s="63"/>
      <c r="DYH40" s="63"/>
      <c r="DYI40" s="63"/>
      <c r="DYJ40" s="63"/>
      <c r="DYK40" s="63"/>
      <c r="DYL40" s="63"/>
      <c r="DYM40" s="63"/>
      <c r="DYN40" s="63"/>
      <c r="DYO40" s="63"/>
      <c r="DYP40" s="63"/>
      <c r="DYQ40" s="63"/>
      <c r="DYR40" s="63"/>
      <c r="DYS40" s="63"/>
      <c r="DYT40" s="63"/>
      <c r="DYU40" s="63"/>
      <c r="DYV40" s="63"/>
      <c r="DYW40" s="63"/>
      <c r="DYX40" s="63"/>
      <c r="DYY40" s="63"/>
      <c r="DYZ40" s="63"/>
      <c r="DZA40" s="63"/>
      <c r="DZB40" s="63"/>
      <c r="DZC40" s="63"/>
      <c r="DZD40" s="63"/>
      <c r="DZE40" s="63"/>
      <c r="DZF40" s="63"/>
      <c r="DZG40" s="63"/>
      <c r="DZH40" s="63"/>
      <c r="DZI40" s="63"/>
      <c r="DZJ40" s="63"/>
      <c r="DZK40" s="63"/>
      <c r="DZL40" s="63"/>
      <c r="DZM40" s="63"/>
      <c r="DZN40" s="63"/>
      <c r="DZO40" s="63"/>
      <c r="DZP40" s="63"/>
      <c r="DZQ40" s="63"/>
      <c r="DZR40" s="63"/>
      <c r="DZS40" s="63"/>
      <c r="DZT40" s="63"/>
      <c r="DZU40" s="63"/>
      <c r="DZV40" s="63"/>
      <c r="DZW40" s="63"/>
      <c r="DZX40" s="63"/>
      <c r="DZY40" s="63"/>
      <c r="DZZ40" s="63"/>
      <c r="EAA40" s="63"/>
      <c r="EAB40" s="63"/>
      <c r="EAC40" s="63"/>
      <c r="EAD40" s="63"/>
      <c r="EAE40" s="63"/>
      <c r="EAF40" s="63"/>
      <c r="EAG40" s="63"/>
      <c r="EAH40" s="63"/>
      <c r="EAI40" s="63"/>
      <c r="EAJ40" s="63"/>
      <c r="EAK40" s="63"/>
      <c r="EAL40" s="63"/>
      <c r="EAM40" s="63"/>
      <c r="EAN40" s="63"/>
      <c r="EAO40" s="63"/>
      <c r="EAP40" s="63"/>
      <c r="EAQ40" s="63"/>
      <c r="EAR40" s="63"/>
      <c r="EAS40" s="63"/>
      <c r="EAT40" s="63"/>
      <c r="EAU40" s="63"/>
      <c r="EAV40" s="63"/>
      <c r="EAW40" s="63"/>
      <c r="EAX40" s="63"/>
      <c r="EAY40" s="63"/>
      <c r="EAZ40" s="63"/>
      <c r="EBA40" s="63"/>
      <c r="EBB40" s="63"/>
      <c r="EBC40" s="63"/>
      <c r="EBD40" s="63"/>
      <c r="EBE40" s="63"/>
      <c r="EBF40" s="63"/>
      <c r="EBG40" s="63"/>
      <c r="EBH40" s="63"/>
      <c r="EBI40" s="63"/>
      <c r="EBJ40" s="63"/>
      <c r="EBK40" s="63"/>
      <c r="EBL40" s="63"/>
      <c r="EBM40" s="63"/>
      <c r="EBN40" s="63"/>
      <c r="EBO40" s="63"/>
      <c r="EBP40" s="63"/>
      <c r="EBQ40" s="63"/>
      <c r="EBR40" s="63"/>
      <c r="EBS40" s="63"/>
      <c r="EBT40" s="63"/>
      <c r="EBU40" s="63"/>
      <c r="EBV40" s="63"/>
      <c r="EBW40" s="63"/>
      <c r="EBX40" s="63"/>
      <c r="EBY40" s="63"/>
      <c r="EBZ40" s="63"/>
      <c r="ECA40" s="63"/>
      <c r="ECB40" s="63"/>
      <c r="ECC40" s="63"/>
      <c r="ECD40" s="63"/>
      <c r="ECE40" s="63"/>
      <c r="ECF40" s="63"/>
      <c r="ECG40" s="63"/>
      <c r="ECH40" s="63"/>
      <c r="ECI40" s="63"/>
      <c r="ECJ40" s="63"/>
      <c r="ECK40" s="63"/>
      <c r="ECL40" s="63"/>
      <c r="ECM40" s="63"/>
      <c r="ECN40" s="63"/>
      <c r="ECO40" s="63"/>
      <c r="ECP40" s="63"/>
      <c r="ECQ40" s="63"/>
      <c r="ECR40" s="63"/>
      <c r="ECS40" s="63"/>
      <c r="ECT40" s="63"/>
      <c r="ECU40" s="63"/>
      <c r="ECV40" s="63"/>
      <c r="ECW40" s="63"/>
      <c r="ECX40" s="63"/>
      <c r="ECY40" s="63"/>
      <c r="ECZ40" s="63"/>
      <c r="EDA40" s="63"/>
      <c r="EDB40" s="63"/>
      <c r="EDC40" s="63"/>
      <c r="EDD40" s="63"/>
      <c r="EDE40" s="63"/>
      <c r="EDF40" s="63"/>
      <c r="EDG40" s="63"/>
      <c r="EDH40" s="63"/>
      <c r="EDI40" s="63"/>
      <c r="EDJ40" s="63"/>
      <c r="EDK40" s="63"/>
      <c r="EDL40" s="63"/>
      <c r="EDM40" s="63"/>
      <c r="EDN40" s="63"/>
      <c r="EDO40" s="63"/>
      <c r="EDP40" s="63"/>
      <c r="EDQ40" s="63"/>
      <c r="EDR40" s="63"/>
      <c r="EDS40" s="63"/>
      <c r="EDT40" s="63"/>
      <c r="EDU40" s="63"/>
      <c r="EDV40" s="63"/>
      <c r="EDW40" s="63"/>
      <c r="EDX40" s="63"/>
      <c r="EDY40" s="63"/>
      <c r="EDZ40" s="63"/>
      <c r="EEA40" s="63"/>
      <c r="EEB40" s="63"/>
      <c r="EEC40" s="63"/>
      <c r="EED40" s="63"/>
      <c r="EEE40" s="63"/>
      <c r="EEF40" s="63"/>
      <c r="EEG40" s="63"/>
      <c r="EEH40" s="63"/>
      <c r="EEI40" s="63"/>
      <c r="EEJ40" s="63"/>
      <c r="EEK40" s="63"/>
      <c r="EEL40" s="63"/>
      <c r="EEM40" s="63"/>
      <c r="EEN40" s="63"/>
      <c r="EEO40" s="63"/>
      <c r="EEP40" s="63"/>
      <c r="EEQ40" s="63"/>
      <c r="EER40" s="63"/>
      <c r="EES40" s="63"/>
      <c r="EET40" s="63"/>
      <c r="EEU40" s="63"/>
      <c r="EEV40" s="63"/>
      <c r="EEW40" s="63"/>
      <c r="EEX40" s="63"/>
      <c r="EEY40" s="63"/>
      <c r="EEZ40" s="63"/>
      <c r="EFA40" s="63"/>
      <c r="EFB40" s="63"/>
      <c r="EFC40" s="63"/>
      <c r="EFD40" s="63"/>
      <c r="EFE40" s="63"/>
      <c r="EFF40" s="63"/>
      <c r="EFG40" s="63"/>
      <c r="EFH40" s="63"/>
      <c r="EFI40" s="63"/>
      <c r="EFJ40" s="63"/>
      <c r="EFK40" s="63"/>
      <c r="EFL40" s="63"/>
      <c r="EFM40" s="63"/>
      <c r="EFN40" s="63"/>
      <c r="EFO40" s="63"/>
      <c r="EFP40" s="63"/>
      <c r="EFQ40" s="63"/>
      <c r="EFR40" s="63"/>
      <c r="EFS40" s="63"/>
      <c r="EFT40" s="63"/>
      <c r="EFU40" s="63"/>
      <c r="EFV40" s="63"/>
      <c r="EFW40" s="63"/>
      <c r="EFX40" s="63"/>
      <c r="EFY40" s="63"/>
      <c r="EFZ40" s="63"/>
      <c r="EGA40" s="63"/>
      <c r="EGB40" s="63"/>
      <c r="EGC40" s="63"/>
      <c r="EGD40" s="63"/>
      <c r="EGE40" s="63"/>
      <c r="EGF40" s="63"/>
      <c r="EGG40" s="63"/>
      <c r="EGH40" s="63"/>
      <c r="EGI40" s="63"/>
      <c r="EGJ40" s="63"/>
      <c r="EGK40" s="63"/>
      <c r="EGL40" s="63"/>
      <c r="EGM40" s="63"/>
      <c r="EGN40" s="63"/>
      <c r="EGO40" s="63"/>
      <c r="EGP40" s="63"/>
      <c r="EGQ40" s="63"/>
      <c r="EGR40" s="63"/>
      <c r="EGS40" s="63"/>
      <c r="EGT40" s="63"/>
      <c r="EGU40" s="63"/>
      <c r="EGV40" s="63"/>
      <c r="EGW40" s="63"/>
      <c r="EGX40" s="63"/>
      <c r="EGY40" s="63"/>
      <c r="EGZ40" s="63"/>
      <c r="EHA40" s="63"/>
      <c r="EHB40" s="63"/>
      <c r="EHC40" s="63"/>
      <c r="EHD40" s="63"/>
      <c r="EHE40" s="63"/>
      <c r="EHF40" s="63"/>
      <c r="EHG40" s="63"/>
      <c r="EHH40" s="63"/>
      <c r="EHI40" s="63"/>
      <c r="EHJ40" s="63"/>
      <c r="EHK40" s="63"/>
      <c r="EHL40" s="63"/>
      <c r="EHM40" s="63"/>
      <c r="EHN40" s="63"/>
      <c r="EHO40" s="63"/>
      <c r="EHP40" s="63"/>
      <c r="EHQ40" s="63"/>
      <c r="EHR40" s="63"/>
      <c r="EHS40" s="63"/>
      <c r="EHT40" s="63"/>
      <c r="EHU40" s="63"/>
      <c r="EHV40" s="63"/>
      <c r="EHW40" s="63"/>
      <c r="EHX40" s="63"/>
      <c r="EHY40" s="63"/>
      <c r="EHZ40" s="63"/>
      <c r="EIA40" s="63"/>
      <c r="EIB40" s="63"/>
      <c r="EIC40" s="63"/>
      <c r="EID40" s="63"/>
      <c r="EIE40" s="63"/>
      <c r="EIF40" s="63"/>
      <c r="EIG40" s="63"/>
      <c r="EIH40" s="63"/>
      <c r="EII40" s="63"/>
      <c r="EIJ40" s="63"/>
      <c r="EIK40" s="63"/>
      <c r="EIL40" s="63"/>
      <c r="EIM40" s="63"/>
      <c r="EIN40" s="63"/>
      <c r="EIO40" s="63"/>
      <c r="EIP40" s="63"/>
      <c r="EIQ40" s="63"/>
      <c r="EIR40" s="63"/>
      <c r="EIS40" s="63"/>
      <c r="EIT40" s="63"/>
      <c r="EIU40" s="63"/>
      <c r="EIV40" s="63"/>
      <c r="EIW40" s="63"/>
      <c r="EIX40" s="63"/>
      <c r="EIY40" s="63"/>
      <c r="EIZ40" s="63"/>
      <c r="EJA40" s="63"/>
      <c r="EJB40" s="63"/>
      <c r="EJC40" s="63"/>
      <c r="EJD40" s="63"/>
      <c r="EJE40" s="63"/>
      <c r="EJF40" s="63"/>
      <c r="EJG40" s="63"/>
      <c r="EJH40" s="63"/>
      <c r="EJI40" s="63"/>
      <c r="EJJ40" s="63"/>
      <c r="EJK40" s="63"/>
      <c r="EJL40" s="63"/>
      <c r="EJM40" s="63"/>
      <c r="EJN40" s="63"/>
      <c r="EJO40" s="63"/>
      <c r="EJP40" s="63"/>
      <c r="EJQ40" s="63"/>
      <c r="EJR40" s="63"/>
      <c r="EJS40" s="63"/>
      <c r="EJT40" s="63"/>
      <c r="EJU40" s="63"/>
      <c r="EJV40" s="63"/>
      <c r="EJW40" s="63"/>
      <c r="EJX40" s="63"/>
      <c r="EJY40" s="63"/>
      <c r="EJZ40" s="63"/>
      <c r="EKA40" s="63"/>
      <c r="EKB40" s="63"/>
      <c r="EKC40" s="63"/>
      <c r="EKD40" s="63"/>
      <c r="EKE40" s="63"/>
      <c r="EKF40" s="63"/>
      <c r="EKG40" s="63"/>
      <c r="EKH40" s="63"/>
      <c r="EKI40" s="63"/>
      <c r="EKJ40" s="63"/>
      <c r="EKK40" s="63"/>
      <c r="EKL40" s="63"/>
      <c r="EKM40" s="63"/>
      <c r="EKN40" s="63"/>
      <c r="EKO40" s="63"/>
      <c r="EKP40" s="63"/>
      <c r="EKQ40" s="63"/>
      <c r="EKR40" s="63"/>
      <c r="EKS40" s="63"/>
      <c r="EKT40" s="63"/>
      <c r="EKU40" s="63"/>
      <c r="EKV40" s="63"/>
      <c r="EKW40" s="63"/>
      <c r="EKX40" s="63"/>
      <c r="EKY40" s="63"/>
      <c r="EKZ40" s="63"/>
      <c r="ELA40" s="63"/>
      <c r="ELB40" s="63"/>
      <c r="ELC40" s="63"/>
      <c r="ELD40" s="63"/>
      <c r="ELE40" s="63"/>
      <c r="ELF40" s="63"/>
      <c r="ELG40" s="63"/>
      <c r="ELH40" s="63"/>
      <c r="ELI40" s="63"/>
      <c r="ELJ40" s="63"/>
      <c r="ELK40" s="63"/>
      <c r="ELL40" s="63"/>
      <c r="ELM40" s="63"/>
      <c r="ELN40" s="63"/>
      <c r="ELO40" s="63"/>
      <c r="ELP40" s="63"/>
      <c r="ELQ40" s="63"/>
      <c r="ELR40" s="63"/>
      <c r="ELS40" s="63"/>
      <c r="ELT40" s="63"/>
      <c r="ELU40" s="63"/>
      <c r="ELV40" s="63"/>
      <c r="ELW40" s="63"/>
      <c r="ELX40" s="63"/>
      <c r="ELY40" s="63"/>
      <c r="ELZ40" s="63"/>
      <c r="EMA40" s="63"/>
      <c r="EMB40" s="63"/>
      <c r="EMC40" s="63"/>
      <c r="EMD40" s="63"/>
      <c r="EME40" s="63"/>
      <c r="EMF40" s="63"/>
      <c r="EMG40" s="63"/>
      <c r="EMH40" s="63"/>
      <c r="EMI40" s="63"/>
      <c r="EMJ40" s="63"/>
      <c r="EMK40" s="63"/>
      <c r="EML40" s="63"/>
      <c r="EMM40" s="63"/>
      <c r="EMN40" s="63"/>
      <c r="EMO40" s="63"/>
      <c r="EMP40" s="63"/>
      <c r="EMQ40" s="63"/>
      <c r="EMR40" s="63"/>
      <c r="EMS40" s="63"/>
      <c r="EMT40" s="63"/>
      <c r="EMU40" s="63"/>
      <c r="EMV40" s="63"/>
      <c r="EMW40" s="63"/>
      <c r="EMX40" s="63"/>
      <c r="EMY40" s="63"/>
      <c r="EMZ40" s="63"/>
      <c r="ENA40" s="63"/>
      <c r="ENB40" s="63"/>
      <c r="ENC40" s="63"/>
      <c r="END40" s="63"/>
      <c r="ENE40" s="63"/>
      <c r="ENF40" s="63"/>
      <c r="ENG40" s="63"/>
      <c r="ENH40" s="63"/>
      <c r="ENI40" s="63"/>
      <c r="ENJ40" s="63"/>
      <c r="ENK40" s="63"/>
      <c r="ENL40" s="63"/>
      <c r="ENM40" s="63"/>
      <c r="ENN40" s="63"/>
      <c r="ENO40" s="63"/>
      <c r="ENP40" s="63"/>
      <c r="ENQ40" s="63"/>
      <c r="ENR40" s="63"/>
      <c r="ENS40" s="63"/>
      <c r="ENT40" s="63"/>
      <c r="ENU40" s="63"/>
      <c r="ENV40" s="63"/>
      <c r="ENW40" s="63"/>
      <c r="ENX40" s="63"/>
      <c r="ENY40" s="63"/>
      <c r="ENZ40" s="63"/>
      <c r="EOA40" s="63"/>
      <c r="EOB40" s="63"/>
      <c r="EOC40" s="63"/>
      <c r="EOD40" s="63"/>
      <c r="EOE40" s="63"/>
      <c r="EOF40" s="63"/>
      <c r="EOG40" s="63"/>
      <c r="EOH40" s="63"/>
      <c r="EOI40" s="63"/>
      <c r="EOJ40" s="63"/>
      <c r="EOK40" s="63"/>
      <c r="EOL40" s="63"/>
      <c r="EOM40" s="63"/>
      <c r="EON40" s="63"/>
      <c r="EOO40" s="63"/>
      <c r="EOP40" s="63"/>
      <c r="EOQ40" s="63"/>
      <c r="EOR40" s="63"/>
      <c r="EOS40" s="63"/>
      <c r="EOT40" s="63"/>
      <c r="EOU40" s="63"/>
      <c r="EOV40" s="63"/>
      <c r="EOW40" s="63"/>
      <c r="EOX40" s="63"/>
      <c r="EOY40" s="63"/>
      <c r="EOZ40" s="63"/>
      <c r="EPA40" s="63"/>
      <c r="EPB40" s="63"/>
      <c r="EPC40" s="63"/>
      <c r="EPD40" s="63"/>
      <c r="EPE40" s="63"/>
      <c r="EPF40" s="63"/>
      <c r="EPG40" s="63"/>
      <c r="EPH40" s="63"/>
      <c r="EPI40" s="63"/>
      <c r="EPJ40" s="63"/>
      <c r="EPK40" s="63"/>
      <c r="EPL40" s="63"/>
      <c r="EPM40" s="63"/>
      <c r="EPN40" s="63"/>
      <c r="EPO40" s="63"/>
      <c r="EPP40" s="63"/>
      <c r="EPQ40" s="63"/>
      <c r="EPR40" s="63"/>
      <c r="EPS40" s="63"/>
      <c r="EPT40" s="63"/>
      <c r="EPU40" s="63"/>
      <c r="EPV40" s="63"/>
      <c r="EPW40" s="63"/>
      <c r="EPX40" s="63"/>
      <c r="EPY40" s="63"/>
      <c r="EPZ40" s="63"/>
      <c r="EQA40" s="63"/>
      <c r="EQB40" s="63"/>
      <c r="EQC40" s="63"/>
      <c r="EQD40" s="63"/>
      <c r="EQE40" s="63"/>
      <c r="EQF40" s="63"/>
      <c r="EQG40" s="63"/>
      <c r="EQH40" s="63"/>
      <c r="EQI40" s="63"/>
      <c r="EQJ40" s="63"/>
      <c r="EQK40" s="63"/>
      <c r="EQL40" s="63"/>
      <c r="EQM40" s="63"/>
      <c r="EQN40" s="63"/>
      <c r="EQO40" s="63"/>
      <c r="EQP40" s="63"/>
      <c r="EQQ40" s="63"/>
      <c r="EQR40" s="63"/>
      <c r="EQS40" s="63"/>
      <c r="EQT40" s="63"/>
      <c r="EQU40" s="63"/>
      <c r="EQV40" s="63"/>
      <c r="EQW40" s="63"/>
      <c r="EQX40" s="63"/>
      <c r="EQY40" s="63"/>
      <c r="EQZ40" s="63"/>
      <c r="ERA40" s="63"/>
      <c r="ERB40" s="63"/>
      <c r="ERC40" s="63"/>
      <c r="ERD40" s="63"/>
      <c r="ERE40" s="63"/>
      <c r="ERF40" s="63"/>
      <c r="ERG40" s="63"/>
      <c r="ERH40" s="63"/>
      <c r="ERI40" s="63"/>
      <c r="ERJ40" s="63"/>
      <c r="ERK40" s="63"/>
      <c r="ERL40" s="63"/>
      <c r="ERM40" s="63"/>
      <c r="ERN40" s="63"/>
      <c r="ERO40" s="63"/>
      <c r="ERP40" s="63"/>
      <c r="ERQ40" s="63"/>
      <c r="ERR40" s="63"/>
      <c r="ERS40" s="63"/>
      <c r="ERT40" s="63"/>
      <c r="ERU40" s="63"/>
      <c r="ERV40" s="63"/>
      <c r="ERW40" s="63"/>
      <c r="ERX40" s="63"/>
      <c r="ERY40" s="63"/>
      <c r="ERZ40" s="63"/>
      <c r="ESA40" s="63"/>
      <c r="ESB40" s="63"/>
      <c r="ESC40" s="63"/>
      <c r="ESD40" s="63"/>
      <c r="ESE40" s="63"/>
      <c r="ESF40" s="63"/>
      <c r="ESG40" s="63"/>
      <c r="ESH40" s="63"/>
      <c r="ESI40" s="63"/>
      <c r="ESJ40" s="63"/>
      <c r="ESK40" s="63"/>
      <c r="ESL40" s="63"/>
      <c r="ESM40" s="63"/>
      <c r="ESN40" s="63"/>
      <c r="ESO40" s="63"/>
      <c r="ESP40" s="63"/>
      <c r="ESQ40" s="63"/>
      <c r="ESR40" s="63"/>
      <c r="ESS40" s="63"/>
      <c r="EST40" s="63"/>
      <c r="ESU40" s="63"/>
      <c r="ESV40" s="63"/>
      <c r="ESW40" s="63"/>
      <c r="ESX40" s="63"/>
      <c r="ESY40" s="63"/>
      <c r="ESZ40" s="63"/>
      <c r="ETA40" s="63"/>
      <c r="ETB40" s="63"/>
      <c r="ETC40" s="63"/>
      <c r="ETD40" s="63"/>
      <c r="ETE40" s="63"/>
      <c r="ETF40" s="63"/>
      <c r="ETG40" s="63"/>
      <c r="ETH40" s="63"/>
      <c r="ETI40" s="63"/>
      <c r="ETJ40" s="63"/>
      <c r="ETK40" s="63"/>
      <c r="ETL40" s="63"/>
      <c r="ETM40" s="63"/>
      <c r="ETN40" s="63"/>
      <c r="ETO40" s="63"/>
      <c r="ETP40" s="63"/>
      <c r="ETQ40" s="63"/>
      <c r="ETR40" s="63"/>
      <c r="ETS40" s="63"/>
      <c r="ETT40" s="63"/>
      <c r="ETU40" s="63"/>
      <c r="ETV40" s="63"/>
      <c r="ETW40" s="63"/>
      <c r="ETX40" s="63"/>
      <c r="ETY40" s="63"/>
      <c r="ETZ40" s="63"/>
      <c r="EUA40" s="63"/>
      <c r="EUB40" s="63"/>
      <c r="EUC40" s="63"/>
      <c r="EUD40" s="63"/>
      <c r="EUE40" s="63"/>
      <c r="EUF40" s="63"/>
      <c r="EUG40" s="63"/>
      <c r="EUH40" s="63"/>
      <c r="EUI40" s="63"/>
      <c r="EUJ40" s="63"/>
      <c r="EUK40" s="63"/>
      <c r="EUL40" s="63"/>
      <c r="EUM40" s="63"/>
      <c r="EUN40" s="63"/>
      <c r="EUO40" s="63"/>
      <c r="EUP40" s="63"/>
      <c r="EUQ40" s="63"/>
      <c r="EUR40" s="63"/>
      <c r="EUS40" s="63"/>
      <c r="EUT40" s="63"/>
      <c r="EUU40" s="63"/>
      <c r="EUV40" s="63"/>
      <c r="EUW40" s="63"/>
      <c r="EUX40" s="63"/>
      <c r="EUY40" s="63"/>
      <c r="EUZ40" s="63"/>
      <c r="EVA40" s="63"/>
      <c r="EVB40" s="63"/>
      <c r="EVC40" s="63"/>
      <c r="EVD40" s="63"/>
      <c r="EVE40" s="63"/>
      <c r="EVF40" s="63"/>
      <c r="EVG40" s="63"/>
      <c r="EVH40" s="63"/>
      <c r="EVI40" s="63"/>
      <c r="EVJ40" s="63"/>
      <c r="EVK40" s="63"/>
      <c r="EVL40" s="63"/>
      <c r="EVM40" s="63"/>
      <c r="EVN40" s="63"/>
      <c r="EVO40" s="63"/>
      <c r="EVP40" s="63"/>
      <c r="EVQ40" s="63"/>
      <c r="EVR40" s="63"/>
      <c r="EVS40" s="63"/>
      <c r="EVT40" s="63"/>
      <c r="EVU40" s="63"/>
      <c r="EVV40" s="63"/>
      <c r="EVW40" s="63"/>
      <c r="EVX40" s="63"/>
      <c r="EVY40" s="63"/>
      <c r="EVZ40" s="63"/>
      <c r="EWA40" s="63"/>
      <c r="EWB40" s="63"/>
      <c r="EWC40" s="63"/>
      <c r="EWD40" s="63"/>
      <c r="EWE40" s="63"/>
      <c r="EWF40" s="63"/>
      <c r="EWG40" s="63"/>
      <c r="EWH40" s="63"/>
      <c r="EWI40" s="63"/>
      <c r="EWJ40" s="63"/>
      <c r="EWK40" s="63"/>
      <c r="EWL40" s="63"/>
      <c r="EWM40" s="63"/>
      <c r="EWN40" s="63"/>
      <c r="EWO40" s="63"/>
      <c r="EWP40" s="63"/>
      <c r="EWQ40" s="63"/>
      <c r="EWR40" s="63"/>
      <c r="EWS40" s="63"/>
      <c r="EWT40" s="63"/>
      <c r="EWU40" s="63"/>
      <c r="EWV40" s="63"/>
      <c r="EWW40" s="63"/>
      <c r="EWX40" s="63"/>
      <c r="EWY40" s="63"/>
      <c r="EWZ40" s="63"/>
      <c r="EXA40" s="63"/>
      <c r="EXB40" s="63"/>
      <c r="EXC40" s="63"/>
      <c r="EXD40" s="63"/>
      <c r="EXE40" s="63"/>
      <c r="EXF40" s="63"/>
      <c r="EXG40" s="63"/>
      <c r="EXH40" s="63"/>
      <c r="EXI40" s="63"/>
      <c r="EXJ40" s="63"/>
      <c r="EXK40" s="63"/>
      <c r="EXL40" s="63"/>
      <c r="EXM40" s="63"/>
      <c r="EXN40" s="63"/>
      <c r="EXO40" s="63"/>
      <c r="EXP40" s="63"/>
      <c r="EXQ40" s="63"/>
      <c r="EXR40" s="63"/>
      <c r="EXS40" s="63"/>
      <c r="EXT40" s="63"/>
      <c r="EXU40" s="63"/>
      <c r="EXV40" s="63"/>
      <c r="EXW40" s="63"/>
      <c r="EXX40" s="63"/>
      <c r="EXY40" s="63"/>
      <c r="EXZ40" s="63"/>
      <c r="EYA40" s="63"/>
      <c r="EYB40" s="63"/>
      <c r="EYC40" s="63"/>
      <c r="EYD40" s="63"/>
      <c r="EYE40" s="63"/>
      <c r="EYF40" s="63"/>
      <c r="EYG40" s="63"/>
      <c r="EYH40" s="63"/>
      <c r="EYI40" s="63"/>
      <c r="EYJ40" s="63"/>
      <c r="EYK40" s="63"/>
      <c r="EYL40" s="63"/>
      <c r="EYM40" s="63"/>
      <c r="EYN40" s="63"/>
      <c r="EYO40" s="63"/>
      <c r="EYP40" s="63"/>
      <c r="EYQ40" s="63"/>
      <c r="EYR40" s="63"/>
      <c r="EYS40" s="63"/>
      <c r="EYT40" s="63"/>
      <c r="EYU40" s="63"/>
      <c r="EYV40" s="63"/>
      <c r="EYW40" s="63"/>
      <c r="EYX40" s="63"/>
      <c r="EYY40" s="63"/>
      <c r="EYZ40" s="63"/>
      <c r="EZA40" s="63"/>
      <c r="EZB40" s="63"/>
      <c r="EZC40" s="63"/>
      <c r="EZD40" s="63"/>
      <c r="EZE40" s="63"/>
      <c r="EZF40" s="63"/>
      <c r="EZG40" s="63"/>
      <c r="EZH40" s="63"/>
      <c r="EZI40" s="63"/>
      <c r="EZJ40" s="63"/>
      <c r="EZK40" s="63"/>
      <c r="EZL40" s="63"/>
      <c r="EZM40" s="63"/>
      <c r="EZN40" s="63"/>
      <c r="EZO40" s="63"/>
      <c r="EZP40" s="63"/>
      <c r="EZQ40" s="63"/>
      <c r="EZR40" s="63"/>
      <c r="EZS40" s="63"/>
      <c r="EZT40" s="63"/>
      <c r="EZU40" s="63"/>
      <c r="EZV40" s="63"/>
      <c r="EZW40" s="63"/>
      <c r="EZX40" s="63"/>
      <c r="EZY40" s="63"/>
      <c r="EZZ40" s="63"/>
      <c r="FAA40" s="63"/>
      <c r="FAB40" s="63"/>
      <c r="FAC40" s="63"/>
      <c r="FAD40" s="63"/>
      <c r="FAE40" s="63"/>
      <c r="FAF40" s="63"/>
      <c r="FAG40" s="63"/>
      <c r="FAH40" s="63"/>
      <c r="FAI40" s="63"/>
      <c r="FAJ40" s="63"/>
      <c r="FAK40" s="63"/>
      <c r="FAL40" s="63"/>
      <c r="FAM40" s="63"/>
      <c r="FAN40" s="63"/>
      <c r="FAO40" s="63"/>
      <c r="FAP40" s="63"/>
      <c r="FAQ40" s="63"/>
      <c r="FAR40" s="63"/>
      <c r="FAS40" s="63"/>
      <c r="FAT40" s="63"/>
      <c r="FAU40" s="63"/>
      <c r="FAV40" s="63"/>
      <c r="FAW40" s="63"/>
      <c r="FAX40" s="63"/>
      <c r="FAY40" s="63"/>
      <c r="FAZ40" s="63"/>
      <c r="FBA40" s="63"/>
      <c r="FBB40" s="63"/>
      <c r="FBC40" s="63"/>
      <c r="FBD40" s="63"/>
      <c r="FBE40" s="63"/>
      <c r="FBF40" s="63"/>
      <c r="FBG40" s="63"/>
      <c r="FBH40" s="63"/>
      <c r="FBI40" s="63"/>
      <c r="FBJ40" s="63"/>
      <c r="FBK40" s="63"/>
      <c r="FBL40" s="63"/>
      <c r="FBM40" s="63"/>
      <c r="FBN40" s="63"/>
      <c r="FBO40" s="63"/>
      <c r="FBP40" s="63"/>
      <c r="FBQ40" s="63"/>
      <c r="FBR40" s="63"/>
      <c r="FBS40" s="63"/>
      <c r="FBT40" s="63"/>
      <c r="FBU40" s="63"/>
      <c r="FBV40" s="63"/>
      <c r="FBW40" s="63"/>
      <c r="FBX40" s="63"/>
      <c r="FBY40" s="63"/>
      <c r="FBZ40" s="63"/>
      <c r="FCA40" s="63"/>
      <c r="FCB40" s="63"/>
      <c r="FCC40" s="63"/>
      <c r="FCD40" s="63"/>
      <c r="FCE40" s="63"/>
      <c r="FCF40" s="63"/>
      <c r="FCG40" s="63"/>
      <c r="FCH40" s="63"/>
      <c r="FCI40" s="63"/>
      <c r="FCJ40" s="63"/>
      <c r="FCK40" s="63"/>
      <c r="FCL40" s="63"/>
      <c r="FCM40" s="63"/>
      <c r="FCN40" s="63"/>
      <c r="FCO40" s="63"/>
      <c r="FCP40" s="63"/>
      <c r="FCQ40" s="63"/>
      <c r="FCR40" s="63"/>
      <c r="FCS40" s="63"/>
      <c r="FCT40" s="63"/>
      <c r="FCU40" s="63"/>
      <c r="FCV40" s="63"/>
      <c r="FCW40" s="63"/>
      <c r="FCX40" s="63"/>
      <c r="FCY40" s="63"/>
      <c r="FCZ40" s="63"/>
      <c r="FDA40" s="63"/>
      <c r="FDB40" s="63"/>
      <c r="FDC40" s="63"/>
      <c r="FDD40" s="63"/>
      <c r="FDE40" s="63"/>
      <c r="FDF40" s="63"/>
      <c r="FDG40" s="63"/>
      <c r="FDH40" s="63"/>
      <c r="FDI40" s="63"/>
      <c r="FDJ40" s="63"/>
      <c r="FDK40" s="63"/>
      <c r="FDL40" s="63"/>
      <c r="FDM40" s="63"/>
      <c r="FDN40" s="63"/>
      <c r="FDO40" s="63"/>
      <c r="FDP40" s="63"/>
      <c r="FDQ40" s="63"/>
      <c r="FDR40" s="63"/>
      <c r="FDS40" s="63"/>
      <c r="FDT40" s="63"/>
      <c r="FDU40" s="63"/>
      <c r="FDV40" s="63"/>
      <c r="FDW40" s="63"/>
      <c r="FDX40" s="63"/>
      <c r="FDY40" s="63"/>
      <c r="FDZ40" s="63"/>
      <c r="FEA40" s="63"/>
      <c r="FEB40" s="63"/>
      <c r="FEC40" s="63"/>
      <c r="FED40" s="63"/>
      <c r="FEE40" s="63"/>
      <c r="FEF40" s="63"/>
      <c r="FEG40" s="63"/>
      <c r="FEH40" s="63"/>
      <c r="FEI40" s="63"/>
      <c r="FEJ40" s="63"/>
      <c r="FEK40" s="63"/>
      <c r="FEL40" s="63"/>
      <c r="FEM40" s="63"/>
      <c r="FEN40" s="63"/>
      <c r="FEO40" s="63"/>
      <c r="FEP40" s="63"/>
      <c r="FEQ40" s="63"/>
      <c r="FER40" s="63"/>
      <c r="FES40" s="63"/>
      <c r="FET40" s="63"/>
      <c r="FEU40" s="63"/>
      <c r="FEV40" s="63"/>
      <c r="FEW40" s="63"/>
      <c r="FEX40" s="63"/>
      <c r="FEY40" s="63"/>
      <c r="FEZ40" s="63"/>
      <c r="FFA40" s="63"/>
      <c r="FFB40" s="63"/>
      <c r="FFC40" s="63"/>
      <c r="FFD40" s="63"/>
      <c r="FFE40" s="63"/>
      <c r="FFF40" s="63"/>
      <c r="FFG40" s="63"/>
      <c r="FFH40" s="63"/>
      <c r="FFI40" s="63"/>
      <c r="FFJ40" s="63"/>
      <c r="FFK40" s="63"/>
      <c r="FFL40" s="63"/>
      <c r="FFM40" s="63"/>
      <c r="FFN40" s="63"/>
      <c r="FFO40" s="63"/>
      <c r="FFP40" s="63"/>
      <c r="FFQ40" s="63"/>
      <c r="FFR40" s="63"/>
      <c r="FFS40" s="63"/>
      <c r="FFT40" s="63"/>
      <c r="FFU40" s="63"/>
      <c r="FFV40" s="63"/>
      <c r="FFW40" s="63"/>
      <c r="FFX40" s="63"/>
      <c r="FFY40" s="63"/>
      <c r="FFZ40" s="63"/>
      <c r="FGA40" s="63"/>
      <c r="FGB40" s="63"/>
      <c r="FGC40" s="63"/>
      <c r="FGD40" s="63"/>
      <c r="FGE40" s="63"/>
      <c r="FGF40" s="63"/>
      <c r="FGG40" s="63"/>
      <c r="FGH40" s="63"/>
      <c r="FGI40" s="63"/>
      <c r="FGJ40" s="63"/>
      <c r="FGK40" s="63"/>
      <c r="FGL40" s="63"/>
      <c r="FGM40" s="63"/>
      <c r="FGN40" s="63"/>
      <c r="FGO40" s="63"/>
      <c r="FGP40" s="63"/>
      <c r="FGQ40" s="63"/>
      <c r="FGR40" s="63"/>
      <c r="FGS40" s="63"/>
      <c r="FGT40" s="63"/>
      <c r="FGU40" s="63"/>
      <c r="FGV40" s="63"/>
      <c r="FGW40" s="63"/>
      <c r="FGX40" s="63"/>
      <c r="FGY40" s="63"/>
      <c r="FGZ40" s="63"/>
      <c r="FHA40" s="63"/>
      <c r="FHB40" s="63"/>
      <c r="FHC40" s="63"/>
      <c r="FHD40" s="63"/>
      <c r="FHE40" s="63"/>
      <c r="FHF40" s="63"/>
      <c r="FHG40" s="63"/>
      <c r="FHH40" s="63"/>
      <c r="FHI40" s="63"/>
      <c r="FHJ40" s="63"/>
      <c r="FHK40" s="63"/>
      <c r="FHL40" s="63"/>
      <c r="FHM40" s="63"/>
      <c r="FHN40" s="63"/>
      <c r="FHO40" s="63"/>
      <c r="FHP40" s="63"/>
      <c r="FHQ40" s="63"/>
      <c r="FHR40" s="63"/>
      <c r="FHS40" s="63"/>
      <c r="FHT40" s="63"/>
      <c r="FHU40" s="63"/>
      <c r="FHV40" s="63"/>
      <c r="FHW40" s="63"/>
      <c r="FHX40" s="63"/>
      <c r="FHY40" s="63"/>
      <c r="FHZ40" s="63"/>
      <c r="FIA40" s="63"/>
      <c r="FIB40" s="63"/>
      <c r="FIC40" s="63"/>
      <c r="FID40" s="63"/>
      <c r="FIE40" s="63"/>
      <c r="FIF40" s="63"/>
      <c r="FIG40" s="63"/>
      <c r="FIH40" s="63"/>
      <c r="FII40" s="63"/>
      <c r="FIJ40" s="63"/>
      <c r="FIK40" s="63"/>
      <c r="FIL40" s="63"/>
      <c r="FIM40" s="63"/>
      <c r="FIN40" s="63"/>
      <c r="FIO40" s="63"/>
      <c r="FIP40" s="63"/>
      <c r="FIQ40" s="63"/>
      <c r="FIR40" s="63"/>
      <c r="FIS40" s="63"/>
      <c r="FIT40" s="63"/>
      <c r="FIU40" s="63"/>
      <c r="FIV40" s="63"/>
      <c r="FIW40" s="63"/>
      <c r="FIX40" s="63"/>
      <c r="FIY40" s="63"/>
      <c r="FIZ40" s="63"/>
      <c r="FJA40" s="63"/>
      <c r="FJB40" s="63"/>
      <c r="FJC40" s="63"/>
      <c r="FJD40" s="63"/>
      <c r="FJE40" s="63"/>
      <c r="FJF40" s="63"/>
      <c r="FJG40" s="63"/>
      <c r="FJH40" s="63"/>
      <c r="FJI40" s="63"/>
      <c r="FJJ40" s="63"/>
      <c r="FJK40" s="63"/>
      <c r="FJL40" s="63"/>
      <c r="FJM40" s="63"/>
      <c r="FJN40" s="63"/>
      <c r="FJO40" s="63"/>
      <c r="FJP40" s="63"/>
      <c r="FJQ40" s="63"/>
      <c r="FJR40" s="63"/>
      <c r="FJS40" s="63"/>
      <c r="FJT40" s="63"/>
      <c r="FJU40" s="63"/>
      <c r="FJV40" s="63"/>
      <c r="FJW40" s="63"/>
      <c r="FJX40" s="63"/>
      <c r="FJY40" s="63"/>
      <c r="FJZ40" s="63"/>
      <c r="FKA40" s="63"/>
      <c r="FKB40" s="63"/>
      <c r="FKC40" s="63"/>
      <c r="FKD40" s="63"/>
      <c r="FKE40" s="63"/>
      <c r="FKF40" s="63"/>
      <c r="FKG40" s="63"/>
      <c r="FKH40" s="63"/>
      <c r="FKI40" s="63"/>
      <c r="FKJ40" s="63"/>
      <c r="FKK40" s="63"/>
      <c r="FKL40" s="63"/>
      <c r="FKM40" s="63"/>
      <c r="FKN40" s="63"/>
      <c r="FKO40" s="63"/>
      <c r="FKP40" s="63"/>
      <c r="FKQ40" s="63"/>
      <c r="FKR40" s="63"/>
      <c r="FKS40" s="63"/>
      <c r="FKT40" s="63"/>
      <c r="FKU40" s="63"/>
      <c r="FKV40" s="63"/>
      <c r="FKW40" s="63"/>
      <c r="FKX40" s="63"/>
      <c r="FKY40" s="63"/>
      <c r="FKZ40" s="63"/>
      <c r="FLA40" s="63"/>
      <c r="FLB40" s="63"/>
      <c r="FLC40" s="63"/>
      <c r="FLD40" s="63"/>
      <c r="FLE40" s="63"/>
      <c r="FLF40" s="63"/>
      <c r="FLG40" s="63"/>
      <c r="FLH40" s="63"/>
      <c r="FLI40" s="63"/>
      <c r="FLJ40" s="63"/>
      <c r="FLK40" s="63"/>
      <c r="FLL40" s="63"/>
      <c r="FLM40" s="63"/>
      <c r="FLN40" s="63"/>
      <c r="FLO40" s="63"/>
      <c r="FLP40" s="63"/>
      <c r="FLQ40" s="63"/>
      <c r="FLR40" s="63"/>
      <c r="FLS40" s="63"/>
      <c r="FLT40" s="63"/>
      <c r="FLU40" s="63"/>
      <c r="FLV40" s="63"/>
      <c r="FLW40" s="63"/>
      <c r="FLX40" s="63"/>
      <c r="FLY40" s="63"/>
      <c r="FLZ40" s="63"/>
      <c r="FMA40" s="63"/>
      <c r="FMB40" s="63"/>
      <c r="FMC40" s="63"/>
      <c r="FMD40" s="63"/>
      <c r="FME40" s="63"/>
      <c r="FMF40" s="63"/>
      <c r="FMG40" s="63"/>
      <c r="FMH40" s="63"/>
      <c r="FMI40" s="63"/>
      <c r="FMJ40" s="63"/>
      <c r="FMK40" s="63"/>
      <c r="FML40" s="63"/>
      <c r="FMM40" s="63"/>
      <c r="FMN40" s="63"/>
      <c r="FMO40" s="63"/>
      <c r="FMP40" s="63"/>
      <c r="FMQ40" s="63"/>
      <c r="FMR40" s="63"/>
      <c r="FMS40" s="63"/>
      <c r="FMT40" s="63"/>
      <c r="FMU40" s="63"/>
      <c r="FMV40" s="63"/>
      <c r="FMW40" s="63"/>
      <c r="FMX40" s="63"/>
      <c r="FMY40" s="63"/>
      <c r="FMZ40" s="63"/>
      <c r="FNA40" s="63"/>
      <c r="FNB40" s="63"/>
      <c r="FNC40" s="63"/>
      <c r="FND40" s="63"/>
      <c r="FNE40" s="63"/>
      <c r="FNF40" s="63"/>
      <c r="FNG40" s="63"/>
      <c r="FNH40" s="63"/>
      <c r="FNI40" s="63"/>
      <c r="FNJ40" s="63"/>
      <c r="FNK40" s="63"/>
      <c r="FNL40" s="63"/>
      <c r="FNM40" s="63"/>
      <c r="FNN40" s="63"/>
      <c r="FNO40" s="63"/>
      <c r="FNP40" s="63"/>
      <c r="FNQ40" s="63"/>
      <c r="FNR40" s="63"/>
      <c r="FNS40" s="63"/>
      <c r="FNT40" s="63"/>
      <c r="FNU40" s="63"/>
      <c r="FNV40" s="63"/>
      <c r="FNW40" s="63"/>
      <c r="FNX40" s="63"/>
      <c r="FNY40" s="63"/>
      <c r="FNZ40" s="63"/>
      <c r="FOA40" s="63"/>
      <c r="FOB40" s="63"/>
      <c r="FOC40" s="63"/>
      <c r="FOD40" s="63"/>
      <c r="FOE40" s="63"/>
      <c r="FOF40" s="63"/>
      <c r="FOG40" s="63"/>
      <c r="FOH40" s="63"/>
      <c r="FOI40" s="63"/>
      <c r="FOJ40" s="63"/>
      <c r="FOK40" s="63"/>
      <c r="FOL40" s="63"/>
      <c r="FOM40" s="63"/>
      <c r="FON40" s="63"/>
      <c r="FOO40" s="63"/>
      <c r="FOP40" s="63"/>
      <c r="FOQ40" s="63"/>
      <c r="FOR40" s="63"/>
      <c r="FOS40" s="63"/>
      <c r="FOT40" s="63"/>
      <c r="FOU40" s="63"/>
      <c r="FOV40" s="63"/>
      <c r="FOW40" s="63"/>
      <c r="FOX40" s="63"/>
      <c r="FOY40" s="63"/>
      <c r="FOZ40" s="63"/>
      <c r="FPA40" s="63"/>
      <c r="FPB40" s="63"/>
      <c r="FPC40" s="63"/>
      <c r="FPD40" s="63"/>
      <c r="FPE40" s="63"/>
      <c r="FPF40" s="63"/>
      <c r="FPG40" s="63"/>
      <c r="FPH40" s="63"/>
      <c r="FPI40" s="63"/>
      <c r="FPJ40" s="63"/>
      <c r="FPK40" s="63"/>
      <c r="FPL40" s="63"/>
      <c r="FPM40" s="63"/>
      <c r="FPN40" s="63"/>
      <c r="FPO40" s="63"/>
      <c r="FPP40" s="63"/>
      <c r="FPQ40" s="63"/>
      <c r="FPR40" s="63"/>
      <c r="FPS40" s="63"/>
      <c r="FPT40" s="63"/>
      <c r="FPU40" s="63"/>
      <c r="FPV40" s="63"/>
      <c r="FPW40" s="63"/>
      <c r="FPX40" s="63"/>
      <c r="FPY40" s="63"/>
      <c r="FPZ40" s="63"/>
      <c r="FQA40" s="63"/>
      <c r="FQB40" s="63"/>
      <c r="FQC40" s="63"/>
      <c r="FQD40" s="63"/>
      <c r="FQE40" s="63"/>
      <c r="FQF40" s="63"/>
      <c r="FQG40" s="63"/>
      <c r="FQH40" s="63"/>
      <c r="FQI40" s="63"/>
      <c r="FQJ40" s="63"/>
      <c r="FQK40" s="63"/>
      <c r="FQL40" s="63"/>
      <c r="FQM40" s="63"/>
      <c r="FQN40" s="63"/>
      <c r="FQO40" s="63"/>
      <c r="FQP40" s="63"/>
      <c r="FQQ40" s="63"/>
      <c r="FQR40" s="63"/>
      <c r="FQS40" s="63"/>
      <c r="FQT40" s="63"/>
      <c r="FQU40" s="63"/>
      <c r="FQV40" s="63"/>
      <c r="FQW40" s="63"/>
      <c r="FQX40" s="63"/>
      <c r="FQY40" s="63"/>
      <c r="FQZ40" s="63"/>
      <c r="FRA40" s="63"/>
      <c r="FRB40" s="63"/>
      <c r="FRC40" s="63"/>
      <c r="FRD40" s="63"/>
      <c r="FRE40" s="63"/>
      <c r="FRF40" s="63"/>
      <c r="FRG40" s="63"/>
      <c r="FRH40" s="63"/>
      <c r="FRI40" s="63"/>
      <c r="FRJ40" s="63"/>
      <c r="FRK40" s="63"/>
      <c r="FRL40" s="63"/>
      <c r="FRM40" s="63"/>
      <c r="FRN40" s="63"/>
      <c r="FRO40" s="63"/>
      <c r="FRP40" s="63"/>
      <c r="FRQ40" s="63"/>
      <c r="FRR40" s="63"/>
      <c r="FRS40" s="63"/>
      <c r="FRT40" s="63"/>
      <c r="FRU40" s="63"/>
      <c r="FRV40" s="63"/>
      <c r="FRW40" s="63"/>
      <c r="FRX40" s="63"/>
      <c r="FRY40" s="63"/>
      <c r="FRZ40" s="63"/>
      <c r="FSA40" s="63"/>
      <c r="FSB40" s="63"/>
      <c r="FSC40" s="63"/>
      <c r="FSD40" s="63"/>
      <c r="FSE40" s="63"/>
      <c r="FSF40" s="63"/>
      <c r="FSG40" s="63"/>
      <c r="FSH40" s="63"/>
      <c r="FSI40" s="63"/>
      <c r="FSJ40" s="63"/>
      <c r="FSK40" s="63"/>
      <c r="FSL40" s="63"/>
      <c r="FSM40" s="63"/>
      <c r="FSN40" s="63"/>
      <c r="FSO40" s="63"/>
      <c r="FSP40" s="63"/>
      <c r="FSQ40" s="63"/>
      <c r="FSR40" s="63"/>
      <c r="FSS40" s="63"/>
      <c r="FST40" s="63"/>
      <c r="FSU40" s="63"/>
      <c r="FSV40" s="63"/>
      <c r="FSW40" s="63"/>
      <c r="FSX40" s="63"/>
      <c r="FSY40" s="63"/>
      <c r="FSZ40" s="63"/>
      <c r="FTA40" s="63"/>
      <c r="FTB40" s="63"/>
      <c r="FTC40" s="63"/>
      <c r="FTD40" s="63"/>
      <c r="FTE40" s="63"/>
      <c r="FTF40" s="63"/>
      <c r="FTG40" s="63"/>
      <c r="FTH40" s="63"/>
      <c r="FTI40" s="63"/>
      <c r="FTJ40" s="63"/>
      <c r="FTK40" s="63"/>
      <c r="FTL40" s="63"/>
      <c r="FTM40" s="63"/>
      <c r="FTN40" s="63"/>
      <c r="FTO40" s="63"/>
      <c r="FTP40" s="63"/>
      <c r="FTQ40" s="63"/>
      <c r="FTR40" s="63"/>
      <c r="FTS40" s="63"/>
      <c r="FTT40" s="63"/>
      <c r="FTU40" s="63"/>
      <c r="FTV40" s="63"/>
      <c r="FTW40" s="63"/>
      <c r="FTX40" s="63"/>
      <c r="FTY40" s="63"/>
      <c r="FTZ40" s="63"/>
      <c r="FUA40" s="63"/>
      <c r="FUB40" s="63"/>
      <c r="FUC40" s="63"/>
      <c r="FUD40" s="63"/>
      <c r="FUE40" s="63"/>
      <c r="FUF40" s="63"/>
      <c r="FUG40" s="63"/>
      <c r="FUH40" s="63"/>
      <c r="FUI40" s="63"/>
      <c r="FUJ40" s="63"/>
      <c r="FUK40" s="63"/>
      <c r="FUL40" s="63"/>
      <c r="FUM40" s="63"/>
      <c r="FUN40" s="63"/>
      <c r="FUO40" s="63"/>
      <c r="FUP40" s="63"/>
      <c r="FUQ40" s="63"/>
      <c r="FUR40" s="63"/>
      <c r="FUS40" s="63"/>
      <c r="FUT40" s="63"/>
      <c r="FUU40" s="63"/>
      <c r="FUV40" s="63"/>
      <c r="FUW40" s="63"/>
      <c r="FUX40" s="63"/>
      <c r="FUY40" s="63"/>
      <c r="FUZ40" s="63"/>
      <c r="FVA40" s="63"/>
      <c r="FVB40" s="63"/>
      <c r="FVC40" s="63"/>
      <c r="FVD40" s="63"/>
      <c r="FVE40" s="63"/>
      <c r="FVF40" s="63"/>
      <c r="FVG40" s="63"/>
      <c r="FVH40" s="63"/>
      <c r="FVI40" s="63"/>
      <c r="FVJ40" s="63"/>
      <c r="FVK40" s="63"/>
      <c r="FVL40" s="63"/>
      <c r="FVM40" s="63"/>
      <c r="FVN40" s="63"/>
      <c r="FVO40" s="63"/>
      <c r="FVP40" s="63"/>
      <c r="FVQ40" s="63"/>
      <c r="FVR40" s="63"/>
      <c r="FVS40" s="63"/>
      <c r="FVT40" s="63"/>
      <c r="FVU40" s="63"/>
      <c r="FVV40" s="63"/>
      <c r="FVW40" s="63"/>
      <c r="FVX40" s="63"/>
      <c r="FVY40" s="63"/>
      <c r="FVZ40" s="63"/>
      <c r="FWA40" s="63"/>
      <c r="FWB40" s="63"/>
      <c r="FWC40" s="63"/>
      <c r="FWD40" s="63"/>
      <c r="FWE40" s="63"/>
      <c r="FWF40" s="63"/>
      <c r="FWG40" s="63"/>
      <c r="FWH40" s="63"/>
      <c r="FWI40" s="63"/>
      <c r="FWJ40" s="63"/>
      <c r="FWK40" s="63"/>
      <c r="FWL40" s="63"/>
      <c r="FWM40" s="63"/>
      <c r="FWN40" s="63"/>
      <c r="FWO40" s="63"/>
      <c r="FWP40" s="63"/>
      <c r="FWQ40" s="63"/>
      <c r="FWR40" s="63"/>
      <c r="FWS40" s="63"/>
      <c r="FWT40" s="63"/>
      <c r="FWU40" s="63"/>
      <c r="FWV40" s="63"/>
      <c r="FWW40" s="63"/>
      <c r="FWX40" s="63"/>
      <c r="FWY40" s="63"/>
      <c r="FWZ40" s="63"/>
      <c r="FXA40" s="63"/>
      <c r="FXB40" s="63"/>
      <c r="FXC40" s="63"/>
      <c r="FXD40" s="63"/>
      <c r="FXE40" s="63"/>
      <c r="FXF40" s="63"/>
      <c r="FXG40" s="63"/>
      <c r="FXH40" s="63"/>
      <c r="FXI40" s="63"/>
      <c r="FXJ40" s="63"/>
      <c r="FXK40" s="63"/>
      <c r="FXL40" s="63"/>
      <c r="FXM40" s="63"/>
      <c r="FXN40" s="63"/>
      <c r="FXO40" s="63"/>
      <c r="FXP40" s="63"/>
      <c r="FXQ40" s="63"/>
      <c r="FXR40" s="63"/>
      <c r="FXS40" s="63"/>
      <c r="FXT40" s="63"/>
      <c r="FXU40" s="63"/>
      <c r="FXV40" s="63"/>
      <c r="FXW40" s="63"/>
      <c r="FXX40" s="63"/>
      <c r="FXY40" s="63"/>
      <c r="FXZ40" s="63"/>
      <c r="FYA40" s="63"/>
      <c r="FYB40" s="63"/>
      <c r="FYC40" s="63"/>
      <c r="FYD40" s="63"/>
      <c r="FYE40" s="63"/>
      <c r="FYF40" s="63"/>
      <c r="FYG40" s="63"/>
      <c r="FYH40" s="63"/>
      <c r="FYI40" s="63"/>
      <c r="FYJ40" s="63"/>
      <c r="FYK40" s="63"/>
      <c r="FYL40" s="63"/>
      <c r="FYM40" s="63"/>
      <c r="FYN40" s="63"/>
      <c r="FYO40" s="63"/>
      <c r="FYP40" s="63"/>
      <c r="FYQ40" s="63"/>
      <c r="FYR40" s="63"/>
      <c r="FYS40" s="63"/>
      <c r="FYT40" s="63"/>
      <c r="FYU40" s="63"/>
      <c r="FYV40" s="63"/>
      <c r="FYW40" s="63"/>
      <c r="FYX40" s="63"/>
      <c r="FYY40" s="63"/>
      <c r="FYZ40" s="63"/>
      <c r="FZA40" s="63"/>
      <c r="FZB40" s="63"/>
      <c r="FZC40" s="63"/>
      <c r="FZD40" s="63"/>
      <c r="FZE40" s="63"/>
      <c r="FZF40" s="63"/>
      <c r="FZG40" s="63"/>
      <c r="FZH40" s="63"/>
      <c r="FZI40" s="63"/>
      <c r="FZJ40" s="63"/>
      <c r="FZK40" s="63"/>
      <c r="FZL40" s="63"/>
      <c r="FZM40" s="63"/>
      <c r="FZN40" s="63"/>
      <c r="FZO40" s="63"/>
      <c r="FZP40" s="63"/>
      <c r="FZQ40" s="63"/>
      <c r="FZR40" s="63"/>
      <c r="FZS40" s="63"/>
      <c r="FZT40" s="63"/>
      <c r="FZU40" s="63"/>
      <c r="FZV40" s="63"/>
      <c r="FZW40" s="63"/>
      <c r="FZX40" s="63"/>
      <c r="FZY40" s="63"/>
      <c r="FZZ40" s="63"/>
      <c r="GAA40" s="63"/>
      <c r="GAB40" s="63"/>
      <c r="GAC40" s="63"/>
      <c r="GAD40" s="63"/>
      <c r="GAE40" s="63"/>
      <c r="GAF40" s="63"/>
      <c r="GAG40" s="63"/>
      <c r="GAH40" s="63"/>
      <c r="GAI40" s="63"/>
      <c r="GAJ40" s="63"/>
      <c r="GAK40" s="63"/>
      <c r="GAL40" s="63"/>
      <c r="GAM40" s="63"/>
      <c r="GAN40" s="63"/>
      <c r="GAO40" s="63"/>
      <c r="GAP40" s="63"/>
      <c r="GAQ40" s="63"/>
      <c r="GAR40" s="63"/>
      <c r="GAS40" s="63"/>
      <c r="GAT40" s="63"/>
      <c r="GAU40" s="63"/>
      <c r="GAV40" s="63"/>
      <c r="GAW40" s="63"/>
      <c r="GAX40" s="63"/>
      <c r="GAY40" s="63"/>
      <c r="GAZ40" s="63"/>
      <c r="GBA40" s="63"/>
      <c r="GBB40" s="63"/>
      <c r="GBC40" s="63"/>
      <c r="GBD40" s="63"/>
      <c r="GBE40" s="63"/>
      <c r="GBF40" s="63"/>
      <c r="GBG40" s="63"/>
      <c r="GBH40" s="63"/>
      <c r="GBI40" s="63"/>
      <c r="GBJ40" s="63"/>
      <c r="GBK40" s="63"/>
      <c r="GBL40" s="63"/>
      <c r="GBM40" s="63"/>
      <c r="GBN40" s="63"/>
      <c r="GBO40" s="63"/>
      <c r="GBP40" s="63"/>
      <c r="GBQ40" s="63"/>
      <c r="GBR40" s="63"/>
      <c r="GBS40" s="63"/>
      <c r="GBT40" s="63"/>
      <c r="GBU40" s="63"/>
      <c r="GBV40" s="63"/>
      <c r="GBW40" s="63"/>
      <c r="GBX40" s="63"/>
      <c r="GBY40" s="63"/>
      <c r="GBZ40" s="63"/>
      <c r="GCA40" s="63"/>
      <c r="GCB40" s="63"/>
      <c r="GCC40" s="63"/>
      <c r="GCD40" s="63"/>
      <c r="GCE40" s="63"/>
      <c r="GCF40" s="63"/>
      <c r="GCG40" s="63"/>
      <c r="GCH40" s="63"/>
      <c r="GCI40" s="63"/>
      <c r="GCJ40" s="63"/>
      <c r="GCK40" s="63"/>
      <c r="GCL40" s="63"/>
      <c r="GCM40" s="63"/>
      <c r="GCN40" s="63"/>
      <c r="GCO40" s="63"/>
      <c r="GCP40" s="63"/>
      <c r="GCQ40" s="63"/>
      <c r="GCR40" s="63"/>
      <c r="GCS40" s="63"/>
      <c r="GCT40" s="63"/>
      <c r="GCU40" s="63"/>
      <c r="GCV40" s="63"/>
      <c r="GCW40" s="63"/>
      <c r="GCX40" s="63"/>
      <c r="GCY40" s="63"/>
      <c r="GCZ40" s="63"/>
      <c r="GDA40" s="63"/>
      <c r="GDB40" s="63"/>
      <c r="GDC40" s="63"/>
      <c r="GDD40" s="63"/>
      <c r="GDE40" s="63"/>
      <c r="GDF40" s="63"/>
      <c r="GDG40" s="63"/>
      <c r="GDH40" s="63"/>
      <c r="GDI40" s="63"/>
      <c r="GDJ40" s="63"/>
      <c r="GDK40" s="63"/>
      <c r="GDL40" s="63"/>
      <c r="GDM40" s="63"/>
      <c r="GDN40" s="63"/>
      <c r="GDO40" s="63"/>
      <c r="GDP40" s="63"/>
      <c r="GDQ40" s="63"/>
      <c r="GDR40" s="63"/>
      <c r="GDS40" s="63"/>
      <c r="GDT40" s="63"/>
      <c r="GDU40" s="63"/>
      <c r="GDV40" s="63"/>
      <c r="GDW40" s="63"/>
      <c r="GDX40" s="63"/>
      <c r="GDY40" s="63"/>
      <c r="GDZ40" s="63"/>
      <c r="GEA40" s="63"/>
      <c r="GEB40" s="63"/>
      <c r="GEC40" s="63"/>
      <c r="GED40" s="63"/>
      <c r="GEE40" s="63"/>
      <c r="GEF40" s="63"/>
      <c r="GEG40" s="63"/>
      <c r="GEH40" s="63"/>
      <c r="GEI40" s="63"/>
      <c r="GEJ40" s="63"/>
      <c r="GEK40" s="63"/>
      <c r="GEL40" s="63"/>
      <c r="GEM40" s="63"/>
      <c r="GEN40" s="63"/>
      <c r="GEO40" s="63"/>
      <c r="GEP40" s="63"/>
      <c r="GEQ40" s="63"/>
      <c r="GER40" s="63"/>
      <c r="GES40" s="63"/>
      <c r="GET40" s="63"/>
      <c r="GEU40" s="63"/>
      <c r="GEV40" s="63"/>
      <c r="GEW40" s="63"/>
      <c r="GEX40" s="63"/>
      <c r="GEY40" s="63"/>
      <c r="GEZ40" s="63"/>
      <c r="GFA40" s="63"/>
      <c r="GFB40" s="63"/>
      <c r="GFC40" s="63"/>
      <c r="GFD40" s="63"/>
      <c r="GFE40" s="63"/>
      <c r="GFF40" s="63"/>
      <c r="GFG40" s="63"/>
      <c r="GFH40" s="63"/>
      <c r="GFI40" s="63"/>
      <c r="GFJ40" s="63"/>
      <c r="GFK40" s="63"/>
      <c r="GFL40" s="63"/>
      <c r="GFM40" s="63"/>
      <c r="GFN40" s="63"/>
      <c r="GFO40" s="63"/>
      <c r="GFP40" s="63"/>
      <c r="GFQ40" s="63"/>
      <c r="GFR40" s="63"/>
      <c r="GFS40" s="63"/>
      <c r="GFT40" s="63"/>
      <c r="GFU40" s="63"/>
      <c r="GFV40" s="63"/>
      <c r="GFW40" s="63"/>
      <c r="GFX40" s="63"/>
      <c r="GFY40" s="63"/>
      <c r="GFZ40" s="63"/>
      <c r="GGA40" s="63"/>
      <c r="GGB40" s="63"/>
      <c r="GGC40" s="63"/>
      <c r="GGD40" s="63"/>
      <c r="GGE40" s="63"/>
      <c r="GGF40" s="63"/>
      <c r="GGG40" s="63"/>
      <c r="GGH40" s="63"/>
      <c r="GGI40" s="63"/>
      <c r="GGJ40" s="63"/>
      <c r="GGK40" s="63"/>
      <c r="GGL40" s="63"/>
      <c r="GGM40" s="63"/>
      <c r="GGN40" s="63"/>
      <c r="GGO40" s="63"/>
      <c r="GGP40" s="63"/>
      <c r="GGQ40" s="63"/>
      <c r="GGR40" s="63"/>
      <c r="GGS40" s="63"/>
      <c r="GGT40" s="63"/>
      <c r="GGU40" s="63"/>
      <c r="GGV40" s="63"/>
      <c r="GGW40" s="63"/>
      <c r="GGX40" s="63"/>
      <c r="GGY40" s="63"/>
      <c r="GGZ40" s="63"/>
      <c r="GHA40" s="63"/>
      <c r="GHB40" s="63"/>
      <c r="GHC40" s="63"/>
      <c r="GHD40" s="63"/>
      <c r="GHE40" s="63"/>
      <c r="GHF40" s="63"/>
      <c r="GHG40" s="63"/>
      <c r="GHH40" s="63"/>
      <c r="GHI40" s="63"/>
      <c r="GHJ40" s="63"/>
      <c r="GHK40" s="63"/>
      <c r="GHL40" s="63"/>
      <c r="GHM40" s="63"/>
      <c r="GHN40" s="63"/>
      <c r="GHO40" s="63"/>
      <c r="GHP40" s="63"/>
      <c r="GHQ40" s="63"/>
      <c r="GHR40" s="63"/>
      <c r="GHS40" s="63"/>
      <c r="GHT40" s="63"/>
      <c r="GHU40" s="63"/>
      <c r="GHV40" s="63"/>
      <c r="GHW40" s="63"/>
      <c r="GHX40" s="63"/>
      <c r="GHY40" s="63"/>
      <c r="GHZ40" s="63"/>
      <c r="GIA40" s="63"/>
      <c r="GIB40" s="63"/>
      <c r="GIC40" s="63"/>
      <c r="GID40" s="63"/>
      <c r="GIE40" s="63"/>
      <c r="GIF40" s="63"/>
      <c r="GIG40" s="63"/>
      <c r="GIH40" s="63"/>
      <c r="GII40" s="63"/>
      <c r="GIJ40" s="63"/>
      <c r="GIK40" s="63"/>
      <c r="GIL40" s="63"/>
      <c r="GIM40" s="63"/>
      <c r="GIN40" s="63"/>
      <c r="GIO40" s="63"/>
      <c r="GIP40" s="63"/>
      <c r="GIQ40" s="63"/>
      <c r="GIR40" s="63"/>
      <c r="GIS40" s="63"/>
      <c r="GIT40" s="63"/>
      <c r="GIU40" s="63"/>
      <c r="GIV40" s="63"/>
      <c r="GIW40" s="63"/>
      <c r="GIX40" s="63"/>
      <c r="GIY40" s="63"/>
      <c r="GIZ40" s="63"/>
      <c r="GJA40" s="63"/>
      <c r="GJB40" s="63"/>
      <c r="GJC40" s="63"/>
      <c r="GJD40" s="63"/>
      <c r="GJE40" s="63"/>
      <c r="GJF40" s="63"/>
      <c r="GJG40" s="63"/>
      <c r="GJH40" s="63"/>
      <c r="GJI40" s="63"/>
      <c r="GJJ40" s="63"/>
      <c r="GJK40" s="63"/>
      <c r="GJL40" s="63"/>
      <c r="GJM40" s="63"/>
      <c r="GJN40" s="63"/>
      <c r="GJO40" s="63"/>
      <c r="GJP40" s="63"/>
      <c r="GJQ40" s="63"/>
      <c r="GJR40" s="63"/>
      <c r="GJS40" s="63"/>
      <c r="GJT40" s="63"/>
      <c r="GJU40" s="63"/>
      <c r="GJV40" s="63"/>
      <c r="GJW40" s="63"/>
      <c r="GJX40" s="63"/>
      <c r="GJY40" s="63"/>
      <c r="GJZ40" s="63"/>
      <c r="GKA40" s="63"/>
      <c r="GKB40" s="63"/>
      <c r="GKC40" s="63"/>
      <c r="GKD40" s="63"/>
      <c r="GKE40" s="63"/>
      <c r="GKF40" s="63"/>
      <c r="GKG40" s="63"/>
      <c r="GKH40" s="63"/>
      <c r="GKI40" s="63"/>
      <c r="GKJ40" s="63"/>
      <c r="GKK40" s="63"/>
      <c r="GKL40" s="63"/>
      <c r="GKM40" s="63"/>
      <c r="GKN40" s="63"/>
      <c r="GKO40" s="63"/>
      <c r="GKP40" s="63"/>
      <c r="GKQ40" s="63"/>
      <c r="GKR40" s="63"/>
      <c r="GKS40" s="63"/>
      <c r="GKT40" s="63"/>
      <c r="GKU40" s="63"/>
      <c r="GKV40" s="63"/>
      <c r="GKW40" s="63"/>
      <c r="GKX40" s="63"/>
      <c r="GKY40" s="63"/>
      <c r="GKZ40" s="63"/>
      <c r="GLA40" s="63"/>
      <c r="GLB40" s="63"/>
      <c r="GLC40" s="63"/>
      <c r="GLD40" s="63"/>
      <c r="GLE40" s="63"/>
      <c r="GLF40" s="63"/>
      <c r="GLG40" s="63"/>
      <c r="GLH40" s="63"/>
      <c r="GLI40" s="63"/>
      <c r="GLJ40" s="63"/>
      <c r="GLK40" s="63"/>
      <c r="GLL40" s="63"/>
      <c r="GLM40" s="63"/>
      <c r="GLN40" s="63"/>
      <c r="GLO40" s="63"/>
      <c r="GLP40" s="63"/>
      <c r="GLQ40" s="63"/>
      <c r="GLR40" s="63"/>
      <c r="GLS40" s="63"/>
      <c r="GLT40" s="63"/>
      <c r="GLU40" s="63"/>
      <c r="GLV40" s="63"/>
      <c r="GLW40" s="63"/>
      <c r="GLX40" s="63"/>
      <c r="GLY40" s="63"/>
      <c r="GLZ40" s="63"/>
      <c r="GMA40" s="63"/>
      <c r="GMB40" s="63"/>
      <c r="GMC40" s="63"/>
      <c r="GMD40" s="63"/>
      <c r="GME40" s="63"/>
      <c r="GMF40" s="63"/>
      <c r="GMG40" s="63"/>
      <c r="GMH40" s="63"/>
      <c r="GMI40" s="63"/>
      <c r="GMJ40" s="63"/>
      <c r="GMK40" s="63"/>
      <c r="GML40" s="63"/>
      <c r="GMM40" s="63"/>
      <c r="GMN40" s="63"/>
      <c r="GMO40" s="63"/>
      <c r="GMP40" s="63"/>
      <c r="GMQ40" s="63"/>
      <c r="GMR40" s="63"/>
      <c r="GMS40" s="63"/>
      <c r="GMT40" s="63"/>
      <c r="GMU40" s="63"/>
      <c r="GMV40" s="63"/>
      <c r="GMW40" s="63"/>
      <c r="GMX40" s="63"/>
      <c r="GMY40" s="63"/>
      <c r="GMZ40" s="63"/>
      <c r="GNA40" s="63"/>
      <c r="GNB40" s="63"/>
      <c r="GNC40" s="63"/>
      <c r="GND40" s="63"/>
      <c r="GNE40" s="63"/>
      <c r="GNF40" s="63"/>
      <c r="GNG40" s="63"/>
      <c r="GNH40" s="63"/>
      <c r="GNI40" s="63"/>
      <c r="GNJ40" s="63"/>
      <c r="GNK40" s="63"/>
      <c r="GNL40" s="63"/>
      <c r="GNM40" s="63"/>
      <c r="GNN40" s="63"/>
      <c r="GNO40" s="63"/>
      <c r="GNP40" s="63"/>
      <c r="GNQ40" s="63"/>
      <c r="GNR40" s="63"/>
      <c r="GNS40" s="63"/>
      <c r="GNT40" s="63"/>
      <c r="GNU40" s="63"/>
      <c r="GNV40" s="63"/>
      <c r="GNW40" s="63"/>
      <c r="GNX40" s="63"/>
      <c r="GNY40" s="63"/>
      <c r="GNZ40" s="63"/>
      <c r="GOA40" s="63"/>
      <c r="GOB40" s="63"/>
      <c r="GOC40" s="63"/>
      <c r="GOD40" s="63"/>
      <c r="GOE40" s="63"/>
      <c r="GOF40" s="63"/>
      <c r="GOG40" s="63"/>
      <c r="GOH40" s="63"/>
      <c r="GOI40" s="63"/>
      <c r="GOJ40" s="63"/>
      <c r="GOK40" s="63"/>
      <c r="GOL40" s="63"/>
      <c r="GOM40" s="63"/>
      <c r="GON40" s="63"/>
      <c r="GOO40" s="63"/>
      <c r="GOP40" s="63"/>
      <c r="GOQ40" s="63"/>
      <c r="GOR40" s="63"/>
      <c r="GOS40" s="63"/>
      <c r="GOT40" s="63"/>
      <c r="GOU40" s="63"/>
      <c r="GOV40" s="63"/>
      <c r="GOW40" s="63"/>
      <c r="GOX40" s="63"/>
      <c r="GOY40" s="63"/>
      <c r="GOZ40" s="63"/>
      <c r="GPA40" s="63"/>
      <c r="GPB40" s="63"/>
      <c r="GPC40" s="63"/>
      <c r="GPD40" s="63"/>
      <c r="GPE40" s="63"/>
      <c r="GPF40" s="63"/>
      <c r="GPG40" s="63"/>
      <c r="GPH40" s="63"/>
      <c r="GPI40" s="63"/>
      <c r="GPJ40" s="63"/>
      <c r="GPK40" s="63"/>
      <c r="GPL40" s="63"/>
      <c r="GPM40" s="63"/>
      <c r="GPN40" s="63"/>
      <c r="GPO40" s="63"/>
      <c r="GPP40" s="63"/>
      <c r="GPQ40" s="63"/>
      <c r="GPR40" s="63"/>
      <c r="GPS40" s="63"/>
      <c r="GPT40" s="63"/>
      <c r="GPU40" s="63"/>
      <c r="GPV40" s="63"/>
      <c r="GPW40" s="63"/>
      <c r="GPX40" s="63"/>
      <c r="GPY40" s="63"/>
      <c r="GPZ40" s="63"/>
      <c r="GQA40" s="63"/>
      <c r="GQB40" s="63"/>
      <c r="GQC40" s="63"/>
      <c r="GQD40" s="63"/>
      <c r="GQE40" s="63"/>
      <c r="GQF40" s="63"/>
      <c r="GQG40" s="63"/>
      <c r="GQH40" s="63"/>
      <c r="GQI40" s="63"/>
      <c r="GQJ40" s="63"/>
      <c r="GQK40" s="63"/>
      <c r="GQL40" s="63"/>
      <c r="GQM40" s="63"/>
      <c r="GQN40" s="63"/>
      <c r="GQO40" s="63"/>
      <c r="GQP40" s="63"/>
      <c r="GQQ40" s="63"/>
      <c r="GQR40" s="63"/>
      <c r="GQS40" s="63"/>
      <c r="GQT40" s="63"/>
      <c r="GQU40" s="63"/>
      <c r="GQV40" s="63"/>
      <c r="GQW40" s="63"/>
      <c r="GQX40" s="63"/>
      <c r="GQY40" s="63"/>
      <c r="GQZ40" s="63"/>
      <c r="GRA40" s="63"/>
      <c r="GRB40" s="63"/>
      <c r="GRC40" s="63"/>
      <c r="GRD40" s="63"/>
      <c r="GRE40" s="63"/>
      <c r="GRF40" s="63"/>
      <c r="GRG40" s="63"/>
      <c r="GRH40" s="63"/>
      <c r="GRI40" s="63"/>
      <c r="GRJ40" s="63"/>
      <c r="GRK40" s="63"/>
      <c r="GRL40" s="63"/>
      <c r="GRM40" s="63"/>
      <c r="GRN40" s="63"/>
      <c r="GRO40" s="63"/>
      <c r="GRP40" s="63"/>
      <c r="GRQ40" s="63"/>
      <c r="GRR40" s="63"/>
      <c r="GRS40" s="63"/>
      <c r="GRT40" s="63"/>
      <c r="GRU40" s="63"/>
      <c r="GRV40" s="63"/>
      <c r="GRW40" s="63"/>
      <c r="GRX40" s="63"/>
      <c r="GRY40" s="63"/>
      <c r="GRZ40" s="63"/>
      <c r="GSA40" s="63"/>
      <c r="GSB40" s="63"/>
      <c r="GSC40" s="63"/>
      <c r="GSD40" s="63"/>
      <c r="GSE40" s="63"/>
      <c r="GSF40" s="63"/>
      <c r="GSG40" s="63"/>
      <c r="GSH40" s="63"/>
      <c r="GSI40" s="63"/>
      <c r="GSJ40" s="63"/>
      <c r="GSK40" s="63"/>
      <c r="GSL40" s="63"/>
      <c r="GSM40" s="63"/>
      <c r="GSN40" s="63"/>
      <c r="GSO40" s="63"/>
      <c r="GSP40" s="63"/>
      <c r="GSQ40" s="63"/>
      <c r="GSR40" s="63"/>
      <c r="GSS40" s="63"/>
      <c r="GST40" s="63"/>
      <c r="GSU40" s="63"/>
      <c r="GSV40" s="63"/>
      <c r="GSW40" s="63"/>
      <c r="GSX40" s="63"/>
      <c r="GSY40" s="63"/>
      <c r="GSZ40" s="63"/>
      <c r="GTA40" s="63"/>
      <c r="GTB40" s="63"/>
      <c r="GTC40" s="63"/>
      <c r="GTD40" s="63"/>
      <c r="GTE40" s="63"/>
      <c r="GTF40" s="63"/>
      <c r="GTG40" s="63"/>
      <c r="GTH40" s="63"/>
      <c r="GTI40" s="63"/>
      <c r="GTJ40" s="63"/>
      <c r="GTK40" s="63"/>
      <c r="GTL40" s="63"/>
      <c r="GTM40" s="63"/>
      <c r="GTN40" s="63"/>
      <c r="GTO40" s="63"/>
      <c r="GTP40" s="63"/>
      <c r="GTQ40" s="63"/>
      <c r="GTR40" s="63"/>
      <c r="GTS40" s="63"/>
      <c r="GTT40" s="63"/>
      <c r="GTU40" s="63"/>
      <c r="GTV40" s="63"/>
      <c r="GTW40" s="63"/>
      <c r="GTX40" s="63"/>
      <c r="GTY40" s="63"/>
      <c r="GTZ40" s="63"/>
      <c r="GUA40" s="63"/>
      <c r="GUB40" s="63"/>
      <c r="GUC40" s="63"/>
      <c r="GUD40" s="63"/>
      <c r="GUE40" s="63"/>
      <c r="GUF40" s="63"/>
      <c r="GUG40" s="63"/>
      <c r="GUH40" s="63"/>
      <c r="GUI40" s="63"/>
      <c r="GUJ40" s="63"/>
      <c r="GUK40" s="63"/>
      <c r="GUL40" s="63"/>
      <c r="GUM40" s="63"/>
      <c r="GUN40" s="63"/>
      <c r="GUO40" s="63"/>
      <c r="GUP40" s="63"/>
      <c r="GUQ40" s="63"/>
      <c r="GUR40" s="63"/>
      <c r="GUS40" s="63"/>
      <c r="GUT40" s="63"/>
      <c r="GUU40" s="63"/>
      <c r="GUV40" s="63"/>
      <c r="GUW40" s="63"/>
      <c r="GUX40" s="63"/>
      <c r="GUY40" s="63"/>
      <c r="GUZ40" s="63"/>
      <c r="GVA40" s="63"/>
      <c r="GVB40" s="63"/>
      <c r="GVC40" s="63"/>
      <c r="GVD40" s="63"/>
      <c r="GVE40" s="63"/>
      <c r="GVF40" s="63"/>
      <c r="GVG40" s="63"/>
      <c r="GVH40" s="63"/>
      <c r="GVI40" s="63"/>
      <c r="GVJ40" s="63"/>
      <c r="GVK40" s="63"/>
      <c r="GVL40" s="63"/>
      <c r="GVM40" s="63"/>
      <c r="GVN40" s="63"/>
      <c r="GVO40" s="63"/>
      <c r="GVP40" s="63"/>
      <c r="GVQ40" s="63"/>
      <c r="GVR40" s="63"/>
      <c r="GVS40" s="63"/>
      <c r="GVT40" s="63"/>
      <c r="GVU40" s="63"/>
      <c r="GVV40" s="63"/>
      <c r="GVW40" s="63"/>
      <c r="GVX40" s="63"/>
      <c r="GVY40" s="63"/>
      <c r="GVZ40" s="63"/>
      <c r="GWA40" s="63"/>
      <c r="GWB40" s="63"/>
      <c r="GWC40" s="63"/>
      <c r="GWD40" s="63"/>
      <c r="GWE40" s="63"/>
      <c r="GWF40" s="63"/>
      <c r="GWG40" s="63"/>
      <c r="GWH40" s="63"/>
      <c r="GWI40" s="63"/>
      <c r="GWJ40" s="63"/>
      <c r="GWK40" s="63"/>
      <c r="GWL40" s="63"/>
      <c r="GWM40" s="63"/>
      <c r="GWN40" s="63"/>
      <c r="GWO40" s="63"/>
      <c r="GWP40" s="63"/>
      <c r="GWQ40" s="63"/>
      <c r="GWR40" s="63"/>
      <c r="GWS40" s="63"/>
      <c r="GWT40" s="63"/>
      <c r="GWU40" s="63"/>
      <c r="GWV40" s="63"/>
      <c r="GWW40" s="63"/>
      <c r="GWX40" s="63"/>
      <c r="GWY40" s="63"/>
      <c r="GWZ40" s="63"/>
      <c r="GXA40" s="63"/>
      <c r="GXB40" s="63"/>
      <c r="GXC40" s="63"/>
      <c r="GXD40" s="63"/>
      <c r="GXE40" s="63"/>
      <c r="GXF40" s="63"/>
      <c r="GXG40" s="63"/>
      <c r="GXH40" s="63"/>
      <c r="GXI40" s="63"/>
      <c r="GXJ40" s="63"/>
      <c r="GXK40" s="63"/>
      <c r="GXL40" s="63"/>
      <c r="GXM40" s="63"/>
      <c r="GXN40" s="63"/>
      <c r="GXO40" s="63"/>
      <c r="GXP40" s="63"/>
      <c r="GXQ40" s="63"/>
      <c r="GXR40" s="63"/>
      <c r="GXS40" s="63"/>
      <c r="GXT40" s="63"/>
      <c r="GXU40" s="63"/>
      <c r="GXV40" s="63"/>
      <c r="GXW40" s="63"/>
      <c r="GXX40" s="63"/>
      <c r="GXY40" s="63"/>
      <c r="GXZ40" s="63"/>
      <c r="GYA40" s="63"/>
      <c r="GYB40" s="63"/>
      <c r="GYC40" s="63"/>
      <c r="GYD40" s="63"/>
      <c r="GYE40" s="63"/>
      <c r="GYF40" s="63"/>
      <c r="GYG40" s="63"/>
      <c r="GYH40" s="63"/>
      <c r="GYI40" s="63"/>
      <c r="GYJ40" s="63"/>
      <c r="GYK40" s="63"/>
      <c r="GYL40" s="63"/>
      <c r="GYM40" s="63"/>
      <c r="GYN40" s="63"/>
      <c r="GYO40" s="63"/>
      <c r="GYP40" s="63"/>
      <c r="GYQ40" s="63"/>
      <c r="GYR40" s="63"/>
      <c r="GYS40" s="63"/>
      <c r="GYT40" s="63"/>
      <c r="GYU40" s="63"/>
      <c r="GYV40" s="63"/>
      <c r="GYW40" s="63"/>
      <c r="GYX40" s="63"/>
      <c r="GYY40" s="63"/>
      <c r="GYZ40" s="63"/>
      <c r="GZA40" s="63"/>
      <c r="GZB40" s="63"/>
      <c r="GZC40" s="63"/>
      <c r="GZD40" s="63"/>
      <c r="GZE40" s="63"/>
      <c r="GZF40" s="63"/>
      <c r="GZG40" s="63"/>
      <c r="GZH40" s="63"/>
      <c r="GZI40" s="63"/>
      <c r="GZJ40" s="63"/>
      <c r="GZK40" s="63"/>
      <c r="GZL40" s="63"/>
      <c r="GZM40" s="63"/>
      <c r="GZN40" s="63"/>
      <c r="GZO40" s="63"/>
      <c r="GZP40" s="63"/>
      <c r="GZQ40" s="63"/>
      <c r="GZR40" s="63"/>
      <c r="GZS40" s="63"/>
      <c r="GZT40" s="63"/>
      <c r="GZU40" s="63"/>
      <c r="GZV40" s="63"/>
      <c r="GZW40" s="63"/>
      <c r="GZX40" s="63"/>
      <c r="GZY40" s="63"/>
      <c r="GZZ40" s="63"/>
      <c r="HAA40" s="63"/>
      <c r="HAB40" s="63"/>
      <c r="HAC40" s="63"/>
      <c r="HAD40" s="63"/>
      <c r="HAE40" s="63"/>
      <c r="HAF40" s="63"/>
      <c r="HAG40" s="63"/>
      <c r="HAH40" s="63"/>
      <c r="HAI40" s="63"/>
      <c r="HAJ40" s="63"/>
      <c r="HAK40" s="63"/>
      <c r="HAL40" s="63"/>
      <c r="HAM40" s="63"/>
      <c r="HAN40" s="63"/>
      <c r="HAO40" s="63"/>
      <c r="HAP40" s="63"/>
      <c r="HAQ40" s="63"/>
      <c r="HAR40" s="63"/>
      <c r="HAS40" s="63"/>
      <c r="HAT40" s="63"/>
      <c r="HAU40" s="63"/>
      <c r="HAV40" s="63"/>
      <c r="HAW40" s="63"/>
      <c r="HAX40" s="63"/>
      <c r="HAY40" s="63"/>
      <c r="HAZ40" s="63"/>
      <c r="HBA40" s="63"/>
      <c r="HBB40" s="63"/>
      <c r="HBC40" s="63"/>
      <c r="HBD40" s="63"/>
      <c r="HBE40" s="63"/>
      <c r="HBF40" s="63"/>
      <c r="HBG40" s="63"/>
      <c r="HBH40" s="63"/>
      <c r="HBI40" s="63"/>
      <c r="HBJ40" s="63"/>
      <c r="HBK40" s="63"/>
      <c r="HBL40" s="63"/>
      <c r="HBM40" s="63"/>
      <c r="HBN40" s="63"/>
      <c r="HBO40" s="63"/>
      <c r="HBP40" s="63"/>
      <c r="HBQ40" s="63"/>
      <c r="HBR40" s="63"/>
      <c r="HBS40" s="63"/>
      <c r="HBT40" s="63"/>
      <c r="HBU40" s="63"/>
      <c r="HBV40" s="63"/>
      <c r="HBW40" s="63"/>
      <c r="HBX40" s="63"/>
      <c r="HBY40" s="63"/>
      <c r="HBZ40" s="63"/>
      <c r="HCA40" s="63"/>
      <c r="HCB40" s="63"/>
      <c r="HCC40" s="63"/>
      <c r="HCD40" s="63"/>
      <c r="HCE40" s="63"/>
      <c r="HCF40" s="63"/>
      <c r="HCG40" s="63"/>
      <c r="HCH40" s="63"/>
      <c r="HCI40" s="63"/>
      <c r="HCJ40" s="63"/>
      <c r="HCK40" s="63"/>
      <c r="HCL40" s="63"/>
      <c r="HCM40" s="63"/>
      <c r="HCN40" s="63"/>
      <c r="HCO40" s="63"/>
      <c r="HCP40" s="63"/>
      <c r="HCQ40" s="63"/>
      <c r="HCR40" s="63"/>
      <c r="HCS40" s="63"/>
      <c r="HCT40" s="63"/>
      <c r="HCU40" s="63"/>
      <c r="HCV40" s="63"/>
      <c r="HCW40" s="63"/>
      <c r="HCX40" s="63"/>
      <c r="HCY40" s="63"/>
      <c r="HCZ40" s="63"/>
      <c r="HDA40" s="63"/>
      <c r="HDB40" s="63"/>
      <c r="HDC40" s="63"/>
      <c r="HDD40" s="63"/>
      <c r="HDE40" s="63"/>
      <c r="HDF40" s="63"/>
      <c r="HDG40" s="63"/>
      <c r="HDH40" s="63"/>
      <c r="HDI40" s="63"/>
      <c r="HDJ40" s="63"/>
      <c r="HDK40" s="63"/>
      <c r="HDL40" s="63"/>
      <c r="HDM40" s="63"/>
      <c r="HDN40" s="63"/>
      <c r="HDO40" s="63"/>
      <c r="HDP40" s="63"/>
      <c r="HDQ40" s="63"/>
      <c r="HDR40" s="63"/>
      <c r="HDS40" s="63"/>
      <c r="HDT40" s="63"/>
      <c r="HDU40" s="63"/>
      <c r="HDV40" s="63"/>
      <c r="HDW40" s="63"/>
      <c r="HDX40" s="63"/>
      <c r="HDY40" s="63"/>
      <c r="HDZ40" s="63"/>
      <c r="HEA40" s="63"/>
      <c r="HEB40" s="63"/>
      <c r="HEC40" s="63"/>
      <c r="HED40" s="63"/>
      <c r="HEE40" s="63"/>
      <c r="HEF40" s="63"/>
      <c r="HEG40" s="63"/>
      <c r="HEH40" s="63"/>
      <c r="HEI40" s="63"/>
      <c r="HEJ40" s="63"/>
      <c r="HEK40" s="63"/>
      <c r="HEL40" s="63"/>
      <c r="HEM40" s="63"/>
      <c r="HEN40" s="63"/>
      <c r="HEO40" s="63"/>
      <c r="HEP40" s="63"/>
      <c r="HEQ40" s="63"/>
      <c r="HER40" s="63"/>
      <c r="HES40" s="63"/>
      <c r="HET40" s="63"/>
      <c r="HEU40" s="63"/>
      <c r="HEV40" s="63"/>
      <c r="HEW40" s="63"/>
      <c r="HEX40" s="63"/>
      <c r="HEY40" s="63"/>
      <c r="HEZ40" s="63"/>
      <c r="HFA40" s="63"/>
      <c r="HFB40" s="63"/>
      <c r="HFC40" s="63"/>
      <c r="HFD40" s="63"/>
      <c r="HFE40" s="63"/>
      <c r="HFF40" s="63"/>
      <c r="HFG40" s="63"/>
      <c r="HFH40" s="63"/>
      <c r="HFI40" s="63"/>
      <c r="HFJ40" s="63"/>
      <c r="HFK40" s="63"/>
      <c r="HFL40" s="63"/>
      <c r="HFM40" s="63"/>
      <c r="HFN40" s="63"/>
      <c r="HFO40" s="63"/>
      <c r="HFP40" s="63"/>
      <c r="HFQ40" s="63"/>
      <c r="HFR40" s="63"/>
      <c r="HFS40" s="63"/>
      <c r="HFT40" s="63"/>
      <c r="HFU40" s="63"/>
      <c r="HFV40" s="63"/>
      <c r="HFW40" s="63"/>
      <c r="HFX40" s="63"/>
      <c r="HFY40" s="63"/>
      <c r="HFZ40" s="63"/>
      <c r="HGA40" s="63"/>
      <c r="HGB40" s="63"/>
      <c r="HGC40" s="63"/>
      <c r="HGD40" s="63"/>
      <c r="HGE40" s="63"/>
      <c r="HGF40" s="63"/>
      <c r="HGG40" s="63"/>
      <c r="HGH40" s="63"/>
      <c r="HGI40" s="63"/>
      <c r="HGJ40" s="63"/>
      <c r="HGK40" s="63"/>
      <c r="HGL40" s="63"/>
      <c r="HGM40" s="63"/>
      <c r="HGN40" s="63"/>
      <c r="HGO40" s="63"/>
      <c r="HGP40" s="63"/>
      <c r="HGQ40" s="63"/>
      <c r="HGR40" s="63"/>
      <c r="HGS40" s="63"/>
      <c r="HGT40" s="63"/>
      <c r="HGU40" s="63"/>
      <c r="HGV40" s="63"/>
      <c r="HGW40" s="63"/>
      <c r="HGX40" s="63"/>
      <c r="HGY40" s="63"/>
      <c r="HGZ40" s="63"/>
      <c r="HHA40" s="63"/>
      <c r="HHB40" s="63"/>
      <c r="HHC40" s="63"/>
      <c r="HHD40" s="63"/>
      <c r="HHE40" s="63"/>
      <c r="HHF40" s="63"/>
      <c r="HHG40" s="63"/>
      <c r="HHH40" s="63"/>
      <c r="HHI40" s="63"/>
      <c r="HHJ40" s="63"/>
      <c r="HHK40" s="63"/>
      <c r="HHL40" s="63"/>
      <c r="HHM40" s="63"/>
      <c r="HHN40" s="63"/>
      <c r="HHO40" s="63"/>
      <c r="HHP40" s="63"/>
      <c r="HHQ40" s="63"/>
      <c r="HHR40" s="63"/>
      <c r="HHS40" s="63"/>
      <c r="HHT40" s="63"/>
      <c r="HHU40" s="63"/>
      <c r="HHV40" s="63"/>
      <c r="HHW40" s="63"/>
      <c r="HHX40" s="63"/>
      <c r="HHY40" s="63"/>
      <c r="HHZ40" s="63"/>
      <c r="HIA40" s="63"/>
      <c r="HIB40" s="63"/>
      <c r="HIC40" s="63"/>
      <c r="HID40" s="63"/>
      <c r="HIE40" s="63"/>
      <c r="HIF40" s="63"/>
      <c r="HIG40" s="63"/>
      <c r="HIH40" s="63"/>
      <c r="HII40" s="63"/>
      <c r="HIJ40" s="63"/>
      <c r="HIK40" s="63"/>
      <c r="HIL40" s="63"/>
      <c r="HIM40" s="63"/>
      <c r="HIN40" s="63"/>
      <c r="HIO40" s="63"/>
      <c r="HIP40" s="63"/>
      <c r="HIQ40" s="63"/>
      <c r="HIR40" s="63"/>
      <c r="HIS40" s="63"/>
      <c r="HIT40" s="63"/>
      <c r="HIU40" s="63"/>
      <c r="HIV40" s="63"/>
      <c r="HIW40" s="63"/>
      <c r="HIX40" s="63"/>
      <c r="HIY40" s="63"/>
      <c r="HIZ40" s="63"/>
      <c r="HJA40" s="63"/>
      <c r="HJB40" s="63"/>
      <c r="HJC40" s="63"/>
      <c r="HJD40" s="63"/>
      <c r="HJE40" s="63"/>
      <c r="HJF40" s="63"/>
      <c r="HJG40" s="63"/>
      <c r="HJH40" s="63"/>
      <c r="HJI40" s="63"/>
      <c r="HJJ40" s="63"/>
      <c r="HJK40" s="63"/>
      <c r="HJL40" s="63"/>
      <c r="HJM40" s="63"/>
      <c r="HJN40" s="63"/>
      <c r="HJO40" s="63"/>
      <c r="HJP40" s="63"/>
      <c r="HJQ40" s="63"/>
      <c r="HJR40" s="63"/>
      <c r="HJS40" s="63"/>
      <c r="HJT40" s="63"/>
      <c r="HJU40" s="63"/>
      <c r="HJV40" s="63"/>
      <c r="HJW40" s="63"/>
      <c r="HJX40" s="63"/>
      <c r="HJY40" s="63"/>
      <c r="HJZ40" s="63"/>
      <c r="HKA40" s="63"/>
      <c r="HKB40" s="63"/>
      <c r="HKC40" s="63"/>
      <c r="HKD40" s="63"/>
      <c r="HKE40" s="63"/>
      <c r="HKF40" s="63"/>
      <c r="HKG40" s="63"/>
      <c r="HKH40" s="63"/>
      <c r="HKI40" s="63"/>
      <c r="HKJ40" s="63"/>
      <c r="HKK40" s="63"/>
      <c r="HKL40" s="63"/>
      <c r="HKM40" s="63"/>
      <c r="HKN40" s="63"/>
      <c r="HKO40" s="63"/>
      <c r="HKP40" s="63"/>
      <c r="HKQ40" s="63"/>
      <c r="HKR40" s="63"/>
      <c r="HKS40" s="63"/>
      <c r="HKT40" s="63"/>
      <c r="HKU40" s="63"/>
      <c r="HKV40" s="63"/>
      <c r="HKW40" s="63"/>
      <c r="HKX40" s="63"/>
      <c r="HKY40" s="63"/>
      <c r="HKZ40" s="63"/>
      <c r="HLA40" s="63"/>
      <c r="HLB40" s="63"/>
      <c r="HLC40" s="63"/>
      <c r="HLD40" s="63"/>
      <c r="HLE40" s="63"/>
      <c r="HLF40" s="63"/>
      <c r="HLG40" s="63"/>
      <c r="HLH40" s="63"/>
      <c r="HLI40" s="63"/>
      <c r="HLJ40" s="63"/>
      <c r="HLK40" s="63"/>
      <c r="HLL40" s="63"/>
      <c r="HLM40" s="63"/>
      <c r="HLN40" s="63"/>
      <c r="HLO40" s="63"/>
      <c r="HLP40" s="63"/>
      <c r="HLQ40" s="63"/>
      <c r="HLR40" s="63"/>
      <c r="HLS40" s="63"/>
      <c r="HLT40" s="63"/>
      <c r="HLU40" s="63"/>
      <c r="HLV40" s="63"/>
      <c r="HLW40" s="63"/>
      <c r="HLX40" s="63"/>
      <c r="HLY40" s="63"/>
      <c r="HLZ40" s="63"/>
      <c r="HMA40" s="63"/>
      <c r="HMB40" s="63"/>
      <c r="HMC40" s="63"/>
      <c r="HMD40" s="63"/>
      <c r="HME40" s="63"/>
      <c r="HMF40" s="63"/>
      <c r="HMG40" s="63"/>
      <c r="HMH40" s="63"/>
      <c r="HMI40" s="63"/>
      <c r="HMJ40" s="63"/>
      <c r="HMK40" s="63"/>
      <c r="HML40" s="63"/>
      <c r="HMM40" s="63"/>
      <c r="HMN40" s="63"/>
      <c r="HMO40" s="63"/>
      <c r="HMP40" s="63"/>
      <c r="HMQ40" s="63"/>
      <c r="HMR40" s="63"/>
      <c r="HMS40" s="63"/>
      <c r="HMT40" s="63"/>
      <c r="HMU40" s="63"/>
      <c r="HMV40" s="63"/>
      <c r="HMW40" s="63"/>
      <c r="HMX40" s="63"/>
      <c r="HMY40" s="63"/>
      <c r="HMZ40" s="63"/>
      <c r="HNA40" s="63"/>
      <c r="HNB40" s="63"/>
      <c r="HNC40" s="63"/>
      <c r="HND40" s="63"/>
      <c r="HNE40" s="63"/>
      <c r="HNF40" s="63"/>
      <c r="HNG40" s="63"/>
      <c r="HNH40" s="63"/>
      <c r="HNI40" s="63"/>
      <c r="HNJ40" s="63"/>
      <c r="HNK40" s="63"/>
      <c r="HNL40" s="63"/>
      <c r="HNM40" s="63"/>
      <c r="HNN40" s="63"/>
      <c r="HNO40" s="63"/>
      <c r="HNP40" s="63"/>
      <c r="HNQ40" s="63"/>
      <c r="HNR40" s="63"/>
      <c r="HNS40" s="63"/>
      <c r="HNT40" s="63"/>
      <c r="HNU40" s="63"/>
      <c r="HNV40" s="63"/>
      <c r="HNW40" s="63"/>
      <c r="HNX40" s="63"/>
      <c r="HNY40" s="63"/>
      <c r="HNZ40" s="63"/>
      <c r="HOA40" s="63"/>
      <c r="HOB40" s="63"/>
      <c r="HOC40" s="63"/>
      <c r="HOD40" s="63"/>
      <c r="HOE40" s="63"/>
      <c r="HOF40" s="63"/>
      <c r="HOG40" s="63"/>
      <c r="HOH40" s="63"/>
      <c r="HOI40" s="63"/>
      <c r="HOJ40" s="63"/>
      <c r="HOK40" s="63"/>
      <c r="HOL40" s="63"/>
      <c r="HOM40" s="63"/>
      <c r="HON40" s="63"/>
      <c r="HOO40" s="63"/>
      <c r="HOP40" s="63"/>
      <c r="HOQ40" s="63"/>
      <c r="HOR40" s="63"/>
      <c r="HOS40" s="63"/>
      <c r="HOT40" s="63"/>
      <c r="HOU40" s="63"/>
      <c r="HOV40" s="63"/>
      <c r="HOW40" s="63"/>
      <c r="HOX40" s="63"/>
      <c r="HOY40" s="63"/>
      <c r="HOZ40" s="63"/>
      <c r="HPA40" s="63"/>
      <c r="HPB40" s="63"/>
      <c r="HPC40" s="63"/>
      <c r="HPD40" s="63"/>
      <c r="HPE40" s="63"/>
      <c r="HPF40" s="63"/>
      <c r="HPG40" s="63"/>
      <c r="HPH40" s="63"/>
      <c r="HPI40" s="63"/>
      <c r="HPJ40" s="63"/>
      <c r="HPK40" s="63"/>
      <c r="HPL40" s="63"/>
      <c r="HPM40" s="63"/>
      <c r="HPN40" s="63"/>
      <c r="HPO40" s="63"/>
      <c r="HPP40" s="63"/>
      <c r="HPQ40" s="63"/>
      <c r="HPR40" s="63"/>
      <c r="HPS40" s="63"/>
      <c r="HPT40" s="63"/>
      <c r="HPU40" s="63"/>
      <c r="HPV40" s="63"/>
      <c r="HPW40" s="63"/>
      <c r="HPX40" s="63"/>
      <c r="HPY40" s="63"/>
      <c r="HPZ40" s="63"/>
      <c r="HQA40" s="63"/>
      <c r="HQB40" s="63"/>
      <c r="HQC40" s="63"/>
      <c r="HQD40" s="63"/>
      <c r="HQE40" s="63"/>
      <c r="HQF40" s="63"/>
      <c r="HQG40" s="63"/>
      <c r="HQH40" s="63"/>
      <c r="HQI40" s="63"/>
      <c r="HQJ40" s="63"/>
      <c r="HQK40" s="63"/>
      <c r="HQL40" s="63"/>
      <c r="HQM40" s="63"/>
      <c r="HQN40" s="63"/>
      <c r="HQO40" s="63"/>
      <c r="HQP40" s="63"/>
      <c r="HQQ40" s="63"/>
      <c r="HQR40" s="63"/>
      <c r="HQS40" s="63"/>
      <c r="HQT40" s="63"/>
      <c r="HQU40" s="63"/>
      <c r="HQV40" s="63"/>
      <c r="HQW40" s="63"/>
      <c r="HQX40" s="63"/>
      <c r="HQY40" s="63"/>
      <c r="HQZ40" s="63"/>
      <c r="HRA40" s="63"/>
      <c r="HRB40" s="63"/>
      <c r="HRC40" s="63"/>
      <c r="HRD40" s="63"/>
      <c r="HRE40" s="63"/>
      <c r="HRF40" s="63"/>
      <c r="HRG40" s="63"/>
      <c r="HRH40" s="63"/>
      <c r="HRI40" s="63"/>
      <c r="HRJ40" s="63"/>
      <c r="HRK40" s="63"/>
      <c r="HRL40" s="63"/>
      <c r="HRM40" s="63"/>
      <c r="HRN40" s="63"/>
      <c r="HRO40" s="63"/>
      <c r="HRP40" s="63"/>
      <c r="HRQ40" s="63"/>
      <c r="HRR40" s="63"/>
      <c r="HRS40" s="63"/>
      <c r="HRT40" s="63"/>
      <c r="HRU40" s="63"/>
      <c r="HRV40" s="63"/>
      <c r="HRW40" s="63"/>
      <c r="HRX40" s="63"/>
      <c r="HRY40" s="63"/>
      <c r="HRZ40" s="63"/>
      <c r="HSA40" s="63"/>
      <c r="HSB40" s="63"/>
      <c r="HSC40" s="63"/>
      <c r="HSD40" s="63"/>
      <c r="HSE40" s="63"/>
      <c r="HSF40" s="63"/>
      <c r="HSG40" s="63"/>
      <c r="HSH40" s="63"/>
      <c r="HSI40" s="63"/>
      <c r="HSJ40" s="63"/>
      <c r="HSK40" s="63"/>
      <c r="HSL40" s="63"/>
      <c r="HSM40" s="63"/>
      <c r="HSN40" s="63"/>
      <c r="HSO40" s="63"/>
      <c r="HSP40" s="63"/>
      <c r="HSQ40" s="63"/>
      <c r="HSR40" s="63"/>
      <c r="HSS40" s="63"/>
      <c r="HST40" s="63"/>
      <c r="HSU40" s="63"/>
      <c r="HSV40" s="63"/>
      <c r="HSW40" s="63"/>
      <c r="HSX40" s="63"/>
      <c r="HSY40" s="63"/>
      <c r="HSZ40" s="63"/>
      <c r="HTA40" s="63"/>
      <c r="HTB40" s="63"/>
      <c r="HTC40" s="63"/>
      <c r="HTD40" s="63"/>
      <c r="HTE40" s="63"/>
      <c r="HTF40" s="63"/>
      <c r="HTG40" s="63"/>
      <c r="HTH40" s="63"/>
      <c r="HTI40" s="63"/>
      <c r="HTJ40" s="63"/>
      <c r="HTK40" s="63"/>
      <c r="HTL40" s="63"/>
      <c r="HTM40" s="63"/>
      <c r="HTN40" s="63"/>
      <c r="HTO40" s="63"/>
      <c r="HTP40" s="63"/>
      <c r="HTQ40" s="63"/>
      <c r="HTR40" s="63"/>
      <c r="HTS40" s="63"/>
      <c r="HTT40" s="63"/>
      <c r="HTU40" s="63"/>
      <c r="HTV40" s="63"/>
      <c r="HTW40" s="63"/>
      <c r="HTX40" s="63"/>
      <c r="HTY40" s="63"/>
      <c r="HTZ40" s="63"/>
      <c r="HUA40" s="63"/>
      <c r="HUB40" s="63"/>
      <c r="HUC40" s="63"/>
      <c r="HUD40" s="63"/>
      <c r="HUE40" s="63"/>
      <c r="HUF40" s="63"/>
      <c r="HUG40" s="63"/>
      <c r="HUH40" s="63"/>
      <c r="HUI40" s="63"/>
      <c r="HUJ40" s="63"/>
      <c r="HUK40" s="63"/>
      <c r="HUL40" s="63"/>
      <c r="HUM40" s="63"/>
      <c r="HUN40" s="63"/>
      <c r="HUO40" s="63"/>
      <c r="HUP40" s="63"/>
      <c r="HUQ40" s="63"/>
      <c r="HUR40" s="63"/>
      <c r="HUS40" s="63"/>
      <c r="HUT40" s="63"/>
      <c r="HUU40" s="63"/>
      <c r="HUV40" s="63"/>
      <c r="HUW40" s="63"/>
      <c r="HUX40" s="63"/>
      <c r="HUY40" s="63"/>
      <c r="HUZ40" s="63"/>
      <c r="HVA40" s="63"/>
      <c r="HVB40" s="63"/>
      <c r="HVC40" s="63"/>
      <c r="HVD40" s="63"/>
      <c r="HVE40" s="63"/>
      <c r="HVF40" s="63"/>
      <c r="HVG40" s="63"/>
      <c r="HVH40" s="63"/>
      <c r="HVI40" s="63"/>
      <c r="HVJ40" s="63"/>
      <c r="HVK40" s="63"/>
      <c r="HVL40" s="63"/>
      <c r="HVM40" s="63"/>
      <c r="HVN40" s="63"/>
      <c r="HVO40" s="63"/>
      <c r="HVP40" s="63"/>
      <c r="HVQ40" s="63"/>
      <c r="HVR40" s="63"/>
      <c r="HVS40" s="63"/>
      <c r="HVT40" s="63"/>
      <c r="HVU40" s="63"/>
      <c r="HVV40" s="63"/>
      <c r="HVW40" s="63"/>
      <c r="HVX40" s="63"/>
      <c r="HVY40" s="63"/>
      <c r="HVZ40" s="63"/>
      <c r="HWA40" s="63"/>
      <c r="HWB40" s="63"/>
      <c r="HWC40" s="63"/>
      <c r="HWD40" s="63"/>
      <c r="HWE40" s="63"/>
      <c r="HWF40" s="63"/>
      <c r="HWG40" s="63"/>
      <c r="HWH40" s="63"/>
      <c r="HWI40" s="63"/>
      <c r="HWJ40" s="63"/>
      <c r="HWK40" s="63"/>
      <c r="HWL40" s="63"/>
      <c r="HWM40" s="63"/>
      <c r="HWN40" s="63"/>
      <c r="HWO40" s="63"/>
      <c r="HWP40" s="63"/>
      <c r="HWQ40" s="63"/>
      <c r="HWR40" s="63"/>
      <c r="HWS40" s="63"/>
      <c r="HWT40" s="63"/>
      <c r="HWU40" s="63"/>
      <c r="HWV40" s="63"/>
      <c r="HWW40" s="63"/>
      <c r="HWX40" s="63"/>
      <c r="HWY40" s="63"/>
      <c r="HWZ40" s="63"/>
      <c r="HXA40" s="63"/>
      <c r="HXB40" s="63"/>
      <c r="HXC40" s="63"/>
      <c r="HXD40" s="63"/>
      <c r="HXE40" s="63"/>
      <c r="HXF40" s="63"/>
      <c r="HXG40" s="63"/>
      <c r="HXH40" s="63"/>
      <c r="HXI40" s="63"/>
      <c r="HXJ40" s="63"/>
      <c r="HXK40" s="63"/>
      <c r="HXL40" s="63"/>
      <c r="HXM40" s="63"/>
      <c r="HXN40" s="63"/>
      <c r="HXO40" s="63"/>
      <c r="HXP40" s="63"/>
      <c r="HXQ40" s="63"/>
      <c r="HXR40" s="63"/>
      <c r="HXS40" s="63"/>
      <c r="HXT40" s="63"/>
      <c r="HXU40" s="63"/>
      <c r="HXV40" s="63"/>
      <c r="HXW40" s="63"/>
      <c r="HXX40" s="63"/>
      <c r="HXY40" s="63"/>
      <c r="HXZ40" s="63"/>
      <c r="HYA40" s="63"/>
      <c r="HYB40" s="63"/>
      <c r="HYC40" s="63"/>
      <c r="HYD40" s="63"/>
      <c r="HYE40" s="63"/>
      <c r="HYF40" s="63"/>
      <c r="HYG40" s="63"/>
      <c r="HYH40" s="63"/>
      <c r="HYI40" s="63"/>
      <c r="HYJ40" s="63"/>
      <c r="HYK40" s="63"/>
      <c r="HYL40" s="63"/>
      <c r="HYM40" s="63"/>
      <c r="HYN40" s="63"/>
      <c r="HYO40" s="63"/>
      <c r="HYP40" s="63"/>
      <c r="HYQ40" s="63"/>
      <c r="HYR40" s="63"/>
      <c r="HYS40" s="63"/>
      <c r="HYT40" s="63"/>
      <c r="HYU40" s="63"/>
      <c r="HYV40" s="63"/>
      <c r="HYW40" s="63"/>
      <c r="HYX40" s="63"/>
      <c r="HYY40" s="63"/>
      <c r="HYZ40" s="63"/>
      <c r="HZA40" s="63"/>
      <c r="HZB40" s="63"/>
      <c r="HZC40" s="63"/>
      <c r="HZD40" s="63"/>
      <c r="HZE40" s="63"/>
      <c r="HZF40" s="63"/>
      <c r="HZG40" s="63"/>
      <c r="HZH40" s="63"/>
      <c r="HZI40" s="63"/>
      <c r="HZJ40" s="63"/>
      <c r="HZK40" s="63"/>
      <c r="HZL40" s="63"/>
      <c r="HZM40" s="63"/>
      <c r="HZN40" s="63"/>
      <c r="HZO40" s="63"/>
      <c r="HZP40" s="63"/>
      <c r="HZQ40" s="63"/>
      <c r="HZR40" s="63"/>
      <c r="HZS40" s="63"/>
      <c r="HZT40" s="63"/>
      <c r="HZU40" s="63"/>
      <c r="HZV40" s="63"/>
      <c r="HZW40" s="63"/>
      <c r="HZX40" s="63"/>
      <c r="HZY40" s="63"/>
      <c r="HZZ40" s="63"/>
      <c r="IAA40" s="63"/>
      <c r="IAB40" s="63"/>
      <c r="IAC40" s="63"/>
      <c r="IAD40" s="63"/>
      <c r="IAE40" s="63"/>
      <c r="IAF40" s="63"/>
      <c r="IAG40" s="63"/>
      <c r="IAH40" s="63"/>
      <c r="IAI40" s="63"/>
      <c r="IAJ40" s="63"/>
      <c r="IAK40" s="63"/>
      <c r="IAL40" s="63"/>
      <c r="IAM40" s="63"/>
      <c r="IAN40" s="63"/>
      <c r="IAO40" s="63"/>
      <c r="IAP40" s="63"/>
      <c r="IAQ40" s="63"/>
      <c r="IAR40" s="63"/>
      <c r="IAS40" s="63"/>
      <c r="IAT40" s="63"/>
      <c r="IAU40" s="63"/>
      <c r="IAV40" s="63"/>
      <c r="IAW40" s="63"/>
      <c r="IAX40" s="63"/>
      <c r="IAY40" s="63"/>
      <c r="IAZ40" s="63"/>
      <c r="IBA40" s="63"/>
      <c r="IBB40" s="63"/>
      <c r="IBC40" s="63"/>
      <c r="IBD40" s="63"/>
      <c r="IBE40" s="63"/>
      <c r="IBF40" s="63"/>
      <c r="IBG40" s="63"/>
      <c r="IBH40" s="63"/>
      <c r="IBI40" s="63"/>
      <c r="IBJ40" s="63"/>
      <c r="IBK40" s="63"/>
      <c r="IBL40" s="63"/>
      <c r="IBM40" s="63"/>
      <c r="IBN40" s="63"/>
      <c r="IBO40" s="63"/>
      <c r="IBP40" s="63"/>
      <c r="IBQ40" s="63"/>
      <c r="IBR40" s="63"/>
      <c r="IBS40" s="63"/>
      <c r="IBT40" s="63"/>
      <c r="IBU40" s="63"/>
      <c r="IBV40" s="63"/>
      <c r="IBW40" s="63"/>
      <c r="IBX40" s="63"/>
      <c r="IBY40" s="63"/>
      <c r="IBZ40" s="63"/>
      <c r="ICA40" s="63"/>
      <c r="ICB40" s="63"/>
      <c r="ICC40" s="63"/>
      <c r="ICD40" s="63"/>
      <c r="ICE40" s="63"/>
      <c r="ICF40" s="63"/>
      <c r="ICG40" s="63"/>
      <c r="ICH40" s="63"/>
      <c r="ICI40" s="63"/>
      <c r="ICJ40" s="63"/>
      <c r="ICK40" s="63"/>
      <c r="ICL40" s="63"/>
      <c r="ICM40" s="63"/>
      <c r="ICN40" s="63"/>
      <c r="ICO40" s="63"/>
      <c r="ICP40" s="63"/>
      <c r="ICQ40" s="63"/>
      <c r="ICR40" s="63"/>
      <c r="ICS40" s="63"/>
      <c r="ICT40" s="63"/>
      <c r="ICU40" s="63"/>
      <c r="ICV40" s="63"/>
      <c r="ICW40" s="63"/>
      <c r="ICX40" s="63"/>
      <c r="ICY40" s="63"/>
      <c r="ICZ40" s="63"/>
      <c r="IDA40" s="63"/>
      <c r="IDB40" s="63"/>
      <c r="IDC40" s="63"/>
      <c r="IDD40" s="63"/>
      <c r="IDE40" s="63"/>
      <c r="IDF40" s="63"/>
      <c r="IDG40" s="63"/>
      <c r="IDH40" s="63"/>
      <c r="IDI40" s="63"/>
      <c r="IDJ40" s="63"/>
      <c r="IDK40" s="63"/>
      <c r="IDL40" s="63"/>
      <c r="IDM40" s="63"/>
      <c r="IDN40" s="63"/>
      <c r="IDO40" s="63"/>
      <c r="IDP40" s="63"/>
      <c r="IDQ40" s="63"/>
      <c r="IDR40" s="63"/>
      <c r="IDS40" s="63"/>
      <c r="IDT40" s="63"/>
      <c r="IDU40" s="63"/>
      <c r="IDV40" s="63"/>
      <c r="IDW40" s="63"/>
      <c r="IDX40" s="63"/>
      <c r="IDY40" s="63"/>
      <c r="IDZ40" s="63"/>
      <c r="IEA40" s="63"/>
      <c r="IEB40" s="63"/>
      <c r="IEC40" s="63"/>
      <c r="IED40" s="63"/>
      <c r="IEE40" s="63"/>
      <c r="IEF40" s="63"/>
      <c r="IEG40" s="63"/>
      <c r="IEH40" s="63"/>
      <c r="IEI40" s="63"/>
      <c r="IEJ40" s="63"/>
      <c r="IEK40" s="63"/>
      <c r="IEL40" s="63"/>
      <c r="IEM40" s="63"/>
      <c r="IEN40" s="63"/>
      <c r="IEO40" s="63"/>
      <c r="IEP40" s="63"/>
      <c r="IEQ40" s="63"/>
      <c r="IER40" s="63"/>
      <c r="IES40" s="63"/>
      <c r="IET40" s="63"/>
      <c r="IEU40" s="63"/>
      <c r="IEV40" s="63"/>
      <c r="IEW40" s="63"/>
      <c r="IEX40" s="63"/>
      <c r="IEY40" s="63"/>
      <c r="IEZ40" s="63"/>
      <c r="IFA40" s="63"/>
      <c r="IFB40" s="63"/>
      <c r="IFC40" s="63"/>
      <c r="IFD40" s="63"/>
      <c r="IFE40" s="63"/>
      <c r="IFF40" s="63"/>
      <c r="IFG40" s="63"/>
      <c r="IFH40" s="63"/>
      <c r="IFI40" s="63"/>
      <c r="IFJ40" s="63"/>
      <c r="IFK40" s="63"/>
      <c r="IFL40" s="63"/>
      <c r="IFM40" s="63"/>
      <c r="IFN40" s="63"/>
      <c r="IFO40" s="63"/>
      <c r="IFP40" s="63"/>
      <c r="IFQ40" s="63"/>
      <c r="IFR40" s="63"/>
      <c r="IFS40" s="63"/>
      <c r="IFT40" s="63"/>
      <c r="IFU40" s="63"/>
      <c r="IFV40" s="63"/>
      <c r="IFW40" s="63"/>
      <c r="IFX40" s="63"/>
      <c r="IFY40" s="63"/>
      <c r="IFZ40" s="63"/>
      <c r="IGA40" s="63"/>
      <c r="IGB40" s="63"/>
      <c r="IGC40" s="63"/>
      <c r="IGD40" s="63"/>
      <c r="IGE40" s="63"/>
      <c r="IGF40" s="63"/>
      <c r="IGG40" s="63"/>
      <c r="IGH40" s="63"/>
      <c r="IGI40" s="63"/>
      <c r="IGJ40" s="63"/>
      <c r="IGK40" s="63"/>
      <c r="IGL40" s="63"/>
      <c r="IGM40" s="63"/>
      <c r="IGN40" s="63"/>
      <c r="IGO40" s="63"/>
      <c r="IGP40" s="63"/>
      <c r="IGQ40" s="63"/>
      <c r="IGR40" s="63"/>
      <c r="IGS40" s="63"/>
      <c r="IGT40" s="63"/>
      <c r="IGU40" s="63"/>
      <c r="IGV40" s="63"/>
      <c r="IGW40" s="63"/>
      <c r="IGX40" s="63"/>
      <c r="IGY40" s="63"/>
      <c r="IGZ40" s="63"/>
      <c r="IHA40" s="63"/>
      <c r="IHB40" s="63"/>
      <c r="IHC40" s="63"/>
      <c r="IHD40" s="63"/>
      <c r="IHE40" s="63"/>
      <c r="IHF40" s="63"/>
      <c r="IHG40" s="63"/>
      <c r="IHH40" s="63"/>
      <c r="IHI40" s="63"/>
      <c r="IHJ40" s="63"/>
      <c r="IHK40" s="63"/>
      <c r="IHL40" s="63"/>
      <c r="IHM40" s="63"/>
      <c r="IHN40" s="63"/>
      <c r="IHO40" s="63"/>
      <c r="IHP40" s="63"/>
      <c r="IHQ40" s="63"/>
      <c r="IHR40" s="63"/>
      <c r="IHS40" s="63"/>
      <c r="IHT40" s="63"/>
      <c r="IHU40" s="63"/>
      <c r="IHV40" s="63"/>
      <c r="IHW40" s="63"/>
      <c r="IHX40" s="63"/>
      <c r="IHY40" s="63"/>
      <c r="IHZ40" s="63"/>
      <c r="IIA40" s="63"/>
      <c r="IIB40" s="63"/>
      <c r="IIC40" s="63"/>
      <c r="IID40" s="63"/>
      <c r="IIE40" s="63"/>
      <c r="IIF40" s="63"/>
      <c r="IIG40" s="63"/>
      <c r="IIH40" s="63"/>
      <c r="III40" s="63"/>
      <c r="IIJ40" s="63"/>
      <c r="IIK40" s="63"/>
      <c r="IIL40" s="63"/>
      <c r="IIM40" s="63"/>
      <c r="IIN40" s="63"/>
      <c r="IIO40" s="63"/>
      <c r="IIP40" s="63"/>
      <c r="IIQ40" s="63"/>
      <c r="IIR40" s="63"/>
      <c r="IIS40" s="63"/>
      <c r="IIT40" s="63"/>
      <c r="IIU40" s="63"/>
      <c r="IIV40" s="63"/>
      <c r="IIW40" s="63"/>
      <c r="IIX40" s="63"/>
      <c r="IIY40" s="63"/>
      <c r="IIZ40" s="63"/>
      <c r="IJA40" s="63"/>
      <c r="IJB40" s="63"/>
      <c r="IJC40" s="63"/>
      <c r="IJD40" s="63"/>
      <c r="IJE40" s="63"/>
      <c r="IJF40" s="63"/>
      <c r="IJG40" s="63"/>
      <c r="IJH40" s="63"/>
      <c r="IJI40" s="63"/>
      <c r="IJJ40" s="63"/>
      <c r="IJK40" s="63"/>
      <c r="IJL40" s="63"/>
      <c r="IJM40" s="63"/>
      <c r="IJN40" s="63"/>
      <c r="IJO40" s="63"/>
      <c r="IJP40" s="63"/>
      <c r="IJQ40" s="63"/>
      <c r="IJR40" s="63"/>
      <c r="IJS40" s="63"/>
      <c r="IJT40" s="63"/>
      <c r="IJU40" s="63"/>
      <c r="IJV40" s="63"/>
      <c r="IJW40" s="63"/>
      <c r="IJX40" s="63"/>
      <c r="IJY40" s="63"/>
      <c r="IJZ40" s="63"/>
      <c r="IKA40" s="63"/>
      <c r="IKB40" s="63"/>
      <c r="IKC40" s="63"/>
      <c r="IKD40" s="63"/>
      <c r="IKE40" s="63"/>
      <c r="IKF40" s="63"/>
      <c r="IKG40" s="63"/>
      <c r="IKH40" s="63"/>
      <c r="IKI40" s="63"/>
      <c r="IKJ40" s="63"/>
      <c r="IKK40" s="63"/>
      <c r="IKL40" s="63"/>
      <c r="IKM40" s="63"/>
      <c r="IKN40" s="63"/>
      <c r="IKO40" s="63"/>
      <c r="IKP40" s="63"/>
      <c r="IKQ40" s="63"/>
      <c r="IKR40" s="63"/>
      <c r="IKS40" s="63"/>
      <c r="IKT40" s="63"/>
      <c r="IKU40" s="63"/>
      <c r="IKV40" s="63"/>
      <c r="IKW40" s="63"/>
      <c r="IKX40" s="63"/>
      <c r="IKY40" s="63"/>
      <c r="IKZ40" s="63"/>
      <c r="ILA40" s="63"/>
      <c r="ILB40" s="63"/>
      <c r="ILC40" s="63"/>
      <c r="ILD40" s="63"/>
      <c r="ILE40" s="63"/>
      <c r="ILF40" s="63"/>
      <c r="ILG40" s="63"/>
      <c r="ILH40" s="63"/>
      <c r="ILI40" s="63"/>
      <c r="ILJ40" s="63"/>
      <c r="ILK40" s="63"/>
      <c r="ILL40" s="63"/>
      <c r="ILM40" s="63"/>
      <c r="ILN40" s="63"/>
      <c r="ILO40" s="63"/>
      <c r="ILP40" s="63"/>
      <c r="ILQ40" s="63"/>
      <c r="ILR40" s="63"/>
      <c r="ILS40" s="63"/>
      <c r="ILT40" s="63"/>
      <c r="ILU40" s="63"/>
      <c r="ILV40" s="63"/>
      <c r="ILW40" s="63"/>
      <c r="ILX40" s="63"/>
      <c r="ILY40" s="63"/>
      <c r="ILZ40" s="63"/>
      <c r="IMA40" s="63"/>
      <c r="IMB40" s="63"/>
      <c r="IMC40" s="63"/>
      <c r="IMD40" s="63"/>
      <c r="IME40" s="63"/>
      <c r="IMF40" s="63"/>
      <c r="IMG40" s="63"/>
      <c r="IMH40" s="63"/>
      <c r="IMI40" s="63"/>
      <c r="IMJ40" s="63"/>
      <c r="IMK40" s="63"/>
      <c r="IML40" s="63"/>
      <c r="IMM40" s="63"/>
      <c r="IMN40" s="63"/>
      <c r="IMO40" s="63"/>
      <c r="IMP40" s="63"/>
      <c r="IMQ40" s="63"/>
      <c r="IMR40" s="63"/>
      <c r="IMS40" s="63"/>
      <c r="IMT40" s="63"/>
      <c r="IMU40" s="63"/>
      <c r="IMV40" s="63"/>
      <c r="IMW40" s="63"/>
      <c r="IMX40" s="63"/>
      <c r="IMY40" s="63"/>
      <c r="IMZ40" s="63"/>
      <c r="INA40" s="63"/>
      <c r="INB40" s="63"/>
      <c r="INC40" s="63"/>
      <c r="IND40" s="63"/>
      <c r="INE40" s="63"/>
      <c r="INF40" s="63"/>
      <c r="ING40" s="63"/>
      <c r="INH40" s="63"/>
      <c r="INI40" s="63"/>
      <c r="INJ40" s="63"/>
      <c r="INK40" s="63"/>
      <c r="INL40" s="63"/>
      <c r="INM40" s="63"/>
      <c r="INN40" s="63"/>
      <c r="INO40" s="63"/>
      <c r="INP40" s="63"/>
      <c r="INQ40" s="63"/>
      <c r="INR40" s="63"/>
      <c r="INS40" s="63"/>
      <c r="INT40" s="63"/>
      <c r="INU40" s="63"/>
      <c r="INV40" s="63"/>
      <c r="INW40" s="63"/>
      <c r="INX40" s="63"/>
      <c r="INY40" s="63"/>
      <c r="INZ40" s="63"/>
      <c r="IOA40" s="63"/>
      <c r="IOB40" s="63"/>
      <c r="IOC40" s="63"/>
      <c r="IOD40" s="63"/>
      <c r="IOE40" s="63"/>
      <c r="IOF40" s="63"/>
      <c r="IOG40" s="63"/>
      <c r="IOH40" s="63"/>
      <c r="IOI40" s="63"/>
      <c r="IOJ40" s="63"/>
      <c r="IOK40" s="63"/>
      <c r="IOL40" s="63"/>
      <c r="IOM40" s="63"/>
      <c r="ION40" s="63"/>
      <c r="IOO40" s="63"/>
      <c r="IOP40" s="63"/>
      <c r="IOQ40" s="63"/>
      <c r="IOR40" s="63"/>
      <c r="IOS40" s="63"/>
      <c r="IOT40" s="63"/>
      <c r="IOU40" s="63"/>
      <c r="IOV40" s="63"/>
      <c r="IOW40" s="63"/>
      <c r="IOX40" s="63"/>
      <c r="IOY40" s="63"/>
      <c r="IOZ40" s="63"/>
      <c r="IPA40" s="63"/>
      <c r="IPB40" s="63"/>
      <c r="IPC40" s="63"/>
      <c r="IPD40" s="63"/>
      <c r="IPE40" s="63"/>
      <c r="IPF40" s="63"/>
      <c r="IPG40" s="63"/>
      <c r="IPH40" s="63"/>
      <c r="IPI40" s="63"/>
      <c r="IPJ40" s="63"/>
      <c r="IPK40" s="63"/>
      <c r="IPL40" s="63"/>
      <c r="IPM40" s="63"/>
      <c r="IPN40" s="63"/>
      <c r="IPO40" s="63"/>
      <c r="IPP40" s="63"/>
      <c r="IPQ40" s="63"/>
      <c r="IPR40" s="63"/>
      <c r="IPS40" s="63"/>
      <c r="IPT40" s="63"/>
      <c r="IPU40" s="63"/>
      <c r="IPV40" s="63"/>
      <c r="IPW40" s="63"/>
      <c r="IPX40" s="63"/>
      <c r="IPY40" s="63"/>
      <c r="IPZ40" s="63"/>
      <c r="IQA40" s="63"/>
      <c r="IQB40" s="63"/>
      <c r="IQC40" s="63"/>
      <c r="IQD40" s="63"/>
      <c r="IQE40" s="63"/>
      <c r="IQF40" s="63"/>
      <c r="IQG40" s="63"/>
      <c r="IQH40" s="63"/>
      <c r="IQI40" s="63"/>
      <c r="IQJ40" s="63"/>
      <c r="IQK40" s="63"/>
      <c r="IQL40" s="63"/>
      <c r="IQM40" s="63"/>
      <c r="IQN40" s="63"/>
      <c r="IQO40" s="63"/>
      <c r="IQP40" s="63"/>
      <c r="IQQ40" s="63"/>
      <c r="IQR40" s="63"/>
      <c r="IQS40" s="63"/>
      <c r="IQT40" s="63"/>
      <c r="IQU40" s="63"/>
      <c r="IQV40" s="63"/>
      <c r="IQW40" s="63"/>
      <c r="IQX40" s="63"/>
      <c r="IQY40" s="63"/>
      <c r="IQZ40" s="63"/>
      <c r="IRA40" s="63"/>
      <c r="IRB40" s="63"/>
      <c r="IRC40" s="63"/>
      <c r="IRD40" s="63"/>
      <c r="IRE40" s="63"/>
      <c r="IRF40" s="63"/>
      <c r="IRG40" s="63"/>
      <c r="IRH40" s="63"/>
      <c r="IRI40" s="63"/>
      <c r="IRJ40" s="63"/>
      <c r="IRK40" s="63"/>
      <c r="IRL40" s="63"/>
      <c r="IRM40" s="63"/>
      <c r="IRN40" s="63"/>
      <c r="IRO40" s="63"/>
      <c r="IRP40" s="63"/>
      <c r="IRQ40" s="63"/>
      <c r="IRR40" s="63"/>
      <c r="IRS40" s="63"/>
      <c r="IRT40" s="63"/>
      <c r="IRU40" s="63"/>
      <c r="IRV40" s="63"/>
      <c r="IRW40" s="63"/>
      <c r="IRX40" s="63"/>
      <c r="IRY40" s="63"/>
      <c r="IRZ40" s="63"/>
      <c r="ISA40" s="63"/>
      <c r="ISB40" s="63"/>
      <c r="ISC40" s="63"/>
      <c r="ISD40" s="63"/>
      <c r="ISE40" s="63"/>
      <c r="ISF40" s="63"/>
      <c r="ISG40" s="63"/>
      <c r="ISH40" s="63"/>
      <c r="ISI40" s="63"/>
      <c r="ISJ40" s="63"/>
      <c r="ISK40" s="63"/>
      <c r="ISL40" s="63"/>
      <c r="ISM40" s="63"/>
      <c r="ISN40" s="63"/>
      <c r="ISO40" s="63"/>
      <c r="ISP40" s="63"/>
      <c r="ISQ40" s="63"/>
      <c r="ISR40" s="63"/>
      <c r="ISS40" s="63"/>
      <c r="IST40" s="63"/>
      <c r="ISU40" s="63"/>
      <c r="ISV40" s="63"/>
      <c r="ISW40" s="63"/>
      <c r="ISX40" s="63"/>
      <c r="ISY40" s="63"/>
      <c r="ISZ40" s="63"/>
      <c r="ITA40" s="63"/>
      <c r="ITB40" s="63"/>
      <c r="ITC40" s="63"/>
      <c r="ITD40" s="63"/>
      <c r="ITE40" s="63"/>
      <c r="ITF40" s="63"/>
      <c r="ITG40" s="63"/>
      <c r="ITH40" s="63"/>
      <c r="ITI40" s="63"/>
      <c r="ITJ40" s="63"/>
      <c r="ITK40" s="63"/>
      <c r="ITL40" s="63"/>
      <c r="ITM40" s="63"/>
      <c r="ITN40" s="63"/>
      <c r="ITO40" s="63"/>
      <c r="ITP40" s="63"/>
      <c r="ITQ40" s="63"/>
      <c r="ITR40" s="63"/>
      <c r="ITS40" s="63"/>
      <c r="ITT40" s="63"/>
      <c r="ITU40" s="63"/>
      <c r="ITV40" s="63"/>
      <c r="ITW40" s="63"/>
      <c r="ITX40" s="63"/>
      <c r="ITY40" s="63"/>
      <c r="ITZ40" s="63"/>
      <c r="IUA40" s="63"/>
      <c r="IUB40" s="63"/>
      <c r="IUC40" s="63"/>
      <c r="IUD40" s="63"/>
      <c r="IUE40" s="63"/>
      <c r="IUF40" s="63"/>
      <c r="IUG40" s="63"/>
      <c r="IUH40" s="63"/>
      <c r="IUI40" s="63"/>
      <c r="IUJ40" s="63"/>
      <c r="IUK40" s="63"/>
      <c r="IUL40" s="63"/>
      <c r="IUM40" s="63"/>
      <c r="IUN40" s="63"/>
      <c r="IUO40" s="63"/>
      <c r="IUP40" s="63"/>
      <c r="IUQ40" s="63"/>
      <c r="IUR40" s="63"/>
      <c r="IUS40" s="63"/>
      <c r="IUT40" s="63"/>
      <c r="IUU40" s="63"/>
      <c r="IUV40" s="63"/>
      <c r="IUW40" s="63"/>
      <c r="IUX40" s="63"/>
      <c r="IUY40" s="63"/>
      <c r="IUZ40" s="63"/>
      <c r="IVA40" s="63"/>
      <c r="IVB40" s="63"/>
      <c r="IVC40" s="63"/>
      <c r="IVD40" s="63"/>
      <c r="IVE40" s="63"/>
      <c r="IVF40" s="63"/>
      <c r="IVG40" s="63"/>
      <c r="IVH40" s="63"/>
      <c r="IVI40" s="63"/>
      <c r="IVJ40" s="63"/>
      <c r="IVK40" s="63"/>
      <c r="IVL40" s="63"/>
      <c r="IVM40" s="63"/>
      <c r="IVN40" s="63"/>
      <c r="IVO40" s="63"/>
      <c r="IVP40" s="63"/>
      <c r="IVQ40" s="63"/>
      <c r="IVR40" s="63"/>
      <c r="IVS40" s="63"/>
      <c r="IVT40" s="63"/>
      <c r="IVU40" s="63"/>
      <c r="IVV40" s="63"/>
      <c r="IVW40" s="63"/>
      <c r="IVX40" s="63"/>
      <c r="IVY40" s="63"/>
      <c r="IVZ40" s="63"/>
      <c r="IWA40" s="63"/>
      <c r="IWB40" s="63"/>
      <c r="IWC40" s="63"/>
      <c r="IWD40" s="63"/>
      <c r="IWE40" s="63"/>
      <c r="IWF40" s="63"/>
      <c r="IWG40" s="63"/>
      <c r="IWH40" s="63"/>
      <c r="IWI40" s="63"/>
      <c r="IWJ40" s="63"/>
      <c r="IWK40" s="63"/>
      <c r="IWL40" s="63"/>
      <c r="IWM40" s="63"/>
      <c r="IWN40" s="63"/>
      <c r="IWO40" s="63"/>
      <c r="IWP40" s="63"/>
      <c r="IWQ40" s="63"/>
      <c r="IWR40" s="63"/>
      <c r="IWS40" s="63"/>
      <c r="IWT40" s="63"/>
      <c r="IWU40" s="63"/>
      <c r="IWV40" s="63"/>
      <c r="IWW40" s="63"/>
      <c r="IWX40" s="63"/>
      <c r="IWY40" s="63"/>
      <c r="IWZ40" s="63"/>
      <c r="IXA40" s="63"/>
      <c r="IXB40" s="63"/>
      <c r="IXC40" s="63"/>
      <c r="IXD40" s="63"/>
      <c r="IXE40" s="63"/>
      <c r="IXF40" s="63"/>
      <c r="IXG40" s="63"/>
      <c r="IXH40" s="63"/>
      <c r="IXI40" s="63"/>
      <c r="IXJ40" s="63"/>
      <c r="IXK40" s="63"/>
      <c r="IXL40" s="63"/>
      <c r="IXM40" s="63"/>
      <c r="IXN40" s="63"/>
      <c r="IXO40" s="63"/>
      <c r="IXP40" s="63"/>
      <c r="IXQ40" s="63"/>
      <c r="IXR40" s="63"/>
      <c r="IXS40" s="63"/>
      <c r="IXT40" s="63"/>
      <c r="IXU40" s="63"/>
      <c r="IXV40" s="63"/>
      <c r="IXW40" s="63"/>
      <c r="IXX40" s="63"/>
      <c r="IXY40" s="63"/>
      <c r="IXZ40" s="63"/>
      <c r="IYA40" s="63"/>
      <c r="IYB40" s="63"/>
      <c r="IYC40" s="63"/>
      <c r="IYD40" s="63"/>
      <c r="IYE40" s="63"/>
      <c r="IYF40" s="63"/>
      <c r="IYG40" s="63"/>
      <c r="IYH40" s="63"/>
      <c r="IYI40" s="63"/>
      <c r="IYJ40" s="63"/>
      <c r="IYK40" s="63"/>
      <c r="IYL40" s="63"/>
      <c r="IYM40" s="63"/>
      <c r="IYN40" s="63"/>
      <c r="IYO40" s="63"/>
      <c r="IYP40" s="63"/>
      <c r="IYQ40" s="63"/>
      <c r="IYR40" s="63"/>
      <c r="IYS40" s="63"/>
      <c r="IYT40" s="63"/>
      <c r="IYU40" s="63"/>
      <c r="IYV40" s="63"/>
      <c r="IYW40" s="63"/>
      <c r="IYX40" s="63"/>
      <c r="IYY40" s="63"/>
      <c r="IYZ40" s="63"/>
      <c r="IZA40" s="63"/>
      <c r="IZB40" s="63"/>
      <c r="IZC40" s="63"/>
      <c r="IZD40" s="63"/>
      <c r="IZE40" s="63"/>
      <c r="IZF40" s="63"/>
      <c r="IZG40" s="63"/>
      <c r="IZH40" s="63"/>
      <c r="IZI40" s="63"/>
      <c r="IZJ40" s="63"/>
      <c r="IZK40" s="63"/>
      <c r="IZL40" s="63"/>
      <c r="IZM40" s="63"/>
      <c r="IZN40" s="63"/>
      <c r="IZO40" s="63"/>
      <c r="IZP40" s="63"/>
      <c r="IZQ40" s="63"/>
      <c r="IZR40" s="63"/>
      <c r="IZS40" s="63"/>
      <c r="IZT40" s="63"/>
      <c r="IZU40" s="63"/>
      <c r="IZV40" s="63"/>
      <c r="IZW40" s="63"/>
      <c r="IZX40" s="63"/>
      <c r="IZY40" s="63"/>
      <c r="IZZ40" s="63"/>
      <c r="JAA40" s="63"/>
      <c r="JAB40" s="63"/>
      <c r="JAC40" s="63"/>
      <c r="JAD40" s="63"/>
      <c r="JAE40" s="63"/>
      <c r="JAF40" s="63"/>
      <c r="JAG40" s="63"/>
      <c r="JAH40" s="63"/>
      <c r="JAI40" s="63"/>
      <c r="JAJ40" s="63"/>
      <c r="JAK40" s="63"/>
      <c r="JAL40" s="63"/>
      <c r="JAM40" s="63"/>
      <c r="JAN40" s="63"/>
      <c r="JAO40" s="63"/>
      <c r="JAP40" s="63"/>
      <c r="JAQ40" s="63"/>
      <c r="JAR40" s="63"/>
      <c r="JAS40" s="63"/>
      <c r="JAT40" s="63"/>
      <c r="JAU40" s="63"/>
      <c r="JAV40" s="63"/>
      <c r="JAW40" s="63"/>
      <c r="JAX40" s="63"/>
      <c r="JAY40" s="63"/>
      <c r="JAZ40" s="63"/>
      <c r="JBA40" s="63"/>
      <c r="JBB40" s="63"/>
      <c r="JBC40" s="63"/>
      <c r="JBD40" s="63"/>
      <c r="JBE40" s="63"/>
      <c r="JBF40" s="63"/>
      <c r="JBG40" s="63"/>
      <c r="JBH40" s="63"/>
      <c r="JBI40" s="63"/>
      <c r="JBJ40" s="63"/>
      <c r="JBK40" s="63"/>
      <c r="JBL40" s="63"/>
      <c r="JBM40" s="63"/>
      <c r="JBN40" s="63"/>
      <c r="JBO40" s="63"/>
      <c r="JBP40" s="63"/>
      <c r="JBQ40" s="63"/>
      <c r="JBR40" s="63"/>
      <c r="JBS40" s="63"/>
      <c r="JBT40" s="63"/>
      <c r="JBU40" s="63"/>
      <c r="JBV40" s="63"/>
      <c r="JBW40" s="63"/>
      <c r="JBX40" s="63"/>
      <c r="JBY40" s="63"/>
      <c r="JBZ40" s="63"/>
      <c r="JCA40" s="63"/>
      <c r="JCB40" s="63"/>
      <c r="JCC40" s="63"/>
      <c r="JCD40" s="63"/>
      <c r="JCE40" s="63"/>
      <c r="JCF40" s="63"/>
      <c r="JCG40" s="63"/>
      <c r="JCH40" s="63"/>
      <c r="JCI40" s="63"/>
      <c r="JCJ40" s="63"/>
      <c r="JCK40" s="63"/>
      <c r="JCL40" s="63"/>
      <c r="JCM40" s="63"/>
      <c r="JCN40" s="63"/>
      <c r="JCO40" s="63"/>
      <c r="JCP40" s="63"/>
      <c r="JCQ40" s="63"/>
      <c r="JCR40" s="63"/>
      <c r="JCS40" s="63"/>
      <c r="JCT40" s="63"/>
      <c r="JCU40" s="63"/>
      <c r="JCV40" s="63"/>
      <c r="JCW40" s="63"/>
      <c r="JCX40" s="63"/>
      <c r="JCY40" s="63"/>
      <c r="JCZ40" s="63"/>
      <c r="JDA40" s="63"/>
      <c r="JDB40" s="63"/>
      <c r="JDC40" s="63"/>
      <c r="JDD40" s="63"/>
      <c r="JDE40" s="63"/>
      <c r="JDF40" s="63"/>
      <c r="JDG40" s="63"/>
      <c r="JDH40" s="63"/>
      <c r="JDI40" s="63"/>
      <c r="JDJ40" s="63"/>
      <c r="JDK40" s="63"/>
      <c r="JDL40" s="63"/>
      <c r="JDM40" s="63"/>
      <c r="JDN40" s="63"/>
      <c r="JDO40" s="63"/>
      <c r="JDP40" s="63"/>
      <c r="JDQ40" s="63"/>
      <c r="JDR40" s="63"/>
      <c r="JDS40" s="63"/>
      <c r="JDT40" s="63"/>
      <c r="JDU40" s="63"/>
      <c r="JDV40" s="63"/>
      <c r="JDW40" s="63"/>
      <c r="JDX40" s="63"/>
      <c r="JDY40" s="63"/>
      <c r="JDZ40" s="63"/>
      <c r="JEA40" s="63"/>
      <c r="JEB40" s="63"/>
      <c r="JEC40" s="63"/>
      <c r="JED40" s="63"/>
      <c r="JEE40" s="63"/>
      <c r="JEF40" s="63"/>
      <c r="JEG40" s="63"/>
      <c r="JEH40" s="63"/>
      <c r="JEI40" s="63"/>
      <c r="JEJ40" s="63"/>
      <c r="JEK40" s="63"/>
      <c r="JEL40" s="63"/>
      <c r="JEM40" s="63"/>
      <c r="JEN40" s="63"/>
      <c r="JEO40" s="63"/>
      <c r="JEP40" s="63"/>
      <c r="JEQ40" s="63"/>
      <c r="JER40" s="63"/>
      <c r="JES40" s="63"/>
      <c r="JET40" s="63"/>
      <c r="JEU40" s="63"/>
      <c r="JEV40" s="63"/>
      <c r="JEW40" s="63"/>
      <c r="JEX40" s="63"/>
      <c r="JEY40" s="63"/>
      <c r="JEZ40" s="63"/>
      <c r="JFA40" s="63"/>
      <c r="JFB40" s="63"/>
      <c r="JFC40" s="63"/>
      <c r="JFD40" s="63"/>
      <c r="JFE40" s="63"/>
      <c r="JFF40" s="63"/>
      <c r="JFG40" s="63"/>
      <c r="JFH40" s="63"/>
      <c r="JFI40" s="63"/>
      <c r="JFJ40" s="63"/>
      <c r="JFK40" s="63"/>
      <c r="JFL40" s="63"/>
      <c r="JFM40" s="63"/>
      <c r="JFN40" s="63"/>
      <c r="JFO40" s="63"/>
      <c r="JFP40" s="63"/>
      <c r="JFQ40" s="63"/>
      <c r="JFR40" s="63"/>
      <c r="JFS40" s="63"/>
      <c r="JFT40" s="63"/>
      <c r="JFU40" s="63"/>
      <c r="JFV40" s="63"/>
      <c r="JFW40" s="63"/>
      <c r="JFX40" s="63"/>
      <c r="JFY40" s="63"/>
      <c r="JFZ40" s="63"/>
      <c r="JGA40" s="63"/>
      <c r="JGB40" s="63"/>
      <c r="JGC40" s="63"/>
      <c r="JGD40" s="63"/>
      <c r="JGE40" s="63"/>
      <c r="JGF40" s="63"/>
      <c r="JGG40" s="63"/>
      <c r="JGH40" s="63"/>
      <c r="JGI40" s="63"/>
      <c r="JGJ40" s="63"/>
      <c r="JGK40" s="63"/>
      <c r="JGL40" s="63"/>
      <c r="JGM40" s="63"/>
      <c r="JGN40" s="63"/>
      <c r="JGO40" s="63"/>
      <c r="JGP40" s="63"/>
      <c r="JGQ40" s="63"/>
      <c r="JGR40" s="63"/>
      <c r="JGS40" s="63"/>
      <c r="JGT40" s="63"/>
      <c r="JGU40" s="63"/>
      <c r="JGV40" s="63"/>
      <c r="JGW40" s="63"/>
      <c r="JGX40" s="63"/>
      <c r="JGY40" s="63"/>
      <c r="JGZ40" s="63"/>
      <c r="JHA40" s="63"/>
      <c r="JHB40" s="63"/>
      <c r="JHC40" s="63"/>
      <c r="JHD40" s="63"/>
      <c r="JHE40" s="63"/>
      <c r="JHF40" s="63"/>
      <c r="JHG40" s="63"/>
      <c r="JHH40" s="63"/>
      <c r="JHI40" s="63"/>
      <c r="JHJ40" s="63"/>
      <c r="JHK40" s="63"/>
      <c r="JHL40" s="63"/>
      <c r="JHM40" s="63"/>
      <c r="JHN40" s="63"/>
      <c r="JHO40" s="63"/>
      <c r="JHP40" s="63"/>
      <c r="JHQ40" s="63"/>
      <c r="JHR40" s="63"/>
      <c r="JHS40" s="63"/>
      <c r="JHT40" s="63"/>
      <c r="JHU40" s="63"/>
      <c r="JHV40" s="63"/>
      <c r="JHW40" s="63"/>
      <c r="JHX40" s="63"/>
      <c r="JHY40" s="63"/>
      <c r="JHZ40" s="63"/>
      <c r="JIA40" s="63"/>
      <c r="JIB40" s="63"/>
      <c r="JIC40" s="63"/>
      <c r="JID40" s="63"/>
      <c r="JIE40" s="63"/>
      <c r="JIF40" s="63"/>
      <c r="JIG40" s="63"/>
      <c r="JIH40" s="63"/>
      <c r="JII40" s="63"/>
      <c r="JIJ40" s="63"/>
      <c r="JIK40" s="63"/>
      <c r="JIL40" s="63"/>
      <c r="JIM40" s="63"/>
      <c r="JIN40" s="63"/>
      <c r="JIO40" s="63"/>
      <c r="JIP40" s="63"/>
      <c r="JIQ40" s="63"/>
      <c r="JIR40" s="63"/>
      <c r="JIS40" s="63"/>
      <c r="JIT40" s="63"/>
      <c r="JIU40" s="63"/>
      <c r="JIV40" s="63"/>
      <c r="JIW40" s="63"/>
      <c r="JIX40" s="63"/>
      <c r="JIY40" s="63"/>
      <c r="JIZ40" s="63"/>
      <c r="JJA40" s="63"/>
      <c r="JJB40" s="63"/>
      <c r="JJC40" s="63"/>
      <c r="JJD40" s="63"/>
      <c r="JJE40" s="63"/>
      <c r="JJF40" s="63"/>
      <c r="JJG40" s="63"/>
      <c r="JJH40" s="63"/>
      <c r="JJI40" s="63"/>
      <c r="JJJ40" s="63"/>
      <c r="JJK40" s="63"/>
      <c r="JJL40" s="63"/>
      <c r="JJM40" s="63"/>
      <c r="JJN40" s="63"/>
      <c r="JJO40" s="63"/>
      <c r="JJP40" s="63"/>
      <c r="JJQ40" s="63"/>
      <c r="JJR40" s="63"/>
      <c r="JJS40" s="63"/>
      <c r="JJT40" s="63"/>
      <c r="JJU40" s="63"/>
      <c r="JJV40" s="63"/>
      <c r="JJW40" s="63"/>
      <c r="JJX40" s="63"/>
      <c r="JJY40" s="63"/>
      <c r="JJZ40" s="63"/>
      <c r="JKA40" s="63"/>
      <c r="JKB40" s="63"/>
      <c r="JKC40" s="63"/>
      <c r="JKD40" s="63"/>
      <c r="JKE40" s="63"/>
      <c r="JKF40" s="63"/>
      <c r="JKG40" s="63"/>
      <c r="JKH40" s="63"/>
      <c r="JKI40" s="63"/>
      <c r="JKJ40" s="63"/>
      <c r="JKK40" s="63"/>
      <c r="JKL40" s="63"/>
      <c r="JKM40" s="63"/>
      <c r="JKN40" s="63"/>
      <c r="JKO40" s="63"/>
      <c r="JKP40" s="63"/>
      <c r="JKQ40" s="63"/>
      <c r="JKR40" s="63"/>
      <c r="JKS40" s="63"/>
      <c r="JKT40" s="63"/>
      <c r="JKU40" s="63"/>
      <c r="JKV40" s="63"/>
      <c r="JKW40" s="63"/>
      <c r="JKX40" s="63"/>
      <c r="JKY40" s="63"/>
      <c r="JKZ40" s="63"/>
      <c r="JLA40" s="63"/>
      <c r="JLB40" s="63"/>
      <c r="JLC40" s="63"/>
      <c r="JLD40" s="63"/>
      <c r="JLE40" s="63"/>
      <c r="JLF40" s="63"/>
      <c r="JLG40" s="63"/>
      <c r="JLH40" s="63"/>
      <c r="JLI40" s="63"/>
      <c r="JLJ40" s="63"/>
      <c r="JLK40" s="63"/>
      <c r="JLL40" s="63"/>
      <c r="JLM40" s="63"/>
      <c r="JLN40" s="63"/>
      <c r="JLO40" s="63"/>
      <c r="JLP40" s="63"/>
      <c r="JLQ40" s="63"/>
      <c r="JLR40" s="63"/>
      <c r="JLS40" s="63"/>
      <c r="JLT40" s="63"/>
      <c r="JLU40" s="63"/>
      <c r="JLV40" s="63"/>
      <c r="JLW40" s="63"/>
      <c r="JLX40" s="63"/>
      <c r="JLY40" s="63"/>
      <c r="JLZ40" s="63"/>
      <c r="JMA40" s="63"/>
      <c r="JMB40" s="63"/>
      <c r="JMC40" s="63"/>
      <c r="JMD40" s="63"/>
      <c r="JME40" s="63"/>
      <c r="JMF40" s="63"/>
      <c r="JMG40" s="63"/>
      <c r="JMH40" s="63"/>
      <c r="JMI40" s="63"/>
      <c r="JMJ40" s="63"/>
      <c r="JMK40" s="63"/>
      <c r="JML40" s="63"/>
      <c r="JMM40" s="63"/>
      <c r="JMN40" s="63"/>
      <c r="JMO40" s="63"/>
      <c r="JMP40" s="63"/>
      <c r="JMQ40" s="63"/>
      <c r="JMR40" s="63"/>
      <c r="JMS40" s="63"/>
      <c r="JMT40" s="63"/>
      <c r="JMU40" s="63"/>
      <c r="JMV40" s="63"/>
      <c r="JMW40" s="63"/>
      <c r="JMX40" s="63"/>
      <c r="JMY40" s="63"/>
      <c r="JMZ40" s="63"/>
      <c r="JNA40" s="63"/>
      <c r="JNB40" s="63"/>
      <c r="JNC40" s="63"/>
      <c r="JND40" s="63"/>
      <c r="JNE40" s="63"/>
      <c r="JNF40" s="63"/>
      <c r="JNG40" s="63"/>
      <c r="JNH40" s="63"/>
      <c r="JNI40" s="63"/>
      <c r="JNJ40" s="63"/>
      <c r="JNK40" s="63"/>
      <c r="JNL40" s="63"/>
      <c r="JNM40" s="63"/>
      <c r="JNN40" s="63"/>
      <c r="JNO40" s="63"/>
      <c r="JNP40" s="63"/>
      <c r="JNQ40" s="63"/>
      <c r="JNR40" s="63"/>
      <c r="JNS40" s="63"/>
      <c r="JNT40" s="63"/>
      <c r="JNU40" s="63"/>
      <c r="JNV40" s="63"/>
      <c r="JNW40" s="63"/>
      <c r="JNX40" s="63"/>
      <c r="JNY40" s="63"/>
      <c r="JNZ40" s="63"/>
      <c r="JOA40" s="63"/>
      <c r="JOB40" s="63"/>
      <c r="JOC40" s="63"/>
      <c r="JOD40" s="63"/>
      <c r="JOE40" s="63"/>
      <c r="JOF40" s="63"/>
      <c r="JOG40" s="63"/>
      <c r="JOH40" s="63"/>
      <c r="JOI40" s="63"/>
      <c r="JOJ40" s="63"/>
      <c r="JOK40" s="63"/>
      <c r="JOL40" s="63"/>
      <c r="JOM40" s="63"/>
      <c r="JON40" s="63"/>
      <c r="JOO40" s="63"/>
      <c r="JOP40" s="63"/>
      <c r="JOQ40" s="63"/>
      <c r="JOR40" s="63"/>
      <c r="JOS40" s="63"/>
      <c r="JOT40" s="63"/>
      <c r="JOU40" s="63"/>
      <c r="JOV40" s="63"/>
      <c r="JOW40" s="63"/>
      <c r="JOX40" s="63"/>
      <c r="JOY40" s="63"/>
      <c r="JOZ40" s="63"/>
      <c r="JPA40" s="63"/>
      <c r="JPB40" s="63"/>
      <c r="JPC40" s="63"/>
      <c r="JPD40" s="63"/>
      <c r="JPE40" s="63"/>
      <c r="JPF40" s="63"/>
      <c r="JPG40" s="63"/>
      <c r="JPH40" s="63"/>
      <c r="JPI40" s="63"/>
      <c r="JPJ40" s="63"/>
      <c r="JPK40" s="63"/>
      <c r="JPL40" s="63"/>
      <c r="JPM40" s="63"/>
      <c r="JPN40" s="63"/>
      <c r="JPO40" s="63"/>
      <c r="JPP40" s="63"/>
      <c r="JPQ40" s="63"/>
      <c r="JPR40" s="63"/>
      <c r="JPS40" s="63"/>
      <c r="JPT40" s="63"/>
      <c r="JPU40" s="63"/>
      <c r="JPV40" s="63"/>
      <c r="JPW40" s="63"/>
      <c r="JPX40" s="63"/>
      <c r="JPY40" s="63"/>
      <c r="JPZ40" s="63"/>
      <c r="JQA40" s="63"/>
      <c r="JQB40" s="63"/>
      <c r="JQC40" s="63"/>
      <c r="JQD40" s="63"/>
      <c r="JQE40" s="63"/>
      <c r="JQF40" s="63"/>
      <c r="JQG40" s="63"/>
      <c r="JQH40" s="63"/>
      <c r="JQI40" s="63"/>
      <c r="JQJ40" s="63"/>
      <c r="JQK40" s="63"/>
      <c r="JQL40" s="63"/>
      <c r="JQM40" s="63"/>
      <c r="JQN40" s="63"/>
      <c r="JQO40" s="63"/>
      <c r="JQP40" s="63"/>
      <c r="JQQ40" s="63"/>
      <c r="JQR40" s="63"/>
      <c r="JQS40" s="63"/>
      <c r="JQT40" s="63"/>
      <c r="JQU40" s="63"/>
      <c r="JQV40" s="63"/>
      <c r="JQW40" s="63"/>
      <c r="JQX40" s="63"/>
      <c r="JQY40" s="63"/>
      <c r="JQZ40" s="63"/>
      <c r="JRA40" s="63"/>
      <c r="JRB40" s="63"/>
      <c r="JRC40" s="63"/>
      <c r="JRD40" s="63"/>
      <c r="JRE40" s="63"/>
      <c r="JRF40" s="63"/>
      <c r="JRG40" s="63"/>
      <c r="JRH40" s="63"/>
      <c r="JRI40" s="63"/>
      <c r="JRJ40" s="63"/>
      <c r="JRK40" s="63"/>
      <c r="JRL40" s="63"/>
      <c r="JRM40" s="63"/>
      <c r="JRN40" s="63"/>
      <c r="JRO40" s="63"/>
      <c r="JRP40" s="63"/>
      <c r="JRQ40" s="63"/>
      <c r="JRR40" s="63"/>
      <c r="JRS40" s="63"/>
      <c r="JRT40" s="63"/>
      <c r="JRU40" s="63"/>
      <c r="JRV40" s="63"/>
      <c r="JRW40" s="63"/>
      <c r="JRX40" s="63"/>
      <c r="JRY40" s="63"/>
      <c r="JRZ40" s="63"/>
      <c r="JSA40" s="63"/>
      <c r="JSB40" s="63"/>
      <c r="JSC40" s="63"/>
      <c r="JSD40" s="63"/>
      <c r="JSE40" s="63"/>
      <c r="JSF40" s="63"/>
      <c r="JSG40" s="63"/>
      <c r="JSH40" s="63"/>
      <c r="JSI40" s="63"/>
      <c r="JSJ40" s="63"/>
      <c r="JSK40" s="63"/>
      <c r="JSL40" s="63"/>
      <c r="JSM40" s="63"/>
      <c r="JSN40" s="63"/>
      <c r="JSO40" s="63"/>
      <c r="JSP40" s="63"/>
      <c r="JSQ40" s="63"/>
      <c r="JSR40" s="63"/>
      <c r="JSS40" s="63"/>
      <c r="JST40" s="63"/>
      <c r="JSU40" s="63"/>
      <c r="JSV40" s="63"/>
      <c r="JSW40" s="63"/>
      <c r="JSX40" s="63"/>
      <c r="JSY40" s="63"/>
      <c r="JSZ40" s="63"/>
      <c r="JTA40" s="63"/>
      <c r="JTB40" s="63"/>
      <c r="JTC40" s="63"/>
      <c r="JTD40" s="63"/>
      <c r="JTE40" s="63"/>
      <c r="JTF40" s="63"/>
      <c r="JTG40" s="63"/>
      <c r="JTH40" s="63"/>
      <c r="JTI40" s="63"/>
      <c r="JTJ40" s="63"/>
      <c r="JTK40" s="63"/>
      <c r="JTL40" s="63"/>
      <c r="JTM40" s="63"/>
      <c r="JTN40" s="63"/>
      <c r="JTO40" s="63"/>
      <c r="JTP40" s="63"/>
      <c r="JTQ40" s="63"/>
      <c r="JTR40" s="63"/>
      <c r="JTS40" s="63"/>
      <c r="JTT40" s="63"/>
      <c r="JTU40" s="63"/>
      <c r="JTV40" s="63"/>
      <c r="JTW40" s="63"/>
      <c r="JTX40" s="63"/>
      <c r="JTY40" s="63"/>
      <c r="JTZ40" s="63"/>
      <c r="JUA40" s="63"/>
      <c r="JUB40" s="63"/>
      <c r="JUC40" s="63"/>
      <c r="JUD40" s="63"/>
      <c r="JUE40" s="63"/>
      <c r="JUF40" s="63"/>
      <c r="JUG40" s="63"/>
      <c r="JUH40" s="63"/>
      <c r="JUI40" s="63"/>
      <c r="JUJ40" s="63"/>
      <c r="JUK40" s="63"/>
      <c r="JUL40" s="63"/>
      <c r="JUM40" s="63"/>
      <c r="JUN40" s="63"/>
      <c r="JUO40" s="63"/>
      <c r="JUP40" s="63"/>
      <c r="JUQ40" s="63"/>
      <c r="JUR40" s="63"/>
      <c r="JUS40" s="63"/>
      <c r="JUT40" s="63"/>
      <c r="JUU40" s="63"/>
      <c r="JUV40" s="63"/>
      <c r="JUW40" s="63"/>
      <c r="JUX40" s="63"/>
      <c r="JUY40" s="63"/>
      <c r="JUZ40" s="63"/>
      <c r="JVA40" s="63"/>
      <c r="JVB40" s="63"/>
      <c r="JVC40" s="63"/>
      <c r="JVD40" s="63"/>
      <c r="JVE40" s="63"/>
      <c r="JVF40" s="63"/>
      <c r="JVG40" s="63"/>
      <c r="JVH40" s="63"/>
      <c r="JVI40" s="63"/>
      <c r="JVJ40" s="63"/>
      <c r="JVK40" s="63"/>
      <c r="JVL40" s="63"/>
      <c r="JVM40" s="63"/>
      <c r="JVN40" s="63"/>
      <c r="JVO40" s="63"/>
      <c r="JVP40" s="63"/>
      <c r="JVQ40" s="63"/>
      <c r="JVR40" s="63"/>
      <c r="JVS40" s="63"/>
      <c r="JVT40" s="63"/>
      <c r="JVU40" s="63"/>
      <c r="JVV40" s="63"/>
      <c r="JVW40" s="63"/>
      <c r="JVX40" s="63"/>
      <c r="JVY40" s="63"/>
      <c r="JVZ40" s="63"/>
      <c r="JWA40" s="63"/>
      <c r="JWB40" s="63"/>
      <c r="JWC40" s="63"/>
      <c r="JWD40" s="63"/>
      <c r="JWE40" s="63"/>
      <c r="JWF40" s="63"/>
      <c r="JWG40" s="63"/>
      <c r="JWH40" s="63"/>
      <c r="JWI40" s="63"/>
      <c r="JWJ40" s="63"/>
      <c r="JWK40" s="63"/>
      <c r="JWL40" s="63"/>
      <c r="JWM40" s="63"/>
      <c r="JWN40" s="63"/>
      <c r="JWO40" s="63"/>
      <c r="JWP40" s="63"/>
      <c r="JWQ40" s="63"/>
      <c r="JWR40" s="63"/>
      <c r="JWS40" s="63"/>
      <c r="JWT40" s="63"/>
      <c r="JWU40" s="63"/>
      <c r="JWV40" s="63"/>
      <c r="JWW40" s="63"/>
      <c r="JWX40" s="63"/>
      <c r="JWY40" s="63"/>
      <c r="JWZ40" s="63"/>
      <c r="JXA40" s="63"/>
      <c r="JXB40" s="63"/>
      <c r="JXC40" s="63"/>
      <c r="JXD40" s="63"/>
      <c r="JXE40" s="63"/>
      <c r="JXF40" s="63"/>
      <c r="JXG40" s="63"/>
      <c r="JXH40" s="63"/>
      <c r="JXI40" s="63"/>
      <c r="JXJ40" s="63"/>
      <c r="JXK40" s="63"/>
      <c r="JXL40" s="63"/>
      <c r="JXM40" s="63"/>
      <c r="JXN40" s="63"/>
      <c r="JXO40" s="63"/>
      <c r="JXP40" s="63"/>
      <c r="JXQ40" s="63"/>
      <c r="JXR40" s="63"/>
      <c r="JXS40" s="63"/>
      <c r="JXT40" s="63"/>
      <c r="JXU40" s="63"/>
      <c r="JXV40" s="63"/>
      <c r="JXW40" s="63"/>
      <c r="JXX40" s="63"/>
      <c r="JXY40" s="63"/>
      <c r="JXZ40" s="63"/>
      <c r="JYA40" s="63"/>
      <c r="JYB40" s="63"/>
      <c r="JYC40" s="63"/>
      <c r="JYD40" s="63"/>
      <c r="JYE40" s="63"/>
      <c r="JYF40" s="63"/>
      <c r="JYG40" s="63"/>
      <c r="JYH40" s="63"/>
      <c r="JYI40" s="63"/>
      <c r="JYJ40" s="63"/>
      <c r="JYK40" s="63"/>
      <c r="JYL40" s="63"/>
      <c r="JYM40" s="63"/>
      <c r="JYN40" s="63"/>
      <c r="JYO40" s="63"/>
      <c r="JYP40" s="63"/>
      <c r="JYQ40" s="63"/>
      <c r="JYR40" s="63"/>
      <c r="JYS40" s="63"/>
      <c r="JYT40" s="63"/>
      <c r="JYU40" s="63"/>
      <c r="JYV40" s="63"/>
      <c r="JYW40" s="63"/>
      <c r="JYX40" s="63"/>
      <c r="JYY40" s="63"/>
      <c r="JYZ40" s="63"/>
      <c r="JZA40" s="63"/>
      <c r="JZB40" s="63"/>
      <c r="JZC40" s="63"/>
      <c r="JZD40" s="63"/>
      <c r="JZE40" s="63"/>
      <c r="JZF40" s="63"/>
      <c r="JZG40" s="63"/>
      <c r="JZH40" s="63"/>
      <c r="JZI40" s="63"/>
      <c r="JZJ40" s="63"/>
      <c r="JZK40" s="63"/>
      <c r="JZL40" s="63"/>
      <c r="JZM40" s="63"/>
      <c r="JZN40" s="63"/>
      <c r="JZO40" s="63"/>
      <c r="JZP40" s="63"/>
      <c r="JZQ40" s="63"/>
      <c r="JZR40" s="63"/>
      <c r="JZS40" s="63"/>
      <c r="JZT40" s="63"/>
      <c r="JZU40" s="63"/>
      <c r="JZV40" s="63"/>
      <c r="JZW40" s="63"/>
      <c r="JZX40" s="63"/>
      <c r="JZY40" s="63"/>
      <c r="JZZ40" s="63"/>
      <c r="KAA40" s="63"/>
      <c r="KAB40" s="63"/>
      <c r="KAC40" s="63"/>
      <c r="KAD40" s="63"/>
      <c r="KAE40" s="63"/>
      <c r="KAF40" s="63"/>
      <c r="KAG40" s="63"/>
      <c r="KAH40" s="63"/>
      <c r="KAI40" s="63"/>
      <c r="KAJ40" s="63"/>
      <c r="KAK40" s="63"/>
      <c r="KAL40" s="63"/>
      <c r="KAM40" s="63"/>
      <c r="KAN40" s="63"/>
      <c r="KAO40" s="63"/>
      <c r="KAP40" s="63"/>
      <c r="KAQ40" s="63"/>
      <c r="KAR40" s="63"/>
      <c r="KAS40" s="63"/>
      <c r="KAT40" s="63"/>
      <c r="KAU40" s="63"/>
      <c r="KAV40" s="63"/>
      <c r="KAW40" s="63"/>
      <c r="KAX40" s="63"/>
      <c r="KAY40" s="63"/>
      <c r="KAZ40" s="63"/>
      <c r="KBA40" s="63"/>
      <c r="KBB40" s="63"/>
      <c r="KBC40" s="63"/>
      <c r="KBD40" s="63"/>
      <c r="KBE40" s="63"/>
      <c r="KBF40" s="63"/>
      <c r="KBG40" s="63"/>
      <c r="KBH40" s="63"/>
      <c r="KBI40" s="63"/>
      <c r="KBJ40" s="63"/>
      <c r="KBK40" s="63"/>
      <c r="KBL40" s="63"/>
      <c r="KBM40" s="63"/>
      <c r="KBN40" s="63"/>
      <c r="KBO40" s="63"/>
      <c r="KBP40" s="63"/>
      <c r="KBQ40" s="63"/>
      <c r="KBR40" s="63"/>
      <c r="KBS40" s="63"/>
      <c r="KBT40" s="63"/>
      <c r="KBU40" s="63"/>
      <c r="KBV40" s="63"/>
      <c r="KBW40" s="63"/>
      <c r="KBX40" s="63"/>
      <c r="KBY40" s="63"/>
      <c r="KBZ40" s="63"/>
      <c r="KCA40" s="63"/>
      <c r="KCB40" s="63"/>
      <c r="KCC40" s="63"/>
      <c r="KCD40" s="63"/>
      <c r="KCE40" s="63"/>
      <c r="KCF40" s="63"/>
      <c r="KCG40" s="63"/>
      <c r="KCH40" s="63"/>
      <c r="KCI40" s="63"/>
      <c r="KCJ40" s="63"/>
      <c r="KCK40" s="63"/>
      <c r="KCL40" s="63"/>
      <c r="KCM40" s="63"/>
      <c r="KCN40" s="63"/>
      <c r="KCO40" s="63"/>
      <c r="KCP40" s="63"/>
      <c r="KCQ40" s="63"/>
      <c r="KCR40" s="63"/>
      <c r="KCS40" s="63"/>
      <c r="KCT40" s="63"/>
      <c r="KCU40" s="63"/>
      <c r="KCV40" s="63"/>
      <c r="KCW40" s="63"/>
      <c r="KCX40" s="63"/>
      <c r="KCY40" s="63"/>
      <c r="KCZ40" s="63"/>
      <c r="KDA40" s="63"/>
      <c r="KDB40" s="63"/>
      <c r="KDC40" s="63"/>
      <c r="KDD40" s="63"/>
      <c r="KDE40" s="63"/>
      <c r="KDF40" s="63"/>
      <c r="KDG40" s="63"/>
      <c r="KDH40" s="63"/>
      <c r="KDI40" s="63"/>
      <c r="KDJ40" s="63"/>
      <c r="KDK40" s="63"/>
      <c r="KDL40" s="63"/>
      <c r="KDM40" s="63"/>
      <c r="KDN40" s="63"/>
      <c r="KDO40" s="63"/>
      <c r="KDP40" s="63"/>
      <c r="KDQ40" s="63"/>
      <c r="KDR40" s="63"/>
      <c r="KDS40" s="63"/>
      <c r="KDT40" s="63"/>
      <c r="KDU40" s="63"/>
      <c r="KDV40" s="63"/>
      <c r="KDW40" s="63"/>
      <c r="KDX40" s="63"/>
      <c r="KDY40" s="63"/>
      <c r="KDZ40" s="63"/>
      <c r="KEA40" s="63"/>
      <c r="KEB40" s="63"/>
      <c r="KEC40" s="63"/>
      <c r="KED40" s="63"/>
      <c r="KEE40" s="63"/>
      <c r="KEF40" s="63"/>
      <c r="KEG40" s="63"/>
      <c r="KEH40" s="63"/>
      <c r="KEI40" s="63"/>
      <c r="KEJ40" s="63"/>
      <c r="KEK40" s="63"/>
      <c r="KEL40" s="63"/>
      <c r="KEM40" s="63"/>
      <c r="KEN40" s="63"/>
      <c r="KEO40" s="63"/>
      <c r="KEP40" s="63"/>
      <c r="KEQ40" s="63"/>
      <c r="KER40" s="63"/>
      <c r="KES40" s="63"/>
      <c r="KET40" s="63"/>
      <c r="KEU40" s="63"/>
      <c r="KEV40" s="63"/>
      <c r="KEW40" s="63"/>
      <c r="KEX40" s="63"/>
      <c r="KEY40" s="63"/>
      <c r="KEZ40" s="63"/>
      <c r="KFA40" s="63"/>
      <c r="KFB40" s="63"/>
      <c r="KFC40" s="63"/>
      <c r="KFD40" s="63"/>
      <c r="KFE40" s="63"/>
      <c r="KFF40" s="63"/>
      <c r="KFG40" s="63"/>
      <c r="KFH40" s="63"/>
      <c r="KFI40" s="63"/>
      <c r="KFJ40" s="63"/>
      <c r="KFK40" s="63"/>
      <c r="KFL40" s="63"/>
      <c r="KFM40" s="63"/>
      <c r="KFN40" s="63"/>
      <c r="KFO40" s="63"/>
      <c r="KFP40" s="63"/>
      <c r="KFQ40" s="63"/>
      <c r="KFR40" s="63"/>
      <c r="KFS40" s="63"/>
      <c r="KFT40" s="63"/>
      <c r="KFU40" s="63"/>
      <c r="KFV40" s="63"/>
      <c r="KFW40" s="63"/>
      <c r="KFX40" s="63"/>
      <c r="KFY40" s="63"/>
      <c r="KFZ40" s="63"/>
      <c r="KGA40" s="63"/>
      <c r="KGB40" s="63"/>
      <c r="KGC40" s="63"/>
      <c r="KGD40" s="63"/>
      <c r="KGE40" s="63"/>
      <c r="KGF40" s="63"/>
      <c r="KGG40" s="63"/>
      <c r="KGH40" s="63"/>
      <c r="KGI40" s="63"/>
      <c r="KGJ40" s="63"/>
      <c r="KGK40" s="63"/>
      <c r="KGL40" s="63"/>
      <c r="KGM40" s="63"/>
      <c r="KGN40" s="63"/>
      <c r="KGO40" s="63"/>
      <c r="KGP40" s="63"/>
      <c r="KGQ40" s="63"/>
      <c r="KGR40" s="63"/>
      <c r="KGS40" s="63"/>
      <c r="KGT40" s="63"/>
      <c r="KGU40" s="63"/>
      <c r="KGV40" s="63"/>
      <c r="KGW40" s="63"/>
      <c r="KGX40" s="63"/>
      <c r="KGY40" s="63"/>
      <c r="KGZ40" s="63"/>
      <c r="KHA40" s="63"/>
      <c r="KHB40" s="63"/>
      <c r="KHC40" s="63"/>
      <c r="KHD40" s="63"/>
      <c r="KHE40" s="63"/>
      <c r="KHF40" s="63"/>
      <c r="KHG40" s="63"/>
      <c r="KHH40" s="63"/>
      <c r="KHI40" s="63"/>
      <c r="KHJ40" s="63"/>
      <c r="KHK40" s="63"/>
      <c r="KHL40" s="63"/>
      <c r="KHM40" s="63"/>
      <c r="KHN40" s="63"/>
      <c r="KHO40" s="63"/>
      <c r="KHP40" s="63"/>
      <c r="KHQ40" s="63"/>
      <c r="KHR40" s="63"/>
      <c r="KHS40" s="63"/>
      <c r="KHT40" s="63"/>
      <c r="KHU40" s="63"/>
      <c r="KHV40" s="63"/>
      <c r="KHW40" s="63"/>
      <c r="KHX40" s="63"/>
      <c r="KHY40" s="63"/>
      <c r="KHZ40" s="63"/>
      <c r="KIA40" s="63"/>
      <c r="KIB40" s="63"/>
      <c r="KIC40" s="63"/>
      <c r="KID40" s="63"/>
      <c r="KIE40" s="63"/>
      <c r="KIF40" s="63"/>
      <c r="KIG40" s="63"/>
      <c r="KIH40" s="63"/>
      <c r="KII40" s="63"/>
      <c r="KIJ40" s="63"/>
      <c r="KIK40" s="63"/>
      <c r="KIL40" s="63"/>
      <c r="KIM40" s="63"/>
      <c r="KIN40" s="63"/>
      <c r="KIO40" s="63"/>
      <c r="KIP40" s="63"/>
      <c r="KIQ40" s="63"/>
      <c r="KIR40" s="63"/>
      <c r="KIS40" s="63"/>
      <c r="KIT40" s="63"/>
      <c r="KIU40" s="63"/>
      <c r="KIV40" s="63"/>
      <c r="KIW40" s="63"/>
      <c r="KIX40" s="63"/>
      <c r="KIY40" s="63"/>
      <c r="KIZ40" s="63"/>
      <c r="KJA40" s="63"/>
      <c r="KJB40" s="63"/>
      <c r="KJC40" s="63"/>
      <c r="KJD40" s="63"/>
      <c r="KJE40" s="63"/>
      <c r="KJF40" s="63"/>
      <c r="KJG40" s="63"/>
      <c r="KJH40" s="63"/>
      <c r="KJI40" s="63"/>
      <c r="KJJ40" s="63"/>
      <c r="KJK40" s="63"/>
      <c r="KJL40" s="63"/>
      <c r="KJM40" s="63"/>
      <c r="KJN40" s="63"/>
      <c r="KJO40" s="63"/>
      <c r="KJP40" s="63"/>
      <c r="KJQ40" s="63"/>
      <c r="KJR40" s="63"/>
      <c r="KJS40" s="63"/>
      <c r="KJT40" s="63"/>
      <c r="KJU40" s="63"/>
      <c r="KJV40" s="63"/>
      <c r="KJW40" s="63"/>
      <c r="KJX40" s="63"/>
      <c r="KJY40" s="63"/>
      <c r="KJZ40" s="63"/>
      <c r="KKA40" s="63"/>
      <c r="KKB40" s="63"/>
      <c r="KKC40" s="63"/>
      <c r="KKD40" s="63"/>
      <c r="KKE40" s="63"/>
      <c r="KKF40" s="63"/>
      <c r="KKG40" s="63"/>
      <c r="KKH40" s="63"/>
      <c r="KKI40" s="63"/>
      <c r="KKJ40" s="63"/>
      <c r="KKK40" s="63"/>
      <c r="KKL40" s="63"/>
      <c r="KKM40" s="63"/>
      <c r="KKN40" s="63"/>
      <c r="KKO40" s="63"/>
      <c r="KKP40" s="63"/>
      <c r="KKQ40" s="63"/>
      <c r="KKR40" s="63"/>
      <c r="KKS40" s="63"/>
      <c r="KKT40" s="63"/>
      <c r="KKU40" s="63"/>
      <c r="KKV40" s="63"/>
      <c r="KKW40" s="63"/>
      <c r="KKX40" s="63"/>
      <c r="KKY40" s="63"/>
      <c r="KKZ40" s="63"/>
      <c r="KLA40" s="63"/>
      <c r="KLB40" s="63"/>
      <c r="KLC40" s="63"/>
      <c r="KLD40" s="63"/>
      <c r="KLE40" s="63"/>
      <c r="KLF40" s="63"/>
      <c r="KLG40" s="63"/>
      <c r="KLH40" s="63"/>
      <c r="KLI40" s="63"/>
      <c r="KLJ40" s="63"/>
      <c r="KLK40" s="63"/>
      <c r="KLL40" s="63"/>
      <c r="KLM40" s="63"/>
      <c r="KLN40" s="63"/>
      <c r="KLO40" s="63"/>
      <c r="KLP40" s="63"/>
      <c r="KLQ40" s="63"/>
      <c r="KLR40" s="63"/>
      <c r="KLS40" s="63"/>
      <c r="KLT40" s="63"/>
      <c r="KLU40" s="63"/>
      <c r="KLV40" s="63"/>
      <c r="KLW40" s="63"/>
      <c r="KLX40" s="63"/>
      <c r="KLY40" s="63"/>
      <c r="KLZ40" s="63"/>
      <c r="KMA40" s="63"/>
      <c r="KMB40" s="63"/>
      <c r="KMC40" s="63"/>
      <c r="KMD40" s="63"/>
      <c r="KME40" s="63"/>
      <c r="KMF40" s="63"/>
      <c r="KMG40" s="63"/>
      <c r="KMH40" s="63"/>
      <c r="KMI40" s="63"/>
      <c r="KMJ40" s="63"/>
      <c r="KMK40" s="63"/>
      <c r="KML40" s="63"/>
      <c r="KMM40" s="63"/>
      <c r="KMN40" s="63"/>
      <c r="KMO40" s="63"/>
      <c r="KMP40" s="63"/>
      <c r="KMQ40" s="63"/>
      <c r="KMR40" s="63"/>
      <c r="KMS40" s="63"/>
      <c r="KMT40" s="63"/>
      <c r="KMU40" s="63"/>
      <c r="KMV40" s="63"/>
      <c r="KMW40" s="63"/>
      <c r="KMX40" s="63"/>
      <c r="KMY40" s="63"/>
      <c r="KMZ40" s="63"/>
      <c r="KNA40" s="63"/>
      <c r="KNB40" s="63"/>
      <c r="KNC40" s="63"/>
      <c r="KND40" s="63"/>
      <c r="KNE40" s="63"/>
      <c r="KNF40" s="63"/>
      <c r="KNG40" s="63"/>
      <c r="KNH40" s="63"/>
      <c r="KNI40" s="63"/>
      <c r="KNJ40" s="63"/>
      <c r="KNK40" s="63"/>
      <c r="KNL40" s="63"/>
      <c r="KNM40" s="63"/>
      <c r="KNN40" s="63"/>
      <c r="KNO40" s="63"/>
      <c r="KNP40" s="63"/>
      <c r="KNQ40" s="63"/>
      <c r="KNR40" s="63"/>
      <c r="KNS40" s="63"/>
      <c r="KNT40" s="63"/>
      <c r="KNU40" s="63"/>
      <c r="KNV40" s="63"/>
      <c r="KNW40" s="63"/>
      <c r="KNX40" s="63"/>
      <c r="KNY40" s="63"/>
      <c r="KNZ40" s="63"/>
      <c r="KOA40" s="63"/>
      <c r="KOB40" s="63"/>
      <c r="KOC40" s="63"/>
      <c r="KOD40" s="63"/>
      <c r="KOE40" s="63"/>
      <c r="KOF40" s="63"/>
      <c r="KOG40" s="63"/>
      <c r="KOH40" s="63"/>
      <c r="KOI40" s="63"/>
      <c r="KOJ40" s="63"/>
      <c r="KOK40" s="63"/>
      <c r="KOL40" s="63"/>
      <c r="KOM40" s="63"/>
      <c r="KON40" s="63"/>
      <c r="KOO40" s="63"/>
      <c r="KOP40" s="63"/>
      <c r="KOQ40" s="63"/>
      <c r="KOR40" s="63"/>
      <c r="KOS40" s="63"/>
      <c r="KOT40" s="63"/>
      <c r="KOU40" s="63"/>
      <c r="KOV40" s="63"/>
      <c r="KOW40" s="63"/>
      <c r="KOX40" s="63"/>
      <c r="KOY40" s="63"/>
      <c r="KOZ40" s="63"/>
      <c r="KPA40" s="63"/>
      <c r="KPB40" s="63"/>
      <c r="KPC40" s="63"/>
      <c r="KPD40" s="63"/>
      <c r="KPE40" s="63"/>
      <c r="KPF40" s="63"/>
      <c r="KPG40" s="63"/>
      <c r="KPH40" s="63"/>
      <c r="KPI40" s="63"/>
      <c r="KPJ40" s="63"/>
      <c r="KPK40" s="63"/>
      <c r="KPL40" s="63"/>
      <c r="KPM40" s="63"/>
      <c r="KPN40" s="63"/>
      <c r="KPO40" s="63"/>
      <c r="KPP40" s="63"/>
      <c r="KPQ40" s="63"/>
      <c r="KPR40" s="63"/>
      <c r="KPS40" s="63"/>
      <c r="KPT40" s="63"/>
      <c r="KPU40" s="63"/>
      <c r="KPV40" s="63"/>
      <c r="KPW40" s="63"/>
      <c r="KPX40" s="63"/>
      <c r="KPY40" s="63"/>
      <c r="KPZ40" s="63"/>
      <c r="KQA40" s="63"/>
      <c r="KQB40" s="63"/>
      <c r="KQC40" s="63"/>
      <c r="KQD40" s="63"/>
      <c r="KQE40" s="63"/>
      <c r="KQF40" s="63"/>
      <c r="KQG40" s="63"/>
      <c r="KQH40" s="63"/>
      <c r="KQI40" s="63"/>
      <c r="KQJ40" s="63"/>
      <c r="KQK40" s="63"/>
      <c r="KQL40" s="63"/>
      <c r="KQM40" s="63"/>
      <c r="KQN40" s="63"/>
      <c r="KQO40" s="63"/>
      <c r="KQP40" s="63"/>
      <c r="KQQ40" s="63"/>
      <c r="KQR40" s="63"/>
      <c r="KQS40" s="63"/>
      <c r="KQT40" s="63"/>
      <c r="KQU40" s="63"/>
      <c r="KQV40" s="63"/>
      <c r="KQW40" s="63"/>
      <c r="KQX40" s="63"/>
      <c r="KQY40" s="63"/>
      <c r="KQZ40" s="63"/>
      <c r="KRA40" s="63"/>
      <c r="KRB40" s="63"/>
      <c r="KRC40" s="63"/>
      <c r="KRD40" s="63"/>
      <c r="KRE40" s="63"/>
      <c r="KRF40" s="63"/>
      <c r="KRG40" s="63"/>
      <c r="KRH40" s="63"/>
      <c r="KRI40" s="63"/>
      <c r="KRJ40" s="63"/>
      <c r="KRK40" s="63"/>
      <c r="KRL40" s="63"/>
      <c r="KRM40" s="63"/>
      <c r="KRN40" s="63"/>
      <c r="KRO40" s="63"/>
      <c r="KRP40" s="63"/>
      <c r="KRQ40" s="63"/>
      <c r="KRR40" s="63"/>
      <c r="KRS40" s="63"/>
      <c r="KRT40" s="63"/>
      <c r="KRU40" s="63"/>
      <c r="KRV40" s="63"/>
      <c r="KRW40" s="63"/>
      <c r="KRX40" s="63"/>
      <c r="KRY40" s="63"/>
      <c r="KRZ40" s="63"/>
      <c r="KSA40" s="63"/>
      <c r="KSB40" s="63"/>
      <c r="KSC40" s="63"/>
      <c r="KSD40" s="63"/>
      <c r="KSE40" s="63"/>
      <c r="KSF40" s="63"/>
      <c r="KSG40" s="63"/>
      <c r="KSH40" s="63"/>
      <c r="KSI40" s="63"/>
      <c r="KSJ40" s="63"/>
      <c r="KSK40" s="63"/>
      <c r="KSL40" s="63"/>
      <c r="KSM40" s="63"/>
      <c r="KSN40" s="63"/>
      <c r="KSO40" s="63"/>
      <c r="KSP40" s="63"/>
      <c r="KSQ40" s="63"/>
      <c r="KSR40" s="63"/>
      <c r="KSS40" s="63"/>
      <c r="KST40" s="63"/>
      <c r="KSU40" s="63"/>
      <c r="KSV40" s="63"/>
      <c r="KSW40" s="63"/>
      <c r="KSX40" s="63"/>
      <c r="KSY40" s="63"/>
      <c r="KSZ40" s="63"/>
      <c r="KTA40" s="63"/>
      <c r="KTB40" s="63"/>
      <c r="KTC40" s="63"/>
      <c r="KTD40" s="63"/>
      <c r="KTE40" s="63"/>
      <c r="KTF40" s="63"/>
      <c r="KTG40" s="63"/>
      <c r="KTH40" s="63"/>
      <c r="KTI40" s="63"/>
      <c r="KTJ40" s="63"/>
      <c r="KTK40" s="63"/>
      <c r="KTL40" s="63"/>
      <c r="KTM40" s="63"/>
      <c r="KTN40" s="63"/>
      <c r="KTO40" s="63"/>
      <c r="KTP40" s="63"/>
      <c r="KTQ40" s="63"/>
      <c r="KTR40" s="63"/>
      <c r="KTS40" s="63"/>
      <c r="KTT40" s="63"/>
      <c r="KTU40" s="63"/>
      <c r="KTV40" s="63"/>
      <c r="KTW40" s="63"/>
      <c r="KTX40" s="63"/>
      <c r="KTY40" s="63"/>
      <c r="KTZ40" s="63"/>
      <c r="KUA40" s="63"/>
      <c r="KUB40" s="63"/>
      <c r="KUC40" s="63"/>
      <c r="KUD40" s="63"/>
      <c r="KUE40" s="63"/>
      <c r="KUF40" s="63"/>
      <c r="KUG40" s="63"/>
      <c r="KUH40" s="63"/>
      <c r="KUI40" s="63"/>
      <c r="KUJ40" s="63"/>
      <c r="KUK40" s="63"/>
      <c r="KUL40" s="63"/>
      <c r="KUM40" s="63"/>
      <c r="KUN40" s="63"/>
      <c r="KUO40" s="63"/>
      <c r="KUP40" s="63"/>
      <c r="KUQ40" s="63"/>
      <c r="KUR40" s="63"/>
      <c r="KUS40" s="63"/>
      <c r="KUT40" s="63"/>
      <c r="KUU40" s="63"/>
      <c r="KUV40" s="63"/>
      <c r="KUW40" s="63"/>
      <c r="KUX40" s="63"/>
      <c r="KUY40" s="63"/>
      <c r="KUZ40" s="63"/>
      <c r="KVA40" s="63"/>
      <c r="KVB40" s="63"/>
      <c r="KVC40" s="63"/>
      <c r="KVD40" s="63"/>
      <c r="KVE40" s="63"/>
      <c r="KVF40" s="63"/>
      <c r="KVG40" s="63"/>
      <c r="KVH40" s="63"/>
      <c r="KVI40" s="63"/>
      <c r="KVJ40" s="63"/>
      <c r="KVK40" s="63"/>
      <c r="KVL40" s="63"/>
      <c r="KVM40" s="63"/>
      <c r="KVN40" s="63"/>
      <c r="KVO40" s="63"/>
      <c r="KVP40" s="63"/>
      <c r="KVQ40" s="63"/>
      <c r="KVR40" s="63"/>
      <c r="KVS40" s="63"/>
      <c r="KVT40" s="63"/>
      <c r="KVU40" s="63"/>
      <c r="KVV40" s="63"/>
      <c r="KVW40" s="63"/>
      <c r="KVX40" s="63"/>
      <c r="KVY40" s="63"/>
      <c r="KVZ40" s="63"/>
      <c r="KWA40" s="63"/>
      <c r="KWB40" s="63"/>
      <c r="KWC40" s="63"/>
      <c r="KWD40" s="63"/>
      <c r="KWE40" s="63"/>
      <c r="KWF40" s="63"/>
      <c r="KWG40" s="63"/>
      <c r="KWH40" s="63"/>
      <c r="KWI40" s="63"/>
      <c r="KWJ40" s="63"/>
      <c r="KWK40" s="63"/>
      <c r="KWL40" s="63"/>
      <c r="KWM40" s="63"/>
      <c r="KWN40" s="63"/>
      <c r="KWO40" s="63"/>
      <c r="KWP40" s="63"/>
      <c r="KWQ40" s="63"/>
      <c r="KWR40" s="63"/>
      <c r="KWS40" s="63"/>
      <c r="KWT40" s="63"/>
      <c r="KWU40" s="63"/>
      <c r="KWV40" s="63"/>
      <c r="KWW40" s="63"/>
      <c r="KWX40" s="63"/>
      <c r="KWY40" s="63"/>
      <c r="KWZ40" s="63"/>
      <c r="KXA40" s="63"/>
      <c r="KXB40" s="63"/>
      <c r="KXC40" s="63"/>
      <c r="KXD40" s="63"/>
      <c r="KXE40" s="63"/>
      <c r="KXF40" s="63"/>
      <c r="KXG40" s="63"/>
      <c r="KXH40" s="63"/>
      <c r="KXI40" s="63"/>
      <c r="KXJ40" s="63"/>
      <c r="KXK40" s="63"/>
      <c r="KXL40" s="63"/>
      <c r="KXM40" s="63"/>
      <c r="KXN40" s="63"/>
      <c r="KXO40" s="63"/>
      <c r="KXP40" s="63"/>
      <c r="KXQ40" s="63"/>
      <c r="KXR40" s="63"/>
      <c r="KXS40" s="63"/>
      <c r="KXT40" s="63"/>
      <c r="KXU40" s="63"/>
      <c r="KXV40" s="63"/>
      <c r="KXW40" s="63"/>
      <c r="KXX40" s="63"/>
      <c r="KXY40" s="63"/>
      <c r="KXZ40" s="63"/>
      <c r="KYA40" s="63"/>
      <c r="KYB40" s="63"/>
      <c r="KYC40" s="63"/>
      <c r="KYD40" s="63"/>
      <c r="KYE40" s="63"/>
      <c r="KYF40" s="63"/>
      <c r="KYG40" s="63"/>
      <c r="KYH40" s="63"/>
      <c r="KYI40" s="63"/>
      <c r="KYJ40" s="63"/>
      <c r="KYK40" s="63"/>
      <c r="KYL40" s="63"/>
      <c r="KYM40" s="63"/>
      <c r="KYN40" s="63"/>
      <c r="KYO40" s="63"/>
      <c r="KYP40" s="63"/>
      <c r="KYQ40" s="63"/>
      <c r="KYR40" s="63"/>
      <c r="KYS40" s="63"/>
      <c r="KYT40" s="63"/>
      <c r="KYU40" s="63"/>
      <c r="KYV40" s="63"/>
      <c r="KYW40" s="63"/>
      <c r="KYX40" s="63"/>
      <c r="KYY40" s="63"/>
      <c r="KYZ40" s="63"/>
      <c r="KZA40" s="63"/>
      <c r="KZB40" s="63"/>
      <c r="KZC40" s="63"/>
      <c r="KZD40" s="63"/>
      <c r="KZE40" s="63"/>
      <c r="KZF40" s="63"/>
      <c r="KZG40" s="63"/>
      <c r="KZH40" s="63"/>
      <c r="KZI40" s="63"/>
      <c r="KZJ40" s="63"/>
      <c r="KZK40" s="63"/>
      <c r="KZL40" s="63"/>
      <c r="KZM40" s="63"/>
      <c r="KZN40" s="63"/>
      <c r="KZO40" s="63"/>
      <c r="KZP40" s="63"/>
      <c r="KZQ40" s="63"/>
      <c r="KZR40" s="63"/>
      <c r="KZS40" s="63"/>
      <c r="KZT40" s="63"/>
      <c r="KZU40" s="63"/>
      <c r="KZV40" s="63"/>
      <c r="KZW40" s="63"/>
      <c r="KZX40" s="63"/>
      <c r="KZY40" s="63"/>
      <c r="KZZ40" s="63"/>
      <c r="LAA40" s="63"/>
      <c r="LAB40" s="63"/>
      <c r="LAC40" s="63"/>
      <c r="LAD40" s="63"/>
      <c r="LAE40" s="63"/>
      <c r="LAF40" s="63"/>
      <c r="LAG40" s="63"/>
      <c r="LAH40" s="63"/>
      <c r="LAI40" s="63"/>
      <c r="LAJ40" s="63"/>
      <c r="LAK40" s="63"/>
      <c r="LAL40" s="63"/>
      <c r="LAM40" s="63"/>
      <c r="LAN40" s="63"/>
      <c r="LAO40" s="63"/>
      <c r="LAP40" s="63"/>
      <c r="LAQ40" s="63"/>
      <c r="LAR40" s="63"/>
      <c r="LAS40" s="63"/>
      <c r="LAT40" s="63"/>
      <c r="LAU40" s="63"/>
      <c r="LAV40" s="63"/>
      <c r="LAW40" s="63"/>
      <c r="LAX40" s="63"/>
      <c r="LAY40" s="63"/>
      <c r="LAZ40" s="63"/>
      <c r="LBA40" s="63"/>
      <c r="LBB40" s="63"/>
      <c r="LBC40" s="63"/>
      <c r="LBD40" s="63"/>
      <c r="LBE40" s="63"/>
      <c r="LBF40" s="63"/>
      <c r="LBG40" s="63"/>
      <c r="LBH40" s="63"/>
      <c r="LBI40" s="63"/>
      <c r="LBJ40" s="63"/>
      <c r="LBK40" s="63"/>
      <c r="LBL40" s="63"/>
      <c r="LBM40" s="63"/>
      <c r="LBN40" s="63"/>
      <c r="LBO40" s="63"/>
      <c r="LBP40" s="63"/>
      <c r="LBQ40" s="63"/>
      <c r="LBR40" s="63"/>
      <c r="LBS40" s="63"/>
      <c r="LBT40" s="63"/>
      <c r="LBU40" s="63"/>
      <c r="LBV40" s="63"/>
      <c r="LBW40" s="63"/>
      <c r="LBX40" s="63"/>
      <c r="LBY40" s="63"/>
      <c r="LBZ40" s="63"/>
      <c r="LCA40" s="63"/>
      <c r="LCB40" s="63"/>
      <c r="LCC40" s="63"/>
      <c r="LCD40" s="63"/>
      <c r="LCE40" s="63"/>
      <c r="LCF40" s="63"/>
      <c r="LCG40" s="63"/>
      <c r="LCH40" s="63"/>
      <c r="LCI40" s="63"/>
      <c r="LCJ40" s="63"/>
      <c r="LCK40" s="63"/>
      <c r="LCL40" s="63"/>
      <c r="LCM40" s="63"/>
      <c r="LCN40" s="63"/>
      <c r="LCO40" s="63"/>
      <c r="LCP40" s="63"/>
      <c r="LCQ40" s="63"/>
      <c r="LCR40" s="63"/>
      <c r="LCS40" s="63"/>
      <c r="LCT40" s="63"/>
      <c r="LCU40" s="63"/>
      <c r="LCV40" s="63"/>
      <c r="LCW40" s="63"/>
      <c r="LCX40" s="63"/>
      <c r="LCY40" s="63"/>
      <c r="LCZ40" s="63"/>
      <c r="LDA40" s="63"/>
      <c r="LDB40" s="63"/>
      <c r="LDC40" s="63"/>
      <c r="LDD40" s="63"/>
      <c r="LDE40" s="63"/>
      <c r="LDF40" s="63"/>
      <c r="LDG40" s="63"/>
      <c r="LDH40" s="63"/>
      <c r="LDI40" s="63"/>
      <c r="LDJ40" s="63"/>
      <c r="LDK40" s="63"/>
      <c r="LDL40" s="63"/>
      <c r="LDM40" s="63"/>
      <c r="LDN40" s="63"/>
      <c r="LDO40" s="63"/>
      <c r="LDP40" s="63"/>
      <c r="LDQ40" s="63"/>
      <c r="LDR40" s="63"/>
      <c r="LDS40" s="63"/>
      <c r="LDT40" s="63"/>
      <c r="LDU40" s="63"/>
      <c r="LDV40" s="63"/>
      <c r="LDW40" s="63"/>
      <c r="LDX40" s="63"/>
      <c r="LDY40" s="63"/>
      <c r="LDZ40" s="63"/>
      <c r="LEA40" s="63"/>
      <c r="LEB40" s="63"/>
      <c r="LEC40" s="63"/>
      <c r="LED40" s="63"/>
      <c r="LEE40" s="63"/>
      <c r="LEF40" s="63"/>
      <c r="LEG40" s="63"/>
      <c r="LEH40" s="63"/>
      <c r="LEI40" s="63"/>
      <c r="LEJ40" s="63"/>
      <c r="LEK40" s="63"/>
      <c r="LEL40" s="63"/>
      <c r="LEM40" s="63"/>
      <c r="LEN40" s="63"/>
      <c r="LEO40" s="63"/>
      <c r="LEP40" s="63"/>
      <c r="LEQ40" s="63"/>
      <c r="LER40" s="63"/>
      <c r="LES40" s="63"/>
      <c r="LET40" s="63"/>
      <c r="LEU40" s="63"/>
      <c r="LEV40" s="63"/>
      <c r="LEW40" s="63"/>
      <c r="LEX40" s="63"/>
      <c r="LEY40" s="63"/>
      <c r="LEZ40" s="63"/>
      <c r="LFA40" s="63"/>
      <c r="LFB40" s="63"/>
      <c r="LFC40" s="63"/>
      <c r="LFD40" s="63"/>
      <c r="LFE40" s="63"/>
      <c r="LFF40" s="63"/>
      <c r="LFG40" s="63"/>
      <c r="LFH40" s="63"/>
      <c r="LFI40" s="63"/>
      <c r="LFJ40" s="63"/>
      <c r="LFK40" s="63"/>
      <c r="LFL40" s="63"/>
      <c r="LFM40" s="63"/>
      <c r="LFN40" s="63"/>
      <c r="LFO40" s="63"/>
      <c r="LFP40" s="63"/>
      <c r="LFQ40" s="63"/>
      <c r="LFR40" s="63"/>
      <c r="LFS40" s="63"/>
      <c r="LFT40" s="63"/>
      <c r="LFU40" s="63"/>
      <c r="LFV40" s="63"/>
      <c r="LFW40" s="63"/>
      <c r="LFX40" s="63"/>
      <c r="LFY40" s="63"/>
      <c r="LFZ40" s="63"/>
      <c r="LGA40" s="63"/>
      <c r="LGB40" s="63"/>
      <c r="LGC40" s="63"/>
      <c r="LGD40" s="63"/>
      <c r="LGE40" s="63"/>
      <c r="LGF40" s="63"/>
      <c r="LGG40" s="63"/>
      <c r="LGH40" s="63"/>
      <c r="LGI40" s="63"/>
      <c r="LGJ40" s="63"/>
      <c r="LGK40" s="63"/>
      <c r="LGL40" s="63"/>
      <c r="LGM40" s="63"/>
      <c r="LGN40" s="63"/>
      <c r="LGO40" s="63"/>
      <c r="LGP40" s="63"/>
      <c r="LGQ40" s="63"/>
      <c r="LGR40" s="63"/>
      <c r="LGS40" s="63"/>
      <c r="LGT40" s="63"/>
      <c r="LGU40" s="63"/>
      <c r="LGV40" s="63"/>
      <c r="LGW40" s="63"/>
      <c r="LGX40" s="63"/>
      <c r="LGY40" s="63"/>
      <c r="LGZ40" s="63"/>
      <c r="LHA40" s="63"/>
      <c r="LHB40" s="63"/>
      <c r="LHC40" s="63"/>
      <c r="LHD40" s="63"/>
      <c r="LHE40" s="63"/>
      <c r="LHF40" s="63"/>
      <c r="LHG40" s="63"/>
      <c r="LHH40" s="63"/>
      <c r="LHI40" s="63"/>
      <c r="LHJ40" s="63"/>
      <c r="LHK40" s="63"/>
      <c r="LHL40" s="63"/>
      <c r="LHM40" s="63"/>
      <c r="LHN40" s="63"/>
      <c r="LHO40" s="63"/>
      <c r="LHP40" s="63"/>
      <c r="LHQ40" s="63"/>
      <c r="LHR40" s="63"/>
      <c r="LHS40" s="63"/>
      <c r="LHT40" s="63"/>
      <c r="LHU40" s="63"/>
      <c r="LHV40" s="63"/>
      <c r="LHW40" s="63"/>
      <c r="LHX40" s="63"/>
      <c r="LHY40" s="63"/>
      <c r="LHZ40" s="63"/>
      <c r="LIA40" s="63"/>
      <c r="LIB40" s="63"/>
      <c r="LIC40" s="63"/>
      <c r="LID40" s="63"/>
      <c r="LIE40" s="63"/>
      <c r="LIF40" s="63"/>
      <c r="LIG40" s="63"/>
      <c r="LIH40" s="63"/>
      <c r="LII40" s="63"/>
      <c r="LIJ40" s="63"/>
      <c r="LIK40" s="63"/>
      <c r="LIL40" s="63"/>
      <c r="LIM40" s="63"/>
      <c r="LIN40" s="63"/>
      <c r="LIO40" s="63"/>
      <c r="LIP40" s="63"/>
      <c r="LIQ40" s="63"/>
      <c r="LIR40" s="63"/>
      <c r="LIS40" s="63"/>
      <c r="LIT40" s="63"/>
      <c r="LIU40" s="63"/>
      <c r="LIV40" s="63"/>
      <c r="LIW40" s="63"/>
      <c r="LIX40" s="63"/>
      <c r="LIY40" s="63"/>
      <c r="LIZ40" s="63"/>
      <c r="LJA40" s="63"/>
      <c r="LJB40" s="63"/>
      <c r="LJC40" s="63"/>
      <c r="LJD40" s="63"/>
      <c r="LJE40" s="63"/>
      <c r="LJF40" s="63"/>
      <c r="LJG40" s="63"/>
      <c r="LJH40" s="63"/>
      <c r="LJI40" s="63"/>
      <c r="LJJ40" s="63"/>
      <c r="LJK40" s="63"/>
      <c r="LJL40" s="63"/>
      <c r="LJM40" s="63"/>
      <c r="LJN40" s="63"/>
      <c r="LJO40" s="63"/>
      <c r="LJP40" s="63"/>
      <c r="LJQ40" s="63"/>
      <c r="LJR40" s="63"/>
      <c r="LJS40" s="63"/>
      <c r="LJT40" s="63"/>
      <c r="LJU40" s="63"/>
      <c r="LJV40" s="63"/>
      <c r="LJW40" s="63"/>
      <c r="LJX40" s="63"/>
      <c r="LJY40" s="63"/>
      <c r="LJZ40" s="63"/>
      <c r="LKA40" s="63"/>
      <c r="LKB40" s="63"/>
      <c r="LKC40" s="63"/>
      <c r="LKD40" s="63"/>
      <c r="LKE40" s="63"/>
      <c r="LKF40" s="63"/>
      <c r="LKG40" s="63"/>
      <c r="LKH40" s="63"/>
      <c r="LKI40" s="63"/>
      <c r="LKJ40" s="63"/>
      <c r="LKK40" s="63"/>
      <c r="LKL40" s="63"/>
      <c r="LKM40" s="63"/>
      <c r="LKN40" s="63"/>
      <c r="LKO40" s="63"/>
      <c r="LKP40" s="63"/>
      <c r="LKQ40" s="63"/>
      <c r="LKR40" s="63"/>
      <c r="LKS40" s="63"/>
      <c r="LKT40" s="63"/>
      <c r="LKU40" s="63"/>
      <c r="LKV40" s="63"/>
      <c r="LKW40" s="63"/>
      <c r="LKX40" s="63"/>
      <c r="LKY40" s="63"/>
      <c r="LKZ40" s="63"/>
      <c r="LLA40" s="63"/>
      <c r="LLB40" s="63"/>
      <c r="LLC40" s="63"/>
      <c r="LLD40" s="63"/>
      <c r="LLE40" s="63"/>
      <c r="LLF40" s="63"/>
      <c r="LLG40" s="63"/>
      <c r="LLH40" s="63"/>
      <c r="LLI40" s="63"/>
      <c r="LLJ40" s="63"/>
      <c r="LLK40" s="63"/>
      <c r="LLL40" s="63"/>
      <c r="LLM40" s="63"/>
      <c r="LLN40" s="63"/>
      <c r="LLO40" s="63"/>
      <c r="LLP40" s="63"/>
      <c r="LLQ40" s="63"/>
      <c r="LLR40" s="63"/>
      <c r="LLS40" s="63"/>
      <c r="LLT40" s="63"/>
      <c r="LLU40" s="63"/>
      <c r="LLV40" s="63"/>
      <c r="LLW40" s="63"/>
      <c r="LLX40" s="63"/>
      <c r="LLY40" s="63"/>
      <c r="LLZ40" s="63"/>
      <c r="LMA40" s="63"/>
      <c r="LMB40" s="63"/>
      <c r="LMC40" s="63"/>
      <c r="LMD40" s="63"/>
      <c r="LME40" s="63"/>
      <c r="LMF40" s="63"/>
      <c r="LMG40" s="63"/>
      <c r="LMH40" s="63"/>
      <c r="LMI40" s="63"/>
      <c r="LMJ40" s="63"/>
      <c r="LMK40" s="63"/>
      <c r="LML40" s="63"/>
      <c r="LMM40" s="63"/>
      <c r="LMN40" s="63"/>
      <c r="LMO40" s="63"/>
      <c r="LMP40" s="63"/>
      <c r="LMQ40" s="63"/>
      <c r="LMR40" s="63"/>
      <c r="LMS40" s="63"/>
      <c r="LMT40" s="63"/>
      <c r="LMU40" s="63"/>
      <c r="LMV40" s="63"/>
      <c r="LMW40" s="63"/>
      <c r="LMX40" s="63"/>
      <c r="LMY40" s="63"/>
      <c r="LMZ40" s="63"/>
      <c r="LNA40" s="63"/>
      <c r="LNB40" s="63"/>
      <c r="LNC40" s="63"/>
      <c r="LND40" s="63"/>
      <c r="LNE40" s="63"/>
      <c r="LNF40" s="63"/>
      <c r="LNG40" s="63"/>
      <c r="LNH40" s="63"/>
      <c r="LNI40" s="63"/>
      <c r="LNJ40" s="63"/>
      <c r="LNK40" s="63"/>
      <c r="LNL40" s="63"/>
      <c r="LNM40" s="63"/>
      <c r="LNN40" s="63"/>
      <c r="LNO40" s="63"/>
      <c r="LNP40" s="63"/>
      <c r="LNQ40" s="63"/>
      <c r="LNR40" s="63"/>
      <c r="LNS40" s="63"/>
      <c r="LNT40" s="63"/>
      <c r="LNU40" s="63"/>
      <c r="LNV40" s="63"/>
      <c r="LNW40" s="63"/>
      <c r="LNX40" s="63"/>
      <c r="LNY40" s="63"/>
      <c r="LNZ40" s="63"/>
      <c r="LOA40" s="63"/>
      <c r="LOB40" s="63"/>
      <c r="LOC40" s="63"/>
      <c r="LOD40" s="63"/>
      <c r="LOE40" s="63"/>
      <c r="LOF40" s="63"/>
      <c r="LOG40" s="63"/>
      <c r="LOH40" s="63"/>
      <c r="LOI40" s="63"/>
      <c r="LOJ40" s="63"/>
      <c r="LOK40" s="63"/>
      <c r="LOL40" s="63"/>
      <c r="LOM40" s="63"/>
      <c r="LON40" s="63"/>
      <c r="LOO40" s="63"/>
      <c r="LOP40" s="63"/>
      <c r="LOQ40" s="63"/>
      <c r="LOR40" s="63"/>
      <c r="LOS40" s="63"/>
      <c r="LOT40" s="63"/>
      <c r="LOU40" s="63"/>
      <c r="LOV40" s="63"/>
      <c r="LOW40" s="63"/>
      <c r="LOX40" s="63"/>
      <c r="LOY40" s="63"/>
      <c r="LOZ40" s="63"/>
      <c r="LPA40" s="63"/>
      <c r="LPB40" s="63"/>
      <c r="LPC40" s="63"/>
      <c r="LPD40" s="63"/>
      <c r="LPE40" s="63"/>
      <c r="LPF40" s="63"/>
      <c r="LPG40" s="63"/>
      <c r="LPH40" s="63"/>
      <c r="LPI40" s="63"/>
      <c r="LPJ40" s="63"/>
      <c r="LPK40" s="63"/>
      <c r="LPL40" s="63"/>
      <c r="LPM40" s="63"/>
      <c r="LPN40" s="63"/>
      <c r="LPO40" s="63"/>
      <c r="LPP40" s="63"/>
      <c r="LPQ40" s="63"/>
      <c r="LPR40" s="63"/>
      <c r="LPS40" s="63"/>
      <c r="LPT40" s="63"/>
      <c r="LPU40" s="63"/>
      <c r="LPV40" s="63"/>
      <c r="LPW40" s="63"/>
      <c r="LPX40" s="63"/>
      <c r="LPY40" s="63"/>
      <c r="LPZ40" s="63"/>
      <c r="LQA40" s="63"/>
      <c r="LQB40" s="63"/>
      <c r="LQC40" s="63"/>
      <c r="LQD40" s="63"/>
      <c r="LQE40" s="63"/>
      <c r="LQF40" s="63"/>
      <c r="LQG40" s="63"/>
      <c r="LQH40" s="63"/>
      <c r="LQI40" s="63"/>
      <c r="LQJ40" s="63"/>
      <c r="LQK40" s="63"/>
      <c r="LQL40" s="63"/>
      <c r="LQM40" s="63"/>
      <c r="LQN40" s="63"/>
      <c r="LQO40" s="63"/>
      <c r="LQP40" s="63"/>
      <c r="LQQ40" s="63"/>
      <c r="LQR40" s="63"/>
      <c r="LQS40" s="63"/>
      <c r="LQT40" s="63"/>
      <c r="LQU40" s="63"/>
      <c r="LQV40" s="63"/>
      <c r="LQW40" s="63"/>
      <c r="LQX40" s="63"/>
      <c r="LQY40" s="63"/>
      <c r="LQZ40" s="63"/>
      <c r="LRA40" s="63"/>
      <c r="LRB40" s="63"/>
      <c r="LRC40" s="63"/>
      <c r="LRD40" s="63"/>
      <c r="LRE40" s="63"/>
      <c r="LRF40" s="63"/>
      <c r="LRG40" s="63"/>
      <c r="LRH40" s="63"/>
      <c r="LRI40" s="63"/>
      <c r="LRJ40" s="63"/>
      <c r="LRK40" s="63"/>
      <c r="LRL40" s="63"/>
      <c r="LRM40" s="63"/>
      <c r="LRN40" s="63"/>
      <c r="LRO40" s="63"/>
      <c r="LRP40" s="63"/>
      <c r="LRQ40" s="63"/>
      <c r="LRR40" s="63"/>
      <c r="LRS40" s="63"/>
      <c r="LRT40" s="63"/>
      <c r="LRU40" s="63"/>
      <c r="LRV40" s="63"/>
      <c r="LRW40" s="63"/>
      <c r="LRX40" s="63"/>
      <c r="LRY40" s="63"/>
      <c r="LRZ40" s="63"/>
      <c r="LSA40" s="63"/>
      <c r="LSB40" s="63"/>
      <c r="LSC40" s="63"/>
      <c r="LSD40" s="63"/>
      <c r="LSE40" s="63"/>
      <c r="LSF40" s="63"/>
      <c r="LSG40" s="63"/>
      <c r="LSH40" s="63"/>
      <c r="LSI40" s="63"/>
      <c r="LSJ40" s="63"/>
      <c r="LSK40" s="63"/>
      <c r="LSL40" s="63"/>
      <c r="LSM40" s="63"/>
      <c r="LSN40" s="63"/>
      <c r="LSO40" s="63"/>
      <c r="LSP40" s="63"/>
      <c r="LSQ40" s="63"/>
      <c r="LSR40" s="63"/>
      <c r="LSS40" s="63"/>
      <c r="LST40" s="63"/>
      <c r="LSU40" s="63"/>
      <c r="LSV40" s="63"/>
      <c r="LSW40" s="63"/>
      <c r="LSX40" s="63"/>
      <c r="LSY40" s="63"/>
      <c r="LSZ40" s="63"/>
      <c r="LTA40" s="63"/>
      <c r="LTB40" s="63"/>
      <c r="LTC40" s="63"/>
      <c r="LTD40" s="63"/>
      <c r="LTE40" s="63"/>
      <c r="LTF40" s="63"/>
      <c r="LTG40" s="63"/>
      <c r="LTH40" s="63"/>
      <c r="LTI40" s="63"/>
      <c r="LTJ40" s="63"/>
      <c r="LTK40" s="63"/>
      <c r="LTL40" s="63"/>
      <c r="LTM40" s="63"/>
      <c r="LTN40" s="63"/>
      <c r="LTO40" s="63"/>
      <c r="LTP40" s="63"/>
      <c r="LTQ40" s="63"/>
      <c r="LTR40" s="63"/>
      <c r="LTS40" s="63"/>
      <c r="LTT40" s="63"/>
      <c r="LTU40" s="63"/>
      <c r="LTV40" s="63"/>
      <c r="LTW40" s="63"/>
      <c r="LTX40" s="63"/>
      <c r="LTY40" s="63"/>
      <c r="LTZ40" s="63"/>
      <c r="LUA40" s="63"/>
      <c r="LUB40" s="63"/>
      <c r="LUC40" s="63"/>
      <c r="LUD40" s="63"/>
      <c r="LUE40" s="63"/>
      <c r="LUF40" s="63"/>
      <c r="LUG40" s="63"/>
      <c r="LUH40" s="63"/>
      <c r="LUI40" s="63"/>
      <c r="LUJ40" s="63"/>
      <c r="LUK40" s="63"/>
      <c r="LUL40" s="63"/>
      <c r="LUM40" s="63"/>
      <c r="LUN40" s="63"/>
      <c r="LUO40" s="63"/>
      <c r="LUP40" s="63"/>
      <c r="LUQ40" s="63"/>
      <c r="LUR40" s="63"/>
      <c r="LUS40" s="63"/>
      <c r="LUT40" s="63"/>
      <c r="LUU40" s="63"/>
      <c r="LUV40" s="63"/>
      <c r="LUW40" s="63"/>
      <c r="LUX40" s="63"/>
      <c r="LUY40" s="63"/>
      <c r="LUZ40" s="63"/>
      <c r="LVA40" s="63"/>
      <c r="LVB40" s="63"/>
      <c r="LVC40" s="63"/>
      <c r="LVD40" s="63"/>
      <c r="LVE40" s="63"/>
      <c r="LVF40" s="63"/>
      <c r="LVG40" s="63"/>
      <c r="LVH40" s="63"/>
      <c r="LVI40" s="63"/>
      <c r="LVJ40" s="63"/>
      <c r="LVK40" s="63"/>
      <c r="LVL40" s="63"/>
      <c r="LVM40" s="63"/>
      <c r="LVN40" s="63"/>
      <c r="LVO40" s="63"/>
      <c r="LVP40" s="63"/>
      <c r="LVQ40" s="63"/>
      <c r="LVR40" s="63"/>
      <c r="LVS40" s="63"/>
      <c r="LVT40" s="63"/>
      <c r="LVU40" s="63"/>
      <c r="LVV40" s="63"/>
      <c r="LVW40" s="63"/>
      <c r="LVX40" s="63"/>
      <c r="LVY40" s="63"/>
      <c r="LVZ40" s="63"/>
      <c r="LWA40" s="63"/>
      <c r="LWB40" s="63"/>
      <c r="LWC40" s="63"/>
      <c r="LWD40" s="63"/>
      <c r="LWE40" s="63"/>
      <c r="LWF40" s="63"/>
      <c r="LWG40" s="63"/>
      <c r="LWH40" s="63"/>
      <c r="LWI40" s="63"/>
      <c r="LWJ40" s="63"/>
      <c r="LWK40" s="63"/>
      <c r="LWL40" s="63"/>
      <c r="LWM40" s="63"/>
      <c r="LWN40" s="63"/>
      <c r="LWO40" s="63"/>
      <c r="LWP40" s="63"/>
      <c r="LWQ40" s="63"/>
      <c r="LWR40" s="63"/>
      <c r="LWS40" s="63"/>
      <c r="LWT40" s="63"/>
      <c r="LWU40" s="63"/>
      <c r="LWV40" s="63"/>
      <c r="LWW40" s="63"/>
      <c r="LWX40" s="63"/>
      <c r="LWY40" s="63"/>
      <c r="LWZ40" s="63"/>
      <c r="LXA40" s="63"/>
      <c r="LXB40" s="63"/>
      <c r="LXC40" s="63"/>
      <c r="LXD40" s="63"/>
      <c r="LXE40" s="63"/>
      <c r="LXF40" s="63"/>
      <c r="LXG40" s="63"/>
      <c r="LXH40" s="63"/>
      <c r="LXI40" s="63"/>
      <c r="LXJ40" s="63"/>
      <c r="LXK40" s="63"/>
      <c r="LXL40" s="63"/>
      <c r="LXM40" s="63"/>
      <c r="LXN40" s="63"/>
      <c r="LXO40" s="63"/>
      <c r="LXP40" s="63"/>
      <c r="LXQ40" s="63"/>
      <c r="LXR40" s="63"/>
      <c r="LXS40" s="63"/>
      <c r="LXT40" s="63"/>
      <c r="LXU40" s="63"/>
      <c r="LXV40" s="63"/>
      <c r="LXW40" s="63"/>
      <c r="LXX40" s="63"/>
      <c r="LXY40" s="63"/>
      <c r="LXZ40" s="63"/>
      <c r="LYA40" s="63"/>
      <c r="LYB40" s="63"/>
      <c r="LYC40" s="63"/>
      <c r="LYD40" s="63"/>
      <c r="LYE40" s="63"/>
      <c r="LYF40" s="63"/>
      <c r="LYG40" s="63"/>
      <c r="LYH40" s="63"/>
      <c r="LYI40" s="63"/>
      <c r="LYJ40" s="63"/>
      <c r="LYK40" s="63"/>
      <c r="LYL40" s="63"/>
      <c r="LYM40" s="63"/>
      <c r="LYN40" s="63"/>
      <c r="LYO40" s="63"/>
      <c r="LYP40" s="63"/>
      <c r="LYQ40" s="63"/>
      <c r="LYR40" s="63"/>
      <c r="LYS40" s="63"/>
      <c r="LYT40" s="63"/>
      <c r="LYU40" s="63"/>
      <c r="LYV40" s="63"/>
      <c r="LYW40" s="63"/>
      <c r="LYX40" s="63"/>
      <c r="LYY40" s="63"/>
      <c r="LYZ40" s="63"/>
      <c r="LZA40" s="63"/>
      <c r="LZB40" s="63"/>
      <c r="LZC40" s="63"/>
      <c r="LZD40" s="63"/>
      <c r="LZE40" s="63"/>
      <c r="LZF40" s="63"/>
      <c r="LZG40" s="63"/>
      <c r="LZH40" s="63"/>
      <c r="LZI40" s="63"/>
      <c r="LZJ40" s="63"/>
      <c r="LZK40" s="63"/>
      <c r="LZL40" s="63"/>
      <c r="LZM40" s="63"/>
      <c r="LZN40" s="63"/>
      <c r="LZO40" s="63"/>
      <c r="LZP40" s="63"/>
      <c r="LZQ40" s="63"/>
      <c r="LZR40" s="63"/>
      <c r="LZS40" s="63"/>
      <c r="LZT40" s="63"/>
      <c r="LZU40" s="63"/>
      <c r="LZV40" s="63"/>
      <c r="LZW40" s="63"/>
      <c r="LZX40" s="63"/>
      <c r="LZY40" s="63"/>
      <c r="LZZ40" s="63"/>
      <c r="MAA40" s="63"/>
      <c r="MAB40" s="63"/>
      <c r="MAC40" s="63"/>
      <c r="MAD40" s="63"/>
      <c r="MAE40" s="63"/>
      <c r="MAF40" s="63"/>
      <c r="MAG40" s="63"/>
      <c r="MAH40" s="63"/>
      <c r="MAI40" s="63"/>
      <c r="MAJ40" s="63"/>
      <c r="MAK40" s="63"/>
      <c r="MAL40" s="63"/>
      <c r="MAM40" s="63"/>
      <c r="MAN40" s="63"/>
      <c r="MAO40" s="63"/>
      <c r="MAP40" s="63"/>
      <c r="MAQ40" s="63"/>
      <c r="MAR40" s="63"/>
      <c r="MAS40" s="63"/>
      <c r="MAT40" s="63"/>
      <c r="MAU40" s="63"/>
      <c r="MAV40" s="63"/>
      <c r="MAW40" s="63"/>
      <c r="MAX40" s="63"/>
      <c r="MAY40" s="63"/>
      <c r="MAZ40" s="63"/>
      <c r="MBA40" s="63"/>
      <c r="MBB40" s="63"/>
      <c r="MBC40" s="63"/>
      <c r="MBD40" s="63"/>
      <c r="MBE40" s="63"/>
      <c r="MBF40" s="63"/>
      <c r="MBG40" s="63"/>
      <c r="MBH40" s="63"/>
      <c r="MBI40" s="63"/>
      <c r="MBJ40" s="63"/>
      <c r="MBK40" s="63"/>
      <c r="MBL40" s="63"/>
      <c r="MBM40" s="63"/>
      <c r="MBN40" s="63"/>
      <c r="MBO40" s="63"/>
      <c r="MBP40" s="63"/>
      <c r="MBQ40" s="63"/>
      <c r="MBR40" s="63"/>
      <c r="MBS40" s="63"/>
      <c r="MBT40" s="63"/>
      <c r="MBU40" s="63"/>
      <c r="MBV40" s="63"/>
      <c r="MBW40" s="63"/>
      <c r="MBX40" s="63"/>
      <c r="MBY40" s="63"/>
      <c r="MBZ40" s="63"/>
      <c r="MCA40" s="63"/>
      <c r="MCB40" s="63"/>
      <c r="MCC40" s="63"/>
      <c r="MCD40" s="63"/>
      <c r="MCE40" s="63"/>
      <c r="MCF40" s="63"/>
      <c r="MCG40" s="63"/>
      <c r="MCH40" s="63"/>
      <c r="MCI40" s="63"/>
      <c r="MCJ40" s="63"/>
      <c r="MCK40" s="63"/>
      <c r="MCL40" s="63"/>
      <c r="MCM40" s="63"/>
      <c r="MCN40" s="63"/>
      <c r="MCO40" s="63"/>
      <c r="MCP40" s="63"/>
      <c r="MCQ40" s="63"/>
      <c r="MCR40" s="63"/>
      <c r="MCS40" s="63"/>
      <c r="MCT40" s="63"/>
      <c r="MCU40" s="63"/>
      <c r="MCV40" s="63"/>
      <c r="MCW40" s="63"/>
      <c r="MCX40" s="63"/>
      <c r="MCY40" s="63"/>
      <c r="MCZ40" s="63"/>
      <c r="MDA40" s="63"/>
      <c r="MDB40" s="63"/>
      <c r="MDC40" s="63"/>
      <c r="MDD40" s="63"/>
      <c r="MDE40" s="63"/>
      <c r="MDF40" s="63"/>
      <c r="MDG40" s="63"/>
      <c r="MDH40" s="63"/>
      <c r="MDI40" s="63"/>
      <c r="MDJ40" s="63"/>
      <c r="MDK40" s="63"/>
      <c r="MDL40" s="63"/>
      <c r="MDM40" s="63"/>
      <c r="MDN40" s="63"/>
      <c r="MDO40" s="63"/>
      <c r="MDP40" s="63"/>
      <c r="MDQ40" s="63"/>
      <c r="MDR40" s="63"/>
      <c r="MDS40" s="63"/>
      <c r="MDT40" s="63"/>
      <c r="MDU40" s="63"/>
      <c r="MDV40" s="63"/>
      <c r="MDW40" s="63"/>
      <c r="MDX40" s="63"/>
      <c r="MDY40" s="63"/>
      <c r="MDZ40" s="63"/>
      <c r="MEA40" s="63"/>
      <c r="MEB40" s="63"/>
      <c r="MEC40" s="63"/>
      <c r="MED40" s="63"/>
      <c r="MEE40" s="63"/>
      <c r="MEF40" s="63"/>
      <c r="MEG40" s="63"/>
      <c r="MEH40" s="63"/>
      <c r="MEI40" s="63"/>
      <c r="MEJ40" s="63"/>
      <c r="MEK40" s="63"/>
      <c r="MEL40" s="63"/>
      <c r="MEM40" s="63"/>
      <c r="MEN40" s="63"/>
      <c r="MEO40" s="63"/>
      <c r="MEP40" s="63"/>
      <c r="MEQ40" s="63"/>
      <c r="MER40" s="63"/>
      <c r="MES40" s="63"/>
      <c r="MET40" s="63"/>
      <c r="MEU40" s="63"/>
      <c r="MEV40" s="63"/>
      <c r="MEW40" s="63"/>
      <c r="MEX40" s="63"/>
      <c r="MEY40" s="63"/>
      <c r="MEZ40" s="63"/>
      <c r="MFA40" s="63"/>
      <c r="MFB40" s="63"/>
      <c r="MFC40" s="63"/>
      <c r="MFD40" s="63"/>
      <c r="MFE40" s="63"/>
      <c r="MFF40" s="63"/>
      <c r="MFG40" s="63"/>
      <c r="MFH40" s="63"/>
      <c r="MFI40" s="63"/>
      <c r="MFJ40" s="63"/>
      <c r="MFK40" s="63"/>
      <c r="MFL40" s="63"/>
      <c r="MFM40" s="63"/>
      <c r="MFN40" s="63"/>
      <c r="MFO40" s="63"/>
      <c r="MFP40" s="63"/>
      <c r="MFQ40" s="63"/>
      <c r="MFR40" s="63"/>
      <c r="MFS40" s="63"/>
      <c r="MFT40" s="63"/>
      <c r="MFU40" s="63"/>
      <c r="MFV40" s="63"/>
      <c r="MFW40" s="63"/>
      <c r="MFX40" s="63"/>
      <c r="MFY40" s="63"/>
      <c r="MFZ40" s="63"/>
      <c r="MGA40" s="63"/>
      <c r="MGB40" s="63"/>
      <c r="MGC40" s="63"/>
      <c r="MGD40" s="63"/>
      <c r="MGE40" s="63"/>
      <c r="MGF40" s="63"/>
      <c r="MGG40" s="63"/>
      <c r="MGH40" s="63"/>
      <c r="MGI40" s="63"/>
      <c r="MGJ40" s="63"/>
      <c r="MGK40" s="63"/>
      <c r="MGL40" s="63"/>
      <c r="MGM40" s="63"/>
      <c r="MGN40" s="63"/>
      <c r="MGO40" s="63"/>
      <c r="MGP40" s="63"/>
      <c r="MGQ40" s="63"/>
      <c r="MGR40" s="63"/>
      <c r="MGS40" s="63"/>
      <c r="MGT40" s="63"/>
      <c r="MGU40" s="63"/>
      <c r="MGV40" s="63"/>
      <c r="MGW40" s="63"/>
      <c r="MGX40" s="63"/>
      <c r="MGY40" s="63"/>
      <c r="MGZ40" s="63"/>
      <c r="MHA40" s="63"/>
      <c r="MHB40" s="63"/>
      <c r="MHC40" s="63"/>
      <c r="MHD40" s="63"/>
      <c r="MHE40" s="63"/>
      <c r="MHF40" s="63"/>
      <c r="MHG40" s="63"/>
      <c r="MHH40" s="63"/>
      <c r="MHI40" s="63"/>
      <c r="MHJ40" s="63"/>
      <c r="MHK40" s="63"/>
      <c r="MHL40" s="63"/>
      <c r="MHM40" s="63"/>
      <c r="MHN40" s="63"/>
      <c r="MHO40" s="63"/>
      <c r="MHP40" s="63"/>
      <c r="MHQ40" s="63"/>
      <c r="MHR40" s="63"/>
      <c r="MHS40" s="63"/>
      <c r="MHT40" s="63"/>
      <c r="MHU40" s="63"/>
      <c r="MHV40" s="63"/>
      <c r="MHW40" s="63"/>
      <c r="MHX40" s="63"/>
      <c r="MHY40" s="63"/>
      <c r="MHZ40" s="63"/>
      <c r="MIA40" s="63"/>
      <c r="MIB40" s="63"/>
      <c r="MIC40" s="63"/>
      <c r="MID40" s="63"/>
      <c r="MIE40" s="63"/>
      <c r="MIF40" s="63"/>
      <c r="MIG40" s="63"/>
      <c r="MIH40" s="63"/>
      <c r="MII40" s="63"/>
      <c r="MIJ40" s="63"/>
      <c r="MIK40" s="63"/>
      <c r="MIL40" s="63"/>
      <c r="MIM40" s="63"/>
      <c r="MIN40" s="63"/>
      <c r="MIO40" s="63"/>
      <c r="MIP40" s="63"/>
      <c r="MIQ40" s="63"/>
      <c r="MIR40" s="63"/>
      <c r="MIS40" s="63"/>
      <c r="MIT40" s="63"/>
      <c r="MIU40" s="63"/>
      <c r="MIV40" s="63"/>
      <c r="MIW40" s="63"/>
      <c r="MIX40" s="63"/>
      <c r="MIY40" s="63"/>
      <c r="MIZ40" s="63"/>
      <c r="MJA40" s="63"/>
      <c r="MJB40" s="63"/>
      <c r="MJC40" s="63"/>
      <c r="MJD40" s="63"/>
      <c r="MJE40" s="63"/>
      <c r="MJF40" s="63"/>
      <c r="MJG40" s="63"/>
      <c r="MJH40" s="63"/>
      <c r="MJI40" s="63"/>
      <c r="MJJ40" s="63"/>
      <c r="MJK40" s="63"/>
      <c r="MJL40" s="63"/>
      <c r="MJM40" s="63"/>
      <c r="MJN40" s="63"/>
      <c r="MJO40" s="63"/>
      <c r="MJP40" s="63"/>
      <c r="MJQ40" s="63"/>
      <c r="MJR40" s="63"/>
      <c r="MJS40" s="63"/>
      <c r="MJT40" s="63"/>
      <c r="MJU40" s="63"/>
      <c r="MJV40" s="63"/>
      <c r="MJW40" s="63"/>
      <c r="MJX40" s="63"/>
      <c r="MJY40" s="63"/>
      <c r="MJZ40" s="63"/>
      <c r="MKA40" s="63"/>
      <c r="MKB40" s="63"/>
      <c r="MKC40" s="63"/>
      <c r="MKD40" s="63"/>
      <c r="MKE40" s="63"/>
      <c r="MKF40" s="63"/>
      <c r="MKG40" s="63"/>
      <c r="MKH40" s="63"/>
      <c r="MKI40" s="63"/>
      <c r="MKJ40" s="63"/>
      <c r="MKK40" s="63"/>
      <c r="MKL40" s="63"/>
      <c r="MKM40" s="63"/>
      <c r="MKN40" s="63"/>
      <c r="MKO40" s="63"/>
      <c r="MKP40" s="63"/>
      <c r="MKQ40" s="63"/>
      <c r="MKR40" s="63"/>
      <c r="MKS40" s="63"/>
      <c r="MKT40" s="63"/>
      <c r="MKU40" s="63"/>
      <c r="MKV40" s="63"/>
      <c r="MKW40" s="63"/>
      <c r="MKX40" s="63"/>
      <c r="MKY40" s="63"/>
      <c r="MKZ40" s="63"/>
      <c r="MLA40" s="63"/>
      <c r="MLB40" s="63"/>
      <c r="MLC40" s="63"/>
      <c r="MLD40" s="63"/>
      <c r="MLE40" s="63"/>
      <c r="MLF40" s="63"/>
      <c r="MLG40" s="63"/>
      <c r="MLH40" s="63"/>
      <c r="MLI40" s="63"/>
      <c r="MLJ40" s="63"/>
      <c r="MLK40" s="63"/>
      <c r="MLL40" s="63"/>
      <c r="MLM40" s="63"/>
      <c r="MLN40" s="63"/>
      <c r="MLO40" s="63"/>
      <c r="MLP40" s="63"/>
      <c r="MLQ40" s="63"/>
      <c r="MLR40" s="63"/>
      <c r="MLS40" s="63"/>
      <c r="MLT40" s="63"/>
      <c r="MLU40" s="63"/>
      <c r="MLV40" s="63"/>
      <c r="MLW40" s="63"/>
      <c r="MLX40" s="63"/>
      <c r="MLY40" s="63"/>
      <c r="MLZ40" s="63"/>
      <c r="MMA40" s="63"/>
      <c r="MMB40" s="63"/>
      <c r="MMC40" s="63"/>
      <c r="MMD40" s="63"/>
      <c r="MME40" s="63"/>
      <c r="MMF40" s="63"/>
      <c r="MMG40" s="63"/>
      <c r="MMH40" s="63"/>
      <c r="MMI40" s="63"/>
      <c r="MMJ40" s="63"/>
      <c r="MMK40" s="63"/>
      <c r="MML40" s="63"/>
      <c r="MMM40" s="63"/>
      <c r="MMN40" s="63"/>
      <c r="MMO40" s="63"/>
      <c r="MMP40" s="63"/>
      <c r="MMQ40" s="63"/>
      <c r="MMR40" s="63"/>
      <c r="MMS40" s="63"/>
      <c r="MMT40" s="63"/>
      <c r="MMU40" s="63"/>
      <c r="MMV40" s="63"/>
      <c r="MMW40" s="63"/>
      <c r="MMX40" s="63"/>
      <c r="MMY40" s="63"/>
      <c r="MMZ40" s="63"/>
      <c r="MNA40" s="63"/>
      <c r="MNB40" s="63"/>
      <c r="MNC40" s="63"/>
      <c r="MND40" s="63"/>
      <c r="MNE40" s="63"/>
      <c r="MNF40" s="63"/>
      <c r="MNG40" s="63"/>
      <c r="MNH40" s="63"/>
      <c r="MNI40" s="63"/>
      <c r="MNJ40" s="63"/>
      <c r="MNK40" s="63"/>
      <c r="MNL40" s="63"/>
      <c r="MNM40" s="63"/>
      <c r="MNN40" s="63"/>
      <c r="MNO40" s="63"/>
      <c r="MNP40" s="63"/>
      <c r="MNQ40" s="63"/>
      <c r="MNR40" s="63"/>
      <c r="MNS40" s="63"/>
      <c r="MNT40" s="63"/>
      <c r="MNU40" s="63"/>
      <c r="MNV40" s="63"/>
      <c r="MNW40" s="63"/>
      <c r="MNX40" s="63"/>
      <c r="MNY40" s="63"/>
      <c r="MNZ40" s="63"/>
      <c r="MOA40" s="63"/>
      <c r="MOB40" s="63"/>
      <c r="MOC40" s="63"/>
      <c r="MOD40" s="63"/>
      <c r="MOE40" s="63"/>
      <c r="MOF40" s="63"/>
      <c r="MOG40" s="63"/>
      <c r="MOH40" s="63"/>
      <c r="MOI40" s="63"/>
      <c r="MOJ40" s="63"/>
      <c r="MOK40" s="63"/>
      <c r="MOL40" s="63"/>
      <c r="MOM40" s="63"/>
      <c r="MON40" s="63"/>
      <c r="MOO40" s="63"/>
      <c r="MOP40" s="63"/>
      <c r="MOQ40" s="63"/>
      <c r="MOR40" s="63"/>
      <c r="MOS40" s="63"/>
      <c r="MOT40" s="63"/>
      <c r="MOU40" s="63"/>
      <c r="MOV40" s="63"/>
      <c r="MOW40" s="63"/>
      <c r="MOX40" s="63"/>
      <c r="MOY40" s="63"/>
      <c r="MOZ40" s="63"/>
      <c r="MPA40" s="63"/>
      <c r="MPB40" s="63"/>
      <c r="MPC40" s="63"/>
      <c r="MPD40" s="63"/>
      <c r="MPE40" s="63"/>
      <c r="MPF40" s="63"/>
      <c r="MPG40" s="63"/>
      <c r="MPH40" s="63"/>
      <c r="MPI40" s="63"/>
      <c r="MPJ40" s="63"/>
      <c r="MPK40" s="63"/>
      <c r="MPL40" s="63"/>
      <c r="MPM40" s="63"/>
      <c r="MPN40" s="63"/>
      <c r="MPO40" s="63"/>
      <c r="MPP40" s="63"/>
      <c r="MPQ40" s="63"/>
      <c r="MPR40" s="63"/>
      <c r="MPS40" s="63"/>
      <c r="MPT40" s="63"/>
      <c r="MPU40" s="63"/>
      <c r="MPV40" s="63"/>
      <c r="MPW40" s="63"/>
      <c r="MPX40" s="63"/>
      <c r="MPY40" s="63"/>
      <c r="MPZ40" s="63"/>
      <c r="MQA40" s="63"/>
      <c r="MQB40" s="63"/>
      <c r="MQC40" s="63"/>
      <c r="MQD40" s="63"/>
      <c r="MQE40" s="63"/>
      <c r="MQF40" s="63"/>
      <c r="MQG40" s="63"/>
      <c r="MQH40" s="63"/>
      <c r="MQI40" s="63"/>
      <c r="MQJ40" s="63"/>
      <c r="MQK40" s="63"/>
      <c r="MQL40" s="63"/>
      <c r="MQM40" s="63"/>
      <c r="MQN40" s="63"/>
      <c r="MQO40" s="63"/>
      <c r="MQP40" s="63"/>
      <c r="MQQ40" s="63"/>
      <c r="MQR40" s="63"/>
      <c r="MQS40" s="63"/>
      <c r="MQT40" s="63"/>
      <c r="MQU40" s="63"/>
      <c r="MQV40" s="63"/>
      <c r="MQW40" s="63"/>
      <c r="MQX40" s="63"/>
      <c r="MQY40" s="63"/>
      <c r="MQZ40" s="63"/>
      <c r="MRA40" s="63"/>
      <c r="MRB40" s="63"/>
      <c r="MRC40" s="63"/>
      <c r="MRD40" s="63"/>
      <c r="MRE40" s="63"/>
      <c r="MRF40" s="63"/>
      <c r="MRG40" s="63"/>
      <c r="MRH40" s="63"/>
      <c r="MRI40" s="63"/>
      <c r="MRJ40" s="63"/>
      <c r="MRK40" s="63"/>
      <c r="MRL40" s="63"/>
      <c r="MRM40" s="63"/>
      <c r="MRN40" s="63"/>
      <c r="MRO40" s="63"/>
      <c r="MRP40" s="63"/>
      <c r="MRQ40" s="63"/>
      <c r="MRR40" s="63"/>
      <c r="MRS40" s="63"/>
      <c r="MRT40" s="63"/>
      <c r="MRU40" s="63"/>
      <c r="MRV40" s="63"/>
      <c r="MRW40" s="63"/>
      <c r="MRX40" s="63"/>
      <c r="MRY40" s="63"/>
      <c r="MRZ40" s="63"/>
      <c r="MSA40" s="63"/>
      <c r="MSB40" s="63"/>
      <c r="MSC40" s="63"/>
      <c r="MSD40" s="63"/>
      <c r="MSE40" s="63"/>
      <c r="MSF40" s="63"/>
      <c r="MSG40" s="63"/>
      <c r="MSH40" s="63"/>
      <c r="MSI40" s="63"/>
      <c r="MSJ40" s="63"/>
      <c r="MSK40" s="63"/>
      <c r="MSL40" s="63"/>
      <c r="MSM40" s="63"/>
      <c r="MSN40" s="63"/>
      <c r="MSO40" s="63"/>
      <c r="MSP40" s="63"/>
      <c r="MSQ40" s="63"/>
      <c r="MSR40" s="63"/>
      <c r="MSS40" s="63"/>
      <c r="MST40" s="63"/>
      <c r="MSU40" s="63"/>
      <c r="MSV40" s="63"/>
      <c r="MSW40" s="63"/>
      <c r="MSX40" s="63"/>
      <c r="MSY40" s="63"/>
      <c r="MSZ40" s="63"/>
      <c r="MTA40" s="63"/>
      <c r="MTB40" s="63"/>
      <c r="MTC40" s="63"/>
      <c r="MTD40" s="63"/>
      <c r="MTE40" s="63"/>
      <c r="MTF40" s="63"/>
      <c r="MTG40" s="63"/>
      <c r="MTH40" s="63"/>
      <c r="MTI40" s="63"/>
      <c r="MTJ40" s="63"/>
      <c r="MTK40" s="63"/>
      <c r="MTL40" s="63"/>
      <c r="MTM40" s="63"/>
      <c r="MTN40" s="63"/>
      <c r="MTO40" s="63"/>
      <c r="MTP40" s="63"/>
      <c r="MTQ40" s="63"/>
      <c r="MTR40" s="63"/>
      <c r="MTS40" s="63"/>
      <c r="MTT40" s="63"/>
      <c r="MTU40" s="63"/>
      <c r="MTV40" s="63"/>
      <c r="MTW40" s="63"/>
      <c r="MTX40" s="63"/>
      <c r="MTY40" s="63"/>
      <c r="MTZ40" s="63"/>
      <c r="MUA40" s="63"/>
      <c r="MUB40" s="63"/>
      <c r="MUC40" s="63"/>
      <c r="MUD40" s="63"/>
      <c r="MUE40" s="63"/>
      <c r="MUF40" s="63"/>
      <c r="MUG40" s="63"/>
      <c r="MUH40" s="63"/>
      <c r="MUI40" s="63"/>
      <c r="MUJ40" s="63"/>
      <c r="MUK40" s="63"/>
      <c r="MUL40" s="63"/>
      <c r="MUM40" s="63"/>
      <c r="MUN40" s="63"/>
      <c r="MUO40" s="63"/>
      <c r="MUP40" s="63"/>
      <c r="MUQ40" s="63"/>
      <c r="MUR40" s="63"/>
      <c r="MUS40" s="63"/>
      <c r="MUT40" s="63"/>
      <c r="MUU40" s="63"/>
      <c r="MUV40" s="63"/>
      <c r="MUW40" s="63"/>
      <c r="MUX40" s="63"/>
      <c r="MUY40" s="63"/>
      <c r="MUZ40" s="63"/>
      <c r="MVA40" s="63"/>
      <c r="MVB40" s="63"/>
      <c r="MVC40" s="63"/>
      <c r="MVD40" s="63"/>
      <c r="MVE40" s="63"/>
      <c r="MVF40" s="63"/>
      <c r="MVG40" s="63"/>
      <c r="MVH40" s="63"/>
      <c r="MVI40" s="63"/>
      <c r="MVJ40" s="63"/>
      <c r="MVK40" s="63"/>
      <c r="MVL40" s="63"/>
      <c r="MVM40" s="63"/>
      <c r="MVN40" s="63"/>
      <c r="MVO40" s="63"/>
      <c r="MVP40" s="63"/>
      <c r="MVQ40" s="63"/>
      <c r="MVR40" s="63"/>
      <c r="MVS40" s="63"/>
      <c r="MVT40" s="63"/>
      <c r="MVU40" s="63"/>
      <c r="MVV40" s="63"/>
      <c r="MVW40" s="63"/>
      <c r="MVX40" s="63"/>
      <c r="MVY40" s="63"/>
      <c r="MVZ40" s="63"/>
      <c r="MWA40" s="63"/>
      <c r="MWB40" s="63"/>
      <c r="MWC40" s="63"/>
      <c r="MWD40" s="63"/>
      <c r="MWE40" s="63"/>
      <c r="MWF40" s="63"/>
      <c r="MWG40" s="63"/>
      <c r="MWH40" s="63"/>
      <c r="MWI40" s="63"/>
      <c r="MWJ40" s="63"/>
      <c r="MWK40" s="63"/>
      <c r="MWL40" s="63"/>
      <c r="MWM40" s="63"/>
      <c r="MWN40" s="63"/>
      <c r="MWO40" s="63"/>
      <c r="MWP40" s="63"/>
      <c r="MWQ40" s="63"/>
      <c r="MWR40" s="63"/>
      <c r="MWS40" s="63"/>
      <c r="MWT40" s="63"/>
      <c r="MWU40" s="63"/>
      <c r="MWV40" s="63"/>
      <c r="MWW40" s="63"/>
      <c r="MWX40" s="63"/>
      <c r="MWY40" s="63"/>
      <c r="MWZ40" s="63"/>
      <c r="MXA40" s="63"/>
      <c r="MXB40" s="63"/>
      <c r="MXC40" s="63"/>
      <c r="MXD40" s="63"/>
      <c r="MXE40" s="63"/>
      <c r="MXF40" s="63"/>
      <c r="MXG40" s="63"/>
      <c r="MXH40" s="63"/>
      <c r="MXI40" s="63"/>
      <c r="MXJ40" s="63"/>
      <c r="MXK40" s="63"/>
      <c r="MXL40" s="63"/>
      <c r="MXM40" s="63"/>
      <c r="MXN40" s="63"/>
      <c r="MXO40" s="63"/>
      <c r="MXP40" s="63"/>
      <c r="MXQ40" s="63"/>
      <c r="MXR40" s="63"/>
      <c r="MXS40" s="63"/>
      <c r="MXT40" s="63"/>
      <c r="MXU40" s="63"/>
      <c r="MXV40" s="63"/>
      <c r="MXW40" s="63"/>
      <c r="MXX40" s="63"/>
      <c r="MXY40" s="63"/>
      <c r="MXZ40" s="63"/>
      <c r="MYA40" s="63"/>
      <c r="MYB40" s="63"/>
      <c r="MYC40" s="63"/>
      <c r="MYD40" s="63"/>
      <c r="MYE40" s="63"/>
      <c r="MYF40" s="63"/>
      <c r="MYG40" s="63"/>
      <c r="MYH40" s="63"/>
      <c r="MYI40" s="63"/>
      <c r="MYJ40" s="63"/>
      <c r="MYK40" s="63"/>
      <c r="MYL40" s="63"/>
      <c r="MYM40" s="63"/>
      <c r="MYN40" s="63"/>
      <c r="MYO40" s="63"/>
      <c r="MYP40" s="63"/>
      <c r="MYQ40" s="63"/>
      <c r="MYR40" s="63"/>
      <c r="MYS40" s="63"/>
      <c r="MYT40" s="63"/>
      <c r="MYU40" s="63"/>
      <c r="MYV40" s="63"/>
      <c r="MYW40" s="63"/>
      <c r="MYX40" s="63"/>
      <c r="MYY40" s="63"/>
      <c r="MYZ40" s="63"/>
      <c r="MZA40" s="63"/>
      <c r="MZB40" s="63"/>
      <c r="MZC40" s="63"/>
      <c r="MZD40" s="63"/>
      <c r="MZE40" s="63"/>
      <c r="MZF40" s="63"/>
      <c r="MZG40" s="63"/>
      <c r="MZH40" s="63"/>
      <c r="MZI40" s="63"/>
      <c r="MZJ40" s="63"/>
      <c r="MZK40" s="63"/>
      <c r="MZL40" s="63"/>
      <c r="MZM40" s="63"/>
      <c r="MZN40" s="63"/>
      <c r="MZO40" s="63"/>
      <c r="MZP40" s="63"/>
      <c r="MZQ40" s="63"/>
      <c r="MZR40" s="63"/>
      <c r="MZS40" s="63"/>
      <c r="MZT40" s="63"/>
      <c r="MZU40" s="63"/>
      <c r="MZV40" s="63"/>
      <c r="MZW40" s="63"/>
      <c r="MZX40" s="63"/>
      <c r="MZY40" s="63"/>
      <c r="MZZ40" s="63"/>
      <c r="NAA40" s="63"/>
      <c r="NAB40" s="63"/>
      <c r="NAC40" s="63"/>
      <c r="NAD40" s="63"/>
      <c r="NAE40" s="63"/>
      <c r="NAF40" s="63"/>
      <c r="NAG40" s="63"/>
      <c r="NAH40" s="63"/>
      <c r="NAI40" s="63"/>
      <c r="NAJ40" s="63"/>
      <c r="NAK40" s="63"/>
      <c r="NAL40" s="63"/>
      <c r="NAM40" s="63"/>
      <c r="NAN40" s="63"/>
      <c r="NAO40" s="63"/>
      <c r="NAP40" s="63"/>
      <c r="NAQ40" s="63"/>
      <c r="NAR40" s="63"/>
      <c r="NAS40" s="63"/>
      <c r="NAT40" s="63"/>
      <c r="NAU40" s="63"/>
      <c r="NAV40" s="63"/>
      <c r="NAW40" s="63"/>
      <c r="NAX40" s="63"/>
      <c r="NAY40" s="63"/>
      <c r="NAZ40" s="63"/>
      <c r="NBA40" s="63"/>
      <c r="NBB40" s="63"/>
      <c r="NBC40" s="63"/>
      <c r="NBD40" s="63"/>
      <c r="NBE40" s="63"/>
      <c r="NBF40" s="63"/>
      <c r="NBG40" s="63"/>
      <c r="NBH40" s="63"/>
      <c r="NBI40" s="63"/>
      <c r="NBJ40" s="63"/>
      <c r="NBK40" s="63"/>
      <c r="NBL40" s="63"/>
      <c r="NBM40" s="63"/>
      <c r="NBN40" s="63"/>
      <c r="NBO40" s="63"/>
      <c r="NBP40" s="63"/>
      <c r="NBQ40" s="63"/>
      <c r="NBR40" s="63"/>
      <c r="NBS40" s="63"/>
      <c r="NBT40" s="63"/>
      <c r="NBU40" s="63"/>
      <c r="NBV40" s="63"/>
      <c r="NBW40" s="63"/>
      <c r="NBX40" s="63"/>
      <c r="NBY40" s="63"/>
      <c r="NBZ40" s="63"/>
      <c r="NCA40" s="63"/>
      <c r="NCB40" s="63"/>
      <c r="NCC40" s="63"/>
      <c r="NCD40" s="63"/>
      <c r="NCE40" s="63"/>
      <c r="NCF40" s="63"/>
      <c r="NCG40" s="63"/>
      <c r="NCH40" s="63"/>
      <c r="NCI40" s="63"/>
      <c r="NCJ40" s="63"/>
      <c r="NCK40" s="63"/>
      <c r="NCL40" s="63"/>
      <c r="NCM40" s="63"/>
      <c r="NCN40" s="63"/>
      <c r="NCO40" s="63"/>
      <c r="NCP40" s="63"/>
      <c r="NCQ40" s="63"/>
      <c r="NCR40" s="63"/>
      <c r="NCS40" s="63"/>
      <c r="NCT40" s="63"/>
      <c r="NCU40" s="63"/>
      <c r="NCV40" s="63"/>
      <c r="NCW40" s="63"/>
      <c r="NCX40" s="63"/>
      <c r="NCY40" s="63"/>
      <c r="NCZ40" s="63"/>
      <c r="NDA40" s="63"/>
      <c r="NDB40" s="63"/>
      <c r="NDC40" s="63"/>
      <c r="NDD40" s="63"/>
      <c r="NDE40" s="63"/>
      <c r="NDF40" s="63"/>
      <c r="NDG40" s="63"/>
      <c r="NDH40" s="63"/>
      <c r="NDI40" s="63"/>
      <c r="NDJ40" s="63"/>
      <c r="NDK40" s="63"/>
      <c r="NDL40" s="63"/>
      <c r="NDM40" s="63"/>
      <c r="NDN40" s="63"/>
      <c r="NDO40" s="63"/>
      <c r="NDP40" s="63"/>
      <c r="NDQ40" s="63"/>
      <c r="NDR40" s="63"/>
      <c r="NDS40" s="63"/>
      <c r="NDT40" s="63"/>
      <c r="NDU40" s="63"/>
      <c r="NDV40" s="63"/>
      <c r="NDW40" s="63"/>
      <c r="NDX40" s="63"/>
      <c r="NDY40" s="63"/>
      <c r="NDZ40" s="63"/>
      <c r="NEA40" s="63"/>
      <c r="NEB40" s="63"/>
      <c r="NEC40" s="63"/>
      <c r="NED40" s="63"/>
      <c r="NEE40" s="63"/>
      <c r="NEF40" s="63"/>
      <c r="NEG40" s="63"/>
      <c r="NEH40" s="63"/>
      <c r="NEI40" s="63"/>
      <c r="NEJ40" s="63"/>
      <c r="NEK40" s="63"/>
      <c r="NEL40" s="63"/>
      <c r="NEM40" s="63"/>
      <c r="NEN40" s="63"/>
      <c r="NEO40" s="63"/>
      <c r="NEP40" s="63"/>
      <c r="NEQ40" s="63"/>
      <c r="NER40" s="63"/>
      <c r="NES40" s="63"/>
      <c r="NET40" s="63"/>
      <c r="NEU40" s="63"/>
      <c r="NEV40" s="63"/>
      <c r="NEW40" s="63"/>
      <c r="NEX40" s="63"/>
      <c r="NEY40" s="63"/>
      <c r="NEZ40" s="63"/>
      <c r="NFA40" s="63"/>
      <c r="NFB40" s="63"/>
      <c r="NFC40" s="63"/>
      <c r="NFD40" s="63"/>
      <c r="NFE40" s="63"/>
      <c r="NFF40" s="63"/>
      <c r="NFG40" s="63"/>
      <c r="NFH40" s="63"/>
      <c r="NFI40" s="63"/>
      <c r="NFJ40" s="63"/>
      <c r="NFK40" s="63"/>
      <c r="NFL40" s="63"/>
      <c r="NFM40" s="63"/>
      <c r="NFN40" s="63"/>
      <c r="NFO40" s="63"/>
      <c r="NFP40" s="63"/>
      <c r="NFQ40" s="63"/>
      <c r="NFR40" s="63"/>
      <c r="NFS40" s="63"/>
      <c r="NFT40" s="63"/>
      <c r="NFU40" s="63"/>
      <c r="NFV40" s="63"/>
      <c r="NFW40" s="63"/>
      <c r="NFX40" s="63"/>
      <c r="NFY40" s="63"/>
      <c r="NFZ40" s="63"/>
      <c r="NGA40" s="63"/>
      <c r="NGB40" s="63"/>
      <c r="NGC40" s="63"/>
      <c r="NGD40" s="63"/>
      <c r="NGE40" s="63"/>
      <c r="NGF40" s="63"/>
      <c r="NGG40" s="63"/>
      <c r="NGH40" s="63"/>
      <c r="NGI40" s="63"/>
      <c r="NGJ40" s="63"/>
      <c r="NGK40" s="63"/>
      <c r="NGL40" s="63"/>
      <c r="NGM40" s="63"/>
      <c r="NGN40" s="63"/>
      <c r="NGO40" s="63"/>
      <c r="NGP40" s="63"/>
      <c r="NGQ40" s="63"/>
      <c r="NGR40" s="63"/>
      <c r="NGS40" s="63"/>
      <c r="NGT40" s="63"/>
      <c r="NGU40" s="63"/>
      <c r="NGV40" s="63"/>
      <c r="NGW40" s="63"/>
      <c r="NGX40" s="63"/>
      <c r="NGY40" s="63"/>
      <c r="NGZ40" s="63"/>
      <c r="NHA40" s="63"/>
      <c r="NHB40" s="63"/>
      <c r="NHC40" s="63"/>
      <c r="NHD40" s="63"/>
      <c r="NHE40" s="63"/>
      <c r="NHF40" s="63"/>
      <c r="NHG40" s="63"/>
      <c r="NHH40" s="63"/>
      <c r="NHI40" s="63"/>
      <c r="NHJ40" s="63"/>
      <c r="NHK40" s="63"/>
      <c r="NHL40" s="63"/>
      <c r="NHM40" s="63"/>
      <c r="NHN40" s="63"/>
      <c r="NHO40" s="63"/>
      <c r="NHP40" s="63"/>
      <c r="NHQ40" s="63"/>
      <c r="NHR40" s="63"/>
      <c r="NHS40" s="63"/>
      <c r="NHT40" s="63"/>
      <c r="NHU40" s="63"/>
      <c r="NHV40" s="63"/>
      <c r="NHW40" s="63"/>
      <c r="NHX40" s="63"/>
      <c r="NHY40" s="63"/>
      <c r="NHZ40" s="63"/>
      <c r="NIA40" s="63"/>
      <c r="NIB40" s="63"/>
      <c r="NIC40" s="63"/>
      <c r="NID40" s="63"/>
      <c r="NIE40" s="63"/>
      <c r="NIF40" s="63"/>
      <c r="NIG40" s="63"/>
      <c r="NIH40" s="63"/>
      <c r="NII40" s="63"/>
      <c r="NIJ40" s="63"/>
      <c r="NIK40" s="63"/>
      <c r="NIL40" s="63"/>
      <c r="NIM40" s="63"/>
      <c r="NIN40" s="63"/>
      <c r="NIO40" s="63"/>
      <c r="NIP40" s="63"/>
      <c r="NIQ40" s="63"/>
      <c r="NIR40" s="63"/>
      <c r="NIS40" s="63"/>
      <c r="NIT40" s="63"/>
      <c r="NIU40" s="63"/>
      <c r="NIV40" s="63"/>
      <c r="NIW40" s="63"/>
      <c r="NIX40" s="63"/>
      <c r="NIY40" s="63"/>
      <c r="NIZ40" s="63"/>
      <c r="NJA40" s="63"/>
      <c r="NJB40" s="63"/>
      <c r="NJC40" s="63"/>
      <c r="NJD40" s="63"/>
      <c r="NJE40" s="63"/>
      <c r="NJF40" s="63"/>
      <c r="NJG40" s="63"/>
      <c r="NJH40" s="63"/>
      <c r="NJI40" s="63"/>
      <c r="NJJ40" s="63"/>
      <c r="NJK40" s="63"/>
      <c r="NJL40" s="63"/>
      <c r="NJM40" s="63"/>
      <c r="NJN40" s="63"/>
      <c r="NJO40" s="63"/>
      <c r="NJP40" s="63"/>
      <c r="NJQ40" s="63"/>
      <c r="NJR40" s="63"/>
      <c r="NJS40" s="63"/>
      <c r="NJT40" s="63"/>
      <c r="NJU40" s="63"/>
      <c r="NJV40" s="63"/>
      <c r="NJW40" s="63"/>
      <c r="NJX40" s="63"/>
      <c r="NJY40" s="63"/>
      <c r="NJZ40" s="63"/>
      <c r="NKA40" s="63"/>
      <c r="NKB40" s="63"/>
      <c r="NKC40" s="63"/>
      <c r="NKD40" s="63"/>
      <c r="NKE40" s="63"/>
      <c r="NKF40" s="63"/>
      <c r="NKG40" s="63"/>
      <c r="NKH40" s="63"/>
      <c r="NKI40" s="63"/>
      <c r="NKJ40" s="63"/>
      <c r="NKK40" s="63"/>
      <c r="NKL40" s="63"/>
      <c r="NKM40" s="63"/>
      <c r="NKN40" s="63"/>
      <c r="NKO40" s="63"/>
      <c r="NKP40" s="63"/>
      <c r="NKQ40" s="63"/>
      <c r="NKR40" s="63"/>
      <c r="NKS40" s="63"/>
      <c r="NKT40" s="63"/>
      <c r="NKU40" s="63"/>
      <c r="NKV40" s="63"/>
      <c r="NKW40" s="63"/>
      <c r="NKX40" s="63"/>
      <c r="NKY40" s="63"/>
      <c r="NKZ40" s="63"/>
      <c r="NLA40" s="63"/>
      <c r="NLB40" s="63"/>
      <c r="NLC40" s="63"/>
      <c r="NLD40" s="63"/>
      <c r="NLE40" s="63"/>
      <c r="NLF40" s="63"/>
      <c r="NLG40" s="63"/>
      <c r="NLH40" s="63"/>
      <c r="NLI40" s="63"/>
      <c r="NLJ40" s="63"/>
      <c r="NLK40" s="63"/>
      <c r="NLL40" s="63"/>
      <c r="NLM40" s="63"/>
      <c r="NLN40" s="63"/>
      <c r="NLO40" s="63"/>
      <c r="NLP40" s="63"/>
      <c r="NLQ40" s="63"/>
      <c r="NLR40" s="63"/>
      <c r="NLS40" s="63"/>
      <c r="NLT40" s="63"/>
      <c r="NLU40" s="63"/>
      <c r="NLV40" s="63"/>
      <c r="NLW40" s="63"/>
      <c r="NLX40" s="63"/>
      <c r="NLY40" s="63"/>
      <c r="NLZ40" s="63"/>
      <c r="NMA40" s="63"/>
      <c r="NMB40" s="63"/>
      <c r="NMC40" s="63"/>
      <c r="NMD40" s="63"/>
      <c r="NME40" s="63"/>
      <c r="NMF40" s="63"/>
      <c r="NMG40" s="63"/>
      <c r="NMH40" s="63"/>
      <c r="NMI40" s="63"/>
      <c r="NMJ40" s="63"/>
      <c r="NMK40" s="63"/>
      <c r="NML40" s="63"/>
      <c r="NMM40" s="63"/>
      <c r="NMN40" s="63"/>
      <c r="NMO40" s="63"/>
      <c r="NMP40" s="63"/>
      <c r="NMQ40" s="63"/>
      <c r="NMR40" s="63"/>
      <c r="NMS40" s="63"/>
      <c r="NMT40" s="63"/>
      <c r="NMU40" s="63"/>
      <c r="NMV40" s="63"/>
      <c r="NMW40" s="63"/>
      <c r="NMX40" s="63"/>
      <c r="NMY40" s="63"/>
      <c r="NMZ40" s="63"/>
      <c r="NNA40" s="63"/>
      <c r="NNB40" s="63"/>
      <c r="NNC40" s="63"/>
      <c r="NND40" s="63"/>
      <c r="NNE40" s="63"/>
      <c r="NNF40" s="63"/>
      <c r="NNG40" s="63"/>
      <c r="NNH40" s="63"/>
      <c r="NNI40" s="63"/>
      <c r="NNJ40" s="63"/>
      <c r="NNK40" s="63"/>
      <c r="NNL40" s="63"/>
      <c r="NNM40" s="63"/>
      <c r="NNN40" s="63"/>
      <c r="NNO40" s="63"/>
      <c r="NNP40" s="63"/>
      <c r="NNQ40" s="63"/>
      <c r="NNR40" s="63"/>
      <c r="NNS40" s="63"/>
      <c r="NNT40" s="63"/>
      <c r="NNU40" s="63"/>
      <c r="NNV40" s="63"/>
      <c r="NNW40" s="63"/>
      <c r="NNX40" s="63"/>
      <c r="NNY40" s="63"/>
      <c r="NNZ40" s="63"/>
      <c r="NOA40" s="63"/>
      <c r="NOB40" s="63"/>
      <c r="NOC40" s="63"/>
      <c r="NOD40" s="63"/>
      <c r="NOE40" s="63"/>
      <c r="NOF40" s="63"/>
      <c r="NOG40" s="63"/>
      <c r="NOH40" s="63"/>
      <c r="NOI40" s="63"/>
      <c r="NOJ40" s="63"/>
      <c r="NOK40" s="63"/>
      <c r="NOL40" s="63"/>
      <c r="NOM40" s="63"/>
      <c r="NON40" s="63"/>
      <c r="NOO40" s="63"/>
      <c r="NOP40" s="63"/>
      <c r="NOQ40" s="63"/>
      <c r="NOR40" s="63"/>
      <c r="NOS40" s="63"/>
      <c r="NOT40" s="63"/>
      <c r="NOU40" s="63"/>
      <c r="NOV40" s="63"/>
      <c r="NOW40" s="63"/>
      <c r="NOX40" s="63"/>
      <c r="NOY40" s="63"/>
      <c r="NOZ40" s="63"/>
      <c r="NPA40" s="63"/>
      <c r="NPB40" s="63"/>
      <c r="NPC40" s="63"/>
      <c r="NPD40" s="63"/>
      <c r="NPE40" s="63"/>
      <c r="NPF40" s="63"/>
      <c r="NPG40" s="63"/>
      <c r="NPH40" s="63"/>
      <c r="NPI40" s="63"/>
      <c r="NPJ40" s="63"/>
      <c r="NPK40" s="63"/>
      <c r="NPL40" s="63"/>
      <c r="NPM40" s="63"/>
      <c r="NPN40" s="63"/>
      <c r="NPO40" s="63"/>
      <c r="NPP40" s="63"/>
      <c r="NPQ40" s="63"/>
      <c r="NPR40" s="63"/>
      <c r="NPS40" s="63"/>
      <c r="NPT40" s="63"/>
      <c r="NPU40" s="63"/>
      <c r="NPV40" s="63"/>
      <c r="NPW40" s="63"/>
      <c r="NPX40" s="63"/>
      <c r="NPY40" s="63"/>
      <c r="NPZ40" s="63"/>
      <c r="NQA40" s="63"/>
      <c r="NQB40" s="63"/>
      <c r="NQC40" s="63"/>
      <c r="NQD40" s="63"/>
      <c r="NQE40" s="63"/>
      <c r="NQF40" s="63"/>
      <c r="NQG40" s="63"/>
      <c r="NQH40" s="63"/>
      <c r="NQI40" s="63"/>
      <c r="NQJ40" s="63"/>
      <c r="NQK40" s="63"/>
      <c r="NQL40" s="63"/>
      <c r="NQM40" s="63"/>
      <c r="NQN40" s="63"/>
      <c r="NQO40" s="63"/>
      <c r="NQP40" s="63"/>
      <c r="NQQ40" s="63"/>
      <c r="NQR40" s="63"/>
      <c r="NQS40" s="63"/>
      <c r="NQT40" s="63"/>
      <c r="NQU40" s="63"/>
      <c r="NQV40" s="63"/>
      <c r="NQW40" s="63"/>
      <c r="NQX40" s="63"/>
      <c r="NQY40" s="63"/>
      <c r="NQZ40" s="63"/>
      <c r="NRA40" s="63"/>
      <c r="NRB40" s="63"/>
      <c r="NRC40" s="63"/>
      <c r="NRD40" s="63"/>
      <c r="NRE40" s="63"/>
      <c r="NRF40" s="63"/>
      <c r="NRG40" s="63"/>
      <c r="NRH40" s="63"/>
      <c r="NRI40" s="63"/>
      <c r="NRJ40" s="63"/>
      <c r="NRK40" s="63"/>
      <c r="NRL40" s="63"/>
      <c r="NRM40" s="63"/>
      <c r="NRN40" s="63"/>
      <c r="NRO40" s="63"/>
      <c r="NRP40" s="63"/>
      <c r="NRQ40" s="63"/>
      <c r="NRR40" s="63"/>
      <c r="NRS40" s="63"/>
      <c r="NRT40" s="63"/>
      <c r="NRU40" s="63"/>
      <c r="NRV40" s="63"/>
      <c r="NRW40" s="63"/>
      <c r="NRX40" s="63"/>
      <c r="NRY40" s="63"/>
      <c r="NRZ40" s="63"/>
      <c r="NSA40" s="63"/>
      <c r="NSB40" s="63"/>
      <c r="NSC40" s="63"/>
      <c r="NSD40" s="63"/>
      <c r="NSE40" s="63"/>
      <c r="NSF40" s="63"/>
      <c r="NSG40" s="63"/>
      <c r="NSH40" s="63"/>
      <c r="NSI40" s="63"/>
      <c r="NSJ40" s="63"/>
      <c r="NSK40" s="63"/>
      <c r="NSL40" s="63"/>
      <c r="NSM40" s="63"/>
      <c r="NSN40" s="63"/>
      <c r="NSO40" s="63"/>
      <c r="NSP40" s="63"/>
      <c r="NSQ40" s="63"/>
      <c r="NSR40" s="63"/>
      <c r="NSS40" s="63"/>
      <c r="NST40" s="63"/>
      <c r="NSU40" s="63"/>
      <c r="NSV40" s="63"/>
      <c r="NSW40" s="63"/>
      <c r="NSX40" s="63"/>
      <c r="NSY40" s="63"/>
      <c r="NSZ40" s="63"/>
      <c r="NTA40" s="63"/>
      <c r="NTB40" s="63"/>
      <c r="NTC40" s="63"/>
      <c r="NTD40" s="63"/>
      <c r="NTE40" s="63"/>
      <c r="NTF40" s="63"/>
      <c r="NTG40" s="63"/>
      <c r="NTH40" s="63"/>
      <c r="NTI40" s="63"/>
      <c r="NTJ40" s="63"/>
      <c r="NTK40" s="63"/>
      <c r="NTL40" s="63"/>
      <c r="NTM40" s="63"/>
      <c r="NTN40" s="63"/>
      <c r="NTO40" s="63"/>
      <c r="NTP40" s="63"/>
      <c r="NTQ40" s="63"/>
      <c r="NTR40" s="63"/>
      <c r="NTS40" s="63"/>
      <c r="NTT40" s="63"/>
      <c r="NTU40" s="63"/>
      <c r="NTV40" s="63"/>
      <c r="NTW40" s="63"/>
      <c r="NTX40" s="63"/>
      <c r="NTY40" s="63"/>
      <c r="NTZ40" s="63"/>
      <c r="NUA40" s="63"/>
      <c r="NUB40" s="63"/>
      <c r="NUC40" s="63"/>
      <c r="NUD40" s="63"/>
      <c r="NUE40" s="63"/>
      <c r="NUF40" s="63"/>
      <c r="NUG40" s="63"/>
      <c r="NUH40" s="63"/>
      <c r="NUI40" s="63"/>
      <c r="NUJ40" s="63"/>
      <c r="NUK40" s="63"/>
      <c r="NUL40" s="63"/>
      <c r="NUM40" s="63"/>
      <c r="NUN40" s="63"/>
      <c r="NUO40" s="63"/>
      <c r="NUP40" s="63"/>
      <c r="NUQ40" s="63"/>
      <c r="NUR40" s="63"/>
      <c r="NUS40" s="63"/>
      <c r="NUT40" s="63"/>
      <c r="NUU40" s="63"/>
      <c r="NUV40" s="63"/>
      <c r="NUW40" s="63"/>
      <c r="NUX40" s="63"/>
      <c r="NUY40" s="63"/>
      <c r="NUZ40" s="63"/>
      <c r="NVA40" s="63"/>
      <c r="NVB40" s="63"/>
      <c r="NVC40" s="63"/>
      <c r="NVD40" s="63"/>
      <c r="NVE40" s="63"/>
      <c r="NVF40" s="63"/>
      <c r="NVG40" s="63"/>
      <c r="NVH40" s="63"/>
      <c r="NVI40" s="63"/>
      <c r="NVJ40" s="63"/>
      <c r="NVK40" s="63"/>
      <c r="NVL40" s="63"/>
      <c r="NVM40" s="63"/>
      <c r="NVN40" s="63"/>
      <c r="NVO40" s="63"/>
      <c r="NVP40" s="63"/>
      <c r="NVQ40" s="63"/>
      <c r="NVR40" s="63"/>
      <c r="NVS40" s="63"/>
      <c r="NVT40" s="63"/>
      <c r="NVU40" s="63"/>
      <c r="NVV40" s="63"/>
      <c r="NVW40" s="63"/>
      <c r="NVX40" s="63"/>
      <c r="NVY40" s="63"/>
      <c r="NVZ40" s="63"/>
      <c r="NWA40" s="63"/>
      <c r="NWB40" s="63"/>
      <c r="NWC40" s="63"/>
      <c r="NWD40" s="63"/>
      <c r="NWE40" s="63"/>
      <c r="NWF40" s="63"/>
      <c r="NWG40" s="63"/>
      <c r="NWH40" s="63"/>
      <c r="NWI40" s="63"/>
      <c r="NWJ40" s="63"/>
      <c r="NWK40" s="63"/>
      <c r="NWL40" s="63"/>
      <c r="NWM40" s="63"/>
      <c r="NWN40" s="63"/>
      <c r="NWO40" s="63"/>
      <c r="NWP40" s="63"/>
      <c r="NWQ40" s="63"/>
      <c r="NWR40" s="63"/>
      <c r="NWS40" s="63"/>
      <c r="NWT40" s="63"/>
      <c r="NWU40" s="63"/>
      <c r="NWV40" s="63"/>
      <c r="NWW40" s="63"/>
      <c r="NWX40" s="63"/>
      <c r="NWY40" s="63"/>
      <c r="NWZ40" s="63"/>
      <c r="NXA40" s="63"/>
      <c r="NXB40" s="63"/>
      <c r="NXC40" s="63"/>
      <c r="NXD40" s="63"/>
      <c r="NXE40" s="63"/>
      <c r="NXF40" s="63"/>
      <c r="NXG40" s="63"/>
      <c r="NXH40" s="63"/>
      <c r="NXI40" s="63"/>
      <c r="NXJ40" s="63"/>
      <c r="NXK40" s="63"/>
      <c r="NXL40" s="63"/>
      <c r="NXM40" s="63"/>
      <c r="NXN40" s="63"/>
      <c r="NXO40" s="63"/>
      <c r="NXP40" s="63"/>
      <c r="NXQ40" s="63"/>
      <c r="NXR40" s="63"/>
      <c r="NXS40" s="63"/>
      <c r="NXT40" s="63"/>
      <c r="NXU40" s="63"/>
      <c r="NXV40" s="63"/>
      <c r="NXW40" s="63"/>
      <c r="NXX40" s="63"/>
      <c r="NXY40" s="63"/>
      <c r="NXZ40" s="63"/>
      <c r="NYA40" s="63"/>
      <c r="NYB40" s="63"/>
      <c r="NYC40" s="63"/>
      <c r="NYD40" s="63"/>
      <c r="NYE40" s="63"/>
      <c r="NYF40" s="63"/>
      <c r="NYG40" s="63"/>
      <c r="NYH40" s="63"/>
      <c r="NYI40" s="63"/>
      <c r="NYJ40" s="63"/>
      <c r="NYK40" s="63"/>
      <c r="NYL40" s="63"/>
      <c r="NYM40" s="63"/>
      <c r="NYN40" s="63"/>
      <c r="NYO40" s="63"/>
      <c r="NYP40" s="63"/>
      <c r="NYQ40" s="63"/>
      <c r="NYR40" s="63"/>
      <c r="NYS40" s="63"/>
      <c r="NYT40" s="63"/>
      <c r="NYU40" s="63"/>
      <c r="NYV40" s="63"/>
      <c r="NYW40" s="63"/>
      <c r="NYX40" s="63"/>
      <c r="NYY40" s="63"/>
      <c r="NYZ40" s="63"/>
      <c r="NZA40" s="63"/>
      <c r="NZB40" s="63"/>
      <c r="NZC40" s="63"/>
      <c r="NZD40" s="63"/>
      <c r="NZE40" s="63"/>
      <c r="NZF40" s="63"/>
      <c r="NZG40" s="63"/>
      <c r="NZH40" s="63"/>
      <c r="NZI40" s="63"/>
      <c r="NZJ40" s="63"/>
      <c r="NZK40" s="63"/>
      <c r="NZL40" s="63"/>
      <c r="NZM40" s="63"/>
      <c r="NZN40" s="63"/>
      <c r="NZO40" s="63"/>
      <c r="NZP40" s="63"/>
      <c r="NZQ40" s="63"/>
      <c r="NZR40" s="63"/>
      <c r="NZS40" s="63"/>
      <c r="NZT40" s="63"/>
      <c r="NZU40" s="63"/>
      <c r="NZV40" s="63"/>
      <c r="NZW40" s="63"/>
      <c r="NZX40" s="63"/>
      <c r="NZY40" s="63"/>
      <c r="NZZ40" s="63"/>
      <c r="OAA40" s="63"/>
      <c r="OAB40" s="63"/>
      <c r="OAC40" s="63"/>
      <c r="OAD40" s="63"/>
      <c r="OAE40" s="63"/>
      <c r="OAF40" s="63"/>
      <c r="OAG40" s="63"/>
      <c r="OAH40" s="63"/>
      <c r="OAI40" s="63"/>
      <c r="OAJ40" s="63"/>
      <c r="OAK40" s="63"/>
      <c r="OAL40" s="63"/>
      <c r="OAM40" s="63"/>
      <c r="OAN40" s="63"/>
      <c r="OAO40" s="63"/>
      <c r="OAP40" s="63"/>
      <c r="OAQ40" s="63"/>
      <c r="OAR40" s="63"/>
      <c r="OAS40" s="63"/>
      <c r="OAT40" s="63"/>
      <c r="OAU40" s="63"/>
      <c r="OAV40" s="63"/>
      <c r="OAW40" s="63"/>
      <c r="OAX40" s="63"/>
      <c r="OAY40" s="63"/>
      <c r="OAZ40" s="63"/>
      <c r="OBA40" s="63"/>
      <c r="OBB40" s="63"/>
      <c r="OBC40" s="63"/>
      <c r="OBD40" s="63"/>
      <c r="OBE40" s="63"/>
      <c r="OBF40" s="63"/>
      <c r="OBG40" s="63"/>
      <c r="OBH40" s="63"/>
      <c r="OBI40" s="63"/>
      <c r="OBJ40" s="63"/>
      <c r="OBK40" s="63"/>
      <c r="OBL40" s="63"/>
      <c r="OBM40" s="63"/>
      <c r="OBN40" s="63"/>
      <c r="OBO40" s="63"/>
      <c r="OBP40" s="63"/>
      <c r="OBQ40" s="63"/>
      <c r="OBR40" s="63"/>
      <c r="OBS40" s="63"/>
      <c r="OBT40" s="63"/>
      <c r="OBU40" s="63"/>
      <c r="OBV40" s="63"/>
      <c r="OBW40" s="63"/>
      <c r="OBX40" s="63"/>
      <c r="OBY40" s="63"/>
      <c r="OBZ40" s="63"/>
      <c r="OCA40" s="63"/>
      <c r="OCB40" s="63"/>
      <c r="OCC40" s="63"/>
      <c r="OCD40" s="63"/>
      <c r="OCE40" s="63"/>
      <c r="OCF40" s="63"/>
      <c r="OCG40" s="63"/>
      <c r="OCH40" s="63"/>
      <c r="OCI40" s="63"/>
      <c r="OCJ40" s="63"/>
      <c r="OCK40" s="63"/>
      <c r="OCL40" s="63"/>
      <c r="OCM40" s="63"/>
      <c r="OCN40" s="63"/>
      <c r="OCO40" s="63"/>
      <c r="OCP40" s="63"/>
      <c r="OCQ40" s="63"/>
      <c r="OCR40" s="63"/>
      <c r="OCS40" s="63"/>
      <c r="OCT40" s="63"/>
      <c r="OCU40" s="63"/>
      <c r="OCV40" s="63"/>
      <c r="OCW40" s="63"/>
      <c r="OCX40" s="63"/>
      <c r="OCY40" s="63"/>
      <c r="OCZ40" s="63"/>
      <c r="ODA40" s="63"/>
      <c r="ODB40" s="63"/>
      <c r="ODC40" s="63"/>
      <c r="ODD40" s="63"/>
      <c r="ODE40" s="63"/>
      <c r="ODF40" s="63"/>
      <c r="ODG40" s="63"/>
      <c r="ODH40" s="63"/>
      <c r="ODI40" s="63"/>
      <c r="ODJ40" s="63"/>
      <c r="ODK40" s="63"/>
      <c r="ODL40" s="63"/>
      <c r="ODM40" s="63"/>
      <c r="ODN40" s="63"/>
      <c r="ODO40" s="63"/>
      <c r="ODP40" s="63"/>
      <c r="ODQ40" s="63"/>
      <c r="ODR40" s="63"/>
      <c r="ODS40" s="63"/>
      <c r="ODT40" s="63"/>
      <c r="ODU40" s="63"/>
      <c r="ODV40" s="63"/>
      <c r="ODW40" s="63"/>
      <c r="ODX40" s="63"/>
      <c r="ODY40" s="63"/>
      <c r="ODZ40" s="63"/>
      <c r="OEA40" s="63"/>
      <c r="OEB40" s="63"/>
      <c r="OEC40" s="63"/>
      <c r="OED40" s="63"/>
      <c r="OEE40" s="63"/>
      <c r="OEF40" s="63"/>
      <c r="OEG40" s="63"/>
      <c r="OEH40" s="63"/>
      <c r="OEI40" s="63"/>
      <c r="OEJ40" s="63"/>
      <c r="OEK40" s="63"/>
      <c r="OEL40" s="63"/>
      <c r="OEM40" s="63"/>
      <c r="OEN40" s="63"/>
      <c r="OEO40" s="63"/>
      <c r="OEP40" s="63"/>
      <c r="OEQ40" s="63"/>
      <c r="OER40" s="63"/>
      <c r="OES40" s="63"/>
      <c r="OET40" s="63"/>
      <c r="OEU40" s="63"/>
      <c r="OEV40" s="63"/>
      <c r="OEW40" s="63"/>
      <c r="OEX40" s="63"/>
      <c r="OEY40" s="63"/>
      <c r="OEZ40" s="63"/>
      <c r="OFA40" s="63"/>
      <c r="OFB40" s="63"/>
      <c r="OFC40" s="63"/>
      <c r="OFD40" s="63"/>
      <c r="OFE40" s="63"/>
      <c r="OFF40" s="63"/>
      <c r="OFG40" s="63"/>
      <c r="OFH40" s="63"/>
      <c r="OFI40" s="63"/>
      <c r="OFJ40" s="63"/>
      <c r="OFK40" s="63"/>
      <c r="OFL40" s="63"/>
      <c r="OFM40" s="63"/>
      <c r="OFN40" s="63"/>
      <c r="OFO40" s="63"/>
      <c r="OFP40" s="63"/>
      <c r="OFQ40" s="63"/>
      <c r="OFR40" s="63"/>
      <c r="OFS40" s="63"/>
      <c r="OFT40" s="63"/>
      <c r="OFU40" s="63"/>
      <c r="OFV40" s="63"/>
      <c r="OFW40" s="63"/>
      <c r="OFX40" s="63"/>
      <c r="OFY40" s="63"/>
      <c r="OFZ40" s="63"/>
      <c r="OGA40" s="63"/>
      <c r="OGB40" s="63"/>
      <c r="OGC40" s="63"/>
      <c r="OGD40" s="63"/>
      <c r="OGE40" s="63"/>
      <c r="OGF40" s="63"/>
      <c r="OGG40" s="63"/>
      <c r="OGH40" s="63"/>
      <c r="OGI40" s="63"/>
      <c r="OGJ40" s="63"/>
      <c r="OGK40" s="63"/>
      <c r="OGL40" s="63"/>
      <c r="OGM40" s="63"/>
      <c r="OGN40" s="63"/>
      <c r="OGO40" s="63"/>
      <c r="OGP40" s="63"/>
      <c r="OGQ40" s="63"/>
      <c r="OGR40" s="63"/>
      <c r="OGS40" s="63"/>
      <c r="OGT40" s="63"/>
      <c r="OGU40" s="63"/>
      <c r="OGV40" s="63"/>
      <c r="OGW40" s="63"/>
      <c r="OGX40" s="63"/>
      <c r="OGY40" s="63"/>
      <c r="OGZ40" s="63"/>
      <c r="OHA40" s="63"/>
      <c r="OHB40" s="63"/>
      <c r="OHC40" s="63"/>
      <c r="OHD40" s="63"/>
      <c r="OHE40" s="63"/>
      <c r="OHF40" s="63"/>
      <c r="OHG40" s="63"/>
      <c r="OHH40" s="63"/>
      <c r="OHI40" s="63"/>
      <c r="OHJ40" s="63"/>
      <c r="OHK40" s="63"/>
      <c r="OHL40" s="63"/>
      <c r="OHM40" s="63"/>
      <c r="OHN40" s="63"/>
      <c r="OHO40" s="63"/>
      <c r="OHP40" s="63"/>
      <c r="OHQ40" s="63"/>
      <c r="OHR40" s="63"/>
      <c r="OHS40" s="63"/>
      <c r="OHT40" s="63"/>
      <c r="OHU40" s="63"/>
      <c r="OHV40" s="63"/>
      <c r="OHW40" s="63"/>
      <c r="OHX40" s="63"/>
      <c r="OHY40" s="63"/>
      <c r="OHZ40" s="63"/>
      <c r="OIA40" s="63"/>
      <c r="OIB40" s="63"/>
      <c r="OIC40" s="63"/>
      <c r="OID40" s="63"/>
      <c r="OIE40" s="63"/>
      <c r="OIF40" s="63"/>
      <c r="OIG40" s="63"/>
      <c r="OIH40" s="63"/>
      <c r="OII40" s="63"/>
      <c r="OIJ40" s="63"/>
      <c r="OIK40" s="63"/>
      <c r="OIL40" s="63"/>
      <c r="OIM40" s="63"/>
      <c r="OIN40" s="63"/>
      <c r="OIO40" s="63"/>
      <c r="OIP40" s="63"/>
      <c r="OIQ40" s="63"/>
      <c r="OIR40" s="63"/>
      <c r="OIS40" s="63"/>
      <c r="OIT40" s="63"/>
      <c r="OIU40" s="63"/>
      <c r="OIV40" s="63"/>
      <c r="OIW40" s="63"/>
      <c r="OIX40" s="63"/>
      <c r="OIY40" s="63"/>
      <c r="OIZ40" s="63"/>
      <c r="OJA40" s="63"/>
      <c r="OJB40" s="63"/>
      <c r="OJC40" s="63"/>
      <c r="OJD40" s="63"/>
      <c r="OJE40" s="63"/>
      <c r="OJF40" s="63"/>
      <c r="OJG40" s="63"/>
      <c r="OJH40" s="63"/>
      <c r="OJI40" s="63"/>
      <c r="OJJ40" s="63"/>
      <c r="OJK40" s="63"/>
      <c r="OJL40" s="63"/>
      <c r="OJM40" s="63"/>
      <c r="OJN40" s="63"/>
      <c r="OJO40" s="63"/>
      <c r="OJP40" s="63"/>
      <c r="OJQ40" s="63"/>
      <c r="OJR40" s="63"/>
      <c r="OJS40" s="63"/>
      <c r="OJT40" s="63"/>
      <c r="OJU40" s="63"/>
      <c r="OJV40" s="63"/>
      <c r="OJW40" s="63"/>
      <c r="OJX40" s="63"/>
      <c r="OJY40" s="63"/>
      <c r="OJZ40" s="63"/>
      <c r="OKA40" s="63"/>
      <c r="OKB40" s="63"/>
      <c r="OKC40" s="63"/>
      <c r="OKD40" s="63"/>
      <c r="OKE40" s="63"/>
      <c r="OKF40" s="63"/>
      <c r="OKG40" s="63"/>
      <c r="OKH40" s="63"/>
      <c r="OKI40" s="63"/>
      <c r="OKJ40" s="63"/>
      <c r="OKK40" s="63"/>
      <c r="OKL40" s="63"/>
      <c r="OKM40" s="63"/>
      <c r="OKN40" s="63"/>
      <c r="OKO40" s="63"/>
      <c r="OKP40" s="63"/>
      <c r="OKQ40" s="63"/>
      <c r="OKR40" s="63"/>
      <c r="OKS40" s="63"/>
      <c r="OKT40" s="63"/>
      <c r="OKU40" s="63"/>
      <c r="OKV40" s="63"/>
      <c r="OKW40" s="63"/>
      <c r="OKX40" s="63"/>
      <c r="OKY40" s="63"/>
      <c r="OKZ40" s="63"/>
      <c r="OLA40" s="63"/>
      <c r="OLB40" s="63"/>
      <c r="OLC40" s="63"/>
      <c r="OLD40" s="63"/>
      <c r="OLE40" s="63"/>
      <c r="OLF40" s="63"/>
      <c r="OLG40" s="63"/>
      <c r="OLH40" s="63"/>
      <c r="OLI40" s="63"/>
      <c r="OLJ40" s="63"/>
      <c r="OLK40" s="63"/>
      <c r="OLL40" s="63"/>
      <c r="OLM40" s="63"/>
      <c r="OLN40" s="63"/>
      <c r="OLO40" s="63"/>
      <c r="OLP40" s="63"/>
      <c r="OLQ40" s="63"/>
      <c r="OLR40" s="63"/>
      <c r="OLS40" s="63"/>
      <c r="OLT40" s="63"/>
      <c r="OLU40" s="63"/>
      <c r="OLV40" s="63"/>
      <c r="OLW40" s="63"/>
      <c r="OLX40" s="63"/>
      <c r="OLY40" s="63"/>
      <c r="OLZ40" s="63"/>
      <c r="OMA40" s="63"/>
      <c r="OMB40" s="63"/>
      <c r="OMC40" s="63"/>
      <c r="OMD40" s="63"/>
      <c r="OME40" s="63"/>
      <c r="OMF40" s="63"/>
      <c r="OMG40" s="63"/>
      <c r="OMH40" s="63"/>
      <c r="OMI40" s="63"/>
      <c r="OMJ40" s="63"/>
      <c r="OMK40" s="63"/>
      <c r="OML40" s="63"/>
      <c r="OMM40" s="63"/>
      <c r="OMN40" s="63"/>
      <c r="OMO40" s="63"/>
      <c r="OMP40" s="63"/>
      <c r="OMQ40" s="63"/>
      <c r="OMR40" s="63"/>
      <c r="OMS40" s="63"/>
      <c r="OMT40" s="63"/>
      <c r="OMU40" s="63"/>
      <c r="OMV40" s="63"/>
      <c r="OMW40" s="63"/>
      <c r="OMX40" s="63"/>
      <c r="OMY40" s="63"/>
      <c r="OMZ40" s="63"/>
      <c r="ONA40" s="63"/>
      <c r="ONB40" s="63"/>
      <c r="ONC40" s="63"/>
      <c r="OND40" s="63"/>
      <c r="ONE40" s="63"/>
      <c r="ONF40" s="63"/>
      <c r="ONG40" s="63"/>
      <c r="ONH40" s="63"/>
      <c r="ONI40" s="63"/>
      <c r="ONJ40" s="63"/>
      <c r="ONK40" s="63"/>
      <c r="ONL40" s="63"/>
      <c r="ONM40" s="63"/>
      <c r="ONN40" s="63"/>
      <c r="ONO40" s="63"/>
      <c r="ONP40" s="63"/>
      <c r="ONQ40" s="63"/>
      <c r="ONR40" s="63"/>
      <c r="ONS40" s="63"/>
      <c r="ONT40" s="63"/>
      <c r="ONU40" s="63"/>
      <c r="ONV40" s="63"/>
      <c r="ONW40" s="63"/>
      <c r="ONX40" s="63"/>
      <c r="ONY40" s="63"/>
      <c r="ONZ40" s="63"/>
      <c r="OOA40" s="63"/>
      <c r="OOB40" s="63"/>
      <c r="OOC40" s="63"/>
      <c r="OOD40" s="63"/>
      <c r="OOE40" s="63"/>
      <c r="OOF40" s="63"/>
      <c r="OOG40" s="63"/>
      <c r="OOH40" s="63"/>
      <c r="OOI40" s="63"/>
      <c r="OOJ40" s="63"/>
      <c r="OOK40" s="63"/>
      <c r="OOL40" s="63"/>
      <c r="OOM40" s="63"/>
      <c r="OON40" s="63"/>
      <c r="OOO40" s="63"/>
      <c r="OOP40" s="63"/>
      <c r="OOQ40" s="63"/>
      <c r="OOR40" s="63"/>
      <c r="OOS40" s="63"/>
      <c r="OOT40" s="63"/>
      <c r="OOU40" s="63"/>
      <c r="OOV40" s="63"/>
      <c r="OOW40" s="63"/>
      <c r="OOX40" s="63"/>
      <c r="OOY40" s="63"/>
      <c r="OOZ40" s="63"/>
      <c r="OPA40" s="63"/>
      <c r="OPB40" s="63"/>
      <c r="OPC40" s="63"/>
      <c r="OPD40" s="63"/>
      <c r="OPE40" s="63"/>
      <c r="OPF40" s="63"/>
      <c r="OPG40" s="63"/>
      <c r="OPH40" s="63"/>
      <c r="OPI40" s="63"/>
      <c r="OPJ40" s="63"/>
      <c r="OPK40" s="63"/>
      <c r="OPL40" s="63"/>
      <c r="OPM40" s="63"/>
      <c r="OPN40" s="63"/>
      <c r="OPO40" s="63"/>
      <c r="OPP40" s="63"/>
      <c r="OPQ40" s="63"/>
      <c r="OPR40" s="63"/>
      <c r="OPS40" s="63"/>
      <c r="OPT40" s="63"/>
      <c r="OPU40" s="63"/>
      <c r="OPV40" s="63"/>
      <c r="OPW40" s="63"/>
      <c r="OPX40" s="63"/>
      <c r="OPY40" s="63"/>
      <c r="OPZ40" s="63"/>
      <c r="OQA40" s="63"/>
      <c r="OQB40" s="63"/>
      <c r="OQC40" s="63"/>
      <c r="OQD40" s="63"/>
      <c r="OQE40" s="63"/>
      <c r="OQF40" s="63"/>
      <c r="OQG40" s="63"/>
      <c r="OQH40" s="63"/>
      <c r="OQI40" s="63"/>
      <c r="OQJ40" s="63"/>
      <c r="OQK40" s="63"/>
      <c r="OQL40" s="63"/>
      <c r="OQM40" s="63"/>
      <c r="OQN40" s="63"/>
      <c r="OQO40" s="63"/>
      <c r="OQP40" s="63"/>
      <c r="OQQ40" s="63"/>
      <c r="OQR40" s="63"/>
      <c r="OQS40" s="63"/>
      <c r="OQT40" s="63"/>
      <c r="OQU40" s="63"/>
      <c r="OQV40" s="63"/>
      <c r="OQW40" s="63"/>
      <c r="OQX40" s="63"/>
      <c r="OQY40" s="63"/>
      <c r="OQZ40" s="63"/>
      <c r="ORA40" s="63"/>
      <c r="ORB40" s="63"/>
      <c r="ORC40" s="63"/>
      <c r="ORD40" s="63"/>
      <c r="ORE40" s="63"/>
      <c r="ORF40" s="63"/>
      <c r="ORG40" s="63"/>
      <c r="ORH40" s="63"/>
      <c r="ORI40" s="63"/>
      <c r="ORJ40" s="63"/>
      <c r="ORK40" s="63"/>
      <c r="ORL40" s="63"/>
      <c r="ORM40" s="63"/>
      <c r="ORN40" s="63"/>
      <c r="ORO40" s="63"/>
      <c r="ORP40" s="63"/>
      <c r="ORQ40" s="63"/>
      <c r="ORR40" s="63"/>
      <c r="ORS40" s="63"/>
      <c r="ORT40" s="63"/>
      <c r="ORU40" s="63"/>
      <c r="ORV40" s="63"/>
      <c r="ORW40" s="63"/>
      <c r="ORX40" s="63"/>
      <c r="ORY40" s="63"/>
      <c r="ORZ40" s="63"/>
      <c r="OSA40" s="63"/>
      <c r="OSB40" s="63"/>
      <c r="OSC40" s="63"/>
      <c r="OSD40" s="63"/>
      <c r="OSE40" s="63"/>
      <c r="OSF40" s="63"/>
      <c r="OSG40" s="63"/>
      <c r="OSH40" s="63"/>
      <c r="OSI40" s="63"/>
      <c r="OSJ40" s="63"/>
      <c r="OSK40" s="63"/>
      <c r="OSL40" s="63"/>
      <c r="OSM40" s="63"/>
      <c r="OSN40" s="63"/>
      <c r="OSO40" s="63"/>
      <c r="OSP40" s="63"/>
      <c r="OSQ40" s="63"/>
      <c r="OSR40" s="63"/>
      <c r="OSS40" s="63"/>
      <c r="OST40" s="63"/>
      <c r="OSU40" s="63"/>
      <c r="OSV40" s="63"/>
      <c r="OSW40" s="63"/>
      <c r="OSX40" s="63"/>
      <c r="OSY40" s="63"/>
      <c r="OSZ40" s="63"/>
      <c r="OTA40" s="63"/>
      <c r="OTB40" s="63"/>
      <c r="OTC40" s="63"/>
      <c r="OTD40" s="63"/>
      <c r="OTE40" s="63"/>
      <c r="OTF40" s="63"/>
      <c r="OTG40" s="63"/>
      <c r="OTH40" s="63"/>
      <c r="OTI40" s="63"/>
      <c r="OTJ40" s="63"/>
      <c r="OTK40" s="63"/>
      <c r="OTL40" s="63"/>
      <c r="OTM40" s="63"/>
      <c r="OTN40" s="63"/>
      <c r="OTO40" s="63"/>
      <c r="OTP40" s="63"/>
      <c r="OTQ40" s="63"/>
      <c r="OTR40" s="63"/>
      <c r="OTS40" s="63"/>
      <c r="OTT40" s="63"/>
      <c r="OTU40" s="63"/>
      <c r="OTV40" s="63"/>
      <c r="OTW40" s="63"/>
      <c r="OTX40" s="63"/>
      <c r="OTY40" s="63"/>
      <c r="OTZ40" s="63"/>
      <c r="OUA40" s="63"/>
      <c r="OUB40" s="63"/>
      <c r="OUC40" s="63"/>
      <c r="OUD40" s="63"/>
      <c r="OUE40" s="63"/>
      <c r="OUF40" s="63"/>
      <c r="OUG40" s="63"/>
      <c r="OUH40" s="63"/>
      <c r="OUI40" s="63"/>
      <c r="OUJ40" s="63"/>
      <c r="OUK40" s="63"/>
      <c r="OUL40" s="63"/>
      <c r="OUM40" s="63"/>
      <c r="OUN40" s="63"/>
      <c r="OUO40" s="63"/>
      <c r="OUP40" s="63"/>
      <c r="OUQ40" s="63"/>
      <c r="OUR40" s="63"/>
      <c r="OUS40" s="63"/>
      <c r="OUT40" s="63"/>
      <c r="OUU40" s="63"/>
      <c r="OUV40" s="63"/>
      <c r="OUW40" s="63"/>
      <c r="OUX40" s="63"/>
      <c r="OUY40" s="63"/>
      <c r="OUZ40" s="63"/>
      <c r="OVA40" s="63"/>
      <c r="OVB40" s="63"/>
      <c r="OVC40" s="63"/>
      <c r="OVD40" s="63"/>
      <c r="OVE40" s="63"/>
      <c r="OVF40" s="63"/>
      <c r="OVG40" s="63"/>
      <c r="OVH40" s="63"/>
      <c r="OVI40" s="63"/>
      <c r="OVJ40" s="63"/>
      <c r="OVK40" s="63"/>
      <c r="OVL40" s="63"/>
      <c r="OVM40" s="63"/>
      <c r="OVN40" s="63"/>
      <c r="OVO40" s="63"/>
      <c r="OVP40" s="63"/>
      <c r="OVQ40" s="63"/>
      <c r="OVR40" s="63"/>
      <c r="OVS40" s="63"/>
      <c r="OVT40" s="63"/>
      <c r="OVU40" s="63"/>
      <c r="OVV40" s="63"/>
      <c r="OVW40" s="63"/>
      <c r="OVX40" s="63"/>
      <c r="OVY40" s="63"/>
      <c r="OVZ40" s="63"/>
      <c r="OWA40" s="63"/>
      <c r="OWB40" s="63"/>
      <c r="OWC40" s="63"/>
      <c r="OWD40" s="63"/>
      <c r="OWE40" s="63"/>
      <c r="OWF40" s="63"/>
      <c r="OWG40" s="63"/>
      <c r="OWH40" s="63"/>
      <c r="OWI40" s="63"/>
      <c r="OWJ40" s="63"/>
      <c r="OWK40" s="63"/>
      <c r="OWL40" s="63"/>
      <c r="OWM40" s="63"/>
      <c r="OWN40" s="63"/>
      <c r="OWO40" s="63"/>
      <c r="OWP40" s="63"/>
      <c r="OWQ40" s="63"/>
      <c r="OWR40" s="63"/>
      <c r="OWS40" s="63"/>
      <c r="OWT40" s="63"/>
      <c r="OWU40" s="63"/>
      <c r="OWV40" s="63"/>
      <c r="OWW40" s="63"/>
      <c r="OWX40" s="63"/>
      <c r="OWY40" s="63"/>
      <c r="OWZ40" s="63"/>
      <c r="OXA40" s="63"/>
      <c r="OXB40" s="63"/>
      <c r="OXC40" s="63"/>
      <c r="OXD40" s="63"/>
      <c r="OXE40" s="63"/>
      <c r="OXF40" s="63"/>
      <c r="OXG40" s="63"/>
      <c r="OXH40" s="63"/>
      <c r="OXI40" s="63"/>
      <c r="OXJ40" s="63"/>
      <c r="OXK40" s="63"/>
      <c r="OXL40" s="63"/>
      <c r="OXM40" s="63"/>
      <c r="OXN40" s="63"/>
      <c r="OXO40" s="63"/>
      <c r="OXP40" s="63"/>
      <c r="OXQ40" s="63"/>
      <c r="OXR40" s="63"/>
      <c r="OXS40" s="63"/>
      <c r="OXT40" s="63"/>
      <c r="OXU40" s="63"/>
      <c r="OXV40" s="63"/>
      <c r="OXW40" s="63"/>
      <c r="OXX40" s="63"/>
      <c r="OXY40" s="63"/>
      <c r="OXZ40" s="63"/>
      <c r="OYA40" s="63"/>
      <c r="OYB40" s="63"/>
      <c r="OYC40" s="63"/>
      <c r="OYD40" s="63"/>
      <c r="OYE40" s="63"/>
      <c r="OYF40" s="63"/>
      <c r="OYG40" s="63"/>
      <c r="OYH40" s="63"/>
      <c r="OYI40" s="63"/>
      <c r="OYJ40" s="63"/>
      <c r="OYK40" s="63"/>
      <c r="OYL40" s="63"/>
      <c r="OYM40" s="63"/>
      <c r="OYN40" s="63"/>
      <c r="OYO40" s="63"/>
      <c r="OYP40" s="63"/>
      <c r="OYQ40" s="63"/>
      <c r="OYR40" s="63"/>
      <c r="OYS40" s="63"/>
      <c r="OYT40" s="63"/>
      <c r="OYU40" s="63"/>
      <c r="OYV40" s="63"/>
      <c r="OYW40" s="63"/>
      <c r="OYX40" s="63"/>
      <c r="OYY40" s="63"/>
      <c r="OYZ40" s="63"/>
      <c r="OZA40" s="63"/>
      <c r="OZB40" s="63"/>
      <c r="OZC40" s="63"/>
      <c r="OZD40" s="63"/>
      <c r="OZE40" s="63"/>
      <c r="OZF40" s="63"/>
      <c r="OZG40" s="63"/>
      <c r="OZH40" s="63"/>
      <c r="OZI40" s="63"/>
      <c r="OZJ40" s="63"/>
      <c r="OZK40" s="63"/>
      <c r="OZL40" s="63"/>
      <c r="OZM40" s="63"/>
      <c r="OZN40" s="63"/>
      <c r="OZO40" s="63"/>
      <c r="OZP40" s="63"/>
      <c r="OZQ40" s="63"/>
      <c r="OZR40" s="63"/>
      <c r="OZS40" s="63"/>
      <c r="OZT40" s="63"/>
      <c r="OZU40" s="63"/>
      <c r="OZV40" s="63"/>
      <c r="OZW40" s="63"/>
      <c r="OZX40" s="63"/>
      <c r="OZY40" s="63"/>
      <c r="OZZ40" s="63"/>
      <c r="PAA40" s="63"/>
      <c r="PAB40" s="63"/>
      <c r="PAC40" s="63"/>
      <c r="PAD40" s="63"/>
      <c r="PAE40" s="63"/>
      <c r="PAF40" s="63"/>
      <c r="PAG40" s="63"/>
      <c r="PAH40" s="63"/>
      <c r="PAI40" s="63"/>
      <c r="PAJ40" s="63"/>
      <c r="PAK40" s="63"/>
      <c r="PAL40" s="63"/>
      <c r="PAM40" s="63"/>
      <c r="PAN40" s="63"/>
      <c r="PAO40" s="63"/>
      <c r="PAP40" s="63"/>
      <c r="PAQ40" s="63"/>
      <c r="PAR40" s="63"/>
      <c r="PAS40" s="63"/>
      <c r="PAT40" s="63"/>
      <c r="PAU40" s="63"/>
      <c r="PAV40" s="63"/>
      <c r="PAW40" s="63"/>
      <c r="PAX40" s="63"/>
      <c r="PAY40" s="63"/>
      <c r="PAZ40" s="63"/>
      <c r="PBA40" s="63"/>
      <c r="PBB40" s="63"/>
      <c r="PBC40" s="63"/>
      <c r="PBD40" s="63"/>
      <c r="PBE40" s="63"/>
      <c r="PBF40" s="63"/>
      <c r="PBG40" s="63"/>
      <c r="PBH40" s="63"/>
      <c r="PBI40" s="63"/>
      <c r="PBJ40" s="63"/>
      <c r="PBK40" s="63"/>
      <c r="PBL40" s="63"/>
      <c r="PBM40" s="63"/>
      <c r="PBN40" s="63"/>
      <c r="PBO40" s="63"/>
      <c r="PBP40" s="63"/>
      <c r="PBQ40" s="63"/>
      <c r="PBR40" s="63"/>
      <c r="PBS40" s="63"/>
      <c r="PBT40" s="63"/>
      <c r="PBU40" s="63"/>
      <c r="PBV40" s="63"/>
      <c r="PBW40" s="63"/>
      <c r="PBX40" s="63"/>
      <c r="PBY40" s="63"/>
      <c r="PBZ40" s="63"/>
      <c r="PCA40" s="63"/>
      <c r="PCB40" s="63"/>
      <c r="PCC40" s="63"/>
      <c r="PCD40" s="63"/>
      <c r="PCE40" s="63"/>
      <c r="PCF40" s="63"/>
      <c r="PCG40" s="63"/>
      <c r="PCH40" s="63"/>
      <c r="PCI40" s="63"/>
      <c r="PCJ40" s="63"/>
      <c r="PCK40" s="63"/>
      <c r="PCL40" s="63"/>
      <c r="PCM40" s="63"/>
      <c r="PCN40" s="63"/>
      <c r="PCO40" s="63"/>
      <c r="PCP40" s="63"/>
      <c r="PCQ40" s="63"/>
      <c r="PCR40" s="63"/>
      <c r="PCS40" s="63"/>
      <c r="PCT40" s="63"/>
      <c r="PCU40" s="63"/>
      <c r="PCV40" s="63"/>
      <c r="PCW40" s="63"/>
      <c r="PCX40" s="63"/>
      <c r="PCY40" s="63"/>
      <c r="PCZ40" s="63"/>
      <c r="PDA40" s="63"/>
      <c r="PDB40" s="63"/>
      <c r="PDC40" s="63"/>
      <c r="PDD40" s="63"/>
      <c r="PDE40" s="63"/>
      <c r="PDF40" s="63"/>
      <c r="PDG40" s="63"/>
      <c r="PDH40" s="63"/>
      <c r="PDI40" s="63"/>
      <c r="PDJ40" s="63"/>
      <c r="PDK40" s="63"/>
      <c r="PDL40" s="63"/>
      <c r="PDM40" s="63"/>
      <c r="PDN40" s="63"/>
      <c r="PDO40" s="63"/>
      <c r="PDP40" s="63"/>
      <c r="PDQ40" s="63"/>
      <c r="PDR40" s="63"/>
      <c r="PDS40" s="63"/>
      <c r="PDT40" s="63"/>
      <c r="PDU40" s="63"/>
      <c r="PDV40" s="63"/>
      <c r="PDW40" s="63"/>
      <c r="PDX40" s="63"/>
      <c r="PDY40" s="63"/>
      <c r="PDZ40" s="63"/>
      <c r="PEA40" s="63"/>
      <c r="PEB40" s="63"/>
      <c r="PEC40" s="63"/>
      <c r="PED40" s="63"/>
      <c r="PEE40" s="63"/>
      <c r="PEF40" s="63"/>
      <c r="PEG40" s="63"/>
      <c r="PEH40" s="63"/>
      <c r="PEI40" s="63"/>
      <c r="PEJ40" s="63"/>
      <c r="PEK40" s="63"/>
      <c r="PEL40" s="63"/>
      <c r="PEM40" s="63"/>
      <c r="PEN40" s="63"/>
      <c r="PEO40" s="63"/>
      <c r="PEP40" s="63"/>
      <c r="PEQ40" s="63"/>
      <c r="PER40" s="63"/>
      <c r="PES40" s="63"/>
      <c r="PET40" s="63"/>
      <c r="PEU40" s="63"/>
      <c r="PEV40" s="63"/>
      <c r="PEW40" s="63"/>
      <c r="PEX40" s="63"/>
      <c r="PEY40" s="63"/>
      <c r="PEZ40" s="63"/>
      <c r="PFA40" s="63"/>
      <c r="PFB40" s="63"/>
      <c r="PFC40" s="63"/>
      <c r="PFD40" s="63"/>
      <c r="PFE40" s="63"/>
      <c r="PFF40" s="63"/>
      <c r="PFG40" s="63"/>
      <c r="PFH40" s="63"/>
      <c r="PFI40" s="63"/>
      <c r="PFJ40" s="63"/>
      <c r="PFK40" s="63"/>
      <c r="PFL40" s="63"/>
      <c r="PFM40" s="63"/>
      <c r="PFN40" s="63"/>
      <c r="PFO40" s="63"/>
      <c r="PFP40" s="63"/>
      <c r="PFQ40" s="63"/>
      <c r="PFR40" s="63"/>
      <c r="PFS40" s="63"/>
      <c r="PFT40" s="63"/>
      <c r="PFU40" s="63"/>
      <c r="PFV40" s="63"/>
      <c r="PFW40" s="63"/>
      <c r="PFX40" s="63"/>
      <c r="PFY40" s="63"/>
      <c r="PFZ40" s="63"/>
      <c r="PGA40" s="63"/>
      <c r="PGB40" s="63"/>
      <c r="PGC40" s="63"/>
      <c r="PGD40" s="63"/>
      <c r="PGE40" s="63"/>
      <c r="PGF40" s="63"/>
      <c r="PGG40" s="63"/>
      <c r="PGH40" s="63"/>
      <c r="PGI40" s="63"/>
      <c r="PGJ40" s="63"/>
      <c r="PGK40" s="63"/>
      <c r="PGL40" s="63"/>
      <c r="PGM40" s="63"/>
      <c r="PGN40" s="63"/>
      <c r="PGO40" s="63"/>
      <c r="PGP40" s="63"/>
      <c r="PGQ40" s="63"/>
      <c r="PGR40" s="63"/>
      <c r="PGS40" s="63"/>
      <c r="PGT40" s="63"/>
      <c r="PGU40" s="63"/>
      <c r="PGV40" s="63"/>
      <c r="PGW40" s="63"/>
      <c r="PGX40" s="63"/>
      <c r="PGY40" s="63"/>
      <c r="PGZ40" s="63"/>
      <c r="PHA40" s="63"/>
      <c r="PHB40" s="63"/>
      <c r="PHC40" s="63"/>
      <c r="PHD40" s="63"/>
      <c r="PHE40" s="63"/>
      <c r="PHF40" s="63"/>
      <c r="PHG40" s="63"/>
      <c r="PHH40" s="63"/>
      <c r="PHI40" s="63"/>
      <c r="PHJ40" s="63"/>
      <c r="PHK40" s="63"/>
      <c r="PHL40" s="63"/>
      <c r="PHM40" s="63"/>
      <c r="PHN40" s="63"/>
      <c r="PHO40" s="63"/>
      <c r="PHP40" s="63"/>
      <c r="PHQ40" s="63"/>
      <c r="PHR40" s="63"/>
      <c r="PHS40" s="63"/>
      <c r="PHT40" s="63"/>
      <c r="PHU40" s="63"/>
      <c r="PHV40" s="63"/>
      <c r="PHW40" s="63"/>
      <c r="PHX40" s="63"/>
      <c r="PHY40" s="63"/>
      <c r="PHZ40" s="63"/>
      <c r="PIA40" s="63"/>
      <c r="PIB40" s="63"/>
      <c r="PIC40" s="63"/>
      <c r="PID40" s="63"/>
      <c r="PIE40" s="63"/>
      <c r="PIF40" s="63"/>
      <c r="PIG40" s="63"/>
      <c r="PIH40" s="63"/>
      <c r="PII40" s="63"/>
      <c r="PIJ40" s="63"/>
      <c r="PIK40" s="63"/>
      <c r="PIL40" s="63"/>
      <c r="PIM40" s="63"/>
      <c r="PIN40" s="63"/>
      <c r="PIO40" s="63"/>
      <c r="PIP40" s="63"/>
      <c r="PIQ40" s="63"/>
      <c r="PIR40" s="63"/>
      <c r="PIS40" s="63"/>
      <c r="PIT40" s="63"/>
      <c r="PIU40" s="63"/>
      <c r="PIV40" s="63"/>
      <c r="PIW40" s="63"/>
      <c r="PIX40" s="63"/>
      <c r="PIY40" s="63"/>
      <c r="PIZ40" s="63"/>
      <c r="PJA40" s="63"/>
      <c r="PJB40" s="63"/>
      <c r="PJC40" s="63"/>
      <c r="PJD40" s="63"/>
      <c r="PJE40" s="63"/>
      <c r="PJF40" s="63"/>
      <c r="PJG40" s="63"/>
      <c r="PJH40" s="63"/>
      <c r="PJI40" s="63"/>
      <c r="PJJ40" s="63"/>
      <c r="PJK40" s="63"/>
      <c r="PJL40" s="63"/>
      <c r="PJM40" s="63"/>
      <c r="PJN40" s="63"/>
      <c r="PJO40" s="63"/>
      <c r="PJP40" s="63"/>
      <c r="PJQ40" s="63"/>
      <c r="PJR40" s="63"/>
      <c r="PJS40" s="63"/>
      <c r="PJT40" s="63"/>
      <c r="PJU40" s="63"/>
      <c r="PJV40" s="63"/>
      <c r="PJW40" s="63"/>
      <c r="PJX40" s="63"/>
      <c r="PJY40" s="63"/>
      <c r="PJZ40" s="63"/>
      <c r="PKA40" s="63"/>
      <c r="PKB40" s="63"/>
      <c r="PKC40" s="63"/>
      <c r="PKD40" s="63"/>
      <c r="PKE40" s="63"/>
      <c r="PKF40" s="63"/>
      <c r="PKG40" s="63"/>
      <c r="PKH40" s="63"/>
      <c r="PKI40" s="63"/>
      <c r="PKJ40" s="63"/>
      <c r="PKK40" s="63"/>
      <c r="PKL40" s="63"/>
      <c r="PKM40" s="63"/>
      <c r="PKN40" s="63"/>
      <c r="PKO40" s="63"/>
      <c r="PKP40" s="63"/>
      <c r="PKQ40" s="63"/>
      <c r="PKR40" s="63"/>
      <c r="PKS40" s="63"/>
      <c r="PKT40" s="63"/>
      <c r="PKU40" s="63"/>
      <c r="PKV40" s="63"/>
      <c r="PKW40" s="63"/>
      <c r="PKX40" s="63"/>
      <c r="PKY40" s="63"/>
      <c r="PKZ40" s="63"/>
      <c r="PLA40" s="63"/>
      <c r="PLB40" s="63"/>
      <c r="PLC40" s="63"/>
      <c r="PLD40" s="63"/>
      <c r="PLE40" s="63"/>
      <c r="PLF40" s="63"/>
      <c r="PLG40" s="63"/>
      <c r="PLH40" s="63"/>
      <c r="PLI40" s="63"/>
      <c r="PLJ40" s="63"/>
      <c r="PLK40" s="63"/>
      <c r="PLL40" s="63"/>
      <c r="PLM40" s="63"/>
      <c r="PLN40" s="63"/>
      <c r="PLO40" s="63"/>
      <c r="PLP40" s="63"/>
      <c r="PLQ40" s="63"/>
      <c r="PLR40" s="63"/>
      <c r="PLS40" s="63"/>
      <c r="PLT40" s="63"/>
      <c r="PLU40" s="63"/>
      <c r="PLV40" s="63"/>
      <c r="PLW40" s="63"/>
      <c r="PLX40" s="63"/>
      <c r="PLY40" s="63"/>
      <c r="PLZ40" s="63"/>
      <c r="PMA40" s="63"/>
      <c r="PMB40" s="63"/>
      <c r="PMC40" s="63"/>
      <c r="PMD40" s="63"/>
      <c r="PME40" s="63"/>
      <c r="PMF40" s="63"/>
      <c r="PMG40" s="63"/>
      <c r="PMH40" s="63"/>
      <c r="PMI40" s="63"/>
      <c r="PMJ40" s="63"/>
      <c r="PMK40" s="63"/>
      <c r="PML40" s="63"/>
      <c r="PMM40" s="63"/>
      <c r="PMN40" s="63"/>
      <c r="PMO40" s="63"/>
      <c r="PMP40" s="63"/>
      <c r="PMQ40" s="63"/>
      <c r="PMR40" s="63"/>
      <c r="PMS40" s="63"/>
      <c r="PMT40" s="63"/>
      <c r="PMU40" s="63"/>
      <c r="PMV40" s="63"/>
      <c r="PMW40" s="63"/>
      <c r="PMX40" s="63"/>
      <c r="PMY40" s="63"/>
      <c r="PMZ40" s="63"/>
      <c r="PNA40" s="63"/>
      <c r="PNB40" s="63"/>
      <c r="PNC40" s="63"/>
      <c r="PND40" s="63"/>
      <c r="PNE40" s="63"/>
      <c r="PNF40" s="63"/>
      <c r="PNG40" s="63"/>
      <c r="PNH40" s="63"/>
      <c r="PNI40" s="63"/>
      <c r="PNJ40" s="63"/>
      <c r="PNK40" s="63"/>
      <c r="PNL40" s="63"/>
      <c r="PNM40" s="63"/>
      <c r="PNN40" s="63"/>
      <c r="PNO40" s="63"/>
      <c r="PNP40" s="63"/>
      <c r="PNQ40" s="63"/>
      <c r="PNR40" s="63"/>
      <c r="PNS40" s="63"/>
      <c r="PNT40" s="63"/>
      <c r="PNU40" s="63"/>
      <c r="PNV40" s="63"/>
      <c r="PNW40" s="63"/>
      <c r="PNX40" s="63"/>
      <c r="PNY40" s="63"/>
      <c r="PNZ40" s="63"/>
      <c r="POA40" s="63"/>
      <c r="POB40" s="63"/>
      <c r="POC40" s="63"/>
      <c r="POD40" s="63"/>
      <c r="POE40" s="63"/>
      <c r="POF40" s="63"/>
      <c r="POG40" s="63"/>
      <c r="POH40" s="63"/>
      <c r="POI40" s="63"/>
      <c r="POJ40" s="63"/>
      <c r="POK40" s="63"/>
      <c r="POL40" s="63"/>
      <c r="POM40" s="63"/>
      <c r="PON40" s="63"/>
      <c r="POO40" s="63"/>
      <c r="POP40" s="63"/>
      <c r="POQ40" s="63"/>
      <c r="POR40" s="63"/>
      <c r="POS40" s="63"/>
      <c r="POT40" s="63"/>
      <c r="POU40" s="63"/>
      <c r="POV40" s="63"/>
      <c r="POW40" s="63"/>
      <c r="POX40" s="63"/>
      <c r="POY40" s="63"/>
      <c r="POZ40" s="63"/>
      <c r="PPA40" s="63"/>
      <c r="PPB40" s="63"/>
      <c r="PPC40" s="63"/>
      <c r="PPD40" s="63"/>
      <c r="PPE40" s="63"/>
      <c r="PPF40" s="63"/>
      <c r="PPG40" s="63"/>
      <c r="PPH40" s="63"/>
      <c r="PPI40" s="63"/>
      <c r="PPJ40" s="63"/>
      <c r="PPK40" s="63"/>
      <c r="PPL40" s="63"/>
      <c r="PPM40" s="63"/>
      <c r="PPN40" s="63"/>
      <c r="PPO40" s="63"/>
      <c r="PPP40" s="63"/>
      <c r="PPQ40" s="63"/>
      <c r="PPR40" s="63"/>
      <c r="PPS40" s="63"/>
      <c r="PPT40" s="63"/>
      <c r="PPU40" s="63"/>
      <c r="PPV40" s="63"/>
      <c r="PPW40" s="63"/>
      <c r="PPX40" s="63"/>
      <c r="PPY40" s="63"/>
      <c r="PPZ40" s="63"/>
      <c r="PQA40" s="63"/>
      <c r="PQB40" s="63"/>
      <c r="PQC40" s="63"/>
      <c r="PQD40" s="63"/>
      <c r="PQE40" s="63"/>
      <c r="PQF40" s="63"/>
      <c r="PQG40" s="63"/>
      <c r="PQH40" s="63"/>
      <c r="PQI40" s="63"/>
      <c r="PQJ40" s="63"/>
      <c r="PQK40" s="63"/>
      <c r="PQL40" s="63"/>
      <c r="PQM40" s="63"/>
      <c r="PQN40" s="63"/>
      <c r="PQO40" s="63"/>
      <c r="PQP40" s="63"/>
      <c r="PQQ40" s="63"/>
      <c r="PQR40" s="63"/>
      <c r="PQS40" s="63"/>
      <c r="PQT40" s="63"/>
      <c r="PQU40" s="63"/>
      <c r="PQV40" s="63"/>
      <c r="PQW40" s="63"/>
      <c r="PQX40" s="63"/>
      <c r="PQY40" s="63"/>
      <c r="PQZ40" s="63"/>
      <c r="PRA40" s="63"/>
      <c r="PRB40" s="63"/>
      <c r="PRC40" s="63"/>
      <c r="PRD40" s="63"/>
      <c r="PRE40" s="63"/>
      <c r="PRF40" s="63"/>
      <c r="PRG40" s="63"/>
      <c r="PRH40" s="63"/>
      <c r="PRI40" s="63"/>
      <c r="PRJ40" s="63"/>
      <c r="PRK40" s="63"/>
      <c r="PRL40" s="63"/>
      <c r="PRM40" s="63"/>
      <c r="PRN40" s="63"/>
      <c r="PRO40" s="63"/>
      <c r="PRP40" s="63"/>
      <c r="PRQ40" s="63"/>
      <c r="PRR40" s="63"/>
      <c r="PRS40" s="63"/>
      <c r="PRT40" s="63"/>
      <c r="PRU40" s="63"/>
      <c r="PRV40" s="63"/>
      <c r="PRW40" s="63"/>
      <c r="PRX40" s="63"/>
      <c r="PRY40" s="63"/>
      <c r="PRZ40" s="63"/>
      <c r="PSA40" s="63"/>
      <c r="PSB40" s="63"/>
      <c r="PSC40" s="63"/>
      <c r="PSD40" s="63"/>
      <c r="PSE40" s="63"/>
      <c r="PSF40" s="63"/>
      <c r="PSG40" s="63"/>
      <c r="PSH40" s="63"/>
      <c r="PSI40" s="63"/>
      <c r="PSJ40" s="63"/>
      <c r="PSK40" s="63"/>
      <c r="PSL40" s="63"/>
      <c r="PSM40" s="63"/>
      <c r="PSN40" s="63"/>
      <c r="PSO40" s="63"/>
      <c r="PSP40" s="63"/>
      <c r="PSQ40" s="63"/>
      <c r="PSR40" s="63"/>
      <c r="PSS40" s="63"/>
      <c r="PST40" s="63"/>
      <c r="PSU40" s="63"/>
      <c r="PSV40" s="63"/>
      <c r="PSW40" s="63"/>
      <c r="PSX40" s="63"/>
      <c r="PSY40" s="63"/>
      <c r="PSZ40" s="63"/>
      <c r="PTA40" s="63"/>
      <c r="PTB40" s="63"/>
      <c r="PTC40" s="63"/>
      <c r="PTD40" s="63"/>
      <c r="PTE40" s="63"/>
      <c r="PTF40" s="63"/>
      <c r="PTG40" s="63"/>
      <c r="PTH40" s="63"/>
      <c r="PTI40" s="63"/>
      <c r="PTJ40" s="63"/>
      <c r="PTK40" s="63"/>
      <c r="PTL40" s="63"/>
      <c r="PTM40" s="63"/>
      <c r="PTN40" s="63"/>
      <c r="PTO40" s="63"/>
      <c r="PTP40" s="63"/>
      <c r="PTQ40" s="63"/>
      <c r="PTR40" s="63"/>
      <c r="PTS40" s="63"/>
      <c r="PTT40" s="63"/>
      <c r="PTU40" s="63"/>
      <c r="PTV40" s="63"/>
      <c r="PTW40" s="63"/>
      <c r="PTX40" s="63"/>
      <c r="PTY40" s="63"/>
      <c r="PTZ40" s="63"/>
      <c r="PUA40" s="63"/>
      <c r="PUB40" s="63"/>
      <c r="PUC40" s="63"/>
      <c r="PUD40" s="63"/>
      <c r="PUE40" s="63"/>
      <c r="PUF40" s="63"/>
      <c r="PUG40" s="63"/>
      <c r="PUH40" s="63"/>
      <c r="PUI40" s="63"/>
      <c r="PUJ40" s="63"/>
      <c r="PUK40" s="63"/>
      <c r="PUL40" s="63"/>
      <c r="PUM40" s="63"/>
      <c r="PUN40" s="63"/>
      <c r="PUO40" s="63"/>
      <c r="PUP40" s="63"/>
      <c r="PUQ40" s="63"/>
      <c r="PUR40" s="63"/>
      <c r="PUS40" s="63"/>
      <c r="PUT40" s="63"/>
      <c r="PUU40" s="63"/>
      <c r="PUV40" s="63"/>
      <c r="PUW40" s="63"/>
      <c r="PUX40" s="63"/>
      <c r="PUY40" s="63"/>
      <c r="PUZ40" s="63"/>
      <c r="PVA40" s="63"/>
      <c r="PVB40" s="63"/>
      <c r="PVC40" s="63"/>
      <c r="PVD40" s="63"/>
      <c r="PVE40" s="63"/>
      <c r="PVF40" s="63"/>
      <c r="PVG40" s="63"/>
      <c r="PVH40" s="63"/>
      <c r="PVI40" s="63"/>
      <c r="PVJ40" s="63"/>
      <c r="PVK40" s="63"/>
      <c r="PVL40" s="63"/>
      <c r="PVM40" s="63"/>
      <c r="PVN40" s="63"/>
      <c r="PVO40" s="63"/>
      <c r="PVP40" s="63"/>
      <c r="PVQ40" s="63"/>
      <c r="PVR40" s="63"/>
      <c r="PVS40" s="63"/>
      <c r="PVT40" s="63"/>
      <c r="PVU40" s="63"/>
      <c r="PVV40" s="63"/>
      <c r="PVW40" s="63"/>
      <c r="PVX40" s="63"/>
      <c r="PVY40" s="63"/>
      <c r="PVZ40" s="63"/>
      <c r="PWA40" s="63"/>
      <c r="PWB40" s="63"/>
      <c r="PWC40" s="63"/>
      <c r="PWD40" s="63"/>
      <c r="PWE40" s="63"/>
      <c r="PWF40" s="63"/>
      <c r="PWG40" s="63"/>
      <c r="PWH40" s="63"/>
      <c r="PWI40" s="63"/>
      <c r="PWJ40" s="63"/>
      <c r="PWK40" s="63"/>
      <c r="PWL40" s="63"/>
      <c r="PWM40" s="63"/>
      <c r="PWN40" s="63"/>
      <c r="PWO40" s="63"/>
      <c r="PWP40" s="63"/>
      <c r="PWQ40" s="63"/>
      <c r="PWR40" s="63"/>
      <c r="PWS40" s="63"/>
      <c r="PWT40" s="63"/>
      <c r="PWU40" s="63"/>
      <c r="PWV40" s="63"/>
      <c r="PWW40" s="63"/>
      <c r="PWX40" s="63"/>
      <c r="PWY40" s="63"/>
      <c r="PWZ40" s="63"/>
      <c r="PXA40" s="63"/>
      <c r="PXB40" s="63"/>
      <c r="PXC40" s="63"/>
      <c r="PXD40" s="63"/>
      <c r="PXE40" s="63"/>
      <c r="PXF40" s="63"/>
      <c r="PXG40" s="63"/>
      <c r="PXH40" s="63"/>
      <c r="PXI40" s="63"/>
      <c r="PXJ40" s="63"/>
      <c r="PXK40" s="63"/>
      <c r="PXL40" s="63"/>
      <c r="PXM40" s="63"/>
      <c r="PXN40" s="63"/>
      <c r="PXO40" s="63"/>
      <c r="PXP40" s="63"/>
      <c r="PXQ40" s="63"/>
      <c r="PXR40" s="63"/>
      <c r="PXS40" s="63"/>
      <c r="PXT40" s="63"/>
      <c r="PXU40" s="63"/>
      <c r="PXV40" s="63"/>
      <c r="PXW40" s="63"/>
      <c r="PXX40" s="63"/>
      <c r="PXY40" s="63"/>
      <c r="PXZ40" s="63"/>
      <c r="PYA40" s="63"/>
      <c r="PYB40" s="63"/>
      <c r="PYC40" s="63"/>
      <c r="PYD40" s="63"/>
      <c r="PYE40" s="63"/>
      <c r="PYF40" s="63"/>
      <c r="PYG40" s="63"/>
      <c r="PYH40" s="63"/>
      <c r="PYI40" s="63"/>
      <c r="PYJ40" s="63"/>
      <c r="PYK40" s="63"/>
      <c r="PYL40" s="63"/>
      <c r="PYM40" s="63"/>
      <c r="PYN40" s="63"/>
      <c r="PYO40" s="63"/>
      <c r="PYP40" s="63"/>
      <c r="PYQ40" s="63"/>
      <c r="PYR40" s="63"/>
      <c r="PYS40" s="63"/>
      <c r="PYT40" s="63"/>
      <c r="PYU40" s="63"/>
      <c r="PYV40" s="63"/>
      <c r="PYW40" s="63"/>
      <c r="PYX40" s="63"/>
      <c r="PYY40" s="63"/>
      <c r="PYZ40" s="63"/>
      <c r="PZA40" s="63"/>
      <c r="PZB40" s="63"/>
      <c r="PZC40" s="63"/>
      <c r="PZD40" s="63"/>
      <c r="PZE40" s="63"/>
      <c r="PZF40" s="63"/>
      <c r="PZG40" s="63"/>
      <c r="PZH40" s="63"/>
      <c r="PZI40" s="63"/>
      <c r="PZJ40" s="63"/>
      <c r="PZK40" s="63"/>
      <c r="PZL40" s="63"/>
      <c r="PZM40" s="63"/>
      <c r="PZN40" s="63"/>
      <c r="PZO40" s="63"/>
      <c r="PZP40" s="63"/>
      <c r="PZQ40" s="63"/>
      <c r="PZR40" s="63"/>
      <c r="PZS40" s="63"/>
      <c r="PZT40" s="63"/>
      <c r="PZU40" s="63"/>
      <c r="PZV40" s="63"/>
      <c r="PZW40" s="63"/>
      <c r="PZX40" s="63"/>
      <c r="PZY40" s="63"/>
      <c r="PZZ40" s="63"/>
      <c r="QAA40" s="63"/>
      <c r="QAB40" s="63"/>
      <c r="QAC40" s="63"/>
      <c r="QAD40" s="63"/>
      <c r="QAE40" s="63"/>
      <c r="QAF40" s="63"/>
      <c r="QAG40" s="63"/>
      <c r="QAH40" s="63"/>
      <c r="QAI40" s="63"/>
      <c r="QAJ40" s="63"/>
      <c r="QAK40" s="63"/>
      <c r="QAL40" s="63"/>
      <c r="QAM40" s="63"/>
      <c r="QAN40" s="63"/>
      <c r="QAO40" s="63"/>
      <c r="QAP40" s="63"/>
      <c r="QAQ40" s="63"/>
      <c r="QAR40" s="63"/>
      <c r="QAS40" s="63"/>
      <c r="QAT40" s="63"/>
      <c r="QAU40" s="63"/>
      <c r="QAV40" s="63"/>
      <c r="QAW40" s="63"/>
      <c r="QAX40" s="63"/>
      <c r="QAY40" s="63"/>
      <c r="QAZ40" s="63"/>
      <c r="QBA40" s="63"/>
      <c r="QBB40" s="63"/>
      <c r="QBC40" s="63"/>
      <c r="QBD40" s="63"/>
      <c r="QBE40" s="63"/>
      <c r="QBF40" s="63"/>
      <c r="QBG40" s="63"/>
      <c r="QBH40" s="63"/>
      <c r="QBI40" s="63"/>
      <c r="QBJ40" s="63"/>
      <c r="QBK40" s="63"/>
      <c r="QBL40" s="63"/>
      <c r="QBM40" s="63"/>
      <c r="QBN40" s="63"/>
      <c r="QBO40" s="63"/>
      <c r="QBP40" s="63"/>
      <c r="QBQ40" s="63"/>
      <c r="QBR40" s="63"/>
      <c r="QBS40" s="63"/>
      <c r="QBT40" s="63"/>
      <c r="QBU40" s="63"/>
      <c r="QBV40" s="63"/>
      <c r="QBW40" s="63"/>
      <c r="QBX40" s="63"/>
      <c r="QBY40" s="63"/>
      <c r="QBZ40" s="63"/>
      <c r="QCA40" s="63"/>
      <c r="QCB40" s="63"/>
      <c r="QCC40" s="63"/>
      <c r="QCD40" s="63"/>
      <c r="QCE40" s="63"/>
      <c r="QCF40" s="63"/>
      <c r="QCG40" s="63"/>
      <c r="QCH40" s="63"/>
      <c r="QCI40" s="63"/>
      <c r="QCJ40" s="63"/>
      <c r="QCK40" s="63"/>
      <c r="QCL40" s="63"/>
      <c r="QCM40" s="63"/>
      <c r="QCN40" s="63"/>
      <c r="QCO40" s="63"/>
      <c r="QCP40" s="63"/>
      <c r="QCQ40" s="63"/>
      <c r="QCR40" s="63"/>
      <c r="QCS40" s="63"/>
      <c r="QCT40" s="63"/>
      <c r="QCU40" s="63"/>
      <c r="QCV40" s="63"/>
      <c r="QCW40" s="63"/>
      <c r="QCX40" s="63"/>
      <c r="QCY40" s="63"/>
      <c r="QCZ40" s="63"/>
      <c r="QDA40" s="63"/>
      <c r="QDB40" s="63"/>
      <c r="QDC40" s="63"/>
      <c r="QDD40" s="63"/>
      <c r="QDE40" s="63"/>
      <c r="QDF40" s="63"/>
      <c r="QDG40" s="63"/>
      <c r="QDH40" s="63"/>
      <c r="QDI40" s="63"/>
      <c r="QDJ40" s="63"/>
      <c r="QDK40" s="63"/>
      <c r="QDL40" s="63"/>
      <c r="QDM40" s="63"/>
      <c r="QDN40" s="63"/>
      <c r="QDO40" s="63"/>
      <c r="QDP40" s="63"/>
      <c r="QDQ40" s="63"/>
      <c r="QDR40" s="63"/>
      <c r="QDS40" s="63"/>
      <c r="QDT40" s="63"/>
      <c r="QDU40" s="63"/>
      <c r="QDV40" s="63"/>
      <c r="QDW40" s="63"/>
      <c r="QDX40" s="63"/>
      <c r="QDY40" s="63"/>
      <c r="QDZ40" s="63"/>
      <c r="QEA40" s="63"/>
      <c r="QEB40" s="63"/>
      <c r="QEC40" s="63"/>
      <c r="QED40" s="63"/>
      <c r="QEE40" s="63"/>
      <c r="QEF40" s="63"/>
      <c r="QEG40" s="63"/>
      <c r="QEH40" s="63"/>
      <c r="QEI40" s="63"/>
      <c r="QEJ40" s="63"/>
      <c r="QEK40" s="63"/>
      <c r="QEL40" s="63"/>
      <c r="QEM40" s="63"/>
      <c r="QEN40" s="63"/>
      <c r="QEO40" s="63"/>
      <c r="QEP40" s="63"/>
      <c r="QEQ40" s="63"/>
      <c r="QER40" s="63"/>
      <c r="QES40" s="63"/>
      <c r="QET40" s="63"/>
      <c r="QEU40" s="63"/>
      <c r="QEV40" s="63"/>
      <c r="QEW40" s="63"/>
      <c r="QEX40" s="63"/>
      <c r="QEY40" s="63"/>
      <c r="QEZ40" s="63"/>
      <c r="QFA40" s="63"/>
      <c r="QFB40" s="63"/>
      <c r="QFC40" s="63"/>
      <c r="QFD40" s="63"/>
      <c r="QFE40" s="63"/>
      <c r="QFF40" s="63"/>
      <c r="QFG40" s="63"/>
      <c r="QFH40" s="63"/>
      <c r="QFI40" s="63"/>
      <c r="QFJ40" s="63"/>
      <c r="QFK40" s="63"/>
      <c r="QFL40" s="63"/>
      <c r="QFM40" s="63"/>
      <c r="QFN40" s="63"/>
      <c r="QFO40" s="63"/>
      <c r="QFP40" s="63"/>
      <c r="QFQ40" s="63"/>
      <c r="QFR40" s="63"/>
      <c r="QFS40" s="63"/>
      <c r="QFT40" s="63"/>
      <c r="QFU40" s="63"/>
      <c r="QFV40" s="63"/>
      <c r="QFW40" s="63"/>
      <c r="QFX40" s="63"/>
      <c r="QFY40" s="63"/>
      <c r="QFZ40" s="63"/>
      <c r="QGA40" s="63"/>
      <c r="QGB40" s="63"/>
      <c r="QGC40" s="63"/>
      <c r="QGD40" s="63"/>
      <c r="QGE40" s="63"/>
      <c r="QGF40" s="63"/>
      <c r="QGG40" s="63"/>
      <c r="QGH40" s="63"/>
      <c r="QGI40" s="63"/>
      <c r="QGJ40" s="63"/>
      <c r="QGK40" s="63"/>
      <c r="QGL40" s="63"/>
      <c r="QGM40" s="63"/>
      <c r="QGN40" s="63"/>
      <c r="QGO40" s="63"/>
      <c r="QGP40" s="63"/>
      <c r="QGQ40" s="63"/>
      <c r="QGR40" s="63"/>
      <c r="QGS40" s="63"/>
      <c r="QGT40" s="63"/>
      <c r="QGU40" s="63"/>
      <c r="QGV40" s="63"/>
      <c r="QGW40" s="63"/>
      <c r="QGX40" s="63"/>
      <c r="QGY40" s="63"/>
      <c r="QGZ40" s="63"/>
      <c r="QHA40" s="63"/>
      <c r="QHB40" s="63"/>
      <c r="QHC40" s="63"/>
      <c r="QHD40" s="63"/>
      <c r="QHE40" s="63"/>
      <c r="QHF40" s="63"/>
      <c r="QHG40" s="63"/>
      <c r="QHH40" s="63"/>
      <c r="QHI40" s="63"/>
      <c r="QHJ40" s="63"/>
      <c r="QHK40" s="63"/>
      <c r="QHL40" s="63"/>
      <c r="QHM40" s="63"/>
      <c r="QHN40" s="63"/>
      <c r="QHO40" s="63"/>
      <c r="QHP40" s="63"/>
      <c r="QHQ40" s="63"/>
      <c r="QHR40" s="63"/>
      <c r="QHS40" s="63"/>
      <c r="QHT40" s="63"/>
      <c r="QHU40" s="63"/>
      <c r="QHV40" s="63"/>
      <c r="QHW40" s="63"/>
      <c r="QHX40" s="63"/>
      <c r="QHY40" s="63"/>
      <c r="QHZ40" s="63"/>
      <c r="QIA40" s="63"/>
      <c r="QIB40" s="63"/>
      <c r="QIC40" s="63"/>
      <c r="QID40" s="63"/>
      <c r="QIE40" s="63"/>
      <c r="QIF40" s="63"/>
      <c r="QIG40" s="63"/>
      <c r="QIH40" s="63"/>
      <c r="QII40" s="63"/>
      <c r="QIJ40" s="63"/>
      <c r="QIK40" s="63"/>
      <c r="QIL40" s="63"/>
      <c r="QIM40" s="63"/>
      <c r="QIN40" s="63"/>
      <c r="QIO40" s="63"/>
      <c r="QIP40" s="63"/>
      <c r="QIQ40" s="63"/>
      <c r="QIR40" s="63"/>
      <c r="QIS40" s="63"/>
      <c r="QIT40" s="63"/>
      <c r="QIU40" s="63"/>
      <c r="QIV40" s="63"/>
      <c r="QIW40" s="63"/>
      <c r="QIX40" s="63"/>
      <c r="QIY40" s="63"/>
      <c r="QIZ40" s="63"/>
      <c r="QJA40" s="63"/>
      <c r="QJB40" s="63"/>
      <c r="QJC40" s="63"/>
      <c r="QJD40" s="63"/>
      <c r="QJE40" s="63"/>
      <c r="QJF40" s="63"/>
      <c r="QJG40" s="63"/>
      <c r="QJH40" s="63"/>
      <c r="QJI40" s="63"/>
      <c r="QJJ40" s="63"/>
      <c r="QJK40" s="63"/>
      <c r="QJL40" s="63"/>
      <c r="QJM40" s="63"/>
      <c r="QJN40" s="63"/>
      <c r="QJO40" s="63"/>
      <c r="QJP40" s="63"/>
      <c r="QJQ40" s="63"/>
      <c r="QJR40" s="63"/>
      <c r="QJS40" s="63"/>
      <c r="QJT40" s="63"/>
      <c r="QJU40" s="63"/>
      <c r="QJV40" s="63"/>
      <c r="QJW40" s="63"/>
      <c r="QJX40" s="63"/>
      <c r="QJY40" s="63"/>
      <c r="QJZ40" s="63"/>
      <c r="QKA40" s="63"/>
      <c r="QKB40" s="63"/>
      <c r="QKC40" s="63"/>
      <c r="QKD40" s="63"/>
      <c r="QKE40" s="63"/>
      <c r="QKF40" s="63"/>
      <c r="QKG40" s="63"/>
      <c r="QKH40" s="63"/>
      <c r="QKI40" s="63"/>
      <c r="QKJ40" s="63"/>
      <c r="QKK40" s="63"/>
      <c r="QKL40" s="63"/>
      <c r="QKM40" s="63"/>
      <c r="QKN40" s="63"/>
      <c r="QKO40" s="63"/>
      <c r="QKP40" s="63"/>
      <c r="QKQ40" s="63"/>
      <c r="QKR40" s="63"/>
      <c r="QKS40" s="63"/>
      <c r="QKT40" s="63"/>
      <c r="QKU40" s="63"/>
      <c r="QKV40" s="63"/>
      <c r="QKW40" s="63"/>
      <c r="QKX40" s="63"/>
      <c r="QKY40" s="63"/>
      <c r="QKZ40" s="63"/>
      <c r="QLA40" s="63"/>
      <c r="QLB40" s="63"/>
      <c r="QLC40" s="63"/>
      <c r="QLD40" s="63"/>
      <c r="QLE40" s="63"/>
      <c r="QLF40" s="63"/>
      <c r="QLG40" s="63"/>
      <c r="QLH40" s="63"/>
      <c r="QLI40" s="63"/>
      <c r="QLJ40" s="63"/>
      <c r="QLK40" s="63"/>
      <c r="QLL40" s="63"/>
      <c r="QLM40" s="63"/>
      <c r="QLN40" s="63"/>
      <c r="QLO40" s="63"/>
      <c r="QLP40" s="63"/>
      <c r="QLQ40" s="63"/>
      <c r="QLR40" s="63"/>
      <c r="QLS40" s="63"/>
      <c r="QLT40" s="63"/>
      <c r="QLU40" s="63"/>
      <c r="QLV40" s="63"/>
      <c r="QLW40" s="63"/>
      <c r="QLX40" s="63"/>
      <c r="QLY40" s="63"/>
      <c r="QLZ40" s="63"/>
      <c r="QMA40" s="63"/>
      <c r="QMB40" s="63"/>
      <c r="QMC40" s="63"/>
      <c r="QMD40" s="63"/>
      <c r="QME40" s="63"/>
      <c r="QMF40" s="63"/>
      <c r="QMG40" s="63"/>
      <c r="QMH40" s="63"/>
      <c r="QMI40" s="63"/>
      <c r="QMJ40" s="63"/>
      <c r="QMK40" s="63"/>
      <c r="QML40" s="63"/>
      <c r="QMM40" s="63"/>
      <c r="QMN40" s="63"/>
      <c r="QMO40" s="63"/>
      <c r="QMP40" s="63"/>
      <c r="QMQ40" s="63"/>
      <c r="QMR40" s="63"/>
      <c r="QMS40" s="63"/>
      <c r="QMT40" s="63"/>
      <c r="QMU40" s="63"/>
      <c r="QMV40" s="63"/>
      <c r="QMW40" s="63"/>
      <c r="QMX40" s="63"/>
      <c r="QMY40" s="63"/>
      <c r="QMZ40" s="63"/>
      <c r="QNA40" s="63"/>
      <c r="QNB40" s="63"/>
      <c r="QNC40" s="63"/>
      <c r="QND40" s="63"/>
      <c r="QNE40" s="63"/>
      <c r="QNF40" s="63"/>
      <c r="QNG40" s="63"/>
      <c r="QNH40" s="63"/>
      <c r="QNI40" s="63"/>
      <c r="QNJ40" s="63"/>
      <c r="QNK40" s="63"/>
      <c r="QNL40" s="63"/>
      <c r="QNM40" s="63"/>
      <c r="QNN40" s="63"/>
      <c r="QNO40" s="63"/>
      <c r="QNP40" s="63"/>
      <c r="QNQ40" s="63"/>
      <c r="QNR40" s="63"/>
      <c r="QNS40" s="63"/>
      <c r="QNT40" s="63"/>
      <c r="QNU40" s="63"/>
      <c r="QNV40" s="63"/>
      <c r="QNW40" s="63"/>
      <c r="QNX40" s="63"/>
      <c r="QNY40" s="63"/>
      <c r="QNZ40" s="63"/>
      <c r="QOA40" s="63"/>
      <c r="QOB40" s="63"/>
      <c r="QOC40" s="63"/>
      <c r="QOD40" s="63"/>
      <c r="QOE40" s="63"/>
      <c r="QOF40" s="63"/>
      <c r="QOG40" s="63"/>
      <c r="QOH40" s="63"/>
      <c r="QOI40" s="63"/>
      <c r="QOJ40" s="63"/>
      <c r="QOK40" s="63"/>
      <c r="QOL40" s="63"/>
      <c r="QOM40" s="63"/>
      <c r="QON40" s="63"/>
      <c r="QOO40" s="63"/>
      <c r="QOP40" s="63"/>
      <c r="QOQ40" s="63"/>
      <c r="QOR40" s="63"/>
      <c r="QOS40" s="63"/>
      <c r="QOT40" s="63"/>
      <c r="QOU40" s="63"/>
      <c r="QOV40" s="63"/>
      <c r="QOW40" s="63"/>
      <c r="QOX40" s="63"/>
      <c r="QOY40" s="63"/>
      <c r="QOZ40" s="63"/>
      <c r="QPA40" s="63"/>
      <c r="QPB40" s="63"/>
      <c r="QPC40" s="63"/>
      <c r="QPD40" s="63"/>
      <c r="QPE40" s="63"/>
      <c r="QPF40" s="63"/>
      <c r="QPG40" s="63"/>
      <c r="QPH40" s="63"/>
      <c r="QPI40" s="63"/>
      <c r="QPJ40" s="63"/>
      <c r="QPK40" s="63"/>
      <c r="QPL40" s="63"/>
      <c r="QPM40" s="63"/>
      <c r="QPN40" s="63"/>
      <c r="QPO40" s="63"/>
      <c r="QPP40" s="63"/>
      <c r="QPQ40" s="63"/>
      <c r="QPR40" s="63"/>
      <c r="QPS40" s="63"/>
      <c r="QPT40" s="63"/>
      <c r="QPU40" s="63"/>
      <c r="QPV40" s="63"/>
      <c r="QPW40" s="63"/>
      <c r="QPX40" s="63"/>
      <c r="QPY40" s="63"/>
      <c r="QPZ40" s="63"/>
      <c r="QQA40" s="63"/>
      <c r="QQB40" s="63"/>
      <c r="QQC40" s="63"/>
      <c r="QQD40" s="63"/>
      <c r="QQE40" s="63"/>
      <c r="QQF40" s="63"/>
      <c r="QQG40" s="63"/>
      <c r="QQH40" s="63"/>
      <c r="QQI40" s="63"/>
      <c r="QQJ40" s="63"/>
      <c r="QQK40" s="63"/>
      <c r="QQL40" s="63"/>
      <c r="QQM40" s="63"/>
      <c r="QQN40" s="63"/>
      <c r="QQO40" s="63"/>
      <c r="QQP40" s="63"/>
      <c r="QQQ40" s="63"/>
      <c r="QQR40" s="63"/>
      <c r="QQS40" s="63"/>
      <c r="QQT40" s="63"/>
      <c r="QQU40" s="63"/>
      <c r="QQV40" s="63"/>
      <c r="QQW40" s="63"/>
      <c r="QQX40" s="63"/>
      <c r="QQY40" s="63"/>
      <c r="QQZ40" s="63"/>
      <c r="QRA40" s="63"/>
      <c r="QRB40" s="63"/>
      <c r="QRC40" s="63"/>
      <c r="QRD40" s="63"/>
      <c r="QRE40" s="63"/>
      <c r="QRF40" s="63"/>
      <c r="QRG40" s="63"/>
      <c r="QRH40" s="63"/>
      <c r="QRI40" s="63"/>
      <c r="QRJ40" s="63"/>
      <c r="QRK40" s="63"/>
      <c r="QRL40" s="63"/>
      <c r="QRM40" s="63"/>
      <c r="QRN40" s="63"/>
      <c r="QRO40" s="63"/>
      <c r="QRP40" s="63"/>
      <c r="QRQ40" s="63"/>
      <c r="QRR40" s="63"/>
      <c r="QRS40" s="63"/>
      <c r="QRT40" s="63"/>
      <c r="QRU40" s="63"/>
      <c r="QRV40" s="63"/>
      <c r="QRW40" s="63"/>
      <c r="QRX40" s="63"/>
      <c r="QRY40" s="63"/>
      <c r="QRZ40" s="63"/>
      <c r="QSA40" s="63"/>
      <c r="QSB40" s="63"/>
      <c r="QSC40" s="63"/>
      <c r="QSD40" s="63"/>
      <c r="QSE40" s="63"/>
      <c r="QSF40" s="63"/>
      <c r="QSG40" s="63"/>
      <c r="QSH40" s="63"/>
      <c r="QSI40" s="63"/>
      <c r="QSJ40" s="63"/>
      <c r="QSK40" s="63"/>
      <c r="QSL40" s="63"/>
      <c r="QSM40" s="63"/>
      <c r="QSN40" s="63"/>
      <c r="QSO40" s="63"/>
      <c r="QSP40" s="63"/>
      <c r="QSQ40" s="63"/>
      <c r="QSR40" s="63"/>
      <c r="QSS40" s="63"/>
      <c r="QST40" s="63"/>
      <c r="QSU40" s="63"/>
      <c r="QSV40" s="63"/>
      <c r="QSW40" s="63"/>
      <c r="QSX40" s="63"/>
      <c r="QSY40" s="63"/>
      <c r="QSZ40" s="63"/>
      <c r="QTA40" s="63"/>
      <c r="QTB40" s="63"/>
      <c r="QTC40" s="63"/>
      <c r="QTD40" s="63"/>
      <c r="QTE40" s="63"/>
      <c r="QTF40" s="63"/>
      <c r="QTG40" s="63"/>
      <c r="QTH40" s="63"/>
      <c r="QTI40" s="63"/>
      <c r="QTJ40" s="63"/>
      <c r="QTK40" s="63"/>
      <c r="QTL40" s="63"/>
      <c r="QTM40" s="63"/>
      <c r="QTN40" s="63"/>
      <c r="QTO40" s="63"/>
      <c r="QTP40" s="63"/>
      <c r="QTQ40" s="63"/>
      <c r="QTR40" s="63"/>
      <c r="QTS40" s="63"/>
      <c r="QTT40" s="63"/>
      <c r="QTU40" s="63"/>
      <c r="QTV40" s="63"/>
      <c r="QTW40" s="63"/>
      <c r="QTX40" s="63"/>
      <c r="QTY40" s="63"/>
      <c r="QTZ40" s="63"/>
      <c r="QUA40" s="63"/>
      <c r="QUB40" s="63"/>
      <c r="QUC40" s="63"/>
      <c r="QUD40" s="63"/>
      <c r="QUE40" s="63"/>
      <c r="QUF40" s="63"/>
      <c r="QUG40" s="63"/>
      <c r="QUH40" s="63"/>
      <c r="QUI40" s="63"/>
      <c r="QUJ40" s="63"/>
      <c r="QUK40" s="63"/>
      <c r="QUL40" s="63"/>
      <c r="QUM40" s="63"/>
      <c r="QUN40" s="63"/>
      <c r="QUO40" s="63"/>
      <c r="QUP40" s="63"/>
      <c r="QUQ40" s="63"/>
      <c r="QUR40" s="63"/>
      <c r="QUS40" s="63"/>
      <c r="QUT40" s="63"/>
      <c r="QUU40" s="63"/>
      <c r="QUV40" s="63"/>
      <c r="QUW40" s="63"/>
      <c r="QUX40" s="63"/>
      <c r="QUY40" s="63"/>
      <c r="QUZ40" s="63"/>
      <c r="QVA40" s="63"/>
      <c r="QVB40" s="63"/>
      <c r="QVC40" s="63"/>
      <c r="QVD40" s="63"/>
      <c r="QVE40" s="63"/>
      <c r="QVF40" s="63"/>
      <c r="QVG40" s="63"/>
      <c r="QVH40" s="63"/>
      <c r="QVI40" s="63"/>
      <c r="QVJ40" s="63"/>
      <c r="QVK40" s="63"/>
      <c r="QVL40" s="63"/>
      <c r="QVM40" s="63"/>
      <c r="QVN40" s="63"/>
      <c r="QVO40" s="63"/>
      <c r="QVP40" s="63"/>
      <c r="QVQ40" s="63"/>
      <c r="QVR40" s="63"/>
      <c r="QVS40" s="63"/>
      <c r="QVT40" s="63"/>
      <c r="QVU40" s="63"/>
      <c r="QVV40" s="63"/>
      <c r="QVW40" s="63"/>
      <c r="QVX40" s="63"/>
      <c r="QVY40" s="63"/>
      <c r="QVZ40" s="63"/>
      <c r="QWA40" s="63"/>
      <c r="QWB40" s="63"/>
      <c r="QWC40" s="63"/>
      <c r="QWD40" s="63"/>
      <c r="QWE40" s="63"/>
      <c r="QWF40" s="63"/>
      <c r="QWG40" s="63"/>
      <c r="QWH40" s="63"/>
      <c r="QWI40" s="63"/>
      <c r="QWJ40" s="63"/>
      <c r="QWK40" s="63"/>
      <c r="QWL40" s="63"/>
      <c r="QWM40" s="63"/>
      <c r="QWN40" s="63"/>
      <c r="QWO40" s="63"/>
      <c r="QWP40" s="63"/>
      <c r="QWQ40" s="63"/>
      <c r="QWR40" s="63"/>
      <c r="QWS40" s="63"/>
      <c r="QWT40" s="63"/>
      <c r="QWU40" s="63"/>
      <c r="QWV40" s="63"/>
      <c r="QWW40" s="63"/>
      <c r="QWX40" s="63"/>
      <c r="QWY40" s="63"/>
      <c r="QWZ40" s="63"/>
      <c r="QXA40" s="63"/>
      <c r="QXB40" s="63"/>
      <c r="QXC40" s="63"/>
      <c r="QXD40" s="63"/>
      <c r="QXE40" s="63"/>
      <c r="QXF40" s="63"/>
      <c r="QXG40" s="63"/>
      <c r="QXH40" s="63"/>
      <c r="QXI40" s="63"/>
      <c r="QXJ40" s="63"/>
      <c r="QXK40" s="63"/>
      <c r="QXL40" s="63"/>
      <c r="QXM40" s="63"/>
      <c r="QXN40" s="63"/>
      <c r="QXO40" s="63"/>
      <c r="QXP40" s="63"/>
      <c r="QXQ40" s="63"/>
      <c r="QXR40" s="63"/>
      <c r="QXS40" s="63"/>
      <c r="QXT40" s="63"/>
      <c r="QXU40" s="63"/>
      <c r="QXV40" s="63"/>
      <c r="QXW40" s="63"/>
      <c r="QXX40" s="63"/>
      <c r="QXY40" s="63"/>
      <c r="QXZ40" s="63"/>
      <c r="QYA40" s="63"/>
      <c r="QYB40" s="63"/>
      <c r="QYC40" s="63"/>
      <c r="QYD40" s="63"/>
      <c r="QYE40" s="63"/>
      <c r="QYF40" s="63"/>
      <c r="QYG40" s="63"/>
      <c r="QYH40" s="63"/>
      <c r="QYI40" s="63"/>
      <c r="QYJ40" s="63"/>
      <c r="QYK40" s="63"/>
      <c r="QYL40" s="63"/>
      <c r="QYM40" s="63"/>
      <c r="QYN40" s="63"/>
      <c r="QYO40" s="63"/>
      <c r="QYP40" s="63"/>
      <c r="QYQ40" s="63"/>
      <c r="QYR40" s="63"/>
      <c r="QYS40" s="63"/>
      <c r="QYT40" s="63"/>
      <c r="QYU40" s="63"/>
      <c r="QYV40" s="63"/>
      <c r="QYW40" s="63"/>
      <c r="QYX40" s="63"/>
      <c r="QYY40" s="63"/>
      <c r="QYZ40" s="63"/>
      <c r="QZA40" s="63"/>
      <c r="QZB40" s="63"/>
      <c r="QZC40" s="63"/>
      <c r="QZD40" s="63"/>
      <c r="QZE40" s="63"/>
      <c r="QZF40" s="63"/>
      <c r="QZG40" s="63"/>
      <c r="QZH40" s="63"/>
      <c r="QZI40" s="63"/>
      <c r="QZJ40" s="63"/>
      <c r="QZK40" s="63"/>
      <c r="QZL40" s="63"/>
      <c r="QZM40" s="63"/>
      <c r="QZN40" s="63"/>
      <c r="QZO40" s="63"/>
      <c r="QZP40" s="63"/>
      <c r="QZQ40" s="63"/>
      <c r="QZR40" s="63"/>
      <c r="QZS40" s="63"/>
      <c r="QZT40" s="63"/>
      <c r="QZU40" s="63"/>
      <c r="QZV40" s="63"/>
      <c r="QZW40" s="63"/>
      <c r="QZX40" s="63"/>
      <c r="QZY40" s="63"/>
      <c r="QZZ40" s="63"/>
      <c r="RAA40" s="63"/>
      <c r="RAB40" s="63"/>
      <c r="RAC40" s="63"/>
      <c r="RAD40" s="63"/>
      <c r="RAE40" s="63"/>
      <c r="RAF40" s="63"/>
      <c r="RAG40" s="63"/>
      <c r="RAH40" s="63"/>
      <c r="RAI40" s="63"/>
      <c r="RAJ40" s="63"/>
      <c r="RAK40" s="63"/>
      <c r="RAL40" s="63"/>
      <c r="RAM40" s="63"/>
      <c r="RAN40" s="63"/>
      <c r="RAO40" s="63"/>
      <c r="RAP40" s="63"/>
      <c r="RAQ40" s="63"/>
      <c r="RAR40" s="63"/>
      <c r="RAS40" s="63"/>
      <c r="RAT40" s="63"/>
      <c r="RAU40" s="63"/>
      <c r="RAV40" s="63"/>
      <c r="RAW40" s="63"/>
      <c r="RAX40" s="63"/>
      <c r="RAY40" s="63"/>
      <c r="RAZ40" s="63"/>
      <c r="RBA40" s="63"/>
      <c r="RBB40" s="63"/>
      <c r="RBC40" s="63"/>
      <c r="RBD40" s="63"/>
      <c r="RBE40" s="63"/>
      <c r="RBF40" s="63"/>
      <c r="RBG40" s="63"/>
      <c r="RBH40" s="63"/>
      <c r="RBI40" s="63"/>
      <c r="RBJ40" s="63"/>
      <c r="RBK40" s="63"/>
      <c r="RBL40" s="63"/>
      <c r="RBM40" s="63"/>
      <c r="RBN40" s="63"/>
      <c r="RBO40" s="63"/>
      <c r="RBP40" s="63"/>
      <c r="RBQ40" s="63"/>
      <c r="RBR40" s="63"/>
      <c r="RBS40" s="63"/>
      <c r="RBT40" s="63"/>
      <c r="RBU40" s="63"/>
      <c r="RBV40" s="63"/>
      <c r="RBW40" s="63"/>
      <c r="RBX40" s="63"/>
      <c r="RBY40" s="63"/>
      <c r="RBZ40" s="63"/>
      <c r="RCA40" s="63"/>
      <c r="RCB40" s="63"/>
      <c r="RCC40" s="63"/>
      <c r="RCD40" s="63"/>
      <c r="RCE40" s="63"/>
      <c r="RCF40" s="63"/>
      <c r="RCG40" s="63"/>
      <c r="RCH40" s="63"/>
      <c r="RCI40" s="63"/>
      <c r="RCJ40" s="63"/>
      <c r="RCK40" s="63"/>
      <c r="RCL40" s="63"/>
      <c r="RCM40" s="63"/>
      <c r="RCN40" s="63"/>
      <c r="RCO40" s="63"/>
      <c r="RCP40" s="63"/>
      <c r="RCQ40" s="63"/>
      <c r="RCR40" s="63"/>
      <c r="RCS40" s="63"/>
      <c r="RCT40" s="63"/>
      <c r="RCU40" s="63"/>
      <c r="RCV40" s="63"/>
      <c r="RCW40" s="63"/>
      <c r="RCX40" s="63"/>
      <c r="RCY40" s="63"/>
      <c r="RCZ40" s="63"/>
      <c r="RDA40" s="63"/>
      <c r="RDB40" s="63"/>
      <c r="RDC40" s="63"/>
      <c r="RDD40" s="63"/>
      <c r="RDE40" s="63"/>
      <c r="RDF40" s="63"/>
      <c r="RDG40" s="63"/>
      <c r="RDH40" s="63"/>
      <c r="RDI40" s="63"/>
      <c r="RDJ40" s="63"/>
      <c r="RDK40" s="63"/>
      <c r="RDL40" s="63"/>
      <c r="RDM40" s="63"/>
      <c r="RDN40" s="63"/>
      <c r="RDO40" s="63"/>
      <c r="RDP40" s="63"/>
      <c r="RDQ40" s="63"/>
      <c r="RDR40" s="63"/>
      <c r="RDS40" s="63"/>
      <c r="RDT40" s="63"/>
      <c r="RDU40" s="63"/>
      <c r="RDV40" s="63"/>
      <c r="RDW40" s="63"/>
      <c r="RDX40" s="63"/>
      <c r="RDY40" s="63"/>
      <c r="RDZ40" s="63"/>
      <c r="REA40" s="63"/>
      <c r="REB40" s="63"/>
      <c r="REC40" s="63"/>
      <c r="RED40" s="63"/>
      <c r="REE40" s="63"/>
      <c r="REF40" s="63"/>
      <c r="REG40" s="63"/>
      <c r="REH40" s="63"/>
      <c r="REI40" s="63"/>
      <c r="REJ40" s="63"/>
      <c r="REK40" s="63"/>
      <c r="REL40" s="63"/>
      <c r="REM40" s="63"/>
      <c r="REN40" s="63"/>
      <c r="REO40" s="63"/>
      <c r="REP40" s="63"/>
      <c r="REQ40" s="63"/>
      <c r="RER40" s="63"/>
      <c r="RES40" s="63"/>
      <c r="RET40" s="63"/>
      <c r="REU40" s="63"/>
      <c r="REV40" s="63"/>
      <c r="REW40" s="63"/>
      <c r="REX40" s="63"/>
      <c r="REY40" s="63"/>
      <c r="REZ40" s="63"/>
      <c r="RFA40" s="63"/>
      <c r="RFB40" s="63"/>
      <c r="RFC40" s="63"/>
      <c r="RFD40" s="63"/>
      <c r="RFE40" s="63"/>
      <c r="RFF40" s="63"/>
      <c r="RFG40" s="63"/>
      <c r="RFH40" s="63"/>
      <c r="RFI40" s="63"/>
      <c r="RFJ40" s="63"/>
      <c r="RFK40" s="63"/>
      <c r="RFL40" s="63"/>
      <c r="RFM40" s="63"/>
      <c r="RFN40" s="63"/>
      <c r="RFO40" s="63"/>
      <c r="RFP40" s="63"/>
      <c r="RFQ40" s="63"/>
      <c r="RFR40" s="63"/>
      <c r="RFS40" s="63"/>
      <c r="RFT40" s="63"/>
      <c r="RFU40" s="63"/>
      <c r="RFV40" s="63"/>
      <c r="RFW40" s="63"/>
      <c r="RFX40" s="63"/>
      <c r="RFY40" s="63"/>
      <c r="RFZ40" s="63"/>
      <c r="RGA40" s="63"/>
      <c r="RGB40" s="63"/>
      <c r="RGC40" s="63"/>
      <c r="RGD40" s="63"/>
      <c r="RGE40" s="63"/>
      <c r="RGF40" s="63"/>
      <c r="RGG40" s="63"/>
      <c r="RGH40" s="63"/>
      <c r="RGI40" s="63"/>
      <c r="RGJ40" s="63"/>
      <c r="RGK40" s="63"/>
      <c r="RGL40" s="63"/>
      <c r="RGM40" s="63"/>
      <c r="RGN40" s="63"/>
      <c r="RGO40" s="63"/>
      <c r="RGP40" s="63"/>
      <c r="RGQ40" s="63"/>
      <c r="RGR40" s="63"/>
      <c r="RGS40" s="63"/>
      <c r="RGT40" s="63"/>
      <c r="RGU40" s="63"/>
      <c r="RGV40" s="63"/>
      <c r="RGW40" s="63"/>
      <c r="RGX40" s="63"/>
      <c r="RGY40" s="63"/>
      <c r="RGZ40" s="63"/>
      <c r="RHA40" s="63"/>
      <c r="RHB40" s="63"/>
      <c r="RHC40" s="63"/>
      <c r="RHD40" s="63"/>
      <c r="RHE40" s="63"/>
      <c r="RHF40" s="63"/>
      <c r="RHG40" s="63"/>
      <c r="RHH40" s="63"/>
      <c r="RHI40" s="63"/>
      <c r="RHJ40" s="63"/>
      <c r="RHK40" s="63"/>
      <c r="RHL40" s="63"/>
      <c r="RHM40" s="63"/>
      <c r="RHN40" s="63"/>
      <c r="RHO40" s="63"/>
      <c r="RHP40" s="63"/>
      <c r="RHQ40" s="63"/>
      <c r="RHR40" s="63"/>
      <c r="RHS40" s="63"/>
      <c r="RHT40" s="63"/>
      <c r="RHU40" s="63"/>
      <c r="RHV40" s="63"/>
      <c r="RHW40" s="63"/>
      <c r="RHX40" s="63"/>
      <c r="RHY40" s="63"/>
      <c r="RHZ40" s="63"/>
      <c r="RIA40" s="63"/>
      <c r="RIB40" s="63"/>
      <c r="RIC40" s="63"/>
      <c r="RID40" s="63"/>
      <c r="RIE40" s="63"/>
      <c r="RIF40" s="63"/>
      <c r="RIG40" s="63"/>
      <c r="RIH40" s="63"/>
      <c r="RII40" s="63"/>
      <c r="RIJ40" s="63"/>
      <c r="RIK40" s="63"/>
      <c r="RIL40" s="63"/>
      <c r="RIM40" s="63"/>
      <c r="RIN40" s="63"/>
      <c r="RIO40" s="63"/>
      <c r="RIP40" s="63"/>
      <c r="RIQ40" s="63"/>
      <c r="RIR40" s="63"/>
      <c r="RIS40" s="63"/>
      <c r="RIT40" s="63"/>
      <c r="RIU40" s="63"/>
      <c r="RIV40" s="63"/>
      <c r="RIW40" s="63"/>
      <c r="RIX40" s="63"/>
      <c r="RIY40" s="63"/>
      <c r="RIZ40" s="63"/>
      <c r="RJA40" s="63"/>
      <c r="RJB40" s="63"/>
      <c r="RJC40" s="63"/>
      <c r="RJD40" s="63"/>
      <c r="RJE40" s="63"/>
      <c r="RJF40" s="63"/>
      <c r="RJG40" s="63"/>
      <c r="RJH40" s="63"/>
      <c r="RJI40" s="63"/>
      <c r="RJJ40" s="63"/>
      <c r="RJK40" s="63"/>
      <c r="RJL40" s="63"/>
      <c r="RJM40" s="63"/>
      <c r="RJN40" s="63"/>
      <c r="RJO40" s="63"/>
      <c r="RJP40" s="63"/>
      <c r="RJQ40" s="63"/>
      <c r="RJR40" s="63"/>
      <c r="RJS40" s="63"/>
      <c r="RJT40" s="63"/>
      <c r="RJU40" s="63"/>
      <c r="RJV40" s="63"/>
      <c r="RJW40" s="63"/>
      <c r="RJX40" s="63"/>
      <c r="RJY40" s="63"/>
      <c r="RJZ40" s="63"/>
      <c r="RKA40" s="63"/>
      <c r="RKB40" s="63"/>
      <c r="RKC40" s="63"/>
      <c r="RKD40" s="63"/>
      <c r="RKE40" s="63"/>
      <c r="RKF40" s="63"/>
      <c r="RKG40" s="63"/>
      <c r="RKH40" s="63"/>
      <c r="RKI40" s="63"/>
      <c r="RKJ40" s="63"/>
      <c r="RKK40" s="63"/>
      <c r="RKL40" s="63"/>
      <c r="RKM40" s="63"/>
      <c r="RKN40" s="63"/>
      <c r="RKO40" s="63"/>
      <c r="RKP40" s="63"/>
      <c r="RKQ40" s="63"/>
      <c r="RKR40" s="63"/>
      <c r="RKS40" s="63"/>
      <c r="RKT40" s="63"/>
      <c r="RKU40" s="63"/>
      <c r="RKV40" s="63"/>
      <c r="RKW40" s="63"/>
      <c r="RKX40" s="63"/>
      <c r="RKY40" s="63"/>
      <c r="RKZ40" s="63"/>
      <c r="RLA40" s="63"/>
      <c r="RLB40" s="63"/>
      <c r="RLC40" s="63"/>
      <c r="RLD40" s="63"/>
      <c r="RLE40" s="63"/>
      <c r="RLF40" s="63"/>
      <c r="RLG40" s="63"/>
      <c r="RLH40" s="63"/>
      <c r="RLI40" s="63"/>
      <c r="RLJ40" s="63"/>
      <c r="RLK40" s="63"/>
      <c r="RLL40" s="63"/>
      <c r="RLM40" s="63"/>
      <c r="RLN40" s="63"/>
      <c r="RLO40" s="63"/>
      <c r="RLP40" s="63"/>
      <c r="RLQ40" s="63"/>
      <c r="RLR40" s="63"/>
      <c r="RLS40" s="63"/>
      <c r="RLT40" s="63"/>
      <c r="RLU40" s="63"/>
      <c r="RLV40" s="63"/>
      <c r="RLW40" s="63"/>
      <c r="RLX40" s="63"/>
      <c r="RLY40" s="63"/>
      <c r="RLZ40" s="63"/>
      <c r="RMA40" s="63"/>
      <c r="RMB40" s="63"/>
      <c r="RMC40" s="63"/>
      <c r="RMD40" s="63"/>
      <c r="RME40" s="63"/>
      <c r="RMF40" s="63"/>
      <c r="RMG40" s="63"/>
      <c r="RMH40" s="63"/>
      <c r="RMI40" s="63"/>
      <c r="RMJ40" s="63"/>
      <c r="RMK40" s="63"/>
      <c r="RML40" s="63"/>
      <c r="RMM40" s="63"/>
      <c r="RMN40" s="63"/>
      <c r="RMO40" s="63"/>
      <c r="RMP40" s="63"/>
      <c r="RMQ40" s="63"/>
      <c r="RMR40" s="63"/>
      <c r="RMS40" s="63"/>
      <c r="RMT40" s="63"/>
      <c r="RMU40" s="63"/>
      <c r="RMV40" s="63"/>
      <c r="RMW40" s="63"/>
      <c r="RMX40" s="63"/>
      <c r="RMY40" s="63"/>
      <c r="RMZ40" s="63"/>
      <c r="RNA40" s="63"/>
      <c r="RNB40" s="63"/>
      <c r="RNC40" s="63"/>
      <c r="RND40" s="63"/>
      <c r="RNE40" s="63"/>
      <c r="RNF40" s="63"/>
      <c r="RNG40" s="63"/>
      <c r="RNH40" s="63"/>
      <c r="RNI40" s="63"/>
      <c r="RNJ40" s="63"/>
      <c r="RNK40" s="63"/>
      <c r="RNL40" s="63"/>
      <c r="RNM40" s="63"/>
      <c r="RNN40" s="63"/>
      <c r="RNO40" s="63"/>
      <c r="RNP40" s="63"/>
      <c r="RNQ40" s="63"/>
      <c r="RNR40" s="63"/>
      <c r="RNS40" s="63"/>
      <c r="RNT40" s="63"/>
      <c r="RNU40" s="63"/>
      <c r="RNV40" s="63"/>
      <c r="RNW40" s="63"/>
      <c r="RNX40" s="63"/>
      <c r="RNY40" s="63"/>
      <c r="RNZ40" s="63"/>
      <c r="ROA40" s="63"/>
      <c r="ROB40" s="63"/>
      <c r="ROC40" s="63"/>
      <c r="ROD40" s="63"/>
      <c r="ROE40" s="63"/>
      <c r="ROF40" s="63"/>
      <c r="ROG40" s="63"/>
      <c r="ROH40" s="63"/>
      <c r="ROI40" s="63"/>
      <c r="ROJ40" s="63"/>
      <c r="ROK40" s="63"/>
      <c r="ROL40" s="63"/>
      <c r="ROM40" s="63"/>
      <c r="RON40" s="63"/>
      <c r="ROO40" s="63"/>
      <c r="ROP40" s="63"/>
      <c r="ROQ40" s="63"/>
      <c r="ROR40" s="63"/>
      <c r="ROS40" s="63"/>
      <c r="ROT40" s="63"/>
      <c r="ROU40" s="63"/>
      <c r="ROV40" s="63"/>
      <c r="ROW40" s="63"/>
      <c r="ROX40" s="63"/>
      <c r="ROY40" s="63"/>
      <c r="ROZ40" s="63"/>
      <c r="RPA40" s="63"/>
      <c r="RPB40" s="63"/>
      <c r="RPC40" s="63"/>
      <c r="RPD40" s="63"/>
      <c r="RPE40" s="63"/>
      <c r="RPF40" s="63"/>
      <c r="RPG40" s="63"/>
      <c r="RPH40" s="63"/>
      <c r="RPI40" s="63"/>
      <c r="RPJ40" s="63"/>
      <c r="RPK40" s="63"/>
      <c r="RPL40" s="63"/>
      <c r="RPM40" s="63"/>
      <c r="RPN40" s="63"/>
      <c r="RPO40" s="63"/>
      <c r="RPP40" s="63"/>
      <c r="RPQ40" s="63"/>
      <c r="RPR40" s="63"/>
      <c r="RPS40" s="63"/>
      <c r="RPT40" s="63"/>
      <c r="RPU40" s="63"/>
      <c r="RPV40" s="63"/>
      <c r="RPW40" s="63"/>
      <c r="RPX40" s="63"/>
      <c r="RPY40" s="63"/>
      <c r="RPZ40" s="63"/>
      <c r="RQA40" s="63"/>
      <c r="RQB40" s="63"/>
      <c r="RQC40" s="63"/>
      <c r="RQD40" s="63"/>
      <c r="RQE40" s="63"/>
      <c r="RQF40" s="63"/>
      <c r="RQG40" s="63"/>
      <c r="RQH40" s="63"/>
      <c r="RQI40" s="63"/>
      <c r="RQJ40" s="63"/>
      <c r="RQK40" s="63"/>
      <c r="RQL40" s="63"/>
      <c r="RQM40" s="63"/>
      <c r="RQN40" s="63"/>
      <c r="RQO40" s="63"/>
      <c r="RQP40" s="63"/>
      <c r="RQQ40" s="63"/>
      <c r="RQR40" s="63"/>
      <c r="RQS40" s="63"/>
      <c r="RQT40" s="63"/>
      <c r="RQU40" s="63"/>
      <c r="RQV40" s="63"/>
      <c r="RQW40" s="63"/>
      <c r="RQX40" s="63"/>
      <c r="RQY40" s="63"/>
      <c r="RQZ40" s="63"/>
      <c r="RRA40" s="63"/>
      <c r="RRB40" s="63"/>
      <c r="RRC40" s="63"/>
      <c r="RRD40" s="63"/>
      <c r="RRE40" s="63"/>
      <c r="RRF40" s="63"/>
      <c r="RRG40" s="63"/>
      <c r="RRH40" s="63"/>
      <c r="RRI40" s="63"/>
      <c r="RRJ40" s="63"/>
      <c r="RRK40" s="63"/>
      <c r="RRL40" s="63"/>
      <c r="RRM40" s="63"/>
      <c r="RRN40" s="63"/>
      <c r="RRO40" s="63"/>
      <c r="RRP40" s="63"/>
      <c r="RRQ40" s="63"/>
      <c r="RRR40" s="63"/>
      <c r="RRS40" s="63"/>
      <c r="RRT40" s="63"/>
      <c r="RRU40" s="63"/>
      <c r="RRV40" s="63"/>
      <c r="RRW40" s="63"/>
      <c r="RRX40" s="63"/>
      <c r="RRY40" s="63"/>
      <c r="RRZ40" s="63"/>
      <c r="RSA40" s="63"/>
      <c r="RSB40" s="63"/>
      <c r="RSC40" s="63"/>
      <c r="RSD40" s="63"/>
      <c r="RSE40" s="63"/>
      <c r="RSF40" s="63"/>
      <c r="RSG40" s="63"/>
      <c r="RSH40" s="63"/>
      <c r="RSI40" s="63"/>
      <c r="RSJ40" s="63"/>
      <c r="RSK40" s="63"/>
      <c r="RSL40" s="63"/>
      <c r="RSM40" s="63"/>
      <c r="RSN40" s="63"/>
      <c r="RSO40" s="63"/>
      <c r="RSP40" s="63"/>
      <c r="RSQ40" s="63"/>
      <c r="RSR40" s="63"/>
      <c r="RSS40" s="63"/>
      <c r="RST40" s="63"/>
      <c r="RSU40" s="63"/>
      <c r="RSV40" s="63"/>
      <c r="RSW40" s="63"/>
      <c r="RSX40" s="63"/>
      <c r="RSY40" s="63"/>
      <c r="RSZ40" s="63"/>
      <c r="RTA40" s="63"/>
      <c r="RTB40" s="63"/>
      <c r="RTC40" s="63"/>
      <c r="RTD40" s="63"/>
      <c r="RTE40" s="63"/>
      <c r="RTF40" s="63"/>
      <c r="RTG40" s="63"/>
      <c r="RTH40" s="63"/>
      <c r="RTI40" s="63"/>
      <c r="RTJ40" s="63"/>
      <c r="RTK40" s="63"/>
      <c r="RTL40" s="63"/>
      <c r="RTM40" s="63"/>
      <c r="RTN40" s="63"/>
      <c r="RTO40" s="63"/>
      <c r="RTP40" s="63"/>
      <c r="RTQ40" s="63"/>
      <c r="RTR40" s="63"/>
      <c r="RTS40" s="63"/>
      <c r="RTT40" s="63"/>
      <c r="RTU40" s="63"/>
      <c r="RTV40" s="63"/>
      <c r="RTW40" s="63"/>
      <c r="RTX40" s="63"/>
      <c r="RTY40" s="63"/>
      <c r="RTZ40" s="63"/>
      <c r="RUA40" s="63"/>
      <c r="RUB40" s="63"/>
      <c r="RUC40" s="63"/>
      <c r="RUD40" s="63"/>
      <c r="RUE40" s="63"/>
      <c r="RUF40" s="63"/>
      <c r="RUG40" s="63"/>
      <c r="RUH40" s="63"/>
      <c r="RUI40" s="63"/>
      <c r="RUJ40" s="63"/>
      <c r="RUK40" s="63"/>
      <c r="RUL40" s="63"/>
      <c r="RUM40" s="63"/>
      <c r="RUN40" s="63"/>
      <c r="RUO40" s="63"/>
      <c r="RUP40" s="63"/>
      <c r="RUQ40" s="63"/>
      <c r="RUR40" s="63"/>
      <c r="RUS40" s="63"/>
      <c r="RUT40" s="63"/>
      <c r="RUU40" s="63"/>
      <c r="RUV40" s="63"/>
      <c r="RUW40" s="63"/>
      <c r="RUX40" s="63"/>
      <c r="RUY40" s="63"/>
      <c r="RUZ40" s="63"/>
      <c r="RVA40" s="63"/>
      <c r="RVB40" s="63"/>
      <c r="RVC40" s="63"/>
      <c r="RVD40" s="63"/>
      <c r="RVE40" s="63"/>
      <c r="RVF40" s="63"/>
      <c r="RVG40" s="63"/>
      <c r="RVH40" s="63"/>
      <c r="RVI40" s="63"/>
      <c r="RVJ40" s="63"/>
      <c r="RVK40" s="63"/>
      <c r="RVL40" s="63"/>
      <c r="RVM40" s="63"/>
      <c r="RVN40" s="63"/>
      <c r="RVO40" s="63"/>
      <c r="RVP40" s="63"/>
      <c r="RVQ40" s="63"/>
      <c r="RVR40" s="63"/>
      <c r="RVS40" s="63"/>
      <c r="RVT40" s="63"/>
      <c r="RVU40" s="63"/>
      <c r="RVV40" s="63"/>
      <c r="RVW40" s="63"/>
      <c r="RVX40" s="63"/>
      <c r="RVY40" s="63"/>
      <c r="RVZ40" s="63"/>
      <c r="RWA40" s="63"/>
      <c r="RWB40" s="63"/>
      <c r="RWC40" s="63"/>
      <c r="RWD40" s="63"/>
      <c r="RWE40" s="63"/>
      <c r="RWF40" s="63"/>
      <c r="RWG40" s="63"/>
      <c r="RWH40" s="63"/>
      <c r="RWI40" s="63"/>
      <c r="RWJ40" s="63"/>
      <c r="RWK40" s="63"/>
      <c r="RWL40" s="63"/>
      <c r="RWM40" s="63"/>
      <c r="RWN40" s="63"/>
      <c r="RWO40" s="63"/>
      <c r="RWP40" s="63"/>
      <c r="RWQ40" s="63"/>
      <c r="RWR40" s="63"/>
      <c r="RWS40" s="63"/>
      <c r="RWT40" s="63"/>
      <c r="RWU40" s="63"/>
      <c r="RWV40" s="63"/>
      <c r="RWW40" s="63"/>
      <c r="RWX40" s="63"/>
      <c r="RWY40" s="63"/>
      <c r="RWZ40" s="63"/>
      <c r="RXA40" s="63"/>
      <c r="RXB40" s="63"/>
      <c r="RXC40" s="63"/>
      <c r="RXD40" s="63"/>
      <c r="RXE40" s="63"/>
      <c r="RXF40" s="63"/>
      <c r="RXG40" s="63"/>
      <c r="RXH40" s="63"/>
      <c r="RXI40" s="63"/>
      <c r="RXJ40" s="63"/>
      <c r="RXK40" s="63"/>
      <c r="RXL40" s="63"/>
      <c r="RXM40" s="63"/>
      <c r="RXN40" s="63"/>
      <c r="RXO40" s="63"/>
      <c r="RXP40" s="63"/>
      <c r="RXQ40" s="63"/>
      <c r="RXR40" s="63"/>
      <c r="RXS40" s="63"/>
      <c r="RXT40" s="63"/>
      <c r="RXU40" s="63"/>
      <c r="RXV40" s="63"/>
      <c r="RXW40" s="63"/>
      <c r="RXX40" s="63"/>
      <c r="RXY40" s="63"/>
      <c r="RXZ40" s="63"/>
      <c r="RYA40" s="63"/>
      <c r="RYB40" s="63"/>
      <c r="RYC40" s="63"/>
      <c r="RYD40" s="63"/>
      <c r="RYE40" s="63"/>
      <c r="RYF40" s="63"/>
      <c r="RYG40" s="63"/>
      <c r="RYH40" s="63"/>
      <c r="RYI40" s="63"/>
      <c r="RYJ40" s="63"/>
      <c r="RYK40" s="63"/>
      <c r="RYL40" s="63"/>
      <c r="RYM40" s="63"/>
      <c r="RYN40" s="63"/>
      <c r="RYO40" s="63"/>
      <c r="RYP40" s="63"/>
      <c r="RYQ40" s="63"/>
      <c r="RYR40" s="63"/>
      <c r="RYS40" s="63"/>
      <c r="RYT40" s="63"/>
      <c r="RYU40" s="63"/>
      <c r="RYV40" s="63"/>
      <c r="RYW40" s="63"/>
      <c r="RYX40" s="63"/>
      <c r="RYY40" s="63"/>
      <c r="RYZ40" s="63"/>
      <c r="RZA40" s="63"/>
      <c r="RZB40" s="63"/>
      <c r="RZC40" s="63"/>
      <c r="RZD40" s="63"/>
      <c r="RZE40" s="63"/>
      <c r="RZF40" s="63"/>
      <c r="RZG40" s="63"/>
      <c r="RZH40" s="63"/>
      <c r="RZI40" s="63"/>
      <c r="RZJ40" s="63"/>
      <c r="RZK40" s="63"/>
      <c r="RZL40" s="63"/>
      <c r="RZM40" s="63"/>
      <c r="RZN40" s="63"/>
      <c r="RZO40" s="63"/>
      <c r="RZP40" s="63"/>
      <c r="RZQ40" s="63"/>
      <c r="RZR40" s="63"/>
      <c r="RZS40" s="63"/>
      <c r="RZT40" s="63"/>
      <c r="RZU40" s="63"/>
      <c r="RZV40" s="63"/>
      <c r="RZW40" s="63"/>
      <c r="RZX40" s="63"/>
      <c r="RZY40" s="63"/>
      <c r="RZZ40" s="63"/>
      <c r="SAA40" s="63"/>
      <c r="SAB40" s="63"/>
      <c r="SAC40" s="63"/>
      <c r="SAD40" s="63"/>
      <c r="SAE40" s="63"/>
      <c r="SAF40" s="63"/>
      <c r="SAG40" s="63"/>
      <c r="SAH40" s="63"/>
      <c r="SAI40" s="63"/>
      <c r="SAJ40" s="63"/>
      <c r="SAK40" s="63"/>
      <c r="SAL40" s="63"/>
      <c r="SAM40" s="63"/>
      <c r="SAN40" s="63"/>
      <c r="SAO40" s="63"/>
      <c r="SAP40" s="63"/>
      <c r="SAQ40" s="63"/>
      <c r="SAR40" s="63"/>
      <c r="SAS40" s="63"/>
      <c r="SAT40" s="63"/>
      <c r="SAU40" s="63"/>
      <c r="SAV40" s="63"/>
      <c r="SAW40" s="63"/>
      <c r="SAX40" s="63"/>
      <c r="SAY40" s="63"/>
      <c r="SAZ40" s="63"/>
      <c r="SBA40" s="63"/>
      <c r="SBB40" s="63"/>
      <c r="SBC40" s="63"/>
      <c r="SBD40" s="63"/>
      <c r="SBE40" s="63"/>
      <c r="SBF40" s="63"/>
      <c r="SBG40" s="63"/>
      <c r="SBH40" s="63"/>
      <c r="SBI40" s="63"/>
      <c r="SBJ40" s="63"/>
      <c r="SBK40" s="63"/>
      <c r="SBL40" s="63"/>
      <c r="SBM40" s="63"/>
      <c r="SBN40" s="63"/>
      <c r="SBO40" s="63"/>
      <c r="SBP40" s="63"/>
      <c r="SBQ40" s="63"/>
      <c r="SBR40" s="63"/>
      <c r="SBS40" s="63"/>
      <c r="SBT40" s="63"/>
      <c r="SBU40" s="63"/>
      <c r="SBV40" s="63"/>
      <c r="SBW40" s="63"/>
      <c r="SBX40" s="63"/>
      <c r="SBY40" s="63"/>
      <c r="SBZ40" s="63"/>
      <c r="SCA40" s="63"/>
      <c r="SCB40" s="63"/>
      <c r="SCC40" s="63"/>
      <c r="SCD40" s="63"/>
      <c r="SCE40" s="63"/>
      <c r="SCF40" s="63"/>
      <c r="SCG40" s="63"/>
      <c r="SCH40" s="63"/>
      <c r="SCI40" s="63"/>
      <c r="SCJ40" s="63"/>
      <c r="SCK40" s="63"/>
      <c r="SCL40" s="63"/>
      <c r="SCM40" s="63"/>
      <c r="SCN40" s="63"/>
      <c r="SCO40" s="63"/>
      <c r="SCP40" s="63"/>
      <c r="SCQ40" s="63"/>
      <c r="SCR40" s="63"/>
      <c r="SCS40" s="63"/>
      <c r="SCT40" s="63"/>
      <c r="SCU40" s="63"/>
      <c r="SCV40" s="63"/>
      <c r="SCW40" s="63"/>
      <c r="SCX40" s="63"/>
      <c r="SCY40" s="63"/>
      <c r="SCZ40" s="63"/>
      <c r="SDA40" s="63"/>
      <c r="SDB40" s="63"/>
      <c r="SDC40" s="63"/>
      <c r="SDD40" s="63"/>
      <c r="SDE40" s="63"/>
      <c r="SDF40" s="63"/>
      <c r="SDG40" s="63"/>
      <c r="SDH40" s="63"/>
      <c r="SDI40" s="63"/>
      <c r="SDJ40" s="63"/>
      <c r="SDK40" s="63"/>
      <c r="SDL40" s="63"/>
      <c r="SDM40" s="63"/>
      <c r="SDN40" s="63"/>
      <c r="SDO40" s="63"/>
      <c r="SDP40" s="63"/>
      <c r="SDQ40" s="63"/>
      <c r="SDR40" s="63"/>
      <c r="SDS40" s="63"/>
      <c r="SDT40" s="63"/>
      <c r="SDU40" s="63"/>
      <c r="SDV40" s="63"/>
      <c r="SDW40" s="63"/>
      <c r="SDX40" s="63"/>
      <c r="SDY40" s="63"/>
      <c r="SDZ40" s="63"/>
      <c r="SEA40" s="63"/>
      <c r="SEB40" s="63"/>
      <c r="SEC40" s="63"/>
      <c r="SED40" s="63"/>
      <c r="SEE40" s="63"/>
      <c r="SEF40" s="63"/>
      <c r="SEG40" s="63"/>
      <c r="SEH40" s="63"/>
      <c r="SEI40" s="63"/>
      <c r="SEJ40" s="63"/>
      <c r="SEK40" s="63"/>
      <c r="SEL40" s="63"/>
      <c r="SEM40" s="63"/>
      <c r="SEN40" s="63"/>
      <c r="SEO40" s="63"/>
      <c r="SEP40" s="63"/>
      <c r="SEQ40" s="63"/>
      <c r="SER40" s="63"/>
      <c r="SES40" s="63"/>
      <c r="SET40" s="63"/>
      <c r="SEU40" s="63"/>
      <c r="SEV40" s="63"/>
      <c r="SEW40" s="63"/>
      <c r="SEX40" s="63"/>
      <c r="SEY40" s="63"/>
      <c r="SEZ40" s="63"/>
      <c r="SFA40" s="63"/>
      <c r="SFB40" s="63"/>
      <c r="SFC40" s="63"/>
      <c r="SFD40" s="63"/>
      <c r="SFE40" s="63"/>
      <c r="SFF40" s="63"/>
      <c r="SFG40" s="63"/>
      <c r="SFH40" s="63"/>
      <c r="SFI40" s="63"/>
      <c r="SFJ40" s="63"/>
      <c r="SFK40" s="63"/>
      <c r="SFL40" s="63"/>
      <c r="SFM40" s="63"/>
      <c r="SFN40" s="63"/>
      <c r="SFO40" s="63"/>
      <c r="SFP40" s="63"/>
      <c r="SFQ40" s="63"/>
      <c r="SFR40" s="63"/>
      <c r="SFS40" s="63"/>
      <c r="SFT40" s="63"/>
      <c r="SFU40" s="63"/>
      <c r="SFV40" s="63"/>
      <c r="SFW40" s="63"/>
      <c r="SFX40" s="63"/>
      <c r="SFY40" s="63"/>
      <c r="SFZ40" s="63"/>
      <c r="SGA40" s="63"/>
      <c r="SGB40" s="63"/>
      <c r="SGC40" s="63"/>
      <c r="SGD40" s="63"/>
      <c r="SGE40" s="63"/>
      <c r="SGF40" s="63"/>
      <c r="SGG40" s="63"/>
      <c r="SGH40" s="63"/>
      <c r="SGI40" s="63"/>
      <c r="SGJ40" s="63"/>
      <c r="SGK40" s="63"/>
      <c r="SGL40" s="63"/>
      <c r="SGM40" s="63"/>
      <c r="SGN40" s="63"/>
      <c r="SGO40" s="63"/>
      <c r="SGP40" s="63"/>
      <c r="SGQ40" s="63"/>
      <c r="SGR40" s="63"/>
      <c r="SGS40" s="63"/>
      <c r="SGT40" s="63"/>
      <c r="SGU40" s="63"/>
      <c r="SGV40" s="63"/>
      <c r="SGW40" s="63"/>
      <c r="SGX40" s="63"/>
      <c r="SGY40" s="63"/>
      <c r="SGZ40" s="63"/>
      <c r="SHA40" s="63"/>
      <c r="SHB40" s="63"/>
      <c r="SHC40" s="63"/>
      <c r="SHD40" s="63"/>
      <c r="SHE40" s="63"/>
      <c r="SHF40" s="63"/>
      <c r="SHG40" s="63"/>
      <c r="SHH40" s="63"/>
      <c r="SHI40" s="63"/>
      <c r="SHJ40" s="63"/>
      <c r="SHK40" s="63"/>
      <c r="SHL40" s="63"/>
      <c r="SHM40" s="63"/>
      <c r="SHN40" s="63"/>
      <c r="SHO40" s="63"/>
      <c r="SHP40" s="63"/>
      <c r="SHQ40" s="63"/>
      <c r="SHR40" s="63"/>
      <c r="SHS40" s="63"/>
      <c r="SHT40" s="63"/>
      <c r="SHU40" s="63"/>
      <c r="SHV40" s="63"/>
      <c r="SHW40" s="63"/>
      <c r="SHX40" s="63"/>
      <c r="SHY40" s="63"/>
      <c r="SHZ40" s="63"/>
      <c r="SIA40" s="63"/>
      <c r="SIB40" s="63"/>
      <c r="SIC40" s="63"/>
      <c r="SID40" s="63"/>
      <c r="SIE40" s="63"/>
      <c r="SIF40" s="63"/>
      <c r="SIG40" s="63"/>
      <c r="SIH40" s="63"/>
      <c r="SII40" s="63"/>
      <c r="SIJ40" s="63"/>
      <c r="SIK40" s="63"/>
      <c r="SIL40" s="63"/>
      <c r="SIM40" s="63"/>
      <c r="SIN40" s="63"/>
      <c r="SIO40" s="63"/>
      <c r="SIP40" s="63"/>
      <c r="SIQ40" s="63"/>
      <c r="SIR40" s="63"/>
      <c r="SIS40" s="63"/>
      <c r="SIT40" s="63"/>
      <c r="SIU40" s="63"/>
      <c r="SIV40" s="63"/>
      <c r="SIW40" s="63"/>
      <c r="SIX40" s="63"/>
      <c r="SIY40" s="63"/>
      <c r="SIZ40" s="63"/>
      <c r="SJA40" s="63"/>
      <c r="SJB40" s="63"/>
      <c r="SJC40" s="63"/>
      <c r="SJD40" s="63"/>
      <c r="SJE40" s="63"/>
      <c r="SJF40" s="63"/>
      <c r="SJG40" s="63"/>
      <c r="SJH40" s="63"/>
      <c r="SJI40" s="63"/>
      <c r="SJJ40" s="63"/>
      <c r="SJK40" s="63"/>
      <c r="SJL40" s="63"/>
      <c r="SJM40" s="63"/>
      <c r="SJN40" s="63"/>
      <c r="SJO40" s="63"/>
      <c r="SJP40" s="63"/>
      <c r="SJQ40" s="63"/>
      <c r="SJR40" s="63"/>
      <c r="SJS40" s="63"/>
      <c r="SJT40" s="63"/>
      <c r="SJU40" s="63"/>
      <c r="SJV40" s="63"/>
      <c r="SJW40" s="63"/>
      <c r="SJX40" s="63"/>
      <c r="SJY40" s="63"/>
      <c r="SJZ40" s="63"/>
      <c r="SKA40" s="63"/>
      <c r="SKB40" s="63"/>
      <c r="SKC40" s="63"/>
      <c r="SKD40" s="63"/>
      <c r="SKE40" s="63"/>
      <c r="SKF40" s="63"/>
      <c r="SKG40" s="63"/>
      <c r="SKH40" s="63"/>
      <c r="SKI40" s="63"/>
      <c r="SKJ40" s="63"/>
      <c r="SKK40" s="63"/>
      <c r="SKL40" s="63"/>
      <c r="SKM40" s="63"/>
      <c r="SKN40" s="63"/>
      <c r="SKO40" s="63"/>
      <c r="SKP40" s="63"/>
      <c r="SKQ40" s="63"/>
      <c r="SKR40" s="63"/>
      <c r="SKS40" s="63"/>
      <c r="SKT40" s="63"/>
      <c r="SKU40" s="63"/>
      <c r="SKV40" s="63"/>
      <c r="SKW40" s="63"/>
      <c r="SKX40" s="63"/>
      <c r="SKY40" s="63"/>
      <c r="SKZ40" s="63"/>
      <c r="SLA40" s="63"/>
      <c r="SLB40" s="63"/>
      <c r="SLC40" s="63"/>
      <c r="SLD40" s="63"/>
      <c r="SLE40" s="63"/>
      <c r="SLF40" s="63"/>
      <c r="SLG40" s="63"/>
      <c r="SLH40" s="63"/>
      <c r="SLI40" s="63"/>
      <c r="SLJ40" s="63"/>
      <c r="SLK40" s="63"/>
      <c r="SLL40" s="63"/>
      <c r="SLM40" s="63"/>
      <c r="SLN40" s="63"/>
      <c r="SLO40" s="63"/>
      <c r="SLP40" s="63"/>
      <c r="SLQ40" s="63"/>
      <c r="SLR40" s="63"/>
      <c r="SLS40" s="63"/>
      <c r="SLT40" s="63"/>
      <c r="SLU40" s="63"/>
      <c r="SLV40" s="63"/>
      <c r="SLW40" s="63"/>
      <c r="SLX40" s="63"/>
      <c r="SLY40" s="63"/>
      <c r="SLZ40" s="63"/>
      <c r="SMA40" s="63"/>
      <c r="SMB40" s="63"/>
      <c r="SMC40" s="63"/>
      <c r="SMD40" s="63"/>
      <c r="SME40" s="63"/>
      <c r="SMF40" s="63"/>
      <c r="SMG40" s="63"/>
      <c r="SMH40" s="63"/>
      <c r="SMI40" s="63"/>
      <c r="SMJ40" s="63"/>
      <c r="SMK40" s="63"/>
      <c r="SML40" s="63"/>
      <c r="SMM40" s="63"/>
      <c r="SMN40" s="63"/>
      <c r="SMO40" s="63"/>
      <c r="SMP40" s="63"/>
      <c r="SMQ40" s="63"/>
      <c r="SMR40" s="63"/>
      <c r="SMS40" s="63"/>
      <c r="SMT40" s="63"/>
      <c r="SMU40" s="63"/>
      <c r="SMV40" s="63"/>
      <c r="SMW40" s="63"/>
      <c r="SMX40" s="63"/>
      <c r="SMY40" s="63"/>
      <c r="SMZ40" s="63"/>
      <c r="SNA40" s="63"/>
      <c r="SNB40" s="63"/>
      <c r="SNC40" s="63"/>
      <c r="SND40" s="63"/>
      <c r="SNE40" s="63"/>
      <c r="SNF40" s="63"/>
      <c r="SNG40" s="63"/>
      <c r="SNH40" s="63"/>
      <c r="SNI40" s="63"/>
      <c r="SNJ40" s="63"/>
      <c r="SNK40" s="63"/>
      <c r="SNL40" s="63"/>
      <c r="SNM40" s="63"/>
      <c r="SNN40" s="63"/>
      <c r="SNO40" s="63"/>
      <c r="SNP40" s="63"/>
      <c r="SNQ40" s="63"/>
      <c r="SNR40" s="63"/>
      <c r="SNS40" s="63"/>
      <c r="SNT40" s="63"/>
      <c r="SNU40" s="63"/>
      <c r="SNV40" s="63"/>
      <c r="SNW40" s="63"/>
      <c r="SNX40" s="63"/>
      <c r="SNY40" s="63"/>
      <c r="SNZ40" s="63"/>
      <c r="SOA40" s="63"/>
      <c r="SOB40" s="63"/>
      <c r="SOC40" s="63"/>
      <c r="SOD40" s="63"/>
      <c r="SOE40" s="63"/>
      <c r="SOF40" s="63"/>
      <c r="SOG40" s="63"/>
      <c r="SOH40" s="63"/>
      <c r="SOI40" s="63"/>
      <c r="SOJ40" s="63"/>
      <c r="SOK40" s="63"/>
      <c r="SOL40" s="63"/>
      <c r="SOM40" s="63"/>
      <c r="SON40" s="63"/>
      <c r="SOO40" s="63"/>
      <c r="SOP40" s="63"/>
      <c r="SOQ40" s="63"/>
      <c r="SOR40" s="63"/>
      <c r="SOS40" s="63"/>
      <c r="SOT40" s="63"/>
      <c r="SOU40" s="63"/>
      <c r="SOV40" s="63"/>
      <c r="SOW40" s="63"/>
      <c r="SOX40" s="63"/>
      <c r="SOY40" s="63"/>
      <c r="SOZ40" s="63"/>
      <c r="SPA40" s="63"/>
      <c r="SPB40" s="63"/>
      <c r="SPC40" s="63"/>
      <c r="SPD40" s="63"/>
      <c r="SPE40" s="63"/>
      <c r="SPF40" s="63"/>
      <c r="SPG40" s="63"/>
      <c r="SPH40" s="63"/>
      <c r="SPI40" s="63"/>
      <c r="SPJ40" s="63"/>
      <c r="SPK40" s="63"/>
      <c r="SPL40" s="63"/>
      <c r="SPM40" s="63"/>
      <c r="SPN40" s="63"/>
      <c r="SPO40" s="63"/>
      <c r="SPP40" s="63"/>
      <c r="SPQ40" s="63"/>
      <c r="SPR40" s="63"/>
      <c r="SPS40" s="63"/>
      <c r="SPT40" s="63"/>
      <c r="SPU40" s="63"/>
      <c r="SPV40" s="63"/>
      <c r="SPW40" s="63"/>
      <c r="SPX40" s="63"/>
      <c r="SPY40" s="63"/>
      <c r="SPZ40" s="63"/>
      <c r="SQA40" s="63"/>
      <c r="SQB40" s="63"/>
      <c r="SQC40" s="63"/>
      <c r="SQD40" s="63"/>
      <c r="SQE40" s="63"/>
      <c r="SQF40" s="63"/>
      <c r="SQG40" s="63"/>
      <c r="SQH40" s="63"/>
      <c r="SQI40" s="63"/>
      <c r="SQJ40" s="63"/>
      <c r="SQK40" s="63"/>
      <c r="SQL40" s="63"/>
      <c r="SQM40" s="63"/>
      <c r="SQN40" s="63"/>
      <c r="SQO40" s="63"/>
      <c r="SQP40" s="63"/>
      <c r="SQQ40" s="63"/>
      <c r="SQR40" s="63"/>
      <c r="SQS40" s="63"/>
      <c r="SQT40" s="63"/>
      <c r="SQU40" s="63"/>
      <c r="SQV40" s="63"/>
      <c r="SQW40" s="63"/>
      <c r="SQX40" s="63"/>
      <c r="SQY40" s="63"/>
      <c r="SQZ40" s="63"/>
      <c r="SRA40" s="63"/>
      <c r="SRB40" s="63"/>
      <c r="SRC40" s="63"/>
      <c r="SRD40" s="63"/>
      <c r="SRE40" s="63"/>
      <c r="SRF40" s="63"/>
      <c r="SRG40" s="63"/>
      <c r="SRH40" s="63"/>
      <c r="SRI40" s="63"/>
      <c r="SRJ40" s="63"/>
      <c r="SRK40" s="63"/>
      <c r="SRL40" s="63"/>
      <c r="SRM40" s="63"/>
      <c r="SRN40" s="63"/>
      <c r="SRO40" s="63"/>
      <c r="SRP40" s="63"/>
      <c r="SRQ40" s="63"/>
      <c r="SRR40" s="63"/>
      <c r="SRS40" s="63"/>
      <c r="SRT40" s="63"/>
      <c r="SRU40" s="63"/>
      <c r="SRV40" s="63"/>
      <c r="SRW40" s="63"/>
      <c r="SRX40" s="63"/>
      <c r="SRY40" s="63"/>
      <c r="SRZ40" s="63"/>
      <c r="SSA40" s="63"/>
      <c r="SSB40" s="63"/>
      <c r="SSC40" s="63"/>
      <c r="SSD40" s="63"/>
      <c r="SSE40" s="63"/>
      <c r="SSF40" s="63"/>
      <c r="SSG40" s="63"/>
      <c r="SSH40" s="63"/>
      <c r="SSI40" s="63"/>
      <c r="SSJ40" s="63"/>
      <c r="SSK40" s="63"/>
      <c r="SSL40" s="63"/>
      <c r="SSM40" s="63"/>
      <c r="SSN40" s="63"/>
      <c r="SSO40" s="63"/>
      <c r="SSP40" s="63"/>
      <c r="SSQ40" s="63"/>
      <c r="SSR40" s="63"/>
      <c r="SSS40" s="63"/>
      <c r="SST40" s="63"/>
      <c r="SSU40" s="63"/>
      <c r="SSV40" s="63"/>
      <c r="SSW40" s="63"/>
      <c r="SSX40" s="63"/>
      <c r="SSY40" s="63"/>
      <c r="SSZ40" s="63"/>
      <c r="STA40" s="63"/>
      <c r="STB40" s="63"/>
      <c r="STC40" s="63"/>
      <c r="STD40" s="63"/>
      <c r="STE40" s="63"/>
      <c r="STF40" s="63"/>
      <c r="STG40" s="63"/>
      <c r="STH40" s="63"/>
      <c r="STI40" s="63"/>
      <c r="STJ40" s="63"/>
      <c r="STK40" s="63"/>
      <c r="STL40" s="63"/>
      <c r="STM40" s="63"/>
      <c r="STN40" s="63"/>
      <c r="STO40" s="63"/>
      <c r="STP40" s="63"/>
      <c r="STQ40" s="63"/>
      <c r="STR40" s="63"/>
      <c r="STS40" s="63"/>
      <c r="STT40" s="63"/>
      <c r="STU40" s="63"/>
      <c r="STV40" s="63"/>
      <c r="STW40" s="63"/>
      <c r="STX40" s="63"/>
      <c r="STY40" s="63"/>
      <c r="STZ40" s="63"/>
      <c r="SUA40" s="63"/>
      <c r="SUB40" s="63"/>
      <c r="SUC40" s="63"/>
      <c r="SUD40" s="63"/>
      <c r="SUE40" s="63"/>
      <c r="SUF40" s="63"/>
      <c r="SUG40" s="63"/>
      <c r="SUH40" s="63"/>
      <c r="SUI40" s="63"/>
      <c r="SUJ40" s="63"/>
      <c r="SUK40" s="63"/>
      <c r="SUL40" s="63"/>
      <c r="SUM40" s="63"/>
      <c r="SUN40" s="63"/>
      <c r="SUO40" s="63"/>
      <c r="SUP40" s="63"/>
      <c r="SUQ40" s="63"/>
      <c r="SUR40" s="63"/>
      <c r="SUS40" s="63"/>
      <c r="SUT40" s="63"/>
      <c r="SUU40" s="63"/>
      <c r="SUV40" s="63"/>
      <c r="SUW40" s="63"/>
      <c r="SUX40" s="63"/>
      <c r="SUY40" s="63"/>
      <c r="SUZ40" s="63"/>
      <c r="SVA40" s="63"/>
      <c r="SVB40" s="63"/>
      <c r="SVC40" s="63"/>
      <c r="SVD40" s="63"/>
      <c r="SVE40" s="63"/>
      <c r="SVF40" s="63"/>
      <c r="SVG40" s="63"/>
      <c r="SVH40" s="63"/>
      <c r="SVI40" s="63"/>
      <c r="SVJ40" s="63"/>
      <c r="SVK40" s="63"/>
      <c r="SVL40" s="63"/>
      <c r="SVM40" s="63"/>
      <c r="SVN40" s="63"/>
      <c r="SVO40" s="63"/>
      <c r="SVP40" s="63"/>
      <c r="SVQ40" s="63"/>
      <c r="SVR40" s="63"/>
      <c r="SVS40" s="63"/>
      <c r="SVT40" s="63"/>
      <c r="SVU40" s="63"/>
      <c r="SVV40" s="63"/>
      <c r="SVW40" s="63"/>
      <c r="SVX40" s="63"/>
      <c r="SVY40" s="63"/>
      <c r="SVZ40" s="63"/>
      <c r="SWA40" s="63"/>
      <c r="SWB40" s="63"/>
      <c r="SWC40" s="63"/>
      <c r="SWD40" s="63"/>
      <c r="SWE40" s="63"/>
      <c r="SWF40" s="63"/>
      <c r="SWG40" s="63"/>
      <c r="SWH40" s="63"/>
      <c r="SWI40" s="63"/>
      <c r="SWJ40" s="63"/>
      <c r="SWK40" s="63"/>
      <c r="SWL40" s="63"/>
      <c r="SWM40" s="63"/>
      <c r="SWN40" s="63"/>
      <c r="SWO40" s="63"/>
      <c r="SWP40" s="63"/>
      <c r="SWQ40" s="63"/>
      <c r="SWR40" s="63"/>
      <c r="SWS40" s="63"/>
      <c r="SWT40" s="63"/>
      <c r="SWU40" s="63"/>
      <c r="SWV40" s="63"/>
      <c r="SWW40" s="63"/>
      <c r="SWX40" s="63"/>
      <c r="SWY40" s="63"/>
      <c r="SWZ40" s="63"/>
      <c r="SXA40" s="63"/>
      <c r="SXB40" s="63"/>
      <c r="SXC40" s="63"/>
      <c r="SXD40" s="63"/>
      <c r="SXE40" s="63"/>
      <c r="SXF40" s="63"/>
      <c r="SXG40" s="63"/>
      <c r="SXH40" s="63"/>
      <c r="SXI40" s="63"/>
      <c r="SXJ40" s="63"/>
      <c r="SXK40" s="63"/>
      <c r="SXL40" s="63"/>
      <c r="SXM40" s="63"/>
      <c r="SXN40" s="63"/>
      <c r="SXO40" s="63"/>
      <c r="SXP40" s="63"/>
      <c r="SXQ40" s="63"/>
      <c r="SXR40" s="63"/>
      <c r="SXS40" s="63"/>
      <c r="SXT40" s="63"/>
      <c r="SXU40" s="63"/>
      <c r="SXV40" s="63"/>
      <c r="SXW40" s="63"/>
      <c r="SXX40" s="63"/>
      <c r="SXY40" s="63"/>
      <c r="SXZ40" s="63"/>
      <c r="SYA40" s="63"/>
      <c r="SYB40" s="63"/>
      <c r="SYC40" s="63"/>
      <c r="SYD40" s="63"/>
      <c r="SYE40" s="63"/>
      <c r="SYF40" s="63"/>
      <c r="SYG40" s="63"/>
      <c r="SYH40" s="63"/>
      <c r="SYI40" s="63"/>
      <c r="SYJ40" s="63"/>
      <c r="SYK40" s="63"/>
      <c r="SYL40" s="63"/>
      <c r="SYM40" s="63"/>
      <c r="SYN40" s="63"/>
      <c r="SYO40" s="63"/>
      <c r="SYP40" s="63"/>
      <c r="SYQ40" s="63"/>
      <c r="SYR40" s="63"/>
      <c r="SYS40" s="63"/>
      <c r="SYT40" s="63"/>
      <c r="SYU40" s="63"/>
      <c r="SYV40" s="63"/>
      <c r="SYW40" s="63"/>
      <c r="SYX40" s="63"/>
      <c r="SYY40" s="63"/>
      <c r="SYZ40" s="63"/>
      <c r="SZA40" s="63"/>
      <c r="SZB40" s="63"/>
      <c r="SZC40" s="63"/>
      <c r="SZD40" s="63"/>
      <c r="SZE40" s="63"/>
      <c r="SZF40" s="63"/>
      <c r="SZG40" s="63"/>
      <c r="SZH40" s="63"/>
      <c r="SZI40" s="63"/>
      <c r="SZJ40" s="63"/>
      <c r="SZK40" s="63"/>
      <c r="SZL40" s="63"/>
      <c r="SZM40" s="63"/>
      <c r="SZN40" s="63"/>
      <c r="SZO40" s="63"/>
      <c r="SZP40" s="63"/>
      <c r="SZQ40" s="63"/>
      <c r="SZR40" s="63"/>
      <c r="SZS40" s="63"/>
      <c r="SZT40" s="63"/>
      <c r="SZU40" s="63"/>
      <c r="SZV40" s="63"/>
      <c r="SZW40" s="63"/>
      <c r="SZX40" s="63"/>
      <c r="SZY40" s="63"/>
      <c r="SZZ40" s="63"/>
      <c r="TAA40" s="63"/>
      <c r="TAB40" s="63"/>
      <c r="TAC40" s="63"/>
      <c r="TAD40" s="63"/>
      <c r="TAE40" s="63"/>
      <c r="TAF40" s="63"/>
      <c r="TAG40" s="63"/>
      <c r="TAH40" s="63"/>
      <c r="TAI40" s="63"/>
      <c r="TAJ40" s="63"/>
      <c r="TAK40" s="63"/>
      <c r="TAL40" s="63"/>
      <c r="TAM40" s="63"/>
      <c r="TAN40" s="63"/>
      <c r="TAO40" s="63"/>
      <c r="TAP40" s="63"/>
      <c r="TAQ40" s="63"/>
      <c r="TAR40" s="63"/>
      <c r="TAS40" s="63"/>
      <c r="TAT40" s="63"/>
      <c r="TAU40" s="63"/>
      <c r="TAV40" s="63"/>
      <c r="TAW40" s="63"/>
      <c r="TAX40" s="63"/>
      <c r="TAY40" s="63"/>
      <c r="TAZ40" s="63"/>
      <c r="TBA40" s="63"/>
      <c r="TBB40" s="63"/>
      <c r="TBC40" s="63"/>
      <c r="TBD40" s="63"/>
      <c r="TBE40" s="63"/>
      <c r="TBF40" s="63"/>
      <c r="TBG40" s="63"/>
      <c r="TBH40" s="63"/>
      <c r="TBI40" s="63"/>
      <c r="TBJ40" s="63"/>
      <c r="TBK40" s="63"/>
      <c r="TBL40" s="63"/>
      <c r="TBM40" s="63"/>
      <c r="TBN40" s="63"/>
      <c r="TBO40" s="63"/>
      <c r="TBP40" s="63"/>
      <c r="TBQ40" s="63"/>
      <c r="TBR40" s="63"/>
      <c r="TBS40" s="63"/>
      <c r="TBT40" s="63"/>
      <c r="TBU40" s="63"/>
      <c r="TBV40" s="63"/>
      <c r="TBW40" s="63"/>
      <c r="TBX40" s="63"/>
      <c r="TBY40" s="63"/>
      <c r="TBZ40" s="63"/>
      <c r="TCA40" s="63"/>
      <c r="TCB40" s="63"/>
      <c r="TCC40" s="63"/>
      <c r="TCD40" s="63"/>
      <c r="TCE40" s="63"/>
      <c r="TCF40" s="63"/>
      <c r="TCG40" s="63"/>
      <c r="TCH40" s="63"/>
      <c r="TCI40" s="63"/>
      <c r="TCJ40" s="63"/>
      <c r="TCK40" s="63"/>
      <c r="TCL40" s="63"/>
      <c r="TCM40" s="63"/>
      <c r="TCN40" s="63"/>
      <c r="TCO40" s="63"/>
      <c r="TCP40" s="63"/>
      <c r="TCQ40" s="63"/>
      <c r="TCR40" s="63"/>
      <c r="TCS40" s="63"/>
      <c r="TCT40" s="63"/>
      <c r="TCU40" s="63"/>
      <c r="TCV40" s="63"/>
      <c r="TCW40" s="63"/>
      <c r="TCX40" s="63"/>
      <c r="TCY40" s="63"/>
      <c r="TCZ40" s="63"/>
      <c r="TDA40" s="63"/>
      <c r="TDB40" s="63"/>
      <c r="TDC40" s="63"/>
      <c r="TDD40" s="63"/>
      <c r="TDE40" s="63"/>
      <c r="TDF40" s="63"/>
      <c r="TDG40" s="63"/>
      <c r="TDH40" s="63"/>
      <c r="TDI40" s="63"/>
      <c r="TDJ40" s="63"/>
      <c r="TDK40" s="63"/>
      <c r="TDL40" s="63"/>
      <c r="TDM40" s="63"/>
      <c r="TDN40" s="63"/>
      <c r="TDO40" s="63"/>
      <c r="TDP40" s="63"/>
      <c r="TDQ40" s="63"/>
      <c r="TDR40" s="63"/>
      <c r="TDS40" s="63"/>
      <c r="TDT40" s="63"/>
      <c r="TDU40" s="63"/>
      <c r="TDV40" s="63"/>
      <c r="TDW40" s="63"/>
      <c r="TDX40" s="63"/>
      <c r="TDY40" s="63"/>
      <c r="TDZ40" s="63"/>
      <c r="TEA40" s="63"/>
      <c r="TEB40" s="63"/>
      <c r="TEC40" s="63"/>
      <c r="TED40" s="63"/>
      <c r="TEE40" s="63"/>
      <c r="TEF40" s="63"/>
      <c r="TEG40" s="63"/>
      <c r="TEH40" s="63"/>
      <c r="TEI40" s="63"/>
      <c r="TEJ40" s="63"/>
      <c r="TEK40" s="63"/>
      <c r="TEL40" s="63"/>
      <c r="TEM40" s="63"/>
      <c r="TEN40" s="63"/>
      <c r="TEO40" s="63"/>
      <c r="TEP40" s="63"/>
      <c r="TEQ40" s="63"/>
      <c r="TER40" s="63"/>
      <c r="TES40" s="63"/>
      <c r="TET40" s="63"/>
      <c r="TEU40" s="63"/>
      <c r="TEV40" s="63"/>
      <c r="TEW40" s="63"/>
      <c r="TEX40" s="63"/>
      <c r="TEY40" s="63"/>
      <c r="TEZ40" s="63"/>
      <c r="TFA40" s="63"/>
      <c r="TFB40" s="63"/>
      <c r="TFC40" s="63"/>
      <c r="TFD40" s="63"/>
      <c r="TFE40" s="63"/>
      <c r="TFF40" s="63"/>
      <c r="TFG40" s="63"/>
      <c r="TFH40" s="63"/>
      <c r="TFI40" s="63"/>
      <c r="TFJ40" s="63"/>
      <c r="TFK40" s="63"/>
      <c r="TFL40" s="63"/>
      <c r="TFM40" s="63"/>
      <c r="TFN40" s="63"/>
      <c r="TFO40" s="63"/>
      <c r="TFP40" s="63"/>
      <c r="TFQ40" s="63"/>
      <c r="TFR40" s="63"/>
      <c r="TFS40" s="63"/>
      <c r="TFT40" s="63"/>
      <c r="TFU40" s="63"/>
      <c r="TFV40" s="63"/>
      <c r="TFW40" s="63"/>
      <c r="TFX40" s="63"/>
      <c r="TFY40" s="63"/>
      <c r="TFZ40" s="63"/>
      <c r="TGA40" s="63"/>
      <c r="TGB40" s="63"/>
      <c r="TGC40" s="63"/>
      <c r="TGD40" s="63"/>
      <c r="TGE40" s="63"/>
      <c r="TGF40" s="63"/>
      <c r="TGG40" s="63"/>
      <c r="TGH40" s="63"/>
      <c r="TGI40" s="63"/>
      <c r="TGJ40" s="63"/>
      <c r="TGK40" s="63"/>
      <c r="TGL40" s="63"/>
      <c r="TGM40" s="63"/>
      <c r="TGN40" s="63"/>
      <c r="TGO40" s="63"/>
      <c r="TGP40" s="63"/>
      <c r="TGQ40" s="63"/>
      <c r="TGR40" s="63"/>
      <c r="TGS40" s="63"/>
      <c r="TGT40" s="63"/>
      <c r="TGU40" s="63"/>
      <c r="TGV40" s="63"/>
      <c r="TGW40" s="63"/>
      <c r="TGX40" s="63"/>
      <c r="TGY40" s="63"/>
      <c r="TGZ40" s="63"/>
      <c r="THA40" s="63"/>
      <c r="THB40" s="63"/>
      <c r="THC40" s="63"/>
      <c r="THD40" s="63"/>
      <c r="THE40" s="63"/>
      <c r="THF40" s="63"/>
      <c r="THG40" s="63"/>
      <c r="THH40" s="63"/>
      <c r="THI40" s="63"/>
      <c r="THJ40" s="63"/>
      <c r="THK40" s="63"/>
      <c r="THL40" s="63"/>
      <c r="THM40" s="63"/>
      <c r="THN40" s="63"/>
      <c r="THO40" s="63"/>
      <c r="THP40" s="63"/>
      <c r="THQ40" s="63"/>
      <c r="THR40" s="63"/>
      <c r="THS40" s="63"/>
      <c r="THT40" s="63"/>
      <c r="THU40" s="63"/>
      <c r="THV40" s="63"/>
      <c r="THW40" s="63"/>
      <c r="THX40" s="63"/>
      <c r="THY40" s="63"/>
      <c r="THZ40" s="63"/>
      <c r="TIA40" s="63"/>
      <c r="TIB40" s="63"/>
      <c r="TIC40" s="63"/>
      <c r="TID40" s="63"/>
      <c r="TIE40" s="63"/>
      <c r="TIF40" s="63"/>
      <c r="TIG40" s="63"/>
      <c r="TIH40" s="63"/>
      <c r="TII40" s="63"/>
      <c r="TIJ40" s="63"/>
      <c r="TIK40" s="63"/>
      <c r="TIL40" s="63"/>
      <c r="TIM40" s="63"/>
      <c r="TIN40" s="63"/>
      <c r="TIO40" s="63"/>
      <c r="TIP40" s="63"/>
      <c r="TIQ40" s="63"/>
      <c r="TIR40" s="63"/>
      <c r="TIS40" s="63"/>
      <c r="TIT40" s="63"/>
      <c r="TIU40" s="63"/>
      <c r="TIV40" s="63"/>
      <c r="TIW40" s="63"/>
      <c r="TIX40" s="63"/>
      <c r="TIY40" s="63"/>
      <c r="TIZ40" s="63"/>
      <c r="TJA40" s="63"/>
      <c r="TJB40" s="63"/>
      <c r="TJC40" s="63"/>
      <c r="TJD40" s="63"/>
      <c r="TJE40" s="63"/>
      <c r="TJF40" s="63"/>
      <c r="TJG40" s="63"/>
      <c r="TJH40" s="63"/>
      <c r="TJI40" s="63"/>
      <c r="TJJ40" s="63"/>
      <c r="TJK40" s="63"/>
      <c r="TJL40" s="63"/>
      <c r="TJM40" s="63"/>
      <c r="TJN40" s="63"/>
      <c r="TJO40" s="63"/>
      <c r="TJP40" s="63"/>
      <c r="TJQ40" s="63"/>
      <c r="TJR40" s="63"/>
      <c r="TJS40" s="63"/>
      <c r="TJT40" s="63"/>
      <c r="TJU40" s="63"/>
      <c r="TJV40" s="63"/>
      <c r="TJW40" s="63"/>
      <c r="TJX40" s="63"/>
      <c r="TJY40" s="63"/>
      <c r="TJZ40" s="63"/>
      <c r="TKA40" s="63"/>
      <c r="TKB40" s="63"/>
      <c r="TKC40" s="63"/>
      <c r="TKD40" s="63"/>
      <c r="TKE40" s="63"/>
      <c r="TKF40" s="63"/>
      <c r="TKG40" s="63"/>
      <c r="TKH40" s="63"/>
      <c r="TKI40" s="63"/>
      <c r="TKJ40" s="63"/>
      <c r="TKK40" s="63"/>
      <c r="TKL40" s="63"/>
      <c r="TKM40" s="63"/>
      <c r="TKN40" s="63"/>
      <c r="TKO40" s="63"/>
      <c r="TKP40" s="63"/>
      <c r="TKQ40" s="63"/>
      <c r="TKR40" s="63"/>
      <c r="TKS40" s="63"/>
      <c r="TKT40" s="63"/>
      <c r="TKU40" s="63"/>
      <c r="TKV40" s="63"/>
      <c r="TKW40" s="63"/>
      <c r="TKX40" s="63"/>
      <c r="TKY40" s="63"/>
      <c r="TKZ40" s="63"/>
      <c r="TLA40" s="63"/>
      <c r="TLB40" s="63"/>
      <c r="TLC40" s="63"/>
      <c r="TLD40" s="63"/>
      <c r="TLE40" s="63"/>
      <c r="TLF40" s="63"/>
      <c r="TLG40" s="63"/>
      <c r="TLH40" s="63"/>
      <c r="TLI40" s="63"/>
      <c r="TLJ40" s="63"/>
      <c r="TLK40" s="63"/>
      <c r="TLL40" s="63"/>
      <c r="TLM40" s="63"/>
      <c r="TLN40" s="63"/>
      <c r="TLO40" s="63"/>
      <c r="TLP40" s="63"/>
      <c r="TLQ40" s="63"/>
      <c r="TLR40" s="63"/>
      <c r="TLS40" s="63"/>
      <c r="TLT40" s="63"/>
      <c r="TLU40" s="63"/>
      <c r="TLV40" s="63"/>
      <c r="TLW40" s="63"/>
      <c r="TLX40" s="63"/>
      <c r="TLY40" s="63"/>
      <c r="TLZ40" s="63"/>
      <c r="TMA40" s="63"/>
      <c r="TMB40" s="63"/>
      <c r="TMC40" s="63"/>
      <c r="TMD40" s="63"/>
      <c r="TME40" s="63"/>
      <c r="TMF40" s="63"/>
      <c r="TMG40" s="63"/>
      <c r="TMH40" s="63"/>
      <c r="TMI40" s="63"/>
      <c r="TMJ40" s="63"/>
      <c r="TMK40" s="63"/>
      <c r="TML40" s="63"/>
      <c r="TMM40" s="63"/>
      <c r="TMN40" s="63"/>
      <c r="TMO40" s="63"/>
      <c r="TMP40" s="63"/>
      <c r="TMQ40" s="63"/>
      <c r="TMR40" s="63"/>
      <c r="TMS40" s="63"/>
      <c r="TMT40" s="63"/>
      <c r="TMU40" s="63"/>
      <c r="TMV40" s="63"/>
      <c r="TMW40" s="63"/>
      <c r="TMX40" s="63"/>
      <c r="TMY40" s="63"/>
      <c r="TMZ40" s="63"/>
      <c r="TNA40" s="63"/>
      <c r="TNB40" s="63"/>
      <c r="TNC40" s="63"/>
      <c r="TND40" s="63"/>
      <c r="TNE40" s="63"/>
      <c r="TNF40" s="63"/>
      <c r="TNG40" s="63"/>
      <c r="TNH40" s="63"/>
      <c r="TNI40" s="63"/>
      <c r="TNJ40" s="63"/>
      <c r="TNK40" s="63"/>
      <c r="TNL40" s="63"/>
      <c r="TNM40" s="63"/>
      <c r="TNN40" s="63"/>
      <c r="TNO40" s="63"/>
      <c r="TNP40" s="63"/>
      <c r="TNQ40" s="63"/>
      <c r="TNR40" s="63"/>
      <c r="TNS40" s="63"/>
      <c r="TNT40" s="63"/>
      <c r="TNU40" s="63"/>
      <c r="TNV40" s="63"/>
      <c r="TNW40" s="63"/>
      <c r="TNX40" s="63"/>
      <c r="TNY40" s="63"/>
      <c r="TNZ40" s="63"/>
      <c r="TOA40" s="63"/>
      <c r="TOB40" s="63"/>
      <c r="TOC40" s="63"/>
      <c r="TOD40" s="63"/>
      <c r="TOE40" s="63"/>
      <c r="TOF40" s="63"/>
      <c r="TOG40" s="63"/>
      <c r="TOH40" s="63"/>
      <c r="TOI40" s="63"/>
      <c r="TOJ40" s="63"/>
      <c r="TOK40" s="63"/>
      <c r="TOL40" s="63"/>
      <c r="TOM40" s="63"/>
      <c r="TON40" s="63"/>
      <c r="TOO40" s="63"/>
      <c r="TOP40" s="63"/>
      <c r="TOQ40" s="63"/>
      <c r="TOR40" s="63"/>
      <c r="TOS40" s="63"/>
      <c r="TOT40" s="63"/>
      <c r="TOU40" s="63"/>
      <c r="TOV40" s="63"/>
      <c r="TOW40" s="63"/>
      <c r="TOX40" s="63"/>
      <c r="TOY40" s="63"/>
      <c r="TOZ40" s="63"/>
      <c r="TPA40" s="63"/>
      <c r="TPB40" s="63"/>
      <c r="TPC40" s="63"/>
      <c r="TPD40" s="63"/>
      <c r="TPE40" s="63"/>
      <c r="TPF40" s="63"/>
      <c r="TPG40" s="63"/>
      <c r="TPH40" s="63"/>
      <c r="TPI40" s="63"/>
      <c r="TPJ40" s="63"/>
      <c r="TPK40" s="63"/>
      <c r="TPL40" s="63"/>
      <c r="TPM40" s="63"/>
      <c r="TPN40" s="63"/>
      <c r="TPO40" s="63"/>
      <c r="TPP40" s="63"/>
      <c r="TPQ40" s="63"/>
      <c r="TPR40" s="63"/>
      <c r="TPS40" s="63"/>
      <c r="TPT40" s="63"/>
      <c r="TPU40" s="63"/>
      <c r="TPV40" s="63"/>
      <c r="TPW40" s="63"/>
      <c r="TPX40" s="63"/>
      <c r="TPY40" s="63"/>
      <c r="TPZ40" s="63"/>
      <c r="TQA40" s="63"/>
      <c r="TQB40" s="63"/>
      <c r="TQC40" s="63"/>
      <c r="TQD40" s="63"/>
      <c r="TQE40" s="63"/>
      <c r="TQF40" s="63"/>
      <c r="TQG40" s="63"/>
      <c r="TQH40" s="63"/>
      <c r="TQI40" s="63"/>
      <c r="TQJ40" s="63"/>
      <c r="TQK40" s="63"/>
      <c r="TQL40" s="63"/>
      <c r="TQM40" s="63"/>
      <c r="TQN40" s="63"/>
      <c r="TQO40" s="63"/>
      <c r="TQP40" s="63"/>
      <c r="TQQ40" s="63"/>
      <c r="TQR40" s="63"/>
      <c r="TQS40" s="63"/>
      <c r="TQT40" s="63"/>
      <c r="TQU40" s="63"/>
      <c r="TQV40" s="63"/>
      <c r="TQW40" s="63"/>
      <c r="TQX40" s="63"/>
      <c r="TQY40" s="63"/>
      <c r="TQZ40" s="63"/>
      <c r="TRA40" s="63"/>
      <c r="TRB40" s="63"/>
      <c r="TRC40" s="63"/>
      <c r="TRD40" s="63"/>
      <c r="TRE40" s="63"/>
      <c r="TRF40" s="63"/>
      <c r="TRG40" s="63"/>
      <c r="TRH40" s="63"/>
      <c r="TRI40" s="63"/>
      <c r="TRJ40" s="63"/>
      <c r="TRK40" s="63"/>
      <c r="TRL40" s="63"/>
      <c r="TRM40" s="63"/>
      <c r="TRN40" s="63"/>
      <c r="TRO40" s="63"/>
      <c r="TRP40" s="63"/>
      <c r="TRQ40" s="63"/>
      <c r="TRR40" s="63"/>
      <c r="TRS40" s="63"/>
      <c r="TRT40" s="63"/>
      <c r="TRU40" s="63"/>
      <c r="TRV40" s="63"/>
      <c r="TRW40" s="63"/>
      <c r="TRX40" s="63"/>
      <c r="TRY40" s="63"/>
      <c r="TRZ40" s="63"/>
      <c r="TSA40" s="63"/>
      <c r="TSB40" s="63"/>
      <c r="TSC40" s="63"/>
      <c r="TSD40" s="63"/>
      <c r="TSE40" s="63"/>
      <c r="TSF40" s="63"/>
      <c r="TSG40" s="63"/>
      <c r="TSH40" s="63"/>
      <c r="TSI40" s="63"/>
      <c r="TSJ40" s="63"/>
      <c r="TSK40" s="63"/>
      <c r="TSL40" s="63"/>
      <c r="TSM40" s="63"/>
      <c r="TSN40" s="63"/>
      <c r="TSO40" s="63"/>
      <c r="TSP40" s="63"/>
      <c r="TSQ40" s="63"/>
      <c r="TSR40" s="63"/>
      <c r="TSS40" s="63"/>
      <c r="TST40" s="63"/>
      <c r="TSU40" s="63"/>
      <c r="TSV40" s="63"/>
      <c r="TSW40" s="63"/>
      <c r="TSX40" s="63"/>
      <c r="TSY40" s="63"/>
      <c r="TSZ40" s="63"/>
      <c r="TTA40" s="63"/>
      <c r="TTB40" s="63"/>
      <c r="TTC40" s="63"/>
      <c r="TTD40" s="63"/>
      <c r="TTE40" s="63"/>
      <c r="TTF40" s="63"/>
      <c r="TTG40" s="63"/>
      <c r="TTH40" s="63"/>
      <c r="TTI40" s="63"/>
      <c r="TTJ40" s="63"/>
      <c r="TTK40" s="63"/>
      <c r="TTL40" s="63"/>
      <c r="TTM40" s="63"/>
      <c r="TTN40" s="63"/>
      <c r="TTO40" s="63"/>
      <c r="TTP40" s="63"/>
      <c r="TTQ40" s="63"/>
      <c r="TTR40" s="63"/>
      <c r="TTS40" s="63"/>
      <c r="TTT40" s="63"/>
      <c r="TTU40" s="63"/>
      <c r="TTV40" s="63"/>
      <c r="TTW40" s="63"/>
      <c r="TTX40" s="63"/>
      <c r="TTY40" s="63"/>
      <c r="TTZ40" s="63"/>
      <c r="TUA40" s="63"/>
      <c r="TUB40" s="63"/>
      <c r="TUC40" s="63"/>
      <c r="TUD40" s="63"/>
      <c r="TUE40" s="63"/>
      <c r="TUF40" s="63"/>
      <c r="TUG40" s="63"/>
      <c r="TUH40" s="63"/>
      <c r="TUI40" s="63"/>
      <c r="TUJ40" s="63"/>
      <c r="TUK40" s="63"/>
      <c r="TUL40" s="63"/>
      <c r="TUM40" s="63"/>
      <c r="TUN40" s="63"/>
      <c r="TUO40" s="63"/>
      <c r="TUP40" s="63"/>
      <c r="TUQ40" s="63"/>
      <c r="TUR40" s="63"/>
      <c r="TUS40" s="63"/>
      <c r="TUT40" s="63"/>
      <c r="TUU40" s="63"/>
      <c r="TUV40" s="63"/>
      <c r="TUW40" s="63"/>
      <c r="TUX40" s="63"/>
      <c r="TUY40" s="63"/>
      <c r="TUZ40" s="63"/>
      <c r="TVA40" s="63"/>
      <c r="TVB40" s="63"/>
      <c r="TVC40" s="63"/>
      <c r="TVD40" s="63"/>
      <c r="TVE40" s="63"/>
      <c r="TVF40" s="63"/>
      <c r="TVG40" s="63"/>
      <c r="TVH40" s="63"/>
      <c r="TVI40" s="63"/>
      <c r="TVJ40" s="63"/>
      <c r="TVK40" s="63"/>
      <c r="TVL40" s="63"/>
      <c r="TVM40" s="63"/>
      <c r="TVN40" s="63"/>
      <c r="TVO40" s="63"/>
      <c r="TVP40" s="63"/>
      <c r="TVQ40" s="63"/>
      <c r="TVR40" s="63"/>
      <c r="TVS40" s="63"/>
      <c r="TVT40" s="63"/>
      <c r="TVU40" s="63"/>
      <c r="TVV40" s="63"/>
      <c r="TVW40" s="63"/>
      <c r="TVX40" s="63"/>
      <c r="TVY40" s="63"/>
      <c r="TVZ40" s="63"/>
      <c r="TWA40" s="63"/>
      <c r="TWB40" s="63"/>
      <c r="TWC40" s="63"/>
      <c r="TWD40" s="63"/>
      <c r="TWE40" s="63"/>
      <c r="TWF40" s="63"/>
      <c r="TWG40" s="63"/>
      <c r="TWH40" s="63"/>
      <c r="TWI40" s="63"/>
      <c r="TWJ40" s="63"/>
      <c r="TWK40" s="63"/>
      <c r="TWL40" s="63"/>
      <c r="TWM40" s="63"/>
      <c r="TWN40" s="63"/>
      <c r="TWO40" s="63"/>
      <c r="TWP40" s="63"/>
      <c r="TWQ40" s="63"/>
      <c r="TWR40" s="63"/>
      <c r="TWS40" s="63"/>
      <c r="TWT40" s="63"/>
      <c r="TWU40" s="63"/>
      <c r="TWV40" s="63"/>
      <c r="TWW40" s="63"/>
      <c r="TWX40" s="63"/>
      <c r="TWY40" s="63"/>
      <c r="TWZ40" s="63"/>
      <c r="TXA40" s="63"/>
      <c r="TXB40" s="63"/>
      <c r="TXC40" s="63"/>
      <c r="TXD40" s="63"/>
      <c r="TXE40" s="63"/>
      <c r="TXF40" s="63"/>
      <c r="TXG40" s="63"/>
      <c r="TXH40" s="63"/>
      <c r="TXI40" s="63"/>
      <c r="TXJ40" s="63"/>
      <c r="TXK40" s="63"/>
      <c r="TXL40" s="63"/>
      <c r="TXM40" s="63"/>
      <c r="TXN40" s="63"/>
      <c r="TXO40" s="63"/>
      <c r="TXP40" s="63"/>
      <c r="TXQ40" s="63"/>
      <c r="TXR40" s="63"/>
      <c r="TXS40" s="63"/>
      <c r="TXT40" s="63"/>
      <c r="TXU40" s="63"/>
      <c r="TXV40" s="63"/>
      <c r="TXW40" s="63"/>
      <c r="TXX40" s="63"/>
      <c r="TXY40" s="63"/>
      <c r="TXZ40" s="63"/>
      <c r="TYA40" s="63"/>
      <c r="TYB40" s="63"/>
      <c r="TYC40" s="63"/>
      <c r="TYD40" s="63"/>
      <c r="TYE40" s="63"/>
      <c r="TYF40" s="63"/>
      <c r="TYG40" s="63"/>
      <c r="TYH40" s="63"/>
      <c r="TYI40" s="63"/>
      <c r="TYJ40" s="63"/>
      <c r="TYK40" s="63"/>
      <c r="TYL40" s="63"/>
      <c r="TYM40" s="63"/>
      <c r="TYN40" s="63"/>
      <c r="TYO40" s="63"/>
      <c r="TYP40" s="63"/>
      <c r="TYQ40" s="63"/>
      <c r="TYR40" s="63"/>
      <c r="TYS40" s="63"/>
      <c r="TYT40" s="63"/>
      <c r="TYU40" s="63"/>
      <c r="TYV40" s="63"/>
      <c r="TYW40" s="63"/>
      <c r="TYX40" s="63"/>
      <c r="TYY40" s="63"/>
      <c r="TYZ40" s="63"/>
      <c r="TZA40" s="63"/>
      <c r="TZB40" s="63"/>
      <c r="TZC40" s="63"/>
      <c r="TZD40" s="63"/>
      <c r="TZE40" s="63"/>
      <c r="TZF40" s="63"/>
      <c r="TZG40" s="63"/>
      <c r="TZH40" s="63"/>
      <c r="TZI40" s="63"/>
      <c r="TZJ40" s="63"/>
      <c r="TZK40" s="63"/>
      <c r="TZL40" s="63"/>
      <c r="TZM40" s="63"/>
      <c r="TZN40" s="63"/>
      <c r="TZO40" s="63"/>
      <c r="TZP40" s="63"/>
      <c r="TZQ40" s="63"/>
      <c r="TZR40" s="63"/>
      <c r="TZS40" s="63"/>
      <c r="TZT40" s="63"/>
      <c r="TZU40" s="63"/>
      <c r="TZV40" s="63"/>
      <c r="TZW40" s="63"/>
      <c r="TZX40" s="63"/>
      <c r="TZY40" s="63"/>
      <c r="TZZ40" s="63"/>
      <c r="UAA40" s="63"/>
      <c r="UAB40" s="63"/>
      <c r="UAC40" s="63"/>
      <c r="UAD40" s="63"/>
      <c r="UAE40" s="63"/>
      <c r="UAF40" s="63"/>
      <c r="UAG40" s="63"/>
      <c r="UAH40" s="63"/>
      <c r="UAI40" s="63"/>
      <c r="UAJ40" s="63"/>
      <c r="UAK40" s="63"/>
      <c r="UAL40" s="63"/>
      <c r="UAM40" s="63"/>
      <c r="UAN40" s="63"/>
      <c r="UAO40" s="63"/>
      <c r="UAP40" s="63"/>
      <c r="UAQ40" s="63"/>
      <c r="UAR40" s="63"/>
      <c r="UAS40" s="63"/>
      <c r="UAT40" s="63"/>
      <c r="UAU40" s="63"/>
      <c r="UAV40" s="63"/>
      <c r="UAW40" s="63"/>
      <c r="UAX40" s="63"/>
      <c r="UAY40" s="63"/>
      <c r="UAZ40" s="63"/>
      <c r="UBA40" s="63"/>
      <c r="UBB40" s="63"/>
      <c r="UBC40" s="63"/>
      <c r="UBD40" s="63"/>
      <c r="UBE40" s="63"/>
      <c r="UBF40" s="63"/>
      <c r="UBG40" s="63"/>
      <c r="UBH40" s="63"/>
      <c r="UBI40" s="63"/>
      <c r="UBJ40" s="63"/>
      <c r="UBK40" s="63"/>
      <c r="UBL40" s="63"/>
      <c r="UBM40" s="63"/>
      <c r="UBN40" s="63"/>
      <c r="UBO40" s="63"/>
      <c r="UBP40" s="63"/>
      <c r="UBQ40" s="63"/>
      <c r="UBR40" s="63"/>
      <c r="UBS40" s="63"/>
      <c r="UBT40" s="63"/>
      <c r="UBU40" s="63"/>
      <c r="UBV40" s="63"/>
      <c r="UBW40" s="63"/>
      <c r="UBX40" s="63"/>
      <c r="UBY40" s="63"/>
      <c r="UBZ40" s="63"/>
      <c r="UCA40" s="63"/>
      <c r="UCB40" s="63"/>
      <c r="UCC40" s="63"/>
      <c r="UCD40" s="63"/>
      <c r="UCE40" s="63"/>
      <c r="UCF40" s="63"/>
      <c r="UCG40" s="63"/>
      <c r="UCH40" s="63"/>
      <c r="UCI40" s="63"/>
      <c r="UCJ40" s="63"/>
      <c r="UCK40" s="63"/>
      <c r="UCL40" s="63"/>
      <c r="UCM40" s="63"/>
      <c r="UCN40" s="63"/>
      <c r="UCO40" s="63"/>
      <c r="UCP40" s="63"/>
      <c r="UCQ40" s="63"/>
      <c r="UCR40" s="63"/>
      <c r="UCS40" s="63"/>
      <c r="UCT40" s="63"/>
      <c r="UCU40" s="63"/>
      <c r="UCV40" s="63"/>
      <c r="UCW40" s="63"/>
      <c r="UCX40" s="63"/>
      <c r="UCY40" s="63"/>
      <c r="UCZ40" s="63"/>
      <c r="UDA40" s="63"/>
      <c r="UDB40" s="63"/>
      <c r="UDC40" s="63"/>
      <c r="UDD40" s="63"/>
      <c r="UDE40" s="63"/>
      <c r="UDF40" s="63"/>
      <c r="UDG40" s="63"/>
      <c r="UDH40" s="63"/>
      <c r="UDI40" s="63"/>
      <c r="UDJ40" s="63"/>
      <c r="UDK40" s="63"/>
      <c r="UDL40" s="63"/>
      <c r="UDM40" s="63"/>
      <c r="UDN40" s="63"/>
      <c r="UDO40" s="63"/>
      <c r="UDP40" s="63"/>
      <c r="UDQ40" s="63"/>
      <c r="UDR40" s="63"/>
      <c r="UDS40" s="63"/>
      <c r="UDT40" s="63"/>
      <c r="UDU40" s="63"/>
      <c r="UDV40" s="63"/>
      <c r="UDW40" s="63"/>
      <c r="UDX40" s="63"/>
      <c r="UDY40" s="63"/>
      <c r="UDZ40" s="63"/>
      <c r="UEA40" s="63"/>
      <c r="UEB40" s="63"/>
      <c r="UEC40" s="63"/>
      <c r="UED40" s="63"/>
      <c r="UEE40" s="63"/>
      <c r="UEF40" s="63"/>
      <c r="UEG40" s="63"/>
      <c r="UEH40" s="63"/>
      <c r="UEI40" s="63"/>
      <c r="UEJ40" s="63"/>
      <c r="UEK40" s="63"/>
      <c r="UEL40" s="63"/>
      <c r="UEM40" s="63"/>
      <c r="UEN40" s="63"/>
      <c r="UEO40" s="63"/>
      <c r="UEP40" s="63"/>
      <c r="UEQ40" s="63"/>
      <c r="UER40" s="63"/>
      <c r="UES40" s="63"/>
      <c r="UET40" s="63"/>
      <c r="UEU40" s="63"/>
      <c r="UEV40" s="63"/>
      <c r="UEW40" s="63"/>
      <c r="UEX40" s="63"/>
      <c r="UEY40" s="63"/>
      <c r="UEZ40" s="63"/>
      <c r="UFA40" s="63"/>
      <c r="UFB40" s="63"/>
      <c r="UFC40" s="63"/>
      <c r="UFD40" s="63"/>
      <c r="UFE40" s="63"/>
      <c r="UFF40" s="63"/>
      <c r="UFG40" s="63"/>
      <c r="UFH40" s="63"/>
      <c r="UFI40" s="63"/>
      <c r="UFJ40" s="63"/>
      <c r="UFK40" s="63"/>
      <c r="UFL40" s="63"/>
      <c r="UFM40" s="63"/>
      <c r="UFN40" s="63"/>
      <c r="UFO40" s="63"/>
      <c r="UFP40" s="63"/>
      <c r="UFQ40" s="63"/>
      <c r="UFR40" s="63"/>
      <c r="UFS40" s="63"/>
      <c r="UFT40" s="63"/>
      <c r="UFU40" s="63"/>
      <c r="UFV40" s="63"/>
      <c r="UFW40" s="63"/>
      <c r="UFX40" s="63"/>
      <c r="UFY40" s="63"/>
      <c r="UFZ40" s="63"/>
      <c r="UGA40" s="63"/>
      <c r="UGB40" s="63"/>
      <c r="UGC40" s="63"/>
      <c r="UGD40" s="63"/>
      <c r="UGE40" s="63"/>
      <c r="UGF40" s="63"/>
      <c r="UGG40" s="63"/>
      <c r="UGH40" s="63"/>
      <c r="UGI40" s="63"/>
      <c r="UGJ40" s="63"/>
      <c r="UGK40" s="63"/>
      <c r="UGL40" s="63"/>
      <c r="UGM40" s="63"/>
      <c r="UGN40" s="63"/>
      <c r="UGO40" s="63"/>
      <c r="UGP40" s="63"/>
      <c r="UGQ40" s="63"/>
      <c r="UGR40" s="63"/>
      <c r="UGS40" s="63"/>
      <c r="UGT40" s="63"/>
      <c r="UGU40" s="63"/>
      <c r="UGV40" s="63"/>
      <c r="UGW40" s="63"/>
      <c r="UGX40" s="63"/>
      <c r="UGY40" s="63"/>
      <c r="UGZ40" s="63"/>
      <c r="UHA40" s="63"/>
      <c r="UHB40" s="63"/>
      <c r="UHC40" s="63"/>
      <c r="UHD40" s="63"/>
      <c r="UHE40" s="63"/>
      <c r="UHF40" s="63"/>
      <c r="UHG40" s="63"/>
      <c r="UHH40" s="63"/>
      <c r="UHI40" s="63"/>
      <c r="UHJ40" s="63"/>
      <c r="UHK40" s="63"/>
      <c r="UHL40" s="63"/>
      <c r="UHM40" s="63"/>
      <c r="UHN40" s="63"/>
      <c r="UHO40" s="63"/>
      <c r="UHP40" s="63"/>
      <c r="UHQ40" s="63"/>
      <c r="UHR40" s="63"/>
      <c r="UHS40" s="63"/>
      <c r="UHT40" s="63"/>
      <c r="UHU40" s="63"/>
      <c r="UHV40" s="63"/>
      <c r="UHW40" s="63"/>
      <c r="UHX40" s="63"/>
      <c r="UHY40" s="63"/>
      <c r="UHZ40" s="63"/>
      <c r="UIA40" s="63"/>
      <c r="UIB40" s="63"/>
      <c r="UIC40" s="63"/>
      <c r="UID40" s="63"/>
      <c r="UIE40" s="63"/>
      <c r="UIF40" s="63"/>
      <c r="UIG40" s="63"/>
      <c r="UIH40" s="63"/>
      <c r="UII40" s="63"/>
      <c r="UIJ40" s="63"/>
      <c r="UIK40" s="63"/>
      <c r="UIL40" s="63"/>
      <c r="UIM40" s="63"/>
      <c r="UIN40" s="63"/>
      <c r="UIO40" s="63"/>
      <c r="UIP40" s="63"/>
      <c r="UIQ40" s="63"/>
      <c r="UIR40" s="63"/>
      <c r="UIS40" s="63"/>
      <c r="UIT40" s="63"/>
      <c r="UIU40" s="63"/>
      <c r="UIV40" s="63"/>
      <c r="UIW40" s="63"/>
      <c r="UIX40" s="63"/>
      <c r="UIY40" s="63"/>
      <c r="UIZ40" s="63"/>
      <c r="UJA40" s="63"/>
      <c r="UJB40" s="63"/>
      <c r="UJC40" s="63"/>
      <c r="UJD40" s="63"/>
      <c r="UJE40" s="63"/>
      <c r="UJF40" s="63"/>
      <c r="UJG40" s="63"/>
      <c r="UJH40" s="63"/>
      <c r="UJI40" s="63"/>
      <c r="UJJ40" s="63"/>
      <c r="UJK40" s="63"/>
      <c r="UJL40" s="63"/>
      <c r="UJM40" s="63"/>
      <c r="UJN40" s="63"/>
      <c r="UJO40" s="63"/>
      <c r="UJP40" s="63"/>
      <c r="UJQ40" s="63"/>
      <c r="UJR40" s="63"/>
      <c r="UJS40" s="63"/>
      <c r="UJT40" s="63"/>
      <c r="UJU40" s="63"/>
      <c r="UJV40" s="63"/>
      <c r="UJW40" s="63"/>
      <c r="UJX40" s="63"/>
      <c r="UJY40" s="63"/>
      <c r="UJZ40" s="63"/>
      <c r="UKA40" s="63"/>
      <c r="UKB40" s="63"/>
      <c r="UKC40" s="63"/>
      <c r="UKD40" s="63"/>
      <c r="UKE40" s="63"/>
      <c r="UKF40" s="63"/>
      <c r="UKG40" s="63"/>
      <c r="UKH40" s="63"/>
      <c r="UKI40" s="63"/>
      <c r="UKJ40" s="63"/>
      <c r="UKK40" s="63"/>
      <c r="UKL40" s="63"/>
      <c r="UKM40" s="63"/>
      <c r="UKN40" s="63"/>
      <c r="UKO40" s="63"/>
      <c r="UKP40" s="63"/>
      <c r="UKQ40" s="63"/>
      <c r="UKR40" s="63"/>
      <c r="UKS40" s="63"/>
      <c r="UKT40" s="63"/>
      <c r="UKU40" s="63"/>
      <c r="UKV40" s="63"/>
      <c r="UKW40" s="63"/>
      <c r="UKX40" s="63"/>
      <c r="UKY40" s="63"/>
      <c r="UKZ40" s="63"/>
      <c r="ULA40" s="63"/>
      <c r="ULB40" s="63"/>
      <c r="ULC40" s="63"/>
      <c r="ULD40" s="63"/>
      <c r="ULE40" s="63"/>
      <c r="ULF40" s="63"/>
      <c r="ULG40" s="63"/>
      <c r="ULH40" s="63"/>
      <c r="ULI40" s="63"/>
      <c r="ULJ40" s="63"/>
      <c r="ULK40" s="63"/>
      <c r="ULL40" s="63"/>
      <c r="ULM40" s="63"/>
      <c r="ULN40" s="63"/>
      <c r="ULO40" s="63"/>
      <c r="ULP40" s="63"/>
      <c r="ULQ40" s="63"/>
      <c r="ULR40" s="63"/>
      <c r="ULS40" s="63"/>
      <c r="ULT40" s="63"/>
      <c r="ULU40" s="63"/>
      <c r="ULV40" s="63"/>
      <c r="ULW40" s="63"/>
      <c r="ULX40" s="63"/>
      <c r="ULY40" s="63"/>
      <c r="ULZ40" s="63"/>
      <c r="UMA40" s="63"/>
      <c r="UMB40" s="63"/>
      <c r="UMC40" s="63"/>
      <c r="UMD40" s="63"/>
      <c r="UME40" s="63"/>
      <c r="UMF40" s="63"/>
      <c r="UMG40" s="63"/>
      <c r="UMH40" s="63"/>
      <c r="UMI40" s="63"/>
      <c r="UMJ40" s="63"/>
      <c r="UMK40" s="63"/>
      <c r="UML40" s="63"/>
      <c r="UMM40" s="63"/>
      <c r="UMN40" s="63"/>
      <c r="UMO40" s="63"/>
      <c r="UMP40" s="63"/>
      <c r="UMQ40" s="63"/>
      <c r="UMR40" s="63"/>
      <c r="UMS40" s="63"/>
      <c r="UMT40" s="63"/>
      <c r="UMU40" s="63"/>
      <c r="UMV40" s="63"/>
      <c r="UMW40" s="63"/>
      <c r="UMX40" s="63"/>
      <c r="UMY40" s="63"/>
      <c r="UMZ40" s="63"/>
      <c r="UNA40" s="63"/>
      <c r="UNB40" s="63"/>
      <c r="UNC40" s="63"/>
      <c r="UND40" s="63"/>
      <c r="UNE40" s="63"/>
      <c r="UNF40" s="63"/>
      <c r="UNG40" s="63"/>
      <c r="UNH40" s="63"/>
      <c r="UNI40" s="63"/>
      <c r="UNJ40" s="63"/>
      <c r="UNK40" s="63"/>
      <c r="UNL40" s="63"/>
      <c r="UNM40" s="63"/>
      <c r="UNN40" s="63"/>
      <c r="UNO40" s="63"/>
      <c r="UNP40" s="63"/>
      <c r="UNQ40" s="63"/>
      <c r="UNR40" s="63"/>
      <c r="UNS40" s="63"/>
      <c r="UNT40" s="63"/>
      <c r="UNU40" s="63"/>
      <c r="UNV40" s="63"/>
      <c r="UNW40" s="63"/>
      <c r="UNX40" s="63"/>
      <c r="UNY40" s="63"/>
      <c r="UNZ40" s="63"/>
      <c r="UOA40" s="63"/>
      <c r="UOB40" s="63"/>
      <c r="UOC40" s="63"/>
      <c r="UOD40" s="63"/>
      <c r="UOE40" s="63"/>
      <c r="UOF40" s="63"/>
      <c r="UOG40" s="63"/>
      <c r="UOH40" s="63"/>
      <c r="UOI40" s="63"/>
      <c r="UOJ40" s="63"/>
      <c r="UOK40" s="63"/>
      <c r="UOL40" s="63"/>
      <c r="UOM40" s="63"/>
      <c r="UON40" s="63"/>
      <c r="UOO40" s="63"/>
      <c r="UOP40" s="63"/>
      <c r="UOQ40" s="63"/>
      <c r="UOR40" s="63"/>
      <c r="UOS40" s="63"/>
      <c r="UOT40" s="63"/>
      <c r="UOU40" s="63"/>
      <c r="UOV40" s="63"/>
      <c r="UOW40" s="63"/>
      <c r="UOX40" s="63"/>
      <c r="UOY40" s="63"/>
      <c r="UOZ40" s="63"/>
      <c r="UPA40" s="63"/>
      <c r="UPB40" s="63"/>
      <c r="UPC40" s="63"/>
      <c r="UPD40" s="63"/>
      <c r="UPE40" s="63"/>
      <c r="UPF40" s="63"/>
      <c r="UPG40" s="63"/>
      <c r="UPH40" s="63"/>
      <c r="UPI40" s="63"/>
      <c r="UPJ40" s="63"/>
      <c r="UPK40" s="63"/>
      <c r="UPL40" s="63"/>
      <c r="UPM40" s="63"/>
      <c r="UPN40" s="63"/>
      <c r="UPO40" s="63"/>
      <c r="UPP40" s="63"/>
      <c r="UPQ40" s="63"/>
      <c r="UPR40" s="63"/>
      <c r="UPS40" s="63"/>
      <c r="UPT40" s="63"/>
      <c r="UPU40" s="63"/>
      <c r="UPV40" s="63"/>
      <c r="UPW40" s="63"/>
      <c r="UPX40" s="63"/>
      <c r="UPY40" s="63"/>
      <c r="UPZ40" s="63"/>
      <c r="UQA40" s="63"/>
      <c r="UQB40" s="63"/>
      <c r="UQC40" s="63"/>
      <c r="UQD40" s="63"/>
      <c r="UQE40" s="63"/>
      <c r="UQF40" s="63"/>
      <c r="UQG40" s="63"/>
      <c r="UQH40" s="63"/>
      <c r="UQI40" s="63"/>
      <c r="UQJ40" s="63"/>
      <c r="UQK40" s="63"/>
      <c r="UQL40" s="63"/>
      <c r="UQM40" s="63"/>
      <c r="UQN40" s="63"/>
      <c r="UQO40" s="63"/>
      <c r="UQP40" s="63"/>
      <c r="UQQ40" s="63"/>
      <c r="UQR40" s="63"/>
      <c r="UQS40" s="63"/>
      <c r="UQT40" s="63"/>
      <c r="UQU40" s="63"/>
      <c r="UQV40" s="63"/>
      <c r="UQW40" s="63"/>
      <c r="UQX40" s="63"/>
      <c r="UQY40" s="63"/>
      <c r="UQZ40" s="63"/>
      <c r="URA40" s="63"/>
      <c r="URB40" s="63"/>
      <c r="URC40" s="63"/>
      <c r="URD40" s="63"/>
      <c r="URE40" s="63"/>
      <c r="URF40" s="63"/>
      <c r="URG40" s="63"/>
      <c r="URH40" s="63"/>
      <c r="URI40" s="63"/>
      <c r="URJ40" s="63"/>
      <c r="URK40" s="63"/>
      <c r="URL40" s="63"/>
      <c r="URM40" s="63"/>
      <c r="URN40" s="63"/>
      <c r="URO40" s="63"/>
      <c r="URP40" s="63"/>
      <c r="URQ40" s="63"/>
      <c r="URR40" s="63"/>
      <c r="URS40" s="63"/>
      <c r="URT40" s="63"/>
      <c r="URU40" s="63"/>
      <c r="URV40" s="63"/>
      <c r="URW40" s="63"/>
      <c r="URX40" s="63"/>
      <c r="URY40" s="63"/>
      <c r="URZ40" s="63"/>
      <c r="USA40" s="63"/>
      <c r="USB40" s="63"/>
      <c r="USC40" s="63"/>
      <c r="USD40" s="63"/>
      <c r="USE40" s="63"/>
      <c r="USF40" s="63"/>
      <c r="USG40" s="63"/>
      <c r="USH40" s="63"/>
      <c r="USI40" s="63"/>
      <c r="USJ40" s="63"/>
      <c r="USK40" s="63"/>
      <c r="USL40" s="63"/>
      <c r="USM40" s="63"/>
      <c r="USN40" s="63"/>
      <c r="USO40" s="63"/>
      <c r="USP40" s="63"/>
      <c r="USQ40" s="63"/>
      <c r="USR40" s="63"/>
      <c r="USS40" s="63"/>
      <c r="UST40" s="63"/>
      <c r="USU40" s="63"/>
      <c r="USV40" s="63"/>
      <c r="USW40" s="63"/>
      <c r="USX40" s="63"/>
      <c r="USY40" s="63"/>
      <c r="USZ40" s="63"/>
      <c r="UTA40" s="63"/>
      <c r="UTB40" s="63"/>
      <c r="UTC40" s="63"/>
      <c r="UTD40" s="63"/>
      <c r="UTE40" s="63"/>
      <c r="UTF40" s="63"/>
      <c r="UTG40" s="63"/>
      <c r="UTH40" s="63"/>
      <c r="UTI40" s="63"/>
      <c r="UTJ40" s="63"/>
      <c r="UTK40" s="63"/>
      <c r="UTL40" s="63"/>
      <c r="UTM40" s="63"/>
      <c r="UTN40" s="63"/>
      <c r="UTO40" s="63"/>
      <c r="UTP40" s="63"/>
      <c r="UTQ40" s="63"/>
      <c r="UTR40" s="63"/>
      <c r="UTS40" s="63"/>
      <c r="UTT40" s="63"/>
      <c r="UTU40" s="63"/>
      <c r="UTV40" s="63"/>
      <c r="UTW40" s="63"/>
      <c r="UTX40" s="63"/>
      <c r="UTY40" s="63"/>
      <c r="UTZ40" s="63"/>
      <c r="UUA40" s="63"/>
      <c r="UUB40" s="63"/>
      <c r="UUC40" s="63"/>
      <c r="UUD40" s="63"/>
      <c r="UUE40" s="63"/>
      <c r="UUF40" s="63"/>
      <c r="UUG40" s="63"/>
      <c r="UUH40" s="63"/>
      <c r="UUI40" s="63"/>
      <c r="UUJ40" s="63"/>
      <c r="UUK40" s="63"/>
      <c r="UUL40" s="63"/>
      <c r="UUM40" s="63"/>
      <c r="UUN40" s="63"/>
      <c r="UUO40" s="63"/>
      <c r="UUP40" s="63"/>
      <c r="UUQ40" s="63"/>
      <c r="UUR40" s="63"/>
      <c r="UUS40" s="63"/>
      <c r="UUT40" s="63"/>
      <c r="UUU40" s="63"/>
      <c r="UUV40" s="63"/>
      <c r="UUW40" s="63"/>
      <c r="UUX40" s="63"/>
      <c r="UUY40" s="63"/>
      <c r="UUZ40" s="63"/>
      <c r="UVA40" s="63"/>
      <c r="UVB40" s="63"/>
      <c r="UVC40" s="63"/>
      <c r="UVD40" s="63"/>
      <c r="UVE40" s="63"/>
      <c r="UVF40" s="63"/>
      <c r="UVG40" s="63"/>
      <c r="UVH40" s="63"/>
      <c r="UVI40" s="63"/>
      <c r="UVJ40" s="63"/>
      <c r="UVK40" s="63"/>
      <c r="UVL40" s="63"/>
      <c r="UVM40" s="63"/>
      <c r="UVN40" s="63"/>
      <c r="UVO40" s="63"/>
      <c r="UVP40" s="63"/>
      <c r="UVQ40" s="63"/>
      <c r="UVR40" s="63"/>
      <c r="UVS40" s="63"/>
      <c r="UVT40" s="63"/>
      <c r="UVU40" s="63"/>
      <c r="UVV40" s="63"/>
      <c r="UVW40" s="63"/>
      <c r="UVX40" s="63"/>
      <c r="UVY40" s="63"/>
      <c r="UVZ40" s="63"/>
      <c r="UWA40" s="63"/>
      <c r="UWB40" s="63"/>
      <c r="UWC40" s="63"/>
      <c r="UWD40" s="63"/>
      <c r="UWE40" s="63"/>
      <c r="UWF40" s="63"/>
      <c r="UWG40" s="63"/>
      <c r="UWH40" s="63"/>
      <c r="UWI40" s="63"/>
      <c r="UWJ40" s="63"/>
      <c r="UWK40" s="63"/>
      <c r="UWL40" s="63"/>
      <c r="UWM40" s="63"/>
      <c r="UWN40" s="63"/>
      <c r="UWO40" s="63"/>
      <c r="UWP40" s="63"/>
      <c r="UWQ40" s="63"/>
      <c r="UWR40" s="63"/>
      <c r="UWS40" s="63"/>
      <c r="UWT40" s="63"/>
      <c r="UWU40" s="63"/>
      <c r="UWV40" s="63"/>
      <c r="UWW40" s="63"/>
      <c r="UWX40" s="63"/>
      <c r="UWY40" s="63"/>
      <c r="UWZ40" s="63"/>
      <c r="UXA40" s="63"/>
      <c r="UXB40" s="63"/>
      <c r="UXC40" s="63"/>
      <c r="UXD40" s="63"/>
      <c r="UXE40" s="63"/>
      <c r="UXF40" s="63"/>
      <c r="UXG40" s="63"/>
      <c r="UXH40" s="63"/>
      <c r="UXI40" s="63"/>
      <c r="UXJ40" s="63"/>
      <c r="UXK40" s="63"/>
      <c r="UXL40" s="63"/>
      <c r="UXM40" s="63"/>
      <c r="UXN40" s="63"/>
      <c r="UXO40" s="63"/>
      <c r="UXP40" s="63"/>
      <c r="UXQ40" s="63"/>
      <c r="UXR40" s="63"/>
      <c r="UXS40" s="63"/>
      <c r="UXT40" s="63"/>
      <c r="UXU40" s="63"/>
      <c r="UXV40" s="63"/>
      <c r="UXW40" s="63"/>
      <c r="UXX40" s="63"/>
      <c r="UXY40" s="63"/>
      <c r="UXZ40" s="63"/>
      <c r="UYA40" s="63"/>
      <c r="UYB40" s="63"/>
      <c r="UYC40" s="63"/>
      <c r="UYD40" s="63"/>
      <c r="UYE40" s="63"/>
      <c r="UYF40" s="63"/>
      <c r="UYG40" s="63"/>
      <c r="UYH40" s="63"/>
      <c r="UYI40" s="63"/>
      <c r="UYJ40" s="63"/>
      <c r="UYK40" s="63"/>
      <c r="UYL40" s="63"/>
      <c r="UYM40" s="63"/>
      <c r="UYN40" s="63"/>
      <c r="UYO40" s="63"/>
      <c r="UYP40" s="63"/>
      <c r="UYQ40" s="63"/>
      <c r="UYR40" s="63"/>
      <c r="UYS40" s="63"/>
      <c r="UYT40" s="63"/>
      <c r="UYU40" s="63"/>
      <c r="UYV40" s="63"/>
      <c r="UYW40" s="63"/>
      <c r="UYX40" s="63"/>
      <c r="UYY40" s="63"/>
      <c r="UYZ40" s="63"/>
      <c r="UZA40" s="63"/>
      <c r="UZB40" s="63"/>
      <c r="UZC40" s="63"/>
      <c r="UZD40" s="63"/>
      <c r="UZE40" s="63"/>
      <c r="UZF40" s="63"/>
      <c r="UZG40" s="63"/>
      <c r="UZH40" s="63"/>
      <c r="UZI40" s="63"/>
      <c r="UZJ40" s="63"/>
      <c r="UZK40" s="63"/>
      <c r="UZL40" s="63"/>
      <c r="UZM40" s="63"/>
      <c r="UZN40" s="63"/>
      <c r="UZO40" s="63"/>
      <c r="UZP40" s="63"/>
      <c r="UZQ40" s="63"/>
      <c r="UZR40" s="63"/>
      <c r="UZS40" s="63"/>
      <c r="UZT40" s="63"/>
      <c r="UZU40" s="63"/>
      <c r="UZV40" s="63"/>
      <c r="UZW40" s="63"/>
      <c r="UZX40" s="63"/>
      <c r="UZY40" s="63"/>
      <c r="UZZ40" s="63"/>
      <c r="VAA40" s="63"/>
      <c r="VAB40" s="63"/>
      <c r="VAC40" s="63"/>
      <c r="VAD40" s="63"/>
      <c r="VAE40" s="63"/>
      <c r="VAF40" s="63"/>
      <c r="VAG40" s="63"/>
      <c r="VAH40" s="63"/>
      <c r="VAI40" s="63"/>
      <c r="VAJ40" s="63"/>
      <c r="VAK40" s="63"/>
      <c r="VAL40" s="63"/>
      <c r="VAM40" s="63"/>
      <c r="VAN40" s="63"/>
      <c r="VAO40" s="63"/>
      <c r="VAP40" s="63"/>
      <c r="VAQ40" s="63"/>
      <c r="VAR40" s="63"/>
      <c r="VAS40" s="63"/>
      <c r="VAT40" s="63"/>
      <c r="VAU40" s="63"/>
      <c r="VAV40" s="63"/>
      <c r="VAW40" s="63"/>
      <c r="VAX40" s="63"/>
      <c r="VAY40" s="63"/>
      <c r="VAZ40" s="63"/>
      <c r="VBA40" s="63"/>
      <c r="VBB40" s="63"/>
      <c r="VBC40" s="63"/>
      <c r="VBD40" s="63"/>
      <c r="VBE40" s="63"/>
      <c r="VBF40" s="63"/>
      <c r="VBG40" s="63"/>
      <c r="VBH40" s="63"/>
      <c r="VBI40" s="63"/>
      <c r="VBJ40" s="63"/>
      <c r="VBK40" s="63"/>
      <c r="VBL40" s="63"/>
      <c r="VBM40" s="63"/>
      <c r="VBN40" s="63"/>
      <c r="VBO40" s="63"/>
      <c r="VBP40" s="63"/>
      <c r="VBQ40" s="63"/>
      <c r="VBR40" s="63"/>
      <c r="VBS40" s="63"/>
      <c r="VBT40" s="63"/>
      <c r="VBU40" s="63"/>
      <c r="VBV40" s="63"/>
      <c r="VBW40" s="63"/>
      <c r="VBX40" s="63"/>
      <c r="VBY40" s="63"/>
      <c r="VBZ40" s="63"/>
      <c r="VCA40" s="63"/>
      <c r="VCB40" s="63"/>
      <c r="VCC40" s="63"/>
      <c r="VCD40" s="63"/>
      <c r="VCE40" s="63"/>
      <c r="VCF40" s="63"/>
      <c r="VCG40" s="63"/>
      <c r="VCH40" s="63"/>
      <c r="VCI40" s="63"/>
      <c r="VCJ40" s="63"/>
      <c r="VCK40" s="63"/>
      <c r="VCL40" s="63"/>
      <c r="VCM40" s="63"/>
      <c r="VCN40" s="63"/>
      <c r="VCO40" s="63"/>
      <c r="VCP40" s="63"/>
      <c r="VCQ40" s="63"/>
      <c r="VCR40" s="63"/>
      <c r="VCS40" s="63"/>
      <c r="VCT40" s="63"/>
      <c r="VCU40" s="63"/>
      <c r="VCV40" s="63"/>
      <c r="VCW40" s="63"/>
      <c r="VCX40" s="63"/>
      <c r="VCY40" s="63"/>
      <c r="VCZ40" s="63"/>
      <c r="VDA40" s="63"/>
      <c r="VDB40" s="63"/>
      <c r="VDC40" s="63"/>
      <c r="VDD40" s="63"/>
      <c r="VDE40" s="63"/>
      <c r="VDF40" s="63"/>
      <c r="VDG40" s="63"/>
      <c r="VDH40" s="63"/>
      <c r="VDI40" s="63"/>
      <c r="VDJ40" s="63"/>
      <c r="VDK40" s="63"/>
      <c r="VDL40" s="63"/>
      <c r="VDM40" s="63"/>
      <c r="VDN40" s="63"/>
      <c r="VDO40" s="63"/>
      <c r="VDP40" s="63"/>
      <c r="VDQ40" s="63"/>
      <c r="VDR40" s="63"/>
      <c r="VDS40" s="63"/>
      <c r="VDT40" s="63"/>
      <c r="VDU40" s="63"/>
      <c r="VDV40" s="63"/>
      <c r="VDW40" s="63"/>
      <c r="VDX40" s="63"/>
      <c r="VDY40" s="63"/>
      <c r="VDZ40" s="63"/>
      <c r="VEA40" s="63"/>
      <c r="VEB40" s="63"/>
      <c r="VEC40" s="63"/>
      <c r="VED40" s="63"/>
      <c r="VEE40" s="63"/>
      <c r="VEF40" s="63"/>
      <c r="VEG40" s="63"/>
      <c r="VEH40" s="63"/>
      <c r="VEI40" s="63"/>
      <c r="VEJ40" s="63"/>
      <c r="VEK40" s="63"/>
      <c r="VEL40" s="63"/>
      <c r="VEM40" s="63"/>
      <c r="VEN40" s="63"/>
      <c r="VEO40" s="63"/>
      <c r="VEP40" s="63"/>
      <c r="VEQ40" s="63"/>
      <c r="VER40" s="63"/>
      <c r="VES40" s="63"/>
      <c r="VET40" s="63"/>
      <c r="VEU40" s="63"/>
      <c r="VEV40" s="63"/>
      <c r="VEW40" s="63"/>
      <c r="VEX40" s="63"/>
      <c r="VEY40" s="63"/>
      <c r="VEZ40" s="63"/>
      <c r="VFA40" s="63"/>
      <c r="VFB40" s="63"/>
      <c r="VFC40" s="63"/>
      <c r="VFD40" s="63"/>
      <c r="VFE40" s="63"/>
      <c r="VFF40" s="63"/>
      <c r="VFG40" s="63"/>
      <c r="VFH40" s="63"/>
      <c r="VFI40" s="63"/>
      <c r="VFJ40" s="63"/>
      <c r="VFK40" s="63"/>
      <c r="VFL40" s="63"/>
      <c r="VFM40" s="63"/>
      <c r="VFN40" s="63"/>
      <c r="VFO40" s="63"/>
      <c r="VFP40" s="63"/>
      <c r="VFQ40" s="63"/>
      <c r="VFR40" s="63"/>
      <c r="VFS40" s="63"/>
      <c r="VFT40" s="63"/>
      <c r="VFU40" s="63"/>
      <c r="VFV40" s="63"/>
      <c r="VFW40" s="63"/>
      <c r="VFX40" s="63"/>
      <c r="VFY40" s="63"/>
      <c r="VFZ40" s="63"/>
      <c r="VGA40" s="63"/>
      <c r="VGB40" s="63"/>
    </row>
    <row r="41" spans="1:15056" x14ac:dyDescent="0.25">
      <c r="C41" s="15"/>
      <c r="D41" s="14" t="s">
        <v>75</v>
      </c>
      <c r="E41" s="230">
        <f>E42+E43</f>
        <v>21429000</v>
      </c>
      <c r="F41" s="20" t="s">
        <v>14</v>
      </c>
      <c r="G41" s="33">
        <f t="shared" ref="G41" si="18">G42+G43</f>
        <v>994298</v>
      </c>
      <c r="H41" s="33">
        <f t="shared" ref="H41:AJ41" si="19">H42+H43</f>
        <v>1115291</v>
      </c>
      <c r="I41" s="33">
        <f t="shared" si="19"/>
        <v>1038010</v>
      </c>
      <c r="J41" s="33">
        <f t="shared" si="19"/>
        <v>1058141</v>
      </c>
      <c r="K41" s="33">
        <v>899356</v>
      </c>
      <c r="L41" s="33">
        <f t="shared" si="19"/>
        <v>939422</v>
      </c>
      <c r="M41" s="33">
        <f t="shared" si="19"/>
        <v>1003337</v>
      </c>
      <c r="N41" s="33">
        <f t="shared" si="19"/>
        <v>899475</v>
      </c>
      <c r="O41" s="33">
        <f t="shared" si="19"/>
        <v>923368</v>
      </c>
      <c r="P41" s="33">
        <f t="shared" si="19"/>
        <v>219956</v>
      </c>
      <c r="Q41" s="33">
        <f t="shared" si="19"/>
        <v>0</v>
      </c>
      <c r="R41" s="33">
        <f t="shared" si="19"/>
        <v>0</v>
      </c>
      <c r="S41" s="33">
        <f t="shared" si="19"/>
        <v>0</v>
      </c>
      <c r="T41" s="33">
        <f t="shared" si="19"/>
        <v>0</v>
      </c>
      <c r="U41" s="33">
        <f t="shared" si="19"/>
        <v>180600</v>
      </c>
      <c r="V41" s="33">
        <f t="shared" si="19"/>
        <v>798620</v>
      </c>
      <c r="W41" s="33">
        <f t="shared" si="19"/>
        <v>861206</v>
      </c>
      <c r="X41" s="33">
        <f t="shared" si="19"/>
        <v>775418</v>
      </c>
      <c r="Y41" s="33">
        <f t="shared" si="19"/>
        <v>923684</v>
      </c>
      <c r="Z41" s="33">
        <f t="shared" si="19"/>
        <v>933429</v>
      </c>
      <c r="AA41" s="33">
        <f t="shared" si="19"/>
        <v>960597</v>
      </c>
      <c r="AB41" s="33">
        <f t="shared" si="19"/>
        <v>834435</v>
      </c>
      <c r="AC41" s="33">
        <f t="shared" si="19"/>
        <v>941966</v>
      </c>
      <c r="AD41" s="33">
        <f t="shared" si="19"/>
        <v>266828</v>
      </c>
      <c r="AE41" s="33">
        <f t="shared" si="19"/>
        <v>0</v>
      </c>
      <c r="AF41" s="33">
        <f t="shared" si="19"/>
        <v>0</v>
      </c>
      <c r="AG41" s="33">
        <f t="shared" si="19"/>
        <v>0</v>
      </c>
      <c r="AH41" s="33">
        <f t="shared" si="19"/>
        <v>0</v>
      </c>
      <c r="AI41" s="33">
        <f t="shared" si="19"/>
        <v>0</v>
      </c>
      <c r="AJ41" s="33">
        <f t="shared" si="19"/>
        <v>0</v>
      </c>
      <c r="AL41" s="55">
        <f>SUM(G41:AJ41)</f>
        <v>16567437</v>
      </c>
      <c r="AP41" s="3"/>
    </row>
    <row r="42" spans="1:15056" x14ac:dyDescent="0.25">
      <c r="C42" s="15"/>
      <c r="D42" s="65" t="s">
        <v>113</v>
      </c>
      <c r="E42" s="68">
        <v>15000000</v>
      </c>
      <c r="F42" s="66" t="s">
        <v>14</v>
      </c>
      <c r="G42" s="271">
        <f>'[1]01'!$P$22</f>
        <v>755818</v>
      </c>
      <c r="H42" s="271">
        <f>'[2]02'!$P$22</f>
        <v>859079</v>
      </c>
      <c r="I42" s="271">
        <f>'[2]03'!$P$22</f>
        <v>793972</v>
      </c>
      <c r="J42" s="271">
        <v>810550</v>
      </c>
      <c r="K42" s="271">
        <v>686817</v>
      </c>
      <c r="L42" s="271">
        <f>'[3]06'!$P$22</f>
        <v>736059</v>
      </c>
      <c r="M42" s="271">
        <f>'[4]07'!$P$22</f>
        <v>763026</v>
      </c>
      <c r="N42" s="271">
        <f>'[5]08'!$P$22</f>
        <v>694832</v>
      </c>
      <c r="O42" s="271">
        <f>'[5]09'!$P$22</f>
        <v>687792</v>
      </c>
      <c r="P42" s="271">
        <f>'[5]10'!$P$22</f>
        <v>154064</v>
      </c>
      <c r="Q42" s="271">
        <v>0</v>
      </c>
      <c r="R42" s="271">
        <v>0</v>
      </c>
      <c r="S42" s="271">
        <v>0</v>
      </c>
      <c r="T42" s="271">
        <v>0</v>
      </c>
      <c r="U42" s="271">
        <f>'[10]15'!$P$22</f>
        <v>127749</v>
      </c>
      <c r="V42" s="271">
        <f>'[11]16'!$P$22</f>
        <v>613632</v>
      </c>
      <c r="W42" s="271">
        <f>'[11]17'!$P$22</f>
        <v>659915</v>
      </c>
      <c r="X42" s="271">
        <f>'[12]18'!$P$22</f>
        <v>581266</v>
      </c>
      <c r="Y42" s="271">
        <f>'[13]19'!$P$22</f>
        <v>698344</v>
      </c>
      <c r="Z42" s="271">
        <f>'[14]20'!$P$22</f>
        <v>694902</v>
      </c>
      <c r="AA42" s="271">
        <f>'[15]21'!$P$22</f>
        <v>745490</v>
      </c>
      <c r="AB42" s="271">
        <f>'[16]22'!$P$22</f>
        <v>628365</v>
      </c>
      <c r="AC42" s="271">
        <f>'[17]23'!$P$22</f>
        <v>717090</v>
      </c>
      <c r="AD42" s="271">
        <f>'[17]24'!$P$22</f>
        <v>164490</v>
      </c>
      <c r="AE42" s="271">
        <v>0</v>
      </c>
      <c r="AF42" s="271">
        <v>0</v>
      </c>
      <c r="AG42" s="271">
        <v>0</v>
      </c>
      <c r="AH42" s="271">
        <v>0</v>
      </c>
      <c r="AI42" s="271">
        <v>0</v>
      </c>
      <c r="AJ42" s="271">
        <v>0</v>
      </c>
      <c r="AL42" s="58">
        <f>SUM(G42:AJ42)</f>
        <v>12573252</v>
      </c>
      <c r="AP42" s="3"/>
      <c r="AQ42" s="3"/>
    </row>
    <row r="43" spans="1:15056" x14ac:dyDescent="0.25">
      <c r="C43" s="15"/>
      <c r="D43" s="65" t="s">
        <v>73</v>
      </c>
      <c r="E43" s="68">
        <v>6429000</v>
      </c>
      <c r="F43" s="106" t="s">
        <v>14</v>
      </c>
      <c r="G43" s="272">
        <f>'[1]01'!$P$30-G30</f>
        <v>238480</v>
      </c>
      <c r="H43" s="272">
        <f>'[2]02'!$P$30-H30</f>
        <v>256212</v>
      </c>
      <c r="I43" s="272">
        <f>'[2]03'!$P$30-I30</f>
        <v>244038</v>
      </c>
      <c r="J43" s="272">
        <f>247591-J30</f>
        <v>247591</v>
      </c>
      <c r="K43" s="272">
        <f>212539-K30</f>
        <v>212539</v>
      </c>
      <c r="L43" s="272">
        <f>'[3]06'!$P$30-L30</f>
        <v>203363</v>
      </c>
      <c r="M43" s="272">
        <f>'[4]07'!$P$30-M30</f>
        <v>240311</v>
      </c>
      <c r="N43" s="272">
        <f>'[5]08'!$P$30-N30</f>
        <v>204643</v>
      </c>
      <c r="O43" s="272">
        <f>'[5]09'!$P$30-O30</f>
        <v>235576</v>
      </c>
      <c r="P43" s="272">
        <f>'[5]10'!$P$30-P30</f>
        <v>65892</v>
      </c>
      <c r="Q43" s="272">
        <v>0</v>
      </c>
      <c r="R43" s="272">
        <v>0</v>
      </c>
      <c r="S43" s="272">
        <v>0</v>
      </c>
      <c r="T43" s="272">
        <v>0</v>
      </c>
      <c r="U43" s="272">
        <f>'[10]15'!$P$30-U30</f>
        <v>52851</v>
      </c>
      <c r="V43" s="272">
        <f>'[11]16'!$P$30-V30</f>
        <v>184988</v>
      </c>
      <c r="W43" s="272">
        <f>'[11]17'!$P$30-W30</f>
        <v>201291</v>
      </c>
      <c r="X43" s="272">
        <f>'[12]18'!$P$30-X30</f>
        <v>194152</v>
      </c>
      <c r="Y43" s="272">
        <f>'[13]19'!$P$30-Y30</f>
        <v>225340</v>
      </c>
      <c r="Z43" s="272">
        <f>'[14]20'!$P$30-Z30</f>
        <v>238527</v>
      </c>
      <c r="AA43" s="272">
        <f>'[15]21'!$P$30-AA30</f>
        <v>215107</v>
      </c>
      <c r="AB43" s="272">
        <f>'[16]22'!$P$30-AB30</f>
        <v>206070</v>
      </c>
      <c r="AC43" s="272">
        <f>'[17]23'!$P$30-AC30</f>
        <v>224876</v>
      </c>
      <c r="AD43" s="272">
        <f>'[17]24'!$P$30-AD30</f>
        <v>102338</v>
      </c>
      <c r="AE43" s="272">
        <v>0</v>
      </c>
      <c r="AF43" s="272">
        <v>0</v>
      </c>
      <c r="AG43" s="272">
        <v>0</v>
      </c>
      <c r="AH43" s="272">
        <v>0</v>
      </c>
      <c r="AI43" s="272">
        <v>0</v>
      </c>
      <c r="AJ43" s="272">
        <v>0</v>
      </c>
      <c r="AL43" s="58">
        <f>SUM(G43:AJ43)</f>
        <v>3994185</v>
      </c>
      <c r="AP43" s="3"/>
      <c r="AQ43" s="3"/>
    </row>
    <row r="44" spans="1:15056" s="71" customFormat="1" x14ac:dyDescent="0.25">
      <c r="A44" s="63"/>
      <c r="B44" s="63"/>
      <c r="C44" s="69"/>
      <c r="D44" s="231" t="s">
        <v>842</v>
      </c>
      <c r="E44" s="306"/>
      <c r="F44" s="9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63"/>
      <c r="AL44" s="67" t="s">
        <v>112</v>
      </c>
      <c r="AM44" s="63"/>
      <c r="AN44" s="63"/>
      <c r="AO44" s="63"/>
      <c r="AP44" s="1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144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  <c r="FE44" s="63"/>
      <c r="FF44" s="63"/>
      <c r="FG44" s="63"/>
      <c r="FH44" s="63"/>
      <c r="FI44" s="63"/>
      <c r="FJ44" s="63"/>
      <c r="FK44" s="63"/>
      <c r="FL44" s="63"/>
      <c r="FM44" s="63"/>
      <c r="FN44" s="63"/>
      <c r="FO44" s="63"/>
      <c r="FP44" s="63"/>
      <c r="FQ44" s="63"/>
      <c r="FR44" s="63"/>
      <c r="FS44" s="63"/>
      <c r="FT44" s="63"/>
      <c r="FU44" s="63"/>
      <c r="FV44" s="63"/>
      <c r="FW44" s="63"/>
      <c r="FX44" s="63"/>
      <c r="FY44" s="63"/>
      <c r="FZ44" s="63"/>
      <c r="GA44" s="63"/>
      <c r="GB44" s="63"/>
      <c r="GC44" s="63"/>
      <c r="GD44" s="63"/>
      <c r="GE44" s="63"/>
      <c r="GF44" s="63"/>
      <c r="GG44" s="63"/>
      <c r="GH44" s="63"/>
      <c r="GI44" s="63"/>
      <c r="GJ44" s="63"/>
      <c r="GK44" s="63"/>
      <c r="GL44" s="63"/>
      <c r="GM44" s="63"/>
      <c r="GN44" s="63"/>
      <c r="GO44" s="63"/>
      <c r="GP44" s="63"/>
      <c r="GQ44" s="63"/>
      <c r="GR44" s="63"/>
      <c r="GS44" s="63"/>
      <c r="GT44" s="63"/>
      <c r="GU44" s="63"/>
      <c r="GV44" s="63"/>
      <c r="GW44" s="63"/>
      <c r="GX44" s="63"/>
      <c r="GY44" s="63"/>
      <c r="GZ44" s="63"/>
      <c r="HA44" s="63"/>
      <c r="HB44" s="63"/>
      <c r="HC44" s="63"/>
      <c r="HD44" s="63"/>
      <c r="HE44" s="63"/>
      <c r="HF44" s="63"/>
      <c r="HG44" s="63"/>
      <c r="HH44" s="63"/>
      <c r="HI44" s="63"/>
      <c r="HJ44" s="63"/>
      <c r="HK44" s="63"/>
      <c r="HL44" s="63"/>
      <c r="HM44" s="63"/>
      <c r="HN44" s="63"/>
      <c r="HO44" s="63"/>
      <c r="HP44" s="63"/>
      <c r="HQ44" s="63"/>
      <c r="HR44" s="63"/>
      <c r="HS44" s="63"/>
      <c r="HT44" s="63"/>
      <c r="HU44" s="63"/>
      <c r="HV44" s="63"/>
      <c r="HW44" s="63"/>
      <c r="HX44" s="63"/>
      <c r="HY44" s="63"/>
      <c r="HZ44" s="63"/>
      <c r="IA44" s="63"/>
      <c r="IB44" s="63"/>
      <c r="IC44" s="63"/>
      <c r="ID44" s="63"/>
      <c r="IE44" s="63"/>
      <c r="IF44" s="63"/>
      <c r="IG44" s="63"/>
      <c r="IH44" s="63"/>
      <c r="II44" s="63"/>
      <c r="IJ44" s="63"/>
      <c r="IK44" s="63"/>
      <c r="IL44" s="63"/>
      <c r="IM44" s="63"/>
      <c r="IN44" s="63"/>
      <c r="IO44" s="63"/>
      <c r="IP44" s="63"/>
      <c r="IQ44" s="63"/>
      <c r="IR44" s="63"/>
      <c r="IS44" s="63"/>
      <c r="IT44" s="63"/>
      <c r="IU44" s="63"/>
      <c r="IV44" s="63"/>
      <c r="IW44" s="63"/>
      <c r="IX44" s="63"/>
      <c r="IY44" s="63"/>
      <c r="IZ44" s="63"/>
      <c r="JA44" s="63"/>
      <c r="JB44" s="63"/>
      <c r="JC44" s="63"/>
      <c r="JD44" s="63"/>
      <c r="JE44" s="63"/>
      <c r="JF44" s="63"/>
      <c r="JG44" s="63"/>
      <c r="JH44" s="63"/>
      <c r="JI44" s="63"/>
      <c r="JJ44" s="63"/>
      <c r="JK44" s="63"/>
      <c r="JL44" s="63"/>
      <c r="JM44" s="63"/>
      <c r="JN44" s="63"/>
      <c r="JO44" s="63"/>
      <c r="JP44" s="63"/>
      <c r="JQ44" s="63"/>
      <c r="JR44" s="63"/>
      <c r="JS44" s="63"/>
      <c r="JT44" s="63"/>
      <c r="JU44" s="63"/>
      <c r="JV44" s="63"/>
      <c r="JW44" s="63"/>
      <c r="JX44" s="63"/>
      <c r="JY44" s="63"/>
      <c r="JZ44" s="63"/>
      <c r="KA44" s="63"/>
      <c r="KB44" s="63"/>
      <c r="KC44" s="63"/>
      <c r="KD44" s="63"/>
      <c r="KE44" s="63"/>
      <c r="KF44" s="63"/>
      <c r="KG44" s="63"/>
      <c r="KH44" s="63"/>
      <c r="KI44" s="63"/>
      <c r="KJ44" s="63"/>
      <c r="KK44" s="63"/>
      <c r="KL44" s="63"/>
      <c r="KM44" s="63"/>
      <c r="KN44" s="63"/>
      <c r="KO44" s="63"/>
      <c r="KP44" s="63"/>
      <c r="KQ44" s="63"/>
      <c r="KR44" s="63"/>
      <c r="KS44" s="63"/>
      <c r="KT44" s="63"/>
      <c r="KU44" s="63"/>
      <c r="KV44" s="63"/>
      <c r="KW44" s="63"/>
      <c r="KX44" s="63"/>
      <c r="KY44" s="63"/>
      <c r="KZ44" s="63"/>
      <c r="LA44" s="63"/>
      <c r="LB44" s="63"/>
      <c r="LC44" s="63"/>
      <c r="LD44" s="63"/>
      <c r="LE44" s="63"/>
      <c r="LF44" s="63"/>
      <c r="LG44" s="63"/>
      <c r="LH44" s="63"/>
      <c r="LI44" s="63"/>
      <c r="LJ44" s="63"/>
      <c r="LK44" s="63"/>
      <c r="LL44" s="63"/>
      <c r="LM44" s="63"/>
      <c r="LN44" s="63"/>
      <c r="LO44" s="63"/>
      <c r="LP44" s="63"/>
      <c r="LQ44" s="63"/>
      <c r="LR44" s="63"/>
      <c r="LS44" s="63"/>
      <c r="LT44" s="63"/>
      <c r="LU44" s="63"/>
      <c r="LV44" s="63"/>
      <c r="LW44" s="63"/>
      <c r="LX44" s="63"/>
      <c r="LY44" s="63"/>
      <c r="LZ44" s="63"/>
      <c r="MA44" s="63"/>
      <c r="MB44" s="63"/>
      <c r="MC44" s="63"/>
      <c r="MD44" s="63"/>
      <c r="ME44" s="63"/>
      <c r="MF44" s="63"/>
      <c r="MG44" s="63"/>
      <c r="MH44" s="63"/>
      <c r="MI44" s="63"/>
      <c r="MJ44" s="63"/>
      <c r="MK44" s="63"/>
      <c r="ML44" s="63"/>
      <c r="MM44" s="63"/>
      <c r="MN44" s="63"/>
      <c r="MO44" s="63"/>
      <c r="MP44" s="63"/>
      <c r="MQ44" s="63"/>
      <c r="MR44" s="63"/>
      <c r="MS44" s="63"/>
      <c r="MT44" s="63"/>
      <c r="MU44" s="63"/>
      <c r="MV44" s="63"/>
      <c r="MW44" s="63"/>
      <c r="MX44" s="63"/>
      <c r="MY44" s="63"/>
      <c r="MZ44" s="63"/>
      <c r="NA44" s="63"/>
      <c r="NB44" s="63"/>
      <c r="NC44" s="63"/>
      <c r="ND44" s="63"/>
      <c r="NE44" s="63"/>
      <c r="NF44" s="63"/>
      <c r="NG44" s="63"/>
      <c r="NH44" s="63"/>
      <c r="NI44" s="63"/>
      <c r="NJ44" s="63"/>
      <c r="NK44" s="63"/>
      <c r="NL44" s="63"/>
      <c r="NM44" s="63"/>
      <c r="NN44" s="63"/>
      <c r="NO44" s="63"/>
      <c r="NP44" s="63"/>
      <c r="NQ44" s="63"/>
      <c r="NR44" s="63"/>
      <c r="NS44" s="63"/>
      <c r="NT44" s="63"/>
      <c r="NU44" s="63"/>
      <c r="NV44" s="63"/>
      <c r="NW44" s="63"/>
      <c r="NX44" s="63"/>
      <c r="NY44" s="63"/>
      <c r="NZ44" s="63"/>
      <c r="OA44" s="63"/>
      <c r="OB44" s="63"/>
      <c r="OC44" s="63"/>
      <c r="OD44" s="63"/>
      <c r="OE44" s="63"/>
      <c r="OF44" s="63"/>
      <c r="OG44" s="63"/>
      <c r="OH44" s="63"/>
      <c r="OI44" s="63"/>
      <c r="OJ44" s="63"/>
      <c r="OK44" s="63"/>
      <c r="OL44" s="63"/>
      <c r="OM44" s="63"/>
      <c r="ON44" s="63"/>
      <c r="OO44" s="63"/>
      <c r="OP44" s="63"/>
      <c r="OQ44" s="63"/>
      <c r="OR44" s="63"/>
      <c r="OS44" s="63"/>
      <c r="OT44" s="63"/>
      <c r="OU44" s="63"/>
      <c r="OV44" s="63"/>
      <c r="OW44" s="63"/>
      <c r="OX44" s="63"/>
      <c r="OY44" s="63"/>
      <c r="OZ44" s="63"/>
      <c r="PA44" s="63"/>
      <c r="PB44" s="63"/>
      <c r="PC44" s="63"/>
      <c r="PD44" s="63"/>
      <c r="PE44" s="63"/>
      <c r="PF44" s="63"/>
      <c r="PG44" s="63"/>
      <c r="PH44" s="63"/>
      <c r="PI44" s="63"/>
      <c r="PJ44" s="63"/>
      <c r="PK44" s="63"/>
      <c r="PL44" s="63"/>
      <c r="PM44" s="63"/>
      <c r="PN44" s="63"/>
      <c r="PO44" s="63"/>
      <c r="PP44" s="63"/>
      <c r="PQ44" s="63"/>
      <c r="PR44" s="63"/>
      <c r="PS44" s="63"/>
      <c r="PT44" s="63"/>
      <c r="PU44" s="63"/>
      <c r="PV44" s="63"/>
      <c r="PW44" s="63"/>
      <c r="PX44" s="63"/>
      <c r="PY44" s="63"/>
      <c r="PZ44" s="63"/>
      <c r="QA44" s="63"/>
      <c r="QB44" s="63"/>
      <c r="QC44" s="63"/>
      <c r="QD44" s="63"/>
      <c r="QE44" s="63"/>
      <c r="QF44" s="63"/>
      <c r="QG44" s="63"/>
      <c r="QH44" s="63"/>
      <c r="QI44" s="63"/>
      <c r="QJ44" s="63"/>
      <c r="QK44" s="63"/>
      <c r="QL44" s="63"/>
      <c r="QM44" s="63"/>
      <c r="QN44" s="63"/>
      <c r="QO44" s="63"/>
      <c r="QP44" s="63"/>
      <c r="QQ44" s="63"/>
      <c r="QR44" s="63"/>
      <c r="QS44" s="63"/>
      <c r="QT44" s="63"/>
      <c r="QU44" s="63"/>
      <c r="QV44" s="63"/>
      <c r="QW44" s="63"/>
      <c r="QX44" s="63"/>
      <c r="QY44" s="63"/>
      <c r="QZ44" s="63"/>
      <c r="RA44" s="63"/>
      <c r="RB44" s="63"/>
      <c r="RC44" s="63"/>
      <c r="RD44" s="63"/>
      <c r="RE44" s="63"/>
      <c r="RF44" s="63"/>
      <c r="RG44" s="63"/>
      <c r="RH44" s="63"/>
      <c r="RI44" s="63"/>
      <c r="RJ44" s="63"/>
      <c r="RK44" s="63"/>
      <c r="RL44" s="63"/>
      <c r="RM44" s="63"/>
      <c r="RN44" s="63"/>
      <c r="RO44" s="63"/>
      <c r="RP44" s="63"/>
      <c r="RQ44" s="63"/>
      <c r="RR44" s="63"/>
      <c r="RS44" s="63"/>
      <c r="RT44" s="63"/>
      <c r="RU44" s="63"/>
      <c r="RV44" s="63"/>
      <c r="RW44" s="63"/>
      <c r="RX44" s="63"/>
      <c r="RY44" s="63"/>
      <c r="RZ44" s="63"/>
      <c r="SA44" s="63"/>
      <c r="SB44" s="63"/>
      <c r="SC44" s="63"/>
      <c r="SD44" s="63"/>
      <c r="SE44" s="63"/>
      <c r="SF44" s="63"/>
      <c r="SG44" s="63"/>
      <c r="SH44" s="63"/>
      <c r="SI44" s="63"/>
      <c r="SJ44" s="63"/>
      <c r="SK44" s="63"/>
      <c r="SL44" s="63"/>
      <c r="SM44" s="63"/>
      <c r="SN44" s="63"/>
      <c r="SO44" s="63"/>
      <c r="SP44" s="63"/>
      <c r="SQ44" s="63"/>
      <c r="SR44" s="63"/>
      <c r="SS44" s="63"/>
      <c r="ST44" s="63"/>
      <c r="SU44" s="63"/>
      <c r="SV44" s="63"/>
      <c r="SW44" s="63"/>
      <c r="SX44" s="63"/>
      <c r="SY44" s="63"/>
      <c r="SZ44" s="63"/>
      <c r="TA44" s="63"/>
      <c r="TB44" s="63"/>
      <c r="TC44" s="63"/>
      <c r="TD44" s="63"/>
      <c r="TE44" s="63"/>
      <c r="TF44" s="63"/>
      <c r="TG44" s="63"/>
      <c r="TH44" s="63"/>
      <c r="TI44" s="63"/>
      <c r="TJ44" s="63"/>
      <c r="TK44" s="63"/>
      <c r="TL44" s="63"/>
      <c r="TM44" s="63"/>
      <c r="TN44" s="63"/>
      <c r="TO44" s="63"/>
      <c r="TP44" s="63"/>
      <c r="TQ44" s="63"/>
      <c r="TR44" s="63"/>
      <c r="TS44" s="63"/>
      <c r="TT44" s="63"/>
      <c r="TU44" s="63"/>
      <c r="TV44" s="63"/>
      <c r="TW44" s="63"/>
      <c r="TX44" s="63"/>
      <c r="TY44" s="63"/>
      <c r="TZ44" s="63"/>
      <c r="UA44" s="63"/>
      <c r="UB44" s="63"/>
      <c r="UC44" s="63"/>
      <c r="UD44" s="63"/>
      <c r="UE44" s="63"/>
      <c r="UF44" s="63"/>
      <c r="UG44" s="63"/>
      <c r="UH44" s="63"/>
      <c r="UI44" s="63"/>
      <c r="UJ44" s="63"/>
      <c r="UK44" s="63"/>
      <c r="UL44" s="63"/>
      <c r="UM44" s="63"/>
      <c r="UN44" s="63"/>
      <c r="UO44" s="63"/>
      <c r="UP44" s="63"/>
      <c r="UQ44" s="63"/>
      <c r="UR44" s="63"/>
      <c r="US44" s="63"/>
      <c r="UT44" s="63"/>
      <c r="UU44" s="63"/>
      <c r="UV44" s="63"/>
      <c r="UW44" s="63"/>
      <c r="UX44" s="63"/>
      <c r="UY44" s="63"/>
      <c r="UZ44" s="63"/>
      <c r="VA44" s="63"/>
      <c r="VB44" s="63"/>
      <c r="VC44" s="63"/>
      <c r="VD44" s="63"/>
      <c r="VE44" s="63"/>
      <c r="VF44" s="63"/>
      <c r="VG44" s="63"/>
      <c r="VH44" s="63"/>
      <c r="VI44" s="63"/>
      <c r="VJ44" s="63"/>
      <c r="VK44" s="63"/>
      <c r="VL44" s="63"/>
      <c r="VM44" s="63"/>
      <c r="VN44" s="63"/>
      <c r="VO44" s="63"/>
      <c r="VP44" s="63"/>
      <c r="VQ44" s="63"/>
      <c r="VR44" s="63"/>
      <c r="VS44" s="63"/>
      <c r="VT44" s="63"/>
      <c r="VU44" s="63"/>
      <c r="VV44" s="63"/>
      <c r="VW44" s="63"/>
      <c r="VX44" s="63"/>
      <c r="VY44" s="63"/>
      <c r="VZ44" s="63"/>
      <c r="WA44" s="63"/>
      <c r="WB44" s="63"/>
      <c r="WC44" s="63"/>
      <c r="WD44" s="63"/>
      <c r="WE44" s="63"/>
      <c r="WF44" s="63"/>
      <c r="WG44" s="63"/>
      <c r="WH44" s="63"/>
      <c r="WI44" s="63"/>
      <c r="WJ44" s="63"/>
      <c r="WK44" s="63"/>
      <c r="WL44" s="63"/>
      <c r="WM44" s="63"/>
      <c r="WN44" s="63"/>
      <c r="WO44" s="63"/>
      <c r="WP44" s="63"/>
      <c r="WQ44" s="63"/>
      <c r="WR44" s="63"/>
      <c r="WS44" s="63"/>
      <c r="WT44" s="63"/>
      <c r="WU44" s="63"/>
      <c r="WV44" s="63"/>
      <c r="WW44" s="63"/>
      <c r="WX44" s="63"/>
      <c r="WY44" s="63"/>
      <c r="WZ44" s="63"/>
      <c r="XA44" s="63"/>
      <c r="XB44" s="63"/>
      <c r="XC44" s="63"/>
      <c r="XD44" s="63"/>
      <c r="XE44" s="63"/>
      <c r="XF44" s="63"/>
      <c r="XG44" s="63"/>
      <c r="XH44" s="63"/>
      <c r="XI44" s="63"/>
      <c r="XJ44" s="63"/>
      <c r="XK44" s="63"/>
      <c r="XL44" s="63"/>
      <c r="XM44" s="63"/>
      <c r="XN44" s="63"/>
      <c r="XO44" s="63"/>
      <c r="XP44" s="63"/>
      <c r="XQ44" s="63"/>
      <c r="XR44" s="63"/>
      <c r="XS44" s="63"/>
      <c r="XT44" s="63"/>
      <c r="XU44" s="63"/>
      <c r="XV44" s="63"/>
      <c r="XW44" s="63"/>
      <c r="XX44" s="63"/>
      <c r="XY44" s="63"/>
      <c r="XZ44" s="63"/>
      <c r="YA44" s="63"/>
      <c r="YB44" s="63"/>
      <c r="YC44" s="63"/>
      <c r="YD44" s="63"/>
      <c r="YE44" s="63"/>
      <c r="YF44" s="63"/>
      <c r="YG44" s="63"/>
      <c r="YH44" s="63"/>
      <c r="YI44" s="63"/>
      <c r="YJ44" s="63"/>
      <c r="YK44" s="63"/>
      <c r="YL44" s="63"/>
      <c r="YM44" s="63"/>
      <c r="YN44" s="63"/>
      <c r="YO44" s="63"/>
      <c r="YP44" s="63"/>
      <c r="YQ44" s="63"/>
      <c r="YR44" s="63"/>
      <c r="YS44" s="63"/>
      <c r="YT44" s="63"/>
      <c r="YU44" s="63"/>
      <c r="YV44" s="63"/>
      <c r="YW44" s="63"/>
      <c r="YX44" s="63"/>
      <c r="YY44" s="63"/>
      <c r="YZ44" s="63"/>
      <c r="ZA44" s="63"/>
      <c r="ZB44" s="63"/>
      <c r="ZC44" s="63"/>
      <c r="ZD44" s="63"/>
      <c r="ZE44" s="63"/>
      <c r="ZF44" s="63"/>
      <c r="ZG44" s="63"/>
      <c r="ZH44" s="63"/>
      <c r="ZI44" s="63"/>
      <c r="ZJ44" s="63"/>
      <c r="ZK44" s="63"/>
      <c r="ZL44" s="63"/>
      <c r="ZM44" s="63"/>
      <c r="ZN44" s="63"/>
      <c r="ZO44" s="63"/>
      <c r="ZP44" s="63"/>
      <c r="ZQ44" s="63"/>
      <c r="ZR44" s="63"/>
      <c r="ZS44" s="63"/>
      <c r="ZT44" s="63"/>
      <c r="ZU44" s="63"/>
      <c r="ZV44" s="63"/>
      <c r="ZW44" s="63"/>
      <c r="ZX44" s="63"/>
      <c r="ZY44" s="63"/>
      <c r="ZZ44" s="63"/>
      <c r="AAA44" s="63"/>
      <c r="AAB44" s="63"/>
      <c r="AAC44" s="63"/>
      <c r="AAD44" s="63"/>
      <c r="AAE44" s="63"/>
      <c r="AAF44" s="63"/>
      <c r="AAG44" s="63"/>
      <c r="AAH44" s="63"/>
      <c r="AAI44" s="63"/>
      <c r="AAJ44" s="63"/>
      <c r="AAK44" s="63"/>
      <c r="AAL44" s="63"/>
      <c r="AAM44" s="63"/>
      <c r="AAN44" s="63"/>
      <c r="AAO44" s="63"/>
      <c r="AAP44" s="63"/>
      <c r="AAQ44" s="63"/>
      <c r="AAR44" s="63"/>
      <c r="AAS44" s="63"/>
      <c r="AAT44" s="63"/>
      <c r="AAU44" s="63"/>
      <c r="AAV44" s="63"/>
      <c r="AAW44" s="63"/>
      <c r="AAX44" s="63"/>
      <c r="AAY44" s="63"/>
      <c r="AAZ44" s="63"/>
      <c r="ABA44" s="63"/>
      <c r="ABB44" s="63"/>
      <c r="ABC44" s="63"/>
      <c r="ABD44" s="63"/>
      <c r="ABE44" s="63"/>
      <c r="ABF44" s="63"/>
      <c r="ABG44" s="63"/>
      <c r="ABH44" s="63"/>
      <c r="ABI44" s="63"/>
      <c r="ABJ44" s="63"/>
      <c r="ABK44" s="63"/>
      <c r="ABL44" s="63"/>
      <c r="ABM44" s="63"/>
      <c r="ABN44" s="63"/>
      <c r="ABO44" s="63"/>
      <c r="ABP44" s="63"/>
      <c r="ABQ44" s="63"/>
      <c r="ABR44" s="63"/>
      <c r="ABS44" s="63"/>
      <c r="ABT44" s="63"/>
      <c r="ABU44" s="63"/>
      <c r="ABV44" s="63"/>
      <c r="ABW44" s="63"/>
      <c r="ABX44" s="63"/>
      <c r="ABY44" s="63"/>
      <c r="ABZ44" s="63"/>
      <c r="ACA44" s="63"/>
      <c r="ACB44" s="63"/>
      <c r="ACC44" s="63"/>
      <c r="ACD44" s="63"/>
      <c r="ACE44" s="63"/>
      <c r="ACF44" s="63"/>
      <c r="ACG44" s="63"/>
      <c r="ACH44" s="63"/>
      <c r="ACI44" s="63"/>
      <c r="ACJ44" s="63"/>
      <c r="ACK44" s="63"/>
      <c r="ACL44" s="63"/>
      <c r="ACM44" s="63"/>
      <c r="ACN44" s="63"/>
      <c r="ACO44" s="63"/>
      <c r="ACP44" s="63"/>
      <c r="ACQ44" s="63"/>
      <c r="ACR44" s="63"/>
      <c r="ACS44" s="63"/>
      <c r="ACT44" s="63"/>
      <c r="ACU44" s="63"/>
      <c r="ACV44" s="63"/>
      <c r="ACW44" s="63"/>
      <c r="ACX44" s="63"/>
      <c r="ACY44" s="63"/>
      <c r="ACZ44" s="63"/>
      <c r="ADA44" s="63"/>
      <c r="ADB44" s="63"/>
      <c r="ADC44" s="63"/>
      <c r="ADD44" s="63"/>
      <c r="ADE44" s="63"/>
      <c r="ADF44" s="63"/>
      <c r="ADG44" s="63"/>
      <c r="ADH44" s="63"/>
      <c r="ADI44" s="63"/>
      <c r="ADJ44" s="63"/>
      <c r="ADK44" s="63"/>
      <c r="ADL44" s="63"/>
      <c r="ADM44" s="63"/>
      <c r="ADN44" s="63"/>
      <c r="ADO44" s="63"/>
      <c r="ADP44" s="63"/>
      <c r="ADQ44" s="63"/>
      <c r="ADR44" s="63"/>
      <c r="ADS44" s="63"/>
      <c r="ADT44" s="63"/>
      <c r="ADU44" s="63"/>
      <c r="ADV44" s="63"/>
      <c r="ADW44" s="63"/>
      <c r="ADX44" s="63"/>
      <c r="ADY44" s="63"/>
      <c r="ADZ44" s="63"/>
      <c r="AEA44" s="63"/>
      <c r="AEB44" s="63"/>
      <c r="AEC44" s="63"/>
      <c r="AED44" s="63"/>
      <c r="AEE44" s="63"/>
      <c r="AEF44" s="63"/>
      <c r="AEG44" s="63"/>
      <c r="AEH44" s="63"/>
      <c r="AEI44" s="63"/>
      <c r="AEJ44" s="63"/>
      <c r="AEK44" s="63"/>
      <c r="AEL44" s="63"/>
      <c r="AEM44" s="63"/>
      <c r="AEN44" s="63"/>
      <c r="AEO44" s="63"/>
      <c r="AEP44" s="63"/>
      <c r="AEQ44" s="63"/>
      <c r="AER44" s="63"/>
      <c r="AES44" s="63"/>
      <c r="AET44" s="63"/>
      <c r="AEU44" s="63"/>
      <c r="AEV44" s="63"/>
      <c r="AEW44" s="63"/>
      <c r="AEX44" s="63"/>
      <c r="AEY44" s="63"/>
      <c r="AEZ44" s="63"/>
      <c r="AFA44" s="63"/>
      <c r="AFB44" s="63"/>
      <c r="AFC44" s="63"/>
      <c r="AFD44" s="63"/>
      <c r="AFE44" s="63"/>
      <c r="AFF44" s="63"/>
      <c r="AFG44" s="63"/>
      <c r="AFH44" s="63"/>
      <c r="AFI44" s="63"/>
      <c r="AFJ44" s="63"/>
      <c r="AFK44" s="63"/>
      <c r="AFL44" s="63"/>
      <c r="AFM44" s="63"/>
      <c r="AFN44" s="63"/>
      <c r="AFO44" s="63"/>
      <c r="AFP44" s="63"/>
      <c r="AFQ44" s="63"/>
      <c r="AFR44" s="63"/>
      <c r="AFS44" s="63"/>
      <c r="AFT44" s="63"/>
      <c r="AFU44" s="63"/>
      <c r="AFV44" s="63"/>
      <c r="AFW44" s="63"/>
      <c r="AFX44" s="63"/>
      <c r="AFY44" s="63"/>
      <c r="AFZ44" s="63"/>
      <c r="AGA44" s="63"/>
      <c r="AGB44" s="63"/>
      <c r="AGC44" s="63"/>
      <c r="AGD44" s="63"/>
      <c r="AGE44" s="63"/>
      <c r="AGF44" s="63"/>
      <c r="AGG44" s="63"/>
      <c r="AGH44" s="63"/>
      <c r="AGI44" s="63"/>
      <c r="AGJ44" s="63"/>
      <c r="AGK44" s="63"/>
      <c r="AGL44" s="63"/>
      <c r="AGM44" s="63"/>
      <c r="AGN44" s="63"/>
      <c r="AGO44" s="63"/>
      <c r="AGP44" s="63"/>
      <c r="AGQ44" s="63"/>
      <c r="AGR44" s="63"/>
      <c r="AGS44" s="63"/>
      <c r="AGT44" s="63"/>
      <c r="AGU44" s="63"/>
      <c r="AGV44" s="63"/>
      <c r="AGW44" s="63"/>
      <c r="AGX44" s="63"/>
      <c r="AGY44" s="63"/>
      <c r="AGZ44" s="63"/>
      <c r="AHA44" s="63"/>
      <c r="AHB44" s="63"/>
      <c r="AHC44" s="63"/>
      <c r="AHD44" s="63"/>
      <c r="AHE44" s="63"/>
      <c r="AHF44" s="63"/>
      <c r="AHG44" s="63"/>
      <c r="AHH44" s="63"/>
      <c r="AHI44" s="63"/>
      <c r="AHJ44" s="63"/>
      <c r="AHK44" s="63"/>
      <c r="AHL44" s="63"/>
      <c r="AHM44" s="63"/>
      <c r="AHN44" s="63"/>
      <c r="AHO44" s="63"/>
      <c r="AHP44" s="63"/>
      <c r="AHQ44" s="63"/>
      <c r="AHR44" s="63"/>
      <c r="AHS44" s="63"/>
      <c r="AHT44" s="63"/>
      <c r="AHU44" s="63"/>
      <c r="AHV44" s="63"/>
      <c r="AHW44" s="63"/>
      <c r="AHX44" s="63"/>
      <c r="AHY44" s="63"/>
      <c r="AHZ44" s="63"/>
      <c r="AIA44" s="63"/>
      <c r="AIB44" s="63"/>
      <c r="AIC44" s="63"/>
      <c r="AID44" s="63"/>
      <c r="AIE44" s="63"/>
      <c r="AIF44" s="63"/>
      <c r="AIG44" s="63"/>
      <c r="AIH44" s="63"/>
      <c r="AII44" s="63"/>
      <c r="AIJ44" s="63"/>
      <c r="AIK44" s="63"/>
      <c r="AIL44" s="63"/>
      <c r="AIM44" s="63"/>
      <c r="AIN44" s="63"/>
      <c r="AIO44" s="63"/>
      <c r="AIP44" s="63"/>
      <c r="AIQ44" s="63"/>
      <c r="AIR44" s="63"/>
      <c r="AIS44" s="63"/>
      <c r="AIT44" s="63"/>
      <c r="AIU44" s="63"/>
      <c r="AIV44" s="63"/>
      <c r="AIW44" s="63"/>
      <c r="AIX44" s="63"/>
      <c r="AIY44" s="63"/>
      <c r="AIZ44" s="63"/>
      <c r="AJA44" s="63"/>
      <c r="AJB44" s="63"/>
      <c r="AJC44" s="63"/>
      <c r="AJD44" s="63"/>
      <c r="AJE44" s="63"/>
      <c r="AJF44" s="63"/>
      <c r="AJG44" s="63"/>
      <c r="AJH44" s="63"/>
      <c r="AJI44" s="63"/>
      <c r="AJJ44" s="63"/>
      <c r="AJK44" s="63"/>
      <c r="AJL44" s="63"/>
      <c r="AJM44" s="63"/>
      <c r="AJN44" s="63"/>
      <c r="AJO44" s="63"/>
      <c r="AJP44" s="63"/>
      <c r="AJQ44" s="63"/>
      <c r="AJR44" s="63"/>
      <c r="AJS44" s="63"/>
      <c r="AJT44" s="63"/>
      <c r="AJU44" s="63"/>
      <c r="AJV44" s="63"/>
      <c r="AJW44" s="63"/>
      <c r="AJX44" s="63"/>
      <c r="AJY44" s="63"/>
      <c r="AJZ44" s="63"/>
      <c r="AKA44" s="63"/>
      <c r="AKB44" s="63"/>
      <c r="AKC44" s="63"/>
      <c r="AKD44" s="63"/>
      <c r="AKE44" s="63"/>
      <c r="AKF44" s="63"/>
      <c r="AKG44" s="63"/>
      <c r="AKH44" s="63"/>
      <c r="AKI44" s="63"/>
      <c r="AKJ44" s="63"/>
      <c r="AKK44" s="63"/>
      <c r="AKL44" s="63"/>
      <c r="AKM44" s="63"/>
      <c r="AKN44" s="63"/>
      <c r="AKO44" s="63"/>
      <c r="AKP44" s="63"/>
      <c r="AKQ44" s="63"/>
      <c r="AKR44" s="63"/>
      <c r="AKS44" s="63"/>
      <c r="AKT44" s="63"/>
      <c r="AKU44" s="63"/>
      <c r="AKV44" s="63"/>
      <c r="AKW44" s="63"/>
      <c r="AKX44" s="63"/>
      <c r="AKY44" s="63"/>
      <c r="AKZ44" s="63"/>
      <c r="ALA44" s="63"/>
      <c r="ALB44" s="63"/>
      <c r="ALC44" s="63"/>
      <c r="ALD44" s="63"/>
      <c r="ALE44" s="63"/>
      <c r="ALF44" s="63"/>
      <c r="ALG44" s="63"/>
      <c r="ALH44" s="63"/>
      <c r="ALI44" s="63"/>
      <c r="ALJ44" s="63"/>
      <c r="ALK44" s="63"/>
      <c r="ALL44" s="63"/>
      <c r="ALM44" s="63"/>
      <c r="ALN44" s="63"/>
      <c r="ALO44" s="63"/>
      <c r="ALP44" s="63"/>
      <c r="ALQ44" s="63"/>
      <c r="ALR44" s="63"/>
      <c r="ALS44" s="63"/>
      <c r="ALT44" s="63"/>
      <c r="ALU44" s="63"/>
      <c r="ALV44" s="63"/>
      <c r="ALW44" s="63"/>
      <c r="ALX44" s="63"/>
      <c r="ALY44" s="63"/>
      <c r="ALZ44" s="63"/>
      <c r="AMA44" s="63"/>
      <c r="AMB44" s="63"/>
      <c r="AMC44" s="63"/>
      <c r="AMD44" s="63"/>
      <c r="AME44" s="63"/>
      <c r="AMF44" s="63"/>
      <c r="AMG44" s="63"/>
      <c r="AMH44" s="63"/>
      <c r="AMI44" s="63"/>
      <c r="AMJ44" s="63"/>
      <c r="AMK44" s="63"/>
      <c r="AML44" s="63"/>
      <c r="AMM44" s="63"/>
      <c r="AMN44" s="63"/>
      <c r="AMO44" s="63"/>
      <c r="AMP44" s="63"/>
      <c r="AMQ44" s="63"/>
      <c r="AMR44" s="63"/>
      <c r="AMS44" s="63"/>
      <c r="AMT44" s="63"/>
      <c r="AMU44" s="63"/>
      <c r="AMV44" s="63"/>
      <c r="AMW44" s="63"/>
      <c r="AMX44" s="63"/>
      <c r="AMY44" s="63"/>
      <c r="AMZ44" s="63"/>
      <c r="ANA44" s="63"/>
      <c r="ANB44" s="63"/>
      <c r="ANC44" s="63"/>
      <c r="AND44" s="63"/>
      <c r="ANE44" s="63"/>
      <c r="ANF44" s="63"/>
      <c r="ANG44" s="63"/>
      <c r="ANH44" s="63"/>
      <c r="ANI44" s="63"/>
      <c r="ANJ44" s="63"/>
      <c r="ANK44" s="63"/>
      <c r="ANL44" s="63"/>
      <c r="ANM44" s="63"/>
      <c r="ANN44" s="63"/>
      <c r="ANO44" s="63"/>
      <c r="ANP44" s="63"/>
      <c r="ANQ44" s="63"/>
      <c r="ANR44" s="63"/>
      <c r="ANS44" s="63"/>
      <c r="ANT44" s="63"/>
      <c r="ANU44" s="63"/>
      <c r="ANV44" s="63"/>
      <c r="ANW44" s="63"/>
      <c r="ANX44" s="63"/>
      <c r="ANY44" s="63"/>
      <c r="ANZ44" s="63"/>
      <c r="AOA44" s="63"/>
      <c r="AOB44" s="63"/>
      <c r="AOC44" s="63"/>
      <c r="AOD44" s="63"/>
      <c r="AOE44" s="63"/>
      <c r="AOF44" s="63"/>
      <c r="AOG44" s="63"/>
      <c r="AOH44" s="63"/>
      <c r="AOI44" s="63"/>
      <c r="AOJ44" s="63"/>
      <c r="AOK44" s="63"/>
      <c r="AOL44" s="63"/>
      <c r="AOM44" s="63"/>
      <c r="AON44" s="63"/>
      <c r="AOO44" s="63"/>
      <c r="AOP44" s="63"/>
      <c r="AOQ44" s="63"/>
      <c r="AOR44" s="63"/>
      <c r="AOS44" s="63"/>
      <c r="AOT44" s="63"/>
      <c r="AOU44" s="63"/>
      <c r="AOV44" s="63"/>
      <c r="AOW44" s="63"/>
      <c r="AOX44" s="63"/>
      <c r="AOY44" s="63"/>
      <c r="AOZ44" s="63"/>
      <c r="APA44" s="63"/>
      <c r="APB44" s="63"/>
      <c r="APC44" s="63"/>
      <c r="APD44" s="63"/>
      <c r="APE44" s="63"/>
      <c r="APF44" s="63"/>
      <c r="APG44" s="63"/>
      <c r="APH44" s="63"/>
      <c r="API44" s="63"/>
      <c r="APJ44" s="63"/>
      <c r="APK44" s="63"/>
      <c r="APL44" s="63"/>
      <c r="APM44" s="63"/>
      <c r="APN44" s="63"/>
      <c r="APO44" s="63"/>
      <c r="APP44" s="63"/>
      <c r="APQ44" s="63"/>
      <c r="APR44" s="63"/>
      <c r="APS44" s="63"/>
      <c r="APT44" s="63"/>
      <c r="APU44" s="63"/>
      <c r="APV44" s="63"/>
      <c r="APW44" s="63"/>
      <c r="APX44" s="63"/>
      <c r="APY44" s="63"/>
      <c r="APZ44" s="63"/>
      <c r="AQA44" s="63"/>
      <c r="AQB44" s="63"/>
      <c r="AQC44" s="63"/>
      <c r="AQD44" s="63"/>
      <c r="AQE44" s="63"/>
      <c r="AQF44" s="63"/>
      <c r="AQG44" s="63"/>
      <c r="AQH44" s="63"/>
      <c r="AQI44" s="63"/>
      <c r="AQJ44" s="63"/>
      <c r="AQK44" s="63"/>
      <c r="AQL44" s="63"/>
      <c r="AQM44" s="63"/>
      <c r="AQN44" s="63"/>
      <c r="AQO44" s="63"/>
      <c r="AQP44" s="63"/>
      <c r="AQQ44" s="63"/>
      <c r="AQR44" s="63"/>
      <c r="AQS44" s="63"/>
      <c r="AQT44" s="63"/>
      <c r="AQU44" s="63"/>
      <c r="AQV44" s="63"/>
      <c r="AQW44" s="63"/>
      <c r="AQX44" s="63"/>
      <c r="AQY44" s="63"/>
      <c r="AQZ44" s="63"/>
      <c r="ARA44" s="63"/>
      <c r="ARB44" s="63"/>
      <c r="ARC44" s="63"/>
      <c r="ARD44" s="63"/>
      <c r="ARE44" s="63"/>
      <c r="ARF44" s="63"/>
      <c r="ARG44" s="63"/>
      <c r="ARH44" s="63"/>
      <c r="ARI44" s="63"/>
      <c r="ARJ44" s="63"/>
      <c r="ARK44" s="63"/>
      <c r="ARL44" s="63"/>
      <c r="ARM44" s="63"/>
      <c r="ARN44" s="63"/>
      <c r="ARO44" s="63"/>
      <c r="ARP44" s="63"/>
      <c r="ARQ44" s="63"/>
      <c r="ARR44" s="63"/>
      <c r="ARS44" s="63"/>
      <c r="ART44" s="63"/>
      <c r="ARU44" s="63"/>
      <c r="ARV44" s="63"/>
      <c r="ARW44" s="63"/>
      <c r="ARX44" s="63"/>
      <c r="ARY44" s="63"/>
      <c r="ARZ44" s="63"/>
      <c r="ASA44" s="63"/>
      <c r="ASB44" s="63"/>
      <c r="ASC44" s="63"/>
      <c r="ASD44" s="63"/>
      <c r="ASE44" s="63"/>
      <c r="ASF44" s="63"/>
      <c r="ASG44" s="63"/>
      <c r="ASH44" s="63"/>
      <c r="ASI44" s="63"/>
      <c r="ASJ44" s="63"/>
      <c r="ASK44" s="63"/>
      <c r="ASL44" s="63"/>
      <c r="ASM44" s="63"/>
      <c r="ASN44" s="63"/>
      <c r="ASO44" s="63"/>
      <c r="ASP44" s="63"/>
      <c r="ASQ44" s="63"/>
      <c r="ASR44" s="63"/>
      <c r="ASS44" s="63"/>
      <c r="AST44" s="63"/>
      <c r="ASU44" s="63"/>
      <c r="ASV44" s="63"/>
      <c r="ASW44" s="63"/>
      <c r="ASX44" s="63"/>
      <c r="ASY44" s="63"/>
      <c r="ASZ44" s="63"/>
      <c r="ATA44" s="63"/>
      <c r="ATB44" s="63"/>
      <c r="ATC44" s="63"/>
      <c r="ATD44" s="63"/>
      <c r="ATE44" s="63"/>
      <c r="ATF44" s="63"/>
      <c r="ATG44" s="63"/>
      <c r="ATH44" s="63"/>
      <c r="ATI44" s="63"/>
      <c r="ATJ44" s="63"/>
      <c r="ATK44" s="63"/>
      <c r="ATL44" s="63"/>
      <c r="ATM44" s="63"/>
      <c r="ATN44" s="63"/>
      <c r="ATO44" s="63"/>
      <c r="ATP44" s="63"/>
      <c r="ATQ44" s="63"/>
      <c r="ATR44" s="63"/>
      <c r="ATS44" s="63"/>
      <c r="ATT44" s="63"/>
      <c r="ATU44" s="63"/>
      <c r="ATV44" s="63"/>
      <c r="ATW44" s="63"/>
      <c r="ATX44" s="63"/>
      <c r="ATY44" s="63"/>
      <c r="ATZ44" s="63"/>
      <c r="AUA44" s="63"/>
      <c r="AUB44" s="63"/>
      <c r="AUC44" s="63"/>
      <c r="AUD44" s="63"/>
      <c r="AUE44" s="63"/>
      <c r="AUF44" s="63"/>
      <c r="AUG44" s="63"/>
      <c r="AUH44" s="63"/>
      <c r="AUI44" s="63"/>
      <c r="AUJ44" s="63"/>
      <c r="AUK44" s="63"/>
      <c r="AUL44" s="63"/>
      <c r="AUM44" s="63"/>
      <c r="AUN44" s="63"/>
      <c r="AUO44" s="63"/>
      <c r="AUP44" s="63"/>
      <c r="AUQ44" s="63"/>
      <c r="AUR44" s="63"/>
      <c r="AUS44" s="63"/>
      <c r="AUT44" s="63"/>
      <c r="AUU44" s="63"/>
      <c r="AUV44" s="63"/>
      <c r="AUW44" s="63"/>
      <c r="AUX44" s="63"/>
      <c r="AUY44" s="63"/>
      <c r="AUZ44" s="63"/>
      <c r="AVA44" s="63"/>
      <c r="AVB44" s="63"/>
      <c r="AVC44" s="63"/>
      <c r="AVD44" s="63"/>
      <c r="AVE44" s="63"/>
      <c r="AVF44" s="63"/>
      <c r="AVG44" s="63"/>
      <c r="AVH44" s="63"/>
      <c r="AVI44" s="63"/>
      <c r="AVJ44" s="63"/>
      <c r="AVK44" s="63"/>
      <c r="AVL44" s="63"/>
      <c r="AVM44" s="63"/>
      <c r="AVN44" s="63"/>
      <c r="AVO44" s="63"/>
      <c r="AVP44" s="63"/>
      <c r="AVQ44" s="63"/>
      <c r="AVR44" s="63"/>
      <c r="AVS44" s="63"/>
      <c r="AVT44" s="63"/>
      <c r="AVU44" s="63"/>
      <c r="AVV44" s="63"/>
      <c r="AVW44" s="63"/>
      <c r="AVX44" s="63"/>
      <c r="AVY44" s="63"/>
      <c r="AVZ44" s="63"/>
      <c r="AWA44" s="63"/>
      <c r="AWB44" s="63"/>
      <c r="AWC44" s="63"/>
      <c r="AWD44" s="63"/>
      <c r="AWE44" s="63"/>
      <c r="AWF44" s="63"/>
      <c r="AWG44" s="63"/>
      <c r="AWH44" s="63"/>
      <c r="AWI44" s="63"/>
      <c r="AWJ44" s="63"/>
      <c r="AWK44" s="63"/>
      <c r="AWL44" s="63"/>
      <c r="AWM44" s="63"/>
      <c r="AWN44" s="63"/>
      <c r="AWO44" s="63"/>
      <c r="AWP44" s="63"/>
      <c r="AWQ44" s="63"/>
      <c r="AWR44" s="63"/>
      <c r="AWS44" s="63"/>
      <c r="AWT44" s="63"/>
      <c r="AWU44" s="63"/>
      <c r="AWV44" s="63"/>
      <c r="AWW44" s="63"/>
      <c r="AWX44" s="63"/>
      <c r="AWY44" s="63"/>
      <c r="AWZ44" s="63"/>
      <c r="AXA44" s="63"/>
      <c r="AXB44" s="63"/>
      <c r="AXC44" s="63"/>
      <c r="AXD44" s="63"/>
      <c r="AXE44" s="63"/>
      <c r="AXF44" s="63"/>
      <c r="AXG44" s="63"/>
      <c r="AXH44" s="63"/>
      <c r="AXI44" s="63"/>
      <c r="AXJ44" s="63"/>
      <c r="AXK44" s="63"/>
      <c r="AXL44" s="63"/>
      <c r="AXM44" s="63"/>
      <c r="AXN44" s="63"/>
      <c r="AXO44" s="63"/>
      <c r="AXP44" s="63"/>
      <c r="AXQ44" s="63"/>
      <c r="AXR44" s="63"/>
      <c r="AXS44" s="63"/>
      <c r="AXT44" s="63"/>
      <c r="AXU44" s="63"/>
      <c r="AXV44" s="63"/>
      <c r="AXW44" s="63"/>
      <c r="AXX44" s="63"/>
      <c r="AXY44" s="63"/>
      <c r="AXZ44" s="63"/>
      <c r="AYA44" s="63"/>
      <c r="AYB44" s="63"/>
      <c r="AYC44" s="63"/>
      <c r="AYD44" s="63"/>
      <c r="AYE44" s="63"/>
      <c r="AYF44" s="63"/>
      <c r="AYG44" s="63"/>
      <c r="AYH44" s="63"/>
      <c r="AYI44" s="63"/>
      <c r="AYJ44" s="63"/>
      <c r="AYK44" s="63"/>
      <c r="AYL44" s="63"/>
      <c r="AYM44" s="63"/>
      <c r="AYN44" s="63"/>
      <c r="AYO44" s="63"/>
      <c r="AYP44" s="63"/>
      <c r="AYQ44" s="63"/>
      <c r="AYR44" s="63"/>
      <c r="AYS44" s="63"/>
      <c r="AYT44" s="63"/>
      <c r="AYU44" s="63"/>
      <c r="AYV44" s="63"/>
      <c r="AYW44" s="63"/>
      <c r="AYX44" s="63"/>
      <c r="AYY44" s="63"/>
      <c r="AYZ44" s="63"/>
      <c r="AZA44" s="63"/>
      <c r="AZB44" s="63"/>
      <c r="AZC44" s="63"/>
      <c r="AZD44" s="63"/>
      <c r="AZE44" s="63"/>
      <c r="AZF44" s="63"/>
      <c r="AZG44" s="63"/>
      <c r="AZH44" s="63"/>
      <c r="AZI44" s="63"/>
      <c r="AZJ44" s="63"/>
      <c r="AZK44" s="63"/>
      <c r="AZL44" s="63"/>
      <c r="AZM44" s="63"/>
      <c r="AZN44" s="63"/>
      <c r="AZO44" s="63"/>
      <c r="AZP44" s="63"/>
      <c r="AZQ44" s="63"/>
      <c r="AZR44" s="63"/>
      <c r="AZS44" s="63"/>
      <c r="AZT44" s="63"/>
      <c r="AZU44" s="63"/>
      <c r="AZV44" s="63"/>
      <c r="AZW44" s="63"/>
      <c r="AZX44" s="63"/>
      <c r="AZY44" s="63"/>
      <c r="AZZ44" s="63"/>
      <c r="BAA44" s="63"/>
      <c r="BAB44" s="63"/>
      <c r="BAC44" s="63"/>
      <c r="BAD44" s="63"/>
      <c r="BAE44" s="63"/>
      <c r="BAF44" s="63"/>
      <c r="BAG44" s="63"/>
      <c r="BAH44" s="63"/>
      <c r="BAI44" s="63"/>
      <c r="BAJ44" s="63"/>
      <c r="BAK44" s="63"/>
      <c r="BAL44" s="63"/>
      <c r="BAM44" s="63"/>
      <c r="BAN44" s="63"/>
      <c r="BAO44" s="63"/>
      <c r="BAP44" s="63"/>
      <c r="BAQ44" s="63"/>
      <c r="BAR44" s="63"/>
      <c r="BAS44" s="63"/>
      <c r="BAT44" s="63"/>
      <c r="BAU44" s="63"/>
      <c r="BAV44" s="63"/>
      <c r="BAW44" s="63"/>
      <c r="BAX44" s="63"/>
      <c r="BAY44" s="63"/>
      <c r="BAZ44" s="63"/>
      <c r="BBA44" s="63"/>
      <c r="BBB44" s="63"/>
      <c r="BBC44" s="63"/>
      <c r="BBD44" s="63"/>
      <c r="BBE44" s="63"/>
      <c r="BBF44" s="63"/>
      <c r="BBG44" s="63"/>
      <c r="BBH44" s="63"/>
      <c r="BBI44" s="63"/>
      <c r="BBJ44" s="63"/>
      <c r="BBK44" s="63"/>
      <c r="BBL44" s="63"/>
      <c r="BBM44" s="63"/>
      <c r="BBN44" s="63"/>
      <c r="BBO44" s="63"/>
      <c r="BBP44" s="63"/>
      <c r="BBQ44" s="63"/>
      <c r="BBR44" s="63"/>
      <c r="BBS44" s="63"/>
      <c r="BBT44" s="63"/>
      <c r="BBU44" s="63"/>
      <c r="BBV44" s="63"/>
      <c r="BBW44" s="63"/>
      <c r="BBX44" s="63"/>
      <c r="BBY44" s="63"/>
      <c r="BBZ44" s="63"/>
      <c r="BCA44" s="63"/>
      <c r="BCB44" s="63"/>
      <c r="BCC44" s="63"/>
      <c r="BCD44" s="63"/>
      <c r="BCE44" s="63"/>
      <c r="BCF44" s="63"/>
      <c r="BCG44" s="63"/>
      <c r="BCH44" s="63"/>
      <c r="BCI44" s="63"/>
      <c r="BCJ44" s="63"/>
      <c r="BCK44" s="63"/>
      <c r="BCL44" s="63"/>
      <c r="BCM44" s="63"/>
      <c r="BCN44" s="63"/>
      <c r="BCO44" s="63"/>
      <c r="BCP44" s="63"/>
      <c r="BCQ44" s="63"/>
      <c r="BCR44" s="63"/>
      <c r="BCS44" s="63"/>
      <c r="BCT44" s="63"/>
      <c r="BCU44" s="63"/>
      <c r="BCV44" s="63"/>
      <c r="BCW44" s="63"/>
      <c r="BCX44" s="63"/>
      <c r="BCY44" s="63"/>
      <c r="BCZ44" s="63"/>
      <c r="BDA44" s="63"/>
      <c r="BDB44" s="63"/>
      <c r="BDC44" s="63"/>
      <c r="BDD44" s="63"/>
      <c r="BDE44" s="63"/>
      <c r="BDF44" s="63"/>
      <c r="BDG44" s="63"/>
      <c r="BDH44" s="63"/>
      <c r="BDI44" s="63"/>
      <c r="BDJ44" s="63"/>
      <c r="BDK44" s="63"/>
      <c r="BDL44" s="63"/>
      <c r="BDM44" s="63"/>
      <c r="BDN44" s="63"/>
      <c r="BDO44" s="63"/>
      <c r="BDP44" s="63"/>
      <c r="BDQ44" s="63"/>
      <c r="BDR44" s="63"/>
      <c r="BDS44" s="63"/>
      <c r="BDT44" s="63"/>
      <c r="BDU44" s="63"/>
      <c r="BDV44" s="63"/>
      <c r="BDW44" s="63"/>
      <c r="BDX44" s="63"/>
      <c r="BDY44" s="63"/>
      <c r="BDZ44" s="63"/>
      <c r="BEA44" s="63"/>
      <c r="BEB44" s="63"/>
      <c r="BEC44" s="63"/>
      <c r="BED44" s="63"/>
      <c r="BEE44" s="63"/>
      <c r="BEF44" s="63"/>
      <c r="BEG44" s="63"/>
      <c r="BEH44" s="63"/>
      <c r="BEI44" s="63"/>
      <c r="BEJ44" s="63"/>
      <c r="BEK44" s="63"/>
      <c r="BEL44" s="63"/>
      <c r="BEM44" s="63"/>
      <c r="BEN44" s="63"/>
      <c r="BEO44" s="63"/>
      <c r="BEP44" s="63"/>
      <c r="BEQ44" s="63"/>
      <c r="BER44" s="63"/>
      <c r="BES44" s="63"/>
      <c r="BET44" s="63"/>
      <c r="BEU44" s="63"/>
      <c r="BEV44" s="63"/>
      <c r="BEW44" s="63"/>
      <c r="BEX44" s="63"/>
      <c r="BEY44" s="63"/>
      <c r="BEZ44" s="63"/>
      <c r="BFA44" s="63"/>
      <c r="BFB44" s="63"/>
      <c r="BFC44" s="63"/>
      <c r="BFD44" s="63"/>
      <c r="BFE44" s="63"/>
      <c r="BFF44" s="63"/>
      <c r="BFG44" s="63"/>
      <c r="BFH44" s="63"/>
      <c r="BFI44" s="63"/>
      <c r="BFJ44" s="63"/>
      <c r="BFK44" s="63"/>
      <c r="BFL44" s="63"/>
      <c r="BFM44" s="63"/>
      <c r="BFN44" s="63"/>
      <c r="BFO44" s="63"/>
      <c r="BFP44" s="63"/>
      <c r="BFQ44" s="63"/>
      <c r="BFR44" s="63"/>
      <c r="BFS44" s="63"/>
      <c r="BFT44" s="63"/>
      <c r="BFU44" s="63"/>
      <c r="BFV44" s="63"/>
      <c r="BFW44" s="63"/>
      <c r="BFX44" s="63"/>
      <c r="BFY44" s="63"/>
      <c r="BFZ44" s="63"/>
      <c r="BGA44" s="63"/>
      <c r="BGB44" s="63"/>
      <c r="BGC44" s="63"/>
      <c r="BGD44" s="63"/>
      <c r="BGE44" s="63"/>
      <c r="BGF44" s="63"/>
      <c r="BGG44" s="63"/>
      <c r="BGH44" s="63"/>
      <c r="BGI44" s="63"/>
      <c r="BGJ44" s="63"/>
      <c r="BGK44" s="63"/>
      <c r="BGL44" s="63"/>
      <c r="BGM44" s="63"/>
      <c r="BGN44" s="63"/>
      <c r="BGO44" s="63"/>
      <c r="BGP44" s="63"/>
      <c r="BGQ44" s="63"/>
      <c r="BGR44" s="63"/>
      <c r="BGS44" s="63"/>
      <c r="BGT44" s="63"/>
      <c r="BGU44" s="63"/>
      <c r="BGV44" s="63"/>
      <c r="BGW44" s="63"/>
      <c r="BGX44" s="63"/>
      <c r="BGY44" s="63"/>
      <c r="BGZ44" s="63"/>
      <c r="BHA44" s="63"/>
      <c r="BHB44" s="63"/>
      <c r="BHC44" s="63"/>
      <c r="BHD44" s="63"/>
      <c r="BHE44" s="63"/>
      <c r="BHF44" s="63"/>
      <c r="BHG44" s="63"/>
      <c r="BHH44" s="63"/>
      <c r="BHI44" s="63"/>
      <c r="BHJ44" s="63"/>
      <c r="BHK44" s="63"/>
      <c r="BHL44" s="63"/>
      <c r="BHM44" s="63"/>
      <c r="BHN44" s="63"/>
      <c r="BHO44" s="63"/>
      <c r="BHP44" s="63"/>
      <c r="BHQ44" s="63"/>
      <c r="BHR44" s="63"/>
      <c r="BHS44" s="63"/>
      <c r="BHT44" s="63"/>
      <c r="BHU44" s="63"/>
      <c r="BHV44" s="63"/>
      <c r="BHW44" s="63"/>
      <c r="BHX44" s="63"/>
      <c r="BHY44" s="63"/>
      <c r="BHZ44" s="63"/>
      <c r="BIA44" s="63"/>
      <c r="BIB44" s="63"/>
      <c r="BIC44" s="63"/>
      <c r="BID44" s="63"/>
      <c r="BIE44" s="63"/>
      <c r="BIF44" s="63"/>
      <c r="BIG44" s="63"/>
      <c r="BIH44" s="63"/>
      <c r="BII44" s="63"/>
      <c r="BIJ44" s="63"/>
      <c r="BIK44" s="63"/>
      <c r="BIL44" s="63"/>
      <c r="BIM44" s="63"/>
      <c r="BIN44" s="63"/>
      <c r="BIO44" s="63"/>
      <c r="BIP44" s="63"/>
      <c r="BIQ44" s="63"/>
      <c r="BIR44" s="63"/>
      <c r="BIS44" s="63"/>
      <c r="BIT44" s="63"/>
      <c r="BIU44" s="63"/>
      <c r="BIV44" s="63"/>
      <c r="BIW44" s="63"/>
      <c r="BIX44" s="63"/>
      <c r="BIY44" s="63"/>
      <c r="BIZ44" s="63"/>
      <c r="BJA44" s="63"/>
      <c r="BJB44" s="63"/>
      <c r="BJC44" s="63"/>
      <c r="BJD44" s="63"/>
      <c r="BJE44" s="63"/>
      <c r="BJF44" s="63"/>
      <c r="BJG44" s="63"/>
      <c r="BJH44" s="63"/>
      <c r="BJI44" s="63"/>
      <c r="BJJ44" s="63"/>
      <c r="BJK44" s="63"/>
      <c r="BJL44" s="63"/>
      <c r="BJM44" s="63"/>
      <c r="BJN44" s="63"/>
      <c r="BJO44" s="63"/>
      <c r="BJP44" s="63"/>
      <c r="BJQ44" s="63"/>
      <c r="BJR44" s="63"/>
      <c r="BJS44" s="63"/>
      <c r="BJT44" s="63"/>
      <c r="BJU44" s="63"/>
      <c r="BJV44" s="63"/>
      <c r="BJW44" s="63"/>
      <c r="BJX44" s="63"/>
      <c r="BJY44" s="63"/>
      <c r="BJZ44" s="63"/>
      <c r="BKA44" s="63"/>
      <c r="BKB44" s="63"/>
      <c r="BKC44" s="63"/>
      <c r="BKD44" s="63"/>
      <c r="BKE44" s="63"/>
      <c r="BKF44" s="63"/>
      <c r="BKG44" s="63"/>
      <c r="BKH44" s="63"/>
      <c r="BKI44" s="63"/>
      <c r="BKJ44" s="63"/>
      <c r="BKK44" s="63"/>
      <c r="BKL44" s="63"/>
      <c r="BKM44" s="63"/>
      <c r="BKN44" s="63"/>
      <c r="BKO44" s="63"/>
      <c r="BKP44" s="63"/>
      <c r="BKQ44" s="63"/>
      <c r="BKR44" s="63"/>
      <c r="BKS44" s="63"/>
      <c r="BKT44" s="63"/>
      <c r="BKU44" s="63"/>
      <c r="BKV44" s="63"/>
      <c r="BKW44" s="63"/>
      <c r="BKX44" s="63"/>
      <c r="BKY44" s="63"/>
      <c r="BKZ44" s="63"/>
      <c r="BLA44" s="63"/>
      <c r="BLB44" s="63"/>
      <c r="BLC44" s="63"/>
      <c r="BLD44" s="63"/>
      <c r="BLE44" s="63"/>
      <c r="BLF44" s="63"/>
      <c r="BLG44" s="63"/>
      <c r="BLH44" s="63"/>
      <c r="BLI44" s="63"/>
      <c r="BLJ44" s="63"/>
      <c r="BLK44" s="63"/>
      <c r="BLL44" s="63"/>
      <c r="BLM44" s="63"/>
      <c r="BLN44" s="63"/>
      <c r="BLO44" s="63"/>
      <c r="BLP44" s="63"/>
      <c r="BLQ44" s="63"/>
      <c r="BLR44" s="63"/>
      <c r="BLS44" s="63"/>
      <c r="BLT44" s="63"/>
      <c r="BLU44" s="63"/>
      <c r="BLV44" s="63"/>
      <c r="BLW44" s="63"/>
      <c r="BLX44" s="63"/>
      <c r="BLY44" s="63"/>
      <c r="BLZ44" s="63"/>
      <c r="BMA44" s="63"/>
      <c r="BMB44" s="63"/>
      <c r="BMC44" s="63"/>
      <c r="BMD44" s="63"/>
      <c r="BME44" s="63"/>
      <c r="BMF44" s="63"/>
      <c r="BMG44" s="63"/>
      <c r="BMH44" s="63"/>
      <c r="BMI44" s="63"/>
      <c r="BMJ44" s="63"/>
      <c r="BMK44" s="63"/>
      <c r="BML44" s="63"/>
      <c r="BMM44" s="63"/>
      <c r="BMN44" s="63"/>
      <c r="BMO44" s="63"/>
      <c r="BMP44" s="63"/>
      <c r="BMQ44" s="63"/>
      <c r="BMR44" s="63"/>
      <c r="BMS44" s="63"/>
      <c r="BMT44" s="63"/>
      <c r="BMU44" s="63"/>
      <c r="BMV44" s="63"/>
      <c r="BMW44" s="63"/>
      <c r="BMX44" s="63"/>
      <c r="BMY44" s="63"/>
      <c r="BMZ44" s="63"/>
      <c r="BNA44" s="63"/>
      <c r="BNB44" s="63"/>
      <c r="BNC44" s="63"/>
      <c r="BND44" s="63"/>
      <c r="BNE44" s="63"/>
      <c r="BNF44" s="63"/>
      <c r="BNG44" s="63"/>
      <c r="BNH44" s="63"/>
      <c r="BNI44" s="63"/>
      <c r="BNJ44" s="63"/>
      <c r="BNK44" s="63"/>
      <c r="BNL44" s="63"/>
      <c r="BNM44" s="63"/>
      <c r="BNN44" s="63"/>
      <c r="BNO44" s="63"/>
      <c r="BNP44" s="63"/>
      <c r="BNQ44" s="63"/>
      <c r="BNR44" s="63"/>
      <c r="BNS44" s="63"/>
      <c r="BNT44" s="63"/>
      <c r="BNU44" s="63"/>
      <c r="BNV44" s="63"/>
      <c r="BNW44" s="63"/>
      <c r="BNX44" s="63"/>
      <c r="BNY44" s="63"/>
      <c r="BNZ44" s="63"/>
      <c r="BOA44" s="63"/>
      <c r="BOB44" s="63"/>
      <c r="BOC44" s="63"/>
      <c r="BOD44" s="63"/>
      <c r="BOE44" s="63"/>
      <c r="BOF44" s="63"/>
      <c r="BOG44" s="63"/>
      <c r="BOH44" s="63"/>
      <c r="BOI44" s="63"/>
      <c r="BOJ44" s="63"/>
      <c r="BOK44" s="63"/>
      <c r="BOL44" s="63"/>
      <c r="BOM44" s="63"/>
      <c r="BON44" s="63"/>
      <c r="BOO44" s="63"/>
      <c r="BOP44" s="63"/>
      <c r="BOQ44" s="63"/>
      <c r="BOR44" s="63"/>
      <c r="BOS44" s="63"/>
      <c r="BOT44" s="63"/>
      <c r="BOU44" s="63"/>
      <c r="BOV44" s="63"/>
      <c r="BOW44" s="63"/>
      <c r="BOX44" s="63"/>
      <c r="BOY44" s="63"/>
      <c r="BOZ44" s="63"/>
      <c r="BPA44" s="63"/>
      <c r="BPB44" s="63"/>
      <c r="BPC44" s="63"/>
      <c r="BPD44" s="63"/>
      <c r="BPE44" s="63"/>
      <c r="BPF44" s="63"/>
      <c r="BPG44" s="63"/>
      <c r="BPH44" s="63"/>
      <c r="BPI44" s="63"/>
      <c r="BPJ44" s="63"/>
      <c r="BPK44" s="63"/>
      <c r="BPL44" s="63"/>
      <c r="BPM44" s="63"/>
      <c r="BPN44" s="63"/>
      <c r="BPO44" s="63"/>
      <c r="BPP44" s="63"/>
      <c r="BPQ44" s="63"/>
      <c r="BPR44" s="63"/>
      <c r="BPS44" s="63"/>
      <c r="BPT44" s="63"/>
      <c r="BPU44" s="63"/>
      <c r="BPV44" s="63"/>
      <c r="BPW44" s="63"/>
      <c r="BPX44" s="63"/>
      <c r="BPY44" s="63"/>
      <c r="BPZ44" s="63"/>
      <c r="BQA44" s="63"/>
      <c r="BQB44" s="63"/>
      <c r="BQC44" s="63"/>
      <c r="BQD44" s="63"/>
      <c r="BQE44" s="63"/>
      <c r="BQF44" s="63"/>
      <c r="BQG44" s="63"/>
      <c r="BQH44" s="63"/>
      <c r="BQI44" s="63"/>
      <c r="BQJ44" s="63"/>
      <c r="BQK44" s="63"/>
      <c r="BQL44" s="63"/>
      <c r="BQM44" s="63"/>
      <c r="BQN44" s="63"/>
      <c r="BQO44" s="63"/>
      <c r="BQP44" s="63"/>
      <c r="BQQ44" s="63"/>
      <c r="BQR44" s="63"/>
      <c r="BQS44" s="63"/>
      <c r="BQT44" s="63"/>
      <c r="BQU44" s="63"/>
      <c r="BQV44" s="63"/>
      <c r="BQW44" s="63"/>
      <c r="BQX44" s="63"/>
      <c r="BQY44" s="63"/>
      <c r="BQZ44" s="63"/>
      <c r="BRA44" s="63"/>
      <c r="BRB44" s="63"/>
      <c r="BRC44" s="63"/>
      <c r="BRD44" s="63"/>
      <c r="BRE44" s="63"/>
      <c r="BRF44" s="63"/>
      <c r="BRG44" s="63"/>
      <c r="BRH44" s="63"/>
      <c r="BRI44" s="63"/>
      <c r="BRJ44" s="63"/>
      <c r="BRK44" s="63"/>
      <c r="BRL44" s="63"/>
      <c r="BRM44" s="63"/>
      <c r="BRN44" s="63"/>
      <c r="BRO44" s="63"/>
      <c r="BRP44" s="63"/>
      <c r="BRQ44" s="63"/>
      <c r="BRR44" s="63"/>
      <c r="BRS44" s="63"/>
      <c r="BRT44" s="63"/>
      <c r="BRU44" s="63"/>
      <c r="BRV44" s="63"/>
      <c r="BRW44" s="63"/>
      <c r="BRX44" s="63"/>
      <c r="BRY44" s="63"/>
      <c r="BRZ44" s="63"/>
      <c r="BSA44" s="63"/>
      <c r="BSB44" s="63"/>
      <c r="BSC44" s="63"/>
      <c r="BSD44" s="63"/>
      <c r="BSE44" s="63"/>
      <c r="BSF44" s="63"/>
      <c r="BSG44" s="63"/>
      <c r="BSH44" s="63"/>
      <c r="BSI44" s="63"/>
      <c r="BSJ44" s="63"/>
      <c r="BSK44" s="63"/>
      <c r="BSL44" s="63"/>
      <c r="BSM44" s="63"/>
      <c r="BSN44" s="63"/>
      <c r="BSO44" s="63"/>
      <c r="BSP44" s="63"/>
      <c r="BSQ44" s="63"/>
      <c r="BSR44" s="63"/>
      <c r="BSS44" s="63"/>
      <c r="BST44" s="63"/>
      <c r="BSU44" s="63"/>
      <c r="BSV44" s="63"/>
      <c r="BSW44" s="63"/>
      <c r="BSX44" s="63"/>
      <c r="BSY44" s="63"/>
      <c r="BSZ44" s="63"/>
      <c r="BTA44" s="63"/>
      <c r="BTB44" s="63"/>
      <c r="BTC44" s="63"/>
      <c r="BTD44" s="63"/>
      <c r="BTE44" s="63"/>
      <c r="BTF44" s="63"/>
      <c r="BTG44" s="63"/>
      <c r="BTH44" s="63"/>
      <c r="BTI44" s="63"/>
      <c r="BTJ44" s="63"/>
      <c r="BTK44" s="63"/>
      <c r="BTL44" s="63"/>
      <c r="BTM44" s="63"/>
      <c r="BTN44" s="63"/>
      <c r="BTO44" s="63"/>
      <c r="BTP44" s="63"/>
      <c r="BTQ44" s="63"/>
      <c r="BTR44" s="63"/>
      <c r="BTS44" s="63"/>
      <c r="BTT44" s="63"/>
      <c r="BTU44" s="63"/>
      <c r="BTV44" s="63"/>
      <c r="BTW44" s="63"/>
      <c r="BTX44" s="63"/>
      <c r="BTY44" s="63"/>
      <c r="BTZ44" s="63"/>
      <c r="BUA44" s="63"/>
      <c r="BUB44" s="63"/>
      <c r="BUC44" s="63"/>
      <c r="BUD44" s="63"/>
      <c r="BUE44" s="63"/>
      <c r="BUF44" s="63"/>
      <c r="BUG44" s="63"/>
      <c r="BUH44" s="63"/>
      <c r="BUI44" s="63"/>
      <c r="BUJ44" s="63"/>
      <c r="BUK44" s="63"/>
      <c r="BUL44" s="63"/>
      <c r="BUM44" s="63"/>
      <c r="BUN44" s="63"/>
      <c r="BUO44" s="63"/>
      <c r="BUP44" s="63"/>
      <c r="BUQ44" s="63"/>
      <c r="BUR44" s="63"/>
      <c r="BUS44" s="63"/>
      <c r="BUT44" s="63"/>
      <c r="BUU44" s="63"/>
      <c r="BUV44" s="63"/>
      <c r="BUW44" s="63"/>
      <c r="BUX44" s="63"/>
      <c r="BUY44" s="63"/>
      <c r="BUZ44" s="63"/>
      <c r="BVA44" s="63"/>
      <c r="BVB44" s="63"/>
      <c r="BVC44" s="63"/>
      <c r="BVD44" s="63"/>
      <c r="BVE44" s="63"/>
      <c r="BVF44" s="63"/>
      <c r="BVG44" s="63"/>
      <c r="BVH44" s="63"/>
      <c r="BVI44" s="63"/>
      <c r="BVJ44" s="63"/>
      <c r="BVK44" s="63"/>
      <c r="BVL44" s="63"/>
      <c r="BVM44" s="63"/>
      <c r="BVN44" s="63"/>
      <c r="BVO44" s="63"/>
      <c r="BVP44" s="63"/>
      <c r="BVQ44" s="63"/>
      <c r="BVR44" s="63"/>
      <c r="BVS44" s="63"/>
      <c r="BVT44" s="63"/>
      <c r="BVU44" s="63"/>
      <c r="BVV44" s="63"/>
      <c r="BVW44" s="63"/>
      <c r="BVX44" s="63"/>
      <c r="BVY44" s="63"/>
      <c r="BVZ44" s="63"/>
      <c r="BWA44" s="63"/>
      <c r="BWB44" s="63"/>
      <c r="BWC44" s="63"/>
      <c r="BWD44" s="63"/>
      <c r="BWE44" s="63"/>
      <c r="BWF44" s="63"/>
      <c r="BWG44" s="63"/>
      <c r="BWH44" s="63"/>
      <c r="BWI44" s="63"/>
      <c r="BWJ44" s="63"/>
      <c r="BWK44" s="63"/>
      <c r="BWL44" s="63"/>
      <c r="BWM44" s="63"/>
      <c r="BWN44" s="63"/>
      <c r="BWO44" s="63"/>
      <c r="BWP44" s="63"/>
      <c r="BWQ44" s="63"/>
      <c r="BWR44" s="63"/>
      <c r="BWS44" s="63"/>
      <c r="BWT44" s="63"/>
      <c r="BWU44" s="63"/>
      <c r="BWV44" s="63"/>
      <c r="BWW44" s="63"/>
      <c r="BWX44" s="63"/>
      <c r="BWY44" s="63"/>
      <c r="BWZ44" s="63"/>
      <c r="BXA44" s="63"/>
      <c r="BXB44" s="63"/>
      <c r="BXC44" s="63"/>
      <c r="BXD44" s="63"/>
      <c r="BXE44" s="63"/>
      <c r="BXF44" s="63"/>
      <c r="BXG44" s="63"/>
      <c r="BXH44" s="63"/>
      <c r="BXI44" s="63"/>
      <c r="BXJ44" s="63"/>
      <c r="BXK44" s="63"/>
      <c r="BXL44" s="63"/>
      <c r="BXM44" s="63"/>
      <c r="BXN44" s="63"/>
      <c r="BXO44" s="63"/>
      <c r="BXP44" s="63"/>
      <c r="BXQ44" s="63"/>
      <c r="BXR44" s="63"/>
      <c r="BXS44" s="63"/>
      <c r="BXT44" s="63"/>
      <c r="BXU44" s="63"/>
      <c r="BXV44" s="63"/>
      <c r="BXW44" s="63"/>
      <c r="BXX44" s="63"/>
      <c r="BXY44" s="63"/>
      <c r="BXZ44" s="63"/>
      <c r="BYA44" s="63"/>
      <c r="BYB44" s="63"/>
      <c r="BYC44" s="63"/>
      <c r="BYD44" s="63"/>
      <c r="BYE44" s="63"/>
      <c r="BYF44" s="63"/>
      <c r="BYG44" s="63"/>
      <c r="BYH44" s="63"/>
      <c r="BYI44" s="63"/>
      <c r="BYJ44" s="63"/>
      <c r="BYK44" s="63"/>
      <c r="BYL44" s="63"/>
      <c r="BYM44" s="63"/>
      <c r="BYN44" s="63"/>
      <c r="BYO44" s="63"/>
      <c r="BYP44" s="63"/>
      <c r="BYQ44" s="63"/>
      <c r="BYR44" s="63"/>
      <c r="BYS44" s="63"/>
      <c r="BYT44" s="63"/>
      <c r="BYU44" s="63"/>
      <c r="BYV44" s="63"/>
      <c r="BYW44" s="63"/>
      <c r="BYX44" s="63"/>
      <c r="BYY44" s="63"/>
      <c r="BYZ44" s="63"/>
      <c r="BZA44" s="63"/>
      <c r="BZB44" s="63"/>
      <c r="BZC44" s="63"/>
      <c r="BZD44" s="63"/>
      <c r="BZE44" s="63"/>
      <c r="BZF44" s="63"/>
      <c r="BZG44" s="63"/>
      <c r="BZH44" s="63"/>
      <c r="BZI44" s="63"/>
      <c r="BZJ44" s="63"/>
      <c r="BZK44" s="63"/>
      <c r="BZL44" s="63"/>
      <c r="BZM44" s="63"/>
      <c r="BZN44" s="63"/>
      <c r="BZO44" s="63"/>
      <c r="BZP44" s="63"/>
      <c r="BZQ44" s="63"/>
      <c r="BZR44" s="63"/>
      <c r="BZS44" s="63"/>
      <c r="BZT44" s="63"/>
      <c r="BZU44" s="63"/>
      <c r="BZV44" s="63"/>
      <c r="BZW44" s="63"/>
      <c r="BZX44" s="63"/>
      <c r="BZY44" s="63"/>
      <c r="BZZ44" s="63"/>
      <c r="CAA44" s="63"/>
      <c r="CAB44" s="63"/>
      <c r="CAC44" s="63"/>
      <c r="CAD44" s="63"/>
      <c r="CAE44" s="63"/>
      <c r="CAF44" s="63"/>
      <c r="CAG44" s="63"/>
      <c r="CAH44" s="63"/>
      <c r="CAI44" s="63"/>
      <c r="CAJ44" s="63"/>
      <c r="CAK44" s="63"/>
      <c r="CAL44" s="63"/>
      <c r="CAM44" s="63"/>
      <c r="CAN44" s="63"/>
      <c r="CAO44" s="63"/>
      <c r="CAP44" s="63"/>
      <c r="CAQ44" s="63"/>
      <c r="CAR44" s="63"/>
      <c r="CAS44" s="63"/>
      <c r="CAT44" s="63"/>
      <c r="CAU44" s="63"/>
      <c r="CAV44" s="63"/>
      <c r="CAW44" s="63"/>
      <c r="CAX44" s="63"/>
      <c r="CAY44" s="63"/>
      <c r="CAZ44" s="63"/>
      <c r="CBA44" s="63"/>
      <c r="CBB44" s="63"/>
      <c r="CBC44" s="63"/>
      <c r="CBD44" s="63"/>
      <c r="CBE44" s="63"/>
      <c r="CBF44" s="63"/>
      <c r="CBG44" s="63"/>
      <c r="CBH44" s="63"/>
      <c r="CBI44" s="63"/>
      <c r="CBJ44" s="63"/>
      <c r="CBK44" s="63"/>
      <c r="CBL44" s="63"/>
      <c r="CBM44" s="63"/>
      <c r="CBN44" s="63"/>
      <c r="CBO44" s="63"/>
      <c r="CBP44" s="63"/>
      <c r="CBQ44" s="63"/>
      <c r="CBR44" s="63"/>
      <c r="CBS44" s="63"/>
      <c r="CBT44" s="63"/>
      <c r="CBU44" s="63"/>
      <c r="CBV44" s="63"/>
      <c r="CBW44" s="63"/>
      <c r="CBX44" s="63"/>
      <c r="CBY44" s="63"/>
      <c r="CBZ44" s="63"/>
      <c r="CCA44" s="63"/>
      <c r="CCB44" s="63"/>
      <c r="CCC44" s="63"/>
      <c r="CCD44" s="63"/>
      <c r="CCE44" s="63"/>
      <c r="CCF44" s="63"/>
      <c r="CCG44" s="63"/>
      <c r="CCH44" s="63"/>
      <c r="CCI44" s="63"/>
      <c r="CCJ44" s="63"/>
      <c r="CCK44" s="63"/>
      <c r="CCL44" s="63"/>
      <c r="CCM44" s="63"/>
      <c r="CCN44" s="63"/>
      <c r="CCO44" s="63"/>
      <c r="CCP44" s="63"/>
      <c r="CCQ44" s="63"/>
      <c r="CCR44" s="63"/>
      <c r="CCS44" s="63"/>
      <c r="CCT44" s="63"/>
      <c r="CCU44" s="63"/>
      <c r="CCV44" s="63"/>
      <c r="CCW44" s="63"/>
      <c r="CCX44" s="63"/>
      <c r="CCY44" s="63"/>
      <c r="CCZ44" s="63"/>
      <c r="CDA44" s="63"/>
      <c r="CDB44" s="63"/>
      <c r="CDC44" s="63"/>
      <c r="CDD44" s="63"/>
      <c r="CDE44" s="63"/>
      <c r="CDF44" s="63"/>
      <c r="CDG44" s="63"/>
      <c r="CDH44" s="63"/>
      <c r="CDI44" s="63"/>
      <c r="CDJ44" s="63"/>
      <c r="CDK44" s="63"/>
      <c r="CDL44" s="63"/>
      <c r="CDM44" s="63"/>
      <c r="CDN44" s="63"/>
      <c r="CDO44" s="63"/>
      <c r="CDP44" s="63"/>
      <c r="CDQ44" s="63"/>
      <c r="CDR44" s="63"/>
      <c r="CDS44" s="63"/>
      <c r="CDT44" s="63"/>
      <c r="CDU44" s="63"/>
      <c r="CDV44" s="63"/>
      <c r="CDW44" s="63"/>
      <c r="CDX44" s="63"/>
      <c r="CDY44" s="63"/>
      <c r="CDZ44" s="63"/>
      <c r="CEA44" s="63"/>
      <c r="CEB44" s="63"/>
      <c r="CEC44" s="63"/>
      <c r="CED44" s="63"/>
      <c r="CEE44" s="63"/>
      <c r="CEF44" s="63"/>
      <c r="CEG44" s="63"/>
      <c r="CEH44" s="63"/>
      <c r="CEI44" s="63"/>
      <c r="CEJ44" s="63"/>
      <c r="CEK44" s="63"/>
      <c r="CEL44" s="63"/>
      <c r="CEM44" s="63"/>
      <c r="CEN44" s="63"/>
      <c r="CEO44" s="63"/>
      <c r="CEP44" s="63"/>
      <c r="CEQ44" s="63"/>
      <c r="CER44" s="63"/>
      <c r="CES44" s="63"/>
      <c r="CET44" s="63"/>
      <c r="CEU44" s="63"/>
      <c r="CEV44" s="63"/>
      <c r="CEW44" s="63"/>
      <c r="CEX44" s="63"/>
      <c r="CEY44" s="63"/>
      <c r="CEZ44" s="63"/>
      <c r="CFA44" s="63"/>
      <c r="CFB44" s="63"/>
      <c r="CFC44" s="63"/>
      <c r="CFD44" s="63"/>
      <c r="CFE44" s="63"/>
      <c r="CFF44" s="63"/>
      <c r="CFG44" s="63"/>
      <c r="CFH44" s="63"/>
      <c r="CFI44" s="63"/>
      <c r="CFJ44" s="63"/>
      <c r="CFK44" s="63"/>
      <c r="CFL44" s="63"/>
      <c r="CFM44" s="63"/>
      <c r="CFN44" s="63"/>
      <c r="CFO44" s="63"/>
      <c r="CFP44" s="63"/>
      <c r="CFQ44" s="63"/>
      <c r="CFR44" s="63"/>
      <c r="CFS44" s="63"/>
      <c r="CFT44" s="63"/>
      <c r="CFU44" s="63"/>
      <c r="CFV44" s="63"/>
      <c r="CFW44" s="63"/>
      <c r="CFX44" s="63"/>
      <c r="CFY44" s="63"/>
      <c r="CFZ44" s="63"/>
      <c r="CGA44" s="63"/>
      <c r="CGB44" s="63"/>
      <c r="CGC44" s="63"/>
      <c r="CGD44" s="63"/>
      <c r="CGE44" s="63"/>
      <c r="CGF44" s="63"/>
      <c r="CGG44" s="63"/>
      <c r="CGH44" s="63"/>
      <c r="CGI44" s="63"/>
      <c r="CGJ44" s="63"/>
      <c r="CGK44" s="63"/>
      <c r="CGL44" s="63"/>
      <c r="CGM44" s="63"/>
      <c r="CGN44" s="63"/>
      <c r="CGO44" s="63"/>
      <c r="CGP44" s="63"/>
      <c r="CGQ44" s="63"/>
      <c r="CGR44" s="63"/>
      <c r="CGS44" s="63"/>
      <c r="CGT44" s="63"/>
      <c r="CGU44" s="63"/>
      <c r="CGV44" s="63"/>
      <c r="CGW44" s="63"/>
      <c r="CGX44" s="63"/>
      <c r="CGY44" s="63"/>
      <c r="CGZ44" s="63"/>
      <c r="CHA44" s="63"/>
      <c r="CHB44" s="63"/>
      <c r="CHC44" s="63"/>
      <c r="CHD44" s="63"/>
      <c r="CHE44" s="63"/>
      <c r="CHF44" s="63"/>
      <c r="CHG44" s="63"/>
      <c r="CHH44" s="63"/>
      <c r="CHI44" s="63"/>
      <c r="CHJ44" s="63"/>
      <c r="CHK44" s="63"/>
      <c r="CHL44" s="63"/>
      <c r="CHM44" s="63"/>
      <c r="CHN44" s="63"/>
      <c r="CHO44" s="63"/>
      <c r="CHP44" s="63"/>
      <c r="CHQ44" s="63"/>
      <c r="CHR44" s="63"/>
      <c r="CHS44" s="63"/>
      <c r="CHT44" s="63"/>
      <c r="CHU44" s="63"/>
      <c r="CHV44" s="63"/>
      <c r="CHW44" s="63"/>
      <c r="CHX44" s="63"/>
      <c r="CHY44" s="63"/>
      <c r="CHZ44" s="63"/>
      <c r="CIA44" s="63"/>
      <c r="CIB44" s="63"/>
      <c r="CIC44" s="63"/>
      <c r="CID44" s="63"/>
      <c r="CIE44" s="63"/>
      <c r="CIF44" s="63"/>
      <c r="CIG44" s="63"/>
      <c r="CIH44" s="63"/>
      <c r="CII44" s="63"/>
      <c r="CIJ44" s="63"/>
      <c r="CIK44" s="63"/>
      <c r="CIL44" s="63"/>
      <c r="CIM44" s="63"/>
      <c r="CIN44" s="63"/>
      <c r="CIO44" s="63"/>
      <c r="CIP44" s="63"/>
      <c r="CIQ44" s="63"/>
      <c r="CIR44" s="63"/>
      <c r="CIS44" s="63"/>
      <c r="CIT44" s="63"/>
      <c r="CIU44" s="63"/>
      <c r="CIV44" s="63"/>
      <c r="CIW44" s="63"/>
      <c r="CIX44" s="63"/>
      <c r="CIY44" s="63"/>
      <c r="CIZ44" s="63"/>
      <c r="CJA44" s="63"/>
      <c r="CJB44" s="63"/>
      <c r="CJC44" s="63"/>
      <c r="CJD44" s="63"/>
      <c r="CJE44" s="63"/>
      <c r="CJF44" s="63"/>
      <c r="CJG44" s="63"/>
      <c r="CJH44" s="63"/>
      <c r="CJI44" s="63"/>
      <c r="CJJ44" s="63"/>
      <c r="CJK44" s="63"/>
      <c r="CJL44" s="63"/>
      <c r="CJM44" s="63"/>
      <c r="CJN44" s="63"/>
      <c r="CJO44" s="63"/>
      <c r="CJP44" s="63"/>
      <c r="CJQ44" s="63"/>
      <c r="CJR44" s="63"/>
      <c r="CJS44" s="63"/>
      <c r="CJT44" s="63"/>
      <c r="CJU44" s="63"/>
      <c r="CJV44" s="63"/>
      <c r="CJW44" s="63"/>
      <c r="CJX44" s="63"/>
      <c r="CJY44" s="63"/>
      <c r="CJZ44" s="63"/>
      <c r="CKA44" s="63"/>
      <c r="CKB44" s="63"/>
      <c r="CKC44" s="63"/>
      <c r="CKD44" s="63"/>
      <c r="CKE44" s="63"/>
      <c r="CKF44" s="63"/>
      <c r="CKG44" s="63"/>
      <c r="CKH44" s="63"/>
      <c r="CKI44" s="63"/>
      <c r="CKJ44" s="63"/>
      <c r="CKK44" s="63"/>
      <c r="CKL44" s="63"/>
      <c r="CKM44" s="63"/>
      <c r="CKN44" s="63"/>
      <c r="CKO44" s="63"/>
      <c r="CKP44" s="63"/>
      <c r="CKQ44" s="63"/>
      <c r="CKR44" s="63"/>
      <c r="CKS44" s="63"/>
      <c r="CKT44" s="63"/>
      <c r="CKU44" s="63"/>
      <c r="CKV44" s="63"/>
      <c r="CKW44" s="63"/>
      <c r="CKX44" s="63"/>
      <c r="CKY44" s="63"/>
      <c r="CKZ44" s="63"/>
      <c r="CLA44" s="63"/>
      <c r="CLB44" s="63"/>
      <c r="CLC44" s="63"/>
      <c r="CLD44" s="63"/>
      <c r="CLE44" s="63"/>
      <c r="CLF44" s="63"/>
      <c r="CLG44" s="63"/>
      <c r="CLH44" s="63"/>
      <c r="CLI44" s="63"/>
      <c r="CLJ44" s="63"/>
      <c r="CLK44" s="63"/>
      <c r="CLL44" s="63"/>
      <c r="CLM44" s="63"/>
      <c r="CLN44" s="63"/>
      <c r="CLO44" s="63"/>
      <c r="CLP44" s="63"/>
      <c r="CLQ44" s="63"/>
      <c r="CLR44" s="63"/>
      <c r="CLS44" s="63"/>
      <c r="CLT44" s="63"/>
      <c r="CLU44" s="63"/>
      <c r="CLV44" s="63"/>
      <c r="CLW44" s="63"/>
      <c r="CLX44" s="63"/>
      <c r="CLY44" s="63"/>
      <c r="CLZ44" s="63"/>
      <c r="CMA44" s="63"/>
      <c r="CMB44" s="63"/>
      <c r="CMC44" s="63"/>
      <c r="CMD44" s="63"/>
      <c r="CME44" s="63"/>
      <c r="CMF44" s="63"/>
      <c r="CMG44" s="63"/>
      <c r="CMH44" s="63"/>
      <c r="CMI44" s="63"/>
      <c r="CMJ44" s="63"/>
      <c r="CMK44" s="63"/>
      <c r="CML44" s="63"/>
      <c r="CMM44" s="63"/>
      <c r="CMN44" s="63"/>
      <c r="CMO44" s="63"/>
      <c r="CMP44" s="63"/>
      <c r="CMQ44" s="63"/>
      <c r="CMR44" s="63"/>
      <c r="CMS44" s="63"/>
      <c r="CMT44" s="63"/>
      <c r="CMU44" s="63"/>
      <c r="CMV44" s="63"/>
      <c r="CMW44" s="63"/>
      <c r="CMX44" s="63"/>
      <c r="CMY44" s="63"/>
      <c r="CMZ44" s="63"/>
      <c r="CNA44" s="63"/>
      <c r="CNB44" s="63"/>
      <c r="CNC44" s="63"/>
      <c r="CND44" s="63"/>
      <c r="CNE44" s="63"/>
      <c r="CNF44" s="63"/>
      <c r="CNG44" s="63"/>
      <c r="CNH44" s="63"/>
      <c r="CNI44" s="63"/>
      <c r="CNJ44" s="63"/>
      <c r="CNK44" s="63"/>
      <c r="CNL44" s="63"/>
      <c r="CNM44" s="63"/>
      <c r="CNN44" s="63"/>
      <c r="CNO44" s="63"/>
      <c r="CNP44" s="63"/>
      <c r="CNQ44" s="63"/>
      <c r="CNR44" s="63"/>
      <c r="CNS44" s="63"/>
      <c r="CNT44" s="63"/>
      <c r="CNU44" s="63"/>
      <c r="CNV44" s="63"/>
      <c r="CNW44" s="63"/>
      <c r="CNX44" s="63"/>
      <c r="CNY44" s="63"/>
      <c r="CNZ44" s="63"/>
      <c r="COA44" s="63"/>
      <c r="COB44" s="63"/>
      <c r="COC44" s="63"/>
      <c r="COD44" s="63"/>
      <c r="COE44" s="63"/>
      <c r="COF44" s="63"/>
      <c r="COG44" s="63"/>
      <c r="COH44" s="63"/>
      <c r="COI44" s="63"/>
      <c r="COJ44" s="63"/>
      <c r="COK44" s="63"/>
      <c r="COL44" s="63"/>
      <c r="COM44" s="63"/>
      <c r="CON44" s="63"/>
      <c r="COO44" s="63"/>
      <c r="COP44" s="63"/>
      <c r="COQ44" s="63"/>
      <c r="COR44" s="63"/>
      <c r="COS44" s="63"/>
      <c r="COT44" s="63"/>
      <c r="COU44" s="63"/>
      <c r="COV44" s="63"/>
      <c r="COW44" s="63"/>
      <c r="COX44" s="63"/>
      <c r="COY44" s="63"/>
      <c r="COZ44" s="63"/>
      <c r="CPA44" s="63"/>
      <c r="CPB44" s="63"/>
      <c r="CPC44" s="63"/>
      <c r="CPD44" s="63"/>
      <c r="CPE44" s="63"/>
      <c r="CPF44" s="63"/>
      <c r="CPG44" s="63"/>
      <c r="CPH44" s="63"/>
      <c r="CPI44" s="63"/>
      <c r="CPJ44" s="63"/>
      <c r="CPK44" s="63"/>
      <c r="CPL44" s="63"/>
      <c r="CPM44" s="63"/>
      <c r="CPN44" s="63"/>
      <c r="CPO44" s="63"/>
      <c r="CPP44" s="63"/>
      <c r="CPQ44" s="63"/>
      <c r="CPR44" s="63"/>
      <c r="CPS44" s="63"/>
      <c r="CPT44" s="63"/>
      <c r="CPU44" s="63"/>
      <c r="CPV44" s="63"/>
      <c r="CPW44" s="63"/>
      <c r="CPX44" s="63"/>
      <c r="CPY44" s="63"/>
      <c r="CPZ44" s="63"/>
      <c r="CQA44" s="63"/>
      <c r="CQB44" s="63"/>
      <c r="CQC44" s="63"/>
      <c r="CQD44" s="63"/>
      <c r="CQE44" s="63"/>
      <c r="CQF44" s="63"/>
      <c r="CQG44" s="63"/>
      <c r="CQH44" s="63"/>
      <c r="CQI44" s="63"/>
      <c r="CQJ44" s="63"/>
      <c r="CQK44" s="63"/>
      <c r="CQL44" s="63"/>
      <c r="CQM44" s="63"/>
      <c r="CQN44" s="63"/>
      <c r="CQO44" s="63"/>
      <c r="CQP44" s="63"/>
      <c r="CQQ44" s="63"/>
      <c r="CQR44" s="63"/>
      <c r="CQS44" s="63"/>
      <c r="CQT44" s="63"/>
      <c r="CQU44" s="63"/>
      <c r="CQV44" s="63"/>
      <c r="CQW44" s="63"/>
      <c r="CQX44" s="63"/>
      <c r="CQY44" s="63"/>
      <c r="CQZ44" s="63"/>
      <c r="CRA44" s="63"/>
      <c r="CRB44" s="63"/>
      <c r="CRC44" s="63"/>
      <c r="CRD44" s="63"/>
      <c r="CRE44" s="63"/>
      <c r="CRF44" s="63"/>
      <c r="CRG44" s="63"/>
      <c r="CRH44" s="63"/>
      <c r="CRI44" s="63"/>
      <c r="CRJ44" s="63"/>
      <c r="CRK44" s="63"/>
      <c r="CRL44" s="63"/>
      <c r="CRM44" s="63"/>
      <c r="CRN44" s="63"/>
      <c r="CRO44" s="63"/>
      <c r="CRP44" s="63"/>
      <c r="CRQ44" s="63"/>
      <c r="CRR44" s="63"/>
      <c r="CRS44" s="63"/>
      <c r="CRT44" s="63"/>
      <c r="CRU44" s="63"/>
      <c r="CRV44" s="63"/>
      <c r="CRW44" s="63"/>
      <c r="CRX44" s="63"/>
      <c r="CRY44" s="63"/>
      <c r="CRZ44" s="63"/>
      <c r="CSA44" s="63"/>
      <c r="CSB44" s="63"/>
      <c r="CSC44" s="63"/>
      <c r="CSD44" s="63"/>
      <c r="CSE44" s="63"/>
      <c r="CSF44" s="63"/>
      <c r="CSG44" s="63"/>
      <c r="CSH44" s="63"/>
      <c r="CSI44" s="63"/>
      <c r="CSJ44" s="63"/>
      <c r="CSK44" s="63"/>
      <c r="CSL44" s="63"/>
      <c r="CSM44" s="63"/>
      <c r="CSN44" s="63"/>
      <c r="CSO44" s="63"/>
      <c r="CSP44" s="63"/>
      <c r="CSQ44" s="63"/>
      <c r="CSR44" s="63"/>
      <c r="CSS44" s="63"/>
      <c r="CST44" s="63"/>
      <c r="CSU44" s="63"/>
      <c r="CSV44" s="63"/>
      <c r="CSW44" s="63"/>
      <c r="CSX44" s="63"/>
      <c r="CSY44" s="63"/>
      <c r="CSZ44" s="63"/>
      <c r="CTA44" s="63"/>
      <c r="CTB44" s="63"/>
      <c r="CTC44" s="63"/>
      <c r="CTD44" s="63"/>
      <c r="CTE44" s="63"/>
      <c r="CTF44" s="63"/>
      <c r="CTG44" s="63"/>
      <c r="CTH44" s="63"/>
      <c r="CTI44" s="63"/>
      <c r="CTJ44" s="63"/>
      <c r="CTK44" s="63"/>
      <c r="CTL44" s="63"/>
      <c r="CTM44" s="63"/>
      <c r="CTN44" s="63"/>
      <c r="CTO44" s="63"/>
      <c r="CTP44" s="63"/>
      <c r="CTQ44" s="63"/>
      <c r="CTR44" s="63"/>
      <c r="CTS44" s="63"/>
      <c r="CTT44" s="63"/>
      <c r="CTU44" s="63"/>
      <c r="CTV44" s="63"/>
      <c r="CTW44" s="63"/>
      <c r="CTX44" s="63"/>
      <c r="CTY44" s="63"/>
      <c r="CTZ44" s="63"/>
      <c r="CUA44" s="63"/>
      <c r="CUB44" s="63"/>
      <c r="CUC44" s="63"/>
      <c r="CUD44" s="63"/>
      <c r="CUE44" s="63"/>
      <c r="CUF44" s="63"/>
      <c r="CUG44" s="63"/>
      <c r="CUH44" s="63"/>
      <c r="CUI44" s="63"/>
      <c r="CUJ44" s="63"/>
      <c r="CUK44" s="63"/>
      <c r="CUL44" s="63"/>
      <c r="CUM44" s="63"/>
      <c r="CUN44" s="63"/>
      <c r="CUO44" s="63"/>
      <c r="CUP44" s="63"/>
      <c r="CUQ44" s="63"/>
      <c r="CUR44" s="63"/>
      <c r="CUS44" s="63"/>
      <c r="CUT44" s="63"/>
      <c r="CUU44" s="63"/>
      <c r="CUV44" s="63"/>
      <c r="CUW44" s="63"/>
      <c r="CUX44" s="63"/>
      <c r="CUY44" s="63"/>
      <c r="CUZ44" s="63"/>
      <c r="CVA44" s="63"/>
      <c r="CVB44" s="63"/>
      <c r="CVC44" s="63"/>
      <c r="CVD44" s="63"/>
      <c r="CVE44" s="63"/>
      <c r="CVF44" s="63"/>
      <c r="CVG44" s="63"/>
      <c r="CVH44" s="63"/>
      <c r="CVI44" s="63"/>
      <c r="CVJ44" s="63"/>
      <c r="CVK44" s="63"/>
      <c r="CVL44" s="63"/>
      <c r="CVM44" s="63"/>
      <c r="CVN44" s="63"/>
      <c r="CVO44" s="63"/>
      <c r="CVP44" s="63"/>
      <c r="CVQ44" s="63"/>
      <c r="CVR44" s="63"/>
      <c r="CVS44" s="63"/>
      <c r="CVT44" s="63"/>
      <c r="CVU44" s="63"/>
      <c r="CVV44" s="63"/>
      <c r="CVW44" s="63"/>
      <c r="CVX44" s="63"/>
      <c r="CVY44" s="63"/>
      <c r="CVZ44" s="63"/>
      <c r="CWA44" s="63"/>
      <c r="CWB44" s="63"/>
      <c r="CWC44" s="63"/>
      <c r="CWD44" s="63"/>
      <c r="CWE44" s="63"/>
      <c r="CWF44" s="63"/>
      <c r="CWG44" s="63"/>
      <c r="CWH44" s="63"/>
      <c r="CWI44" s="63"/>
      <c r="CWJ44" s="63"/>
      <c r="CWK44" s="63"/>
      <c r="CWL44" s="63"/>
      <c r="CWM44" s="63"/>
      <c r="CWN44" s="63"/>
      <c r="CWO44" s="63"/>
      <c r="CWP44" s="63"/>
      <c r="CWQ44" s="63"/>
      <c r="CWR44" s="63"/>
      <c r="CWS44" s="63"/>
      <c r="CWT44" s="63"/>
      <c r="CWU44" s="63"/>
      <c r="CWV44" s="63"/>
      <c r="CWW44" s="63"/>
      <c r="CWX44" s="63"/>
      <c r="CWY44" s="63"/>
      <c r="CWZ44" s="63"/>
      <c r="CXA44" s="63"/>
      <c r="CXB44" s="63"/>
      <c r="CXC44" s="63"/>
      <c r="CXD44" s="63"/>
      <c r="CXE44" s="63"/>
      <c r="CXF44" s="63"/>
      <c r="CXG44" s="63"/>
      <c r="CXH44" s="63"/>
      <c r="CXI44" s="63"/>
      <c r="CXJ44" s="63"/>
      <c r="CXK44" s="63"/>
      <c r="CXL44" s="63"/>
      <c r="CXM44" s="63"/>
      <c r="CXN44" s="63"/>
      <c r="CXO44" s="63"/>
      <c r="CXP44" s="63"/>
      <c r="CXQ44" s="63"/>
      <c r="CXR44" s="63"/>
      <c r="CXS44" s="63"/>
      <c r="CXT44" s="63"/>
      <c r="CXU44" s="63"/>
      <c r="CXV44" s="63"/>
      <c r="CXW44" s="63"/>
      <c r="CXX44" s="63"/>
      <c r="CXY44" s="63"/>
      <c r="CXZ44" s="63"/>
      <c r="CYA44" s="63"/>
      <c r="CYB44" s="63"/>
      <c r="CYC44" s="63"/>
      <c r="CYD44" s="63"/>
      <c r="CYE44" s="63"/>
      <c r="CYF44" s="63"/>
      <c r="CYG44" s="63"/>
      <c r="CYH44" s="63"/>
      <c r="CYI44" s="63"/>
      <c r="CYJ44" s="63"/>
      <c r="CYK44" s="63"/>
      <c r="CYL44" s="63"/>
      <c r="CYM44" s="63"/>
      <c r="CYN44" s="63"/>
      <c r="CYO44" s="63"/>
      <c r="CYP44" s="63"/>
      <c r="CYQ44" s="63"/>
      <c r="CYR44" s="63"/>
      <c r="CYS44" s="63"/>
      <c r="CYT44" s="63"/>
      <c r="CYU44" s="63"/>
      <c r="CYV44" s="63"/>
      <c r="CYW44" s="63"/>
      <c r="CYX44" s="63"/>
      <c r="CYY44" s="63"/>
      <c r="CYZ44" s="63"/>
      <c r="CZA44" s="63"/>
      <c r="CZB44" s="63"/>
      <c r="CZC44" s="63"/>
      <c r="CZD44" s="63"/>
      <c r="CZE44" s="63"/>
      <c r="CZF44" s="63"/>
      <c r="CZG44" s="63"/>
      <c r="CZH44" s="63"/>
      <c r="CZI44" s="63"/>
      <c r="CZJ44" s="63"/>
      <c r="CZK44" s="63"/>
      <c r="CZL44" s="63"/>
      <c r="CZM44" s="63"/>
      <c r="CZN44" s="63"/>
      <c r="CZO44" s="63"/>
      <c r="CZP44" s="63"/>
      <c r="CZQ44" s="63"/>
      <c r="CZR44" s="63"/>
      <c r="CZS44" s="63"/>
      <c r="CZT44" s="63"/>
      <c r="CZU44" s="63"/>
      <c r="CZV44" s="63"/>
      <c r="CZW44" s="63"/>
      <c r="CZX44" s="63"/>
      <c r="CZY44" s="63"/>
      <c r="CZZ44" s="63"/>
      <c r="DAA44" s="63"/>
      <c r="DAB44" s="63"/>
      <c r="DAC44" s="63"/>
      <c r="DAD44" s="63"/>
      <c r="DAE44" s="63"/>
      <c r="DAF44" s="63"/>
      <c r="DAG44" s="63"/>
      <c r="DAH44" s="63"/>
      <c r="DAI44" s="63"/>
      <c r="DAJ44" s="63"/>
      <c r="DAK44" s="63"/>
      <c r="DAL44" s="63"/>
      <c r="DAM44" s="63"/>
      <c r="DAN44" s="63"/>
      <c r="DAO44" s="63"/>
      <c r="DAP44" s="63"/>
      <c r="DAQ44" s="63"/>
      <c r="DAR44" s="63"/>
      <c r="DAS44" s="63"/>
      <c r="DAT44" s="63"/>
      <c r="DAU44" s="63"/>
      <c r="DAV44" s="63"/>
      <c r="DAW44" s="63"/>
      <c r="DAX44" s="63"/>
      <c r="DAY44" s="63"/>
      <c r="DAZ44" s="63"/>
      <c r="DBA44" s="63"/>
      <c r="DBB44" s="63"/>
      <c r="DBC44" s="63"/>
      <c r="DBD44" s="63"/>
      <c r="DBE44" s="63"/>
      <c r="DBF44" s="63"/>
      <c r="DBG44" s="63"/>
      <c r="DBH44" s="63"/>
      <c r="DBI44" s="63"/>
      <c r="DBJ44" s="63"/>
      <c r="DBK44" s="63"/>
      <c r="DBL44" s="63"/>
      <c r="DBM44" s="63"/>
      <c r="DBN44" s="63"/>
      <c r="DBO44" s="63"/>
      <c r="DBP44" s="63"/>
      <c r="DBQ44" s="63"/>
      <c r="DBR44" s="63"/>
      <c r="DBS44" s="63"/>
      <c r="DBT44" s="63"/>
      <c r="DBU44" s="63"/>
      <c r="DBV44" s="63"/>
      <c r="DBW44" s="63"/>
      <c r="DBX44" s="63"/>
      <c r="DBY44" s="63"/>
      <c r="DBZ44" s="63"/>
      <c r="DCA44" s="63"/>
      <c r="DCB44" s="63"/>
      <c r="DCC44" s="63"/>
      <c r="DCD44" s="63"/>
      <c r="DCE44" s="63"/>
      <c r="DCF44" s="63"/>
      <c r="DCG44" s="63"/>
      <c r="DCH44" s="63"/>
      <c r="DCI44" s="63"/>
      <c r="DCJ44" s="63"/>
      <c r="DCK44" s="63"/>
      <c r="DCL44" s="63"/>
      <c r="DCM44" s="63"/>
      <c r="DCN44" s="63"/>
      <c r="DCO44" s="63"/>
      <c r="DCP44" s="63"/>
      <c r="DCQ44" s="63"/>
      <c r="DCR44" s="63"/>
      <c r="DCS44" s="63"/>
      <c r="DCT44" s="63"/>
      <c r="DCU44" s="63"/>
      <c r="DCV44" s="63"/>
      <c r="DCW44" s="63"/>
      <c r="DCX44" s="63"/>
      <c r="DCY44" s="63"/>
      <c r="DCZ44" s="63"/>
      <c r="DDA44" s="63"/>
      <c r="DDB44" s="63"/>
      <c r="DDC44" s="63"/>
      <c r="DDD44" s="63"/>
      <c r="DDE44" s="63"/>
      <c r="DDF44" s="63"/>
      <c r="DDG44" s="63"/>
      <c r="DDH44" s="63"/>
      <c r="DDI44" s="63"/>
      <c r="DDJ44" s="63"/>
      <c r="DDK44" s="63"/>
      <c r="DDL44" s="63"/>
      <c r="DDM44" s="63"/>
      <c r="DDN44" s="63"/>
      <c r="DDO44" s="63"/>
      <c r="DDP44" s="63"/>
      <c r="DDQ44" s="63"/>
      <c r="DDR44" s="63"/>
      <c r="DDS44" s="63"/>
      <c r="DDT44" s="63"/>
      <c r="DDU44" s="63"/>
      <c r="DDV44" s="63"/>
      <c r="DDW44" s="63"/>
      <c r="DDX44" s="63"/>
      <c r="DDY44" s="63"/>
      <c r="DDZ44" s="63"/>
      <c r="DEA44" s="63"/>
      <c r="DEB44" s="63"/>
      <c r="DEC44" s="63"/>
      <c r="DED44" s="63"/>
      <c r="DEE44" s="63"/>
      <c r="DEF44" s="63"/>
      <c r="DEG44" s="63"/>
      <c r="DEH44" s="63"/>
      <c r="DEI44" s="63"/>
      <c r="DEJ44" s="63"/>
      <c r="DEK44" s="63"/>
      <c r="DEL44" s="63"/>
      <c r="DEM44" s="63"/>
      <c r="DEN44" s="63"/>
      <c r="DEO44" s="63"/>
      <c r="DEP44" s="63"/>
      <c r="DEQ44" s="63"/>
      <c r="DER44" s="63"/>
      <c r="DES44" s="63"/>
      <c r="DET44" s="63"/>
      <c r="DEU44" s="63"/>
      <c r="DEV44" s="63"/>
      <c r="DEW44" s="63"/>
      <c r="DEX44" s="63"/>
      <c r="DEY44" s="63"/>
      <c r="DEZ44" s="63"/>
      <c r="DFA44" s="63"/>
      <c r="DFB44" s="63"/>
      <c r="DFC44" s="63"/>
      <c r="DFD44" s="63"/>
      <c r="DFE44" s="63"/>
      <c r="DFF44" s="63"/>
      <c r="DFG44" s="63"/>
      <c r="DFH44" s="63"/>
      <c r="DFI44" s="63"/>
      <c r="DFJ44" s="63"/>
      <c r="DFK44" s="63"/>
      <c r="DFL44" s="63"/>
      <c r="DFM44" s="63"/>
      <c r="DFN44" s="63"/>
      <c r="DFO44" s="63"/>
      <c r="DFP44" s="63"/>
      <c r="DFQ44" s="63"/>
      <c r="DFR44" s="63"/>
      <c r="DFS44" s="63"/>
      <c r="DFT44" s="63"/>
      <c r="DFU44" s="63"/>
      <c r="DFV44" s="63"/>
      <c r="DFW44" s="63"/>
      <c r="DFX44" s="63"/>
      <c r="DFY44" s="63"/>
      <c r="DFZ44" s="63"/>
      <c r="DGA44" s="63"/>
      <c r="DGB44" s="63"/>
      <c r="DGC44" s="63"/>
      <c r="DGD44" s="63"/>
      <c r="DGE44" s="63"/>
      <c r="DGF44" s="63"/>
      <c r="DGG44" s="63"/>
      <c r="DGH44" s="63"/>
      <c r="DGI44" s="63"/>
      <c r="DGJ44" s="63"/>
      <c r="DGK44" s="63"/>
      <c r="DGL44" s="63"/>
      <c r="DGM44" s="63"/>
      <c r="DGN44" s="63"/>
      <c r="DGO44" s="63"/>
      <c r="DGP44" s="63"/>
      <c r="DGQ44" s="63"/>
      <c r="DGR44" s="63"/>
      <c r="DGS44" s="63"/>
      <c r="DGT44" s="63"/>
      <c r="DGU44" s="63"/>
      <c r="DGV44" s="63"/>
      <c r="DGW44" s="63"/>
      <c r="DGX44" s="63"/>
      <c r="DGY44" s="63"/>
      <c r="DGZ44" s="63"/>
      <c r="DHA44" s="63"/>
      <c r="DHB44" s="63"/>
      <c r="DHC44" s="63"/>
      <c r="DHD44" s="63"/>
      <c r="DHE44" s="63"/>
      <c r="DHF44" s="63"/>
      <c r="DHG44" s="63"/>
      <c r="DHH44" s="63"/>
      <c r="DHI44" s="63"/>
      <c r="DHJ44" s="63"/>
      <c r="DHK44" s="63"/>
      <c r="DHL44" s="63"/>
      <c r="DHM44" s="63"/>
      <c r="DHN44" s="63"/>
      <c r="DHO44" s="63"/>
      <c r="DHP44" s="63"/>
      <c r="DHQ44" s="63"/>
      <c r="DHR44" s="63"/>
      <c r="DHS44" s="63"/>
      <c r="DHT44" s="63"/>
      <c r="DHU44" s="63"/>
      <c r="DHV44" s="63"/>
      <c r="DHW44" s="63"/>
      <c r="DHX44" s="63"/>
      <c r="DHY44" s="63"/>
      <c r="DHZ44" s="63"/>
      <c r="DIA44" s="63"/>
      <c r="DIB44" s="63"/>
      <c r="DIC44" s="63"/>
      <c r="DID44" s="63"/>
      <c r="DIE44" s="63"/>
      <c r="DIF44" s="63"/>
      <c r="DIG44" s="63"/>
      <c r="DIH44" s="63"/>
      <c r="DII44" s="63"/>
      <c r="DIJ44" s="63"/>
      <c r="DIK44" s="63"/>
      <c r="DIL44" s="63"/>
      <c r="DIM44" s="63"/>
      <c r="DIN44" s="63"/>
      <c r="DIO44" s="63"/>
      <c r="DIP44" s="63"/>
      <c r="DIQ44" s="63"/>
      <c r="DIR44" s="63"/>
      <c r="DIS44" s="63"/>
      <c r="DIT44" s="63"/>
      <c r="DIU44" s="63"/>
      <c r="DIV44" s="63"/>
      <c r="DIW44" s="63"/>
      <c r="DIX44" s="63"/>
      <c r="DIY44" s="63"/>
      <c r="DIZ44" s="63"/>
      <c r="DJA44" s="63"/>
      <c r="DJB44" s="63"/>
      <c r="DJC44" s="63"/>
      <c r="DJD44" s="63"/>
      <c r="DJE44" s="63"/>
      <c r="DJF44" s="63"/>
      <c r="DJG44" s="63"/>
      <c r="DJH44" s="63"/>
      <c r="DJI44" s="63"/>
      <c r="DJJ44" s="63"/>
      <c r="DJK44" s="63"/>
      <c r="DJL44" s="63"/>
      <c r="DJM44" s="63"/>
      <c r="DJN44" s="63"/>
      <c r="DJO44" s="63"/>
      <c r="DJP44" s="63"/>
      <c r="DJQ44" s="63"/>
      <c r="DJR44" s="63"/>
      <c r="DJS44" s="63"/>
      <c r="DJT44" s="63"/>
      <c r="DJU44" s="63"/>
      <c r="DJV44" s="63"/>
      <c r="DJW44" s="63"/>
      <c r="DJX44" s="63"/>
      <c r="DJY44" s="63"/>
      <c r="DJZ44" s="63"/>
      <c r="DKA44" s="63"/>
      <c r="DKB44" s="63"/>
      <c r="DKC44" s="63"/>
      <c r="DKD44" s="63"/>
      <c r="DKE44" s="63"/>
      <c r="DKF44" s="63"/>
      <c r="DKG44" s="63"/>
      <c r="DKH44" s="63"/>
      <c r="DKI44" s="63"/>
      <c r="DKJ44" s="63"/>
      <c r="DKK44" s="63"/>
      <c r="DKL44" s="63"/>
      <c r="DKM44" s="63"/>
      <c r="DKN44" s="63"/>
      <c r="DKO44" s="63"/>
      <c r="DKP44" s="63"/>
      <c r="DKQ44" s="63"/>
      <c r="DKR44" s="63"/>
      <c r="DKS44" s="63"/>
      <c r="DKT44" s="63"/>
      <c r="DKU44" s="63"/>
      <c r="DKV44" s="63"/>
      <c r="DKW44" s="63"/>
      <c r="DKX44" s="63"/>
      <c r="DKY44" s="63"/>
      <c r="DKZ44" s="63"/>
      <c r="DLA44" s="63"/>
      <c r="DLB44" s="63"/>
      <c r="DLC44" s="63"/>
      <c r="DLD44" s="63"/>
      <c r="DLE44" s="63"/>
      <c r="DLF44" s="63"/>
      <c r="DLG44" s="63"/>
      <c r="DLH44" s="63"/>
      <c r="DLI44" s="63"/>
      <c r="DLJ44" s="63"/>
      <c r="DLK44" s="63"/>
      <c r="DLL44" s="63"/>
      <c r="DLM44" s="63"/>
      <c r="DLN44" s="63"/>
      <c r="DLO44" s="63"/>
      <c r="DLP44" s="63"/>
      <c r="DLQ44" s="63"/>
      <c r="DLR44" s="63"/>
      <c r="DLS44" s="63"/>
      <c r="DLT44" s="63"/>
      <c r="DLU44" s="63"/>
      <c r="DLV44" s="63"/>
      <c r="DLW44" s="63"/>
      <c r="DLX44" s="63"/>
      <c r="DLY44" s="63"/>
      <c r="DLZ44" s="63"/>
      <c r="DMA44" s="63"/>
      <c r="DMB44" s="63"/>
      <c r="DMC44" s="63"/>
      <c r="DMD44" s="63"/>
      <c r="DME44" s="63"/>
      <c r="DMF44" s="63"/>
      <c r="DMG44" s="63"/>
      <c r="DMH44" s="63"/>
      <c r="DMI44" s="63"/>
      <c r="DMJ44" s="63"/>
      <c r="DMK44" s="63"/>
      <c r="DML44" s="63"/>
      <c r="DMM44" s="63"/>
      <c r="DMN44" s="63"/>
      <c r="DMO44" s="63"/>
      <c r="DMP44" s="63"/>
      <c r="DMQ44" s="63"/>
      <c r="DMR44" s="63"/>
      <c r="DMS44" s="63"/>
      <c r="DMT44" s="63"/>
      <c r="DMU44" s="63"/>
      <c r="DMV44" s="63"/>
      <c r="DMW44" s="63"/>
      <c r="DMX44" s="63"/>
      <c r="DMY44" s="63"/>
      <c r="DMZ44" s="63"/>
      <c r="DNA44" s="63"/>
      <c r="DNB44" s="63"/>
      <c r="DNC44" s="63"/>
      <c r="DND44" s="63"/>
      <c r="DNE44" s="63"/>
      <c r="DNF44" s="63"/>
      <c r="DNG44" s="63"/>
      <c r="DNH44" s="63"/>
      <c r="DNI44" s="63"/>
      <c r="DNJ44" s="63"/>
      <c r="DNK44" s="63"/>
      <c r="DNL44" s="63"/>
      <c r="DNM44" s="63"/>
      <c r="DNN44" s="63"/>
      <c r="DNO44" s="63"/>
      <c r="DNP44" s="63"/>
      <c r="DNQ44" s="63"/>
      <c r="DNR44" s="63"/>
      <c r="DNS44" s="63"/>
      <c r="DNT44" s="63"/>
      <c r="DNU44" s="63"/>
      <c r="DNV44" s="63"/>
      <c r="DNW44" s="63"/>
      <c r="DNX44" s="63"/>
      <c r="DNY44" s="63"/>
      <c r="DNZ44" s="63"/>
      <c r="DOA44" s="63"/>
      <c r="DOB44" s="63"/>
      <c r="DOC44" s="63"/>
      <c r="DOD44" s="63"/>
      <c r="DOE44" s="63"/>
      <c r="DOF44" s="63"/>
      <c r="DOG44" s="63"/>
      <c r="DOH44" s="63"/>
      <c r="DOI44" s="63"/>
      <c r="DOJ44" s="63"/>
      <c r="DOK44" s="63"/>
      <c r="DOL44" s="63"/>
      <c r="DOM44" s="63"/>
      <c r="DON44" s="63"/>
      <c r="DOO44" s="63"/>
      <c r="DOP44" s="63"/>
      <c r="DOQ44" s="63"/>
      <c r="DOR44" s="63"/>
      <c r="DOS44" s="63"/>
      <c r="DOT44" s="63"/>
      <c r="DOU44" s="63"/>
      <c r="DOV44" s="63"/>
      <c r="DOW44" s="63"/>
      <c r="DOX44" s="63"/>
      <c r="DOY44" s="63"/>
      <c r="DOZ44" s="63"/>
      <c r="DPA44" s="63"/>
      <c r="DPB44" s="63"/>
      <c r="DPC44" s="63"/>
      <c r="DPD44" s="63"/>
      <c r="DPE44" s="63"/>
      <c r="DPF44" s="63"/>
      <c r="DPG44" s="63"/>
      <c r="DPH44" s="63"/>
      <c r="DPI44" s="63"/>
      <c r="DPJ44" s="63"/>
      <c r="DPK44" s="63"/>
      <c r="DPL44" s="63"/>
      <c r="DPM44" s="63"/>
      <c r="DPN44" s="63"/>
      <c r="DPO44" s="63"/>
      <c r="DPP44" s="63"/>
      <c r="DPQ44" s="63"/>
      <c r="DPR44" s="63"/>
      <c r="DPS44" s="63"/>
      <c r="DPT44" s="63"/>
      <c r="DPU44" s="63"/>
      <c r="DPV44" s="63"/>
      <c r="DPW44" s="63"/>
      <c r="DPX44" s="63"/>
      <c r="DPY44" s="63"/>
      <c r="DPZ44" s="63"/>
      <c r="DQA44" s="63"/>
      <c r="DQB44" s="63"/>
      <c r="DQC44" s="63"/>
      <c r="DQD44" s="63"/>
      <c r="DQE44" s="63"/>
      <c r="DQF44" s="63"/>
      <c r="DQG44" s="63"/>
      <c r="DQH44" s="63"/>
      <c r="DQI44" s="63"/>
      <c r="DQJ44" s="63"/>
      <c r="DQK44" s="63"/>
      <c r="DQL44" s="63"/>
      <c r="DQM44" s="63"/>
      <c r="DQN44" s="63"/>
      <c r="DQO44" s="63"/>
      <c r="DQP44" s="63"/>
      <c r="DQQ44" s="63"/>
      <c r="DQR44" s="63"/>
      <c r="DQS44" s="63"/>
      <c r="DQT44" s="63"/>
      <c r="DQU44" s="63"/>
      <c r="DQV44" s="63"/>
      <c r="DQW44" s="63"/>
      <c r="DQX44" s="63"/>
      <c r="DQY44" s="63"/>
      <c r="DQZ44" s="63"/>
      <c r="DRA44" s="63"/>
      <c r="DRB44" s="63"/>
      <c r="DRC44" s="63"/>
      <c r="DRD44" s="63"/>
      <c r="DRE44" s="63"/>
      <c r="DRF44" s="63"/>
      <c r="DRG44" s="63"/>
      <c r="DRH44" s="63"/>
      <c r="DRI44" s="63"/>
      <c r="DRJ44" s="63"/>
      <c r="DRK44" s="63"/>
      <c r="DRL44" s="63"/>
      <c r="DRM44" s="63"/>
      <c r="DRN44" s="63"/>
      <c r="DRO44" s="63"/>
      <c r="DRP44" s="63"/>
      <c r="DRQ44" s="63"/>
      <c r="DRR44" s="63"/>
      <c r="DRS44" s="63"/>
      <c r="DRT44" s="63"/>
      <c r="DRU44" s="63"/>
      <c r="DRV44" s="63"/>
      <c r="DRW44" s="63"/>
      <c r="DRX44" s="63"/>
      <c r="DRY44" s="63"/>
      <c r="DRZ44" s="63"/>
      <c r="DSA44" s="63"/>
      <c r="DSB44" s="63"/>
      <c r="DSC44" s="63"/>
      <c r="DSD44" s="63"/>
      <c r="DSE44" s="63"/>
      <c r="DSF44" s="63"/>
      <c r="DSG44" s="63"/>
      <c r="DSH44" s="63"/>
      <c r="DSI44" s="63"/>
      <c r="DSJ44" s="63"/>
      <c r="DSK44" s="63"/>
      <c r="DSL44" s="63"/>
      <c r="DSM44" s="63"/>
      <c r="DSN44" s="63"/>
      <c r="DSO44" s="63"/>
      <c r="DSP44" s="63"/>
      <c r="DSQ44" s="63"/>
      <c r="DSR44" s="63"/>
      <c r="DSS44" s="63"/>
      <c r="DST44" s="63"/>
      <c r="DSU44" s="63"/>
      <c r="DSV44" s="63"/>
      <c r="DSW44" s="63"/>
      <c r="DSX44" s="63"/>
      <c r="DSY44" s="63"/>
      <c r="DSZ44" s="63"/>
      <c r="DTA44" s="63"/>
      <c r="DTB44" s="63"/>
      <c r="DTC44" s="63"/>
      <c r="DTD44" s="63"/>
      <c r="DTE44" s="63"/>
      <c r="DTF44" s="63"/>
      <c r="DTG44" s="63"/>
      <c r="DTH44" s="63"/>
      <c r="DTI44" s="63"/>
      <c r="DTJ44" s="63"/>
      <c r="DTK44" s="63"/>
      <c r="DTL44" s="63"/>
      <c r="DTM44" s="63"/>
      <c r="DTN44" s="63"/>
      <c r="DTO44" s="63"/>
      <c r="DTP44" s="63"/>
      <c r="DTQ44" s="63"/>
      <c r="DTR44" s="63"/>
      <c r="DTS44" s="63"/>
      <c r="DTT44" s="63"/>
      <c r="DTU44" s="63"/>
      <c r="DTV44" s="63"/>
      <c r="DTW44" s="63"/>
      <c r="DTX44" s="63"/>
      <c r="DTY44" s="63"/>
      <c r="DTZ44" s="63"/>
      <c r="DUA44" s="63"/>
      <c r="DUB44" s="63"/>
      <c r="DUC44" s="63"/>
      <c r="DUD44" s="63"/>
      <c r="DUE44" s="63"/>
      <c r="DUF44" s="63"/>
      <c r="DUG44" s="63"/>
      <c r="DUH44" s="63"/>
      <c r="DUI44" s="63"/>
      <c r="DUJ44" s="63"/>
      <c r="DUK44" s="63"/>
      <c r="DUL44" s="63"/>
      <c r="DUM44" s="63"/>
      <c r="DUN44" s="63"/>
      <c r="DUO44" s="63"/>
      <c r="DUP44" s="63"/>
      <c r="DUQ44" s="63"/>
      <c r="DUR44" s="63"/>
      <c r="DUS44" s="63"/>
      <c r="DUT44" s="63"/>
      <c r="DUU44" s="63"/>
      <c r="DUV44" s="63"/>
      <c r="DUW44" s="63"/>
      <c r="DUX44" s="63"/>
      <c r="DUY44" s="63"/>
      <c r="DUZ44" s="63"/>
      <c r="DVA44" s="63"/>
      <c r="DVB44" s="63"/>
      <c r="DVC44" s="63"/>
      <c r="DVD44" s="63"/>
      <c r="DVE44" s="63"/>
      <c r="DVF44" s="63"/>
      <c r="DVG44" s="63"/>
      <c r="DVH44" s="63"/>
      <c r="DVI44" s="63"/>
      <c r="DVJ44" s="63"/>
      <c r="DVK44" s="63"/>
      <c r="DVL44" s="63"/>
      <c r="DVM44" s="63"/>
      <c r="DVN44" s="63"/>
      <c r="DVO44" s="63"/>
      <c r="DVP44" s="63"/>
      <c r="DVQ44" s="63"/>
      <c r="DVR44" s="63"/>
      <c r="DVS44" s="63"/>
      <c r="DVT44" s="63"/>
      <c r="DVU44" s="63"/>
      <c r="DVV44" s="63"/>
      <c r="DVW44" s="63"/>
      <c r="DVX44" s="63"/>
      <c r="DVY44" s="63"/>
      <c r="DVZ44" s="63"/>
      <c r="DWA44" s="63"/>
      <c r="DWB44" s="63"/>
      <c r="DWC44" s="63"/>
      <c r="DWD44" s="63"/>
      <c r="DWE44" s="63"/>
      <c r="DWF44" s="63"/>
      <c r="DWG44" s="63"/>
      <c r="DWH44" s="63"/>
      <c r="DWI44" s="63"/>
      <c r="DWJ44" s="63"/>
      <c r="DWK44" s="63"/>
      <c r="DWL44" s="63"/>
      <c r="DWM44" s="63"/>
      <c r="DWN44" s="63"/>
      <c r="DWO44" s="63"/>
      <c r="DWP44" s="63"/>
      <c r="DWQ44" s="63"/>
      <c r="DWR44" s="63"/>
      <c r="DWS44" s="63"/>
      <c r="DWT44" s="63"/>
      <c r="DWU44" s="63"/>
      <c r="DWV44" s="63"/>
      <c r="DWW44" s="63"/>
      <c r="DWX44" s="63"/>
      <c r="DWY44" s="63"/>
      <c r="DWZ44" s="63"/>
      <c r="DXA44" s="63"/>
      <c r="DXB44" s="63"/>
      <c r="DXC44" s="63"/>
      <c r="DXD44" s="63"/>
      <c r="DXE44" s="63"/>
      <c r="DXF44" s="63"/>
      <c r="DXG44" s="63"/>
      <c r="DXH44" s="63"/>
      <c r="DXI44" s="63"/>
      <c r="DXJ44" s="63"/>
      <c r="DXK44" s="63"/>
      <c r="DXL44" s="63"/>
      <c r="DXM44" s="63"/>
      <c r="DXN44" s="63"/>
      <c r="DXO44" s="63"/>
      <c r="DXP44" s="63"/>
      <c r="DXQ44" s="63"/>
      <c r="DXR44" s="63"/>
      <c r="DXS44" s="63"/>
      <c r="DXT44" s="63"/>
      <c r="DXU44" s="63"/>
      <c r="DXV44" s="63"/>
      <c r="DXW44" s="63"/>
      <c r="DXX44" s="63"/>
      <c r="DXY44" s="63"/>
      <c r="DXZ44" s="63"/>
      <c r="DYA44" s="63"/>
      <c r="DYB44" s="63"/>
      <c r="DYC44" s="63"/>
      <c r="DYD44" s="63"/>
      <c r="DYE44" s="63"/>
      <c r="DYF44" s="63"/>
      <c r="DYG44" s="63"/>
      <c r="DYH44" s="63"/>
      <c r="DYI44" s="63"/>
      <c r="DYJ44" s="63"/>
      <c r="DYK44" s="63"/>
      <c r="DYL44" s="63"/>
      <c r="DYM44" s="63"/>
      <c r="DYN44" s="63"/>
      <c r="DYO44" s="63"/>
      <c r="DYP44" s="63"/>
      <c r="DYQ44" s="63"/>
      <c r="DYR44" s="63"/>
      <c r="DYS44" s="63"/>
      <c r="DYT44" s="63"/>
      <c r="DYU44" s="63"/>
      <c r="DYV44" s="63"/>
      <c r="DYW44" s="63"/>
      <c r="DYX44" s="63"/>
      <c r="DYY44" s="63"/>
      <c r="DYZ44" s="63"/>
      <c r="DZA44" s="63"/>
      <c r="DZB44" s="63"/>
      <c r="DZC44" s="63"/>
      <c r="DZD44" s="63"/>
      <c r="DZE44" s="63"/>
      <c r="DZF44" s="63"/>
      <c r="DZG44" s="63"/>
      <c r="DZH44" s="63"/>
      <c r="DZI44" s="63"/>
      <c r="DZJ44" s="63"/>
      <c r="DZK44" s="63"/>
      <c r="DZL44" s="63"/>
      <c r="DZM44" s="63"/>
      <c r="DZN44" s="63"/>
      <c r="DZO44" s="63"/>
      <c r="DZP44" s="63"/>
      <c r="DZQ44" s="63"/>
      <c r="DZR44" s="63"/>
      <c r="DZS44" s="63"/>
      <c r="DZT44" s="63"/>
      <c r="DZU44" s="63"/>
      <c r="DZV44" s="63"/>
      <c r="DZW44" s="63"/>
      <c r="DZX44" s="63"/>
      <c r="DZY44" s="63"/>
      <c r="DZZ44" s="63"/>
      <c r="EAA44" s="63"/>
      <c r="EAB44" s="63"/>
      <c r="EAC44" s="63"/>
      <c r="EAD44" s="63"/>
      <c r="EAE44" s="63"/>
      <c r="EAF44" s="63"/>
      <c r="EAG44" s="63"/>
      <c r="EAH44" s="63"/>
      <c r="EAI44" s="63"/>
      <c r="EAJ44" s="63"/>
      <c r="EAK44" s="63"/>
      <c r="EAL44" s="63"/>
      <c r="EAM44" s="63"/>
      <c r="EAN44" s="63"/>
      <c r="EAO44" s="63"/>
      <c r="EAP44" s="63"/>
      <c r="EAQ44" s="63"/>
      <c r="EAR44" s="63"/>
      <c r="EAS44" s="63"/>
      <c r="EAT44" s="63"/>
      <c r="EAU44" s="63"/>
      <c r="EAV44" s="63"/>
      <c r="EAW44" s="63"/>
      <c r="EAX44" s="63"/>
      <c r="EAY44" s="63"/>
      <c r="EAZ44" s="63"/>
      <c r="EBA44" s="63"/>
      <c r="EBB44" s="63"/>
      <c r="EBC44" s="63"/>
      <c r="EBD44" s="63"/>
      <c r="EBE44" s="63"/>
      <c r="EBF44" s="63"/>
      <c r="EBG44" s="63"/>
      <c r="EBH44" s="63"/>
      <c r="EBI44" s="63"/>
      <c r="EBJ44" s="63"/>
      <c r="EBK44" s="63"/>
      <c r="EBL44" s="63"/>
      <c r="EBM44" s="63"/>
      <c r="EBN44" s="63"/>
      <c r="EBO44" s="63"/>
      <c r="EBP44" s="63"/>
      <c r="EBQ44" s="63"/>
      <c r="EBR44" s="63"/>
      <c r="EBS44" s="63"/>
      <c r="EBT44" s="63"/>
      <c r="EBU44" s="63"/>
      <c r="EBV44" s="63"/>
      <c r="EBW44" s="63"/>
      <c r="EBX44" s="63"/>
      <c r="EBY44" s="63"/>
      <c r="EBZ44" s="63"/>
      <c r="ECA44" s="63"/>
      <c r="ECB44" s="63"/>
      <c r="ECC44" s="63"/>
      <c r="ECD44" s="63"/>
      <c r="ECE44" s="63"/>
      <c r="ECF44" s="63"/>
      <c r="ECG44" s="63"/>
      <c r="ECH44" s="63"/>
      <c r="ECI44" s="63"/>
      <c r="ECJ44" s="63"/>
      <c r="ECK44" s="63"/>
      <c r="ECL44" s="63"/>
      <c r="ECM44" s="63"/>
      <c r="ECN44" s="63"/>
      <c r="ECO44" s="63"/>
      <c r="ECP44" s="63"/>
      <c r="ECQ44" s="63"/>
      <c r="ECR44" s="63"/>
      <c r="ECS44" s="63"/>
      <c r="ECT44" s="63"/>
      <c r="ECU44" s="63"/>
      <c r="ECV44" s="63"/>
      <c r="ECW44" s="63"/>
      <c r="ECX44" s="63"/>
      <c r="ECY44" s="63"/>
      <c r="ECZ44" s="63"/>
      <c r="EDA44" s="63"/>
      <c r="EDB44" s="63"/>
      <c r="EDC44" s="63"/>
      <c r="EDD44" s="63"/>
      <c r="EDE44" s="63"/>
      <c r="EDF44" s="63"/>
      <c r="EDG44" s="63"/>
      <c r="EDH44" s="63"/>
      <c r="EDI44" s="63"/>
      <c r="EDJ44" s="63"/>
      <c r="EDK44" s="63"/>
      <c r="EDL44" s="63"/>
      <c r="EDM44" s="63"/>
      <c r="EDN44" s="63"/>
      <c r="EDO44" s="63"/>
      <c r="EDP44" s="63"/>
      <c r="EDQ44" s="63"/>
      <c r="EDR44" s="63"/>
      <c r="EDS44" s="63"/>
      <c r="EDT44" s="63"/>
      <c r="EDU44" s="63"/>
      <c r="EDV44" s="63"/>
      <c r="EDW44" s="63"/>
      <c r="EDX44" s="63"/>
      <c r="EDY44" s="63"/>
      <c r="EDZ44" s="63"/>
      <c r="EEA44" s="63"/>
      <c r="EEB44" s="63"/>
      <c r="EEC44" s="63"/>
      <c r="EED44" s="63"/>
      <c r="EEE44" s="63"/>
      <c r="EEF44" s="63"/>
      <c r="EEG44" s="63"/>
      <c r="EEH44" s="63"/>
      <c r="EEI44" s="63"/>
      <c r="EEJ44" s="63"/>
      <c r="EEK44" s="63"/>
      <c r="EEL44" s="63"/>
      <c r="EEM44" s="63"/>
      <c r="EEN44" s="63"/>
      <c r="EEO44" s="63"/>
      <c r="EEP44" s="63"/>
      <c r="EEQ44" s="63"/>
      <c r="EER44" s="63"/>
      <c r="EES44" s="63"/>
      <c r="EET44" s="63"/>
      <c r="EEU44" s="63"/>
      <c r="EEV44" s="63"/>
      <c r="EEW44" s="63"/>
      <c r="EEX44" s="63"/>
      <c r="EEY44" s="63"/>
      <c r="EEZ44" s="63"/>
      <c r="EFA44" s="63"/>
      <c r="EFB44" s="63"/>
      <c r="EFC44" s="63"/>
      <c r="EFD44" s="63"/>
      <c r="EFE44" s="63"/>
      <c r="EFF44" s="63"/>
      <c r="EFG44" s="63"/>
      <c r="EFH44" s="63"/>
      <c r="EFI44" s="63"/>
      <c r="EFJ44" s="63"/>
      <c r="EFK44" s="63"/>
      <c r="EFL44" s="63"/>
      <c r="EFM44" s="63"/>
      <c r="EFN44" s="63"/>
      <c r="EFO44" s="63"/>
      <c r="EFP44" s="63"/>
      <c r="EFQ44" s="63"/>
      <c r="EFR44" s="63"/>
      <c r="EFS44" s="63"/>
      <c r="EFT44" s="63"/>
      <c r="EFU44" s="63"/>
      <c r="EFV44" s="63"/>
      <c r="EFW44" s="63"/>
      <c r="EFX44" s="63"/>
      <c r="EFY44" s="63"/>
      <c r="EFZ44" s="63"/>
      <c r="EGA44" s="63"/>
      <c r="EGB44" s="63"/>
      <c r="EGC44" s="63"/>
      <c r="EGD44" s="63"/>
      <c r="EGE44" s="63"/>
      <c r="EGF44" s="63"/>
      <c r="EGG44" s="63"/>
      <c r="EGH44" s="63"/>
      <c r="EGI44" s="63"/>
      <c r="EGJ44" s="63"/>
      <c r="EGK44" s="63"/>
      <c r="EGL44" s="63"/>
      <c r="EGM44" s="63"/>
      <c r="EGN44" s="63"/>
      <c r="EGO44" s="63"/>
      <c r="EGP44" s="63"/>
      <c r="EGQ44" s="63"/>
      <c r="EGR44" s="63"/>
      <c r="EGS44" s="63"/>
      <c r="EGT44" s="63"/>
      <c r="EGU44" s="63"/>
      <c r="EGV44" s="63"/>
      <c r="EGW44" s="63"/>
      <c r="EGX44" s="63"/>
      <c r="EGY44" s="63"/>
      <c r="EGZ44" s="63"/>
      <c r="EHA44" s="63"/>
      <c r="EHB44" s="63"/>
      <c r="EHC44" s="63"/>
      <c r="EHD44" s="63"/>
      <c r="EHE44" s="63"/>
      <c r="EHF44" s="63"/>
      <c r="EHG44" s="63"/>
      <c r="EHH44" s="63"/>
      <c r="EHI44" s="63"/>
      <c r="EHJ44" s="63"/>
      <c r="EHK44" s="63"/>
      <c r="EHL44" s="63"/>
      <c r="EHM44" s="63"/>
      <c r="EHN44" s="63"/>
      <c r="EHO44" s="63"/>
      <c r="EHP44" s="63"/>
      <c r="EHQ44" s="63"/>
      <c r="EHR44" s="63"/>
      <c r="EHS44" s="63"/>
      <c r="EHT44" s="63"/>
      <c r="EHU44" s="63"/>
      <c r="EHV44" s="63"/>
      <c r="EHW44" s="63"/>
      <c r="EHX44" s="63"/>
      <c r="EHY44" s="63"/>
      <c r="EHZ44" s="63"/>
      <c r="EIA44" s="63"/>
      <c r="EIB44" s="63"/>
      <c r="EIC44" s="63"/>
      <c r="EID44" s="63"/>
      <c r="EIE44" s="63"/>
      <c r="EIF44" s="63"/>
      <c r="EIG44" s="63"/>
      <c r="EIH44" s="63"/>
      <c r="EII44" s="63"/>
      <c r="EIJ44" s="63"/>
      <c r="EIK44" s="63"/>
      <c r="EIL44" s="63"/>
      <c r="EIM44" s="63"/>
      <c r="EIN44" s="63"/>
      <c r="EIO44" s="63"/>
      <c r="EIP44" s="63"/>
      <c r="EIQ44" s="63"/>
      <c r="EIR44" s="63"/>
      <c r="EIS44" s="63"/>
      <c r="EIT44" s="63"/>
      <c r="EIU44" s="63"/>
      <c r="EIV44" s="63"/>
      <c r="EIW44" s="63"/>
      <c r="EIX44" s="63"/>
      <c r="EIY44" s="63"/>
      <c r="EIZ44" s="63"/>
      <c r="EJA44" s="63"/>
      <c r="EJB44" s="63"/>
      <c r="EJC44" s="63"/>
      <c r="EJD44" s="63"/>
      <c r="EJE44" s="63"/>
      <c r="EJF44" s="63"/>
      <c r="EJG44" s="63"/>
      <c r="EJH44" s="63"/>
      <c r="EJI44" s="63"/>
      <c r="EJJ44" s="63"/>
      <c r="EJK44" s="63"/>
      <c r="EJL44" s="63"/>
      <c r="EJM44" s="63"/>
      <c r="EJN44" s="63"/>
      <c r="EJO44" s="63"/>
      <c r="EJP44" s="63"/>
      <c r="EJQ44" s="63"/>
      <c r="EJR44" s="63"/>
      <c r="EJS44" s="63"/>
      <c r="EJT44" s="63"/>
      <c r="EJU44" s="63"/>
      <c r="EJV44" s="63"/>
      <c r="EJW44" s="63"/>
      <c r="EJX44" s="63"/>
      <c r="EJY44" s="63"/>
      <c r="EJZ44" s="63"/>
      <c r="EKA44" s="63"/>
      <c r="EKB44" s="63"/>
      <c r="EKC44" s="63"/>
      <c r="EKD44" s="63"/>
      <c r="EKE44" s="63"/>
      <c r="EKF44" s="63"/>
      <c r="EKG44" s="63"/>
      <c r="EKH44" s="63"/>
      <c r="EKI44" s="63"/>
      <c r="EKJ44" s="63"/>
      <c r="EKK44" s="63"/>
      <c r="EKL44" s="63"/>
      <c r="EKM44" s="63"/>
      <c r="EKN44" s="63"/>
      <c r="EKO44" s="63"/>
      <c r="EKP44" s="63"/>
      <c r="EKQ44" s="63"/>
      <c r="EKR44" s="63"/>
      <c r="EKS44" s="63"/>
      <c r="EKT44" s="63"/>
      <c r="EKU44" s="63"/>
      <c r="EKV44" s="63"/>
      <c r="EKW44" s="63"/>
      <c r="EKX44" s="63"/>
      <c r="EKY44" s="63"/>
      <c r="EKZ44" s="63"/>
      <c r="ELA44" s="63"/>
      <c r="ELB44" s="63"/>
      <c r="ELC44" s="63"/>
      <c r="ELD44" s="63"/>
      <c r="ELE44" s="63"/>
      <c r="ELF44" s="63"/>
      <c r="ELG44" s="63"/>
      <c r="ELH44" s="63"/>
      <c r="ELI44" s="63"/>
      <c r="ELJ44" s="63"/>
      <c r="ELK44" s="63"/>
      <c r="ELL44" s="63"/>
      <c r="ELM44" s="63"/>
      <c r="ELN44" s="63"/>
      <c r="ELO44" s="63"/>
      <c r="ELP44" s="63"/>
      <c r="ELQ44" s="63"/>
      <c r="ELR44" s="63"/>
      <c r="ELS44" s="63"/>
      <c r="ELT44" s="63"/>
      <c r="ELU44" s="63"/>
      <c r="ELV44" s="63"/>
      <c r="ELW44" s="63"/>
      <c r="ELX44" s="63"/>
      <c r="ELY44" s="63"/>
      <c r="ELZ44" s="63"/>
      <c r="EMA44" s="63"/>
      <c r="EMB44" s="63"/>
      <c r="EMC44" s="63"/>
      <c r="EMD44" s="63"/>
      <c r="EME44" s="63"/>
      <c r="EMF44" s="63"/>
      <c r="EMG44" s="63"/>
      <c r="EMH44" s="63"/>
      <c r="EMI44" s="63"/>
      <c r="EMJ44" s="63"/>
      <c r="EMK44" s="63"/>
      <c r="EML44" s="63"/>
      <c r="EMM44" s="63"/>
      <c r="EMN44" s="63"/>
      <c r="EMO44" s="63"/>
      <c r="EMP44" s="63"/>
      <c r="EMQ44" s="63"/>
      <c r="EMR44" s="63"/>
      <c r="EMS44" s="63"/>
      <c r="EMT44" s="63"/>
      <c r="EMU44" s="63"/>
      <c r="EMV44" s="63"/>
      <c r="EMW44" s="63"/>
      <c r="EMX44" s="63"/>
      <c r="EMY44" s="63"/>
      <c r="EMZ44" s="63"/>
      <c r="ENA44" s="63"/>
      <c r="ENB44" s="63"/>
      <c r="ENC44" s="63"/>
      <c r="END44" s="63"/>
      <c r="ENE44" s="63"/>
      <c r="ENF44" s="63"/>
      <c r="ENG44" s="63"/>
      <c r="ENH44" s="63"/>
      <c r="ENI44" s="63"/>
      <c r="ENJ44" s="63"/>
      <c r="ENK44" s="63"/>
      <c r="ENL44" s="63"/>
      <c r="ENM44" s="63"/>
      <c r="ENN44" s="63"/>
      <c r="ENO44" s="63"/>
      <c r="ENP44" s="63"/>
      <c r="ENQ44" s="63"/>
      <c r="ENR44" s="63"/>
      <c r="ENS44" s="63"/>
      <c r="ENT44" s="63"/>
      <c r="ENU44" s="63"/>
      <c r="ENV44" s="63"/>
      <c r="ENW44" s="63"/>
      <c r="ENX44" s="63"/>
      <c r="ENY44" s="63"/>
      <c r="ENZ44" s="63"/>
      <c r="EOA44" s="63"/>
      <c r="EOB44" s="63"/>
      <c r="EOC44" s="63"/>
      <c r="EOD44" s="63"/>
      <c r="EOE44" s="63"/>
      <c r="EOF44" s="63"/>
      <c r="EOG44" s="63"/>
      <c r="EOH44" s="63"/>
      <c r="EOI44" s="63"/>
      <c r="EOJ44" s="63"/>
      <c r="EOK44" s="63"/>
      <c r="EOL44" s="63"/>
      <c r="EOM44" s="63"/>
      <c r="EON44" s="63"/>
      <c r="EOO44" s="63"/>
      <c r="EOP44" s="63"/>
      <c r="EOQ44" s="63"/>
      <c r="EOR44" s="63"/>
      <c r="EOS44" s="63"/>
      <c r="EOT44" s="63"/>
      <c r="EOU44" s="63"/>
      <c r="EOV44" s="63"/>
      <c r="EOW44" s="63"/>
      <c r="EOX44" s="63"/>
      <c r="EOY44" s="63"/>
      <c r="EOZ44" s="63"/>
      <c r="EPA44" s="63"/>
      <c r="EPB44" s="63"/>
      <c r="EPC44" s="63"/>
      <c r="EPD44" s="63"/>
      <c r="EPE44" s="63"/>
      <c r="EPF44" s="63"/>
      <c r="EPG44" s="63"/>
      <c r="EPH44" s="63"/>
      <c r="EPI44" s="63"/>
      <c r="EPJ44" s="63"/>
      <c r="EPK44" s="63"/>
      <c r="EPL44" s="63"/>
      <c r="EPM44" s="63"/>
      <c r="EPN44" s="63"/>
      <c r="EPO44" s="63"/>
      <c r="EPP44" s="63"/>
      <c r="EPQ44" s="63"/>
      <c r="EPR44" s="63"/>
      <c r="EPS44" s="63"/>
      <c r="EPT44" s="63"/>
      <c r="EPU44" s="63"/>
      <c r="EPV44" s="63"/>
      <c r="EPW44" s="63"/>
      <c r="EPX44" s="63"/>
      <c r="EPY44" s="63"/>
      <c r="EPZ44" s="63"/>
      <c r="EQA44" s="63"/>
      <c r="EQB44" s="63"/>
      <c r="EQC44" s="63"/>
      <c r="EQD44" s="63"/>
      <c r="EQE44" s="63"/>
      <c r="EQF44" s="63"/>
      <c r="EQG44" s="63"/>
      <c r="EQH44" s="63"/>
      <c r="EQI44" s="63"/>
      <c r="EQJ44" s="63"/>
      <c r="EQK44" s="63"/>
      <c r="EQL44" s="63"/>
      <c r="EQM44" s="63"/>
      <c r="EQN44" s="63"/>
      <c r="EQO44" s="63"/>
      <c r="EQP44" s="63"/>
      <c r="EQQ44" s="63"/>
      <c r="EQR44" s="63"/>
      <c r="EQS44" s="63"/>
      <c r="EQT44" s="63"/>
      <c r="EQU44" s="63"/>
      <c r="EQV44" s="63"/>
      <c r="EQW44" s="63"/>
      <c r="EQX44" s="63"/>
      <c r="EQY44" s="63"/>
      <c r="EQZ44" s="63"/>
      <c r="ERA44" s="63"/>
      <c r="ERB44" s="63"/>
      <c r="ERC44" s="63"/>
      <c r="ERD44" s="63"/>
      <c r="ERE44" s="63"/>
      <c r="ERF44" s="63"/>
      <c r="ERG44" s="63"/>
      <c r="ERH44" s="63"/>
      <c r="ERI44" s="63"/>
      <c r="ERJ44" s="63"/>
      <c r="ERK44" s="63"/>
      <c r="ERL44" s="63"/>
      <c r="ERM44" s="63"/>
      <c r="ERN44" s="63"/>
      <c r="ERO44" s="63"/>
      <c r="ERP44" s="63"/>
      <c r="ERQ44" s="63"/>
      <c r="ERR44" s="63"/>
      <c r="ERS44" s="63"/>
      <c r="ERT44" s="63"/>
      <c r="ERU44" s="63"/>
      <c r="ERV44" s="63"/>
      <c r="ERW44" s="63"/>
      <c r="ERX44" s="63"/>
      <c r="ERY44" s="63"/>
      <c r="ERZ44" s="63"/>
      <c r="ESA44" s="63"/>
      <c r="ESB44" s="63"/>
      <c r="ESC44" s="63"/>
      <c r="ESD44" s="63"/>
      <c r="ESE44" s="63"/>
      <c r="ESF44" s="63"/>
      <c r="ESG44" s="63"/>
      <c r="ESH44" s="63"/>
      <c r="ESI44" s="63"/>
      <c r="ESJ44" s="63"/>
      <c r="ESK44" s="63"/>
      <c r="ESL44" s="63"/>
      <c r="ESM44" s="63"/>
      <c r="ESN44" s="63"/>
      <c r="ESO44" s="63"/>
      <c r="ESP44" s="63"/>
      <c r="ESQ44" s="63"/>
      <c r="ESR44" s="63"/>
      <c r="ESS44" s="63"/>
      <c r="EST44" s="63"/>
      <c r="ESU44" s="63"/>
      <c r="ESV44" s="63"/>
      <c r="ESW44" s="63"/>
      <c r="ESX44" s="63"/>
      <c r="ESY44" s="63"/>
      <c r="ESZ44" s="63"/>
      <c r="ETA44" s="63"/>
      <c r="ETB44" s="63"/>
      <c r="ETC44" s="63"/>
      <c r="ETD44" s="63"/>
      <c r="ETE44" s="63"/>
      <c r="ETF44" s="63"/>
      <c r="ETG44" s="63"/>
      <c r="ETH44" s="63"/>
      <c r="ETI44" s="63"/>
      <c r="ETJ44" s="63"/>
      <c r="ETK44" s="63"/>
      <c r="ETL44" s="63"/>
      <c r="ETM44" s="63"/>
      <c r="ETN44" s="63"/>
      <c r="ETO44" s="63"/>
      <c r="ETP44" s="63"/>
      <c r="ETQ44" s="63"/>
      <c r="ETR44" s="63"/>
      <c r="ETS44" s="63"/>
      <c r="ETT44" s="63"/>
      <c r="ETU44" s="63"/>
      <c r="ETV44" s="63"/>
      <c r="ETW44" s="63"/>
      <c r="ETX44" s="63"/>
      <c r="ETY44" s="63"/>
      <c r="ETZ44" s="63"/>
      <c r="EUA44" s="63"/>
      <c r="EUB44" s="63"/>
      <c r="EUC44" s="63"/>
      <c r="EUD44" s="63"/>
      <c r="EUE44" s="63"/>
      <c r="EUF44" s="63"/>
      <c r="EUG44" s="63"/>
      <c r="EUH44" s="63"/>
      <c r="EUI44" s="63"/>
      <c r="EUJ44" s="63"/>
      <c r="EUK44" s="63"/>
      <c r="EUL44" s="63"/>
      <c r="EUM44" s="63"/>
      <c r="EUN44" s="63"/>
      <c r="EUO44" s="63"/>
      <c r="EUP44" s="63"/>
      <c r="EUQ44" s="63"/>
      <c r="EUR44" s="63"/>
      <c r="EUS44" s="63"/>
      <c r="EUT44" s="63"/>
      <c r="EUU44" s="63"/>
      <c r="EUV44" s="63"/>
      <c r="EUW44" s="63"/>
      <c r="EUX44" s="63"/>
      <c r="EUY44" s="63"/>
      <c r="EUZ44" s="63"/>
      <c r="EVA44" s="63"/>
      <c r="EVB44" s="63"/>
      <c r="EVC44" s="63"/>
      <c r="EVD44" s="63"/>
      <c r="EVE44" s="63"/>
      <c r="EVF44" s="63"/>
      <c r="EVG44" s="63"/>
      <c r="EVH44" s="63"/>
      <c r="EVI44" s="63"/>
      <c r="EVJ44" s="63"/>
      <c r="EVK44" s="63"/>
      <c r="EVL44" s="63"/>
      <c r="EVM44" s="63"/>
      <c r="EVN44" s="63"/>
      <c r="EVO44" s="63"/>
      <c r="EVP44" s="63"/>
      <c r="EVQ44" s="63"/>
      <c r="EVR44" s="63"/>
      <c r="EVS44" s="63"/>
      <c r="EVT44" s="63"/>
      <c r="EVU44" s="63"/>
      <c r="EVV44" s="63"/>
      <c r="EVW44" s="63"/>
      <c r="EVX44" s="63"/>
      <c r="EVY44" s="63"/>
      <c r="EVZ44" s="63"/>
      <c r="EWA44" s="63"/>
      <c r="EWB44" s="63"/>
      <c r="EWC44" s="63"/>
      <c r="EWD44" s="63"/>
      <c r="EWE44" s="63"/>
      <c r="EWF44" s="63"/>
      <c r="EWG44" s="63"/>
      <c r="EWH44" s="63"/>
      <c r="EWI44" s="63"/>
      <c r="EWJ44" s="63"/>
      <c r="EWK44" s="63"/>
      <c r="EWL44" s="63"/>
      <c r="EWM44" s="63"/>
      <c r="EWN44" s="63"/>
      <c r="EWO44" s="63"/>
      <c r="EWP44" s="63"/>
      <c r="EWQ44" s="63"/>
      <c r="EWR44" s="63"/>
      <c r="EWS44" s="63"/>
      <c r="EWT44" s="63"/>
      <c r="EWU44" s="63"/>
      <c r="EWV44" s="63"/>
      <c r="EWW44" s="63"/>
      <c r="EWX44" s="63"/>
      <c r="EWY44" s="63"/>
      <c r="EWZ44" s="63"/>
      <c r="EXA44" s="63"/>
      <c r="EXB44" s="63"/>
      <c r="EXC44" s="63"/>
      <c r="EXD44" s="63"/>
      <c r="EXE44" s="63"/>
      <c r="EXF44" s="63"/>
      <c r="EXG44" s="63"/>
      <c r="EXH44" s="63"/>
      <c r="EXI44" s="63"/>
      <c r="EXJ44" s="63"/>
      <c r="EXK44" s="63"/>
      <c r="EXL44" s="63"/>
      <c r="EXM44" s="63"/>
      <c r="EXN44" s="63"/>
      <c r="EXO44" s="63"/>
      <c r="EXP44" s="63"/>
      <c r="EXQ44" s="63"/>
      <c r="EXR44" s="63"/>
      <c r="EXS44" s="63"/>
      <c r="EXT44" s="63"/>
      <c r="EXU44" s="63"/>
      <c r="EXV44" s="63"/>
      <c r="EXW44" s="63"/>
      <c r="EXX44" s="63"/>
      <c r="EXY44" s="63"/>
      <c r="EXZ44" s="63"/>
      <c r="EYA44" s="63"/>
      <c r="EYB44" s="63"/>
      <c r="EYC44" s="63"/>
      <c r="EYD44" s="63"/>
      <c r="EYE44" s="63"/>
      <c r="EYF44" s="63"/>
      <c r="EYG44" s="63"/>
      <c r="EYH44" s="63"/>
      <c r="EYI44" s="63"/>
      <c r="EYJ44" s="63"/>
      <c r="EYK44" s="63"/>
      <c r="EYL44" s="63"/>
      <c r="EYM44" s="63"/>
      <c r="EYN44" s="63"/>
      <c r="EYO44" s="63"/>
      <c r="EYP44" s="63"/>
      <c r="EYQ44" s="63"/>
      <c r="EYR44" s="63"/>
      <c r="EYS44" s="63"/>
      <c r="EYT44" s="63"/>
      <c r="EYU44" s="63"/>
      <c r="EYV44" s="63"/>
      <c r="EYW44" s="63"/>
      <c r="EYX44" s="63"/>
      <c r="EYY44" s="63"/>
      <c r="EYZ44" s="63"/>
      <c r="EZA44" s="63"/>
      <c r="EZB44" s="63"/>
      <c r="EZC44" s="63"/>
      <c r="EZD44" s="63"/>
      <c r="EZE44" s="63"/>
      <c r="EZF44" s="63"/>
      <c r="EZG44" s="63"/>
      <c r="EZH44" s="63"/>
      <c r="EZI44" s="63"/>
      <c r="EZJ44" s="63"/>
      <c r="EZK44" s="63"/>
      <c r="EZL44" s="63"/>
      <c r="EZM44" s="63"/>
      <c r="EZN44" s="63"/>
      <c r="EZO44" s="63"/>
      <c r="EZP44" s="63"/>
      <c r="EZQ44" s="63"/>
      <c r="EZR44" s="63"/>
      <c r="EZS44" s="63"/>
      <c r="EZT44" s="63"/>
      <c r="EZU44" s="63"/>
      <c r="EZV44" s="63"/>
      <c r="EZW44" s="63"/>
      <c r="EZX44" s="63"/>
      <c r="EZY44" s="63"/>
      <c r="EZZ44" s="63"/>
      <c r="FAA44" s="63"/>
      <c r="FAB44" s="63"/>
      <c r="FAC44" s="63"/>
      <c r="FAD44" s="63"/>
      <c r="FAE44" s="63"/>
      <c r="FAF44" s="63"/>
      <c r="FAG44" s="63"/>
      <c r="FAH44" s="63"/>
      <c r="FAI44" s="63"/>
      <c r="FAJ44" s="63"/>
      <c r="FAK44" s="63"/>
      <c r="FAL44" s="63"/>
      <c r="FAM44" s="63"/>
      <c r="FAN44" s="63"/>
      <c r="FAO44" s="63"/>
      <c r="FAP44" s="63"/>
      <c r="FAQ44" s="63"/>
      <c r="FAR44" s="63"/>
      <c r="FAS44" s="63"/>
      <c r="FAT44" s="63"/>
      <c r="FAU44" s="63"/>
      <c r="FAV44" s="63"/>
      <c r="FAW44" s="63"/>
      <c r="FAX44" s="63"/>
      <c r="FAY44" s="63"/>
      <c r="FAZ44" s="63"/>
      <c r="FBA44" s="63"/>
      <c r="FBB44" s="63"/>
      <c r="FBC44" s="63"/>
      <c r="FBD44" s="63"/>
      <c r="FBE44" s="63"/>
      <c r="FBF44" s="63"/>
      <c r="FBG44" s="63"/>
      <c r="FBH44" s="63"/>
      <c r="FBI44" s="63"/>
      <c r="FBJ44" s="63"/>
      <c r="FBK44" s="63"/>
      <c r="FBL44" s="63"/>
      <c r="FBM44" s="63"/>
      <c r="FBN44" s="63"/>
      <c r="FBO44" s="63"/>
      <c r="FBP44" s="63"/>
      <c r="FBQ44" s="63"/>
      <c r="FBR44" s="63"/>
      <c r="FBS44" s="63"/>
      <c r="FBT44" s="63"/>
      <c r="FBU44" s="63"/>
      <c r="FBV44" s="63"/>
      <c r="FBW44" s="63"/>
      <c r="FBX44" s="63"/>
      <c r="FBY44" s="63"/>
      <c r="FBZ44" s="63"/>
      <c r="FCA44" s="63"/>
      <c r="FCB44" s="63"/>
      <c r="FCC44" s="63"/>
      <c r="FCD44" s="63"/>
      <c r="FCE44" s="63"/>
      <c r="FCF44" s="63"/>
      <c r="FCG44" s="63"/>
      <c r="FCH44" s="63"/>
      <c r="FCI44" s="63"/>
      <c r="FCJ44" s="63"/>
      <c r="FCK44" s="63"/>
      <c r="FCL44" s="63"/>
      <c r="FCM44" s="63"/>
      <c r="FCN44" s="63"/>
      <c r="FCO44" s="63"/>
      <c r="FCP44" s="63"/>
      <c r="FCQ44" s="63"/>
      <c r="FCR44" s="63"/>
      <c r="FCS44" s="63"/>
      <c r="FCT44" s="63"/>
      <c r="FCU44" s="63"/>
      <c r="FCV44" s="63"/>
      <c r="FCW44" s="63"/>
      <c r="FCX44" s="63"/>
      <c r="FCY44" s="63"/>
      <c r="FCZ44" s="63"/>
      <c r="FDA44" s="63"/>
      <c r="FDB44" s="63"/>
      <c r="FDC44" s="63"/>
      <c r="FDD44" s="63"/>
      <c r="FDE44" s="63"/>
      <c r="FDF44" s="63"/>
      <c r="FDG44" s="63"/>
      <c r="FDH44" s="63"/>
      <c r="FDI44" s="63"/>
      <c r="FDJ44" s="63"/>
      <c r="FDK44" s="63"/>
      <c r="FDL44" s="63"/>
      <c r="FDM44" s="63"/>
      <c r="FDN44" s="63"/>
      <c r="FDO44" s="63"/>
      <c r="FDP44" s="63"/>
      <c r="FDQ44" s="63"/>
      <c r="FDR44" s="63"/>
      <c r="FDS44" s="63"/>
      <c r="FDT44" s="63"/>
      <c r="FDU44" s="63"/>
      <c r="FDV44" s="63"/>
      <c r="FDW44" s="63"/>
      <c r="FDX44" s="63"/>
      <c r="FDY44" s="63"/>
      <c r="FDZ44" s="63"/>
      <c r="FEA44" s="63"/>
      <c r="FEB44" s="63"/>
      <c r="FEC44" s="63"/>
      <c r="FED44" s="63"/>
      <c r="FEE44" s="63"/>
      <c r="FEF44" s="63"/>
      <c r="FEG44" s="63"/>
      <c r="FEH44" s="63"/>
      <c r="FEI44" s="63"/>
      <c r="FEJ44" s="63"/>
      <c r="FEK44" s="63"/>
      <c r="FEL44" s="63"/>
      <c r="FEM44" s="63"/>
      <c r="FEN44" s="63"/>
      <c r="FEO44" s="63"/>
      <c r="FEP44" s="63"/>
      <c r="FEQ44" s="63"/>
      <c r="FER44" s="63"/>
      <c r="FES44" s="63"/>
      <c r="FET44" s="63"/>
      <c r="FEU44" s="63"/>
      <c r="FEV44" s="63"/>
      <c r="FEW44" s="63"/>
      <c r="FEX44" s="63"/>
      <c r="FEY44" s="63"/>
      <c r="FEZ44" s="63"/>
      <c r="FFA44" s="63"/>
      <c r="FFB44" s="63"/>
      <c r="FFC44" s="63"/>
      <c r="FFD44" s="63"/>
      <c r="FFE44" s="63"/>
      <c r="FFF44" s="63"/>
      <c r="FFG44" s="63"/>
      <c r="FFH44" s="63"/>
      <c r="FFI44" s="63"/>
      <c r="FFJ44" s="63"/>
      <c r="FFK44" s="63"/>
      <c r="FFL44" s="63"/>
      <c r="FFM44" s="63"/>
      <c r="FFN44" s="63"/>
      <c r="FFO44" s="63"/>
      <c r="FFP44" s="63"/>
      <c r="FFQ44" s="63"/>
      <c r="FFR44" s="63"/>
      <c r="FFS44" s="63"/>
      <c r="FFT44" s="63"/>
      <c r="FFU44" s="63"/>
      <c r="FFV44" s="63"/>
      <c r="FFW44" s="63"/>
      <c r="FFX44" s="63"/>
      <c r="FFY44" s="63"/>
      <c r="FFZ44" s="63"/>
      <c r="FGA44" s="63"/>
      <c r="FGB44" s="63"/>
      <c r="FGC44" s="63"/>
      <c r="FGD44" s="63"/>
      <c r="FGE44" s="63"/>
      <c r="FGF44" s="63"/>
      <c r="FGG44" s="63"/>
      <c r="FGH44" s="63"/>
      <c r="FGI44" s="63"/>
      <c r="FGJ44" s="63"/>
      <c r="FGK44" s="63"/>
      <c r="FGL44" s="63"/>
      <c r="FGM44" s="63"/>
      <c r="FGN44" s="63"/>
      <c r="FGO44" s="63"/>
      <c r="FGP44" s="63"/>
      <c r="FGQ44" s="63"/>
      <c r="FGR44" s="63"/>
      <c r="FGS44" s="63"/>
      <c r="FGT44" s="63"/>
      <c r="FGU44" s="63"/>
      <c r="FGV44" s="63"/>
      <c r="FGW44" s="63"/>
      <c r="FGX44" s="63"/>
      <c r="FGY44" s="63"/>
      <c r="FGZ44" s="63"/>
      <c r="FHA44" s="63"/>
      <c r="FHB44" s="63"/>
      <c r="FHC44" s="63"/>
      <c r="FHD44" s="63"/>
      <c r="FHE44" s="63"/>
      <c r="FHF44" s="63"/>
      <c r="FHG44" s="63"/>
      <c r="FHH44" s="63"/>
      <c r="FHI44" s="63"/>
      <c r="FHJ44" s="63"/>
      <c r="FHK44" s="63"/>
      <c r="FHL44" s="63"/>
      <c r="FHM44" s="63"/>
      <c r="FHN44" s="63"/>
      <c r="FHO44" s="63"/>
      <c r="FHP44" s="63"/>
      <c r="FHQ44" s="63"/>
      <c r="FHR44" s="63"/>
      <c r="FHS44" s="63"/>
      <c r="FHT44" s="63"/>
      <c r="FHU44" s="63"/>
      <c r="FHV44" s="63"/>
      <c r="FHW44" s="63"/>
      <c r="FHX44" s="63"/>
      <c r="FHY44" s="63"/>
      <c r="FHZ44" s="63"/>
      <c r="FIA44" s="63"/>
      <c r="FIB44" s="63"/>
      <c r="FIC44" s="63"/>
      <c r="FID44" s="63"/>
      <c r="FIE44" s="63"/>
      <c r="FIF44" s="63"/>
      <c r="FIG44" s="63"/>
      <c r="FIH44" s="63"/>
      <c r="FII44" s="63"/>
      <c r="FIJ44" s="63"/>
      <c r="FIK44" s="63"/>
      <c r="FIL44" s="63"/>
      <c r="FIM44" s="63"/>
      <c r="FIN44" s="63"/>
      <c r="FIO44" s="63"/>
      <c r="FIP44" s="63"/>
      <c r="FIQ44" s="63"/>
      <c r="FIR44" s="63"/>
      <c r="FIS44" s="63"/>
      <c r="FIT44" s="63"/>
      <c r="FIU44" s="63"/>
      <c r="FIV44" s="63"/>
      <c r="FIW44" s="63"/>
      <c r="FIX44" s="63"/>
      <c r="FIY44" s="63"/>
      <c r="FIZ44" s="63"/>
      <c r="FJA44" s="63"/>
      <c r="FJB44" s="63"/>
      <c r="FJC44" s="63"/>
      <c r="FJD44" s="63"/>
      <c r="FJE44" s="63"/>
      <c r="FJF44" s="63"/>
      <c r="FJG44" s="63"/>
      <c r="FJH44" s="63"/>
      <c r="FJI44" s="63"/>
      <c r="FJJ44" s="63"/>
      <c r="FJK44" s="63"/>
      <c r="FJL44" s="63"/>
      <c r="FJM44" s="63"/>
      <c r="FJN44" s="63"/>
      <c r="FJO44" s="63"/>
      <c r="FJP44" s="63"/>
      <c r="FJQ44" s="63"/>
      <c r="FJR44" s="63"/>
      <c r="FJS44" s="63"/>
      <c r="FJT44" s="63"/>
      <c r="FJU44" s="63"/>
      <c r="FJV44" s="63"/>
      <c r="FJW44" s="63"/>
      <c r="FJX44" s="63"/>
      <c r="FJY44" s="63"/>
      <c r="FJZ44" s="63"/>
      <c r="FKA44" s="63"/>
      <c r="FKB44" s="63"/>
      <c r="FKC44" s="63"/>
      <c r="FKD44" s="63"/>
      <c r="FKE44" s="63"/>
      <c r="FKF44" s="63"/>
      <c r="FKG44" s="63"/>
      <c r="FKH44" s="63"/>
      <c r="FKI44" s="63"/>
      <c r="FKJ44" s="63"/>
      <c r="FKK44" s="63"/>
      <c r="FKL44" s="63"/>
      <c r="FKM44" s="63"/>
      <c r="FKN44" s="63"/>
      <c r="FKO44" s="63"/>
      <c r="FKP44" s="63"/>
      <c r="FKQ44" s="63"/>
      <c r="FKR44" s="63"/>
      <c r="FKS44" s="63"/>
      <c r="FKT44" s="63"/>
      <c r="FKU44" s="63"/>
      <c r="FKV44" s="63"/>
      <c r="FKW44" s="63"/>
      <c r="FKX44" s="63"/>
      <c r="FKY44" s="63"/>
      <c r="FKZ44" s="63"/>
      <c r="FLA44" s="63"/>
      <c r="FLB44" s="63"/>
      <c r="FLC44" s="63"/>
      <c r="FLD44" s="63"/>
      <c r="FLE44" s="63"/>
      <c r="FLF44" s="63"/>
      <c r="FLG44" s="63"/>
      <c r="FLH44" s="63"/>
      <c r="FLI44" s="63"/>
      <c r="FLJ44" s="63"/>
      <c r="FLK44" s="63"/>
      <c r="FLL44" s="63"/>
      <c r="FLM44" s="63"/>
      <c r="FLN44" s="63"/>
      <c r="FLO44" s="63"/>
      <c r="FLP44" s="63"/>
      <c r="FLQ44" s="63"/>
      <c r="FLR44" s="63"/>
      <c r="FLS44" s="63"/>
      <c r="FLT44" s="63"/>
      <c r="FLU44" s="63"/>
      <c r="FLV44" s="63"/>
      <c r="FLW44" s="63"/>
      <c r="FLX44" s="63"/>
      <c r="FLY44" s="63"/>
      <c r="FLZ44" s="63"/>
      <c r="FMA44" s="63"/>
      <c r="FMB44" s="63"/>
      <c r="FMC44" s="63"/>
      <c r="FMD44" s="63"/>
      <c r="FME44" s="63"/>
      <c r="FMF44" s="63"/>
      <c r="FMG44" s="63"/>
      <c r="FMH44" s="63"/>
      <c r="FMI44" s="63"/>
      <c r="FMJ44" s="63"/>
      <c r="FMK44" s="63"/>
      <c r="FML44" s="63"/>
      <c r="FMM44" s="63"/>
      <c r="FMN44" s="63"/>
      <c r="FMO44" s="63"/>
      <c r="FMP44" s="63"/>
      <c r="FMQ44" s="63"/>
      <c r="FMR44" s="63"/>
      <c r="FMS44" s="63"/>
      <c r="FMT44" s="63"/>
      <c r="FMU44" s="63"/>
      <c r="FMV44" s="63"/>
      <c r="FMW44" s="63"/>
      <c r="FMX44" s="63"/>
      <c r="FMY44" s="63"/>
      <c r="FMZ44" s="63"/>
      <c r="FNA44" s="63"/>
      <c r="FNB44" s="63"/>
      <c r="FNC44" s="63"/>
      <c r="FND44" s="63"/>
      <c r="FNE44" s="63"/>
      <c r="FNF44" s="63"/>
      <c r="FNG44" s="63"/>
      <c r="FNH44" s="63"/>
      <c r="FNI44" s="63"/>
      <c r="FNJ44" s="63"/>
      <c r="FNK44" s="63"/>
      <c r="FNL44" s="63"/>
      <c r="FNM44" s="63"/>
      <c r="FNN44" s="63"/>
      <c r="FNO44" s="63"/>
      <c r="FNP44" s="63"/>
      <c r="FNQ44" s="63"/>
      <c r="FNR44" s="63"/>
      <c r="FNS44" s="63"/>
      <c r="FNT44" s="63"/>
      <c r="FNU44" s="63"/>
      <c r="FNV44" s="63"/>
      <c r="FNW44" s="63"/>
      <c r="FNX44" s="63"/>
      <c r="FNY44" s="63"/>
      <c r="FNZ44" s="63"/>
      <c r="FOA44" s="63"/>
      <c r="FOB44" s="63"/>
      <c r="FOC44" s="63"/>
      <c r="FOD44" s="63"/>
      <c r="FOE44" s="63"/>
      <c r="FOF44" s="63"/>
      <c r="FOG44" s="63"/>
      <c r="FOH44" s="63"/>
      <c r="FOI44" s="63"/>
      <c r="FOJ44" s="63"/>
      <c r="FOK44" s="63"/>
      <c r="FOL44" s="63"/>
      <c r="FOM44" s="63"/>
      <c r="FON44" s="63"/>
      <c r="FOO44" s="63"/>
      <c r="FOP44" s="63"/>
      <c r="FOQ44" s="63"/>
      <c r="FOR44" s="63"/>
      <c r="FOS44" s="63"/>
      <c r="FOT44" s="63"/>
      <c r="FOU44" s="63"/>
      <c r="FOV44" s="63"/>
      <c r="FOW44" s="63"/>
      <c r="FOX44" s="63"/>
      <c r="FOY44" s="63"/>
      <c r="FOZ44" s="63"/>
      <c r="FPA44" s="63"/>
      <c r="FPB44" s="63"/>
      <c r="FPC44" s="63"/>
      <c r="FPD44" s="63"/>
      <c r="FPE44" s="63"/>
      <c r="FPF44" s="63"/>
      <c r="FPG44" s="63"/>
      <c r="FPH44" s="63"/>
      <c r="FPI44" s="63"/>
      <c r="FPJ44" s="63"/>
      <c r="FPK44" s="63"/>
      <c r="FPL44" s="63"/>
      <c r="FPM44" s="63"/>
      <c r="FPN44" s="63"/>
      <c r="FPO44" s="63"/>
      <c r="FPP44" s="63"/>
      <c r="FPQ44" s="63"/>
      <c r="FPR44" s="63"/>
      <c r="FPS44" s="63"/>
      <c r="FPT44" s="63"/>
      <c r="FPU44" s="63"/>
      <c r="FPV44" s="63"/>
      <c r="FPW44" s="63"/>
      <c r="FPX44" s="63"/>
      <c r="FPY44" s="63"/>
      <c r="FPZ44" s="63"/>
      <c r="FQA44" s="63"/>
      <c r="FQB44" s="63"/>
      <c r="FQC44" s="63"/>
      <c r="FQD44" s="63"/>
      <c r="FQE44" s="63"/>
      <c r="FQF44" s="63"/>
      <c r="FQG44" s="63"/>
      <c r="FQH44" s="63"/>
      <c r="FQI44" s="63"/>
      <c r="FQJ44" s="63"/>
      <c r="FQK44" s="63"/>
      <c r="FQL44" s="63"/>
      <c r="FQM44" s="63"/>
      <c r="FQN44" s="63"/>
      <c r="FQO44" s="63"/>
      <c r="FQP44" s="63"/>
      <c r="FQQ44" s="63"/>
      <c r="FQR44" s="63"/>
      <c r="FQS44" s="63"/>
      <c r="FQT44" s="63"/>
      <c r="FQU44" s="63"/>
      <c r="FQV44" s="63"/>
      <c r="FQW44" s="63"/>
      <c r="FQX44" s="63"/>
      <c r="FQY44" s="63"/>
      <c r="FQZ44" s="63"/>
      <c r="FRA44" s="63"/>
      <c r="FRB44" s="63"/>
      <c r="FRC44" s="63"/>
      <c r="FRD44" s="63"/>
      <c r="FRE44" s="63"/>
      <c r="FRF44" s="63"/>
      <c r="FRG44" s="63"/>
      <c r="FRH44" s="63"/>
      <c r="FRI44" s="63"/>
      <c r="FRJ44" s="63"/>
      <c r="FRK44" s="63"/>
      <c r="FRL44" s="63"/>
      <c r="FRM44" s="63"/>
      <c r="FRN44" s="63"/>
      <c r="FRO44" s="63"/>
      <c r="FRP44" s="63"/>
      <c r="FRQ44" s="63"/>
      <c r="FRR44" s="63"/>
      <c r="FRS44" s="63"/>
      <c r="FRT44" s="63"/>
      <c r="FRU44" s="63"/>
      <c r="FRV44" s="63"/>
      <c r="FRW44" s="63"/>
      <c r="FRX44" s="63"/>
      <c r="FRY44" s="63"/>
      <c r="FRZ44" s="63"/>
      <c r="FSA44" s="63"/>
      <c r="FSB44" s="63"/>
      <c r="FSC44" s="63"/>
      <c r="FSD44" s="63"/>
      <c r="FSE44" s="63"/>
      <c r="FSF44" s="63"/>
      <c r="FSG44" s="63"/>
      <c r="FSH44" s="63"/>
      <c r="FSI44" s="63"/>
      <c r="FSJ44" s="63"/>
      <c r="FSK44" s="63"/>
      <c r="FSL44" s="63"/>
      <c r="FSM44" s="63"/>
      <c r="FSN44" s="63"/>
      <c r="FSO44" s="63"/>
      <c r="FSP44" s="63"/>
      <c r="FSQ44" s="63"/>
      <c r="FSR44" s="63"/>
      <c r="FSS44" s="63"/>
      <c r="FST44" s="63"/>
      <c r="FSU44" s="63"/>
      <c r="FSV44" s="63"/>
      <c r="FSW44" s="63"/>
      <c r="FSX44" s="63"/>
      <c r="FSY44" s="63"/>
      <c r="FSZ44" s="63"/>
      <c r="FTA44" s="63"/>
      <c r="FTB44" s="63"/>
      <c r="FTC44" s="63"/>
      <c r="FTD44" s="63"/>
      <c r="FTE44" s="63"/>
      <c r="FTF44" s="63"/>
      <c r="FTG44" s="63"/>
      <c r="FTH44" s="63"/>
      <c r="FTI44" s="63"/>
      <c r="FTJ44" s="63"/>
      <c r="FTK44" s="63"/>
      <c r="FTL44" s="63"/>
      <c r="FTM44" s="63"/>
      <c r="FTN44" s="63"/>
      <c r="FTO44" s="63"/>
      <c r="FTP44" s="63"/>
      <c r="FTQ44" s="63"/>
      <c r="FTR44" s="63"/>
      <c r="FTS44" s="63"/>
      <c r="FTT44" s="63"/>
      <c r="FTU44" s="63"/>
      <c r="FTV44" s="63"/>
      <c r="FTW44" s="63"/>
      <c r="FTX44" s="63"/>
      <c r="FTY44" s="63"/>
      <c r="FTZ44" s="63"/>
      <c r="FUA44" s="63"/>
      <c r="FUB44" s="63"/>
      <c r="FUC44" s="63"/>
      <c r="FUD44" s="63"/>
      <c r="FUE44" s="63"/>
      <c r="FUF44" s="63"/>
      <c r="FUG44" s="63"/>
      <c r="FUH44" s="63"/>
      <c r="FUI44" s="63"/>
      <c r="FUJ44" s="63"/>
      <c r="FUK44" s="63"/>
      <c r="FUL44" s="63"/>
      <c r="FUM44" s="63"/>
      <c r="FUN44" s="63"/>
      <c r="FUO44" s="63"/>
      <c r="FUP44" s="63"/>
      <c r="FUQ44" s="63"/>
      <c r="FUR44" s="63"/>
      <c r="FUS44" s="63"/>
      <c r="FUT44" s="63"/>
      <c r="FUU44" s="63"/>
      <c r="FUV44" s="63"/>
      <c r="FUW44" s="63"/>
      <c r="FUX44" s="63"/>
      <c r="FUY44" s="63"/>
      <c r="FUZ44" s="63"/>
      <c r="FVA44" s="63"/>
      <c r="FVB44" s="63"/>
      <c r="FVC44" s="63"/>
      <c r="FVD44" s="63"/>
      <c r="FVE44" s="63"/>
      <c r="FVF44" s="63"/>
      <c r="FVG44" s="63"/>
      <c r="FVH44" s="63"/>
      <c r="FVI44" s="63"/>
      <c r="FVJ44" s="63"/>
      <c r="FVK44" s="63"/>
      <c r="FVL44" s="63"/>
      <c r="FVM44" s="63"/>
      <c r="FVN44" s="63"/>
      <c r="FVO44" s="63"/>
      <c r="FVP44" s="63"/>
      <c r="FVQ44" s="63"/>
      <c r="FVR44" s="63"/>
      <c r="FVS44" s="63"/>
      <c r="FVT44" s="63"/>
      <c r="FVU44" s="63"/>
      <c r="FVV44" s="63"/>
      <c r="FVW44" s="63"/>
      <c r="FVX44" s="63"/>
      <c r="FVY44" s="63"/>
      <c r="FVZ44" s="63"/>
      <c r="FWA44" s="63"/>
      <c r="FWB44" s="63"/>
      <c r="FWC44" s="63"/>
      <c r="FWD44" s="63"/>
      <c r="FWE44" s="63"/>
      <c r="FWF44" s="63"/>
      <c r="FWG44" s="63"/>
      <c r="FWH44" s="63"/>
      <c r="FWI44" s="63"/>
      <c r="FWJ44" s="63"/>
      <c r="FWK44" s="63"/>
      <c r="FWL44" s="63"/>
      <c r="FWM44" s="63"/>
      <c r="FWN44" s="63"/>
      <c r="FWO44" s="63"/>
      <c r="FWP44" s="63"/>
      <c r="FWQ44" s="63"/>
      <c r="FWR44" s="63"/>
      <c r="FWS44" s="63"/>
      <c r="FWT44" s="63"/>
      <c r="FWU44" s="63"/>
      <c r="FWV44" s="63"/>
      <c r="FWW44" s="63"/>
      <c r="FWX44" s="63"/>
      <c r="FWY44" s="63"/>
      <c r="FWZ44" s="63"/>
      <c r="FXA44" s="63"/>
      <c r="FXB44" s="63"/>
      <c r="FXC44" s="63"/>
      <c r="FXD44" s="63"/>
      <c r="FXE44" s="63"/>
      <c r="FXF44" s="63"/>
      <c r="FXG44" s="63"/>
      <c r="FXH44" s="63"/>
      <c r="FXI44" s="63"/>
      <c r="FXJ44" s="63"/>
      <c r="FXK44" s="63"/>
      <c r="FXL44" s="63"/>
      <c r="FXM44" s="63"/>
      <c r="FXN44" s="63"/>
      <c r="FXO44" s="63"/>
      <c r="FXP44" s="63"/>
      <c r="FXQ44" s="63"/>
      <c r="FXR44" s="63"/>
      <c r="FXS44" s="63"/>
      <c r="FXT44" s="63"/>
      <c r="FXU44" s="63"/>
      <c r="FXV44" s="63"/>
      <c r="FXW44" s="63"/>
      <c r="FXX44" s="63"/>
      <c r="FXY44" s="63"/>
      <c r="FXZ44" s="63"/>
      <c r="FYA44" s="63"/>
      <c r="FYB44" s="63"/>
      <c r="FYC44" s="63"/>
      <c r="FYD44" s="63"/>
      <c r="FYE44" s="63"/>
      <c r="FYF44" s="63"/>
      <c r="FYG44" s="63"/>
      <c r="FYH44" s="63"/>
      <c r="FYI44" s="63"/>
      <c r="FYJ44" s="63"/>
      <c r="FYK44" s="63"/>
      <c r="FYL44" s="63"/>
      <c r="FYM44" s="63"/>
      <c r="FYN44" s="63"/>
      <c r="FYO44" s="63"/>
      <c r="FYP44" s="63"/>
      <c r="FYQ44" s="63"/>
      <c r="FYR44" s="63"/>
      <c r="FYS44" s="63"/>
      <c r="FYT44" s="63"/>
      <c r="FYU44" s="63"/>
      <c r="FYV44" s="63"/>
      <c r="FYW44" s="63"/>
      <c r="FYX44" s="63"/>
      <c r="FYY44" s="63"/>
      <c r="FYZ44" s="63"/>
      <c r="FZA44" s="63"/>
      <c r="FZB44" s="63"/>
      <c r="FZC44" s="63"/>
      <c r="FZD44" s="63"/>
      <c r="FZE44" s="63"/>
      <c r="FZF44" s="63"/>
      <c r="FZG44" s="63"/>
      <c r="FZH44" s="63"/>
      <c r="FZI44" s="63"/>
      <c r="FZJ44" s="63"/>
      <c r="FZK44" s="63"/>
      <c r="FZL44" s="63"/>
      <c r="FZM44" s="63"/>
      <c r="FZN44" s="63"/>
      <c r="FZO44" s="63"/>
      <c r="FZP44" s="63"/>
      <c r="FZQ44" s="63"/>
      <c r="FZR44" s="63"/>
      <c r="FZS44" s="63"/>
      <c r="FZT44" s="63"/>
      <c r="FZU44" s="63"/>
      <c r="FZV44" s="63"/>
      <c r="FZW44" s="63"/>
      <c r="FZX44" s="63"/>
      <c r="FZY44" s="63"/>
      <c r="FZZ44" s="63"/>
      <c r="GAA44" s="63"/>
      <c r="GAB44" s="63"/>
      <c r="GAC44" s="63"/>
      <c r="GAD44" s="63"/>
      <c r="GAE44" s="63"/>
      <c r="GAF44" s="63"/>
      <c r="GAG44" s="63"/>
      <c r="GAH44" s="63"/>
      <c r="GAI44" s="63"/>
      <c r="GAJ44" s="63"/>
      <c r="GAK44" s="63"/>
      <c r="GAL44" s="63"/>
      <c r="GAM44" s="63"/>
      <c r="GAN44" s="63"/>
      <c r="GAO44" s="63"/>
      <c r="GAP44" s="63"/>
      <c r="GAQ44" s="63"/>
      <c r="GAR44" s="63"/>
      <c r="GAS44" s="63"/>
      <c r="GAT44" s="63"/>
      <c r="GAU44" s="63"/>
      <c r="GAV44" s="63"/>
      <c r="GAW44" s="63"/>
      <c r="GAX44" s="63"/>
      <c r="GAY44" s="63"/>
      <c r="GAZ44" s="63"/>
      <c r="GBA44" s="63"/>
      <c r="GBB44" s="63"/>
      <c r="GBC44" s="63"/>
      <c r="GBD44" s="63"/>
      <c r="GBE44" s="63"/>
      <c r="GBF44" s="63"/>
      <c r="GBG44" s="63"/>
      <c r="GBH44" s="63"/>
      <c r="GBI44" s="63"/>
      <c r="GBJ44" s="63"/>
      <c r="GBK44" s="63"/>
      <c r="GBL44" s="63"/>
      <c r="GBM44" s="63"/>
      <c r="GBN44" s="63"/>
      <c r="GBO44" s="63"/>
      <c r="GBP44" s="63"/>
      <c r="GBQ44" s="63"/>
      <c r="GBR44" s="63"/>
      <c r="GBS44" s="63"/>
      <c r="GBT44" s="63"/>
      <c r="GBU44" s="63"/>
      <c r="GBV44" s="63"/>
      <c r="GBW44" s="63"/>
      <c r="GBX44" s="63"/>
      <c r="GBY44" s="63"/>
      <c r="GBZ44" s="63"/>
      <c r="GCA44" s="63"/>
      <c r="GCB44" s="63"/>
      <c r="GCC44" s="63"/>
      <c r="GCD44" s="63"/>
      <c r="GCE44" s="63"/>
      <c r="GCF44" s="63"/>
      <c r="GCG44" s="63"/>
      <c r="GCH44" s="63"/>
      <c r="GCI44" s="63"/>
      <c r="GCJ44" s="63"/>
      <c r="GCK44" s="63"/>
      <c r="GCL44" s="63"/>
      <c r="GCM44" s="63"/>
      <c r="GCN44" s="63"/>
      <c r="GCO44" s="63"/>
      <c r="GCP44" s="63"/>
      <c r="GCQ44" s="63"/>
      <c r="GCR44" s="63"/>
      <c r="GCS44" s="63"/>
      <c r="GCT44" s="63"/>
      <c r="GCU44" s="63"/>
      <c r="GCV44" s="63"/>
      <c r="GCW44" s="63"/>
      <c r="GCX44" s="63"/>
      <c r="GCY44" s="63"/>
      <c r="GCZ44" s="63"/>
      <c r="GDA44" s="63"/>
      <c r="GDB44" s="63"/>
      <c r="GDC44" s="63"/>
      <c r="GDD44" s="63"/>
      <c r="GDE44" s="63"/>
      <c r="GDF44" s="63"/>
      <c r="GDG44" s="63"/>
      <c r="GDH44" s="63"/>
      <c r="GDI44" s="63"/>
      <c r="GDJ44" s="63"/>
      <c r="GDK44" s="63"/>
      <c r="GDL44" s="63"/>
      <c r="GDM44" s="63"/>
      <c r="GDN44" s="63"/>
      <c r="GDO44" s="63"/>
      <c r="GDP44" s="63"/>
      <c r="GDQ44" s="63"/>
      <c r="GDR44" s="63"/>
      <c r="GDS44" s="63"/>
      <c r="GDT44" s="63"/>
      <c r="GDU44" s="63"/>
      <c r="GDV44" s="63"/>
      <c r="GDW44" s="63"/>
      <c r="GDX44" s="63"/>
      <c r="GDY44" s="63"/>
      <c r="GDZ44" s="63"/>
      <c r="GEA44" s="63"/>
      <c r="GEB44" s="63"/>
      <c r="GEC44" s="63"/>
      <c r="GED44" s="63"/>
      <c r="GEE44" s="63"/>
      <c r="GEF44" s="63"/>
      <c r="GEG44" s="63"/>
      <c r="GEH44" s="63"/>
      <c r="GEI44" s="63"/>
      <c r="GEJ44" s="63"/>
      <c r="GEK44" s="63"/>
      <c r="GEL44" s="63"/>
      <c r="GEM44" s="63"/>
      <c r="GEN44" s="63"/>
      <c r="GEO44" s="63"/>
      <c r="GEP44" s="63"/>
      <c r="GEQ44" s="63"/>
      <c r="GER44" s="63"/>
      <c r="GES44" s="63"/>
      <c r="GET44" s="63"/>
      <c r="GEU44" s="63"/>
      <c r="GEV44" s="63"/>
      <c r="GEW44" s="63"/>
      <c r="GEX44" s="63"/>
      <c r="GEY44" s="63"/>
      <c r="GEZ44" s="63"/>
      <c r="GFA44" s="63"/>
      <c r="GFB44" s="63"/>
      <c r="GFC44" s="63"/>
      <c r="GFD44" s="63"/>
      <c r="GFE44" s="63"/>
      <c r="GFF44" s="63"/>
      <c r="GFG44" s="63"/>
      <c r="GFH44" s="63"/>
      <c r="GFI44" s="63"/>
      <c r="GFJ44" s="63"/>
      <c r="GFK44" s="63"/>
      <c r="GFL44" s="63"/>
      <c r="GFM44" s="63"/>
      <c r="GFN44" s="63"/>
      <c r="GFO44" s="63"/>
      <c r="GFP44" s="63"/>
      <c r="GFQ44" s="63"/>
      <c r="GFR44" s="63"/>
      <c r="GFS44" s="63"/>
      <c r="GFT44" s="63"/>
      <c r="GFU44" s="63"/>
      <c r="GFV44" s="63"/>
      <c r="GFW44" s="63"/>
      <c r="GFX44" s="63"/>
      <c r="GFY44" s="63"/>
      <c r="GFZ44" s="63"/>
      <c r="GGA44" s="63"/>
      <c r="GGB44" s="63"/>
      <c r="GGC44" s="63"/>
      <c r="GGD44" s="63"/>
      <c r="GGE44" s="63"/>
      <c r="GGF44" s="63"/>
      <c r="GGG44" s="63"/>
      <c r="GGH44" s="63"/>
      <c r="GGI44" s="63"/>
      <c r="GGJ44" s="63"/>
      <c r="GGK44" s="63"/>
      <c r="GGL44" s="63"/>
      <c r="GGM44" s="63"/>
      <c r="GGN44" s="63"/>
      <c r="GGO44" s="63"/>
      <c r="GGP44" s="63"/>
      <c r="GGQ44" s="63"/>
      <c r="GGR44" s="63"/>
      <c r="GGS44" s="63"/>
      <c r="GGT44" s="63"/>
      <c r="GGU44" s="63"/>
      <c r="GGV44" s="63"/>
      <c r="GGW44" s="63"/>
      <c r="GGX44" s="63"/>
      <c r="GGY44" s="63"/>
      <c r="GGZ44" s="63"/>
      <c r="GHA44" s="63"/>
      <c r="GHB44" s="63"/>
      <c r="GHC44" s="63"/>
      <c r="GHD44" s="63"/>
      <c r="GHE44" s="63"/>
      <c r="GHF44" s="63"/>
      <c r="GHG44" s="63"/>
      <c r="GHH44" s="63"/>
      <c r="GHI44" s="63"/>
      <c r="GHJ44" s="63"/>
      <c r="GHK44" s="63"/>
      <c r="GHL44" s="63"/>
      <c r="GHM44" s="63"/>
      <c r="GHN44" s="63"/>
      <c r="GHO44" s="63"/>
      <c r="GHP44" s="63"/>
      <c r="GHQ44" s="63"/>
      <c r="GHR44" s="63"/>
      <c r="GHS44" s="63"/>
      <c r="GHT44" s="63"/>
      <c r="GHU44" s="63"/>
      <c r="GHV44" s="63"/>
      <c r="GHW44" s="63"/>
      <c r="GHX44" s="63"/>
      <c r="GHY44" s="63"/>
      <c r="GHZ44" s="63"/>
      <c r="GIA44" s="63"/>
      <c r="GIB44" s="63"/>
      <c r="GIC44" s="63"/>
      <c r="GID44" s="63"/>
      <c r="GIE44" s="63"/>
      <c r="GIF44" s="63"/>
      <c r="GIG44" s="63"/>
      <c r="GIH44" s="63"/>
      <c r="GII44" s="63"/>
      <c r="GIJ44" s="63"/>
      <c r="GIK44" s="63"/>
      <c r="GIL44" s="63"/>
      <c r="GIM44" s="63"/>
      <c r="GIN44" s="63"/>
      <c r="GIO44" s="63"/>
      <c r="GIP44" s="63"/>
      <c r="GIQ44" s="63"/>
      <c r="GIR44" s="63"/>
      <c r="GIS44" s="63"/>
      <c r="GIT44" s="63"/>
      <c r="GIU44" s="63"/>
      <c r="GIV44" s="63"/>
      <c r="GIW44" s="63"/>
      <c r="GIX44" s="63"/>
      <c r="GIY44" s="63"/>
      <c r="GIZ44" s="63"/>
      <c r="GJA44" s="63"/>
      <c r="GJB44" s="63"/>
      <c r="GJC44" s="63"/>
      <c r="GJD44" s="63"/>
      <c r="GJE44" s="63"/>
      <c r="GJF44" s="63"/>
      <c r="GJG44" s="63"/>
      <c r="GJH44" s="63"/>
      <c r="GJI44" s="63"/>
      <c r="GJJ44" s="63"/>
      <c r="GJK44" s="63"/>
      <c r="GJL44" s="63"/>
      <c r="GJM44" s="63"/>
      <c r="GJN44" s="63"/>
      <c r="GJO44" s="63"/>
      <c r="GJP44" s="63"/>
      <c r="GJQ44" s="63"/>
      <c r="GJR44" s="63"/>
      <c r="GJS44" s="63"/>
      <c r="GJT44" s="63"/>
      <c r="GJU44" s="63"/>
      <c r="GJV44" s="63"/>
      <c r="GJW44" s="63"/>
      <c r="GJX44" s="63"/>
      <c r="GJY44" s="63"/>
      <c r="GJZ44" s="63"/>
      <c r="GKA44" s="63"/>
      <c r="GKB44" s="63"/>
      <c r="GKC44" s="63"/>
      <c r="GKD44" s="63"/>
      <c r="GKE44" s="63"/>
      <c r="GKF44" s="63"/>
      <c r="GKG44" s="63"/>
      <c r="GKH44" s="63"/>
      <c r="GKI44" s="63"/>
      <c r="GKJ44" s="63"/>
      <c r="GKK44" s="63"/>
      <c r="GKL44" s="63"/>
      <c r="GKM44" s="63"/>
      <c r="GKN44" s="63"/>
      <c r="GKO44" s="63"/>
      <c r="GKP44" s="63"/>
      <c r="GKQ44" s="63"/>
      <c r="GKR44" s="63"/>
      <c r="GKS44" s="63"/>
      <c r="GKT44" s="63"/>
      <c r="GKU44" s="63"/>
      <c r="GKV44" s="63"/>
      <c r="GKW44" s="63"/>
      <c r="GKX44" s="63"/>
      <c r="GKY44" s="63"/>
      <c r="GKZ44" s="63"/>
      <c r="GLA44" s="63"/>
      <c r="GLB44" s="63"/>
      <c r="GLC44" s="63"/>
      <c r="GLD44" s="63"/>
      <c r="GLE44" s="63"/>
      <c r="GLF44" s="63"/>
      <c r="GLG44" s="63"/>
      <c r="GLH44" s="63"/>
      <c r="GLI44" s="63"/>
      <c r="GLJ44" s="63"/>
      <c r="GLK44" s="63"/>
      <c r="GLL44" s="63"/>
      <c r="GLM44" s="63"/>
      <c r="GLN44" s="63"/>
      <c r="GLO44" s="63"/>
      <c r="GLP44" s="63"/>
      <c r="GLQ44" s="63"/>
      <c r="GLR44" s="63"/>
      <c r="GLS44" s="63"/>
      <c r="GLT44" s="63"/>
      <c r="GLU44" s="63"/>
      <c r="GLV44" s="63"/>
      <c r="GLW44" s="63"/>
      <c r="GLX44" s="63"/>
      <c r="GLY44" s="63"/>
      <c r="GLZ44" s="63"/>
      <c r="GMA44" s="63"/>
      <c r="GMB44" s="63"/>
      <c r="GMC44" s="63"/>
      <c r="GMD44" s="63"/>
      <c r="GME44" s="63"/>
      <c r="GMF44" s="63"/>
      <c r="GMG44" s="63"/>
      <c r="GMH44" s="63"/>
      <c r="GMI44" s="63"/>
      <c r="GMJ44" s="63"/>
      <c r="GMK44" s="63"/>
      <c r="GML44" s="63"/>
      <c r="GMM44" s="63"/>
      <c r="GMN44" s="63"/>
      <c r="GMO44" s="63"/>
      <c r="GMP44" s="63"/>
      <c r="GMQ44" s="63"/>
      <c r="GMR44" s="63"/>
      <c r="GMS44" s="63"/>
      <c r="GMT44" s="63"/>
      <c r="GMU44" s="63"/>
      <c r="GMV44" s="63"/>
      <c r="GMW44" s="63"/>
      <c r="GMX44" s="63"/>
      <c r="GMY44" s="63"/>
      <c r="GMZ44" s="63"/>
      <c r="GNA44" s="63"/>
      <c r="GNB44" s="63"/>
      <c r="GNC44" s="63"/>
      <c r="GND44" s="63"/>
      <c r="GNE44" s="63"/>
      <c r="GNF44" s="63"/>
      <c r="GNG44" s="63"/>
      <c r="GNH44" s="63"/>
      <c r="GNI44" s="63"/>
      <c r="GNJ44" s="63"/>
      <c r="GNK44" s="63"/>
      <c r="GNL44" s="63"/>
      <c r="GNM44" s="63"/>
      <c r="GNN44" s="63"/>
      <c r="GNO44" s="63"/>
      <c r="GNP44" s="63"/>
      <c r="GNQ44" s="63"/>
      <c r="GNR44" s="63"/>
      <c r="GNS44" s="63"/>
      <c r="GNT44" s="63"/>
      <c r="GNU44" s="63"/>
      <c r="GNV44" s="63"/>
      <c r="GNW44" s="63"/>
      <c r="GNX44" s="63"/>
      <c r="GNY44" s="63"/>
      <c r="GNZ44" s="63"/>
      <c r="GOA44" s="63"/>
      <c r="GOB44" s="63"/>
      <c r="GOC44" s="63"/>
      <c r="GOD44" s="63"/>
      <c r="GOE44" s="63"/>
      <c r="GOF44" s="63"/>
      <c r="GOG44" s="63"/>
      <c r="GOH44" s="63"/>
      <c r="GOI44" s="63"/>
      <c r="GOJ44" s="63"/>
      <c r="GOK44" s="63"/>
      <c r="GOL44" s="63"/>
      <c r="GOM44" s="63"/>
      <c r="GON44" s="63"/>
      <c r="GOO44" s="63"/>
      <c r="GOP44" s="63"/>
      <c r="GOQ44" s="63"/>
      <c r="GOR44" s="63"/>
      <c r="GOS44" s="63"/>
      <c r="GOT44" s="63"/>
      <c r="GOU44" s="63"/>
      <c r="GOV44" s="63"/>
      <c r="GOW44" s="63"/>
      <c r="GOX44" s="63"/>
      <c r="GOY44" s="63"/>
      <c r="GOZ44" s="63"/>
      <c r="GPA44" s="63"/>
      <c r="GPB44" s="63"/>
      <c r="GPC44" s="63"/>
      <c r="GPD44" s="63"/>
      <c r="GPE44" s="63"/>
      <c r="GPF44" s="63"/>
      <c r="GPG44" s="63"/>
      <c r="GPH44" s="63"/>
      <c r="GPI44" s="63"/>
      <c r="GPJ44" s="63"/>
      <c r="GPK44" s="63"/>
      <c r="GPL44" s="63"/>
      <c r="GPM44" s="63"/>
      <c r="GPN44" s="63"/>
      <c r="GPO44" s="63"/>
      <c r="GPP44" s="63"/>
      <c r="GPQ44" s="63"/>
      <c r="GPR44" s="63"/>
      <c r="GPS44" s="63"/>
      <c r="GPT44" s="63"/>
      <c r="GPU44" s="63"/>
      <c r="GPV44" s="63"/>
      <c r="GPW44" s="63"/>
      <c r="GPX44" s="63"/>
      <c r="GPY44" s="63"/>
      <c r="GPZ44" s="63"/>
      <c r="GQA44" s="63"/>
      <c r="GQB44" s="63"/>
      <c r="GQC44" s="63"/>
      <c r="GQD44" s="63"/>
      <c r="GQE44" s="63"/>
      <c r="GQF44" s="63"/>
      <c r="GQG44" s="63"/>
      <c r="GQH44" s="63"/>
      <c r="GQI44" s="63"/>
      <c r="GQJ44" s="63"/>
      <c r="GQK44" s="63"/>
      <c r="GQL44" s="63"/>
      <c r="GQM44" s="63"/>
      <c r="GQN44" s="63"/>
      <c r="GQO44" s="63"/>
      <c r="GQP44" s="63"/>
      <c r="GQQ44" s="63"/>
      <c r="GQR44" s="63"/>
      <c r="GQS44" s="63"/>
      <c r="GQT44" s="63"/>
      <c r="GQU44" s="63"/>
      <c r="GQV44" s="63"/>
      <c r="GQW44" s="63"/>
      <c r="GQX44" s="63"/>
      <c r="GQY44" s="63"/>
      <c r="GQZ44" s="63"/>
      <c r="GRA44" s="63"/>
      <c r="GRB44" s="63"/>
      <c r="GRC44" s="63"/>
      <c r="GRD44" s="63"/>
      <c r="GRE44" s="63"/>
      <c r="GRF44" s="63"/>
      <c r="GRG44" s="63"/>
      <c r="GRH44" s="63"/>
      <c r="GRI44" s="63"/>
      <c r="GRJ44" s="63"/>
      <c r="GRK44" s="63"/>
      <c r="GRL44" s="63"/>
      <c r="GRM44" s="63"/>
      <c r="GRN44" s="63"/>
      <c r="GRO44" s="63"/>
      <c r="GRP44" s="63"/>
      <c r="GRQ44" s="63"/>
      <c r="GRR44" s="63"/>
      <c r="GRS44" s="63"/>
      <c r="GRT44" s="63"/>
      <c r="GRU44" s="63"/>
      <c r="GRV44" s="63"/>
      <c r="GRW44" s="63"/>
      <c r="GRX44" s="63"/>
      <c r="GRY44" s="63"/>
      <c r="GRZ44" s="63"/>
      <c r="GSA44" s="63"/>
      <c r="GSB44" s="63"/>
      <c r="GSC44" s="63"/>
      <c r="GSD44" s="63"/>
      <c r="GSE44" s="63"/>
      <c r="GSF44" s="63"/>
      <c r="GSG44" s="63"/>
      <c r="GSH44" s="63"/>
      <c r="GSI44" s="63"/>
      <c r="GSJ44" s="63"/>
      <c r="GSK44" s="63"/>
      <c r="GSL44" s="63"/>
      <c r="GSM44" s="63"/>
      <c r="GSN44" s="63"/>
      <c r="GSO44" s="63"/>
      <c r="GSP44" s="63"/>
      <c r="GSQ44" s="63"/>
      <c r="GSR44" s="63"/>
      <c r="GSS44" s="63"/>
      <c r="GST44" s="63"/>
      <c r="GSU44" s="63"/>
      <c r="GSV44" s="63"/>
      <c r="GSW44" s="63"/>
      <c r="GSX44" s="63"/>
      <c r="GSY44" s="63"/>
      <c r="GSZ44" s="63"/>
      <c r="GTA44" s="63"/>
      <c r="GTB44" s="63"/>
      <c r="GTC44" s="63"/>
      <c r="GTD44" s="63"/>
      <c r="GTE44" s="63"/>
      <c r="GTF44" s="63"/>
      <c r="GTG44" s="63"/>
      <c r="GTH44" s="63"/>
      <c r="GTI44" s="63"/>
      <c r="GTJ44" s="63"/>
      <c r="GTK44" s="63"/>
      <c r="GTL44" s="63"/>
      <c r="GTM44" s="63"/>
      <c r="GTN44" s="63"/>
      <c r="GTO44" s="63"/>
      <c r="GTP44" s="63"/>
      <c r="GTQ44" s="63"/>
      <c r="GTR44" s="63"/>
      <c r="GTS44" s="63"/>
      <c r="GTT44" s="63"/>
      <c r="GTU44" s="63"/>
      <c r="GTV44" s="63"/>
      <c r="GTW44" s="63"/>
      <c r="GTX44" s="63"/>
      <c r="GTY44" s="63"/>
      <c r="GTZ44" s="63"/>
      <c r="GUA44" s="63"/>
      <c r="GUB44" s="63"/>
      <c r="GUC44" s="63"/>
      <c r="GUD44" s="63"/>
      <c r="GUE44" s="63"/>
      <c r="GUF44" s="63"/>
      <c r="GUG44" s="63"/>
      <c r="GUH44" s="63"/>
      <c r="GUI44" s="63"/>
      <c r="GUJ44" s="63"/>
      <c r="GUK44" s="63"/>
      <c r="GUL44" s="63"/>
      <c r="GUM44" s="63"/>
      <c r="GUN44" s="63"/>
      <c r="GUO44" s="63"/>
      <c r="GUP44" s="63"/>
      <c r="GUQ44" s="63"/>
      <c r="GUR44" s="63"/>
      <c r="GUS44" s="63"/>
      <c r="GUT44" s="63"/>
      <c r="GUU44" s="63"/>
      <c r="GUV44" s="63"/>
      <c r="GUW44" s="63"/>
      <c r="GUX44" s="63"/>
      <c r="GUY44" s="63"/>
      <c r="GUZ44" s="63"/>
      <c r="GVA44" s="63"/>
      <c r="GVB44" s="63"/>
      <c r="GVC44" s="63"/>
      <c r="GVD44" s="63"/>
      <c r="GVE44" s="63"/>
      <c r="GVF44" s="63"/>
      <c r="GVG44" s="63"/>
      <c r="GVH44" s="63"/>
      <c r="GVI44" s="63"/>
      <c r="GVJ44" s="63"/>
      <c r="GVK44" s="63"/>
      <c r="GVL44" s="63"/>
      <c r="GVM44" s="63"/>
      <c r="GVN44" s="63"/>
      <c r="GVO44" s="63"/>
      <c r="GVP44" s="63"/>
      <c r="GVQ44" s="63"/>
      <c r="GVR44" s="63"/>
      <c r="GVS44" s="63"/>
      <c r="GVT44" s="63"/>
      <c r="GVU44" s="63"/>
      <c r="GVV44" s="63"/>
      <c r="GVW44" s="63"/>
      <c r="GVX44" s="63"/>
      <c r="GVY44" s="63"/>
      <c r="GVZ44" s="63"/>
      <c r="GWA44" s="63"/>
      <c r="GWB44" s="63"/>
      <c r="GWC44" s="63"/>
      <c r="GWD44" s="63"/>
      <c r="GWE44" s="63"/>
      <c r="GWF44" s="63"/>
      <c r="GWG44" s="63"/>
      <c r="GWH44" s="63"/>
      <c r="GWI44" s="63"/>
      <c r="GWJ44" s="63"/>
      <c r="GWK44" s="63"/>
      <c r="GWL44" s="63"/>
      <c r="GWM44" s="63"/>
      <c r="GWN44" s="63"/>
      <c r="GWO44" s="63"/>
      <c r="GWP44" s="63"/>
      <c r="GWQ44" s="63"/>
      <c r="GWR44" s="63"/>
      <c r="GWS44" s="63"/>
      <c r="GWT44" s="63"/>
      <c r="GWU44" s="63"/>
      <c r="GWV44" s="63"/>
      <c r="GWW44" s="63"/>
      <c r="GWX44" s="63"/>
      <c r="GWY44" s="63"/>
      <c r="GWZ44" s="63"/>
      <c r="GXA44" s="63"/>
      <c r="GXB44" s="63"/>
      <c r="GXC44" s="63"/>
      <c r="GXD44" s="63"/>
      <c r="GXE44" s="63"/>
      <c r="GXF44" s="63"/>
      <c r="GXG44" s="63"/>
      <c r="GXH44" s="63"/>
      <c r="GXI44" s="63"/>
      <c r="GXJ44" s="63"/>
      <c r="GXK44" s="63"/>
      <c r="GXL44" s="63"/>
      <c r="GXM44" s="63"/>
      <c r="GXN44" s="63"/>
      <c r="GXO44" s="63"/>
      <c r="GXP44" s="63"/>
      <c r="GXQ44" s="63"/>
      <c r="GXR44" s="63"/>
      <c r="GXS44" s="63"/>
      <c r="GXT44" s="63"/>
      <c r="GXU44" s="63"/>
      <c r="GXV44" s="63"/>
      <c r="GXW44" s="63"/>
      <c r="GXX44" s="63"/>
      <c r="GXY44" s="63"/>
      <c r="GXZ44" s="63"/>
      <c r="GYA44" s="63"/>
      <c r="GYB44" s="63"/>
      <c r="GYC44" s="63"/>
      <c r="GYD44" s="63"/>
      <c r="GYE44" s="63"/>
      <c r="GYF44" s="63"/>
      <c r="GYG44" s="63"/>
      <c r="GYH44" s="63"/>
      <c r="GYI44" s="63"/>
      <c r="GYJ44" s="63"/>
      <c r="GYK44" s="63"/>
      <c r="GYL44" s="63"/>
      <c r="GYM44" s="63"/>
      <c r="GYN44" s="63"/>
      <c r="GYO44" s="63"/>
      <c r="GYP44" s="63"/>
      <c r="GYQ44" s="63"/>
      <c r="GYR44" s="63"/>
      <c r="GYS44" s="63"/>
      <c r="GYT44" s="63"/>
      <c r="GYU44" s="63"/>
      <c r="GYV44" s="63"/>
      <c r="GYW44" s="63"/>
      <c r="GYX44" s="63"/>
      <c r="GYY44" s="63"/>
      <c r="GYZ44" s="63"/>
      <c r="GZA44" s="63"/>
      <c r="GZB44" s="63"/>
      <c r="GZC44" s="63"/>
      <c r="GZD44" s="63"/>
      <c r="GZE44" s="63"/>
      <c r="GZF44" s="63"/>
      <c r="GZG44" s="63"/>
      <c r="GZH44" s="63"/>
      <c r="GZI44" s="63"/>
      <c r="GZJ44" s="63"/>
      <c r="GZK44" s="63"/>
      <c r="GZL44" s="63"/>
      <c r="GZM44" s="63"/>
      <c r="GZN44" s="63"/>
      <c r="GZO44" s="63"/>
      <c r="GZP44" s="63"/>
      <c r="GZQ44" s="63"/>
      <c r="GZR44" s="63"/>
      <c r="GZS44" s="63"/>
      <c r="GZT44" s="63"/>
      <c r="GZU44" s="63"/>
      <c r="GZV44" s="63"/>
      <c r="GZW44" s="63"/>
      <c r="GZX44" s="63"/>
      <c r="GZY44" s="63"/>
      <c r="GZZ44" s="63"/>
      <c r="HAA44" s="63"/>
      <c r="HAB44" s="63"/>
      <c r="HAC44" s="63"/>
      <c r="HAD44" s="63"/>
      <c r="HAE44" s="63"/>
      <c r="HAF44" s="63"/>
      <c r="HAG44" s="63"/>
      <c r="HAH44" s="63"/>
      <c r="HAI44" s="63"/>
      <c r="HAJ44" s="63"/>
      <c r="HAK44" s="63"/>
      <c r="HAL44" s="63"/>
      <c r="HAM44" s="63"/>
      <c r="HAN44" s="63"/>
      <c r="HAO44" s="63"/>
      <c r="HAP44" s="63"/>
      <c r="HAQ44" s="63"/>
      <c r="HAR44" s="63"/>
      <c r="HAS44" s="63"/>
      <c r="HAT44" s="63"/>
      <c r="HAU44" s="63"/>
      <c r="HAV44" s="63"/>
      <c r="HAW44" s="63"/>
      <c r="HAX44" s="63"/>
      <c r="HAY44" s="63"/>
      <c r="HAZ44" s="63"/>
      <c r="HBA44" s="63"/>
      <c r="HBB44" s="63"/>
      <c r="HBC44" s="63"/>
      <c r="HBD44" s="63"/>
      <c r="HBE44" s="63"/>
      <c r="HBF44" s="63"/>
      <c r="HBG44" s="63"/>
      <c r="HBH44" s="63"/>
      <c r="HBI44" s="63"/>
      <c r="HBJ44" s="63"/>
      <c r="HBK44" s="63"/>
      <c r="HBL44" s="63"/>
      <c r="HBM44" s="63"/>
      <c r="HBN44" s="63"/>
      <c r="HBO44" s="63"/>
      <c r="HBP44" s="63"/>
      <c r="HBQ44" s="63"/>
      <c r="HBR44" s="63"/>
      <c r="HBS44" s="63"/>
      <c r="HBT44" s="63"/>
      <c r="HBU44" s="63"/>
      <c r="HBV44" s="63"/>
      <c r="HBW44" s="63"/>
      <c r="HBX44" s="63"/>
      <c r="HBY44" s="63"/>
      <c r="HBZ44" s="63"/>
      <c r="HCA44" s="63"/>
      <c r="HCB44" s="63"/>
      <c r="HCC44" s="63"/>
      <c r="HCD44" s="63"/>
      <c r="HCE44" s="63"/>
      <c r="HCF44" s="63"/>
      <c r="HCG44" s="63"/>
      <c r="HCH44" s="63"/>
      <c r="HCI44" s="63"/>
      <c r="HCJ44" s="63"/>
      <c r="HCK44" s="63"/>
      <c r="HCL44" s="63"/>
      <c r="HCM44" s="63"/>
      <c r="HCN44" s="63"/>
      <c r="HCO44" s="63"/>
      <c r="HCP44" s="63"/>
      <c r="HCQ44" s="63"/>
      <c r="HCR44" s="63"/>
      <c r="HCS44" s="63"/>
      <c r="HCT44" s="63"/>
      <c r="HCU44" s="63"/>
      <c r="HCV44" s="63"/>
      <c r="HCW44" s="63"/>
      <c r="HCX44" s="63"/>
      <c r="HCY44" s="63"/>
      <c r="HCZ44" s="63"/>
      <c r="HDA44" s="63"/>
      <c r="HDB44" s="63"/>
      <c r="HDC44" s="63"/>
      <c r="HDD44" s="63"/>
      <c r="HDE44" s="63"/>
      <c r="HDF44" s="63"/>
      <c r="HDG44" s="63"/>
      <c r="HDH44" s="63"/>
      <c r="HDI44" s="63"/>
      <c r="HDJ44" s="63"/>
      <c r="HDK44" s="63"/>
      <c r="HDL44" s="63"/>
      <c r="HDM44" s="63"/>
      <c r="HDN44" s="63"/>
      <c r="HDO44" s="63"/>
      <c r="HDP44" s="63"/>
      <c r="HDQ44" s="63"/>
      <c r="HDR44" s="63"/>
      <c r="HDS44" s="63"/>
      <c r="HDT44" s="63"/>
      <c r="HDU44" s="63"/>
      <c r="HDV44" s="63"/>
      <c r="HDW44" s="63"/>
      <c r="HDX44" s="63"/>
      <c r="HDY44" s="63"/>
      <c r="HDZ44" s="63"/>
      <c r="HEA44" s="63"/>
      <c r="HEB44" s="63"/>
      <c r="HEC44" s="63"/>
      <c r="HED44" s="63"/>
      <c r="HEE44" s="63"/>
      <c r="HEF44" s="63"/>
      <c r="HEG44" s="63"/>
      <c r="HEH44" s="63"/>
      <c r="HEI44" s="63"/>
      <c r="HEJ44" s="63"/>
      <c r="HEK44" s="63"/>
      <c r="HEL44" s="63"/>
      <c r="HEM44" s="63"/>
      <c r="HEN44" s="63"/>
      <c r="HEO44" s="63"/>
      <c r="HEP44" s="63"/>
      <c r="HEQ44" s="63"/>
      <c r="HER44" s="63"/>
      <c r="HES44" s="63"/>
      <c r="HET44" s="63"/>
      <c r="HEU44" s="63"/>
      <c r="HEV44" s="63"/>
      <c r="HEW44" s="63"/>
      <c r="HEX44" s="63"/>
      <c r="HEY44" s="63"/>
      <c r="HEZ44" s="63"/>
      <c r="HFA44" s="63"/>
      <c r="HFB44" s="63"/>
      <c r="HFC44" s="63"/>
      <c r="HFD44" s="63"/>
      <c r="HFE44" s="63"/>
      <c r="HFF44" s="63"/>
      <c r="HFG44" s="63"/>
      <c r="HFH44" s="63"/>
      <c r="HFI44" s="63"/>
      <c r="HFJ44" s="63"/>
      <c r="HFK44" s="63"/>
      <c r="HFL44" s="63"/>
      <c r="HFM44" s="63"/>
      <c r="HFN44" s="63"/>
      <c r="HFO44" s="63"/>
      <c r="HFP44" s="63"/>
      <c r="HFQ44" s="63"/>
      <c r="HFR44" s="63"/>
      <c r="HFS44" s="63"/>
      <c r="HFT44" s="63"/>
      <c r="HFU44" s="63"/>
      <c r="HFV44" s="63"/>
      <c r="HFW44" s="63"/>
      <c r="HFX44" s="63"/>
      <c r="HFY44" s="63"/>
      <c r="HFZ44" s="63"/>
      <c r="HGA44" s="63"/>
      <c r="HGB44" s="63"/>
      <c r="HGC44" s="63"/>
      <c r="HGD44" s="63"/>
      <c r="HGE44" s="63"/>
      <c r="HGF44" s="63"/>
      <c r="HGG44" s="63"/>
      <c r="HGH44" s="63"/>
      <c r="HGI44" s="63"/>
      <c r="HGJ44" s="63"/>
      <c r="HGK44" s="63"/>
      <c r="HGL44" s="63"/>
      <c r="HGM44" s="63"/>
      <c r="HGN44" s="63"/>
      <c r="HGO44" s="63"/>
      <c r="HGP44" s="63"/>
      <c r="HGQ44" s="63"/>
      <c r="HGR44" s="63"/>
      <c r="HGS44" s="63"/>
      <c r="HGT44" s="63"/>
      <c r="HGU44" s="63"/>
      <c r="HGV44" s="63"/>
      <c r="HGW44" s="63"/>
      <c r="HGX44" s="63"/>
      <c r="HGY44" s="63"/>
      <c r="HGZ44" s="63"/>
      <c r="HHA44" s="63"/>
      <c r="HHB44" s="63"/>
      <c r="HHC44" s="63"/>
      <c r="HHD44" s="63"/>
      <c r="HHE44" s="63"/>
      <c r="HHF44" s="63"/>
      <c r="HHG44" s="63"/>
      <c r="HHH44" s="63"/>
      <c r="HHI44" s="63"/>
      <c r="HHJ44" s="63"/>
      <c r="HHK44" s="63"/>
      <c r="HHL44" s="63"/>
      <c r="HHM44" s="63"/>
      <c r="HHN44" s="63"/>
      <c r="HHO44" s="63"/>
      <c r="HHP44" s="63"/>
      <c r="HHQ44" s="63"/>
      <c r="HHR44" s="63"/>
      <c r="HHS44" s="63"/>
      <c r="HHT44" s="63"/>
      <c r="HHU44" s="63"/>
      <c r="HHV44" s="63"/>
      <c r="HHW44" s="63"/>
      <c r="HHX44" s="63"/>
      <c r="HHY44" s="63"/>
      <c r="HHZ44" s="63"/>
      <c r="HIA44" s="63"/>
      <c r="HIB44" s="63"/>
      <c r="HIC44" s="63"/>
      <c r="HID44" s="63"/>
      <c r="HIE44" s="63"/>
      <c r="HIF44" s="63"/>
      <c r="HIG44" s="63"/>
      <c r="HIH44" s="63"/>
      <c r="HII44" s="63"/>
      <c r="HIJ44" s="63"/>
      <c r="HIK44" s="63"/>
      <c r="HIL44" s="63"/>
      <c r="HIM44" s="63"/>
      <c r="HIN44" s="63"/>
      <c r="HIO44" s="63"/>
      <c r="HIP44" s="63"/>
      <c r="HIQ44" s="63"/>
      <c r="HIR44" s="63"/>
      <c r="HIS44" s="63"/>
      <c r="HIT44" s="63"/>
      <c r="HIU44" s="63"/>
      <c r="HIV44" s="63"/>
      <c r="HIW44" s="63"/>
      <c r="HIX44" s="63"/>
      <c r="HIY44" s="63"/>
      <c r="HIZ44" s="63"/>
      <c r="HJA44" s="63"/>
      <c r="HJB44" s="63"/>
      <c r="HJC44" s="63"/>
      <c r="HJD44" s="63"/>
      <c r="HJE44" s="63"/>
      <c r="HJF44" s="63"/>
      <c r="HJG44" s="63"/>
      <c r="HJH44" s="63"/>
      <c r="HJI44" s="63"/>
      <c r="HJJ44" s="63"/>
      <c r="HJK44" s="63"/>
      <c r="HJL44" s="63"/>
      <c r="HJM44" s="63"/>
      <c r="HJN44" s="63"/>
      <c r="HJO44" s="63"/>
      <c r="HJP44" s="63"/>
      <c r="HJQ44" s="63"/>
      <c r="HJR44" s="63"/>
      <c r="HJS44" s="63"/>
      <c r="HJT44" s="63"/>
      <c r="HJU44" s="63"/>
      <c r="HJV44" s="63"/>
      <c r="HJW44" s="63"/>
      <c r="HJX44" s="63"/>
      <c r="HJY44" s="63"/>
      <c r="HJZ44" s="63"/>
      <c r="HKA44" s="63"/>
      <c r="HKB44" s="63"/>
      <c r="HKC44" s="63"/>
      <c r="HKD44" s="63"/>
      <c r="HKE44" s="63"/>
      <c r="HKF44" s="63"/>
      <c r="HKG44" s="63"/>
      <c r="HKH44" s="63"/>
      <c r="HKI44" s="63"/>
      <c r="HKJ44" s="63"/>
      <c r="HKK44" s="63"/>
      <c r="HKL44" s="63"/>
      <c r="HKM44" s="63"/>
      <c r="HKN44" s="63"/>
      <c r="HKO44" s="63"/>
      <c r="HKP44" s="63"/>
      <c r="HKQ44" s="63"/>
      <c r="HKR44" s="63"/>
      <c r="HKS44" s="63"/>
      <c r="HKT44" s="63"/>
      <c r="HKU44" s="63"/>
      <c r="HKV44" s="63"/>
      <c r="HKW44" s="63"/>
      <c r="HKX44" s="63"/>
      <c r="HKY44" s="63"/>
      <c r="HKZ44" s="63"/>
      <c r="HLA44" s="63"/>
      <c r="HLB44" s="63"/>
      <c r="HLC44" s="63"/>
      <c r="HLD44" s="63"/>
      <c r="HLE44" s="63"/>
      <c r="HLF44" s="63"/>
      <c r="HLG44" s="63"/>
      <c r="HLH44" s="63"/>
      <c r="HLI44" s="63"/>
      <c r="HLJ44" s="63"/>
      <c r="HLK44" s="63"/>
      <c r="HLL44" s="63"/>
      <c r="HLM44" s="63"/>
      <c r="HLN44" s="63"/>
      <c r="HLO44" s="63"/>
      <c r="HLP44" s="63"/>
      <c r="HLQ44" s="63"/>
      <c r="HLR44" s="63"/>
      <c r="HLS44" s="63"/>
      <c r="HLT44" s="63"/>
      <c r="HLU44" s="63"/>
      <c r="HLV44" s="63"/>
      <c r="HLW44" s="63"/>
      <c r="HLX44" s="63"/>
      <c r="HLY44" s="63"/>
      <c r="HLZ44" s="63"/>
      <c r="HMA44" s="63"/>
      <c r="HMB44" s="63"/>
      <c r="HMC44" s="63"/>
      <c r="HMD44" s="63"/>
      <c r="HME44" s="63"/>
      <c r="HMF44" s="63"/>
      <c r="HMG44" s="63"/>
      <c r="HMH44" s="63"/>
      <c r="HMI44" s="63"/>
      <c r="HMJ44" s="63"/>
      <c r="HMK44" s="63"/>
      <c r="HML44" s="63"/>
      <c r="HMM44" s="63"/>
      <c r="HMN44" s="63"/>
      <c r="HMO44" s="63"/>
      <c r="HMP44" s="63"/>
      <c r="HMQ44" s="63"/>
      <c r="HMR44" s="63"/>
      <c r="HMS44" s="63"/>
      <c r="HMT44" s="63"/>
      <c r="HMU44" s="63"/>
      <c r="HMV44" s="63"/>
      <c r="HMW44" s="63"/>
      <c r="HMX44" s="63"/>
      <c r="HMY44" s="63"/>
      <c r="HMZ44" s="63"/>
      <c r="HNA44" s="63"/>
      <c r="HNB44" s="63"/>
      <c r="HNC44" s="63"/>
      <c r="HND44" s="63"/>
      <c r="HNE44" s="63"/>
      <c r="HNF44" s="63"/>
      <c r="HNG44" s="63"/>
      <c r="HNH44" s="63"/>
      <c r="HNI44" s="63"/>
      <c r="HNJ44" s="63"/>
      <c r="HNK44" s="63"/>
      <c r="HNL44" s="63"/>
      <c r="HNM44" s="63"/>
      <c r="HNN44" s="63"/>
      <c r="HNO44" s="63"/>
      <c r="HNP44" s="63"/>
      <c r="HNQ44" s="63"/>
      <c r="HNR44" s="63"/>
      <c r="HNS44" s="63"/>
      <c r="HNT44" s="63"/>
      <c r="HNU44" s="63"/>
      <c r="HNV44" s="63"/>
      <c r="HNW44" s="63"/>
      <c r="HNX44" s="63"/>
      <c r="HNY44" s="63"/>
      <c r="HNZ44" s="63"/>
      <c r="HOA44" s="63"/>
      <c r="HOB44" s="63"/>
      <c r="HOC44" s="63"/>
      <c r="HOD44" s="63"/>
      <c r="HOE44" s="63"/>
      <c r="HOF44" s="63"/>
      <c r="HOG44" s="63"/>
      <c r="HOH44" s="63"/>
      <c r="HOI44" s="63"/>
      <c r="HOJ44" s="63"/>
      <c r="HOK44" s="63"/>
      <c r="HOL44" s="63"/>
      <c r="HOM44" s="63"/>
      <c r="HON44" s="63"/>
      <c r="HOO44" s="63"/>
      <c r="HOP44" s="63"/>
      <c r="HOQ44" s="63"/>
      <c r="HOR44" s="63"/>
      <c r="HOS44" s="63"/>
      <c r="HOT44" s="63"/>
      <c r="HOU44" s="63"/>
      <c r="HOV44" s="63"/>
      <c r="HOW44" s="63"/>
      <c r="HOX44" s="63"/>
      <c r="HOY44" s="63"/>
      <c r="HOZ44" s="63"/>
      <c r="HPA44" s="63"/>
      <c r="HPB44" s="63"/>
      <c r="HPC44" s="63"/>
      <c r="HPD44" s="63"/>
      <c r="HPE44" s="63"/>
      <c r="HPF44" s="63"/>
      <c r="HPG44" s="63"/>
      <c r="HPH44" s="63"/>
      <c r="HPI44" s="63"/>
      <c r="HPJ44" s="63"/>
      <c r="HPK44" s="63"/>
      <c r="HPL44" s="63"/>
      <c r="HPM44" s="63"/>
      <c r="HPN44" s="63"/>
      <c r="HPO44" s="63"/>
      <c r="HPP44" s="63"/>
      <c r="HPQ44" s="63"/>
      <c r="HPR44" s="63"/>
      <c r="HPS44" s="63"/>
      <c r="HPT44" s="63"/>
      <c r="HPU44" s="63"/>
      <c r="HPV44" s="63"/>
      <c r="HPW44" s="63"/>
      <c r="HPX44" s="63"/>
      <c r="HPY44" s="63"/>
      <c r="HPZ44" s="63"/>
      <c r="HQA44" s="63"/>
      <c r="HQB44" s="63"/>
      <c r="HQC44" s="63"/>
      <c r="HQD44" s="63"/>
      <c r="HQE44" s="63"/>
      <c r="HQF44" s="63"/>
      <c r="HQG44" s="63"/>
      <c r="HQH44" s="63"/>
      <c r="HQI44" s="63"/>
      <c r="HQJ44" s="63"/>
      <c r="HQK44" s="63"/>
      <c r="HQL44" s="63"/>
      <c r="HQM44" s="63"/>
      <c r="HQN44" s="63"/>
      <c r="HQO44" s="63"/>
      <c r="HQP44" s="63"/>
      <c r="HQQ44" s="63"/>
      <c r="HQR44" s="63"/>
      <c r="HQS44" s="63"/>
      <c r="HQT44" s="63"/>
      <c r="HQU44" s="63"/>
      <c r="HQV44" s="63"/>
      <c r="HQW44" s="63"/>
      <c r="HQX44" s="63"/>
      <c r="HQY44" s="63"/>
      <c r="HQZ44" s="63"/>
      <c r="HRA44" s="63"/>
      <c r="HRB44" s="63"/>
      <c r="HRC44" s="63"/>
      <c r="HRD44" s="63"/>
      <c r="HRE44" s="63"/>
      <c r="HRF44" s="63"/>
      <c r="HRG44" s="63"/>
      <c r="HRH44" s="63"/>
      <c r="HRI44" s="63"/>
      <c r="HRJ44" s="63"/>
      <c r="HRK44" s="63"/>
      <c r="HRL44" s="63"/>
      <c r="HRM44" s="63"/>
      <c r="HRN44" s="63"/>
      <c r="HRO44" s="63"/>
      <c r="HRP44" s="63"/>
      <c r="HRQ44" s="63"/>
      <c r="HRR44" s="63"/>
      <c r="HRS44" s="63"/>
      <c r="HRT44" s="63"/>
      <c r="HRU44" s="63"/>
      <c r="HRV44" s="63"/>
      <c r="HRW44" s="63"/>
      <c r="HRX44" s="63"/>
      <c r="HRY44" s="63"/>
      <c r="HRZ44" s="63"/>
      <c r="HSA44" s="63"/>
      <c r="HSB44" s="63"/>
      <c r="HSC44" s="63"/>
      <c r="HSD44" s="63"/>
      <c r="HSE44" s="63"/>
      <c r="HSF44" s="63"/>
      <c r="HSG44" s="63"/>
      <c r="HSH44" s="63"/>
      <c r="HSI44" s="63"/>
      <c r="HSJ44" s="63"/>
      <c r="HSK44" s="63"/>
      <c r="HSL44" s="63"/>
      <c r="HSM44" s="63"/>
      <c r="HSN44" s="63"/>
      <c r="HSO44" s="63"/>
      <c r="HSP44" s="63"/>
      <c r="HSQ44" s="63"/>
      <c r="HSR44" s="63"/>
      <c r="HSS44" s="63"/>
      <c r="HST44" s="63"/>
      <c r="HSU44" s="63"/>
      <c r="HSV44" s="63"/>
      <c r="HSW44" s="63"/>
      <c r="HSX44" s="63"/>
      <c r="HSY44" s="63"/>
      <c r="HSZ44" s="63"/>
      <c r="HTA44" s="63"/>
      <c r="HTB44" s="63"/>
      <c r="HTC44" s="63"/>
      <c r="HTD44" s="63"/>
      <c r="HTE44" s="63"/>
      <c r="HTF44" s="63"/>
      <c r="HTG44" s="63"/>
      <c r="HTH44" s="63"/>
      <c r="HTI44" s="63"/>
      <c r="HTJ44" s="63"/>
      <c r="HTK44" s="63"/>
      <c r="HTL44" s="63"/>
      <c r="HTM44" s="63"/>
      <c r="HTN44" s="63"/>
      <c r="HTO44" s="63"/>
      <c r="HTP44" s="63"/>
      <c r="HTQ44" s="63"/>
      <c r="HTR44" s="63"/>
      <c r="HTS44" s="63"/>
      <c r="HTT44" s="63"/>
      <c r="HTU44" s="63"/>
      <c r="HTV44" s="63"/>
      <c r="HTW44" s="63"/>
      <c r="HTX44" s="63"/>
      <c r="HTY44" s="63"/>
      <c r="HTZ44" s="63"/>
      <c r="HUA44" s="63"/>
      <c r="HUB44" s="63"/>
      <c r="HUC44" s="63"/>
      <c r="HUD44" s="63"/>
      <c r="HUE44" s="63"/>
      <c r="HUF44" s="63"/>
      <c r="HUG44" s="63"/>
      <c r="HUH44" s="63"/>
      <c r="HUI44" s="63"/>
      <c r="HUJ44" s="63"/>
      <c r="HUK44" s="63"/>
      <c r="HUL44" s="63"/>
      <c r="HUM44" s="63"/>
      <c r="HUN44" s="63"/>
      <c r="HUO44" s="63"/>
      <c r="HUP44" s="63"/>
      <c r="HUQ44" s="63"/>
      <c r="HUR44" s="63"/>
      <c r="HUS44" s="63"/>
      <c r="HUT44" s="63"/>
      <c r="HUU44" s="63"/>
      <c r="HUV44" s="63"/>
      <c r="HUW44" s="63"/>
      <c r="HUX44" s="63"/>
      <c r="HUY44" s="63"/>
      <c r="HUZ44" s="63"/>
      <c r="HVA44" s="63"/>
      <c r="HVB44" s="63"/>
      <c r="HVC44" s="63"/>
      <c r="HVD44" s="63"/>
      <c r="HVE44" s="63"/>
      <c r="HVF44" s="63"/>
      <c r="HVG44" s="63"/>
      <c r="HVH44" s="63"/>
      <c r="HVI44" s="63"/>
      <c r="HVJ44" s="63"/>
      <c r="HVK44" s="63"/>
      <c r="HVL44" s="63"/>
      <c r="HVM44" s="63"/>
      <c r="HVN44" s="63"/>
      <c r="HVO44" s="63"/>
      <c r="HVP44" s="63"/>
      <c r="HVQ44" s="63"/>
      <c r="HVR44" s="63"/>
      <c r="HVS44" s="63"/>
      <c r="HVT44" s="63"/>
      <c r="HVU44" s="63"/>
      <c r="HVV44" s="63"/>
      <c r="HVW44" s="63"/>
      <c r="HVX44" s="63"/>
      <c r="HVY44" s="63"/>
      <c r="HVZ44" s="63"/>
      <c r="HWA44" s="63"/>
      <c r="HWB44" s="63"/>
      <c r="HWC44" s="63"/>
      <c r="HWD44" s="63"/>
      <c r="HWE44" s="63"/>
      <c r="HWF44" s="63"/>
      <c r="HWG44" s="63"/>
      <c r="HWH44" s="63"/>
      <c r="HWI44" s="63"/>
      <c r="HWJ44" s="63"/>
      <c r="HWK44" s="63"/>
      <c r="HWL44" s="63"/>
      <c r="HWM44" s="63"/>
      <c r="HWN44" s="63"/>
      <c r="HWO44" s="63"/>
      <c r="HWP44" s="63"/>
      <c r="HWQ44" s="63"/>
      <c r="HWR44" s="63"/>
      <c r="HWS44" s="63"/>
      <c r="HWT44" s="63"/>
      <c r="HWU44" s="63"/>
      <c r="HWV44" s="63"/>
      <c r="HWW44" s="63"/>
      <c r="HWX44" s="63"/>
      <c r="HWY44" s="63"/>
      <c r="HWZ44" s="63"/>
      <c r="HXA44" s="63"/>
      <c r="HXB44" s="63"/>
      <c r="HXC44" s="63"/>
      <c r="HXD44" s="63"/>
      <c r="HXE44" s="63"/>
      <c r="HXF44" s="63"/>
      <c r="HXG44" s="63"/>
      <c r="HXH44" s="63"/>
      <c r="HXI44" s="63"/>
      <c r="HXJ44" s="63"/>
      <c r="HXK44" s="63"/>
      <c r="HXL44" s="63"/>
      <c r="HXM44" s="63"/>
      <c r="HXN44" s="63"/>
      <c r="HXO44" s="63"/>
      <c r="HXP44" s="63"/>
      <c r="HXQ44" s="63"/>
      <c r="HXR44" s="63"/>
      <c r="HXS44" s="63"/>
      <c r="HXT44" s="63"/>
      <c r="HXU44" s="63"/>
      <c r="HXV44" s="63"/>
      <c r="HXW44" s="63"/>
      <c r="HXX44" s="63"/>
      <c r="HXY44" s="63"/>
      <c r="HXZ44" s="63"/>
      <c r="HYA44" s="63"/>
      <c r="HYB44" s="63"/>
      <c r="HYC44" s="63"/>
      <c r="HYD44" s="63"/>
      <c r="HYE44" s="63"/>
      <c r="HYF44" s="63"/>
      <c r="HYG44" s="63"/>
      <c r="HYH44" s="63"/>
      <c r="HYI44" s="63"/>
      <c r="HYJ44" s="63"/>
      <c r="HYK44" s="63"/>
      <c r="HYL44" s="63"/>
      <c r="HYM44" s="63"/>
      <c r="HYN44" s="63"/>
      <c r="HYO44" s="63"/>
      <c r="HYP44" s="63"/>
      <c r="HYQ44" s="63"/>
      <c r="HYR44" s="63"/>
      <c r="HYS44" s="63"/>
      <c r="HYT44" s="63"/>
      <c r="HYU44" s="63"/>
      <c r="HYV44" s="63"/>
      <c r="HYW44" s="63"/>
      <c r="HYX44" s="63"/>
      <c r="HYY44" s="63"/>
      <c r="HYZ44" s="63"/>
      <c r="HZA44" s="63"/>
      <c r="HZB44" s="63"/>
      <c r="HZC44" s="63"/>
      <c r="HZD44" s="63"/>
      <c r="HZE44" s="63"/>
      <c r="HZF44" s="63"/>
      <c r="HZG44" s="63"/>
      <c r="HZH44" s="63"/>
      <c r="HZI44" s="63"/>
      <c r="HZJ44" s="63"/>
      <c r="HZK44" s="63"/>
      <c r="HZL44" s="63"/>
      <c r="HZM44" s="63"/>
      <c r="HZN44" s="63"/>
      <c r="HZO44" s="63"/>
      <c r="HZP44" s="63"/>
      <c r="HZQ44" s="63"/>
      <c r="HZR44" s="63"/>
      <c r="HZS44" s="63"/>
      <c r="HZT44" s="63"/>
      <c r="HZU44" s="63"/>
      <c r="HZV44" s="63"/>
      <c r="HZW44" s="63"/>
      <c r="HZX44" s="63"/>
      <c r="HZY44" s="63"/>
      <c r="HZZ44" s="63"/>
      <c r="IAA44" s="63"/>
      <c r="IAB44" s="63"/>
      <c r="IAC44" s="63"/>
      <c r="IAD44" s="63"/>
      <c r="IAE44" s="63"/>
      <c r="IAF44" s="63"/>
      <c r="IAG44" s="63"/>
      <c r="IAH44" s="63"/>
      <c r="IAI44" s="63"/>
      <c r="IAJ44" s="63"/>
      <c r="IAK44" s="63"/>
      <c r="IAL44" s="63"/>
      <c r="IAM44" s="63"/>
      <c r="IAN44" s="63"/>
      <c r="IAO44" s="63"/>
      <c r="IAP44" s="63"/>
      <c r="IAQ44" s="63"/>
      <c r="IAR44" s="63"/>
      <c r="IAS44" s="63"/>
      <c r="IAT44" s="63"/>
      <c r="IAU44" s="63"/>
      <c r="IAV44" s="63"/>
      <c r="IAW44" s="63"/>
      <c r="IAX44" s="63"/>
      <c r="IAY44" s="63"/>
      <c r="IAZ44" s="63"/>
      <c r="IBA44" s="63"/>
      <c r="IBB44" s="63"/>
      <c r="IBC44" s="63"/>
      <c r="IBD44" s="63"/>
      <c r="IBE44" s="63"/>
      <c r="IBF44" s="63"/>
      <c r="IBG44" s="63"/>
      <c r="IBH44" s="63"/>
      <c r="IBI44" s="63"/>
      <c r="IBJ44" s="63"/>
      <c r="IBK44" s="63"/>
      <c r="IBL44" s="63"/>
      <c r="IBM44" s="63"/>
      <c r="IBN44" s="63"/>
      <c r="IBO44" s="63"/>
      <c r="IBP44" s="63"/>
      <c r="IBQ44" s="63"/>
      <c r="IBR44" s="63"/>
      <c r="IBS44" s="63"/>
      <c r="IBT44" s="63"/>
      <c r="IBU44" s="63"/>
      <c r="IBV44" s="63"/>
      <c r="IBW44" s="63"/>
      <c r="IBX44" s="63"/>
      <c r="IBY44" s="63"/>
      <c r="IBZ44" s="63"/>
      <c r="ICA44" s="63"/>
      <c r="ICB44" s="63"/>
      <c r="ICC44" s="63"/>
      <c r="ICD44" s="63"/>
      <c r="ICE44" s="63"/>
      <c r="ICF44" s="63"/>
      <c r="ICG44" s="63"/>
      <c r="ICH44" s="63"/>
      <c r="ICI44" s="63"/>
      <c r="ICJ44" s="63"/>
      <c r="ICK44" s="63"/>
      <c r="ICL44" s="63"/>
      <c r="ICM44" s="63"/>
      <c r="ICN44" s="63"/>
      <c r="ICO44" s="63"/>
      <c r="ICP44" s="63"/>
      <c r="ICQ44" s="63"/>
      <c r="ICR44" s="63"/>
      <c r="ICS44" s="63"/>
      <c r="ICT44" s="63"/>
      <c r="ICU44" s="63"/>
      <c r="ICV44" s="63"/>
      <c r="ICW44" s="63"/>
      <c r="ICX44" s="63"/>
      <c r="ICY44" s="63"/>
      <c r="ICZ44" s="63"/>
      <c r="IDA44" s="63"/>
      <c r="IDB44" s="63"/>
      <c r="IDC44" s="63"/>
      <c r="IDD44" s="63"/>
      <c r="IDE44" s="63"/>
      <c r="IDF44" s="63"/>
      <c r="IDG44" s="63"/>
      <c r="IDH44" s="63"/>
      <c r="IDI44" s="63"/>
      <c r="IDJ44" s="63"/>
      <c r="IDK44" s="63"/>
      <c r="IDL44" s="63"/>
      <c r="IDM44" s="63"/>
      <c r="IDN44" s="63"/>
      <c r="IDO44" s="63"/>
      <c r="IDP44" s="63"/>
      <c r="IDQ44" s="63"/>
      <c r="IDR44" s="63"/>
      <c r="IDS44" s="63"/>
      <c r="IDT44" s="63"/>
      <c r="IDU44" s="63"/>
      <c r="IDV44" s="63"/>
      <c r="IDW44" s="63"/>
      <c r="IDX44" s="63"/>
      <c r="IDY44" s="63"/>
      <c r="IDZ44" s="63"/>
      <c r="IEA44" s="63"/>
      <c r="IEB44" s="63"/>
      <c r="IEC44" s="63"/>
      <c r="IED44" s="63"/>
      <c r="IEE44" s="63"/>
      <c r="IEF44" s="63"/>
      <c r="IEG44" s="63"/>
      <c r="IEH44" s="63"/>
      <c r="IEI44" s="63"/>
      <c r="IEJ44" s="63"/>
      <c r="IEK44" s="63"/>
      <c r="IEL44" s="63"/>
      <c r="IEM44" s="63"/>
      <c r="IEN44" s="63"/>
      <c r="IEO44" s="63"/>
      <c r="IEP44" s="63"/>
      <c r="IEQ44" s="63"/>
      <c r="IER44" s="63"/>
      <c r="IES44" s="63"/>
      <c r="IET44" s="63"/>
      <c r="IEU44" s="63"/>
      <c r="IEV44" s="63"/>
      <c r="IEW44" s="63"/>
      <c r="IEX44" s="63"/>
      <c r="IEY44" s="63"/>
      <c r="IEZ44" s="63"/>
      <c r="IFA44" s="63"/>
      <c r="IFB44" s="63"/>
      <c r="IFC44" s="63"/>
      <c r="IFD44" s="63"/>
      <c r="IFE44" s="63"/>
      <c r="IFF44" s="63"/>
      <c r="IFG44" s="63"/>
      <c r="IFH44" s="63"/>
      <c r="IFI44" s="63"/>
      <c r="IFJ44" s="63"/>
      <c r="IFK44" s="63"/>
      <c r="IFL44" s="63"/>
      <c r="IFM44" s="63"/>
      <c r="IFN44" s="63"/>
      <c r="IFO44" s="63"/>
      <c r="IFP44" s="63"/>
      <c r="IFQ44" s="63"/>
      <c r="IFR44" s="63"/>
      <c r="IFS44" s="63"/>
      <c r="IFT44" s="63"/>
      <c r="IFU44" s="63"/>
      <c r="IFV44" s="63"/>
      <c r="IFW44" s="63"/>
      <c r="IFX44" s="63"/>
      <c r="IFY44" s="63"/>
      <c r="IFZ44" s="63"/>
      <c r="IGA44" s="63"/>
      <c r="IGB44" s="63"/>
      <c r="IGC44" s="63"/>
      <c r="IGD44" s="63"/>
      <c r="IGE44" s="63"/>
      <c r="IGF44" s="63"/>
      <c r="IGG44" s="63"/>
      <c r="IGH44" s="63"/>
      <c r="IGI44" s="63"/>
      <c r="IGJ44" s="63"/>
      <c r="IGK44" s="63"/>
      <c r="IGL44" s="63"/>
      <c r="IGM44" s="63"/>
      <c r="IGN44" s="63"/>
      <c r="IGO44" s="63"/>
      <c r="IGP44" s="63"/>
      <c r="IGQ44" s="63"/>
      <c r="IGR44" s="63"/>
      <c r="IGS44" s="63"/>
      <c r="IGT44" s="63"/>
      <c r="IGU44" s="63"/>
      <c r="IGV44" s="63"/>
      <c r="IGW44" s="63"/>
      <c r="IGX44" s="63"/>
      <c r="IGY44" s="63"/>
      <c r="IGZ44" s="63"/>
      <c r="IHA44" s="63"/>
      <c r="IHB44" s="63"/>
      <c r="IHC44" s="63"/>
      <c r="IHD44" s="63"/>
      <c r="IHE44" s="63"/>
      <c r="IHF44" s="63"/>
      <c r="IHG44" s="63"/>
      <c r="IHH44" s="63"/>
      <c r="IHI44" s="63"/>
      <c r="IHJ44" s="63"/>
      <c r="IHK44" s="63"/>
      <c r="IHL44" s="63"/>
      <c r="IHM44" s="63"/>
      <c r="IHN44" s="63"/>
      <c r="IHO44" s="63"/>
      <c r="IHP44" s="63"/>
      <c r="IHQ44" s="63"/>
      <c r="IHR44" s="63"/>
      <c r="IHS44" s="63"/>
      <c r="IHT44" s="63"/>
      <c r="IHU44" s="63"/>
      <c r="IHV44" s="63"/>
      <c r="IHW44" s="63"/>
      <c r="IHX44" s="63"/>
      <c r="IHY44" s="63"/>
      <c r="IHZ44" s="63"/>
      <c r="IIA44" s="63"/>
      <c r="IIB44" s="63"/>
      <c r="IIC44" s="63"/>
      <c r="IID44" s="63"/>
      <c r="IIE44" s="63"/>
      <c r="IIF44" s="63"/>
      <c r="IIG44" s="63"/>
      <c r="IIH44" s="63"/>
      <c r="III44" s="63"/>
      <c r="IIJ44" s="63"/>
      <c r="IIK44" s="63"/>
      <c r="IIL44" s="63"/>
      <c r="IIM44" s="63"/>
      <c r="IIN44" s="63"/>
      <c r="IIO44" s="63"/>
      <c r="IIP44" s="63"/>
      <c r="IIQ44" s="63"/>
      <c r="IIR44" s="63"/>
      <c r="IIS44" s="63"/>
      <c r="IIT44" s="63"/>
      <c r="IIU44" s="63"/>
      <c r="IIV44" s="63"/>
      <c r="IIW44" s="63"/>
      <c r="IIX44" s="63"/>
      <c r="IIY44" s="63"/>
      <c r="IIZ44" s="63"/>
      <c r="IJA44" s="63"/>
      <c r="IJB44" s="63"/>
      <c r="IJC44" s="63"/>
      <c r="IJD44" s="63"/>
      <c r="IJE44" s="63"/>
      <c r="IJF44" s="63"/>
      <c r="IJG44" s="63"/>
      <c r="IJH44" s="63"/>
      <c r="IJI44" s="63"/>
      <c r="IJJ44" s="63"/>
      <c r="IJK44" s="63"/>
      <c r="IJL44" s="63"/>
      <c r="IJM44" s="63"/>
      <c r="IJN44" s="63"/>
      <c r="IJO44" s="63"/>
      <c r="IJP44" s="63"/>
      <c r="IJQ44" s="63"/>
      <c r="IJR44" s="63"/>
      <c r="IJS44" s="63"/>
      <c r="IJT44" s="63"/>
      <c r="IJU44" s="63"/>
      <c r="IJV44" s="63"/>
      <c r="IJW44" s="63"/>
      <c r="IJX44" s="63"/>
      <c r="IJY44" s="63"/>
      <c r="IJZ44" s="63"/>
      <c r="IKA44" s="63"/>
      <c r="IKB44" s="63"/>
      <c r="IKC44" s="63"/>
      <c r="IKD44" s="63"/>
      <c r="IKE44" s="63"/>
      <c r="IKF44" s="63"/>
      <c r="IKG44" s="63"/>
      <c r="IKH44" s="63"/>
      <c r="IKI44" s="63"/>
      <c r="IKJ44" s="63"/>
      <c r="IKK44" s="63"/>
      <c r="IKL44" s="63"/>
      <c r="IKM44" s="63"/>
      <c r="IKN44" s="63"/>
      <c r="IKO44" s="63"/>
      <c r="IKP44" s="63"/>
      <c r="IKQ44" s="63"/>
      <c r="IKR44" s="63"/>
      <c r="IKS44" s="63"/>
      <c r="IKT44" s="63"/>
      <c r="IKU44" s="63"/>
      <c r="IKV44" s="63"/>
      <c r="IKW44" s="63"/>
      <c r="IKX44" s="63"/>
      <c r="IKY44" s="63"/>
      <c r="IKZ44" s="63"/>
      <c r="ILA44" s="63"/>
      <c r="ILB44" s="63"/>
      <c r="ILC44" s="63"/>
      <c r="ILD44" s="63"/>
      <c r="ILE44" s="63"/>
      <c r="ILF44" s="63"/>
      <c r="ILG44" s="63"/>
      <c r="ILH44" s="63"/>
      <c r="ILI44" s="63"/>
      <c r="ILJ44" s="63"/>
      <c r="ILK44" s="63"/>
      <c r="ILL44" s="63"/>
      <c r="ILM44" s="63"/>
      <c r="ILN44" s="63"/>
      <c r="ILO44" s="63"/>
      <c r="ILP44" s="63"/>
      <c r="ILQ44" s="63"/>
      <c r="ILR44" s="63"/>
      <c r="ILS44" s="63"/>
      <c r="ILT44" s="63"/>
      <c r="ILU44" s="63"/>
      <c r="ILV44" s="63"/>
      <c r="ILW44" s="63"/>
      <c r="ILX44" s="63"/>
      <c r="ILY44" s="63"/>
      <c r="ILZ44" s="63"/>
      <c r="IMA44" s="63"/>
      <c r="IMB44" s="63"/>
      <c r="IMC44" s="63"/>
      <c r="IMD44" s="63"/>
      <c r="IME44" s="63"/>
      <c r="IMF44" s="63"/>
      <c r="IMG44" s="63"/>
      <c r="IMH44" s="63"/>
      <c r="IMI44" s="63"/>
      <c r="IMJ44" s="63"/>
      <c r="IMK44" s="63"/>
      <c r="IML44" s="63"/>
      <c r="IMM44" s="63"/>
      <c r="IMN44" s="63"/>
      <c r="IMO44" s="63"/>
      <c r="IMP44" s="63"/>
      <c r="IMQ44" s="63"/>
      <c r="IMR44" s="63"/>
      <c r="IMS44" s="63"/>
      <c r="IMT44" s="63"/>
      <c r="IMU44" s="63"/>
      <c r="IMV44" s="63"/>
      <c r="IMW44" s="63"/>
      <c r="IMX44" s="63"/>
      <c r="IMY44" s="63"/>
      <c r="IMZ44" s="63"/>
      <c r="INA44" s="63"/>
      <c r="INB44" s="63"/>
      <c r="INC44" s="63"/>
      <c r="IND44" s="63"/>
      <c r="INE44" s="63"/>
      <c r="INF44" s="63"/>
      <c r="ING44" s="63"/>
      <c r="INH44" s="63"/>
      <c r="INI44" s="63"/>
      <c r="INJ44" s="63"/>
      <c r="INK44" s="63"/>
      <c r="INL44" s="63"/>
      <c r="INM44" s="63"/>
      <c r="INN44" s="63"/>
      <c r="INO44" s="63"/>
      <c r="INP44" s="63"/>
      <c r="INQ44" s="63"/>
      <c r="INR44" s="63"/>
      <c r="INS44" s="63"/>
      <c r="INT44" s="63"/>
      <c r="INU44" s="63"/>
      <c r="INV44" s="63"/>
      <c r="INW44" s="63"/>
      <c r="INX44" s="63"/>
      <c r="INY44" s="63"/>
      <c r="INZ44" s="63"/>
      <c r="IOA44" s="63"/>
      <c r="IOB44" s="63"/>
      <c r="IOC44" s="63"/>
      <c r="IOD44" s="63"/>
      <c r="IOE44" s="63"/>
      <c r="IOF44" s="63"/>
      <c r="IOG44" s="63"/>
      <c r="IOH44" s="63"/>
      <c r="IOI44" s="63"/>
      <c r="IOJ44" s="63"/>
      <c r="IOK44" s="63"/>
      <c r="IOL44" s="63"/>
      <c r="IOM44" s="63"/>
      <c r="ION44" s="63"/>
      <c r="IOO44" s="63"/>
      <c r="IOP44" s="63"/>
      <c r="IOQ44" s="63"/>
      <c r="IOR44" s="63"/>
      <c r="IOS44" s="63"/>
      <c r="IOT44" s="63"/>
      <c r="IOU44" s="63"/>
      <c r="IOV44" s="63"/>
      <c r="IOW44" s="63"/>
      <c r="IOX44" s="63"/>
      <c r="IOY44" s="63"/>
      <c r="IOZ44" s="63"/>
      <c r="IPA44" s="63"/>
      <c r="IPB44" s="63"/>
      <c r="IPC44" s="63"/>
      <c r="IPD44" s="63"/>
      <c r="IPE44" s="63"/>
      <c r="IPF44" s="63"/>
      <c r="IPG44" s="63"/>
      <c r="IPH44" s="63"/>
      <c r="IPI44" s="63"/>
      <c r="IPJ44" s="63"/>
      <c r="IPK44" s="63"/>
      <c r="IPL44" s="63"/>
      <c r="IPM44" s="63"/>
      <c r="IPN44" s="63"/>
      <c r="IPO44" s="63"/>
      <c r="IPP44" s="63"/>
      <c r="IPQ44" s="63"/>
      <c r="IPR44" s="63"/>
      <c r="IPS44" s="63"/>
      <c r="IPT44" s="63"/>
      <c r="IPU44" s="63"/>
      <c r="IPV44" s="63"/>
      <c r="IPW44" s="63"/>
      <c r="IPX44" s="63"/>
      <c r="IPY44" s="63"/>
      <c r="IPZ44" s="63"/>
      <c r="IQA44" s="63"/>
      <c r="IQB44" s="63"/>
      <c r="IQC44" s="63"/>
      <c r="IQD44" s="63"/>
      <c r="IQE44" s="63"/>
      <c r="IQF44" s="63"/>
      <c r="IQG44" s="63"/>
      <c r="IQH44" s="63"/>
      <c r="IQI44" s="63"/>
      <c r="IQJ44" s="63"/>
      <c r="IQK44" s="63"/>
      <c r="IQL44" s="63"/>
      <c r="IQM44" s="63"/>
      <c r="IQN44" s="63"/>
      <c r="IQO44" s="63"/>
      <c r="IQP44" s="63"/>
      <c r="IQQ44" s="63"/>
      <c r="IQR44" s="63"/>
      <c r="IQS44" s="63"/>
      <c r="IQT44" s="63"/>
      <c r="IQU44" s="63"/>
      <c r="IQV44" s="63"/>
      <c r="IQW44" s="63"/>
      <c r="IQX44" s="63"/>
      <c r="IQY44" s="63"/>
      <c r="IQZ44" s="63"/>
      <c r="IRA44" s="63"/>
      <c r="IRB44" s="63"/>
      <c r="IRC44" s="63"/>
      <c r="IRD44" s="63"/>
      <c r="IRE44" s="63"/>
      <c r="IRF44" s="63"/>
      <c r="IRG44" s="63"/>
      <c r="IRH44" s="63"/>
      <c r="IRI44" s="63"/>
      <c r="IRJ44" s="63"/>
      <c r="IRK44" s="63"/>
      <c r="IRL44" s="63"/>
      <c r="IRM44" s="63"/>
      <c r="IRN44" s="63"/>
      <c r="IRO44" s="63"/>
      <c r="IRP44" s="63"/>
      <c r="IRQ44" s="63"/>
      <c r="IRR44" s="63"/>
      <c r="IRS44" s="63"/>
      <c r="IRT44" s="63"/>
      <c r="IRU44" s="63"/>
      <c r="IRV44" s="63"/>
      <c r="IRW44" s="63"/>
      <c r="IRX44" s="63"/>
      <c r="IRY44" s="63"/>
      <c r="IRZ44" s="63"/>
      <c r="ISA44" s="63"/>
      <c r="ISB44" s="63"/>
      <c r="ISC44" s="63"/>
      <c r="ISD44" s="63"/>
      <c r="ISE44" s="63"/>
      <c r="ISF44" s="63"/>
      <c r="ISG44" s="63"/>
      <c r="ISH44" s="63"/>
      <c r="ISI44" s="63"/>
      <c r="ISJ44" s="63"/>
      <c r="ISK44" s="63"/>
      <c r="ISL44" s="63"/>
      <c r="ISM44" s="63"/>
      <c r="ISN44" s="63"/>
      <c r="ISO44" s="63"/>
      <c r="ISP44" s="63"/>
      <c r="ISQ44" s="63"/>
      <c r="ISR44" s="63"/>
      <c r="ISS44" s="63"/>
      <c r="IST44" s="63"/>
      <c r="ISU44" s="63"/>
      <c r="ISV44" s="63"/>
      <c r="ISW44" s="63"/>
      <c r="ISX44" s="63"/>
      <c r="ISY44" s="63"/>
      <c r="ISZ44" s="63"/>
      <c r="ITA44" s="63"/>
      <c r="ITB44" s="63"/>
      <c r="ITC44" s="63"/>
      <c r="ITD44" s="63"/>
      <c r="ITE44" s="63"/>
      <c r="ITF44" s="63"/>
      <c r="ITG44" s="63"/>
      <c r="ITH44" s="63"/>
      <c r="ITI44" s="63"/>
      <c r="ITJ44" s="63"/>
      <c r="ITK44" s="63"/>
      <c r="ITL44" s="63"/>
      <c r="ITM44" s="63"/>
      <c r="ITN44" s="63"/>
      <c r="ITO44" s="63"/>
      <c r="ITP44" s="63"/>
      <c r="ITQ44" s="63"/>
      <c r="ITR44" s="63"/>
      <c r="ITS44" s="63"/>
      <c r="ITT44" s="63"/>
      <c r="ITU44" s="63"/>
      <c r="ITV44" s="63"/>
      <c r="ITW44" s="63"/>
      <c r="ITX44" s="63"/>
      <c r="ITY44" s="63"/>
      <c r="ITZ44" s="63"/>
      <c r="IUA44" s="63"/>
      <c r="IUB44" s="63"/>
      <c r="IUC44" s="63"/>
      <c r="IUD44" s="63"/>
      <c r="IUE44" s="63"/>
      <c r="IUF44" s="63"/>
      <c r="IUG44" s="63"/>
      <c r="IUH44" s="63"/>
      <c r="IUI44" s="63"/>
      <c r="IUJ44" s="63"/>
      <c r="IUK44" s="63"/>
      <c r="IUL44" s="63"/>
      <c r="IUM44" s="63"/>
      <c r="IUN44" s="63"/>
      <c r="IUO44" s="63"/>
      <c r="IUP44" s="63"/>
      <c r="IUQ44" s="63"/>
      <c r="IUR44" s="63"/>
      <c r="IUS44" s="63"/>
      <c r="IUT44" s="63"/>
      <c r="IUU44" s="63"/>
      <c r="IUV44" s="63"/>
      <c r="IUW44" s="63"/>
      <c r="IUX44" s="63"/>
      <c r="IUY44" s="63"/>
      <c r="IUZ44" s="63"/>
      <c r="IVA44" s="63"/>
      <c r="IVB44" s="63"/>
      <c r="IVC44" s="63"/>
      <c r="IVD44" s="63"/>
      <c r="IVE44" s="63"/>
      <c r="IVF44" s="63"/>
      <c r="IVG44" s="63"/>
      <c r="IVH44" s="63"/>
      <c r="IVI44" s="63"/>
      <c r="IVJ44" s="63"/>
      <c r="IVK44" s="63"/>
      <c r="IVL44" s="63"/>
      <c r="IVM44" s="63"/>
      <c r="IVN44" s="63"/>
      <c r="IVO44" s="63"/>
      <c r="IVP44" s="63"/>
      <c r="IVQ44" s="63"/>
      <c r="IVR44" s="63"/>
      <c r="IVS44" s="63"/>
      <c r="IVT44" s="63"/>
      <c r="IVU44" s="63"/>
      <c r="IVV44" s="63"/>
      <c r="IVW44" s="63"/>
      <c r="IVX44" s="63"/>
      <c r="IVY44" s="63"/>
      <c r="IVZ44" s="63"/>
      <c r="IWA44" s="63"/>
      <c r="IWB44" s="63"/>
      <c r="IWC44" s="63"/>
      <c r="IWD44" s="63"/>
      <c r="IWE44" s="63"/>
      <c r="IWF44" s="63"/>
      <c r="IWG44" s="63"/>
      <c r="IWH44" s="63"/>
      <c r="IWI44" s="63"/>
      <c r="IWJ44" s="63"/>
      <c r="IWK44" s="63"/>
      <c r="IWL44" s="63"/>
      <c r="IWM44" s="63"/>
      <c r="IWN44" s="63"/>
      <c r="IWO44" s="63"/>
      <c r="IWP44" s="63"/>
      <c r="IWQ44" s="63"/>
      <c r="IWR44" s="63"/>
      <c r="IWS44" s="63"/>
      <c r="IWT44" s="63"/>
      <c r="IWU44" s="63"/>
      <c r="IWV44" s="63"/>
      <c r="IWW44" s="63"/>
      <c r="IWX44" s="63"/>
      <c r="IWY44" s="63"/>
      <c r="IWZ44" s="63"/>
      <c r="IXA44" s="63"/>
      <c r="IXB44" s="63"/>
      <c r="IXC44" s="63"/>
      <c r="IXD44" s="63"/>
      <c r="IXE44" s="63"/>
      <c r="IXF44" s="63"/>
      <c r="IXG44" s="63"/>
      <c r="IXH44" s="63"/>
      <c r="IXI44" s="63"/>
      <c r="IXJ44" s="63"/>
      <c r="IXK44" s="63"/>
      <c r="IXL44" s="63"/>
      <c r="IXM44" s="63"/>
      <c r="IXN44" s="63"/>
      <c r="IXO44" s="63"/>
      <c r="IXP44" s="63"/>
      <c r="IXQ44" s="63"/>
      <c r="IXR44" s="63"/>
      <c r="IXS44" s="63"/>
      <c r="IXT44" s="63"/>
      <c r="IXU44" s="63"/>
      <c r="IXV44" s="63"/>
      <c r="IXW44" s="63"/>
      <c r="IXX44" s="63"/>
      <c r="IXY44" s="63"/>
      <c r="IXZ44" s="63"/>
      <c r="IYA44" s="63"/>
      <c r="IYB44" s="63"/>
      <c r="IYC44" s="63"/>
      <c r="IYD44" s="63"/>
      <c r="IYE44" s="63"/>
      <c r="IYF44" s="63"/>
      <c r="IYG44" s="63"/>
      <c r="IYH44" s="63"/>
      <c r="IYI44" s="63"/>
      <c r="IYJ44" s="63"/>
      <c r="IYK44" s="63"/>
      <c r="IYL44" s="63"/>
      <c r="IYM44" s="63"/>
      <c r="IYN44" s="63"/>
      <c r="IYO44" s="63"/>
      <c r="IYP44" s="63"/>
      <c r="IYQ44" s="63"/>
      <c r="IYR44" s="63"/>
      <c r="IYS44" s="63"/>
      <c r="IYT44" s="63"/>
      <c r="IYU44" s="63"/>
      <c r="IYV44" s="63"/>
      <c r="IYW44" s="63"/>
      <c r="IYX44" s="63"/>
      <c r="IYY44" s="63"/>
      <c r="IYZ44" s="63"/>
      <c r="IZA44" s="63"/>
      <c r="IZB44" s="63"/>
      <c r="IZC44" s="63"/>
      <c r="IZD44" s="63"/>
      <c r="IZE44" s="63"/>
      <c r="IZF44" s="63"/>
      <c r="IZG44" s="63"/>
      <c r="IZH44" s="63"/>
      <c r="IZI44" s="63"/>
      <c r="IZJ44" s="63"/>
      <c r="IZK44" s="63"/>
      <c r="IZL44" s="63"/>
      <c r="IZM44" s="63"/>
      <c r="IZN44" s="63"/>
      <c r="IZO44" s="63"/>
      <c r="IZP44" s="63"/>
      <c r="IZQ44" s="63"/>
      <c r="IZR44" s="63"/>
      <c r="IZS44" s="63"/>
      <c r="IZT44" s="63"/>
      <c r="IZU44" s="63"/>
      <c r="IZV44" s="63"/>
      <c r="IZW44" s="63"/>
      <c r="IZX44" s="63"/>
      <c r="IZY44" s="63"/>
      <c r="IZZ44" s="63"/>
      <c r="JAA44" s="63"/>
      <c r="JAB44" s="63"/>
      <c r="JAC44" s="63"/>
      <c r="JAD44" s="63"/>
      <c r="JAE44" s="63"/>
      <c r="JAF44" s="63"/>
      <c r="JAG44" s="63"/>
      <c r="JAH44" s="63"/>
      <c r="JAI44" s="63"/>
      <c r="JAJ44" s="63"/>
      <c r="JAK44" s="63"/>
      <c r="JAL44" s="63"/>
      <c r="JAM44" s="63"/>
      <c r="JAN44" s="63"/>
      <c r="JAO44" s="63"/>
      <c r="JAP44" s="63"/>
      <c r="JAQ44" s="63"/>
      <c r="JAR44" s="63"/>
      <c r="JAS44" s="63"/>
      <c r="JAT44" s="63"/>
      <c r="JAU44" s="63"/>
      <c r="JAV44" s="63"/>
      <c r="JAW44" s="63"/>
      <c r="JAX44" s="63"/>
      <c r="JAY44" s="63"/>
      <c r="JAZ44" s="63"/>
      <c r="JBA44" s="63"/>
      <c r="JBB44" s="63"/>
      <c r="JBC44" s="63"/>
      <c r="JBD44" s="63"/>
      <c r="JBE44" s="63"/>
      <c r="JBF44" s="63"/>
      <c r="JBG44" s="63"/>
      <c r="JBH44" s="63"/>
      <c r="JBI44" s="63"/>
      <c r="JBJ44" s="63"/>
      <c r="JBK44" s="63"/>
      <c r="JBL44" s="63"/>
      <c r="JBM44" s="63"/>
      <c r="JBN44" s="63"/>
      <c r="JBO44" s="63"/>
      <c r="JBP44" s="63"/>
      <c r="JBQ44" s="63"/>
      <c r="JBR44" s="63"/>
      <c r="JBS44" s="63"/>
      <c r="JBT44" s="63"/>
      <c r="JBU44" s="63"/>
      <c r="JBV44" s="63"/>
      <c r="JBW44" s="63"/>
      <c r="JBX44" s="63"/>
      <c r="JBY44" s="63"/>
      <c r="JBZ44" s="63"/>
      <c r="JCA44" s="63"/>
      <c r="JCB44" s="63"/>
      <c r="JCC44" s="63"/>
      <c r="JCD44" s="63"/>
      <c r="JCE44" s="63"/>
      <c r="JCF44" s="63"/>
      <c r="JCG44" s="63"/>
      <c r="JCH44" s="63"/>
      <c r="JCI44" s="63"/>
      <c r="JCJ44" s="63"/>
      <c r="JCK44" s="63"/>
      <c r="JCL44" s="63"/>
      <c r="JCM44" s="63"/>
      <c r="JCN44" s="63"/>
      <c r="JCO44" s="63"/>
      <c r="JCP44" s="63"/>
      <c r="JCQ44" s="63"/>
      <c r="JCR44" s="63"/>
      <c r="JCS44" s="63"/>
      <c r="JCT44" s="63"/>
      <c r="JCU44" s="63"/>
      <c r="JCV44" s="63"/>
      <c r="JCW44" s="63"/>
      <c r="JCX44" s="63"/>
      <c r="JCY44" s="63"/>
      <c r="JCZ44" s="63"/>
      <c r="JDA44" s="63"/>
      <c r="JDB44" s="63"/>
      <c r="JDC44" s="63"/>
      <c r="JDD44" s="63"/>
      <c r="JDE44" s="63"/>
      <c r="JDF44" s="63"/>
      <c r="JDG44" s="63"/>
      <c r="JDH44" s="63"/>
      <c r="JDI44" s="63"/>
      <c r="JDJ44" s="63"/>
      <c r="JDK44" s="63"/>
      <c r="JDL44" s="63"/>
      <c r="JDM44" s="63"/>
      <c r="JDN44" s="63"/>
      <c r="JDO44" s="63"/>
      <c r="JDP44" s="63"/>
      <c r="JDQ44" s="63"/>
      <c r="JDR44" s="63"/>
      <c r="JDS44" s="63"/>
      <c r="JDT44" s="63"/>
      <c r="JDU44" s="63"/>
      <c r="JDV44" s="63"/>
      <c r="JDW44" s="63"/>
      <c r="JDX44" s="63"/>
      <c r="JDY44" s="63"/>
      <c r="JDZ44" s="63"/>
      <c r="JEA44" s="63"/>
      <c r="JEB44" s="63"/>
      <c r="JEC44" s="63"/>
      <c r="JED44" s="63"/>
      <c r="JEE44" s="63"/>
      <c r="JEF44" s="63"/>
      <c r="JEG44" s="63"/>
      <c r="JEH44" s="63"/>
      <c r="JEI44" s="63"/>
      <c r="JEJ44" s="63"/>
      <c r="JEK44" s="63"/>
      <c r="JEL44" s="63"/>
      <c r="JEM44" s="63"/>
      <c r="JEN44" s="63"/>
      <c r="JEO44" s="63"/>
      <c r="JEP44" s="63"/>
      <c r="JEQ44" s="63"/>
      <c r="JER44" s="63"/>
      <c r="JES44" s="63"/>
      <c r="JET44" s="63"/>
      <c r="JEU44" s="63"/>
      <c r="JEV44" s="63"/>
      <c r="JEW44" s="63"/>
      <c r="JEX44" s="63"/>
      <c r="JEY44" s="63"/>
      <c r="JEZ44" s="63"/>
      <c r="JFA44" s="63"/>
      <c r="JFB44" s="63"/>
      <c r="JFC44" s="63"/>
      <c r="JFD44" s="63"/>
      <c r="JFE44" s="63"/>
      <c r="JFF44" s="63"/>
      <c r="JFG44" s="63"/>
      <c r="JFH44" s="63"/>
      <c r="JFI44" s="63"/>
      <c r="JFJ44" s="63"/>
      <c r="JFK44" s="63"/>
      <c r="JFL44" s="63"/>
      <c r="JFM44" s="63"/>
      <c r="JFN44" s="63"/>
      <c r="JFO44" s="63"/>
      <c r="JFP44" s="63"/>
      <c r="JFQ44" s="63"/>
      <c r="JFR44" s="63"/>
      <c r="JFS44" s="63"/>
      <c r="JFT44" s="63"/>
      <c r="JFU44" s="63"/>
      <c r="JFV44" s="63"/>
      <c r="JFW44" s="63"/>
      <c r="JFX44" s="63"/>
      <c r="JFY44" s="63"/>
      <c r="JFZ44" s="63"/>
      <c r="JGA44" s="63"/>
      <c r="JGB44" s="63"/>
      <c r="JGC44" s="63"/>
      <c r="JGD44" s="63"/>
      <c r="JGE44" s="63"/>
      <c r="JGF44" s="63"/>
      <c r="JGG44" s="63"/>
      <c r="JGH44" s="63"/>
      <c r="JGI44" s="63"/>
      <c r="JGJ44" s="63"/>
      <c r="JGK44" s="63"/>
      <c r="JGL44" s="63"/>
      <c r="JGM44" s="63"/>
      <c r="JGN44" s="63"/>
      <c r="JGO44" s="63"/>
      <c r="JGP44" s="63"/>
      <c r="JGQ44" s="63"/>
      <c r="JGR44" s="63"/>
      <c r="JGS44" s="63"/>
      <c r="JGT44" s="63"/>
      <c r="JGU44" s="63"/>
      <c r="JGV44" s="63"/>
      <c r="JGW44" s="63"/>
      <c r="JGX44" s="63"/>
      <c r="JGY44" s="63"/>
      <c r="JGZ44" s="63"/>
      <c r="JHA44" s="63"/>
      <c r="JHB44" s="63"/>
      <c r="JHC44" s="63"/>
      <c r="JHD44" s="63"/>
      <c r="JHE44" s="63"/>
      <c r="JHF44" s="63"/>
      <c r="JHG44" s="63"/>
      <c r="JHH44" s="63"/>
      <c r="JHI44" s="63"/>
      <c r="JHJ44" s="63"/>
      <c r="JHK44" s="63"/>
      <c r="JHL44" s="63"/>
      <c r="JHM44" s="63"/>
      <c r="JHN44" s="63"/>
      <c r="JHO44" s="63"/>
      <c r="JHP44" s="63"/>
      <c r="JHQ44" s="63"/>
      <c r="JHR44" s="63"/>
      <c r="JHS44" s="63"/>
      <c r="JHT44" s="63"/>
      <c r="JHU44" s="63"/>
      <c r="JHV44" s="63"/>
      <c r="JHW44" s="63"/>
      <c r="JHX44" s="63"/>
      <c r="JHY44" s="63"/>
      <c r="JHZ44" s="63"/>
      <c r="JIA44" s="63"/>
      <c r="JIB44" s="63"/>
      <c r="JIC44" s="63"/>
      <c r="JID44" s="63"/>
      <c r="JIE44" s="63"/>
      <c r="JIF44" s="63"/>
      <c r="JIG44" s="63"/>
      <c r="JIH44" s="63"/>
      <c r="JII44" s="63"/>
      <c r="JIJ44" s="63"/>
      <c r="JIK44" s="63"/>
      <c r="JIL44" s="63"/>
      <c r="JIM44" s="63"/>
      <c r="JIN44" s="63"/>
      <c r="JIO44" s="63"/>
      <c r="JIP44" s="63"/>
      <c r="JIQ44" s="63"/>
      <c r="JIR44" s="63"/>
      <c r="JIS44" s="63"/>
      <c r="JIT44" s="63"/>
      <c r="JIU44" s="63"/>
      <c r="JIV44" s="63"/>
      <c r="JIW44" s="63"/>
      <c r="JIX44" s="63"/>
      <c r="JIY44" s="63"/>
      <c r="JIZ44" s="63"/>
      <c r="JJA44" s="63"/>
      <c r="JJB44" s="63"/>
      <c r="JJC44" s="63"/>
      <c r="JJD44" s="63"/>
      <c r="JJE44" s="63"/>
      <c r="JJF44" s="63"/>
      <c r="JJG44" s="63"/>
      <c r="JJH44" s="63"/>
      <c r="JJI44" s="63"/>
      <c r="JJJ44" s="63"/>
      <c r="JJK44" s="63"/>
      <c r="JJL44" s="63"/>
      <c r="JJM44" s="63"/>
      <c r="JJN44" s="63"/>
      <c r="JJO44" s="63"/>
      <c r="JJP44" s="63"/>
      <c r="JJQ44" s="63"/>
      <c r="JJR44" s="63"/>
      <c r="JJS44" s="63"/>
      <c r="JJT44" s="63"/>
      <c r="JJU44" s="63"/>
      <c r="JJV44" s="63"/>
      <c r="JJW44" s="63"/>
      <c r="JJX44" s="63"/>
      <c r="JJY44" s="63"/>
      <c r="JJZ44" s="63"/>
      <c r="JKA44" s="63"/>
      <c r="JKB44" s="63"/>
      <c r="JKC44" s="63"/>
      <c r="JKD44" s="63"/>
      <c r="JKE44" s="63"/>
      <c r="JKF44" s="63"/>
      <c r="JKG44" s="63"/>
      <c r="JKH44" s="63"/>
      <c r="JKI44" s="63"/>
      <c r="JKJ44" s="63"/>
      <c r="JKK44" s="63"/>
      <c r="JKL44" s="63"/>
      <c r="JKM44" s="63"/>
      <c r="JKN44" s="63"/>
      <c r="JKO44" s="63"/>
      <c r="JKP44" s="63"/>
      <c r="JKQ44" s="63"/>
      <c r="JKR44" s="63"/>
      <c r="JKS44" s="63"/>
      <c r="JKT44" s="63"/>
      <c r="JKU44" s="63"/>
      <c r="JKV44" s="63"/>
      <c r="JKW44" s="63"/>
      <c r="JKX44" s="63"/>
      <c r="JKY44" s="63"/>
      <c r="JKZ44" s="63"/>
      <c r="JLA44" s="63"/>
      <c r="JLB44" s="63"/>
      <c r="JLC44" s="63"/>
      <c r="JLD44" s="63"/>
      <c r="JLE44" s="63"/>
      <c r="JLF44" s="63"/>
      <c r="JLG44" s="63"/>
      <c r="JLH44" s="63"/>
      <c r="JLI44" s="63"/>
      <c r="JLJ44" s="63"/>
      <c r="JLK44" s="63"/>
      <c r="JLL44" s="63"/>
      <c r="JLM44" s="63"/>
      <c r="JLN44" s="63"/>
      <c r="JLO44" s="63"/>
      <c r="JLP44" s="63"/>
      <c r="JLQ44" s="63"/>
      <c r="JLR44" s="63"/>
      <c r="JLS44" s="63"/>
      <c r="JLT44" s="63"/>
      <c r="JLU44" s="63"/>
      <c r="JLV44" s="63"/>
      <c r="JLW44" s="63"/>
      <c r="JLX44" s="63"/>
      <c r="JLY44" s="63"/>
      <c r="JLZ44" s="63"/>
      <c r="JMA44" s="63"/>
      <c r="JMB44" s="63"/>
      <c r="JMC44" s="63"/>
      <c r="JMD44" s="63"/>
      <c r="JME44" s="63"/>
      <c r="JMF44" s="63"/>
      <c r="JMG44" s="63"/>
      <c r="JMH44" s="63"/>
      <c r="JMI44" s="63"/>
      <c r="JMJ44" s="63"/>
      <c r="JMK44" s="63"/>
      <c r="JML44" s="63"/>
      <c r="JMM44" s="63"/>
      <c r="JMN44" s="63"/>
      <c r="JMO44" s="63"/>
      <c r="JMP44" s="63"/>
      <c r="JMQ44" s="63"/>
      <c r="JMR44" s="63"/>
      <c r="JMS44" s="63"/>
      <c r="JMT44" s="63"/>
      <c r="JMU44" s="63"/>
      <c r="JMV44" s="63"/>
      <c r="JMW44" s="63"/>
      <c r="JMX44" s="63"/>
      <c r="JMY44" s="63"/>
      <c r="JMZ44" s="63"/>
      <c r="JNA44" s="63"/>
      <c r="JNB44" s="63"/>
      <c r="JNC44" s="63"/>
      <c r="JND44" s="63"/>
      <c r="JNE44" s="63"/>
      <c r="JNF44" s="63"/>
      <c r="JNG44" s="63"/>
      <c r="JNH44" s="63"/>
      <c r="JNI44" s="63"/>
      <c r="JNJ44" s="63"/>
      <c r="JNK44" s="63"/>
      <c r="JNL44" s="63"/>
      <c r="JNM44" s="63"/>
      <c r="JNN44" s="63"/>
      <c r="JNO44" s="63"/>
      <c r="JNP44" s="63"/>
      <c r="JNQ44" s="63"/>
      <c r="JNR44" s="63"/>
      <c r="JNS44" s="63"/>
      <c r="JNT44" s="63"/>
      <c r="JNU44" s="63"/>
      <c r="JNV44" s="63"/>
      <c r="JNW44" s="63"/>
      <c r="JNX44" s="63"/>
      <c r="JNY44" s="63"/>
      <c r="JNZ44" s="63"/>
      <c r="JOA44" s="63"/>
      <c r="JOB44" s="63"/>
      <c r="JOC44" s="63"/>
      <c r="JOD44" s="63"/>
      <c r="JOE44" s="63"/>
      <c r="JOF44" s="63"/>
      <c r="JOG44" s="63"/>
      <c r="JOH44" s="63"/>
      <c r="JOI44" s="63"/>
      <c r="JOJ44" s="63"/>
      <c r="JOK44" s="63"/>
      <c r="JOL44" s="63"/>
      <c r="JOM44" s="63"/>
      <c r="JON44" s="63"/>
      <c r="JOO44" s="63"/>
      <c r="JOP44" s="63"/>
      <c r="JOQ44" s="63"/>
      <c r="JOR44" s="63"/>
      <c r="JOS44" s="63"/>
      <c r="JOT44" s="63"/>
      <c r="JOU44" s="63"/>
      <c r="JOV44" s="63"/>
      <c r="JOW44" s="63"/>
      <c r="JOX44" s="63"/>
      <c r="JOY44" s="63"/>
      <c r="JOZ44" s="63"/>
      <c r="JPA44" s="63"/>
      <c r="JPB44" s="63"/>
      <c r="JPC44" s="63"/>
      <c r="JPD44" s="63"/>
      <c r="JPE44" s="63"/>
      <c r="JPF44" s="63"/>
      <c r="JPG44" s="63"/>
      <c r="JPH44" s="63"/>
      <c r="JPI44" s="63"/>
      <c r="JPJ44" s="63"/>
      <c r="JPK44" s="63"/>
      <c r="JPL44" s="63"/>
      <c r="JPM44" s="63"/>
      <c r="JPN44" s="63"/>
      <c r="JPO44" s="63"/>
      <c r="JPP44" s="63"/>
      <c r="JPQ44" s="63"/>
      <c r="JPR44" s="63"/>
      <c r="JPS44" s="63"/>
      <c r="JPT44" s="63"/>
      <c r="JPU44" s="63"/>
      <c r="JPV44" s="63"/>
      <c r="JPW44" s="63"/>
      <c r="JPX44" s="63"/>
      <c r="JPY44" s="63"/>
      <c r="JPZ44" s="63"/>
      <c r="JQA44" s="63"/>
      <c r="JQB44" s="63"/>
      <c r="JQC44" s="63"/>
      <c r="JQD44" s="63"/>
      <c r="JQE44" s="63"/>
      <c r="JQF44" s="63"/>
      <c r="JQG44" s="63"/>
      <c r="JQH44" s="63"/>
      <c r="JQI44" s="63"/>
      <c r="JQJ44" s="63"/>
      <c r="JQK44" s="63"/>
      <c r="JQL44" s="63"/>
      <c r="JQM44" s="63"/>
      <c r="JQN44" s="63"/>
      <c r="JQO44" s="63"/>
      <c r="JQP44" s="63"/>
      <c r="JQQ44" s="63"/>
      <c r="JQR44" s="63"/>
      <c r="JQS44" s="63"/>
      <c r="JQT44" s="63"/>
      <c r="JQU44" s="63"/>
      <c r="JQV44" s="63"/>
      <c r="JQW44" s="63"/>
      <c r="JQX44" s="63"/>
      <c r="JQY44" s="63"/>
      <c r="JQZ44" s="63"/>
      <c r="JRA44" s="63"/>
      <c r="JRB44" s="63"/>
      <c r="JRC44" s="63"/>
      <c r="JRD44" s="63"/>
      <c r="JRE44" s="63"/>
      <c r="JRF44" s="63"/>
      <c r="JRG44" s="63"/>
      <c r="JRH44" s="63"/>
      <c r="JRI44" s="63"/>
      <c r="JRJ44" s="63"/>
      <c r="JRK44" s="63"/>
      <c r="JRL44" s="63"/>
      <c r="JRM44" s="63"/>
      <c r="JRN44" s="63"/>
      <c r="JRO44" s="63"/>
      <c r="JRP44" s="63"/>
      <c r="JRQ44" s="63"/>
      <c r="JRR44" s="63"/>
      <c r="JRS44" s="63"/>
      <c r="JRT44" s="63"/>
      <c r="JRU44" s="63"/>
      <c r="JRV44" s="63"/>
      <c r="JRW44" s="63"/>
      <c r="JRX44" s="63"/>
      <c r="JRY44" s="63"/>
      <c r="JRZ44" s="63"/>
      <c r="JSA44" s="63"/>
      <c r="JSB44" s="63"/>
      <c r="JSC44" s="63"/>
      <c r="JSD44" s="63"/>
      <c r="JSE44" s="63"/>
      <c r="JSF44" s="63"/>
      <c r="JSG44" s="63"/>
      <c r="JSH44" s="63"/>
      <c r="JSI44" s="63"/>
      <c r="JSJ44" s="63"/>
      <c r="JSK44" s="63"/>
      <c r="JSL44" s="63"/>
      <c r="JSM44" s="63"/>
      <c r="JSN44" s="63"/>
      <c r="JSO44" s="63"/>
      <c r="JSP44" s="63"/>
      <c r="JSQ44" s="63"/>
      <c r="JSR44" s="63"/>
      <c r="JSS44" s="63"/>
      <c r="JST44" s="63"/>
      <c r="JSU44" s="63"/>
      <c r="JSV44" s="63"/>
      <c r="JSW44" s="63"/>
      <c r="JSX44" s="63"/>
      <c r="JSY44" s="63"/>
      <c r="JSZ44" s="63"/>
      <c r="JTA44" s="63"/>
      <c r="JTB44" s="63"/>
      <c r="JTC44" s="63"/>
      <c r="JTD44" s="63"/>
      <c r="JTE44" s="63"/>
      <c r="JTF44" s="63"/>
      <c r="JTG44" s="63"/>
      <c r="JTH44" s="63"/>
      <c r="JTI44" s="63"/>
      <c r="JTJ44" s="63"/>
      <c r="JTK44" s="63"/>
      <c r="JTL44" s="63"/>
      <c r="JTM44" s="63"/>
      <c r="JTN44" s="63"/>
      <c r="JTO44" s="63"/>
      <c r="JTP44" s="63"/>
      <c r="JTQ44" s="63"/>
      <c r="JTR44" s="63"/>
      <c r="JTS44" s="63"/>
      <c r="JTT44" s="63"/>
      <c r="JTU44" s="63"/>
      <c r="JTV44" s="63"/>
      <c r="JTW44" s="63"/>
      <c r="JTX44" s="63"/>
      <c r="JTY44" s="63"/>
      <c r="JTZ44" s="63"/>
      <c r="JUA44" s="63"/>
      <c r="JUB44" s="63"/>
      <c r="JUC44" s="63"/>
      <c r="JUD44" s="63"/>
      <c r="JUE44" s="63"/>
      <c r="JUF44" s="63"/>
      <c r="JUG44" s="63"/>
      <c r="JUH44" s="63"/>
      <c r="JUI44" s="63"/>
      <c r="JUJ44" s="63"/>
      <c r="JUK44" s="63"/>
      <c r="JUL44" s="63"/>
      <c r="JUM44" s="63"/>
      <c r="JUN44" s="63"/>
      <c r="JUO44" s="63"/>
      <c r="JUP44" s="63"/>
      <c r="JUQ44" s="63"/>
      <c r="JUR44" s="63"/>
      <c r="JUS44" s="63"/>
      <c r="JUT44" s="63"/>
      <c r="JUU44" s="63"/>
      <c r="JUV44" s="63"/>
      <c r="JUW44" s="63"/>
      <c r="JUX44" s="63"/>
      <c r="JUY44" s="63"/>
      <c r="JUZ44" s="63"/>
      <c r="JVA44" s="63"/>
      <c r="JVB44" s="63"/>
      <c r="JVC44" s="63"/>
      <c r="JVD44" s="63"/>
      <c r="JVE44" s="63"/>
      <c r="JVF44" s="63"/>
      <c r="JVG44" s="63"/>
      <c r="JVH44" s="63"/>
      <c r="JVI44" s="63"/>
      <c r="JVJ44" s="63"/>
      <c r="JVK44" s="63"/>
      <c r="JVL44" s="63"/>
      <c r="JVM44" s="63"/>
      <c r="JVN44" s="63"/>
      <c r="JVO44" s="63"/>
      <c r="JVP44" s="63"/>
      <c r="JVQ44" s="63"/>
      <c r="JVR44" s="63"/>
      <c r="JVS44" s="63"/>
      <c r="JVT44" s="63"/>
      <c r="JVU44" s="63"/>
      <c r="JVV44" s="63"/>
      <c r="JVW44" s="63"/>
      <c r="JVX44" s="63"/>
      <c r="JVY44" s="63"/>
      <c r="JVZ44" s="63"/>
      <c r="JWA44" s="63"/>
      <c r="JWB44" s="63"/>
      <c r="JWC44" s="63"/>
      <c r="JWD44" s="63"/>
      <c r="JWE44" s="63"/>
      <c r="JWF44" s="63"/>
      <c r="JWG44" s="63"/>
      <c r="JWH44" s="63"/>
      <c r="JWI44" s="63"/>
      <c r="JWJ44" s="63"/>
      <c r="JWK44" s="63"/>
      <c r="JWL44" s="63"/>
      <c r="JWM44" s="63"/>
      <c r="JWN44" s="63"/>
      <c r="JWO44" s="63"/>
      <c r="JWP44" s="63"/>
      <c r="JWQ44" s="63"/>
      <c r="JWR44" s="63"/>
      <c r="JWS44" s="63"/>
      <c r="JWT44" s="63"/>
      <c r="JWU44" s="63"/>
      <c r="JWV44" s="63"/>
      <c r="JWW44" s="63"/>
      <c r="JWX44" s="63"/>
      <c r="JWY44" s="63"/>
      <c r="JWZ44" s="63"/>
      <c r="JXA44" s="63"/>
      <c r="JXB44" s="63"/>
      <c r="JXC44" s="63"/>
      <c r="JXD44" s="63"/>
      <c r="JXE44" s="63"/>
      <c r="JXF44" s="63"/>
      <c r="JXG44" s="63"/>
      <c r="JXH44" s="63"/>
      <c r="JXI44" s="63"/>
      <c r="JXJ44" s="63"/>
      <c r="JXK44" s="63"/>
      <c r="JXL44" s="63"/>
      <c r="JXM44" s="63"/>
      <c r="JXN44" s="63"/>
      <c r="JXO44" s="63"/>
      <c r="JXP44" s="63"/>
      <c r="JXQ44" s="63"/>
      <c r="JXR44" s="63"/>
      <c r="JXS44" s="63"/>
      <c r="JXT44" s="63"/>
      <c r="JXU44" s="63"/>
      <c r="JXV44" s="63"/>
      <c r="JXW44" s="63"/>
      <c r="JXX44" s="63"/>
      <c r="JXY44" s="63"/>
      <c r="JXZ44" s="63"/>
      <c r="JYA44" s="63"/>
      <c r="JYB44" s="63"/>
      <c r="JYC44" s="63"/>
      <c r="JYD44" s="63"/>
      <c r="JYE44" s="63"/>
      <c r="JYF44" s="63"/>
      <c r="JYG44" s="63"/>
      <c r="JYH44" s="63"/>
      <c r="JYI44" s="63"/>
      <c r="JYJ44" s="63"/>
      <c r="JYK44" s="63"/>
      <c r="JYL44" s="63"/>
      <c r="JYM44" s="63"/>
      <c r="JYN44" s="63"/>
      <c r="JYO44" s="63"/>
      <c r="JYP44" s="63"/>
      <c r="JYQ44" s="63"/>
      <c r="JYR44" s="63"/>
      <c r="JYS44" s="63"/>
      <c r="JYT44" s="63"/>
      <c r="JYU44" s="63"/>
      <c r="JYV44" s="63"/>
      <c r="JYW44" s="63"/>
      <c r="JYX44" s="63"/>
      <c r="JYY44" s="63"/>
      <c r="JYZ44" s="63"/>
      <c r="JZA44" s="63"/>
      <c r="JZB44" s="63"/>
      <c r="JZC44" s="63"/>
      <c r="JZD44" s="63"/>
      <c r="JZE44" s="63"/>
      <c r="JZF44" s="63"/>
      <c r="JZG44" s="63"/>
      <c r="JZH44" s="63"/>
      <c r="JZI44" s="63"/>
      <c r="JZJ44" s="63"/>
      <c r="JZK44" s="63"/>
      <c r="JZL44" s="63"/>
      <c r="JZM44" s="63"/>
      <c r="JZN44" s="63"/>
      <c r="JZO44" s="63"/>
      <c r="JZP44" s="63"/>
      <c r="JZQ44" s="63"/>
      <c r="JZR44" s="63"/>
      <c r="JZS44" s="63"/>
      <c r="JZT44" s="63"/>
      <c r="JZU44" s="63"/>
      <c r="JZV44" s="63"/>
      <c r="JZW44" s="63"/>
      <c r="JZX44" s="63"/>
      <c r="JZY44" s="63"/>
      <c r="JZZ44" s="63"/>
      <c r="KAA44" s="63"/>
      <c r="KAB44" s="63"/>
      <c r="KAC44" s="63"/>
      <c r="KAD44" s="63"/>
      <c r="KAE44" s="63"/>
      <c r="KAF44" s="63"/>
      <c r="KAG44" s="63"/>
      <c r="KAH44" s="63"/>
      <c r="KAI44" s="63"/>
      <c r="KAJ44" s="63"/>
      <c r="KAK44" s="63"/>
      <c r="KAL44" s="63"/>
      <c r="KAM44" s="63"/>
      <c r="KAN44" s="63"/>
      <c r="KAO44" s="63"/>
      <c r="KAP44" s="63"/>
      <c r="KAQ44" s="63"/>
      <c r="KAR44" s="63"/>
      <c r="KAS44" s="63"/>
      <c r="KAT44" s="63"/>
      <c r="KAU44" s="63"/>
      <c r="KAV44" s="63"/>
      <c r="KAW44" s="63"/>
      <c r="KAX44" s="63"/>
      <c r="KAY44" s="63"/>
      <c r="KAZ44" s="63"/>
      <c r="KBA44" s="63"/>
      <c r="KBB44" s="63"/>
      <c r="KBC44" s="63"/>
      <c r="KBD44" s="63"/>
      <c r="KBE44" s="63"/>
      <c r="KBF44" s="63"/>
      <c r="KBG44" s="63"/>
      <c r="KBH44" s="63"/>
      <c r="KBI44" s="63"/>
      <c r="KBJ44" s="63"/>
      <c r="KBK44" s="63"/>
      <c r="KBL44" s="63"/>
      <c r="KBM44" s="63"/>
      <c r="KBN44" s="63"/>
      <c r="KBO44" s="63"/>
      <c r="KBP44" s="63"/>
      <c r="KBQ44" s="63"/>
      <c r="KBR44" s="63"/>
      <c r="KBS44" s="63"/>
      <c r="KBT44" s="63"/>
      <c r="KBU44" s="63"/>
      <c r="KBV44" s="63"/>
      <c r="KBW44" s="63"/>
      <c r="KBX44" s="63"/>
      <c r="KBY44" s="63"/>
      <c r="KBZ44" s="63"/>
      <c r="KCA44" s="63"/>
      <c r="KCB44" s="63"/>
      <c r="KCC44" s="63"/>
      <c r="KCD44" s="63"/>
      <c r="KCE44" s="63"/>
      <c r="KCF44" s="63"/>
      <c r="KCG44" s="63"/>
      <c r="KCH44" s="63"/>
      <c r="KCI44" s="63"/>
      <c r="KCJ44" s="63"/>
      <c r="KCK44" s="63"/>
      <c r="KCL44" s="63"/>
      <c r="KCM44" s="63"/>
      <c r="KCN44" s="63"/>
      <c r="KCO44" s="63"/>
      <c r="KCP44" s="63"/>
      <c r="KCQ44" s="63"/>
      <c r="KCR44" s="63"/>
      <c r="KCS44" s="63"/>
      <c r="KCT44" s="63"/>
      <c r="KCU44" s="63"/>
      <c r="KCV44" s="63"/>
      <c r="KCW44" s="63"/>
      <c r="KCX44" s="63"/>
      <c r="KCY44" s="63"/>
      <c r="KCZ44" s="63"/>
      <c r="KDA44" s="63"/>
      <c r="KDB44" s="63"/>
      <c r="KDC44" s="63"/>
      <c r="KDD44" s="63"/>
      <c r="KDE44" s="63"/>
      <c r="KDF44" s="63"/>
      <c r="KDG44" s="63"/>
      <c r="KDH44" s="63"/>
      <c r="KDI44" s="63"/>
      <c r="KDJ44" s="63"/>
      <c r="KDK44" s="63"/>
      <c r="KDL44" s="63"/>
      <c r="KDM44" s="63"/>
      <c r="KDN44" s="63"/>
      <c r="KDO44" s="63"/>
      <c r="KDP44" s="63"/>
      <c r="KDQ44" s="63"/>
      <c r="KDR44" s="63"/>
      <c r="KDS44" s="63"/>
      <c r="KDT44" s="63"/>
      <c r="KDU44" s="63"/>
      <c r="KDV44" s="63"/>
      <c r="KDW44" s="63"/>
      <c r="KDX44" s="63"/>
      <c r="KDY44" s="63"/>
      <c r="KDZ44" s="63"/>
      <c r="KEA44" s="63"/>
      <c r="KEB44" s="63"/>
      <c r="KEC44" s="63"/>
      <c r="KED44" s="63"/>
      <c r="KEE44" s="63"/>
      <c r="KEF44" s="63"/>
      <c r="KEG44" s="63"/>
      <c r="KEH44" s="63"/>
      <c r="KEI44" s="63"/>
      <c r="KEJ44" s="63"/>
      <c r="KEK44" s="63"/>
      <c r="KEL44" s="63"/>
      <c r="KEM44" s="63"/>
      <c r="KEN44" s="63"/>
      <c r="KEO44" s="63"/>
      <c r="KEP44" s="63"/>
      <c r="KEQ44" s="63"/>
      <c r="KER44" s="63"/>
      <c r="KES44" s="63"/>
      <c r="KET44" s="63"/>
      <c r="KEU44" s="63"/>
      <c r="KEV44" s="63"/>
      <c r="KEW44" s="63"/>
      <c r="KEX44" s="63"/>
      <c r="KEY44" s="63"/>
      <c r="KEZ44" s="63"/>
      <c r="KFA44" s="63"/>
      <c r="KFB44" s="63"/>
      <c r="KFC44" s="63"/>
      <c r="KFD44" s="63"/>
      <c r="KFE44" s="63"/>
      <c r="KFF44" s="63"/>
      <c r="KFG44" s="63"/>
      <c r="KFH44" s="63"/>
      <c r="KFI44" s="63"/>
      <c r="KFJ44" s="63"/>
      <c r="KFK44" s="63"/>
      <c r="KFL44" s="63"/>
      <c r="KFM44" s="63"/>
      <c r="KFN44" s="63"/>
      <c r="KFO44" s="63"/>
      <c r="KFP44" s="63"/>
      <c r="KFQ44" s="63"/>
      <c r="KFR44" s="63"/>
      <c r="KFS44" s="63"/>
      <c r="KFT44" s="63"/>
      <c r="KFU44" s="63"/>
      <c r="KFV44" s="63"/>
      <c r="KFW44" s="63"/>
      <c r="KFX44" s="63"/>
      <c r="KFY44" s="63"/>
      <c r="KFZ44" s="63"/>
      <c r="KGA44" s="63"/>
      <c r="KGB44" s="63"/>
      <c r="KGC44" s="63"/>
      <c r="KGD44" s="63"/>
      <c r="KGE44" s="63"/>
      <c r="KGF44" s="63"/>
      <c r="KGG44" s="63"/>
      <c r="KGH44" s="63"/>
      <c r="KGI44" s="63"/>
      <c r="KGJ44" s="63"/>
      <c r="KGK44" s="63"/>
      <c r="KGL44" s="63"/>
      <c r="KGM44" s="63"/>
      <c r="KGN44" s="63"/>
      <c r="KGO44" s="63"/>
      <c r="KGP44" s="63"/>
      <c r="KGQ44" s="63"/>
      <c r="KGR44" s="63"/>
      <c r="KGS44" s="63"/>
      <c r="KGT44" s="63"/>
      <c r="KGU44" s="63"/>
      <c r="KGV44" s="63"/>
      <c r="KGW44" s="63"/>
      <c r="KGX44" s="63"/>
      <c r="KGY44" s="63"/>
      <c r="KGZ44" s="63"/>
      <c r="KHA44" s="63"/>
      <c r="KHB44" s="63"/>
      <c r="KHC44" s="63"/>
      <c r="KHD44" s="63"/>
      <c r="KHE44" s="63"/>
      <c r="KHF44" s="63"/>
      <c r="KHG44" s="63"/>
      <c r="KHH44" s="63"/>
      <c r="KHI44" s="63"/>
      <c r="KHJ44" s="63"/>
      <c r="KHK44" s="63"/>
      <c r="KHL44" s="63"/>
      <c r="KHM44" s="63"/>
      <c r="KHN44" s="63"/>
      <c r="KHO44" s="63"/>
      <c r="KHP44" s="63"/>
      <c r="KHQ44" s="63"/>
      <c r="KHR44" s="63"/>
      <c r="KHS44" s="63"/>
      <c r="KHT44" s="63"/>
      <c r="KHU44" s="63"/>
      <c r="KHV44" s="63"/>
      <c r="KHW44" s="63"/>
      <c r="KHX44" s="63"/>
      <c r="KHY44" s="63"/>
      <c r="KHZ44" s="63"/>
      <c r="KIA44" s="63"/>
      <c r="KIB44" s="63"/>
      <c r="KIC44" s="63"/>
      <c r="KID44" s="63"/>
      <c r="KIE44" s="63"/>
      <c r="KIF44" s="63"/>
      <c r="KIG44" s="63"/>
      <c r="KIH44" s="63"/>
      <c r="KII44" s="63"/>
      <c r="KIJ44" s="63"/>
      <c r="KIK44" s="63"/>
      <c r="KIL44" s="63"/>
      <c r="KIM44" s="63"/>
      <c r="KIN44" s="63"/>
      <c r="KIO44" s="63"/>
      <c r="KIP44" s="63"/>
      <c r="KIQ44" s="63"/>
      <c r="KIR44" s="63"/>
      <c r="KIS44" s="63"/>
      <c r="KIT44" s="63"/>
      <c r="KIU44" s="63"/>
      <c r="KIV44" s="63"/>
      <c r="KIW44" s="63"/>
      <c r="KIX44" s="63"/>
      <c r="KIY44" s="63"/>
      <c r="KIZ44" s="63"/>
      <c r="KJA44" s="63"/>
      <c r="KJB44" s="63"/>
      <c r="KJC44" s="63"/>
      <c r="KJD44" s="63"/>
      <c r="KJE44" s="63"/>
      <c r="KJF44" s="63"/>
      <c r="KJG44" s="63"/>
      <c r="KJH44" s="63"/>
      <c r="KJI44" s="63"/>
      <c r="KJJ44" s="63"/>
      <c r="KJK44" s="63"/>
      <c r="KJL44" s="63"/>
      <c r="KJM44" s="63"/>
      <c r="KJN44" s="63"/>
      <c r="KJO44" s="63"/>
      <c r="KJP44" s="63"/>
      <c r="KJQ44" s="63"/>
      <c r="KJR44" s="63"/>
      <c r="KJS44" s="63"/>
      <c r="KJT44" s="63"/>
      <c r="KJU44" s="63"/>
      <c r="KJV44" s="63"/>
      <c r="KJW44" s="63"/>
      <c r="KJX44" s="63"/>
      <c r="KJY44" s="63"/>
      <c r="KJZ44" s="63"/>
      <c r="KKA44" s="63"/>
      <c r="KKB44" s="63"/>
      <c r="KKC44" s="63"/>
      <c r="KKD44" s="63"/>
      <c r="KKE44" s="63"/>
      <c r="KKF44" s="63"/>
      <c r="KKG44" s="63"/>
      <c r="KKH44" s="63"/>
      <c r="KKI44" s="63"/>
      <c r="KKJ44" s="63"/>
      <c r="KKK44" s="63"/>
      <c r="KKL44" s="63"/>
      <c r="KKM44" s="63"/>
      <c r="KKN44" s="63"/>
      <c r="KKO44" s="63"/>
      <c r="KKP44" s="63"/>
      <c r="KKQ44" s="63"/>
      <c r="KKR44" s="63"/>
      <c r="KKS44" s="63"/>
      <c r="KKT44" s="63"/>
      <c r="KKU44" s="63"/>
      <c r="KKV44" s="63"/>
      <c r="KKW44" s="63"/>
      <c r="KKX44" s="63"/>
      <c r="KKY44" s="63"/>
      <c r="KKZ44" s="63"/>
      <c r="KLA44" s="63"/>
      <c r="KLB44" s="63"/>
      <c r="KLC44" s="63"/>
      <c r="KLD44" s="63"/>
      <c r="KLE44" s="63"/>
      <c r="KLF44" s="63"/>
      <c r="KLG44" s="63"/>
      <c r="KLH44" s="63"/>
      <c r="KLI44" s="63"/>
      <c r="KLJ44" s="63"/>
      <c r="KLK44" s="63"/>
      <c r="KLL44" s="63"/>
      <c r="KLM44" s="63"/>
      <c r="KLN44" s="63"/>
      <c r="KLO44" s="63"/>
      <c r="KLP44" s="63"/>
      <c r="KLQ44" s="63"/>
      <c r="KLR44" s="63"/>
      <c r="KLS44" s="63"/>
      <c r="KLT44" s="63"/>
      <c r="KLU44" s="63"/>
      <c r="KLV44" s="63"/>
      <c r="KLW44" s="63"/>
      <c r="KLX44" s="63"/>
      <c r="KLY44" s="63"/>
      <c r="KLZ44" s="63"/>
      <c r="KMA44" s="63"/>
      <c r="KMB44" s="63"/>
      <c r="KMC44" s="63"/>
      <c r="KMD44" s="63"/>
      <c r="KME44" s="63"/>
      <c r="KMF44" s="63"/>
      <c r="KMG44" s="63"/>
      <c r="KMH44" s="63"/>
      <c r="KMI44" s="63"/>
      <c r="KMJ44" s="63"/>
      <c r="KMK44" s="63"/>
      <c r="KML44" s="63"/>
      <c r="KMM44" s="63"/>
      <c r="KMN44" s="63"/>
      <c r="KMO44" s="63"/>
      <c r="KMP44" s="63"/>
      <c r="KMQ44" s="63"/>
      <c r="KMR44" s="63"/>
      <c r="KMS44" s="63"/>
      <c r="KMT44" s="63"/>
      <c r="KMU44" s="63"/>
      <c r="KMV44" s="63"/>
      <c r="KMW44" s="63"/>
      <c r="KMX44" s="63"/>
      <c r="KMY44" s="63"/>
      <c r="KMZ44" s="63"/>
      <c r="KNA44" s="63"/>
      <c r="KNB44" s="63"/>
      <c r="KNC44" s="63"/>
      <c r="KND44" s="63"/>
      <c r="KNE44" s="63"/>
      <c r="KNF44" s="63"/>
      <c r="KNG44" s="63"/>
      <c r="KNH44" s="63"/>
      <c r="KNI44" s="63"/>
      <c r="KNJ44" s="63"/>
      <c r="KNK44" s="63"/>
      <c r="KNL44" s="63"/>
      <c r="KNM44" s="63"/>
      <c r="KNN44" s="63"/>
      <c r="KNO44" s="63"/>
      <c r="KNP44" s="63"/>
      <c r="KNQ44" s="63"/>
      <c r="KNR44" s="63"/>
      <c r="KNS44" s="63"/>
      <c r="KNT44" s="63"/>
      <c r="KNU44" s="63"/>
      <c r="KNV44" s="63"/>
      <c r="KNW44" s="63"/>
      <c r="KNX44" s="63"/>
      <c r="KNY44" s="63"/>
      <c r="KNZ44" s="63"/>
      <c r="KOA44" s="63"/>
      <c r="KOB44" s="63"/>
      <c r="KOC44" s="63"/>
      <c r="KOD44" s="63"/>
      <c r="KOE44" s="63"/>
      <c r="KOF44" s="63"/>
      <c r="KOG44" s="63"/>
      <c r="KOH44" s="63"/>
      <c r="KOI44" s="63"/>
      <c r="KOJ44" s="63"/>
      <c r="KOK44" s="63"/>
      <c r="KOL44" s="63"/>
      <c r="KOM44" s="63"/>
      <c r="KON44" s="63"/>
      <c r="KOO44" s="63"/>
      <c r="KOP44" s="63"/>
      <c r="KOQ44" s="63"/>
      <c r="KOR44" s="63"/>
      <c r="KOS44" s="63"/>
      <c r="KOT44" s="63"/>
      <c r="KOU44" s="63"/>
      <c r="KOV44" s="63"/>
      <c r="KOW44" s="63"/>
      <c r="KOX44" s="63"/>
      <c r="KOY44" s="63"/>
      <c r="KOZ44" s="63"/>
      <c r="KPA44" s="63"/>
      <c r="KPB44" s="63"/>
      <c r="KPC44" s="63"/>
      <c r="KPD44" s="63"/>
      <c r="KPE44" s="63"/>
      <c r="KPF44" s="63"/>
      <c r="KPG44" s="63"/>
      <c r="KPH44" s="63"/>
      <c r="KPI44" s="63"/>
      <c r="KPJ44" s="63"/>
      <c r="KPK44" s="63"/>
      <c r="KPL44" s="63"/>
      <c r="KPM44" s="63"/>
      <c r="KPN44" s="63"/>
      <c r="KPO44" s="63"/>
      <c r="KPP44" s="63"/>
      <c r="KPQ44" s="63"/>
      <c r="KPR44" s="63"/>
      <c r="KPS44" s="63"/>
      <c r="KPT44" s="63"/>
      <c r="KPU44" s="63"/>
      <c r="KPV44" s="63"/>
      <c r="KPW44" s="63"/>
      <c r="KPX44" s="63"/>
      <c r="KPY44" s="63"/>
      <c r="KPZ44" s="63"/>
      <c r="KQA44" s="63"/>
      <c r="KQB44" s="63"/>
      <c r="KQC44" s="63"/>
      <c r="KQD44" s="63"/>
      <c r="KQE44" s="63"/>
      <c r="KQF44" s="63"/>
      <c r="KQG44" s="63"/>
      <c r="KQH44" s="63"/>
      <c r="KQI44" s="63"/>
      <c r="KQJ44" s="63"/>
      <c r="KQK44" s="63"/>
      <c r="KQL44" s="63"/>
      <c r="KQM44" s="63"/>
      <c r="KQN44" s="63"/>
      <c r="KQO44" s="63"/>
      <c r="KQP44" s="63"/>
      <c r="KQQ44" s="63"/>
      <c r="KQR44" s="63"/>
      <c r="KQS44" s="63"/>
      <c r="KQT44" s="63"/>
      <c r="KQU44" s="63"/>
      <c r="KQV44" s="63"/>
      <c r="KQW44" s="63"/>
      <c r="KQX44" s="63"/>
      <c r="KQY44" s="63"/>
      <c r="KQZ44" s="63"/>
      <c r="KRA44" s="63"/>
      <c r="KRB44" s="63"/>
      <c r="KRC44" s="63"/>
      <c r="KRD44" s="63"/>
      <c r="KRE44" s="63"/>
      <c r="KRF44" s="63"/>
      <c r="KRG44" s="63"/>
      <c r="KRH44" s="63"/>
      <c r="KRI44" s="63"/>
      <c r="KRJ44" s="63"/>
      <c r="KRK44" s="63"/>
      <c r="KRL44" s="63"/>
      <c r="KRM44" s="63"/>
      <c r="KRN44" s="63"/>
      <c r="KRO44" s="63"/>
      <c r="KRP44" s="63"/>
      <c r="KRQ44" s="63"/>
      <c r="KRR44" s="63"/>
      <c r="KRS44" s="63"/>
      <c r="KRT44" s="63"/>
      <c r="KRU44" s="63"/>
      <c r="KRV44" s="63"/>
      <c r="KRW44" s="63"/>
      <c r="KRX44" s="63"/>
      <c r="KRY44" s="63"/>
      <c r="KRZ44" s="63"/>
      <c r="KSA44" s="63"/>
      <c r="KSB44" s="63"/>
      <c r="KSC44" s="63"/>
      <c r="KSD44" s="63"/>
      <c r="KSE44" s="63"/>
      <c r="KSF44" s="63"/>
      <c r="KSG44" s="63"/>
      <c r="KSH44" s="63"/>
      <c r="KSI44" s="63"/>
      <c r="KSJ44" s="63"/>
      <c r="KSK44" s="63"/>
      <c r="KSL44" s="63"/>
      <c r="KSM44" s="63"/>
      <c r="KSN44" s="63"/>
      <c r="KSO44" s="63"/>
      <c r="KSP44" s="63"/>
      <c r="KSQ44" s="63"/>
      <c r="KSR44" s="63"/>
      <c r="KSS44" s="63"/>
      <c r="KST44" s="63"/>
      <c r="KSU44" s="63"/>
      <c r="KSV44" s="63"/>
      <c r="KSW44" s="63"/>
      <c r="KSX44" s="63"/>
      <c r="KSY44" s="63"/>
      <c r="KSZ44" s="63"/>
      <c r="KTA44" s="63"/>
      <c r="KTB44" s="63"/>
      <c r="KTC44" s="63"/>
      <c r="KTD44" s="63"/>
      <c r="KTE44" s="63"/>
      <c r="KTF44" s="63"/>
      <c r="KTG44" s="63"/>
      <c r="KTH44" s="63"/>
      <c r="KTI44" s="63"/>
      <c r="KTJ44" s="63"/>
      <c r="KTK44" s="63"/>
      <c r="KTL44" s="63"/>
      <c r="KTM44" s="63"/>
      <c r="KTN44" s="63"/>
      <c r="KTO44" s="63"/>
      <c r="KTP44" s="63"/>
      <c r="KTQ44" s="63"/>
      <c r="KTR44" s="63"/>
      <c r="KTS44" s="63"/>
      <c r="KTT44" s="63"/>
      <c r="KTU44" s="63"/>
      <c r="KTV44" s="63"/>
      <c r="KTW44" s="63"/>
      <c r="KTX44" s="63"/>
      <c r="KTY44" s="63"/>
      <c r="KTZ44" s="63"/>
      <c r="KUA44" s="63"/>
      <c r="KUB44" s="63"/>
      <c r="KUC44" s="63"/>
      <c r="KUD44" s="63"/>
      <c r="KUE44" s="63"/>
      <c r="KUF44" s="63"/>
      <c r="KUG44" s="63"/>
      <c r="KUH44" s="63"/>
      <c r="KUI44" s="63"/>
      <c r="KUJ44" s="63"/>
      <c r="KUK44" s="63"/>
      <c r="KUL44" s="63"/>
      <c r="KUM44" s="63"/>
      <c r="KUN44" s="63"/>
      <c r="KUO44" s="63"/>
      <c r="KUP44" s="63"/>
      <c r="KUQ44" s="63"/>
      <c r="KUR44" s="63"/>
      <c r="KUS44" s="63"/>
      <c r="KUT44" s="63"/>
      <c r="KUU44" s="63"/>
      <c r="KUV44" s="63"/>
      <c r="KUW44" s="63"/>
      <c r="KUX44" s="63"/>
      <c r="KUY44" s="63"/>
      <c r="KUZ44" s="63"/>
      <c r="KVA44" s="63"/>
      <c r="KVB44" s="63"/>
      <c r="KVC44" s="63"/>
      <c r="KVD44" s="63"/>
      <c r="KVE44" s="63"/>
      <c r="KVF44" s="63"/>
      <c r="KVG44" s="63"/>
      <c r="KVH44" s="63"/>
      <c r="KVI44" s="63"/>
      <c r="KVJ44" s="63"/>
      <c r="KVK44" s="63"/>
      <c r="KVL44" s="63"/>
      <c r="KVM44" s="63"/>
      <c r="KVN44" s="63"/>
      <c r="KVO44" s="63"/>
      <c r="KVP44" s="63"/>
      <c r="KVQ44" s="63"/>
      <c r="KVR44" s="63"/>
      <c r="KVS44" s="63"/>
      <c r="KVT44" s="63"/>
      <c r="KVU44" s="63"/>
      <c r="KVV44" s="63"/>
      <c r="KVW44" s="63"/>
      <c r="KVX44" s="63"/>
      <c r="KVY44" s="63"/>
      <c r="KVZ44" s="63"/>
      <c r="KWA44" s="63"/>
      <c r="KWB44" s="63"/>
      <c r="KWC44" s="63"/>
      <c r="KWD44" s="63"/>
      <c r="KWE44" s="63"/>
      <c r="KWF44" s="63"/>
      <c r="KWG44" s="63"/>
      <c r="KWH44" s="63"/>
      <c r="KWI44" s="63"/>
      <c r="KWJ44" s="63"/>
      <c r="KWK44" s="63"/>
      <c r="KWL44" s="63"/>
      <c r="KWM44" s="63"/>
      <c r="KWN44" s="63"/>
      <c r="KWO44" s="63"/>
      <c r="KWP44" s="63"/>
      <c r="KWQ44" s="63"/>
      <c r="KWR44" s="63"/>
      <c r="KWS44" s="63"/>
      <c r="KWT44" s="63"/>
      <c r="KWU44" s="63"/>
      <c r="KWV44" s="63"/>
      <c r="KWW44" s="63"/>
      <c r="KWX44" s="63"/>
      <c r="KWY44" s="63"/>
      <c r="KWZ44" s="63"/>
      <c r="KXA44" s="63"/>
      <c r="KXB44" s="63"/>
      <c r="KXC44" s="63"/>
      <c r="KXD44" s="63"/>
      <c r="KXE44" s="63"/>
      <c r="KXF44" s="63"/>
      <c r="KXG44" s="63"/>
      <c r="KXH44" s="63"/>
      <c r="KXI44" s="63"/>
      <c r="KXJ44" s="63"/>
      <c r="KXK44" s="63"/>
      <c r="KXL44" s="63"/>
      <c r="KXM44" s="63"/>
      <c r="KXN44" s="63"/>
      <c r="KXO44" s="63"/>
      <c r="KXP44" s="63"/>
      <c r="KXQ44" s="63"/>
      <c r="KXR44" s="63"/>
      <c r="KXS44" s="63"/>
      <c r="KXT44" s="63"/>
      <c r="KXU44" s="63"/>
      <c r="KXV44" s="63"/>
      <c r="KXW44" s="63"/>
      <c r="KXX44" s="63"/>
      <c r="KXY44" s="63"/>
      <c r="KXZ44" s="63"/>
      <c r="KYA44" s="63"/>
      <c r="KYB44" s="63"/>
      <c r="KYC44" s="63"/>
      <c r="KYD44" s="63"/>
      <c r="KYE44" s="63"/>
      <c r="KYF44" s="63"/>
      <c r="KYG44" s="63"/>
      <c r="KYH44" s="63"/>
      <c r="KYI44" s="63"/>
      <c r="KYJ44" s="63"/>
      <c r="KYK44" s="63"/>
      <c r="KYL44" s="63"/>
      <c r="KYM44" s="63"/>
      <c r="KYN44" s="63"/>
      <c r="KYO44" s="63"/>
      <c r="KYP44" s="63"/>
      <c r="KYQ44" s="63"/>
      <c r="KYR44" s="63"/>
      <c r="KYS44" s="63"/>
      <c r="KYT44" s="63"/>
      <c r="KYU44" s="63"/>
      <c r="KYV44" s="63"/>
      <c r="KYW44" s="63"/>
      <c r="KYX44" s="63"/>
      <c r="KYY44" s="63"/>
      <c r="KYZ44" s="63"/>
      <c r="KZA44" s="63"/>
      <c r="KZB44" s="63"/>
      <c r="KZC44" s="63"/>
      <c r="KZD44" s="63"/>
      <c r="KZE44" s="63"/>
      <c r="KZF44" s="63"/>
      <c r="KZG44" s="63"/>
      <c r="KZH44" s="63"/>
      <c r="KZI44" s="63"/>
      <c r="KZJ44" s="63"/>
      <c r="KZK44" s="63"/>
      <c r="KZL44" s="63"/>
      <c r="KZM44" s="63"/>
      <c r="KZN44" s="63"/>
      <c r="KZO44" s="63"/>
      <c r="KZP44" s="63"/>
      <c r="KZQ44" s="63"/>
      <c r="KZR44" s="63"/>
      <c r="KZS44" s="63"/>
      <c r="KZT44" s="63"/>
      <c r="KZU44" s="63"/>
      <c r="KZV44" s="63"/>
      <c r="KZW44" s="63"/>
      <c r="KZX44" s="63"/>
      <c r="KZY44" s="63"/>
      <c r="KZZ44" s="63"/>
      <c r="LAA44" s="63"/>
      <c r="LAB44" s="63"/>
      <c r="LAC44" s="63"/>
      <c r="LAD44" s="63"/>
      <c r="LAE44" s="63"/>
      <c r="LAF44" s="63"/>
      <c r="LAG44" s="63"/>
      <c r="LAH44" s="63"/>
      <c r="LAI44" s="63"/>
      <c r="LAJ44" s="63"/>
      <c r="LAK44" s="63"/>
      <c r="LAL44" s="63"/>
      <c r="LAM44" s="63"/>
      <c r="LAN44" s="63"/>
      <c r="LAO44" s="63"/>
      <c r="LAP44" s="63"/>
      <c r="LAQ44" s="63"/>
      <c r="LAR44" s="63"/>
      <c r="LAS44" s="63"/>
      <c r="LAT44" s="63"/>
      <c r="LAU44" s="63"/>
      <c r="LAV44" s="63"/>
      <c r="LAW44" s="63"/>
      <c r="LAX44" s="63"/>
      <c r="LAY44" s="63"/>
      <c r="LAZ44" s="63"/>
      <c r="LBA44" s="63"/>
      <c r="LBB44" s="63"/>
      <c r="LBC44" s="63"/>
      <c r="LBD44" s="63"/>
      <c r="LBE44" s="63"/>
      <c r="LBF44" s="63"/>
      <c r="LBG44" s="63"/>
      <c r="LBH44" s="63"/>
      <c r="LBI44" s="63"/>
      <c r="LBJ44" s="63"/>
      <c r="LBK44" s="63"/>
      <c r="LBL44" s="63"/>
      <c r="LBM44" s="63"/>
      <c r="LBN44" s="63"/>
      <c r="LBO44" s="63"/>
      <c r="LBP44" s="63"/>
      <c r="LBQ44" s="63"/>
      <c r="LBR44" s="63"/>
      <c r="LBS44" s="63"/>
      <c r="LBT44" s="63"/>
      <c r="LBU44" s="63"/>
      <c r="LBV44" s="63"/>
      <c r="LBW44" s="63"/>
      <c r="LBX44" s="63"/>
      <c r="LBY44" s="63"/>
      <c r="LBZ44" s="63"/>
      <c r="LCA44" s="63"/>
      <c r="LCB44" s="63"/>
      <c r="LCC44" s="63"/>
      <c r="LCD44" s="63"/>
      <c r="LCE44" s="63"/>
      <c r="LCF44" s="63"/>
      <c r="LCG44" s="63"/>
      <c r="LCH44" s="63"/>
      <c r="LCI44" s="63"/>
      <c r="LCJ44" s="63"/>
      <c r="LCK44" s="63"/>
      <c r="LCL44" s="63"/>
      <c r="LCM44" s="63"/>
      <c r="LCN44" s="63"/>
      <c r="LCO44" s="63"/>
      <c r="LCP44" s="63"/>
      <c r="LCQ44" s="63"/>
      <c r="LCR44" s="63"/>
      <c r="LCS44" s="63"/>
      <c r="LCT44" s="63"/>
      <c r="LCU44" s="63"/>
      <c r="LCV44" s="63"/>
      <c r="LCW44" s="63"/>
      <c r="LCX44" s="63"/>
      <c r="LCY44" s="63"/>
      <c r="LCZ44" s="63"/>
      <c r="LDA44" s="63"/>
      <c r="LDB44" s="63"/>
      <c r="LDC44" s="63"/>
      <c r="LDD44" s="63"/>
      <c r="LDE44" s="63"/>
      <c r="LDF44" s="63"/>
      <c r="LDG44" s="63"/>
      <c r="LDH44" s="63"/>
      <c r="LDI44" s="63"/>
      <c r="LDJ44" s="63"/>
      <c r="LDK44" s="63"/>
      <c r="LDL44" s="63"/>
      <c r="LDM44" s="63"/>
      <c r="LDN44" s="63"/>
      <c r="LDO44" s="63"/>
      <c r="LDP44" s="63"/>
      <c r="LDQ44" s="63"/>
      <c r="LDR44" s="63"/>
      <c r="LDS44" s="63"/>
      <c r="LDT44" s="63"/>
      <c r="LDU44" s="63"/>
      <c r="LDV44" s="63"/>
      <c r="LDW44" s="63"/>
      <c r="LDX44" s="63"/>
      <c r="LDY44" s="63"/>
      <c r="LDZ44" s="63"/>
      <c r="LEA44" s="63"/>
      <c r="LEB44" s="63"/>
      <c r="LEC44" s="63"/>
      <c r="LED44" s="63"/>
      <c r="LEE44" s="63"/>
      <c r="LEF44" s="63"/>
      <c r="LEG44" s="63"/>
      <c r="LEH44" s="63"/>
      <c r="LEI44" s="63"/>
      <c r="LEJ44" s="63"/>
      <c r="LEK44" s="63"/>
      <c r="LEL44" s="63"/>
      <c r="LEM44" s="63"/>
      <c r="LEN44" s="63"/>
      <c r="LEO44" s="63"/>
      <c r="LEP44" s="63"/>
      <c r="LEQ44" s="63"/>
      <c r="LER44" s="63"/>
      <c r="LES44" s="63"/>
      <c r="LET44" s="63"/>
      <c r="LEU44" s="63"/>
      <c r="LEV44" s="63"/>
      <c r="LEW44" s="63"/>
      <c r="LEX44" s="63"/>
      <c r="LEY44" s="63"/>
      <c r="LEZ44" s="63"/>
      <c r="LFA44" s="63"/>
      <c r="LFB44" s="63"/>
      <c r="LFC44" s="63"/>
      <c r="LFD44" s="63"/>
      <c r="LFE44" s="63"/>
      <c r="LFF44" s="63"/>
      <c r="LFG44" s="63"/>
      <c r="LFH44" s="63"/>
      <c r="LFI44" s="63"/>
      <c r="LFJ44" s="63"/>
      <c r="LFK44" s="63"/>
      <c r="LFL44" s="63"/>
      <c r="LFM44" s="63"/>
      <c r="LFN44" s="63"/>
      <c r="LFO44" s="63"/>
      <c r="LFP44" s="63"/>
      <c r="LFQ44" s="63"/>
      <c r="LFR44" s="63"/>
      <c r="LFS44" s="63"/>
      <c r="LFT44" s="63"/>
      <c r="LFU44" s="63"/>
      <c r="LFV44" s="63"/>
      <c r="LFW44" s="63"/>
      <c r="LFX44" s="63"/>
      <c r="LFY44" s="63"/>
      <c r="LFZ44" s="63"/>
      <c r="LGA44" s="63"/>
      <c r="LGB44" s="63"/>
      <c r="LGC44" s="63"/>
      <c r="LGD44" s="63"/>
      <c r="LGE44" s="63"/>
      <c r="LGF44" s="63"/>
      <c r="LGG44" s="63"/>
      <c r="LGH44" s="63"/>
      <c r="LGI44" s="63"/>
      <c r="LGJ44" s="63"/>
      <c r="LGK44" s="63"/>
      <c r="LGL44" s="63"/>
      <c r="LGM44" s="63"/>
      <c r="LGN44" s="63"/>
      <c r="LGO44" s="63"/>
      <c r="LGP44" s="63"/>
      <c r="LGQ44" s="63"/>
      <c r="LGR44" s="63"/>
      <c r="LGS44" s="63"/>
      <c r="LGT44" s="63"/>
      <c r="LGU44" s="63"/>
      <c r="LGV44" s="63"/>
      <c r="LGW44" s="63"/>
      <c r="LGX44" s="63"/>
      <c r="LGY44" s="63"/>
      <c r="LGZ44" s="63"/>
      <c r="LHA44" s="63"/>
      <c r="LHB44" s="63"/>
      <c r="LHC44" s="63"/>
      <c r="LHD44" s="63"/>
      <c r="LHE44" s="63"/>
      <c r="LHF44" s="63"/>
      <c r="LHG44" s="63"/>
      <c r="LHH44" s="63"/>
      <c r="LHI44" s="63"/>
      <c r="LHJ44" s="63"/>
      <c r="LHK44" s="63"/>
      <c r="LHL44" s="63"/>
      <c r="LHM44" s="63"/>
      <c r="LHN44" s="63"/>
      <c r="LHO44" s="63"/>
      <c r="LHP44" s="63"/>
      <c r="LHQ44" s="63"/>
      <c r="LHR44" s="63"/>
      <c r="LHS44" s="63"/>
      <c r="LHT44" s="63"/>
      <c r="LHU44" s="63"/>
      <c r="LHV44" s="63"/>
      <c r="LHW44" s="63"/>
      <c r="LHX44" s="63"/>
      <c r="LHY44" s="63"/>
      <c r="LHZ44" s="63"/>
      <c r="LIA44" s="63"/>
      <c r="LIB44" s="63"/>
      <c r="LIC44" s="63"/>
      <c r="LID44" s="63"/>
      <c r="LIE44" s="63"/>
      <c r="LIF44" s="63"/>
      <c r="LIG44" s="63"/>
      <c r="LIH44" s="63"/>
      <c r="LII44" s="63"/>
      <c r="LIJ44" s="63"/>
      <c r="LIK44" s="63"/>
      <c r="LIL44" s="63"/>
      <c r="LIM44" s="63"/>
      <c r="LIN44" s="63"/>
      <c r="LIO44" s="63"/>
      <c r="LIP44" s="63"/>
      <c r="LIQ44" s="63"/>
      <c r="LIR44" s="63"/>
      <c r="LIS44" s="63"/>
      <c r="LIT44" s="63"/>
      <c r="LIU44" s="63"/>
      <c r="LIV44" s="63"/>
      <c r="LIW44" s="63"/>
      <c r="LIX44" s="63"/>
      <c r="LIY44" s="63"/>
      <c r="LIZ44" s="63"/>
      <c r="LJA44" s="63"/>
      <c r="LJB44" s="63"/>
      <c r="LJC44" s="63"/>
      <c r="LJD44" s="63"/>
      <c r="LJE44" s="63"/>
      <c r="LJF44" s="63"/>
      <c r="LJG44" s="63"/>
      <c r="LJH44" s="63"/>
      <c r="LJI44" s="63"/>
      <c r="LJJ44" s="63"/>
      <c r="LJK44" s="63"/>
      <c r="LJL44" s="63"/>
      <c r="LJM44" s="63"/>
      <c r="LJN44" s="63"/>
      <c r="LJO44" s="63"/>
      <c r="LJP44" s="63"/>
      <c r="LJQ44" s="63"/>
      <c r="LJR44" s="63"/>
      <c r="LJS44" s="63"/>
      <c r="LJT44" s="63"/>
      <c r="LJU44" s="63"/>
      <c r="LJV44" s="63"/>
      <c r="LJW44" s="63"/>
      <c r="LJX44" s="63"/>
      <c r="LJY44" s="63"/>
      <c r="LJZ44" s="63"/>
      <c r="LKA44" s="63"/>
      <c r="LKB44" s="63"/>
      <c r="LKC44" s="63"/>
      <c r="LKD44" s="63"/>
      <c r="LKE44" s="63"/>
      <c r="LKF44" s="63"/>
      <c r="LKG44" s="63"/>
      <c r="LKH44" s="63"/>
      <c r="LKI44" s="63"/>
      <c r="LKJ44" s="63"/>
      <c r="LKK44" s="63"/>
      <c r="LKL44" s="63"/>
      <c r="LKM44" s="63"/>
      <c r="LKN44" s="63"/>
      <c r="LKO44" s="63"/>
      <c r="LKP44" s="63"/>
      <c r="LKQ44" s="63"/>
      <c r="LKR44" s="63"/>
      <c r="LKS44" s="63"/>
      <c r="LKT44" s="63"/>
      <c r="LKU44" s="63"/>
      <c r="LKV44" s="63"/>
      <c r="LKW44" s="63"/>
      <c r="LKX44" s="63"/>
      <c r="LKY44" s="63"/>
      <c r="LKZ44" s="63"/>
      <c r="LLA44" s="63"/>
      <c r="LLB44" s="63"/>
      <c r="LLC44" s="63"/>
      <c r="LLD44" s="63"/>
      <c r="LLE44" s="63"/>
      <c r="LLF44" s="63"/>
      <c r="LLG44" s="63"/>
      <c r="LLH44" s="63"/>
      <c r="LLI44" s="63"/>
      <c r="LLJ44" s="63"/>
      <c r="LLK44" s="63"/>
      <c r="LLL44" s="63"/>
      <c r="LLM44" s="63"/>
      <c r="LLN44" s="63"/>
      <c r="LLO44" s="63"/>
      <c r="LLP44" s="63"/>
      <c r="LLQ44" s="63"/>
      <c r="LLR44" s="63"/>
      <c r="LLS44" s="63"/>
      <c r="LLT44" s="63"/>
      <c r="LLU44" s="63"/>
      <c r="LLV44" s="63"/>
      <c r="LLW44" s="63"/>
      <c r="LLX44" s="63"/>
      <c r="LLY44" s="63"/>
      <c r="LLZ44" s="63"/>
      <c r="LMA44" s="63"/>
      <c r="LMB44" s="63"/>
      <c r="LMC44" s="63"/>
      <c r="LMD44" s="63"/>
      <c r="LME44" s="63"/>
      <c r="LMF44" s="63"/>
      <c r="LMG44" s="63"/>
      <c r="LMH44" s="63"/>
      <c r="LMI44" s="63"/>
      <c r="LMJ44" s="63"/>
      <c r="LMK44" s="63"/>
      <c r="LML44" s="63"/>
      <c r="LMM44" s="63"/>
      <c r="LMN44" s="63"/>
      <c r="LMO44" s="63"/>
      <c r="LMP44" s="63"/>
      <c r="LMQ44" s="63"/>
      <c r="LMR44" s="63"/>
      <c r="LMS44" s="63"/>
      <c r="LMT44" s="63"/>
      <c r="LMU44" s="63"/>
      <c r="LMV44" s="63"/>
      <c r="LMW44" s="63"/>
      <c r="LMX44" s="63"/>
      <c r="LMY44" s="63"/>
      <c r="LMZ44" s="63"/>
      <c r="LNA44" s="63"/>
      <c r="LNB44" s="63"/>
      <c r="LNC44" s="63"/>
      <c r="LND44" s="63"/>
      <c r="LNE44" s="63"/>
      <c r="LNF44" s="63"/>
      <c r="LNG44" s="63"/>
      <c r="LNH44" s="63"/>
      <c r="LNI44" s="63"/>
      <c r="LNJ44" s="63"/>
      <c r="LNK44" s="63"/>
      <c r="LNL44" s="63"/>
      <c r="LNM44" s="63"/>
      <c r="LNN44" s="63"/>
      <c r="LNO44" s="63"/>
      <c r="LNP44" s="63"/>
      <c r="LNQ44" s="63"/>
      <c r="LNR44" s="63"/>
      <c r="LNS44" s="63"/>
      <c r="LNT44" s="63"/>
      <c r="LNU44" s="63"/>
      <c r="LNV44" s="63"/>
      <c r="LNW44" s="63"/>
      <c r="LNX44" s="63"/>
      <c r="LNY44" s="63"/>
      <c r="LNZ44" s="63"/>
      <c r="LOA44" s="63"/>
      <c r="LOB44" s="63"/>
      <c r="LOC44" s="63"/>
      <c r="LOD44" s="63"/>
      <c r="LOE44" s="63"/>
      <c r="LOF44" s="63"/>
      <c r="LOG44" s="63"/>
      <c r="LOH44" s="63"/>
      <c r="LOI44" s="63"/>
      <c r="LOJ44" s="63"/>
      <c r="LOK44" s="63"/>
      <c r="LOL44" s="63"/>
      <c r="LOM44" s="63"/>
      <c r="LON44" s="63"/>
      <c r="LOO44" s="63"/>
      <c r="LOP44" s="63"/>
      <c r="LOQ44" s="63"/>
      <c r="LOR44" s="63"/>
      <c r="LOS44" s="63"/>
      <c r="LOT44" s="63"/>
      <c r="LOU44" s="63"/>
      <c r="LOV44" s="63"/>
      <c r="LOW44" s="63"/>
      <c r="LOX44" s="63"/>
      <c r="LOY44" s="63"/>
      <c r="LOZ44" s="63"/>
      <c r="LPA44" s="63"/>
      <c r="LPB44" s="63"/>
      <c r="LPC44" s="63"/>
      <c r="LPD44" s="63"/>
      <c r="LPE44" s="63"/>
      <c r="LPF44" s="63"/>
      <c r="LPG44" s="63"/>
      <c r="LPH44" s="63"/>
      <c r="LPI44" s="63"/>
      <c r="LPJ44" s="63"/>
      <c r="LPK44" s="63"/>
      <c r="LPL44" s="63"/>
      <c r="LPM44" s="63"/>
      <c r="LPN44" s="63"/>
      <c r="LPO44" s="63"/>
      <c r="LPP44" s="63"/>
      <c r="LPQ44" s="63"/>
      <c r="LPR44" s="63"/>
      <c r="LPS44" s="63"/>
      <c r="LPT44" s="63"/>
      <c r="LPU44" s="63"/>
      <c r="LPV44" s="63"/>
      <c r="LPW44" s="63"/>
      <c r="LPX44" s="63"/>
      <c r="LPY44" s="63"/>
      <c r="LPZ44" s="63"/>
      <c r="LQA44" s="63"/>
      <c r="LQB44" s="63"/>
      <c r="LQC44" s="63"/>
      <c r="LQD44" s="63"/>
      <c r="LQE44" s="63"/>
      <c r="LQF44" s="63"/>
      <c r="LQG44" s="63"/>
      <c r="LQH44" s="63"/>
      <c r="LQI44" s="63"/>
      <c r="LQJ44" s="63"/>
      <c r="LQK44" s="63"/>
      <c r="LQL44" s="63"/>
      <c r="LQM44" s="63"/>
      <c r="LQN44" s="63"/>
      <c r="LQO44" s="63"/>
      <c r="LQP44" s="63"/>
      <c r="LQQ44" s="63"/>
      <c r="LQR44" s="63"/>
      <c r="LQS44" s="63"/>
      <c r="LQT44" s="63"/>
      <c r="LQU44" s="63"/>
      <c r="LQV44" s="63"/>
      <c r="LQW44" s="63"/>
      <c r="LQX44" s="63"/>
      <c r="LQY44" s="63"/>
      <c r="LQZ44" s="63"/>
      <c r="LRA44" s="63"/>
      <c r="LRB44" s="63"/>
      <c r="LRC44" s="63"/>
      <c r="LRD44" s="63"/>
      <c r="LRE44" s="63"/>
      <c r="LRF44" s="63"/>
      <c r="LRG44" s="63"/>
      <c r="LRH44" s="63"/>
      <c r="LRI44" s="63"/>
      <c r="LRJ44" s="63"/>
      <c r="LRK44" s="63"/>
      <c r="LRL44" s="63"/>
      <c r="LRM44" s="63"/>
      <c r="LRN44" s="63"/>
      <c r="LRO44" s="63"/>
      <c r="LRP44" s="63"/>
      <c r="LRQ44" s="63"/>
      <c r="LRR44" s="63"/>
      <c r="LRS44" s="63"/>
      <c r="LRT44" s="63"/>
      <c r="LRU44" s="63"/>
      <c r="LRV44" s="63"/>
      <c r="LRW44" s="63"/>
      <c r="LRX44" s="63"/>
      <c r="LRY44" s="63"/>
      <c r="LRZ44" s="63"/>
      <c r="LSA44" s="63"/>
      <c r="LSB44" s="63"/>
      <c r="LSC44" s="63"/>
      <c r="LSD44" s="63"/>
      <c r="LSE44" s="63"/>
      <c r="LSF44" s="63"/>
      <c r="LSG44" s="63"/>
      <c r="LSH44" s="63"/>
      <c r="LSI44" s="63"/>
      <c r="LSJ44" s="63"/>
      <c r="LSK44" s="63"/>
      <c r="LSL44" s="63"/>
      <c r="LSM44" s="63"/>
      <c r="LSN44" s="63"/>
      <c r="LSO44" s="63"/>
      <c r="LSP44" s="63"/>
      <c r="LSQ44" s="63"/>
      <c r="LSR44" s="63"/>
      <c r="LSS44" s="63"/>
      <c r="LST44" s="63"/>
      <c r="LSU44" s="63"/>
      <c r="LSV44" s="63"/>
      <c r="LSW44" s="63"/>
      <c r="LSX44" s="63"/>
      <c r="LSY44" s="63"/>
      <c r="LSZ44" s="63"/>
      <c r="LTA44" s="63"/>
      <c r="LTB44" s="63"/>
      <c r="LTC44" s="63"/>
      <c r="LTD44" s="63"/>
      <c r="LTE44" s="63"/>
      <c r="LTF44" s="63"/>
      <c r="LTG44" s="63"/>
      <c r="LTH44" s="63"/>
      <c r="LTI44" s="63"/>
      <c r="LTJ44" s="63"/>
      <c r="LTK44" s="63"/>
      <c r="LTL44" s="63"/>
      <c r="LTM44" s="63"/>
      <c r="LTN44" s="63"/>
      <c r="LTO44" s="63"/>
      <c r="LTP44" s="63"/>
      <c r="LTQ44" s="63"/>
      <c r="LTR44" s="63"/>
      <c r="LTS44" s="63"/>
      <c r="LTT44" s="63"/>
      <c r="LTU44" s="63"/>
      <c r="LTV44" s="63"/>
      <c r="LTW44" s="63"/>
      <c r="LTX44" s="63"/>
      <c r="LTY44" s="63"/>
      <c r="LTZ44" s="63"/>
      <c r="LUA44" s="63"/>
      <c r="LUB44" s="63"/>
      <c r="LUC44" s="63"/>
      <c r="LUD44" s="63"/>
      <c r="LUE44" s="63"/>
      <c r="LUF44" s="63"/>
      <c r="LUG44" s="63"/>
      <c r="LUH44" s="63"/>
      <c r="LUI44" s="63"/>
      <c r="LUJ44" s="63"/>
      <c r="LUK44" s="63"/>
      <c r="LUL44" s="63"/>
      <c r="LUM44" s="63"/>
      <c r="LUN44" s="63"/>
      <c r="LUO44" s="63"/>
      <c r="LUP44" s="63"/>
      <c r="LUQ44" s="63"/>
      <c r="LUR44" s="63"/>
      <c r="LUS44" s="63"/>
      <c r="LUT44" s="63"/>
      <c r="LUU44" s="63"/>
      <c r="LUV44" s="63"/>
      <c r="LUW44" s="63"/>
      <c r="LUX44" s="63"/>
      <c r="LUY44" s="63"/>
      <c r="LUZ44" s="63"/>
      <c r="LVA44" s="63"/>
      <c r="LVB44" s="63"/>
      <c r="LVC44" s="63"/>
      <c r="LVD44" s="63"/>
      <c r="LVE44" s="63"/>
      <c r="LVF44" s="63"/>
      <c r="LVG44" s="63"/>
      <c r="LVH44" s="63"/>
      <c r="LVI44" s="63"/>
      <c r="LVJ44" s="63"/>
      <c r="LVK44" s="63"/>
      <c r="LVL44" s="63"/>
      <c r="LVM44" s="63"/>
      <c r="LVN44" s="63"/>
      <c r="LVO44" s="63"/>
      <c r="LVP44" s="63"/>
      <c r="LVQ44" s="63"/>
      <c r="LVR44" s="63"/>
      <c r="LVS44" s="63"/>
      <c r="LVT44" s="63"/>
      <c r="LVU44" s="63"/>
      <c r="LVV44" s="63"/>
      <c r="LVW44" s="63"/>
      <c r="LVX44" s="63"/>
      <c r="LVY44" s="63"/>
      <c r="LVZ44" s="63"/>
      <c r="LWA44" s="63"/>
      <c r="LWB44" s="63"/>
      <c r="LWC44" s="63"/>
      <c r="LWD44" s="63"/>
      <c r="LWE44" s="63"/>
      <c r="LWF44" s="63"/>
      <c r="LWG44" s="63"/>
      <c r="LWH44" s="63"/>
      <c r="LWI44" s="63"/>
      <c r="LWJ44" s="63"/>
      <c r="LWK44" s="63"/>
      <c r="LWL44" s="63"/>
      <c r="LWM44" s="63"/>
      <c r="LWN44" s="63"/>
      <c r="LWO44" s="63"/>
      <c r="LWP44" s="63"/>
      <c r="LWQ44" s="63"/>
      <c r="LWR44" s="63"/>
      <c r="LWS44" s="63"/>
      <c r="LWT44" s="63"/>
      <c r="LWU44" s="63"/>
      <c r="LWV44" s="63"/>
      <c r="LWW44" s="63"/>
      <c r="LWX44" s="63"/>
      <c r="LWY44" s="63"/>
      <c r="LWZ44" s="63"/>
      <c r="LXA44" s="63"/>
      <c r="LXB44" s="63"/>
      <c r="LXC44" s="63"/>
      <c r="LXD44" s="63"/>
      <c r="LXE44" s="63"/>
      <c r="LXF44" s="63"/>
      <c r="LXG44" s="63"/>
      <c r="LXH44" s="63"/>
      <c r="LXI44" s="63"/>
      <c r="LXJ44" s="63"/>
      <c r="LXK44" s="63"/>
      <c r="LXL44" s="63"/>
      <c r="LXM44" s="63"/>
      <c r="LXN44" s="63"/>
      <c r="LXO44" s="63"/>
      <c r="LXP44" s="63"/>
      <c r="LXQ44" s="63"/>
      <c r="LXR44" s="63"/>
      <c r="LXS44" s="63"/>
      <c r="LXT44" s="63"/>
      <c r="LXU44" s="63"/>
      <c r="LXV44" s="63"/>
      <c r="LXW44" s="63"/>
      <c r="LXX44" s="63"/>
      <c r="LXY44" s="63"/>
      <c r="LXZ44" s="63"/>
      <c r="LYA44" s="63"/>
      <c r="LYB44" s="63"/>
      <c r="LYC44" s="63"/>
      <c r="LYD44" s="63"/>
      <c r="LYE44" s="63"/>
      <c r="LYF44" s="63"/>
      <c r="LYG44" s="63"/>
      <c r="LYH44" s="63"/>
      <c r="LYI44" s="63"/>
      <c r="LYJ44" s="63"/>
      <c r="LYK44" s="63"/>
      <c r="LYL44" s="63"/>
      <c r="LYM44" s="63"/>
      <c r="LYN44" s="63"/>
      <c r="LYO44" s="63"/>
      <c r="LYP44" s="63"/>
      <c r="LYQ44" s="63"/>
      <c r="LYR44" s="63"/>
      <c r="LYS44" s="63"/>
      <c r="LYT44" s="63"/>
      <c r="LYU44" s="63"/>
      <c r="LYV44" s="63"/>
      <c r="LYW44" s="63"/>
      <c r="LYX44" s="63"/>
      <c r="LYY44" s="63"/>
      <c r="LYZ44" s="63"/>
      <c r="LZA44" s="63"/>
      <c r="LZB44" s="63"/>
      <c r="LZC44" s="63"/>
      <c r="LZD44" s="63"/>
      <c r="LZE44" s="63"/>
      <c r="LZF44" s="63"/>
      <c r="LZG44" s="63"/>
      <c r="LZH44" s="63"/>
      <c r="LZI44" s="63"/>
      <c r="LZJ44" s="63"/>
      <c r="LZK44" s="63"/>
      <c r="LZL44" s="63"/>
      <c r="LZM44" s="63"/>
      <c r="LZN44" s="63"/>
      <c r="LZO44" s="63"/>
      <c r="LZP44" s="63"/>
      <c r="LZQ44" s="63"/>
      <c r="LZR44" s="63"/>
      <c r="LZS44" s="63"/>
      <c r="LZT44" s="63"/>
      <c r="LZU44" s="63"/>
      <c r="LZV44" s="63"/>
      <c r="LZW44" s="63"/>
      <c r="LZX44" s="63"/>
      <c r="LZY44" s="63"/>
      <c r="LZZ44" s="63"/>
      <c r="MAA44" s="63"/>
      <c r="MAB44" s="63"/>
      <c r="MAC44" s="63"/>
      <c r="MAD44" s="63"/>
      <c r="MAE44" s="63"/>
      <c r="MAF44" s="63"/>
      <c r="MAG44" s="63"/>
      <c r="MAH44" s="63"/>
      <c r="MAI44" s="63"/>
      <c r="MAJ44" s="63"/>
      <c r="MAK44" s="63"/>
      <c r="MAL44" s="63"/>
      <c r="MAM44" s="63"/>
      <c r="MAN44" s="63"/>
      <c r="MAO44" s="63"/>
      <c r="MAP44" s="63"/>
      <c r="MAQ44" s="63"/>
      <c r="MAR44" s="63"/>
      <c r="MAS44" s="63"/>
      <c r="MAT44" s="63"/>
      <c r="MAU44" s="63"/>
      <c r="MAV44" s="63"/>
      <c r="MAW44" s="63"/>
      <c r="MAX44" s="63"/>
      <c r="MAY44" s="63"/>
      <c r="MAZ44" s="63"/>
      <c r="MBA44" s="63"/>
      <c r="MBB44" s="63"/>
      <c r="MBC44" s="63"/>
      <c r="MBD44" s="63"/>
      <c r="MBE44" s="63"/>
      <c r="MBF44" s="63"/>
      <c r="MBG44" s="63"/>
      <c r="MBH44" s="63"/>
      <c r="MBI44" s="63"/>
      <c r="MBJ44" s="63"/>
      <c r="MBK44" s="63"/>
      <c r="MBL44" s="63"/>
      <c r="MBM44" s="63"/>
      <c r="MBN44" s="63"/>
      <c r="MBO44" s="63"/>
      <c r="MBP44" s="63"/>
      <c r="MBQ44" s="63"/>
      <c r="MBR44" s="63"/>
      <c r="MBS44" s="63"/>
      <c r="MBT44" s="63"/>
      <c r="MBU44" s="63"/>
      <c r="MBV44" s="63"/>
      <c r="MBW44" s="63"/>
      <c r="MBX44" s="63"/>
      <c r="MBY44" s="63"/>
      <c r="MBZ44" s="63"/>
      <c r="MCA44" s="63"/>
      <c r="MCB44" s="63"/>
      <c r="MCC44" s="63"/>
      <c r="MCD44" s="63"/>
      <c r="MCE44" s="63"/>
      <c r="MCF44" s="63"/>
      <c r="MCG44" s="63"/>
      <c r="MCH44" s="63"/>
      <c r="MCI44" s="63"/>
      <c r="MCJ44" s="63"/>
      <c r="MCK44" s="63"/>
      <c r="MCL44" s="63"/>
      <c r="MCM44" s="63"/>
      <c r="MCN44" s="63"/>
      <c r="MCO44" s="63"/>
      <c r="MCP44" s="63"/>
      <c r="MCQ44" s="63"/>
      <c r="MCR44" s="63"/>
      <c r="MCS44" s="63"/>
      <c r="MCT44" s="63"/>
      <c r="MCU44" s="63"/>
      <c r="MCV44" s="63"/>
      <c r="MCW44" s="63"/>
      <c r="MCX44" s="63"/>
      <c r="MCY44" s="63"/>
      <c r="MCZ44" s="63"/>
      <c r="MDA44" s="63"/>
      <c r="MDB44" s="63"/>
      <c r="MDC44" s="63"/>
      <c r="MDD44" s="63"/>
      <c r="MDE44" s="63"/>
      <c r="MDF44" s="63"/>
      <c r="MDG44" s="63"/>
      <c r="MDH44" s="63"/>
      <c r="MDI44" s="63"/>
      <c r="MDJ44" s="63"/>
      <c r="MDK44" s="63"/>
      <c r="MDL44" s="63"/>
      <c r="MDM44" s="63"/>
      <c r="MDN44" s="63"/>
      <c r="MDO44" s="63"/>
      <c r="MDP44" s="63"/>
      <c r="MDQ44" s="63"/>
      <c r="MDR44" s="63"/>
      <c r="MDS44" s="63"/>
      <c r="MDT44" s="63"/>
      <c r="MDU44" s="63"/>
      <c r="MDV44" s="63"/>
      <c r="MDW44" s="63"/>
      <c r="MDX44" s="63"/>
      <c r="MDY44" s="63"/>
      <c r="MDZ44" s="63"/>
      <c r="MEA44" s="63"/>
      <c r="MEB44" s="63"/>
      <c r="MEC44" s="63"/>
      <c r="MED44" s="63"/>
      <c r="MEE44" s="63"/>
      <c r="MEF44" s="63"/>
      <c r="MEG44" s="63"/>
      <c r="MEH44" s="63"/>
      <c r="MEI44" s="63"/>
      <c r="MEJ44" s="63"/>
      <c r="MEK44" s="63"/>
      <c r="MEL44" s="63"/>
      <c r="MEM44" s="63"/>
      <c r="MEN44" s="63"/>
      <c r="MEO44" s="63"/>
      <c r="MEP44" s="63"/>
      <c r="MEQ44" s="63"/>
      <c r="MER44" s="63"/>
      <c r="MES44" s="63"/>
      <c r="MET44" s="63"/>
      <c r="MEU44" s="63"/>
      <c r="MEV44" s="63"/>
      <c r="MEW44" s="63"/>
      <c r="MEX44" s="63"/>
      <c r="MEY44" s="63"/>
      <c r="MEZ44" s="63"/>
      <c r="MFA44" s="63"/>
      <c r="MFB44" s="63"/>
      <c r="MFC44" s="63"/>
      <c r="MFD44" s="63"/>
      <c r="MFE44" s="63"/>
      <c r="MFF44" s="63"/>
      <c r="MFG44" s="63"/>
      <c r="MFH44" s="63"/>
      <c r="MFI44" s="63"/>
      <c r="MFJ44" s="63"/>
      <c r="MFK44" s="63"/>
      <c r="MFL44" s="63"/>
      <c r="MFM44" s="63"/>
      <c r="MFN44" s="63"/>
      <c r="MFO44" s="63"/>
      <c r="MFP44" s="63"/>
      <c r="MFQ44" s="63"/>
      <c r="MFR44" s="63"/>
      <c r="MFS44" s="63"/>
      <c r="MFT44" s="63"/>
      <c r="MFU44" s="63"/>
      <c r="MFV44" s="63"/>
      <c r="MFW44" s="63"/>
      <c r="MFX44" s="63"/>
      <c r="MFY44" s="63"/>
      <c r="MFZ44" s="63"/>
      <c r="MGA44" s="63"/>
      <c r="MGB44" s="63"/>
      <c r="MGC44" s="63"/>
      <c r="MGD44" s="63"/>
      <c r="MGE44" s="63"/>
      <c r="MGF44" s="63"/>
      <c r="MGG44" s="63"/>
      <c r="MGH44" s="63"/>
      <c r="MGI44" s="63"/>
      <c r="MGJ44" s="63"/>
      <c r="MGK44" s="63"/>
      <c r="MGL44" s="63"/>
      <c r="MGM44" s="63"/>
      <c r="MGN44" s="63"/>
      <c r="MGO44" s="63"/>
      <c r="MGP44" s="63"/>
      <c r="MGQ44" s="63"/>
      <c r="MGR44" s="63"/>
      <c r="MGS44" s="63"/>
      <c r="MGT44" s="63"/>
      <c r="MGU44" s="63"/>
      <c r="MGV44" s="63"/>
      <c r="MGW44" s="63"/>
      <c r="MGX44" s="63"/>
      <c r="MGY44" s="63"/>
      <c r="MGZ44" s="63"/>
      <c r="MHA44" s="63"/>
      <c r="MHB44" s="63"/>
      <c r="MHC44" s="63"/>
      <c r="MHD44" s="63"/>
      <c r="MHE44" s="63"/>
      <c r="MHF44" s="63"/>
      <c r="MHG44" s="63"/>
      <c r="MHH44" s="63"/>
      <c r="MHI44" s="63"/>
      <c r="MHJ44" s="63"/>
      <c r="MHK44" s="63"/>
      <c r="MHL44" s="63"/>
      <c r="MHM44" s="63"/>
      <c r="MHN44" s="63"/>
      <c r="MHO44" s="63"/>
      <c r="MHP44" s="63"/>
      <c r="MHQ44" s="63"/>
      <c r="MHR44" s="63"/>
      <c r="MHS44" s="63"/>
      <c r="MHT44" s="63"/>
      <c r="MHU44" s="63"/>
      <c r="MHV44" s="63"/>
      <c r="MHW44" s="63"/>
      <c r="MHX44" s="63"/>
      <c r="MHY44" s="63"/>
      <c r="MHZ44" s="63"/>
      <c r="MIA44" s="63"/>
      <c r="MIB44" s="63"/>
      <c r="MIC44" s="63"/>
      <c r="MID44" s="63"/>
      <c r="MIE44" s="63"/>
      <c r="MIF44" s="63"/>
      <c r="MIG44" s="63"/>
      <c r="MIH44" s="63"/>
      <c r="MII44" s="63"/>
      <c r="MIJ44" s="63"/>
      <c r="MIK44" s="63"/>
      <c r="MIL44" s="63"/>
      <c r="MIM44" s="63"/>
      <c r="MIN44" s="63"/>
      <c r="MIO44" s="63"/>
      <c r="MIP44" s="63"/>
      <c r="MIQ44" s="63"/>
      <c r="MIR44" s="63"/>
      <c r="MIS44" s="63"/>
      <c r="MIT44" s="63"/>
      <c r="MIU44" s="63"/>
      <c r="MIV44" s="63"/>
      <c r="MIW44" s="63"/>
      <c r="MIX44" s="63"/>
      <c r="MIY44" s="63"/>
      <c r="MIZ44" s="63"/>
      <c r="MJA44" s="63"/>
      <c r="MJB44" s="63"/>
      <c r="MJC44" s="63"/>
      <c r="MJD44" s="63"/>
      <c r="MJE44" s="63"/>
      <c r="MJF44" s="63"/>
      <c r="MJG44" s="63"/>
      <c r="MJH44" s="63"/>
      <c r="MJI44" s="63"/>
      <c r="MJJ44" s="63"/>
      <c r="MJK44" s="63"/>
      <c r="MJL44" s="63"/>
      <c r="MJM44" s="63"/>
      <c r="MJN44" s="63"/>
      <c r="MJO44" s="63"/>
      <c r="MJP44" s="63"/>
      <c r="MJQ44" s="63"/>
      <c r="MJR44" s="63"/>
      <c r="MJS44" s="63"/>
      <c r="MJT44" s="63"/>
      <c r="MJU44" s="63"/>
      <c r="MJV44" s="63"/>
      <c r="MJW44" s="63"/>
      <c r="MJX44" s="63"/>
      <c r="MJY44" s="63"/>
      <c r="MJZ44" s="63"/>
      <c r="MKA44" s="63"/>
      <c r="MKB44" s="63"/>
      <c r="MKC44" s="63"/>
      <c r="MKD44" s="63"/>
      <c r="MKE44" s="63"/>
      <c r="MKF44" s="63"/>
      <c r="MKG44" s="63"/>
      <c r="MKH44" s="63"/>
      <c r="MKI44" s="63"/>
      <c r="MKJ44" s="63"/>
      <c r="MKK44" s="63"/>
      <c r="MKL44" s="63"/>
      <c r="MKM44" s="63"/>
      <c r="MKN44" s="63"/>
      <c r="MKO44" s="63"/>
      <c r="MKP44" s="63"/>
      <c r="MKQ44" s="63"/>
      <c r="MKR44" s="63"/>
      <c r="MKS44" s="63"/>
      <c r="MKT44" s="63"/>
      <c r="MKU44" s="63"/>
      <c r="MKV44" s="63"/>
      <c r="MKW44" s="63"/>
      <c r="MKX44" s="63"/>
      <c r="MKY44" s="63"/>
      <c r="MKZ44" s="63"/>
      <c r="MLA44" s="63"/>
      <c r="MLB44" s="63"/>
      <c r="MLC44" s="63"/>
      <c r="MLD44" s="63"/>
      <c r="MLE44" s="63"/>
      <c r="MLF44" s="63"/>
      <c r="MLG44" s="63"/>
      <c r="MLH44" s="63"/>
      <c r="MLI44" s="63"/>
      <c r="MLJ44" s="63"/>
      <c r="MLK44" s="63"/>
      <c r="MLL44" s="63"/>
      <c r="MLM44" s="63"/>
      <c r="MLN44" s="63"/>
      <c r="MLO44" s="63"/>
      <c r="MLP44" s="63"/>
      <c r="MLQ44" s="63"/>
      <c r="MLR44" s="63"/>
      <c r="MLS44" s="63"/>
      <c r="MLT44" s="63"/>
      <c r="MLU44" s="63"/>
      <c r="MLV44" s="63"/>
      <c r="MLW44" s="63"/>
      <c r="MLX44" s="63"/>
      <c r="MLY44" s="63"/>
      <c r="MLZ44" s="63"/>
      <c r="MMA44" s="63"/>
      <c r="MMB44" s="63"/>
      <c r="MMC44" s="63"/>
      <c r="MMD44" s="63"/>
      <c r="MME44" s="63"/>
      <c r="MMF44" s="63"/>
      <c r="MMG44" s="63"/>
      <c r="MMH44" s="63"/>
      <c r="MMI44" s="63"/>
      <c r="MMJ44" s="63"/>
      <c r="MMK44" s="63"/>
      <c r="MML44" s="63"/>
      <c r="MMM44" s="63"/>
      <c r="MMN44" s="63"/>
      <c r="MMO44" s="63"/>
      <c r="MMP44" s="63"/>
      <c r="MMQ44" s="63"/>
      <c r="MMR44" s="63"/>
      <c r="MMS44" s="63"/>
      <c r="MMT44" s="63"/>
      <c r="MMU44" s="63"/>
      <c r="MMV44" s="63"/>
      <c r="MMW44" s="63"/>
      <c r="MMX44" s="63"/>
      <c r="MMY44" s="63"/>
      <c r="MMZ44" s="63"/>
      <c r="MNA44" s="63"/>
      <c r="MNB44" s="63"/>
      <c r="MNC44" s="63"/>
      <c r="MND44" s="63"/>
      <c r="MNE44" s="63"/>
      <c r="MNF44" s="63"/>
      <c r="MNG44" s="63"/>
      <c r="MNH44" s="63"/>
      <c r="MNI44" s="63"/>
      <c r="MNJ44" s="63"/>
      <c r="MNK44" s="63"/>
      <c r="MNL44" s="63"/>
      <c r="MNM44" s="63"/>
      <c r="MNN44" s="63"/>
      <c r="MNO44" s="63"/>
      <c r="MNP44" s="63"/>
      <c r="MNQ44" s="63"/>
      <c r="MNR44" s="63"/>
      <c r="MNS44" s="63"/>
      <c r="MNT44" s="63"/>
      <c r="MNU44" s="63"/>
      <c r="MNV44" s="63"/>
      <c r="MNW44" s="63"/>
      <c r="MNX44" s="63"/>
      <c r="MNY44" s="63"/>
      <c r="MNZ44" s="63"/>
      <c r="MOA44" s="63"/>
      <c r="MOB44" s="63"/>
      <c r="MOC44" s="63"/>
      <c r="MOD44" s="63"/>
      <c r="MOE44" s="63"/>
      <c r="MOF44" s="63"/>
      <c r="MOG44" s="63"/>
      <c r="MOH44" s="63"/>
      <c r="MOI44" s="63"/>
      <c r="MOJ44" s="63"/>
      <c r="MOK44" s="63"/>
      <c r="MOL44" s="63"/>
      <c r="MOM44" s="63"/>
      <c r="MON44" s="63"/>
      <c r="MOO44" s="63"/>
      <c r="MOP44" s="63"/>
      <c r="MOQ44" s="63"/>
      <c r="MOR44" s="63"/>
      <c r="MOS44" s="63"/>
      <c r="MOT44" s="63"/>
      <c r="MOU44" s="63"/>
      <c r="MOV44" s="63"/>
      <c r="MOW44" s="63"/>
      <c r="MOX44" s="63"/>
      <c r="MOY44" s="63"/>
      <c r="MOZ44" s="63"/>
      <c r="MPA44" s="63"/>
      <c r="MPB44" s="63"/>
      <c r="MPC44" s="63"/>
      <c r="MPD44" s="63"/>
      <c r="MPE44" s="63"/>
      <c r="MPF44" s="63"/>
      <c r="MPG44" s="63"/>
      <c r="MPH44" s="63"/>
      <c r="MPI44" s="63"/>
      <c r="MPJ44" s="63"/>
      <c r="MPK44" s="63"/>
      <c r="MPL44" s="63"/>
      <c r="MPM44" s="63"/>
      <c r="MPN44" s="63"/>
      <c r="MPO44" s="63"/>
      <c r="MPP44" s="63"/>
      <c r="MPQ44" s="63"/>
      <c r="MPR44" s="63"/>
      <c r="MPS44" s="63"/>
      <c r="MPT44" s="63"/>
      <c r="MPU44" s="63"/>
      <c r="MPV44" s="63"/>
      <c r="MPW44" s="63"/>
      <c r="MPX44" s="63"/>
      <c r="MPY44" s="63"/>
      <c r="MPZ44" s="63"/>
      <c r="MQA44" s="63"/>
      <c r="MQB44" s="63"/>
      <c r="MQC44" s="63"/>
      <c r="MQD44" s="63"/>
      <c r="MQE44" s="63"/>
      <c r="MQF44" s="63"/>
      <c r="MQG44" s="63"/>
      <c r="MQH44" s="63"/>
      <c r="MQI44" s="63"/>
      <c r="MQJ44" s="63"/>
      <c r="MQK44" s="63"/>
      <c r="MQL44" s="63"/>
      <c r="MQM44" s="63"/>
      <c r="MQN44" s="63"/>
      <c r="MQO44" s="63"/>
      <c r="MQP44" s="63"/>
      <c r="MQQ44" s="63"/>
      <c r="MQR44" s="63"/>
      <c r="MQS44" s="63"/>
      <c r="MQT44" s="63"/>
      <c r="MQU44" s="63"/>
      <c r="MQV44" s="63"/>
      <c r="MQW44" s="63"/>
      <c r="MQX44" s="63"/>
      <c r="MQY44" s="63"/>
      <c r="MQZ44" s="63"/>
      <c r="MRA44" s="63"/>
      <c r="MRB44" s="63"/>
      <c r="MRC44" s="63"/>
      <c r="MRD44" s="63"/>
      <c r="MRE44" s="63"/>
      <c r="MRF44" s="63"/>
      <c r="MRG44" s="63"/>
      <c r="MRH44" s="63"/>
      <c r="MRI44" s="63"/>
      <c r="MRJ44" s="63"/>
      <c r="MRK44" s="63"/>
      <c r="MRL44" s="63"/>
      <c r="MRM44" s="63"/>
      <c r="MRN44" s="63"/>
      <c r="MRO44" s="63"/>
      <c r="MRP44" s="63"/>
      <c r="MRQ44" s="63"/>
      <c r="MRR44" s="63"/>
      <c r="MRS44" s="63"/>
      <c r="MRT44" s="63"/>
      <c r="MRU44" s="63"/>
      <c r="MRV44" s="63"/>
      <c r="MRW44" s="63"/>
      <c r="MRX44" s="63"/>
      <c r="MRY44" s="63"/>
      <c r="MRZ44" s="63"/>
      <c r="MSA44" s="63"/>
      <c r="MSB44" s="63"/>
      <c r="MSC44" s="63"/>
      <c r="MSD44" s="63"/>
      <c r="MSE44" s="63"/>
      <c r="MSF44" s="63"/>
      <c r="MSG44" s="63"/>
      <c r="MSH44" s="63"/>
      <c r="MSI44" s="63"/>
      <c r="MSJ44" s="63"/>
      <c r="MSK44" s="63"/>
      <c r="MSL44" s="63"/>
      <c r="MSM44" s="63"/>
      <c r="MSN44" s="63"/>
      <c r="MSO44" s="63"/>
      <c r="MSP44" s="63"/>
      <c r="MSQ44" s="63"/>
      <c r="MSR44" s="63"/>
      <c r="MSS44" s="63"/>
      <c r="MST44" s="63"/>
      <c r="MSU44" s="63"/>
      <c r="MSV44" s="63"/>
      <c r="MSW44" s="63"/>
      <c r="MSX44" s="63"/>
      <c r="MSY44" s="63"/>
      <c r="MSZ44" s="63"/>
      <c r="MTA44" s="63"/>
      <c r="MTB44" s="63"/>
      <c r="MTC44" s="63"/>
      <c r="MTD44" s="63"/>
      <c r="MTE44" s="63"/>
      <c r="MTF44" s="63"/>
      <c r="MTG44" s="63"/>
      <c r="MTH44" s="63"/>
      <c r="MTI44" s="63"/>
      <c r="MTJ44" s="63"/>
      <c r="MTK44" s="63"/>
      <c r="MTL44" s="63"/>
      <c r="MTM44" s="63"/>
      <c r="MTN44" s="63"/>
      <c r="MTO44" s="63"/>
      <c r="MTP44" s="63"/>
      <c r="MTQ44" s="63"/>
      <c r="MTR44" s="63"/>
      <c r="MTS44" s="63"/>
      <c r="MTT44" s="63"/>
      <c r="MTU44" s="63"/>
      <c r="MTV44" s="63"/>
      <c r="MTW44" s="63"/>
      <c r="MTX44" s="63"/>
      <c r="MTY44" s="63"/>
      <c r="MTZ44" s="63"/>
      <c r="MUA44" s="63"/>
      <c r="MUB44" s="63"/>
      <c r="MUC44" s="63"/>
      <c r="MUD44" s="63"/>
      <c r="MUE44" s="63"/>
      <c r="MUF44" s="63"/>
      <c r="MUG44" s="63"/>
      <c r="MUH44" s="63"/>
      <c r="MUI44" s="63"/>
      <c r="MUJ44" s="63"/>
      <c r="MUK44" s="63"/>
      <c r="MUL44" s="63"/>
      <c r="MUM44" s="63"/>
      <c r="MUN44" s="63"/>
      <c r="MUO44" s="63"/>
      <c r="MUP44" s="63"/>
      <c r="MUQ44" s="63"/>
      <c r="MUR44" s="63"/>
      <c r="MUS44" s="63"/>
      <c r="MUT44" s="63"/>
      <c r="MUU44" s="63"/>
      <c r="MUV44" s="63"/>
      <c r="MUW44" s="63"/>
      <c r="MUX44" s="63"/>
      <c r="MUY44" s="63"/>
      <c r="MUZ44" s="63"/>
      <c r="MVA44" s="63"/>
      <c r="MVB44" s="63"/>
      <c r="MVC44" s="63"/>
      <c r="MVD44" s="63"/>
      <c r="MVE44" s="63"/>
      <c r="MVF44" s="63"/>
      <c r="MVG44" s="63"/>
      <c r="MVH44" s="63"/>
      <c r="MVI44" s="63"/>
      <c r="MVJ44" s="63"/>
      <c r="MVK44" s="63"/>
      <c r="MVL44" s="63"/>
      <c r="MVM44" s="63"/>
      <c r="MVN44" s="63"/>
      <c r="MVO44" s="63"/>
      <c r="MVP44" s="63"/>
      <c r="MVQ44" s="63"/>
      <c r="MVR44" s="63"/>
      <c r="MVS44" s="63"/>
      <c r="MVT44" s="63"/>
      <c r="MVU44" s="63"/>
      <c r="MVV44" s="63"/>
      <c r="MVW44" s="63"/>
      <c r="MVX44" s="63"/>
      <c r="MVY44" s="63"/>
      <c r="MVZ44" s="63"/>
      <c r="MWA44" s="63"/>
      <c r="MWB44" s="63"/>
      <c r="MWC44" s="63"/>
      <c r="MWD44" s="63"/>
      <c r="MWE44" s="63"/>
      <c r="MWF44" s="63"/>
      <c r="MWG44" s="63"/>
      <c r="MWH44" s="63"/>
      <c r="MWI44" s="63"/>
      <c r="MWJ44" s="63"/>
      <c r="MWK44" s="63"/>
      <c r="MWL44" s="63"/>
      <c r="MWM44" s="63"/>
      <c r="MWN44" s="63"/>
      <c r="MWO44" s="63"/>
      <c r="MWP44" s="63"/>
      <c r="MWQ44" s="63"/>
      <c r="MWR44" s="63"/>
      <c r="MWS44" s="63"/>
      <c r="MWT44" s="63"/>
      <c r="MWU44" s="63"/>
      <c r="MWV44" s="63"/>
      <c r="MWW44" s="63"/>
      <c r="MWX44" s="63"/>
      <c r="MWY44" s="63"/>
      <c r="MWZ44" s="63"/>
      <c r="MXA44" s="63"/>
      <c r="MXB44" s="63"/>
      <c r="MXC44" s="63"/>
      <c r="MXD44" s="63"/>
      <c r="MXE44" s="63"/>
      <c r="MXF44" s="63"/>
      <c r="MXG44" s="63"/>
      <c r="MXH44" s="63"/>
      <c r="MXI44" s="63"/>
      <c r="MXJ44" s="63"/>
      <c r="MXK44" s="63"/>
      <c r="MXL44" s="63"/>
      <c r="MXM44" s="63"/>
      <c r="MXN44" s="63"/>
      <c r="MXO44" s="63"/>
      <c r="MXP44" s="63"/>
      <c r="MXQ44" s="63"/>
      <c r="MXR44" s="63"/>
      <c r="MXS44" s="63"/>
      <c r="MXT44" s="63"/>
      <c r="MXU44" s="63"/>
      <c r="MXV44" s="63"/>
      <c r="MXW44" s="63"/>
      <c r="MXX44" s="63"/>
      <c r="MXY44" s="63"/>
      <c r="MXZ44" s="63"/>
      <c r="MYA44" s="63"/>
      <c r="MYB44" s="63"/>
      <c r="MYC44" s="63"/>
      <c r="MYD44" s="63"/>
      <c r="MYE44" s="63"/>
      <c r="MYF44" s="63"/>
      <c r="MYG44" s="63"/>
      <c r="MYH44" s="63"/>
      <c r="MYI44" s="63"/>
      <c r="MYJ44" s="63"/>
      <c r="MYK44" s="63"/>
      <c r="MYL44" s="63"/>
      <c r="MYM44" s="63"/>
      <c r="MYN44" s="63"/>
      <c r="MYO44" s="63"/>
      <c r="MYP44" s="63"/>
      <c r="MYQ44" s="63"/>
      <c r="MYR44" s="63"/>
      <c r="MYS44" s="63"/>
      <c r="MYT44" s="63"/>
      <c r="MYU44" s="63"/>
      <c r="MYV44" s="63"/>
      <c r="MYW44" s="63"/>
      <c r="MYX44" s="63"/>
      <c r="MYY44" s="63"/>
      <c r="MYZ44" s="63"/>
      <c r="MZA44" s="63"/>
      <c r="MZB44" s="63"/>
      <c r="MZC44" s="63"/>
      <c r="MZD44" s="63"/>
      <c r="MZE44" s="63"/>
      <c r="MZF44" s="63"/>
      <c r="MZG44" s="63"/>
      <c r="MZH44" s="63"/>
      <c r="MZI44" s="63"/>
      <c r="MZJ44" s="63"/>
      <c r="MZK44" s="63"/>
      <c r="MZL44" s="63"/>
      <c r="MZM44" s="63"/>
      <c r="MZN44" s="63"/>
      <c r="MZO44" s="63"/>
      <c r="MZP44" s="63"/>
      <c r="MZQ44" s="63"/>
      <c r="MZR44" s="63"/>
      <c r="MZS44" s="63"/>
      <c r="MZT44" s="63"/>
      <c r="MZU44" s="63"/>
      <c r="MZV44" s="63"/>
      <c r="MZW44" s="63"/>
      <c r="MZX44" s="63"/>
      <c r="MZY44" s="63"/>
      <c r="MZZ44" s="63"/>
      <c r="NAA44" s="63"/>
      <c r="NAB44" s="63"/>
      <c r="NAC44" s="63"/>
      <c r="NAD44" s="63"/>
      <c r="NAE44" s="63"/>
      <c r="NAF44" s="63"/>
      <c r="NAG44" s="63"/>
      <c r="NAH44" s="63"/>
      <c r="NAI44" s="63"/>
      <c r="NAJ44" s="63"/>
      <c r="NAK44" s="63"/>
      <c r="NAL44" s="63"/>
      <c r="NAM44" s="63"/>
      <c r="NAN44" s="63"/>
      <c r="NAO44" s="63"/>
      <c r="NAP44" s="63"/>
      <c r="NAQ44" s="63"/>
      <c r="NAR44" s="63"/>
      <c r="NAS44" s="63"/>
      <c r="NAT44" s="63"/>
      <c r="NAU44" s="63"/>
      <c r="NAV44" s="63"/>
      <c r="NAW44" s="63"/>
      <c r="NAX44" s="63"/>
      <c r="NAY44" s="63"/>
      <c r="NAZ44" s="63"/>
      <c r="NBA44" s="63"/>
      <c r="NBB44" s="63"/>
      <c r="NBC44" s="63"/>
      <c r="NBD44" s="63"/>
      <c r="NBE44" s="63"/>
      <c r="NBF44" s="63"/>
      <c r="NBG44" s="63"/>
      <c r="NBH44" s="63"/>
      <c r="NBI44" s="63"/>
      <c r="NBJ44" s="63"/>
      <c r="NBK44" s="63"/>
      <c r="NBL44" s="63"/>
      <c r="NBM44" s="63"/>
      <c r="NBN44" s="63"/>
      <c r="NBO44" s="63"/>
      <c r="NBP44" s="63"/>
      <c r="NBQ44" s="63"/>
      <c r="NBR44" s="63"/>
      <c r="NBS44" s="63"/>
      <c r="NBT44" s="63"/>
      <c r="NBU44" s="63"/>
      <c r="NBV44" s="63"/>
      <c r="NBW44" s="63"/>
      <c r="NBX44" s="63"/>
      <c r="NBY44" s="63"/>
      <c r="NBZ44" s="63"/>
      <c r="NCA44" s="63"/>
      <c r="NCB44" s="63"/>
      <c r="NCC44" s="63"/>
      <c r="NCD44" s="63"/>
      <c r="NCE44" s="63"/>
      <c r="NCF44" s="63"/>
      <c r="NCG44" s="63"/>
      <c r="NCH44" s="63"/>
      <c r="NCI44" s="63"/>
      <c r="NCJ44" s="63"/>
      <c r="NCK44" s="63"/>
      <c r="NCL44" s="63"/>
      <c r="NCM44" s="63"/>
      <c r="NCN44" s="63"/>
      <c r="NCO44" s="63"/>
      <c r="NCP44" s="63"/>
      <c r="NCQ44" s="63"/>
      <c r="NCR44" s="63"/>
      <c r="NCS44" s="63"/>
      <c r="NCT44" s="63"/>
      <c r="NCU44" s="63"/>
      <c r="NCV44" s="63"/>
      <c r="NCW44" s="63"/>
      <c r="NCX44" s="63"/>
      <c r="NCY44" s="63"/>
      <c r="NCZ44" s="63"/>
      <c r="NDA44" s="63"/>
      <c r="NDB44" s="63"/>
      <c r="NDC44" s="63"/>
      <c r="NDD44" s="63"/>
      <c r="NDE44" s="63"/>
      <c r="NDF44" s="63"/>
      <c r="NDG44" s="63"/>
      <c r="NDH44" s="63"/>
      <c r="NDI44" s="63"/>
      <c r="NDJ44" s="63"/>
      <c r="NDK44" s="63"/>
      <c r="NDL44" s="63"/>
      <c r="NDM44" s="63"/>
      <c r="NDN44" s="63"/>
      <c r="NDO44" s="63"/>
      <c r="NDP44" s="63"/>
      <c r="NDQ44" s="63"/>
      <c r="NDR44" s="63"/>
      <c r="NDS44" s="63"/>
      <c r="NDT44" s="63"/>
      <c r="NDU44" s="63"/>
      <c r="NDV44" s="63"/>
      <c r="NDW44" s="63"/>
      <c r="NDX44" s="63"/>
      <c r="NDY44" s="63"/>
      <c r="NDZ44" s="63"/>
      <c r="NEA44" s="63"/>
      <c r="NEB44" s="63"/>
      <c r="NEC44" s="63"/>
      <c r="NED44" s="63"/>
      <c r="NEE44" s="63"/>
      <c r="NEF44" s="63"/>
      <c r="NEG44" s="63"/>
      <c r="NEH44" s="63"/>
      <c r="NEI44" s="63"/>
      <c r="NEJ44" s="63"/>
      <c r="NEK44" s="63"/>
      <c r="NEL44" s="63"/>
      <c r="NEM44" s="63"/>
      <c r="NEN44" s="63"/>
      <c r="NEO44" s="63"/>
      <c r="NEP44" s="63"/>
      <c r="NEQ44" s="63"/>
      <c r="NER44" s="63"/>
      <c r="NES44" s="63"/>
      <c r="NET44" s="63"/>
      <c r="NEU44" s="63"/>
      <c r="NEV44" s="63"/>
      <c r="NEW44" s="63"/>
      <c r="NEX44" s="63"/>
      <c r="NEY44" s="63"/>
      <c r="NEZ44" s="63"/>
      <c r="NFA44" s="63"/>
      <c r="NFB44" s="63"/>
      <c r="NFC44" s="63"/>
      <c r="NFD44" s="63"/>
      <c r="NFE44" s="63"/>
      <c r="NFF44" s="63"/>
      <c r="NFG44" s="63"/>
      <c r="NFH44" s="63"/>
      <c r="NFI44" s="63"/>
      <c r="NFJ44" s="63"/>
      <c r="NFK44" s="63"/>
      <c r="NFL44" s="63"/>
      <c r="NFM44" s="63"/>
      <c r="NFN44" s="63"/>
      <c r="NFO44" s="63"/>
      <c r="NFP44" s="63"/>
      <c r="NFQ44" s="63"/>
      <c r="NFR44" s="63"/>
      <c r="NFS44" s="63"/>
      <c r="NFT44" s="63"/>
      <c r="NFU44" s="63"/>
      <c r="NFV44" s="63"/>
      <c r="NFW44" s="63"/>
      <c r="NFX44" s="63"/>
      <c r="NFY44" s="63"/>
      <c r="NFZ44" s="63"/>
      <c r="NGA44" s="63"/>
      <c r="NGB44" s="63"/>
      <c r="NGC44" s="63"/>
      <c r="NGD44" s="63"/>
      <c r="NGE44" s="63"/>
      <c r="NGF44" s="63"/>
      <c r="NGG44" s="63"/>
      <c r="NGH44" s="63"/>
      <c r="NGI44" s="63"/>
      <c r="NGJ44" s="63"/>
      <c r="NGK44" s="63"/>
      <c r="NGL44" s="63"/>
      <c r="NGM44" s="63"/>
      <c r="NGN44" s="63"/>
      <c r="NGO44" s="63"/>
      <c r="NGP44" s="63"/>
      <c r="NGQ44" s="63"/>
      <c r="NGR44" s="63"/>
      <c r="NGS44" s="63"/>
      <c r="NGT44" s="63"/>
      <c r="NGU44" s="63"/>
      <c r="NGV44" s="63"/>
      <c r="NGW44" s="63"/>
      <c r="NGX44" s="63"/>
      <c r="NGY44" s="63"/>
      <c r="NGZ44" s="63"/>
      <c r="NHA44" s="63"/>
      <c r="NHB44" s="63"/>
      <c r="NHC44" s="63"/>
      <c r="NHD44" s="63"/>
      <c r="NHE44" s="63"/>
      <c r="NHF44" s="63"/>
      <c r="NHG44" s="63"/>
      <c r="NHH44" s="63"/>
      <c r="NHI44" s="63"/>
      <c r="NHJ44" s="63"/>
      <c r="NHK44" s="63"/>
      <c r="NHL44" s="63"/>
      <c r="NHM44" s="63"/>
      <c r="NHN44" s="63"/>
      <c r="NHO44" s="63"/>
      <c r="NHP44" s="63"/>
      <c r="NHQ44" s="63"/>
      <c r="NHR44" s="63"/>
      <c r="NHS44" s="63"/>
      <c r="NHT44" s="63"/>
      <c r="NHU44" s="63"/>
      <c r="NHV44" s="63"/>
      <c r="NHW44" s="63"/>
      <c r="NHX44" s="63"/>
      <c r="NHY44" s="63"/>
      <c r="NHZ44" s="63"/>
      <c r="NIA44" s="63"/>
      <c r="NIB44" s="63"/>
      <c r="NIC44" s="63"/>
      <c r="NID44" s="63"/>
      <c r="NIE44" s="63"/>
      <c r="NIF44" s="63"/>
      <c r="NIG44" s="63"/>
      <c r="NIH44" s="63"/>
      <c r="NII44" s="63"/>
      <c r="NIJ44" s="63"/>
      <c r="NIK44" s="63"/>
      <c r="NIL44" s="63"/>
      <c r="NIM44" s="63"/>
      <c r="NIN44" s="63"/>
      <c r="NIO44" s="63"/>
      <c r="NIP44" s="63"/>
      <c r="NIQ44" s="63"/>
      <c r="NIR44" s="63"/>
      <c r="NIS44" s="63"/>
      <c r="NIT44" s="63"/>
      <c r="NIU44" s="63"/>
      <c r="NIV44" s="63"/>
      <c r="NIW44" s="63"/>
      <c r="NIX44" s="63"/>
      <c r="NIY44" s="63"/>
      <c r="NIZ44" s="63"/>
      <c r="NJA44" s="63"/>
      <c r="NJB44" s="63"/>
      <c r="NJC44" s="63"/>
      <c r="NJD44" s="63"/>
      <c r="NJE44" s="63"/>
      <c r="NJF44" s="63"/>
      <c r="NJG44" s="63"/>
      <c r="NJH44" s="63"/>
      <c r="NJI44" s="63"/>
      <c r="NJJ44" s="63"/>
      <c r="NJK44" s="63"/>
      <c r="NJL44" s="63"/>
      <c r="NJM44" s="63"/>
      <c r="NJN44" s="63"/>
      <c r="NJO44" s="63"/>
      <c r="NJP44" s="63"/>
      <c r="NJQ44" s="63"/>
      <c r="NJR44" s="63"/>
      <c r="NJS44" s="63"/>
      <c r="NJT44" s="63"/>
      <c r="NJU44" s="63"/>
      <c r="NJV44" s="63"/>
      <c r="NJW44" s="63"/>
      <c r="NJX44" s="63"/>
      <c r="NJY44" s="63"/>
      <c r="NJZ44" s="63"/>
      <c r="NKA44" s="63"/>
      <c r="NKB44" s="63"/>
      <c r="NKC44" s="63"/>
      <c r="NKD44" s="63"/>
      <c r="NKE44" s="63"/>
      <c r="NKF44" s="63"/>
      <c r="NKG44" s="63"/>
      <c r="NKH44" s="63"/>
      <c r="NKI44" s="63"/>
      <c r="NKJ44" s="63"/>
      <c r="NKK44" s="63"/>
      <c r="NKL44" s="63"/>
      <c r="NKM44" s="63"/>
      <c r="NKN44" s="63"/>
      <c r="NKO44" s="63"/>
      <c r="NKP44" s="63"/>
      <c r="NKQ44" s="63"/>
      <c r="NKR44" s="63"/>
      <c r="NKS44" s="63"/>
      <c r="NKT44" s="63"/>
      <c r="NKU44" s="63"/>
      <c r="NKV44" s="63"/>
      <c r="NKW44" s="63"/>
      <c r="NKX44" s="63"/>
      <c r="NKY44" s="63"/>
      <c r="NKZ44" s="63"/>
      <c r="NLA44" s="63"/>
      <c r="NLB44" s="63"/>
      <c r="NLC44" s="63"/>
      <c r="NLD44" s="63"/>
      <c r="NLE44" s="63"/>
      <c r="NLF44" s="63"/>
      <c r="NLG44" s="63"/>
      <c r="NLH44" s="63"/>
      <c r="NLI44" s="63"/>
      <c r="NLJ44" s="63"/>
      <c r="NLK44" s="63"/>
      <c r="NLL44" s="63"/>
      <c r="NLM44" s="63"/>
      <c r="NLN44" s="63"/>
      <c r="NLO44" s="63"/>
      <c r="NLP44" s="63"/>
      <c r="NLQ44" s="63"/>
      <c r="NLR44" s="63"/>
      <c r="NLS44" s="63"/>
      <c r="NLT44" s="63"/>
      <c r="NLU44" s="63"/>
      <c r="NLV44" s="63"/>
      <c r="NLW44" s="63"/>
      <c r="NLX44" s="63"/>
      <c r="NLY44" s="63"/>
      <c r="NLZ44" s="63"/>
      <c r="NMA44" s="63"/>
      <c r="NMB44" s="63"/>
      <c r="NMC44" s="63"/>
      <c r="NMD44" s="63"/>
      <c r="NME44" s="63"/>
      <c r="NMF44" s="63"/>
      <c r="NMG44" s="63"/>
      <c r="NMH44" s="63"/>
      <c r="NMI44" s="63"/>
      <c r="NMJ44" s="63"/>
      <c r="NMK44" s="63"/>
      <c r="NML44" s="63"/>
      <c r="NMM44" s="63"/>
      <c r="NMN44" s="63"/>
      <c r="NMO44" s="63"/>
      <c r="NMP44" s="63"/>
      <c r="NMQ44" s="63"/>
      <c r="NMR44" s="63"/>
      <c r="NMS44" s="63"/>
      <c r="NMT44" s="63"/>
      <c r="NMU44" s="63"/>
      <c r="NMV44" s="63"/>
      <c r="NMW44" s="63"/>
      <c r="NMX44" s="63"/>
      <c r="NMY44" s="63"/>
      <c r="NMZ44" s="63"/>
      <c r="NNA44" s="63"/>
      <c r="NNB44" s="63"/>
      <c r="NNC44" s="63"/>
      <c r="NND44" s="63"/>
      <c r="NNE44" s="63"/>
      <c r="NNF44" s="63"/>
      <c r="NNG44" s="63"/>
      <c r="NNH44" s="63"/>
      <c r="NNI44" s="63"/>
      <c r="NNJ44" s="63"/>
      <c r="NNK44" s="63"/>
      <c r="NNL44" s="63"/>
      <c r="NNM44" s="63"/>
      <c r="NNN44" s="63"/>
      <c r="NNO44" s="63"/>
      <c r="NNP44" s="63"/>
      <c r="NNQ44" s="63"/>
      <c r="NNR44" s="63"/>
      <c r="NNS44" s="63"/>
      <c r="NNT44" s="63"/>
      <c r="NNU44" s="63"/>
      <c r="NNV44" s="63"/>
      <c r="NNW44" s="63"/>
      <c r="NNX44" s="63"/>
      <c r="NNY44" s="63"/>
      <c r="NNZ44" s="63"/>
      <c r="NOA44" s="63"/>
      <c r="NOB44" s="63"/>
      <c r="NOC44" s="63"/>
      <c r="NOD44" s="63"/>
      <c r="NOE44" s="63"/>
      <c r="NOF44" s="63"/>
      <c r="NOG44" s="63"/>
      <c r="NOH44" s="63"/>
      <c r="NOI44" s="63"/>
      <c r="NOJ44" s="63"/>
      <c r="NOK44" s="63"/>
      <c r="NOL44" s="63"/>
      <c r="NOM44" s="63"/>
      <c r="NON44" s="63"/>
      <c r="NOO44" s="63"/>
      <c r="NOP44" s="63"/>
      <c r="NOQ44" s="63"/>
      <c r="NOR44" s="63"/>
      <c r="NOS44" s="63"/>
      <c r="NOT44" s="63"/>
      <c r="NOU44" s="63"/>
      <c r="NOV44" s="63"/>
      <c r="NOW44" s="63"/>
      <c r="NOX44" s="63"/>
      <c r="NOY44" s="63"/>
      <c r="NOZ44" s="63"/>
      <c r="NPA44" s="63"/>
      <c r="NPB44" s="63"/>
      <c r="NPC44" s="63"/>
      <c r="NPD44" s="63"/>
      <c r="NPE44" s="63"/>
      <c r="NPF44" s="63"/>
      <c r="NPG44" s="63"/>
      <c r="NPH44" s="63"/>
      <c r="NPI44" s="63"/>
      <c r="NPJ44" s="63"/>
      <c r="NPK44" s="63"/>
      <c r="NPL44" s="63"/>
      <c r="NPM44" s="63"/>
      <c r="NPN44" s="63"/>
      <c r="NPO44" s="63"/>
      <c r="NPP44" s="63"/>
      <c r="NPQ44" s="63"/>
      <c r="NPR44" s="63"/>
      <c r="NPS44" s="63"/>
      <c r="NPT44" s="63"/>
      <c r="NPU44" s="63"/>
      <c r="NPV44" s="63"/>
      <c r="NPW44" s="63"/>
      <c r="NPX44" s="63"/>
      <c r="NPY44" s="63"/>
      <c r="NPZ44" s="63"/>
      <c r="NQA44" s="63"/>
      <c r="NQB44" s="63"/>
      <c r="NQC44" s="63"/>
      <c r="NQD44" s="63"/>
      <c r="NQE44" s="63"/>
      <c r="NQF44" s="63"/>
      <c r="NQG44" s="63"/>
      <c r="NQH44" s="63"/>
      <c r="NQI44" s="63"/>
      <c r="NQJ44" s="63"/>
      <c r="NQK44" s="63"/>
      <c r="NQL44" s="63"/>
      <c r="NQM44" s="63"/>
      <c r="NQN44" s="63"/>
      <c r="NQO44" s="63"/>
      <c r="NQP44" s="63"/>
      <c r="NQQ44" s="63"/>
      <c r="NQR44" s="63"/>
      <c r="NQS44" s="63"/>
      <c r="NQT44" s="63"/>
      <c r="NQU44" s="63"/>
      <c r="NQV44" s="63"/>
      <c r="NQW44" s="63"/>
      <c r="NQX44" s="63"/>
      <c r="NQY44" s="63"/>
      <c r="NQZ44" s="63"/>
      <c r="NRA44" s="63"/>
      <c r="NRB44" s="63"/>
      <c r="NRC44" s="63"/>
      <c r="NRD44" s="63"/>
      <c r="NRE44" s="63"/>
      <c r="NRF44" s="63"/>
      <c r="NRG44" s="63"/>
      <c r="NRH44" s="63"/>
      <c r="NRI44" s="63"/>
      <c r="NRJ44" s="63"/>
      <c r="NRK44" s="63"/>
      <c r="NRL44" s="63"/>
      <c r="NRM44" s="63"/>
      <c r="NRN44" s="63"/>
      <c r="NRO44" s="63"/>
      <c r="NRP44" s="63"/>
      <c r="NRQ44" s="63"/>
      <c r="NRR44" s="63"/>
      <c r="NRS44" s="63"/>
      <c r="NRT44" s="63"/>
      <c r="NRU44" s="63"/>
      <c r="NRV44" s="63"/>
      <c r="NRW44" s="63"/>
      <c r="NRX44" s="63"/>
      <c r="NRY44" s="63"/>
      <c r="NRZ44" s="63"/>
      <c r="NSA44" s="63"/>
      <c r="NSB44" s="63"/>
      <c r="NSC44" s="63"/>
      <c r="NSD44" s="63"/>
      <c r="NSE44" s="63"/>
      <c r="NSF44" s="63"/>
      <c r="NSG44" s="63"/>
      <c r="NSH44" s="63"/>
      <c r="NSI44" s="63"/>
      <c r="NSJ44" s="63"/>
      <c r="NSK44" s="63"/>
      <c r="NSL44" s="63"/>
      <c r="NSM44" s="63"/>
      <c r="NSN44" s="63"/>
      <c r="NSO44" s="63"/>
      <c r="NSP44" s="63"/>
      <c r="NSQ44" s="63"/>
      <c r="NSR44" s="63"/>
      <c r="NSS44" s="63"/>
      <c r="NST44" s="63"/>
      <c r="NSU44" s="63"/>
      <c r="NSV44" s="63"/>
      <c r="NSW44" s="63"/>
      <c r="NSX44" s="63"/>
      <c r="NSY44" s="63"/>
      <c r="NSZ44" s="63"/>
      <c r="NTA44" s="63"/>
      <c r="NTB44" s="63"/>
      <c r="NTC44" s="63"/>
      <c r="NTD44" s="63"/>
      <c r="NTE44" s="63"/>
      <c r="NTF44" s="63"/>
      <c r="NTG44" s="63"/>
      <c r="NTH44" s="63"/>
      <c r="NTI44" s="63"/>
      <c r="NTJ44" s="63"/>
      <c r="NTK44" s="63"/>
      <c r="NTL44" s="63"/>
      <c r="NTM44" s="63"/>
      <c r="NTN44" s="63"/>
      <c r="NTO44" s="63"/>
      <c r="NTP44" s="63"/>
      <c r="NTQ44" s="63"/>
      <c r="NTR44" s="63"/>
      <c r="NTS44" s="63"/>
      <c r="NTT44" s="63"/>
      <c r="NTU44" s="63"/>
      <c r="NTV44" s="63"/>
      <c r="NTW44" s="63"/>
      <c r="NTX44" s="63"/>
      <c r="NTY44" s="63"/>
      <c r="NTZ44" s="63"/>
      <c r="NUA44" s="63"/>
      <c r="NUB44" s="63"/>
      <c r="NUC44" s="63"/>
      <c r="NUD44" s="63"/>
      <c r="NUE44" s="63"/>
      <c r="NUF44" s="63"/>
      <c r="NUG44" s="63"/>
      <c r="NUH44" s="63"/>
      <c r="NUI44" s="63"/>
      <c r="NUJ44" s="63"/>
      <c r="NUK44" s="63"/>
      <c r="NUL44" s="63"/>
      <c r="NUM44" s="63"/>
      <c r="NUN44" s="63"/>
      <c r="NUO44" s="63"/>
      <c r="NUP44" s="63"/>
      <c r="NUQ44" s="63"/>
      <c r="NUR44" s="63"/>
      <c r="NUS44" s="63"/>
      <c r="NUT44" s="63"/>
      <c r="NUU44" s="63"/>
      <c r="NUV44" s="63"/>
      <c r="NUW44" s="63"/>
      <c r="NUX44" s="63"/>
      <c r="NUY44" s="63"/>
      <c r="NUZ44" s="63"/>
      <c r="NVA44" s="63"/>
      <c r="NVB44" s="63"/>
      <c r="NVC44" s="63"/>
      <c r="NVD44" s="63"/>
      <c r="NVE44" s="63"/>
      <c r="NVF44" s="63"/>
      <c r="NVG44" s="63"/>
      <c r="NVH44" s="63"/>
      <c r="NVI44" s="63"/>
      <c r="NVJ44" s="63"/>
      <c r="NVK44" s="63"/>
      <c r="NVL44" s="63"/>
      <c r="NVM44" s="63"/>
      <c r="NVN44" s="63"/>
      <c r="NVO44" s="63"/>
      <c r="NVP44" s="63"/>
      <c r="NVQ44" s="63"/>
      <c r="NVR44" s="63"/>
      <c r="NVS44" s="63"/>
      <c r="NVT44" s="63"/>
      <c r="NVU44" s="63"/>
      <c r="NVV44" s="63"/>
      <c r="NVW44" s="63"/>
      <c r="NVX44" s="63"/>
      <c r="NVY44" s="63"/>
      <c r="NVZ44" s="63"/>
      <c r="NWA44" s="63"/>
      <c r="NWB44" s="63"/>
      <c r="NWC44" s="63"/>
      <c r="NWD44" s="63"/>
      <c r="NWE44" s="63"/>
      <c r="NWF44" s="63"/>
      <c r="NWG44" s="63"/>
      <c r="NWH44" s="63"/>
      <c r="NWI44" s="63"/>
      <c r="NWJ44" s="63"/>
      <c r="NWK44" s="63"/>
      <c r="NWL44" s="63"/>
      <c r="NWM44" s="63"/>
      <c r="NWN44" s="63"/>
      <c r="NWO44" s="63"/>
      <c r="NWP44" s="63"/>
      <c r="NWQ44" s="63"/>
      <c r="NWR44" s="63"/>
      <c r="NWS44" s="63"/>
      <c r="NWT44" s="63"/>
      <c r="NWU44" s="63"/>
      <c r="NWV44" s="63"/>
      <c r="NWW44" s="63"/>
      <c r="NWX44" s="63"/>
      <c r="NWY44" s="63"/>
      <c r="NWZ44" s="63"/>
      <c r="NXA44" s="63"/>
      <c r="NXB44" s="63"/>
      <c r="NXC44" s="63"/>
      <c r="NXD44" s="63"/>
      <c r="NXE44" s="63"/>
      <c r="NXF44" s="63"/>
      <c r="NXG44" s="63"/>
      <c r="NXH44" s="63"/>
      <c r="NXI44" s="63"/>
      <c r="NXJ44" s="63"/>
      <c r="NXK44" s="63"/>
      <c r="NXL44" s="63"/>
      <c r="NXM44" s="63"/>
      <c r="NXN44" s="63"/>
      <c r="NXO44" s="63"/>
      <c r="NXP44" s="63"/>
      <c r="NXQ44" s="63"/>
      <c r="NXR44" s="63"/>
      <c r="NXS44" s="63"/>
      <c r="NXT44" s="63"/>
      <c r="NXU44" s="63"/>
      <c r="NXV44" s="63"/>
      <c r="NXW44" s="63"/>
      <c r="NXX44" s="63"/>
      <c r="NXY44" s="63"/>
      <c r="NXZ44" s="63"/>
      <c r="NYA44" s="63"/>
      <c r="NYB44" s="63"/>
      <c r="NYC44" s="63"/>
      <c r="NYD44" s="63"/>
      <c r="NYE44" s="63"/>
      <c r="NYF44" s="63"/>
      <c r="NYG44" s="63"/>
      <c r="NYH44" s="63"/>
      <c r="NYI44" s="63"/>
      <c r="NYJ44" s="63"/>
      <c r="NYK44" s="63"/>
      <c r="NYL44" s="63"/>
      <c r="NYM44" s="63"/>
      <c r="NYN44" s="63"/>
      <c r="NYO44" s="63"/>
      <c r="NYP44" s="63"/>
      <c r="NYQ44" s="63"/>
      <c r="NYR44" s="63"/>
      <c r="NYS44" s="63"/>
      <c r="NYT44" s="63"/>
      <c r="NYU44" s="63"/>
      <c r="NYV44" s="63"/>
      <c r="NYW44" s="63"/>
      <c r="NYX44" s="63"/>
      <c r="NYY44" s="63"/>
      <c r="NYZ44" s="63"/>
      <c r="NZA44" s="63"/>
      <c r="NZB44" s="63"/>
      <c r="NZC44" s="63"/>
      <c r="NZD44" s="63"/>
      <c r="NZE44" s="63"/>
      <c r="NZF44" s="63"/>
      <c r="NZG44" s="63"/>
      <c r="NZH44" s="63"/>
      <c r="NZI44" s="63"/>
      <c r="NZJ44" s="63"/>
      <c r="NZK44" s="63"/>
      <c r="NZL44" s="63"/>
      <c r="NZM44" s="63"/>
      <c r="NZN44" s="63"/>
      <c r="NZO44" s="63"/>
      <c r="NZP44" s="63"/>
      <c r="NZQ44" s="63"/>
      <c r="NZR44" s="63"/>
      <c r="NZS44" s="63"/>
      <c r="NZT44" s="63"/>
      <c r="NZU44" s="63"/>
      <c r="NZV44" s="63"/>
      <c r="NZW44" s="63"/>
      <c r="NZX44" s="63"/>
      <c r="NZY44" s="63"/>
      <c r="NZZ44" s="63"/>
      <c r="OAA44" s="63"/>
      <c r="OAB44" s="63"/>
      <c r="OAC44" s="63"/>
      <c r="OAD44" s="63"/>
      <c r="OAE44" s="63"/>
      <c r="OAF44" s="63"/>
      <c r="OAG44" s="63"/>
      <c r="OAH44" s="63"/>
      <c r="OAI44" s="63"/>
      <c r="OAJ44" s="63"/>
      <c r="OAK44" s="63"/>
      <c r="OAL44" s="63"/>
      <c r="OAM44" s="63"/>
      <c r="OAN44" s="63"/>
      <c r="OAO44" s="63"/>
      <c r="OAP44" s="63"/>
      <c r="OAQ44" s="63"/>
      <c r="OAR44" s="63"/>
      <c r="OAS44" s="63"/>
      <c r="OAT44" s="63"/>
      <c r="OAU44" s="63"/>
      <c r="OAV44" s="63"/>
      <c r="OAW44" s="63"/>
      <c r="OAX44" s="63"/>
      <c r="OAY44" s="63"/>
      <c r="OAZ44" s="63"/>
      <c r="OBA44" s="63"/>
      <c r="OBB44" s="63"/>
      <c r="OBC44" s="63"/>
      <c r="OBD44" s="63"/>
      <c r="OBE44" s="63"/>
      <c r="OBF44" s="63"/>
      <c r="OBG44" s="63"/>
      <c r="OBH44" s="63"/>
      <c r="OBI44" s="63"/>
      <c r="OBJ44" s="63"/>
      <c r="OBK44" s="63"/>
      <c r="OBL44" s="63"/>
      <c r="OBM44" s="63"/>
      <c r="OBN44" s="63"/>
      <c r="OBO44" s="63"/>
      <c r="OBP44" s="63"/>
      <c r="OBQ44" s="63"/>
      <c r="OBR44" s="63"/>
      <c r="OBS44" s="63"/>
      <c r="OBT44" s="63"/>
      <c r="OBU44" s="63"/>
      <c r="OBV44" s="63"/>
      <c r="OBW44" s="63"/>
      <c r="OBX44" s="63"/>
      <c r="OBY44" s="63"/>
      <c r="OBZ44" s="63"/>
      <c r="OCA44" s="63"/>
      <c r="OCB44" s="63"/>
      <c r="OCC44" s="63"/>
      <c r="OCD44" s="63"/>
      <c r="OCE44" s="63"/>
      <c r="OCF44" s="63"/>
      <c r="OCG44" s="63"/>
      <c r="OCH44" s="63"/>
      <c r="OCI44" s="63"/>
      <c r="OCJ44" s="63"/>
      <c r="OCK44" s="63"/>
      <c r="OCL44" s="63"/>
      <c r="OCM44" s="63"/>
      <c r="OCN44" s="63"/>
      <c r="OCO44" s="63"/>
      <c r="OCP44" s="63"/>
      <c r="OCQ44" s="63"/>
      <c r="OCR44" s="63"/>
      <c r="OCS44" s="63"/>
      <c r="OCT44" s="63"/>
      <c r="OCU44" s="63"/>
      <c r="OCV44" s="63"/>
      <c r="OCW44" s="63"/>
      <c r="OCX44" s="63"/>
      <c r="OCY44" s="63"/>
      <c r="OCZ44" s="63"/>
      <c r="ODA44" s="63"/>
      <c r="ODB44" s="63"/>
      <c r="ODC44" s="63"/>
      <c r="ODD44" s="63"/>
      <c r="ODE44" s="63"/>
      <c r="ODF44" s="63"/>
      <c r="ODG44" s="63"/>
      <c r="ODH44" s="63"/>
      <c r="ODI44" s="63"/>
      <c r="ODJ44" s="63"/>
      <c r="ODK44" s="63"/>
      <c r="ODL44" s="63"/>
      <c r="ODM44" s="63"/>
      <c r="ODN44" s="63"/>
      <c r="ODO44" s="63"/>
      <c r="ODP44" s="63"/>
      <c r="ODQ44" s="63"/>
      <c r="ODR44" s="63"/>
      <c r="ODS44" s="63"/>
      <c r="ODT44" s="63"/>
      <c r="ODU44" s="63"/>
      <c r="ODV44" s="63"/>
      <c r="ODW44" s="63"/>
      <c r="ODX44" s="63"/>
      <c r="ODY44" s="63"/>
      <c r="ODZ44" s="63"/>
      <c r="OEA44" s="63"/>
      <c r="OEB44" s="63"/>
      <c r="OEC44" s="63"/>
      <c r="OED44" s="63"/>
      <c r="OEE44" s="63"/>
      <c r="OEF44" s="63"/>
      <c r="OEG44" s="63"/>
      <c r="OEH44" s="63"/>
      <c r="OEI44" s="63"/>
      <c r="OEJ44" s="63"/>
      <c r="OEK44" s="63"/>
      <c r="OEL44" s="63"/>
      <c r="OEM44" s="63"/>
      <c r="OEN44" s="63"/>
      <c r="OEO44" s="63"/>
      <c r="OEP44" s="63"/>
      <c r="OEQ44" s="63"/>
      <c r="OER44" s="63"/>
      <c r="OES44" s="63"/>
      <c r="OET44" s="63"/>
      <c r="OEU44" s="63"/>
      <c r="OEV44" s="63"/>
      <c r="OEW44" s="63"/>
      <c r="OEX44" s="63"/>
      <c r="OEY44" s="63"/>
      <c r="OEZ44" s="63"/>
      <c r="OFA44" s="63"/>
      <c r="OFB44" s="63"/>
      <c r="OFC44" s="63"/>
      <c r="OFD44" s="63"/>
      <c r="OFE44" s="63"/>
      <c r="OFF44" s="63"/>
      <c r="OFG44" s="63"/>
      <c r="OFH44" s="63"/>
      <c r="OFI44" s="63"/>
      <c r="OFJ44" s="63"/>
      <c r="OFK44" s="63"/>
      <c r="OFL44" s="63"/>
      <c r="OFM44" s="63"/>
      <c r="OFN44" s="63"/>
      <c r="OFO44" s="63"/>
      <c r="OFP44" s="63"/>
      <c r="OFQ44" s="63"/>
      <c r="OFR44" s="63"/>
      <c r="OFS44" s="63"/>
      <c r="OFT44" s="63"/>
      <c r="OFU44" s="63"/>
      <c r="OFV44" s="63"/>
      <c r="OFW44" s="63"/>
      <c r="OFX44" s="63"/>
      <c r="OFY44" s="63"/>
      <c r="OFZ44" s="63"/>
      <c r="OGA44" s="63"/>
      <c r="OGB44" s="63"/>
      <c r="OGC44" s="63"/>
      <c r="OGD44" s="63"/>
      <c r="OGE44" s="63"/>
      <c r="OGF44" s="63"/>
      <c r="OGG44" s="63"/>
      <c r="OGH44" s="63"/>
      <c r="OGI44" s="63"/>
      <c r="OGJ44" s="63"/>
      <c r="OGK44" s="63"/>
      <c r="OGL44" s="63"/>
      <c r="OGM44" s="63"/>
      <c r="OGN44" s="63"/>
      <c r="OGO44" s="63"/>
      <c r="OGP44" s="63"/>
      <c r="OGQ44" s="63"/>
      <c r="OGR44" s="63"/>
      <c r="OGS44" s="63"/>
      <c r="OGT44" s="63"/>
      <c r="OGU44" s="63"/>
      <c r="OGV44" s="63"/>
      <c r="OGW44" s="63"/>
      <c r="OGX44" s="63"/>
      <c r="OGY44" s="63"/>
      <c r="OGZ44" s="63"/>
      <c r="OHA44" s="63"/>
      <c r="OHB44" s="63"/>
      <c r="OHC44" s="63"/>
      <c r="OHD44" s="63"/>
      <c r="OHE44" s="63"/>
      <c r="OHF44" s="63"/>
      <c r="OHG44" s="63"/>
      <c r="OHH44" s="63"/>
      <c r="OHI44" s="63"/>
      <c r="OHJ44" s="63"/>
      <c r="OHK44" s="63"/>
      <c r="OHL44" s="63"/>
      <c r="OHM44" s="63"/>
      <c r="OHN44" s="63"/>
      <c r="OHO44" s="63"/>
      <c r="OHP44" s="63"/>
      <c r="OHQ44" s="63"/>
      <c r="OHR44" s="63"/>
      <c r="OHS44" s="63"/>
      <c r="OHT44" s="63"/>
      <c r="OHU44" s="63"/>
      <c r="OHV44" s="63"/>
      <c r="OHW44" s="63"/>
      <c r="OHX44" s="63"/>
      <c r="OHY44" s="63"/>
      <c r="OHZ44" s="63"/>
      <c r="OIA44" s="63"/>
      <c r="OIB44" s="63"/>
      <c r="OIC44" s="63"/>
      <c r="OID44" s="63"/>
      <c r="OIE44" s="63"/>
      <c r="OIF44" s="63"/>
      <c r="OIG44" s="63"/>
      <c r="OIH44" s="63"/>
      <c r="OII44" s="63"/>
      <c r="OIJ44" s="63"/>
      <c r="OIK44" s="63"/>
      <c r="OIL44" s="63"/>
      <c r="OIM44" s="63"/>
      <c r="OIN44" s="63"/>
      <c r="OIO44" s="63"/>
      <c r="OIP44" s="63"/>
      <c r="OIQ44" s="63"/>
      <c r="OIR44" s="63"/>
      <c r="OIS44" s="63"/>
      <c r="OIT44" s="63"/>
      <c r="OIU44" s="63"/>
      <c r="OIV44" s="63"/>
      <c r="OIW44" s="63"/>
      <c r="OIX44" s="63"/>
      <c r="OIY44" s="63"/>
      <c r="OIZ44" s="63"/>
      <c r="OJA44" s="63"/>
      <c r="OJB44" s="63"/>
      <c r="OJC44" s="63"/>
      <c r="OJD44" s="63"/>
      <c r="OJE44" s="63"/>
      <c r="OJF44" s="63"/>
      <c r="OJG44" s="63"/>
      <c r="OJH44" s="63"/>
      <c r="OJI44" s="63"/>
      <c r="OJJ44" s="63"/>
      <c r="OJK44" s="63"/>
      <c r="OJL44" s="63"/>
      <c r="OJM44" s="63"/>
      <c r="OJN44" s="63"/>
      <c r="OJO44" s="63"/>
      <c r="OJP44" s="63"/>
      <c r="OJQ44" s="63"/>
      <c r="OJR44" s="63"/>
      <c r="OJS44" s="63"/>
      <c r="OJT44" s="63"/>
      <c r="OJU44" s="63"/>
      <c r="OJV44" s="63"/>
      <c r="OJW44" s="63"/>
      <c r="OJX44" s="63"/>
      <c r="OJY44" s="63"/>
      <c r="OJZ44" s="63"/>
      <c r="OKA44" s="63"/>
      <c r="OKB44" s="63"/>
      <c r="OKC44" s="63"/>
      <c r="OKD44" s="63"/>
      <c r="OKE44" s="63"/>
      <c r="OKF44" s="63"/>
      <c r="OKG44" s="63"/>
      <c r="OKH44" s="63"/>
      <c r="OKI44" s="63"/>
      <c r="OKJ44" s="63"/>
      <c r="OKK44" s="63"/>
      <c r="OKL44" s="63"/>
      <c r="OKM44" s="63"/>
      <c r="OKN44" s="63"/>
      <c r="OKO44" s="63"/>
      <c r="OKP44" s="63"/>
      <c r="OKQ44" s="63"/>
      <c r="OKR44" s="63"/>
      <c r="OKS44" s="63"/>
      <c r="OKT44" s="63"/>
      <c r="OKU44" s="63"/>
      <c r="OKV44" s="63"/>
      <c r="OKW44" s="63"/>
      <c r="OKX44" s="63"/>
      <c r="OKY44" s="63"/>
      <c r="OKZ44" s="63"/>
      <c r="OLA44" s="63"/>
      <c r="OLB44" s="63"/>
      <c r="OLC44" s="63"/>
      <c r="OLD44" s="63"/>
      <c r="OLE44" s="63"/>
      <c r="OLF44" s="63"/>
      <c r="OLG44" s="63"/>
      <c r="OLH44" s="63"/>
      <c r="OLI44" s="63"/>
      <c r="OLJ44" s="63"/>
      <c r="OLK44" s="63"/>
      <c r="OLL44" s="63"/>
      <c r="OLM44" s="63"/>
      <c r="OLN44" s="63"/>
      <c r="OLO44" s="63"/>
      <c r="OLP44" s="63"/>
      <c r="OLQ44" s="63"/>
      <c r="OLR44" s="63"/>
      <c r="OLS44" s="63"/>
      <c r="OLT44" s="63"/>
      <c r="OLU44" s="63"/>
      <c r="OLV44" s="63"/>
      <c r="OLW44" s="63"/>
      <c r="OLX44" s="63"/>
      <c r="OLY44" s="63"/>
      <c r="OLZ44" s="63"/>
      <c r="OMA44" s="63"/>
      <c r="OMB44" s="63"/>
      <c r="OMC44" s="63"/>
      <c r="OMD44" s="63"/>
      <c r="OME44" s="63"/>
      <c r="OMF44" s="63"/>
      <c r="OMG44" s="63"/>
      <c r="OMH44" s="63"/>
      <c r="OMI44" s="63"/>
      <c r="OMJ44" s="63"/>
      <c r="OMK44" s="63"/>
      <c r="OML44" s="63"/>
      <c r="OMM44" s="63"/>
      <c r="OMN44" s="63"/>
      <c r="OMO44" s="63"/>
      <c r="OMP44" s="63"/>
      <c r="OMQ44" s="63"/>
      <c r="OMR44" s="63"/>
      <c r="OMS44" s="63"/>
      <c r="OMT44" s="63"/>
      <c r="OMU44" s="63"/>
      <c r="OMV44" s="63"/>
      <c r="OMW44" s="63"/>
      <c r="OMX44" s="63"/>
      <c r="OMY44" s="63"/>
      <c r="OMZ44" s="63"/>
      <c r="ONA44" s="63"/>
      <c r="ONB44" s="63"/>
      <c r="ONC44" s="63"/>
      <c r="OND44" s="63"/>
      <c r="ONE44" s="63"/>
      <c r="ONF44" s="63"/>
      <c r="ONG44" s="63"/>
      <c r="ONH44" s="63"/>
      <c r="ONI44" s="63"/>
      <c r="ONJ44" s="63"/>
      <c r="ONK44" s="63"/>
      <c r="ONL44" s="63"/>
      <c r="ONM44" s="63"/>
      <c r="ONN44" s="63"/>
      <c r="ONO44" s="63"/>
      <c r="ONP44" s="63"/>
      <c r="ONQ44" s="63"/>
      <c r="ONR44" s="63"/>
      <c r="ONS44" s="63"/>
      <c r="ONT44" s="63"/>
      <c r="ONU44" s="63"/>
      <c r="ONV44" s="63"/>
      <c r="ONW44" s="63"/>
      <c r="ONX44" s="63"/>
      <c r="ONY44" s="63"/>
      <c r="ONZ44" s="63"/>
      <c r="OOA44" s="63"/>
      <c r="OOB44" s="63"/>
      <c r="OOC44" s="63"/>
      <c r="OOD44" s="63"/>
      <c r="OOE44" s="63"/>
      <c r="OOF44" s="63"/>
      <c r="OOG44" s="63"/>
      <c r="OOH44" s="63"/>
      <c r="OOI44" s="63"/>
      <c r="OOJ44" s="63"/>
      <c r="OOK44" s="63"/>
      <c r="OOL44" s="63"/>
      <c r="OOM44" s="63"/>
      <c r="OON44" s="63"/>
      <c r="OOO44" s="63"/>
      <c r="OOP44" s="63"/>
      <c r="OOQ44" s="63"/>
      <c r="OOR44" s="63"/>
      <c r="OOS44" s="63"/>
      <c r="OOT44" s="63"/>
      <c r="OOU44" s="63"/>
      <c r="OOV44" s="63"/>
      <c r="OOW44" s="63"/>
      <c r="OOX44" s="63"/>
      <c r="OOY44" s="63"/>
      <c r="OOZ44" s="63"/>
      <c r="OPA44" s="63"/>
      <c r="OPB44" s="63"/>
      <c r="OPC44" s="63"/>
      <c r="OPD44" s="63"/>
      <c r="OPE44" s="63"/>
      <c r="OPF44" s="63"/>
      <c r="OPG44" s="63"/>
      <c r="OPH44" s="63"/>
      <c r="OPI44" s="63"/>
      <c r="OPJ44" s="63"/>
      <c r="OPK44" s="63"/>
      <c r="OPL44" s="63"/>
      <c r="OPM44" s="63"/>
      <c r="OPN44" s="63"/>
      <c r="OPO44" s="63"/>
      <c r="OPP44" s="63"/>
      <c r="OPQ44" s="63"/>
      <c r="OPR44" s="63"/>
      <c r="OPS44" s="63"/>
      <c r="OPT44" s="63"/>
      <c r="OPU44" s="63"/>
      <c r="OPV44" s="63"/>
      <c r="OPW44" s="63"/>
      <c r="OPX44" s="63"/>
      <c r="OPY44" s="63"/>
      <c r="OPZ44" s="63"/>
      <c r="OQA44" s="63"/>
      <c r="OQB44" s="63"/>
      <c r="OQC44" s="63"/>
      <c r="OQD44" s="63"/>
      <c r="OQE44" s="63"/>
      <c r="OQF44" s="63"/>
      <c r="OQG44" s="63"/>
      <c r="OQH44" s="63"/>
      <c r="OQI44" s="63"/>
      <c r="OQJ44" s="63"/>
      <c r="OQK44" s="63"/>
      <c r="OQL44" s="63"/>
      <c r="OQM44" s="63"/>
      <c r="OQN44" s="63"/>
      <c r="OQO44" s="63"/>
      <c r="OQP44" s="63"/>
      <c r="OQQ44" s="63"/>
      <c r="OQR44" s="63"/>
      <c r="OQS44" s="63"/>
      <c r="OQT44" s="63"/>
      <c r="OQU44" s="63"/>
      <c r="OQV44" s="63"/>
      <c r="OQW44" s="63"/>
      <c r="OQX44" s="63"/>
      <c r="OQY44" s="63"/>
      <c r="OQZ44" s="63"/>
      <c r="ORA44" s="63"/>
      <c r="ORB44" s="63"/>
      <c r="ORC44" s="63"/>
      <c r="ORD44" s="63"/>
      <c r="ORE44" s="63"/>
      <c r="ORF44" s="63"/>
      <c r="ORG44" s="63"/>
      <c r="ORH44" s="63"/>
      <c r="ORI44" s="63"/>
      <c r="ORJ44" s="63"/>
      <c r="ORK44" s="63"/>
      <c r="ORL44" s="63"/>
      <c r="ORM44" s="63"/>
      <c r="ORN44" s="63"/>
      <c r="ORO44" s="63"/>
      <c r="ORP44" s="63"/>
      <c r="ORQ44" s="63"/>
      <c r="ORR44" s="63"/>
      <c r="ORS44" s="63"/>
      <c r="ORT44" s="63"/>
      <c r="ORU44" s="63"/>
      <c r="ORV44" s="63"/>
      <c r="ORW44" s="63"/>
      <c r="ORX44" s="63"/>
      <c r="ORY44" s="63"/>
      <c r="ORZ44" s="63"/>
      <c r="OSA44" s="63"/>
      <c r="OSB44" s="63"/>
      <c r="OSC44" s="63"/>
      <c r="OSD44" s="63"/>
      <c r="OSE44" s="63"/>
      <c r="OSF44" s="63"/>
      <c r="OSG44" s="63"/>
      <c r="OSH44" s="63"/>
      <c r="OSI44" s="63"/>
      <c r="OSJ44" s="63"/>
      <c r="OSK44" s="63"/>
      <c r="OSL44" s="63"/>
      <c r="OSM44" s="63"/>
      <c r="OSN44" s="63"/>
      <c r="OSO44" s="63"/>
      <c r="OSP44" s="63"/>
      <c r="OSQ44" s="63"/>
      <c r="OSR44" s="63"/>
      <c r="OSS44" s="63"/>
      <c r="OST44" s="63"/>
      <c r="OSU44" s="63"/>
      <c r="OSV44" s="63"/>
      <c r="OSW44" s="63"/>
      <c r="OSX44" s="63"/>
      <c r="OSY44" s="63"/>
      <c r="OSZ44" s="63"/>
      <c r="OTA44" s="63"/>
      <c r="OTB44" s="63"/>
      <c r="OTC44" s="63"/>
      <c r="OTD44" s="63"/>
      <c r="OTE44" s="63"/>
      <c r="OTF44" s="63"/>
      <c r="OTG44" s="63"/>
      <c r="OTH44" s="63"/>
      <c r="OTI44" s="63"/>
      <c r="OTJ44" s="63"/>
      <c r="OTK44" s="63"/>
      <c r="OTL44" s="63"/>
      <c r="OTM44" s="63"/>
      <c r="OTN44" s="63"/>
      <c r="OTO44" s="63"/>
      <c r="OTP44" s="63"/>
      <c r="OTQ44" s="63"/>
      <c r="OTR44" s="63"/>
      <c r="OTS44" s="63"/>
      <c r="OTT44" s="63"/>
      <c r="OTU44" s="63"/>
      <c r="OTV44" s="63"/>
      <c r="OTW44" s="63"/>
      <c r="OTX44" s="63"/>
      <c r="OTY44" s="63"/>
      <c r="OTZ44" s="63"/>
      <c r="OUA44" s="63"/>
      <c r="OUB44" s="63"/>
      <c r="OUC44" s="63"/>
      <c r="OUD44" s="63"/>
      <c r="OUE44" s="63"/>
      <c r="OUF44" s="63"/>
      <c r="OUG44" s="63"/>
      <c r="OUH44" s="63"/>
      <c r="OUI44" s="63"/>
      <c r="OUJ44" s="63"/>
      <c r="OUK44" s="63"/>
      <c r="OUL44" s="63"/>
      <c r="OUM44" s="63"/>
      <c r="OUN44" s="63"/>
      <c r="OUO44" s="63"/>
      <c r="OUP44" s="63"/>
      <c r="OUQ44" s="63"/>
      <c r="OUR44" s="63"/>
      <c r="OUS44" s="63"/>
      <c r="OUT44" s="63"/>
      <c r="OUU44" s="63"/>
      <c r="OUV44" s="63"/>
      <c r="OUW44" s="63"/>
      <c r="OUX44" s="63"/>
      <c r="OUY44" s="63"/>
      <c r="OUZ44" s="63"/>
      <c r="OVA44" s="63"/>
      <c r="OVB44" s="63"/>
      <c r="OVC44" s="63"/>
      <c r="OVD44" s="63"/>
      <c r="OVE44" s="63"/>
      <c r="OVF44" s="63"/>
      <c r="OVG44" s="63"/>
      <c r="OVH44" s="63"/>
      <c r="OVI44" s="63"/>
      <c r="OVJ44" s="63"/>
      <c r="OVK44" s="63"/>
      <c r="OVL44" s="63"/>
      <c r="OVM44" s="63"/>
      <c r="OVN44" s="63"/>
      <c r="OVO44" s="63"/>
      <c r="OVP44" s="63"/>
      <c r="OVQ44" s="63"/>
      <c r="OVR44" s="63"/>
      <c r="OVS44" s="63"/>
      <c r="OVT44" s="63"/>
      <c r="OVU44" s="63"/>
      <c r="OVV44" s="63"/>
      <c r="OVW44" s="63"/>
      <c r="OVX44" s="63"/>
      <c r="OVY44" s="63"/>
      <c r="OVZ44" s="63"/>
      <c r="OWA44" s="63"/>
      <c r="OWB44" s="63"/>
      <c r="OWC44" s="63"/>
      <c r="OWD44" s="63"/>
      <c r="OWE44" s="63"/>
      <c r="OWF44" s="63"/>
      <c r="OWG44" s="63"/>
      <c r="OWH44" s="63"/>
      <c r="OWI44" s="63"/>
      <c r="OWJ44" s="63"/>
      <c r="OWK44" s="63"/>
      <c r="OWL44" s="63"/>
      <c r="OWM44" s="63"/>
      <c r="OWN44" s="63"/>
      <c r="OWO44" s="63"/>
      <c r="OWP44" s="63"/>
      <c r="OWQ44" s="63"/>
      <c r="OWR44" s="63"/>
      <c r="OWS44" s="63"/>
      <c r="OWT44" s="63"/>
      <c r="OWU44" s="63"/>
      <c r="OWV44" s="63"/>
      <c r="OWW44" s="63"/>
      <c r="OWX44" s="63"/>
      <c r="OWY44" s="63"/>
      <c r="OWZ44" s="63"/>
      <c r="OXA44" s="63"/>
      <c r="OXB44" s="63"/>
      <c r="OXC44" s="63"/>
      <c r="OXD44" s="63"/>
      <c r="OXE44" s="63"/>
      <c r="OXF44" s="63"/>
      <c r="OXG44" s="63"/>
      <c r="OXH44" s="63"/>
      <c r="OXI44" s="63"/>
      <c r="OXJ44" s="63"/>
      <c r="OXK44" s="63"/>
      <c r="OXL44" s="63"/>
      <c r="OXM44" s="63"/>
      <c r="OXN44" s="63"/>
      <c r="OXO44" s="63"/>
      <c r="OXP44" s="63"/>
      <c r="OXQ44" s="63"/>
      <c r="OXR44" s="63"/>
      <c r="OXS44" s="63"/>
      <c r="OXT44" s="63"/>
      <c r="OXU44" s="63"/>
      <c r="OXV44" s="63"/>
      <c r="OXW44" s="63"/>
      <c r="OXX44" s="63"/>
      <c r="OXY44" s="63"/>
      <c r="OXZ44" s="63"/>
      <c r="OYA44" s="63"/>
      <c r="OYB44" s="63"/>
      <c r="OYC44" s="63"/>
      <c r="OYD44" s="63"/>
      <c r="OYE44" s="63"/>
      <c r="OYF44" s="63"/>
      <c r="OYG44" s="63"/>
      <c r="OYH44" s="63"/>
      <c r="OYI44" s="63"/>
      <c r="OYJ44" s="63"/>
      <c r="OYK44" s="63"/>
      <c r="OYL44" s="63"/>
      <c r="OYM44" s="63"/>
      <c r="OYN44" s="63"/>
      <c r="OYO44" s="63"/>
      <c r="OYP44" s="63"/>
      <c r="OYQ44" s="63"/>
      <c r="OYR44" s="63"/>
      <c r="OYS44" s="63"/>
      <c r="OYT44" s="63"/>
      <c r="OYU44" s="63"/>
      <c r="OYV44" s="63"/>
      <c r="OYW44" s="63"/>
      <c r="OYX44" s="63"/>
      <c r="OYY44" s="63"/>
      <c r="OYZ44" s="63"/>
      <c r="OZA44" s="63"/>
      <c r="OZB44" s="63"/>
      <c r="OZC44" s="63"/>
      <c r="OZD44" s="63"/>
      <c r="OZE44" s="63"/>
      <c r="OZF44" s="63"/>
      <c r="OZG44" s="63"/>
      <c r="OZH44" s="63"/>
      <c r="OZI44" s="63"/>
      <c r="OZJ44" s="63"/>
      <c r="OZK44" s="63"/>
      <c r="OZL44" s="63"/>
      <c r="OZM44" s="63"/>
      <c r="OZN44" s="63"/>
      <c r="OZO44" s="63"/>
      <c r="OZP44" s="63"/>
      <c r="OZQ44" s="63"/>
      <c r="OZR44" s="63"/>
      <c r="OZS44" s="63"/>
      <c r="OZT44" s="63"/>
      <c r="OZU44" s="63"/>
      <c r="OZV44" s="63"/>
      <c r="OZW44" s="63"/>
      <c r="OZX44" s="63"/>
      <c r="OZY44" s="63"/>
      <c r="OZZ44" s="63"/>
      <c r="PAA44" s="63"/>
      <c r="PAB44" s="63"/>
      <c r="PAC44" s="63"/>
      <c r="PAD44" s="63"/>
      <c r="PAE44" s="63"/>
      <c r="PAF44" s="63"/>
      <c r="PAG44" s="63"/>
      <c r="PAH44" s="63"/>
      <c r="PAI44" s="63"/>
      <c r="PAJ44" s="63"/>
      <c r="PAK44" s="63"/>
      <c r="PAL44" s="63"/>
      <c r="PAM44" s="63"/>
      <c r="PAN44" s="63"/>
      <c r="PAO44" s="63"/>
      <c r="PAP44" s="63"/>
      <c r="PAQ44" s="63"/>
      <c r="PAR44" s="63"/>
      <c r="PAS44" s="63"/>
      <c r="PAT44" s="63"/>
      <c r="PAU44" s="63"/>
      <c r="PAV44" s="63"/>
      <c r="PAW44" s="63"/>
      <c r="PAX44" s="63"/>
      <c r="PAY44" s="63"/>
      <c r="PAZ44" s="63"/>
      <c r="PBA44" s="63"/>
      <c r="PBB44" s="63"/>
      <c r="PBC44" s="63"/>
      <c r="PBD44" s="63"/>
      <c r="PBE44" s="63"/>
      <c r="PBF44" s="63"/>
      <c r="PBG44" s="63"/>
      <c r="PBH44" s="63"/>
      <c r="PBI44" s="63"/>
      <c r="PBJ44" s="63"/>
      <c r="PBK44" s="63"/>
      <c r="PBL44" s="63"/>
      <c r="PBM44" s="63"/>
      <c r="PBN44" s="63"/>
      <c r="PBO44" s="63"/>
      <c r="PBP44" s="63"/>
      <c r="PBQ44" s="63"/>
      <c r="PBR44" s="63"/>
      <c r="PBS44" s="63"/>
      <c r="PBT44" s="63"/>
      <c r="PBU44" s="63"/>
      <c r="PBV44" s="63"/>
      <c r="PBW44" s="63"/>
      <c r="PBX44" s="63"/>
      <c r="PBY44" s="63"/>
      <c r="PBZ44" s="63"/>
      <c r="PCA44" s="63"/>
      <c r="PCB44" s="63"/>
      <c r="PCC44" s="63"/>
      <c r="PCD44" s="63"/>
      <c r="PCE44" s="63"/>
      <c r="PCF44" s="63"/>
      <c r="PCG44" s="63"/>
      <c r="PCH44" s="63"/>
      <c r="PCI44" s="63"/>
      <c r="PCJ44" s="63"/>
      <c r="PCK44" s="63"/>
      <c r="PCL44" s="63"/>
      <c r="PCM44" s="63"/>
      <c r="PCN44" s="63"/>
      <c r="PCO44" s="63"/>
      <c r="PCP44" s="63"/>
      <c r="PCQ44" s="63"/>
      <c r="PCR44" s="63"/>
      <c r="PCS44" s="63"/>
      <c r="PCT44" s="63"/>
      <c r="PCU44" s="63"/>
      <c r="PCV44" s="63"/>
      <c r="PCW44" s="63"/>
      <c r="PCX44" s="63"/>
      <c r="PCY44" s="63"/>
      <c r="PCZ44" s="63"/>
      <c r="PDA44" s="63"/>
      <c r="PDB44" s="63"/>
      <c r="PDC44" s="63"/>
      <c r="PDD44" s="63"/>
      <c r="PDE44" s="63"/>
      <c r="PDF44" s="63"/>
      <c r="PDG44" s="63"/>
      <c r="PDH44" s="63"/>
      <c r="PDI44" s="63"/>
      <c r="PDJ44" s="63"/>
      <c r="PDK44" s="63"/>
      <c r="PDL44" s="63"/>
      <c r="PDM44" s="63"/>
      <c r="PDN44" s="63"/>
      <c r="PDO44" s="63"/>
      <c r="PDP44" s="63"/>
      <c r="PDQ44" s="63"/>
      <c r="PDR44" s="63"/>
      <c r="PDS44" s="63"/>
      <c r="PDT44" s="63"/>
      <c r="PDU44" s="63"/>
      <c r="PDV44" s="63"/>
      <c r="PDW44" s="63"/>
      <c r="PDX44" s="63"/>
      <c r="PDY44" s="63"/>
      <c r="PDZ44" s="63"/>
      <c r="PEA44" s="63"/>
      <c r="PEB44" s="63"/>
      <c r="PEC44" s="63"/>
      <c r="PED44" s="63"/>
      <c r="PEE44" s="63"/>
      <c r="PEF44" s="63"/>
      <c r="PEG44" s="63"/>
      <c r="PEH44" s="63"/>
      <c r="PEI44" s="63"/>
      <c r="PEJ44" s="63"/>
      <c r="PEK44" s="63"/>
      <c r="PEL44" s="63"/>
      <c r="PEM44" s="63"/>
      <c r="PEN44" s="63"/>
      <c r="PEO44" s="63"/>
      <c r="PEP44" s="63"/>
      <c r="PEQ44" s="63"/>
      <c r="PER44" s="63"/>
      <c r="PES44" s="63"/>
      <c r="PET44" s="63"/>
      <c r="PEU44" s="63"/>
      <c r="PEV44" s="63"/>
      <c r="PEW44" s="63"/>
      <c r="PEX44" s="63"/>
      <c r="PEY44" s="63"/>
      <c r="PEZ44" s="63"/>
      <c r="PFA44" s="63"/>
      <c r="PFB44" s="63"/>
      <c r="PFC44" s="63"/>
      <c r="PFD44" s="63"/>
      <c r="PFE44" s="63"/>
      <c r="PFF44" s="63"/>
      <c r="PFG44" s="63"/>
      <c r="PFH44" s="63"/>
      <c r="PFI44" s="63"/>
      <c r="PFJ44" s="63"/>
      <c r="PFK44" s="63"/>
      <c r="PFL44" s="63"/>
      <c r="PFM44" s="63"/>
      <c r="PFN44" s="63"/>
      <c r="PFO44" s="63"/>
      <c r="PFP44" s="63"/>
      <c r="PFQ44" s="63"/>
      <c r="PFR44" s="63"/>
      <c r="PFS44" s="63"/>
      <c r="PFT44" s="63"/>
      <c r="PFU44" s="63"/>
      <c r="PFV44" s="63"/>
      <c r="PFW44" s="63"/>
      <c r="PFX44" s="63"/>
      <c r="PFY44" s="63"/>
      <c r="PFZ44" s="63"/>
      <c r="PGA44" s="63"/>
      <c r="PGB44" s="63"/>
      <c r="PGC44" s="63"/>
      <c r="PGD44" s="63"/>
      <c r="PGE44" s="63"/>
      <c r="PGF44" s="63"/>
      <c r="PGG44" s="63"/>
      <c r="PGH44" s="63"/>
      <c r="PGI44" s="63"/>
      <c r="PGJ44" s="63"/>
      <c r="PGK44" s="63"/>
      <c r="PGL44" s="63"/>
      <c r="PGM44" s="63"/>
      <c r="PGN44" s="63"/>
      <c r="PGO44" s="63"/>
      <c r="PGP44" s="63"/>
      <c r="PGQ44" s="63"/>
      <c r="PGR44" s="63"/>
      <c r="PGS44" s="63"/>
      <c r="PGT44" s="63"/>
      <c r="PGU44" s="63"/>
      <c r="PGV44" s="63"/>
      <c r="PGW44" s="63"/>
      <c r="PGX44" s="63"/>
      <c r="PGY44" s="63"/>
      <c r="PGZ44" s="63"/>
      <c r="PHA44" s="63"/>
      <c r="PHB44" s="63"/>
      <c r="PHC44" s="63"/>
      <c r="PHD44" s="63"/>
      <c r="PHE44" s="63"/>
      <c r="PHF44" s="63"/>
      <c r="PHG44" s="63"/>
      <c r="PHH44" s="63"/>
      <c r="PHI44" s="63"/>
      <c r="PHJ44" s="63"/>
      <c r="PHK44" s="63"/>
      <c r="PHL44" s="63"/>
      <c r="PHM44" s="63"/>
      <c r="PHN44" s="63"/>
      <c r="PHO44" s="63"/>
      <c r="PHP44" s="63"/>
      <c r="PHQ44" s="63"/>
      <c r="PHR44" s="63"/>
      <c r="PHS44" s="63"/>
      <c r="PHT44" s="63"/>
      <c r="PHU44" s="63"/>
      <c r="PHV44" s="63"/>
      <c r="PHW44" s="63"/>
      <c r="PHX44" s="63"/>
      <c r="PHY44" s="63"/>
      <c r="PHZ44" s="63"/>
      <c r="PIA44" s="63"/>
      <c r="PIB44" s="63"/>
      <c r="PIC44" s="63"/>
      <c r="PID44" s="63"/>
      <c r="PIE44" s="63"/>
      <c r="PIF44" s="63"/>
      <c r="PIG44" s="63"/>
      <c r="PIH44" s="63"/>
      <c r="PII44" s="63"/>
      <c r="PIJ44" s="63"/>
      <c r="PIK44" s="63"/>
      <c r="PIL44" s="63"/>
      <c r="PIM44" s="63"/>
      <c r="PIN44" s="63"/>
      <c r="PIO44" s="63"/>
      <c r="PIP44" s="63"/>
      <c r="PIQ44" s="63"/>
      <c r="PIR44" s="63"/>
      <c r="PIS44" s="63"/>
      <c r="PIT44" s="63"/>
      <c r="PIU44" s="63"/>
      <c r="PIV44" s="63"/>
      <c r="PIW44" s="63"/>
      <c r="PIX44" s="63"/>
      <c r="PIY44" s="63"/>
      <c r="PIZ44" s="63"/>
      <c r="PJA44" s="63"/>
      <c r="PJB44" s="63"/>
      <c r="PJC44" s="63"/>
      <c r="PJD44" s="63"/>
      <c r="PJE44" s="63"/>
      <c r="PJF44" s="63"/>
      <c r="PJG44" s="63"/>
      <c r="PJH44" s="63"/>
      <c r="PJI44" s="63"/>
      <c r="PJJ44" s="63"/>
      <c r="PJK44" s="63"/>
      <c r="PJL44" s="63"/>
      <c r="PJM44" s="63"/>
      <c r="PJN44" s="63"/>
      <c r="PJO44" s="63"/>
      <c r="PJP44" s="63"/>
      <c r="PJQ44" s="63"/>
      <c r="PJR44" s="63"/>
      <c r="PJS44" s="63"/>
      <c r="PJT44" s="63"/>
      <c r="PJU44" s="63"/>
      <c r="PJV44" s="63"/>
      <c r="PJW44" s="63"/>
      <c r="PJX44" s="63"/>
      <c r="PJY44" s="63"/>
      <c r="PJZ44" s="63"/>
      <c r="PKA44" s="63"/>
      <c r="PKB44" s="63"/>
      <c r="PKC44" s="63"/>
      <c r="PKD44" s="63"/>
      <c r="PKE44" s="63"/>
      <c r="PKF44" s="63"/>
      <c r="PKG44" s="63"/>
      <c r="PKH44" s="63"/>
      <c r="PKI44" s="63"/>
      <c r="PKJ44" s="63"/>
      <c r="PKK44" s="63"/>
      <c r="PKL44" s="63"/>
      <c r="PKM44" s="63"/>
      <c r="PKN44" s="63"/>
      <c r="PKO44" s="63"/>
      <c r="PKP44" s="63"/>
      <c r="PKQ44" s="63"/>
      <c r="PKR44" s="63"/>
      <c r="PKS44" s="63"/>
      <c r="PKT44" s="63"/>
      <c r="PKU44" s="63"/>
      <c r="PKV44" s="63"/>
      <c r="PKW44" s="63"/>
      <c r="PKX44" s="63"/>
      <c r="PKY44" s="63"/>
      <c r="PKZ44" s="63"/>
      <c r="PLA44" s="63"/>
      <c r="PLB44" s="63"/>
      <c r="PLC44" s="63"/>
      <c r="PLD44" s="63"/>
      <c r="PLE44" s="63"/>
      <c r="PLF44" s="63"/>
      <c r="PLG44" s="63"/>
      <c r="PLH44" s="63"/>
      <c r="PLI44" s="63"/>
      <c r="PLJ44" s="63"/>
      <c r="PLK44" s="63"/>
      <c r="PLL44" s="63"/>
      <c r="PLM44" s="63"/>
      <c r="PLN44" s="63"/>
      <c r="PLO44" s="63"/>
      <c r="PLP44" s="63"/>
      <c r="PLQ44" s="63"/>
      <c r="PLR44" s="63"/>
      <c r="PLS44" s="63"/>
      <c r="PLT44" s="63"/>
      <c r="PLU44" s="63"/>
      <c r="PLV44" s="63"/>
      <c r="PLW44" s="63"/>
      <c r="PLX44" s="63"/>
      <c r="PLY44" s="63"/>
      <c r="PLZ44" s="63"/>
      <c r="PMA44" s="63"/>
      <c r="PMB44" s="63"/>
      <c r="PMC44" s="63"/>
      <c r="PMD44" s="63"/>
      <c r="PME44" s="63"/>
      <c r="PMF44" s="63"/>
      <c r="PMG44" s="63"/>
      <c r="PMH44" s="63"/>
      <c r="PMI44" s="63"/>
      <c r="PMJ44" s="63"/>
      <c r="PMK44" s="63"/>
      <c r="PML44" s="63"/>
      <c r="PMM44" s="63"/>
      <c r="PMN44" s="63"/>
      <c r="PMO44" s="63"/>
      <c r="PMP44" s="63"/>
      <c r="PMQ44" s="63"/>
      <c r="PMR44" s="63"/>
      <c r="PMS44" s="63"/>
      <c r="PMT44" s="63"/>
      <c r="PMU44" s="63"/>
      <c r="PMV44" s="63"/>
      <c r="PMW44" s="63"/>
      <c r="PMX44" s="63"/>
      <c r="PMY44" s="63"/>
      <c r="PMZ44" s="63"/>
      <c r="PNA44" s="63"/>
      <c r="PNB44" s="63"/>
      <c r="PNC44" s="63"/>
      <c r="PND44" s="63"/>
      <c r="PNE44" s="63"/>
      <c r="PNF44" s="63"/>
      <c r="PNG44" s="63"/>
      <c r="PNH44" s="63"/>
      <c r="PNI44" s="63"/>
      <c r="PNJ44" s="63"/>
      <c r="PNK44" s="63"/>
      <c r="PNL44" s="63"/>
      <c r="PNM44" s="63"/>
      <c r="PNN44" s="63"/>
      <c r="PNO44" s="63"/>
      <c r="PNP44" s="63"/>
      <c r="PNQ44" s="63"/>
      <c r="PNR44" s="63"/>
      <c r="PNS44" s="63"/>
      <c r="PNT44" s="63"/>
      <c r="PNU44" s="63"/>
      <c r="PNV44" s="63"/>
      <c r="PNW44" s="63"/>
      <c r="PNX44" s="63"/>
      <c r="PNY44" s="63"/>
      <c r="PNZ44" s="63"/>
      <c r="POA44" s="63"/>
      <c r="POB44" s="63"/>
      <c r="POC44" s="63"/>
      <c r="POD44" s="63"/>
      <c r="POE44" s="63"/>
      <c r="POF44" s="63"/>
      <c r="POG44" s="63"/>
      <c r="POH44" s="63"/>
      <c r="POI44" s="63"/>
      <c r="POJ44" s="63"/>
      <c r="POK44" s="63"/>
      <c r="POL44" s="63"/>
      <c r="POM44" s="63"/>
      <c r="PON44" s="63"/>
      <c r="POO44" s="63"/>
      <c r="POP44" s="63"/>
      <c r="POQ44" s="63"/>
      <c r="POR44" s="63"/>
      <c r="POS44" s="63"/>
      <c r="POT44" s="63"/>
      <c r="POU44" s="63"/>
      <c r="POV44" s="63"/>
      <c r="POW44" s="63"/>
      <c r="POX44" s="63"/>
      <c r="POY44" s="63"/>
      <c r="POZ44" s="63"/>
      <c r="PPA44" s="63"/>
      <c r="PPB44" s="63"/>
      <c r="PPC44" s="63"/>
      <c r="PPD44" s="63"/>
      <c r="PPE44" s="63"/>
      <c r="PPF44" s="63"/>
      <c r="PPG44" s="63"/>
      <c r="PPH44" s="63"/>
      <c r="PPI44" s="63"/>
      <c r="PPJ44" s="63"/>
      <c r="PPK44" s="63"/>
      <c r="PPL44" s="63"/>
      <c r="PPM44" s="63"/>
      <c r="PPN44" s="63"/>
      <c r="PPO44" s="63"/>
      <c r="PPP44" s="63"/>
      <c r="PPQ44" s="63"/>
      <c r="PPR44" s="63"/>
      <c r="PPS44" s="63"/>
      <c r="PPT44" s="63"/>
      <c r="PPU44" s="63"/>
      <c r="PPV44" s="63"/>
      <c r="PPW44" s="63"/>
      <c r="PPX44" s="63"/>
      <c r="PPY44" s="63"/>
      <c r="PPZ44" s="63"/>
      <c r="PQA44" s="63"/>
      <c r="PQB44" s="63"/>
      <c r="PQC44" s="63"/>
      <c r="PQD44" s="63"/>
      <c r="PQE44" s="63"/>
      <c r="PQF44" s="63"/>
      <c r="PQG44" s="63"/>
      <c r="PQH44" s="63"/>
      <c r="PQI44" s="63"/>
      <c r="PQJ44" s="63"/>
      <c r="PQK44" s="63"/>
      <c r="PQL44" s="63"/>
      <c r="PQM44" s="63"/>
      <c r="PQN44" s="63"/>
      <c r="PQO44" s="63"/>
      <c r="PQP44" s="63"/>
      <c r="PQQ44" s="63"/>
      <c r="PQR44" s="63"/>
      <c r="PQS44" s="63"/>
      <c r="PQT44" s="63"/>
      <c r="PQU44" s="63"/>
      <c r="PQV44" s="63"/>
      <c r="PQW44" s="63"/>
      <c r="PQX44" s="63"/>
      <c r="PQY44" s="63"/>
      <c r="PQZ44" s="63"/>
      <c r="PRA44" s="63"/>
      <c r="PRB44" s="63"/>
      <c r="PRC44" s="63"/>
      <c r="PRD44" s="63"/>
      <c r="PRE44" s="63"/>
      <c r="PRF44" s="63"/>
      <c r="PRG44" s="63"/>
      <c r="PRH44" s="63"/>
      <c r="PRI44" s="63"/>
      <c r="PRJ44" s="63"/>
      <c r="PRK44" s="63"/>
      <c r="PRL44" s="63"/>
      <c r="PRM44" s="63"/>
      <c r="PRN44" s="63"/>
      <c r="PRO44" s="63"/>
      <c r="PRP44" s="63"/>
      <c r="PRQ44" s="63"/>
      <c r="PRR44" s="63"/>
      <c r="PRS44" s="63"/>
      <c r="PRT44" s="63"/>
      <c r="PRU44" s="63"/>
      <c r="PRV44" s="63"/>
      <c r="PRW44" s="63"/>
      <c r="PRX44" s="63"/>
      <c r="PRY44" s="63"/>
      <c r="PRZ44" s="63"/>
      <c r="PSA44" s="63"/>
      <c r="PSB44" s="63"/>
      <c r="PSC44" s="63"/>
      <c r="PSD44" s="63"/>
      <c r="PSE44" s="63"/>
      <c r="PSF44" s="63"/>
      <c r="PSG44" s="63"/>
      <c r="PSH44" s="63"/>
      <c r="PSI44" s="63"/>
      <c r="PSJ44" s="63"/>
      <c r="PSK44" s="63"/>
      <c r="PSL44" s="63"/>
      <c r="PSM44" s="63"/>
      <c r="PSN44" s="63"/>
      <c r="PSO44" s="63"/>
      <c r="PSP44" s="63"/>
      <c r="PSQ44" s="63"/>
      <c r="PSR44" s="63"/>
      <c r="PSS44" s="63"/>
      <c r="PST44" s="63"/>
      <c r="PSU44" s="63"/>
      <c r="PSV44" s="63"/>
      <c r="PSW44" s="63"/>
      <c r="PSX44" s="63"/>
      <c r="PSY44" s="63"/>
      <c r="PSZ44" s="63"/>
      <c r="PTA44" s="63"/>
      <c r="PTB44" s="63"/>
      <c r="PTC44" s="63"/>
      <c r="PTD44" s="63"/>
      <c r="PTE44" s="63"/>
      <c r="PTF44" s="63"/>
      <c r="PTG44" s="63"/>
      <c r="PTH44" s="63"/>
      <c r="PTI44" s="63"/>
      <c r="PTJ44" s="63"/>
      <c r="PTK44" s="63"/>
      <c r="PTL44" s="63"/>
      <c r="PTM44" s="63"/>
      <c r="PTN44" s="63"/>
      <c r="PTO44" s="63"/>
      <c r="PTP44" s="63"/>
      <c r="PTQ44" s="63"/>
      <c r="PTR44" s="63"/>
      <c r="PTS44" s="63"/>
      <c r="PTT44" s="63"/>
      <c r="PTU44" s="63"/>
      <c r="PTV44" s="63"/>
      <c r="PTW44" s="63"/>
      <c r="PTX44" s="63"/>
      <c r="PTY44" s="63"/>
      <c r="PTZ44" s="63"/>
      <c r="PUA44" s="63"/>
      <c r="PUB44" s="63"/>
      <c r="PUC44" s="63"/>
      <c r="PUD44" s="63"/>
      <c r="PUE44" s="63"/>
      <c r="PUF44" s="63"/>
      <c r="PUG44" s="63"/>
      <c r="PUH44" s="63"/>
      <c r="PUI44" s="63"/>
      <c r="PUJ44" s="63"/>
      <c r="PUK44" s="63"/>
      <c r="PUL44" s="63"/>
      <c r="PUM44" s="63"/>
      <c r="PUN44" s="63"/>
      <c r="PUO44" s="63"/>
      <c r="PUP44" s="63"/>
      <c r="PUQ44" s="63"/>
      <c r="PUR44" s="63"/>
      <c r="PUS44" s="63"/>
      <c r="PUT44" s="63"/>
      <c r="PUU44" s="63"/>
      <c r="PUV44" s="63"/>
      <c r="PUW44" s="63"/>
      <c r="PUX44" s="63"/>
      <c r="PUY44" s="63"/>
      <c r="PUZ44" s="63"/>
      <c r="PVA44" s="63"/>
      <c r="PVB44" s="63"/>
      <c r="PVC44" s="63"/>
      <c r="PVD44" s="63"/>
      <c r="PVE44" s="63"/>
      <c r="PVF44" s="63"/>
      <c r="PVG44" s="63"/>
      <c r="PVH44" s="63"/>
      <c r="PVI44" s="63"/>
      <c r="PVJ44" s="63"/>
      <c r="PVK44" s="63"/>
      <c r="PVL44" s="63"/>
      <c r="PVM44" s="63"/>
      <c r="PVN44" s="63"/>
      <c r="PVO44" s="63"/>
      <c r="PVP44" s="63"/>
      <c r="PVQ44" s="63"/>
      <c r="PVR44" s="63"/>
      <c r="PVS44" s="63"/>
      <c r="PVT44" s="63"/>
      <c r="PVU44" s="63"/>
      <c r="PVV44" s="63"/>
      <c r="PVW44" s="63"/>
      <c r="PVX44" s="63"/>
      <c r="PVY44" s="63"/>
      <c r="PVZ44" s="63"/>
      <c r="PWA44" s="63"/>
      <c r="PWB44" s="63"/>
      <c r="PWC44" s="63"/>
      <c r="PWD44" s="63"/>
      <c r="PWE44" s="63"/>
      <c r="PWF44" s="63"/>
      <c r="PWG44" s="63"/>
      <c r="PWH44" s="63"/>
      <c r="PWI44" s="63"/>
      <c r="PWJ44" s="63"/>
      <c r="PWK44" s="63"/>
      <c r="PWL44" s="63"/>
      <c r="PWM44" s="63"/>
      <c r="PWN44" s="63"/>
      <c r="PWO44" s="63"/>
      <c r="PWP44" s="63"/>
      <c r="PWQ44" s="63"/>
      <c r="PWR44" s="63"/>
      <c r="PWS44" s="63"/>
      <c r="PWT44" s="63"/>
      <c r="PWU44" s="63"/>
      <c r="PWV44" s="63"/>
      <c r="PWW44" s="63"/>
      <c r="PWX44" s="63"/>
      <c r="PWY44" s="63"/>
      <c r="PWZ44" s="63"/>
      <c r="PXA44" s="63"/>
      <c r="PXB44" s="63"/>
      <c r="PXC44" s="63"/>
      <c r="PXD44" s="63"/>
      <c r="PXE44" s="63"/>
      <c r="PXF44" s="63"/>
      <c r="PXG44" s="63"/>
      <c r="PXH44" s="63"/>
      <c r="PXI44" s="63"/>
      <c r="PXJ44" s="63"/>
      <c r="PXK44" s="63"/>
      <c r="PXL44" s="63"/>
      <c r="PXM44" s="63"/>
      <c r="PXN44" s="63"/>
      <c r="PXO44" s="63"/>
      <c r="PXP44" s="63"/>
      <c r="PXQ44" s="63"/>
      <c r="PXR44" s="63"/>
      <c r="PXS44" s="63"/>
      <c r="PXT44" s="63"/>
      <c r="PXU44" s="63"/>
      <c r="PXV44" s="63"/>
      <c r="PXW44" s="63"/>
      <c r="PXX44" s="63"/>
      <c r="PXY44" s="63"/>
      <c r="PXZ44" s="63"/>
      <c r="PYA44" s="63"/>
      <c r="PYB44" s="63"/>
      <c r="PYC44" s="63"/>
      <c r="PYD44" s="63"/>
      <c r="PYE44" s="63"/>
      <c r="PYF44" s="63"/>
      <c r="PYG44" s="63"/>
      <c r="PYH44" s="63"/>
      <c r="PYI44" s="63"/>
      <c r="PYJ44" s="63"/>
      <c r="PYK44" s="63"/>
      <c r="PYL44" s="63"/>
      <c r="PYM44" s="63"/>
      <c r="PYN44" s="63"/>
      <c r="PYO44" s="63"/>
      <c r="PYP44" s="63"/>
      <c r="PYQ44" s="63"/>
      <c r="PYR44" s="63"/>
      <c r="PYS44" s="63"/>
      <c r="PYT44" s="63"/>
      <c r="PYU44" s="63"/>
      <c r="PYV44" s="63"/>
      <c r="PYW44" s="63"/>
      <c r="PYX44" s="63"/>
      <c r="PYY44" s="63"/>
      <c r="PYZ44" s="63"/>
      <c r="PZA44" s="63"/>
      <c r="PZB44" s="63"/>
      <c r="PZC44" s="63"/>
      <c r="PZD44" s="63"/>
      <c r="PZE44" s="63"/>
      <c r="PZF44" s="63"/>
      <c r="PZG44" s="63"/>
      <c r="PZH44" s="63"/>
      <c r="PZI44" s="63"/>
      <c r="PZJ44" s="63"/>
      <c r="PZK44" s="63"/>
      <c r="PZL44" s="63"/>
      <c r="PZM44" s="63"/>
      <c r="PZN44" s="63"/>
      <c r="PZO44" s="63"/>
      <c r="PZP44" s="63"/>
      <c r="PZQ44" s="63"/>
      <c r="PZR44" s="63"/>
      <c r="PZS44" s="63"/>
      <c r="PZT44" s="63"/>
      <c r="PZU44" s="63"/>
      <c r="PZV44" s="63"/>
      <c r="PZW44" s="63"/>
      <c r="PZX44" s="63"/>
      <c r="PZY44" s="63"/>
      <c r="PZZ44" s="63"/>
      <c r="QAA44" s="63"/>
      <c r="QAB44" s="63"/>
      <c r="QAC44" s="63"/>
      <c r="QAD44" s="63"/>
      <c r="QAE44" s="63"/>
      <c r="QAF44" s="63"/>
      <c r="QAG44" s="63"/>
      <c r="QAH44" s="63"/>
      <c r="QAI44" s="63"/>
      <c r="QAJ44" s="63"/>
      <c r="QAK44" s="63"/>
      <c r="QAL44" s="63"/>
      <c r="QAM44" s="63"/>
      <c r="QAN44" s="63"/>
      <c r="QAO44" s="63"/>
      <c r="QAP44" s="63"/>
      <c r="QAQ44" s="63"/>
      <c r="QAR44" s="63"/>
      <c r="QAS44" s="63"/>
      <c r="QAT44" s="63"/>
      <c r="QAU44" s="63"/>
      <c r="QAV44" s="63"/>
      <c r="QAW44" s="63"/>
      <c r="QAX44" s="63"/>
      <c r="QAY44" s="63"/>
      <c r="QAZ44" s="63"/>
      <c r="QBA44" s="63"/>
      <c r="QBB44" s="63"/>
      <c r="QBC44" s="63"/>
      <c r="QBD44" s="63"/>
      <c r="QBE44" s="63"/>
      <c r="QBF44" s="63"/>
      <c r="QBG44" s="63"/>
      <c r="QBH44" s="63"/>
      <c r="QBI44" s="63"/>
      <c r="QBJ44" s="63"/>
      <c r="QBK44" s="63"/>
      <c r="QBL44" s="63"/>
      <c r="QBM44" s="63"/>
      <c r="QBN44" s="63"/>
      <c r="QBO44" s="63"/>
      <c r="QBP44" s="63"/>
      <c r="QBQ44" s="63"/>
      <c r="QBR44" s="63"/>
      <c r="QBS44" s="63"/>
      <c r="QBT44" s="63"/>
      <c r="QBU44" s="63"/>
      <c r="QBV44" s="63"/>
      <c r="QBW44" s="63"/>
      <c r="QBX44" s="63"/>
      <c r="QBY44" s="63"/>
      <c r="QBZ44" s="63"/>
      <c r="QCA44" s="63"/>
      <c r="QCB44" s="63"/>
      <c r="QCC44" s="63"/>
      <c r="QCD44" s="63"/>
      <c r="QCE44" s="63"/>
      <c r="QCF44" s="63"/>
      <c r="QCG44" s="63"/>
      <c r="QCH44" s="63"/>
      <c r="QCI44" s="63"/>
      <c r="QCJ44" s="63"/>
      <c r="QCK44" s="63"/>
      <c r="QCL44" s="63"/>
      <c r="QCM44" s="63"/>
      <c r="QCN44" s="63"/>
      <c r="QCO44" s="63"/>
      <c r="QCP44" s="63"/>
      <c r="QCQ44" s="63"/>
      <c r="QCR44" s="63"/>
      <c r="QCS44" s="63"/>
      <c r="QCT44" s="63"/>
      <c r="QCU44" s="63"/>
      <c r="QCV44" s="63"/>
      <c r="QCW44" s="63"/>
      <c r="QCX44" s="63"/>
      <c r="QCY44" s="63"/>
      <c r="QCZ44" s="63"/>
      <c r="QDA44" s="63"/>
      <c r="QDB44" s="63"/>
      <c r="QDC44" s="63"/>
      <c r="QDD44" s="63"/>
      <c r="QDE44" s="63"/>
      <c r="QDF44" s="63"/>
      <c r="QDG44" s="63"/>
      <c r="QDH44" s="63"/>
      <c r="QDI44" s="63"/>
      <c r="QDJ44" s="63"/>
      <c r="QDK44" s="63"/>
      <c r="QDL44" s="63"/>
      <c r="QDM44" s="63"/>
      <c r="QDN44" s="63"/>
      <c r="QDO44" s="63"/>
      <c r="QDP44" s="63"/>
      <c r="QDQ44" s="63"/>
      <c r="QDR44" s="63"/>
      <c r="QDS44" s="63"/>
      <c r="QDT44" s="63"/>
      <c r="QDU44" s="63"/>
      <c r="QDV44" s="63"/>
      <c r="QDW44" s="63"/>
      <c r="QDX44" s="63"/>
      <c r="QDY44" s="63"/>
      <c r="QDZ44" s="63"/>
      <c r="QEA44" s="63"/>
      <c r="QEB44" s="63"/>
      <c r="QEC44" s="63"/>
      <c r="QED44" s="63"/>
      <c r="QEE44" s="63"/>
      <c r="QEF44" s="63"/>
      <c r="QEG44" s="63"/>
      <c r="QEH44" s="63"/>
      <c r="QEI44" s="63"/>
      <c r="QEJ44" s="63"/>
      <c r="QEK44" s="63"/>
      <c r="QEL44" s="63"/>
      <c r="QEM44" s="63"/>
      <c r="QEN44" s="63"/>
      <c r="QEO44" s="63"/>
      <c r="QEP44" s="63"/>
      <c r="QEQ44" s="63"/>
      <c r="QER44" s="63"/>
      <c r="QES44" s="63"/>
      <c r="QET44" s="63"/>
      <c r="QEU44" s="63"/>
      <c r="QEV44" s="63"/>
      <c r="QEW44" s="63"/>
      <c r="QEX44" s="63"/>
      <c r="QEY44" s="63"/>
      <c r="QEZ44" s="63"/>
      <c r="QFA44" s="63"/>
      <c r="QFB44" s="63"/>
      <c r="QFC44" s="63"/>
      <c r="QFD44" s="63"/>
      <c r="QFE44" s="63"/>
      <c r="QFF44" s="63"/>
      <c r="QFG44" s="63"/>
      <c r="QFH44" s="63"/>
      <c r="QFI44" s="63"/>
      <c r="QFJ44" s="63"/>
      <c r="QFK44" s="63"/>
      <c r="QFL44" s="63"/>
      <c r="QFM44" s="63"/>
      <c r="QFN44" s="63"/>
      <c r="QFO44" s="63"/>
      <c r="QFP44" s="63"/>
      <c r="QFQ44" s="63"/>
      <c r="QFR44" s="63"/>
      <c r="QFS44" s="63"/>
      <c r="QFT44" s="63"/>
      <c r="QFU44" s="63"/>
      <c r="QFV44" s="63"/>
      <c r="QFW44" s="63"/>
      <c r="QFX44" s="63"/>
      <c r="QFY44" s="63"/>
      <c r="QFZ44" s="63"/>
      <c r="QGA44" s="63"/>
      <c r="QGB44" s="63"/>
      <c r="QGC44" s="63"/>
      <c r="QGD44" s="63"/>
      <c r="QGE44" s="63"/>
      <c r="QGF44" s="63"/>
      <c r="QGG44" s="63"/>
      <c r="QGH44" s="63"/>
      <c r="QGI44" s="63"/>
      <c r="QGJ44" s="63"/>
      <c r="QGK44" s="63"/>
      <c r="QGL44" s="63"/>
      <c r="QGM44" s="63"/>
      <c r="QGN44" s="63"/>
      <c r="QGO44" s="63"/>
      <c r="QGP44" s="63"/>
      <c r="QGQ44" s="63"/>
      <c r="QGR44" s="63"/>
      <c r="QGS44" s="63"/>
      <c r="QGT44" s="63"/>
      <c r="QGU44" s="63"/>
      <c r="QGV44" s="63"/>
      <c r="QGW44" s="63"/>
      <c r="QGX44" s="63"/>
      <c r="QGY44" s="63"/>
      <c r="QGZ44" s="63"/>
      <c r="QHA44" s="63"/>
      <c r="QHB44" s="63"/>
      <c r="QHC44" s="63"/>
      <c r="QHD44" s="63"/>
      <c r="QHE44" s="63"/>
      <c r="QHF44" s="63"/>
      <c r="QHG44" s="63"/>
      <c r="QHH44" s="63"/>
      <c r="QHI44" s="63"/>
      <c r="QHJ44" s="63"/>
      <c r="QHK44" s="63"/>
      <c r="QHL44" s="63"/>
      <c r="QHM44" s="63"/>
      <c r="QHN44" s="63"/>
      <c r="QHO44" s="63"/>
      <c r="QHP44" s="63"/>
      <c r="QHQ44" s="63"/>
      <c r="QHR44" s="63"/>
      <c r="QHS44" s="63"/>
      <c r="QHT44" s="63"/>
      <c r="QHU44" s="63"/>
      <c r="QHV44" s="63"/>
      <c r="QHW44" s="63"/>
      <c r="QHX44" s="63"/>
      <c r="QHY44" s="63"/>
      <c r="QHZ44" s="63"/>
      <c r="QIA44" s="63"/>
      <c r="QIB44" s="63"/>
      <c r="QIC44" s="63"/>
      <c r="QID44" s="63"/>
      <c r="QIE44" s="63"/>
      <c r="QIF44" s="63"/>
      <c r="QIG44" s="63"/>
      <c r="QIH44" s="63"/>
      <c r="QII44" s="63"/>
      <c r="QIJ44" s="63"/>
      <c r="QIK44" s="63"/>
      <c r="QIL44" s="63"/>
      <c r="QIM44" s="63"/>
      <c r="QIN44" s="63"/>
      <c r="QIO44" s="63"/>
      <c r="QIP44" s="63"/>
      <c r="QIQ44" s="63"/>
      <c r="QIR44" s="63"/>
      <c r="QIS44" s="63"/>
      <c r="QIT44" s="63"/>
      <c r="QIU44" s="63"/>
      <c r="QIV44" s="63"/>
      <c r="QIW44" s="63"/>
      <c r="QIX44" s="63"/>
      <c r="QIY44" s="63"/>
      <c r="QIZ44" s="63"/>
      <c r="QJA44" s="63"/>
      <c r="QJB44" s="63"/>
      <c r="QJC44" s="63"/>
      <c r="QJD44" s="63"/>
      <c r="QJE44" s="63"/>
      <c r="QJF44" s="63"/>
      <c r="QJG44" s="63"/>
      <c r="QJH44" s="63"/>
      <c r="QJI44" s="63"/>
      <c r="QJJ44" s="63"/>
      <c r="QJK44" s="63"/>
      <c r="QJL44" s="63"/>
      <c r="QJM44" s="63"/>
      <c r="QJN44" s="63"/>
      <c r="QJO44" s="63"/>
      <c r="QJP44" s="63"/>
      <c r="QJQ44" s="63"/>
      <c r="QJR44" s="63"/>
      <c r="QJS44" s="63"/>
      <c r="QJT44" s="63"/>
      <c r="QJU44" s="63"/>
      <c r="QJV44" s="63"/>
      <c r="QJW44" s="63"/>
      <c r="QJX44" s="63"/>
      <c r="QJY44" s="63"/>
      <c r="QJZ44" s="63"/>
      <c r="QKA44" s="63"/>
      <c r="QKB44" s="63"/>
      <c r="QKC44" s="63"/>
      <c r="QKD44" s="63"/>
      <c r="QKE44" s="63"/>
      <c r="QKF44" s="63"/>
      <c r="QKG44" s="63"/>
      <c r="QKH44" s="63"/>
      <c r="QKI44" s="63"/>
      <c r="QKJ44" s="63"/>
      <c r="QKK44" s="63"/>
      <c r="QKL44" s="63"/>
      <c r="QKM44" s="63"/>
      <c r="QKN44" s="63"/>
      <c r="QKO44" s="63"/>
      <c r="QKP44" s="63"/>
      <c r="QKQ44" s="63"/>
      <c r="QKR44" s="63"/>
      <c r="QKS44" s="63"/>
      <c r="QKT44" s="63"/>
      <c r="QKU44" s="63"/>
      <c r="QKV44" s="63"/>
      <c r="QKW44" s="63"/>
      <c r="QKX44" s="63"/>
      <c r="QKY44" s="63"/>
      <c r="QKZ44" s="63"/>
      <c r="QLA44" s="63"/>
      <c r="QLB44" s="63"/>
      <c r="QLC44" s="63"/>
      <c r="QLD44" s="63"/>
      <c r="QLE44" s="63"/>
      <c r="QLF44" s="63"/>
      <c r="QLG44" s="63"/>
      <c r="QLH44" s="63"/>
      <c r="QLI44" s="63"/>
      <c r="QLJ44" s="63"/>
      <c r="QLK44" s="63"/>
      <c r="QLL44" s="63"/>
      <c r="QLM44" s="63"/>
      <c r="QLN44" s="63"/>
      <c r="QLO44" s="63"/>
      <c r="QLP44" s="63"/>
      <c r="QLQ44" s="63"/>
      <c r="QLR44" s="63"/>
      <c r="QLS44" s="63"/>
      <c r="QLT44" s="63"/>
      <c r="QLU44" s="63"/>
      <c r="QLV44" s="63"/>
      <c r="QLW44" s="63"/>
      <c r="QLX44" s="63"/>
      <c r="QLY44" s="63"/>
      <c r="QLZ44" s="63"/>
      <c r="QMA44" s="63"/>
      <c r="QMB44" s="63"/>
      <c r="QMC44" s="63"/>
      <c r="QMD44" s="63"/>
      <c r="QME44" s="63"/>
      <c r="QMF44" s="63"/>
      <c r="QMG44" s="63"/>
      <c r="QMH44" s="63"/>
      <c r="QMI44" s="63"/>
      <c r="QMJ44" s="63"/>
      <c r="QMK44" s="63"/>
      <c r="QML44" s="63"/>
      <c r="QMM44" s="63"/>
      <c r="QMN44" s="63"/>
      <c r="QMO44" s="63"/>
      <c r="QMP44" s="63"/>
      <c r="QMQ44" s="63"/>
      <c r="QMR44" s="63"/>
      <c r="QMS44" s="63"/>
      <c r="QMT44" s="63"/>
      <c r="QMU44" s="63"/>
      <c r="QMV44" s="63"/>
      <c r="QMW44" s="63"/>
      <c r="QMX44" s="63"/>
      <c r="QMY44" s="63"/>
      <c r="QMZ44" s="63"/>
      <c r="QNA44" s="63"/>
      <c r="QNB44" s="63"/>
      <c r="QNC44" s="63"/>
      <c r="QND44" s="63"/>
      <c r="QNE44" s="63"/>
      <c r="QNF44" s="63"/>
      <c r="QNG44" s="63"/>
      <c r="QNH44" s="63"/>
      <c r="QNI44" s="63"/>
      <c r="QNJ44" s="63"/>
      <c r="QNK44" s="63"/>
      <c r="QNL44" s="63"/>
      <c r="QNM44" s="63"/>
      <c r="QNN44" s="63"/>
      <c r="QNO44" s="63"/>
      <c r="QNP44" s="63"/>
      <c r="QNQ44" s="63"/>
      <c r="QNR44" s="63"/>
      <c r="QNS44" s="63"/>
      <c r="QNT44" s="63"/>
      <c r="QNU44" s="63"/>
      <c r="QNV44" s="63"/>
      <c r="QNW44" s="63"/>
      <c r="QNX44" s="63"/>
      <c r="QNY44" s="63"/>
      <c r="QNZ44" s="63"/>
      <c r="QOA44" s="63"/>
      <c r="QOB44" s="63"/>
      <c r="QOC44" s="63"/>
      <c r="QOD44" s="63"/>
      <c r="QOE44" s="63"/>
      <c r="QOF44" s="63"/>
      <c r="QOG44" s="63"/>
      <c r="QOH44" s="63"/>
      <c r="QOI44" s="63"/>
      <c r="QOJ44" s="63"/>
      <c r="QOK44" s="63"/>
      <c r="QOL44" s="63"/>
      <c r="QOM44" s="63"/>
      <c r="QON44" s="63"/>
      <c r="QOO44" s="63"/>
      <c r="QOP44" s="63"/>
      <c r="QOQ44" s="63"/>
      <c r="QOR44" s="63"/>
      <c r="QOS44" s="63"/>
      <c r="QOT44" s="63"/>
      <c r="QOU44" s="63"/>
      <c r="QOV44" s="63"/>
      <c r="QOW44" s="63"/>
      <c r="QOX44" s="63"/>
      <c r="QOY44" s="63"/>
      <c r="QOZ44" s="63"/>
      <c r="QPA44" s="63"/>
      <c r="QPB44" s="63"/>
      <c r="QPC44" s="63"/>
      <c r="QPD44" s="63"/>
      <c r="QPE44" s="63"/>
      <c r="QPF44" s="63"/>
      <c r="QPG44" s="63"/>
      <c r="QPH44" s="63"/>
      <c r="QPI44" s="63"/>
      <c r="QPJ44" s="63"/>
      <c r="QPK44" s="63"/>
      <c r="QPL44" s="63"/>
      <c r="QPM44" s="63"/>
      <c r="QPN44" s="63"/>
      <c r="QPO44" s="63"/>
      <c r="QPP44" s="63"/>
      <c r="QPQ44" s="63"/>
      <c r="QPR44" s="63"/>
      <c r="QPS44" s="63"/>
      <c r="QPT44" s="63"/>
      <c r="QPU44" s="63"/>
      <c r="QPV44" s="63"/>
      <c r="QPW44" s="63"/>
      <c r="QPX44" s="63"/>
      <c r="QPY44" s="63"/>
      <c r="QPZ44" s="63"/>
      <c r="QQA44" s="63"/>
      <c r="QQB44" s="63"/>
      <c r="QQC44" s="63"/>
      <c r="QQD44" s="63"/>
      <c r="QQE44" s="63"/>
      <c r="QQF44" s="63"/>
      <c r="QQG44" s="63"/>
      <c r="QQH44" s="63"/>
      <c r="QQI44" s="63"/>
      <c r="QQJ44" s="63"/>
      <c r="QQK44" s="63"/>
      <c r="QQL44" s="63"/>
      <c r="QQM44" s="63"/>
      <c r="QQN44" s="63"/>
      <c r="QQO44" s="63"/>
      <c r="QQP44" s="63"/>
      <c r="QQQ44" s="63"/>
      <c r="QQR44" s="63"/>
      <c r="QQS44" s="63"/>
      <c r="QQT44" s="63"/>
      <c r="QQU44" s="63"/>
      <c r="QQV44" s="63"/>
      <c r="QQW44" s="63"/>
      <c r="QQX44" s="63"/>
      <c r="QQY44" s="63"/>
      <c r="QQZ44" s="63"/>
      <c r="QRA44" s="63"/>
      <c r="QRB44" s="63"/>
      <c r="QRC44" s="63"/>
      <c r="QRD44" s="63"/>
      <c r="QRE44" s="63"/>
      <c r="QRF44" s="63"/>
      <c r="QRG44" s="63"/>
      <c r="QRH44" s="63"/>
      <c r="QRI44" s="63"/>
      <c r="QRJ44" s="63"/>
      <c r="QRK44" s="63"/>
      <c r="QRL44" s="63"/>
      <c r="QRM44" s="63"/>
      <c r="QRN44" s="63"/>
      <c r="QRO44" s="63"/>
      <c r="QRP44" s="63"/>
      <c r="QRQ44" s="63"/>
      <c r="QRR44" s="63"/>
      <c r="QRS44" s="63"/>
      <c r="QRT44" s="63"/>
      <c r="QRU44" s="63"/>
      <c r="QRV44" s="63"/>
      <c r="QRW44" s="63"/>
      <c r="QRX44" s="63"/>
      <c r="QRY44" s="63"/>
      <c r="QRZ44" s="63"/>
      <c r="QSA44" s="63"/>
      <c r="QSB44" s="63"/>
      <c r="QSC44" s="63"/>
      <c r="QSD44" s="63"/>
      <c r="QSE44" s="63"/>
      <c r="QSF44" s="63"/>
      <c r="QSG44" s="63"/>
      <c r="QSH44" s="63"/>
      <c r="QSI44" s="63"/>
      <c r="QSJ44" s="63"/>
      <c r="QSK44" s="63"/>
      <c r="QSL44" s="63"/>
      <c r="QSM44" s="63"/>
      <c r="QSN44" s="63"/>
      <c r="QSO44" s="63"/>
      <c r="QSP44" s="63"/>
      <c r="QSQ44" s="63"/>
      <c r="QSR44" s="63"/>
      <c r="QSS44" s="63"/>
      <c r="QST44" s="63"/>
      <c r="QSU44" s="63"/>
      <c r="QSV44" s="63"/>
      <c r="QSW44" s="63"/>
      <c r="QSX44" s="63"/>
      <c r="QSY44" s="63"/>
      <c r="QSZ44" s="63"/>
      <c r="QTA44" s="63"/>
      <c r="QTB44" s="63"/>
      <c r="QTC44" s="63"/>
      <c r="QTD44" s="63"/>
      <c r="QTE44" s="63"/>
      <c r="QTF44" s="63"/>
      <c r="QTG44" s="63"/>
      <c r="QTH44" s="63"/>
      <c r="QTI44" s="63"/>
      <c r="QTJ44" s="63"/>
      <c r="QTK44" s="63"/>
      <c r="QTL44" s="63"/>
      <c r="QTM44" s="63"/>
      <c r="QTN44" s="63"/>
      <c r="QTO44" s="63"/>
      <c r="QTP44" s="63"/>
      <c r="QTQ44" s="63"/>
      <c r="QTR44" s="63"/>
      <c r="QTS44" s="63"/>
      <c r="QTT44" s="63"/>
      <c r="QTU44" s="63"/>
      <c r="QTV44" s="63"/>
      <c r="QTW44" s="63"/>
      <c r="QTX44" s="63"/>
      <c r="QTY44" s="63"/>
      <c r="QTZ44" s="63"/>
      <c r="QUA44" s="63"/>
      <c r="QUB44" s="63"/>
      <c r="QUC44" s="63"/>
      <c r="QUD44" s="63"/>
      <c r="QUE44" s="63"/>
      <c r="QUF44" s="63"/>
      <c r="QUG44" s="63"/>
      <c r="QUH44" s="63"/>
      <c r="QUI44" s="63"/>
      <c r="QUJ44" s="63"/>
      <c r="QUK44" s="63"/>
      <c r="QUL44" s="63"/>
      <c r="QUM44" s="63"/>
      <c r="QUN44" s="63"/>
      <c r="QUO44" s="63"/>
      <c r="QUP44" s="63"/>
      <c r="QUQ44" s="63"/>
      <c r="QUR44" s="63"/>
      <c r="QUS44" s="63"/>
      <c r="QUT44" s="63"/>
      <c r="QUU44" s="63"/>
      <c r="QUV44" s="63"/>
      <c r="QUW44" s="63"/>
      <c r="QUX44" s="63"/>
      <c r="QUY44" s="63"/>
      <c r="QUZ44" s="63"/>
      <c r="QVA44" s="63"/>
      <c r="QVB44" s="63"/>
      <c r="QVC44" s="63"/>
      <c r="QVD44" s="63"/>
      <c r="QVE44" s="63"/>
      <c r="QVF44" s="63"/>
      <c r="QVG44" s="63"/>
      <c r="QVH44" s="63"/>
      <c r="QVI44" s="63"/>
      <c r="QVJ44" s="63"/>
      <c r="QVK44" s="63"/>
      <c r="QVL44" s="63"/>
      <c r="QVM44" s="63"/>
      <c r="QVN44" s="63"/>
      <c r="QVO44" s="63"/>
      <c r="QVP44" s="63"/>
      <c r="QVQ44" s="63"/>
      <c r="QVR44" s="63"/>
      <c r="QVS44" s="63"/>
      <c r="QVT44" s="63"/>
      <c r="QVU44" s="63"/>
      <c r="QVV44" s="63"/>
      <c r="QVW44" s="63"/>
      <c r="QVX44" s="63"/>
      <c r="QVY44" s="63"/>
      <c r="QVZ44" s="63"/>
      <c r="QWA44" s="63"/>
      <c r="QWB44" s="63"/>
      <c r="QWC44" s="63"/>
      <c r="QWD44" s="63"/>
      <c r="QWE44" s="63"/>
      <c r="QWF44" s="63"/>
      <c r="QWG44" s="63"/>
      <c r="QWH44" s="63"/>
      <c r="QWI44" s="63"/>
      <c r="QWJ44" s="63"/>
      <c r="QWK44" s="63"/>
      <c r="QWL44" s="63"/>
      <c r="QWM44" s="63"/>
      <c r="QWN44" s="63"/>
      <c r="QWO44" s="63"/>
      <c r="QWP44" s="63"/>
      <c r="QWQ44" s="63"/>
      <c r="QWR44" s="63"/>
      <c r="QWS44" s="63"/>
      <c r="QWT44" s="63"/>
      <c r="QWU44" s="63"/>
      <c r="QWV44" s="63"/>
      <c r="QWW44" s="63"/>
      <c r="QWX44" s="63"/>
      <c r="QWY44" s="63"/>
      <c r="QWZ44" s="63"/>
      <c r="QXA44" s="63"/>
      <c r="QXB44" s="63"/>
      <c r="QXC44" s="63"/>
      <c r="QXD44" s="63"/>
      <c r="QXE44" s="63"/>
      <c r="QXF44" s="63"/>
      <c r="QXG44" s="63"/>
      <c r="QXH44" s="63"/>
      <c r="QXI44" s="63"/>
      <c r="QXJ44" s="63"/>
      <c r="QXK44" s="63"/>
      <c r="QXL44" s="63"/>
      <c r="QXM44" s="63"/>
      <c r="QXN44" s="63"/>
      <c r="QXO44" s="63"/>
      <c r="QXP44" s="63"/>
      <c r="QXQ44" s="63"/>
      <c r="QXR44" s="63"/>
      <c r="QXS44" s="63"/>
      <c r="QXT44" s="63"/>
      <c r="QXU44" s="63"/>
      <c r="QXV44" s="63"/>
      <c r="QXW44" s="63"/>
      <c r="QXX44" s="63"/>
      <c r="QXY44" s="63"/>
      <c r="QXZ44" s="63"/>
      <c r="QYA44" s="63"/>
      <c r="QYB44" s="63"/>
      <c r="QYC44" s="63"/>
      <c r="QYD44" s="63"/>
      <c r="QYE44" s="63"/>
      <c r="QYF44" s="63"/>
      <c r="QYG44" s="63"/>
      <c r="QYH44" s="63"/>
      <c r="QYI44" s="63"/>
      <c r="QYJ44" s="63"/>
      <c r="QYK44" s="63"/>
      <c r="QYL44" s="63"/>
      <c r="QYM44" s="63"/>
      <c r="QYN44" s="63"/>
      <c r="QYO44" s="63"/>
      <c r="QYP44" s="63"/>
      <c r="QYQ44" s="63"/>
      <c r="QYR44" s="63"/>
      <c r="QYS44" s="63"/>
      <c r="QYT44" s="63"/>
      <c r="QYU44" s="63"/>
      <c r="QYV44" s="63"/>
      <c r="QYW44" s="63"/>
      <c r="QYX44" s="63"/>
      <c r="QYY44" s="63"/>
      <c r="QYZ44" s="63"/>
      <c r="QZA44" s="63"/>
      <c r="QZB44" s="63"/>
      <c r="QZC44" s="63"/>
      <c r="QZD44" s="63"/>
      <c r="QZE44" s="63"/>
      <c r="QZF44" s="63"/>
      <c r="QZG44" s="63"/>
      <c r="QZH44" s="63"/>
      <c r="QZI44" s="63"/>
      <c r="QZJ44" s="63"/>
      <c r="QZK44" s="63"/>
      <c r="QZL44" s="63"/>
      <c r="QZM44" s="63"/>
      <c r="QZN44" s="63"/>
      <c r="QZO44" s="63"/>
      <c r="QZP44" s="63"/>
      <c r="QZQ44" s="63"/>
      <c r="QZR44" s="63"/>
      <c r="QZS44" s="63"/>
      <c r="QZT44" s="63"/>
      <c r="QZU44" s="63"/>
      <c r="QZV44" s="63"/>
      <c r="QZW44" s="63"/>
      <c r="QZX44" s="63"/>
      <c r="QZY44" s="63"/>
      <c r="QZZ44" s="63"/>
      <c r="RAA44" s="63"/>
      <c r="RAB44" s="63"/>
      <c r="RAC44" s="63"/>
      <c r="RAD44" s="63"/>
      <c r="RAE44" s="63"/>
      <c r="RAF44" s="63"/>
      <c r="RAG44" s="63"/>
      <c r="RAH44" s="63"/>
      <c r="RAI44" s="63"/>
      <c r="RAJ44" s="63"/>
      <c r="RAK44" s="63"/>
      <c r="RAL44" s="63"/>
      <c r="RAM44" s="63"/>
      <c r="RAN44" s="63"/>
      <c r="RAO44" s="63"/>
      <c r="RAP44" s="63"/>
      <c r="RAQ44" s="63"/>
      <c r="RAR44" s="63"/>
      <c r="RAS44" s="63"/>
      <c r="RAT44" s="63"/>
      <c r="RAU44" s="63"/>
      <c r="RAV44" s="63"/>
      <c r="RAW44" s="63"/>
      <c r="RAX44" s="63"/>
      <c r="RAY44" s="63"/>
      <c r="RAZ44" s="63"/>
      <c r="RBA44" s="63"/>
      <c r="RBB44" s="63"/>
      <c r="RBC44" s="63"/>
      <c r="RBD44" s="63"/>
      <c r="RBE44" s="63"/>
      <c r="RBF44" s="63"/>
      <c r="RBG44" s="63"/>
      <c r="RBH44" s="63"/>
      <c r="RBI44" s="63"/>
      <c r="RBJ44" s="63"/>
      <c r="RBK44" s="63"/>
      <c r="RBL44" s="63"/>
      <c r="RBM44" s="63"/>
      <c r="RBN44" s="63"/>
      <c r="RBO44" s="63"/>
      <c r="RBP44" s="63"/>
      <c r="RBQ44" s="63"/>
      <c r="RBR44" s="63"/>
      <c r="RBS44" s="63"/>
      <c r="RBT44" s="63"/>
      <c r="RBU44" s="63"/>
      <c r="RBV44" s="63"/>
      <c r="RBW44" s="63"/>
      <c r="RBX44" s="63"/>
      <c r="RBY44" s="63"/>
      <c r="RBZ44" s="63"/>
      <c r="RCA44" s="63"/>
      <c r="RCB44" s="63"/>
      <c r="RCC44" s="63"/>
      <c r="RCD44" s="63"/>
      <c r="RCE44" s="63"/>
      <c r="RCF44" s="63"/>
      <c r="RCG44" s="63"/>
      <c r="RCH44" s="63"/>
      <c r="RCI44" s="63"/>
      <c r="RCJ44" s="63"/>
      <c r="RCK44" s="63"/>
      <c r="RCL44" s="63"/>
      <c r="RCM44" s="63"/>
      <c r="RCN44" s="63"/>
      <c r="RCO44" s="63"/>
      <c r="RCP44" s="63"/>
      <c r="RCQ44" s="63"/>
      <c r="RCR44" s="63"/>
      <c r="RCS44" s="63"/>
      <c r="RCT44" s="63"/>
      <c r="RCU44" s="63"/>
      <c r="RCV44" s="63"/>
      <c r="RCW44" s="63"/>
      <c r="RCX44" s="63"/>
      <c r="RCY44" s="63"/>
      <c r="RCZ44" s="63"/>
      <c r="RDA44" s="63"/>
      <c r="RDB44" s="63"/>
      <c r="RDC44" s="63"/>
      <c r="RDD44" s="63"/>
      <c r="RDE44" s="63"/>
      <c r="RDF44" s="63"/>
      <c r="RDG44" s="63"/>
      <c r="RDH44" s="63"/>
      <c r="RDI44" s="63"/>
      <c r="RDJ44" s="63"/>
      <c r="RDK44" s="63"/>
      <c r="RDL44" s="63"/>
      <c r="RDM44" s="63"/>
      <c r="RDN44" s="63"/>
      <c r="RDO44" s="63"/>
      <c r="RDP44" s="63"/>
      <c r="RDQ44" s="63"/>
      <c r="RDR44" s="63"/>
      <c r="RDS44" s="63"/>
      <c r="RDT44" s="63"/>
      <c r="RDU44" s="63"/>
      <c r="RDV44" s="63"/>
      <c r="RDW44" s="63"/>
      <c r="RDX44" s="63"/>
      <c r="RDY44" s="63"/>
      <c r="RDZ44" s="63"/>
      <c r="REA44" s="63"/>
      <c r="REB44" s="63"/>
      <c r="REC44" s="63"/>
      <c r="RED44" s="63"/>
      <c r="REE44" s="63"/>
      <c r="REF44" s="63"/>
      <c r="REG44" s="63"/>
      <c r="REH44" s="63"/>
      <c r="REI44" s="63"/>
      <c r="REJ44" s="63"/>
      <c r="REK44" s="63"/>
      <c r="REL44" s="63"/>
      <c r="REM44" s="63"/>
      <c r="REN44" s="63"/>
      <c r="REO44" s="63"/>
      <c r="REP44" s="63"/>
      <c r="REQ44" s="63"/>
      <c r="RER44" s="63"/>
      <c r="RES44" s="63"/>
      <c r="RET44" s="63"/>
      <c r="REU44" s="63"/>
      <c r="REV44" s="63"/>
      <c r="REW44" s="63"/>
      <c r="REX44" s="63"/>
      <c r="REY44" s="63"/>
      <c r="REZ44" s="63"/>
      <c r="RFA44" s="63"/>
      <c r="RFB44" s="63"/>
      <c r="RFC44" s="63"/>
      <c r="RFD44" s="63"/>
      <c r="RFE44" s="63"/>
      <c r="RFF44" s="63"/>
      <c r="RFG44" s="63"/>
      <c r="RFH44" s="63"/>
      <c r="RFI44" s="63"/>
      <c r="RFJ44" s="63"/>
      <c r="RFK44" s="63"/>
      <c r="RFL44" s="63"/>
      <c r="RFM44" s="63"/>
      <c r="RFN44" s="63"/>
      <c r="RFO44" s="63"/>
      <c r="RFP44" s="63"/>
      <c r="RFQ44" s="63"/>
      <c r="RFR44" s="63"/>
      <c r="RFS44" s="63"/>
      <c r="RFT44" s="63"/>
      <c r="RFU44" s="63"/>
      <c r="RFV44" s="63"/>
      <c r="RFW44" s="63"/>
      <c r="RFX44" s="63"/>
      <c r="RFY44" s="63"/>
      <c r="RFZ44" s="63"/>
      <c r="RGA44" s="63"/>
      <c r="RGB44" s="63"/>
      <c r="RGC44" s="63"/>
      <c r="RGD44" s="63"/>
      <c r="RGE44" s="63"/>
      <c r="RGF44" s="63"/>
      <c r="RGG44" s="63"/>
      <c r="RGH44" s="63"/>
      <c r="RGI44" s="63"/>
      <c r="RGJ44" s="63"/>
      <c r="RGK44" s="63"/>
      <c r="RGL44" s="63"/>
      <c r="RGM44" s="63"/>
      <c r="RGN44" s="63"/>
      <c r="RGO44" s="63"/>
      <c r="RGP44" s="63"/>
      <c r="RGQ44" s="63"/>
      <c r="RGR44" s="63"/>
      <c r="RGS44" s="63"/>
      <c r="RGT44" s="63"/>
      <c r="RGU44" s="63"/>
      <c r="RGV44" s="63"/>
      <c r="RGW44" s="63"/>
      <c r="RGX44" s="63"/>
      <c r="RGY44" s="63"/>
      <c r="RGZ44" s="63"/>
      <c r="RHA44" s="63"/>
      <c r="RHB44" s="63"/>
      <c r="RHC44" s="63"/>
      <c r="RHD44" s="63"/>
      <c r="RHE44" s="63"/>
      <c r="RHF44" s="63"/>
      <c r="RHG44" s="63"/>
      <c r="RHH44" s="63"/>
      <c r="RHI44" s="63"/>
      <c r="RHJ44" s="63"/>
      <c r="RHK44" s="63"/>
      <c r="RHL44" s="63"/>
      <c r="RHM44" s="63"/>
      <c r="RHN44" s="63"/>
      <c r="RHO44" s="63"/>
      <c r="RHP44" s="63"/>
      <c r="RHQ44" s="63"/>
      <c r="RHR44" s="63"/>
      <c r="RHS44" s="63"/>
      <c r="RHT44" s="63"/>
      <c r="RHU44" s="63"/>
      <c r="RHV44" s="63"/>
      <c r="RHW44" s="63"/>
      <c r="RHX44" s="63"/>
      <c r="RHY44" s="63"/>
      <c r="RHZ44" s="63"/>
      <c r="RIA44" s="63"/>
      <c r="RIB44" s="63"/>
      <c r="RIC44" s="63"/>
      <c r="RID44" s="63"/>
      <c r="RIE44" s="63"/>
      <c r="RIF44" s="63"/>
      <c r="RIG44" s="63"/>
      <c r="RIH44" s="63"/>
      <c r="RII44" s="63"/>
      <c r="RIJ44" s="63"/>
      <c r="RIK44" s="63"/>
      <c r="RIL44" s="63"/>
      <c r="RIM44" s="63"/>
      <c r="RIN44" s="63"/>
      <c r="RIO44" s="63"/>
      <c r="RIP44" s="63"/>
      <c r="RIQ44" s="63"/>
      <c r="RIR44" s="63"/>
      <c r="RIS44" s="63"/>
      <c r="RIT44" s="63"/>
      <c r="RIU44" s="63"/>
      <c r="RIV44" s="63"/>
      <c r="RIW44" s="63"/>
      <c r="RIX44" s="63"/>
      <c r="RIY44" s="63"/>
      <c r="RIZ44" s="63"/>
      <c r="RJA44" s="63"/>
      <c r="RJB44" s="63"/>
      <c r="RJC44" s="63"/>
      <c r="RJD44" s="63"/>
      <c r="RJE44" s="63"/>
      <c r="RJF44" s="63"/>
      <c r="RJG44" s="63"/>
      <c r="RJH44" s="63"/>
      <c r="RJI44" s="63"/>
      <c r="RJJ44" s="63"/>
      <c r="RJK44" s="63"/>
      <c r="RJL44" s="63"/>
      <c r="RJM44" s="63"/>
      <c r="RJN44" s="63"/>
      <c r="RJO44" s="63"/>
      <c r="RJP44" s="63"/>
      <c r="RJQ44" s="63"/>
      <c r="RJR44" s="63"/>
      <c r="RJS44" s="63"/>
      <c r="RJT44" s="63"/>
      <c r="RJU44" s="63"/>
      <c r="RJV44" s="63"/>
      <c r="RJW44" s="63"/>
      <c r="RJX44" s="63"/>
      <c r="RJY44" s="63"/>
      <c r="RJZ44" s="63"/>
      <c r="RKA44" s="63"/>
      <c r="RKB44" s="63"/>
      <c r="RKC44" s="63"/>
      <c r="RKD44" s="63"/>
      <c r="RKE44" s="63"/>
      <c r="RKF44" s="63"/>
      <c r="RKG44" s="63"/>
      <c r="RKH44" s="63"/>
      <c r="RKI44" s="63"/>
      <c r="RKJ44" s="63"/>
      <c r="RKK44" s="63"/>
      <c r="RKL44" s="63"/>
      <c r="RKM44" s="63"/>
      <c r="RKN44" s="63"/>
      <c r="RKO44" s="63"/>
      <c r="RKP44" s="63"/>
      <c r="RKQ44" s="63"/>
      <c r="RKR44" s="63"/>
      <c r="RKS44" s="63"/>
      <c r="RKT44" s="63"/>
      <c r="RKU44" s="63"/>
      <c r="RKV44" s="63"/>
      <c r="RKW44" s="63"/>
      <c r="RKX44" s="63"/>
      <c r="RKY44" s="63"/>
      <c r="RKZ44" s="63"/>
      <c r="RLA44" s="63"/>
      <c r="RLB44" s="63"/>
      <c r="RLC44" s="63"/>
      <c r="RLD44" s="63"/>
      <c r="RLE44" s="63"/>
      <c r="RLF44" s="63"/>
      <c r="RLG44" s="63"/>
      <c r="RLH44" s="63"/>
      <c r="RLI44" s="63"/>
      <c r="RLJ44" s="63"/>
      <c r="RLK44" s="63"/>
      <c r="RLL44" s="63"/>
      <c r="RLM44" s="63"/>
      <c r="RLN44" s="63"/>
      <c r="RLO44" s="63"/>
      <c r="RLP44" s="63"/>
      <c r="RLQ44" s="63"/>
      <c r="RLR44" s="63"/>
      <c r="RLS44" s="63"/>
      <c r="RLT44" s="63"/>
      <c r="RLU44" s="63"/>
      <c r="RLV44" s="63"/>
      <c r="RLW44" s="63"/>
      <c r="RLX44" s="63"/>
      <c r="RLY44" s="63"/>
      <c r="RLZ44" s="63"/>
      <c r="RMA44" s="63"/>
      <c r="RMB44" s="63"/>
      <c r="RMC44" s="63"/>
      <c r="RMD44" s="63"/>
      <c r="RME44" s="63"/>
      <c r="RMF44" s="63"/>
      <c r="RMG44" s="63"/>
      <c r="RMH44" s="63"/>
      <c r="RMI44" s="63"/>
      <c r="RMJ44" s="63"/>
      <c r="RMK44" s="63"/>
      <c r="RML44" s="63"/>
      <c r="RMM44" s="63"/>
      <c r="RMN44" s="63"/>
      <c r="RMO44" s="63"/>
      <c r="RMP44" s="63"/>
      <c r="RMQ44" s="63"/>
      <c r="RMR44" s="63"/>
      <c r="RMS44" s="63"/>
      <c r="RMT44" s="63"/>
      <c r="RMU44" s="63"/>
      <c r="RMV44" s="63"/>
      <c r="RMW44" s="63"/>
      <c r="RMX44" s="63"/>
      <c r="RMY44" s="63"/>
      <c r="RMZ44" s="63"/>
      <c r="RNA44" s="63"/>
      <c r="RNB44" s="63"/>
      <c r="RNC44" s="63"/>
      <c r="RND44" s="63"/>
      <c r="RNE44" s="63"/>
      <c r="RNF44" s="63"/>
      <c r="RNG44" s="63"/>
      <c r="RNH44" s="63"/>
      <c r="RNI44" s="63"/>
      <c r="RNJ44" s="63"/>
      <c r="RNK44" s="63"/>
      <c r="RNL44" s="63"/>
      <c r="RNM44" s="63"/>
      <c r="RNN44" s="63"/>
      <c r="RNO44" s="63"/>
      <c r="RNP44" s="63"/>
      <c r="RNQ44" s="63"/>
      <c r="RNR44" s="63"/>
      <c r="RNS44" s="63"/>
      <c r="RNT44" s="63"/>
      <c r="RNU44" s="63"/>
      <c r="RNV44" s="63"/>
      <c r="RNW44" s="63"/>
      <c r="RNX44" s="63"/>
      <c r="RNY44" s="63"/>
      <c r="RNZ44" s="63"/>
      <c r="ROA44" s="63"/>
      <c r="ROB44" s="63"/>
      <c r="ROC44" s="63"/>
      <c r="ROD44" s="63"/>
      <c r="ROE44" s="63"/>
      <c r="ROF44" s="63"/>
      <c r="ROG44" s="63"/>
      <c r="ROH44" s="63"/>
      <c r="ROI44" s="63"/>
      <c r="ROJ44" s="63"/>
      <c r="ROK44" s="63"/>
      <c r="ROL44" s="63"/>
      <c r="ROM44" s="63"/>
      <c r="RON44" s="63"/>
      <c r="ROO44" s="63"/>
      <c r="ROP44" s="63"/>
      <c r="ROQ44" s="63"/>
      <c r="ROR44" s="63"/>
      <c r="ROS44" s="63"/>
      <c r="ROT44" s="63"/>
      <c r="ROU44" s="63"/>
      <c r="ROV44" s="63"/>
      <c r="ROW44" s="63"/>
      <c r="ROX44" s="63"/>
      <c r="ROY44" s="63"/>
      <c r="ROZ44" s="63"/>
      <c r="RPA44" s="63"/>
      <c r="RPB44" s="63"/>
      <c r="RPC44" s="63"/>
      <c r="RPD44" s="63"/>
      <c r="RPE44" s="63"/>
      <c r="RPF44" s="63"/>
      <c r="RPG44" s="63"/>
      <c r="RPH44" s="63"/>
      <c r="RPI44" s="63"/>
      <c r="RPJ44" s="63"/>
      <c r="RPK44" s="63"/>
      <c r="RPL44" s="63"/>
      <c r="RPM44" s="63"/>
      <c r="RPN44" s="63"/>
      <c r="RPO44" s="63"/>
      <c r="RPP44" s="63"/>
      <c r="RPQ44" s="63"/>
      <c r="RPR44" s="63"/>
      <c r="RPS44" s="63"/>
      <c r="RPT44" s="63"/>
      <c r="RPU44" s="63"/>
      <c r="RPV44" s="63"/>
      <c r="RPW44" s="63"/>
      <c r="RPX44" s="63"/>
      <c r="RPY44" s="63"/>
      <c r="RPZ44" s="63"/>
      <c r="RQA44" s="63"/>
      <c r="RQB44" s="63"/>
      <c r="RQC44" s="63"/>
      <c r="RQD44" s="63"/>
      <c r="RQE44" s="63"/>
      <c r="RQF44" s="63"/>
      <c r="RQG44" s="63"/>
      <c r="RQH44" s="63"/>
      <c r="RQI44" s="63"/>
      <c r="RQJ44" s="63"/>
      <c r="RQK44" s="63"/>
      <c r="RQL44" s="63"/>
      <c r="RQM44" s="63"/>
      <c r="RQN44" s="63"/>
      <c r="RQO44" s="63"/>
      <c r="RQP44" s="63"/>
      <c r="RQQ44" s="63"/>
      <c r="RQR44" s="63"/>
      <c r="RQS44" s="63"/>
      <c r="RQT44" s="63"/>
      <c r="RQU44" s="63"/>
      <c r="RQV44" s="63"/>
      <c r="RQW44" s="63"/>
      <c r="RQX44" s="63"/>
      <c r="RQY44" s="63"/>
      <c r="RQZ44" s="63"/>
      <c r="RRA44" s="63"/>
      <c r="RRB44" s="63"/>
      <c r="RRC44" s="63"/>
      <c r="RRD44" s="63"/>
      <c r="RRE44" s="63"/>
      <c r="RRF44" s="63"/>
      <c r="RRG44" s="63"/>
      <c r="RRH44" s="63"/>
      <c r="RRI44" s="63"/>
      <c r="RRJ44" s="63"/>
      <c r="RRK44" s="63"/>
      <c r="RRL44" s="63"/>
      <c r="RRM44" s="63"/>
      <c r="RRN44" s="63"/>
      <c r="RRO44" s="63"/>
      <c r="RRP44" s="63"/>
      <c r="RRQ44" s="63"/>
      <c r="RRR44" s="63"/>
      <c r="RRS44" s="63"/>
      <c r="RRT44" s="63"/>
      <c r="RRU44" s="63"/>
      <c r="RRV44" s="63"/>
      <c r="RRW44" s="63"/>
      <c r="RRX44" s="63"/>
      <c r="RRY44" s="63"/>
      <c r="RRZ44" s="63"/>
      <c r="RSA44" s="63"/>
      <c r="RSB44" s="63"/>
      <c r="RSC44" s="63"/>
      <c r="RSD44" s="63"/>
      <c r="RSE44" s="63"/>
      <c r="RSF44" s="63"/>
      <c r="RSG44" s="63"/>
      <c r="RSH44" s="63"/>
      <c r="RSI44" s="63"/>
      <c r="RSJ44" s="63"/>
      <c r="RSK44" s="63"/>
      <c r="RSL44" s="63"/>
      <c r="RSM44" s="63"/>
      <c r="RSN44" s="63"/>
      <c r="RSO44" s="63"/>
      <c r="RSP44" s="63"/>
      <c r="RSQ44" s="63"/>
      <c r="RSR44" s="63"/>
      <c r="RSS44" s="63"/>
      <c r="RST44" s="63"/>
      <c r="RSU44" s="63"/>
      <c r="RSV44" s="63"/>
      <c r="RSW44" s="63"/>
      <c r="RSX44" s="63"/>
      <c r="RSY44" s="63"/>
      <c r="RSZ44" s="63"/>
      <c r="RTA44" s="63"/>
      <c r="RTB44" s="63"/>
      <c r="RTC44" s="63"/>
      <c r="RTD44" s="63"/>
      <c r="RTE44" s="63"/>
      <c r="RTF44" s="63"/>
      <c r="RTG44" s="63"/>
      <c r="RTH44" s="63"/>
      <c r="RTI44" s="63"/>
      <c r="RTJ44" s="63"/>
      <c r="RTK44" s="63"/>
      <c r="RTL44" s="63"/>
      <c r="RTM44" s="63"/>
      <c r="RTN44" s="63"/>
      <c r="RTO44" s="63"/>
      <c r="RTP44" s="63"/>
      <c r="RTQ44" s="63"/>
      <c r="RTR44" s="63"/>
      <c r="RTS44" s="63"/>
      <c r="RTT44" s="63"/>
      <c r="RTU44" s="63"/>
      <c r="RTV44" s="63"/>
      <c r="RTW44" s="63"/>
      <c r="RTX44" s="63"/>
      <c r="RTY44" s="63"/>
      <c r="RTZ44" s="63"/>
      <c r="RUA44" s="63"/>
      <c r="RUB44" s="63"/>
      <c r="RUC44" s="63"/>
      <c r="RUD44" s="63"/>
      <c r="RUE44" s="63"/>
      <c r="RUF44" s="63"/>
      <c r="RUG44" s="63"/>
      <c r="RUH44" s="63"/>
      <c r="RUI44" s="63"/>
      <c r="RUJ44" s="63"/>
      <c r="RUK44" s="63"/>
      <c r="RUL44" s="63"/>
      <c r="RUM44" s="63"/>
      <c r="RUN44" s="63"/>
      <c r="RUO44" s="63"/>
      <c r="RUP44" s="63"/>
      <c r="RUQ44" s="63"/>
      <c r="RUR44" s="63"/>
      <c r="RUS44" s="63"/>
      <c r="RUT44" s="63"/>
      <c r="RUU44" s="63"/>
      <c r="RUV44" s="63"/>
      <c r="RUW44" s="63"/>
      <c r="RUX44" s="63"/>
      <c r="RUY44" s="63"/>
      <c r="RUZ44" s="63"/>
      <c r="RVA44" s="63"/>
      <c r="RVB44" s="63"/>
      <c r="RVC44" s="63"/>
      <c r="RVD44" s="63"/>
      <c r="RVE44" s="63"/>
      <c r="RVF44" s="63"/>
      <c r="RVG44" s="63"/>
      <c r="RVH44" s="63"/>
      <c r="RVI44" s="63"/>
      <c r="RVJ44" s="63"/>
      <c r="RVK44" s="63"/>
      <c r="RVL44" s="63"/>
      <c r="RVM44" s="63"/>
      <c r="RVN44" s="63"/>
      <c r="RVO44" s="63"/>
      <c r="RVP44" s="63"/>
      <c r="RVQ44" s="63"/>
      <c r="RVR44" s="63"/>
      <c r="RVS44" s="63"/>
      <c r="RVT44" s="63"/>
      <c r="RVU44" s="63"/>
      <c r="RVV44" s="63"/>
      <c r="RVW44" s="63"/>
      <c r="RVX44" s="63"/>
      <c r="RVY44" s="63"/>
      <c r="RVZ44" s="63"/>
      <c r="RWA44" s="63"/>
      <c r="RWB44" s="63"/>
      <c r="RWC44" s="63"/>
      <c r="RWD44" s="63"/>
      <c r="RWE44" s="63"/>
      <c r="RWF44" s="63"/>
      <c r="RWG44" s="63"/>
      <c r="RWH44" s="63"/>
      <c r="RWI44" s="63"/>
      <c r="RWJ44" s="63"/>
      <c r="RWK44" s="63"/>
      <c r="RWL44" s="63"/>
      <c r="RWM44" s="63"/>
      <c r="RWN44" s="63"/>
      <c r="RWO44" s="63"/>
      <c r="RWP44" s="63"/>
      <c r="RWQ44" s="63"/>
      <c r="RWR44" s="63"/>
      <c r="RWS44" s="63"/>
      <c r="RWT44" s="63"/>
      <c r="RWU44" s="63"/>
      <c r="RWV44" s="63"/>
      <c r="RWW44" s="63"/>
      <c r="RWX44" s="63"/>
      <c r="RWY44" s="63"/>
      <c r="RWZ44" s="63"/>
      <c r="RXA44" s="63"/>
      <c r="RXB44" s="63"/>
      <c r="RXC44" s="63"/>
      <c r="RXD44" s="63"/>
      <c r="RXE44" s="63"/>
      <c r="RXF44" s="63"/>
      <c r="RXG44" s="63"/>
      <c r="RXH44" s="63"/>
      <c r="RXI44" s="63"/>
      <c r="RXJ44" s="63"/>
      <c r="RXK44" s="63"/>
      <c r="RXL44" s="63"/>
      <c r="RXM44" s="63"/>
      <c r="RXN44" s="63"/>
      <c r="RXO44" s="63"/>
      <c r="RXP44" s="63"/>
      <c r="RXQ44" s="63"/>
      <c r="RXR44" s="63"/>
      <c r="RXS44" s="63"/>
      <c r="RXT44" s="63"/>
      <c r="RXU44" s="63"/>
      <c r="RXV44" s="63"/>
      <c r="RXW44" s="63"/>
      <c r="RXX44" s="63"/>
      <c r="RXY44" s="63"/>
      <c r="RXZ44" s="63"/>
      <c r="RYA44" s="63"/>
      <c r="RYB44" s="63"/>
      <c r="RYC44" s="63"/>
      <c r="RYD44" s="63"/>
      <c r="RYE44" s="63"/>
      <c r="RYF44" s="63"/>
      <c r="RYG44" s="63"/>
      <c r="RYH44" s="63"/>
      <c r="RYI44" s="63"/>
      <c r="RYJ44" s="63"/>
      <c r="RYK44" s="63"/>
      <c r="RYL44" s="63"/>
      <c r="RYM44" s="63"/>
      <c r="RYN44" s="63"/>
      <c r="RYO44" s="63"/>
      <c r="RYP44" s="63"/>
      <c r="RYQ44" s="63"/>
      <c r="RYR44" s="63"/>
      <c r="RYS44" s="63"/>
      <c r="RYT44" s="63"/>
      <c r="RYU44" s="63"/>
      <c r="RYV44" s="63"/>
      <c r="RYW44" s="63"/>
      <c r="RYX44" s="63"/>
      <c r="RYY44" s="63"/>
      <c r="RYZ44" s="63"/>
      <c r="RZA44" s="63"/>
      <c r="RZB44" s="63"/>
      <c r="RZC44" s="63"/>
      <c r="RZD44" s="63"/>
      <c r="RZE44" s="63"/>
      <c r="RZF44" s="63"/>
      <c r="RZG44" s="63"/>
      <c r="RZH44" s="63"/>
      <c r="RZI44" s="63"/>
      <c r="RZJ44" s="63"/>
      <c r="RZK44" s="63"/>
      <c r="RZL44" s="63"/>
      <c r="RZM44" s="63"/>
      <c r="RZN44" s="63"/>
      <c r="RZO44" s="63"/>
      <c r="RZP44" s="63"/>
      <c r="RZQ44" s="63"/>
      <c r="RZR44" s="63"/>
      <c r="RZS44" s="63"/>
      <c r="RZT44" s="63"/>
      <c r="RZU44" s="63"/>
      <c r="RZV44" s="63"/>
      <c r="RZW44" s="63"/>
      <c r="RZX44" s="63"/>
      <c r="RZY44" s="63"/>
      <c r="RZZ44" s="63"/>
      <c r="SAA44" s="63"/>
      <c r="SAB44" s="63"/>
      <c r="SAC44" s="63"/>
      <c r="SAD44" s="63"/>
      <c r="SAE44" s="63"/>
      <c r="SAF44" s="63"/>
      <c r="SAG44" s="63"/>
      <c r="SAH44" s="63"/>
      <c r="SAI44" s="63"/>
      <c r="SAJ44" s="63"/>
      <c r="SAK44" s="63"/>
      <c r="SAL44" s="63"/>
      <c r="SAM44" s="63"/>
      <c r="SAN44" s="63"/>
      <c r="SAO44" s="63"/>
      <c r="SAP44" s="63"/>
      <c r="SAQ44" s="63"/>
      <c r="SAR44" s="63"/>
      <c r="SAS44" s="63"/>
      <c r="SAT44" s="63"/>
      <c r="SAU44" s="63"/>
      <c r="SAV44" s="63"/>
      <c r="SAW44" s="63"/>
      <c r="SAX44" s="63"/>
      <c r="SAY44" s="63"/>
      <c r="SAZ44" s="63"/>
      <c r="SBA44" s="63"/>
      <c r="SBB44" s="63"/>
      <c r="SBC44" s="63"/>
      <c r="SBD44" s="63"/>
      <c r="SBE44" s="63"/>
      <c r="SBF44" s="63"/>
      <c r="SBG44" s="63"/>
      <c r="SBH44" s="63"/>
      <c r="SBI44" s="63"/>
      <c r="SBJ44" s="63"/>
      <c r="SBK44" s="63"/>
      <c r="SBL44" s="63"/>
      <c r="SBM44" s="63"/>
      <c r="SBN44" s="63"/>
      <c r="SBO44" s="63"/>
      <c r="SBP44" s="63"/>
      <c r="SBQ44" s="63"/>
      <c r="SBR44" s="63"/>
      <c r="SBS44" s="63"/>
      <c r="SBT44" s="63"/>
      <c r="SBU44" s="63"/>
      <c r="SBV44" s="63"/>
      <c r="SBW44" s="63"/>
      <c r="SBX44" s="63"/>
      <c r="SBY44" s="63"/>
      <c r="SBZ44" s="63"/>
      <c r="SCA44" s="63"/>
      <c r="SCB44" s="63"/>
      <c r="SCC44" s="63"/>
      <c r="SCD44" s="63"/>
      <c r="SCE44" s="63"/>
      <c r="SCF44" s="63"/>
      <c r="SCG44" s="63"/>
      <c r="SCH44" s="63"/>
      <c r="SCI44" s="63"/>
      <c r="SCJ44" s="63"/>
      <c r="SCK44" s="63"/>
      <c r="SCL44" s="63"/>
      <c r="SCM44" s="63"/>
      <c r="SCN44" s="63"/>
      <c r="SCO44" s="63"/>
      <c r="SCP44" s="63"/>
      <c r="SCQ44" s="63"/>
      <c r="SCR44" s="63"/>
      <c r="SCS44" s="63"/>
      <c r="SCT44" s="63"/>
      <c r="SCU44" s="63"/>
      <c r="SCV44" s="63"/>
      <c r="SCW44" s="63"/>
      <c r="SCX44" s="63"/>
      <c r="SCY44" s="63"/>
      <c r="SCZ44" s="63"/>
      <c r="SDA44" s="63"/>
      <c r="SDB44" s="63"/>
      <c r="SDC44" s="63"/>
      <c r="SDD44" s="63"/>
      <c r="SDE44" s="63"/>
      <c r="SDF44" s="63"/>
      <c r="SDG44" s="63"/>
      <c r="SDH44" s="63"/>
      <c r="SDI44" s="63"/>
      <c r="SDJ44" s="63"/>
      <c r="SDK44" s="63"/>
      <c r="SDL44" s="63"/>
      <c r="SDM44" s="63"/>
      <c r="SDN44" s="63"/>
      <c r="SDO44" s="63"/>
      <c r="SDP44" s="63"/>
      <c r="SDQ44" s="63"/>
      <c r="SDR44" s="63"/>
      <c r="SDS44" s="63"/>
      <c r="SDT44" s="63"/>
      <c r="SDU44" s="63"/>
      <c r="SDV44" s="63"/>
      <c r="SDW44" s="63"/>
      <c r="SDX44" s="63"/>
      <c r="SDY44" s="63"/>
      <c r="SDZ44" s="63"/>
      <c r="SEA44" s="63"/>
      <c r="SEB44" s="63"/>
      <c r="SEC44" s="63"/>
      <c r="SED44" s="63"/>
      <c r="SEE44" s="63"/>
      <c r="SEF44" s="63"/>
      <c r="SEG44" s="63"/>
      <c r="SEH44" s="63"/>
      <c r="SEI44" s="63"/>
      <c r="SEJ44" s="63"/>
      <c r="SEK44" s="63"/>
      <c r="SEL44" s="63"/>
      <c r="SEM44" s="63"/>
      <c r="SEN44" s="63"/>
      <c r="SEO44" s="63"/>
      <c r="SEP44" s="63"/>
      <c r="SEQ44" s="63"/>
      <c r="SER44" s="63"/>
      <c r="SES44" s="63"/>
      <c r="SET44" s="63"/>
      <c r="SEU44" s="63"/>
      <c r="SEV44" s="63"/>
      <c r="SEW44" s="63"/>
      <c r="SEX44" s="63"/>
      <c r="SEY44" s="63"/>
      <c r="SEZ44" s="63"/>
      <c r="SFA44" s="63"/>
      <c r="SFB44" s="63"/>
      <c r="SFC44" s="63"/>
      <c r="SFD44" s="63"/>
      <c r="SFE44" s="63"/>
      <c r="SFF44" s="63"/>
      <c r="SFG44" s="63"/>
      <c r="SFH44" s="63"/>
      <c r="SFI44" s="63"/>
      <c r="SFJ44" s="63"/>
      <c r="SFK44" s="63"/>
      <c r="SFL44" s="63"/>
      <c r="SFM44" s="63"/>
      <c r="SFN44" s="63"/>
      <c r="SFO44" s="63"/>
      <c r="SFP44" s="63"/>
      <c r="SFQ44" s="63"/>
      <c r="SFR44" s="63"/>
      <c r="SFS44" s="63"/>
      <c r="SFT44" s="63"/>
      <c r="SFU44" s="63"/>
      <c r="SFV44" s="63"/>
      <c r="SFW44" s="63"/>
      <c r="SFX44" s="63"/>
      <c r="SFY44" s="63"/>
      <c r="SFZ44" s="63"/>
      <c r="SGA44" s="63"/>
      <c r="SGB44" s="63"/>
      <c r="SGC44" s="63"/>
      <c r="SGD44" s="63"/>
      <c r="SGE44" s="63"/>
      <c r="SGF44" s="63"/>
      <c r="SGG44" s="63"/>
      <c r="SGH44" s="63"/>
      <c r="SGI44" s="63"/>
      <c r="SGJ44" s="63"/>
      <c r="SGK44" s="63"/>
      <c r="SGL44" s="63"/>
      <c r="SGM44" s="63"/>
      <c r="SGN44" s="63"/>
      <c r="SGO44" s="63"/>
      <c r="SGP44" s="63"/>
      <c r="SGQ44" s="63"/>
      <c r="SGR44" s="63"/>
      <c r="SGS44" s="63"/>
      <c r="SGT44" s="63"/>
      <c r="SGU44" s="63"/>
      <c r="SGV44" s="63"/>
      <c r="SGW44" s="63"/>
      <c r="SGX44" s="63"/>
      <c r="SGY44" s="63"/>
      <c r="SGZ44" s="63"/>
      <c r="SHA44" s="63"/>
      <c r="SHB44" s="63"/>
      <c r="SHC44" s="63"/>
      <c r="SHD44" s="63"/>
      <c r="SHE44" s="63"/>
      <c r="SHF44" s="63"/>
      <c r="SHG44" s="63"/>
      <c r="SHH44" s="63"/>
      <c r="SHI44" s="63"/>
      <c r="SHJ44" s="63"/>
      <c r="SHK44" s="63"/>
      <c r="SHL44" s="63"/>
      <c r="SHM44" s="63"/>
      <c r="SHN44" s="63"/>
      <c r="SHO44" s="63"/>
      <c r="SHP44" s="63"/>
      <c r="SHQ44" s="63"/>
      <c r="SHR44" s="63"/>
      <c r="SHS44" s="63"/>
      <c r="SHT44" s="63"/>
      <c r="SHU44" s="63"/>
      <c r="SHV44" s="63"/>
      <c r="SHW44" s="63"/>
      <c r="SHX44" s="63"/>
      <c r="SHY44" s="63"/>
      <c r="SHZ44" s="63"/>
      <c r="SIA44" s="63"/>
      <c r="SIB44" s="63"/>
      <c r="SIC44" s="63"/>
      <c r="SID44" s="63"/>
      <c r="SIE44" s="63"/>
      <c r="SIF44" s="63"/>
      <c r="SIG44" s="63"/>
      <c r="SIH44" s="63"/>
      <c r="SII44" s="63"/>
      <c r="SIJ44" s="63"/>
      <c r="SIK44" s="63"/>
      <c r="SIL44" s="63"/>
      <c r="SIM44" s="63"/>
      <c r="SIN44" s="63"/>
      <c r="SIO44" s="63"/>
      <c r="SIP44" s="63"/>
      <c r="SIQ44" s="63"/>
      <c r="SIR44" s="63"/>
      <c r="SIS44" s="63"/>
      <c r="SIT44" s="63"/>
      <c r="SIU44" s="63"/>
      <c r="SIV44" s="63"/>
      <c r="SIW44" s="63"/>
      <c r="SIX44" s="63"/>
      <c r="SIY44" s="63"/>
      <c r="SIZ44" s="63"/>
      <c r="SJA44" s="63"/>
      <c r="SJB44" s="63"/>
      <c r="SJC44" s="63"/>
      <c r="SJD44" s="63"/>
      <c r="SJE44" s="63"/>
      <c r="SJF44" s="63"/>
      <c r="SJG44" s="63"/>
      <c r="SJH44" s="63"/>
      <c r="SJI44" s="63"/>
      <c r="SJJ44" s="63"/>
      <c r="SJK44" s="63"/>
      <c r="SJL44" s="63"/>
      <c r="SJM44" s="63"/>
      <c r="SJN44" s="63"/>
      <c r="SJO44" s="63"/>
      <c r="SJP44" s="63"/>
      <c r="SJQ44" s="63"/>
      <c r="SJR44" s="63"/>
      <c r="SJS44" s="63"/>
      <c r="SJT44" s="63"/>
      <c r="SJU44" s="63"/>
      <c r="SJV44" s="63"/>
      <c r="SJW44" s="63"/>
      <c r="SJX44" s="63"/>
      <c r="SJY44" s="63"/>
      <c r="SJZ44" s="63"/>
      <c r="SKA44" s="63"/>
      <c r="SKB44" s="63"/>
      <c r="SKC44" s="63"/>
      <c r="SKD44" s="63"/>
      <c r="SKE44" s="63"/>
      <c r="SKF44" s="63"/>
      <c r="SKG44" s="63"/>
      <c r="SKH44" s="63"/>
      <c r="SKI44" s="63"/>
      <c r="SKJ44" s="63"/>
      <c r="SKK44" s="63"/>
      <c r="SKL44" s="63"/>
      <c r="SKM44" s="63"/>
      <c r="SKN44" s="63"/>
      <c r="SKO44" s="63"/>
      <c r="SKP44" s="63"/>
      <c r="SKQ44" s="63"/>
      <c r="SKR44" s="63"/>
      <c r="SKS44" s="63"/>
      <c r="SKT44" s="63"/>
      <c r="SKU44" s="63"/>
      <c r="SKV44" s="63"/>
      <c r="SKW44" s="63"/>
      <c r="SKX44" s="63"/>
      <c r="SKY44" s="63"/>
      <c r="SKZ44" s="63"/>
      <c r="SLA44" s="63"/>
      <c r="SLB44" s="63"/>
      <c r="SLC44" s="63"/>
      <c r="SLD44" s="63"/>
      <c r="SLE44" s="63"/>
      <c r="SLF44" s="63"/>
      <c r="SLG44" s="63"/>
      <c r="SLH44" s="63"/>
      <c r="SLI44" s="63"/>
      <c r="SLJ44" s="63"/>
      <c r="SLK44" s="63"/>
      <c r="SLL44" s="63"/>
      <c r="SLM44" s="63"/>
      <c r="SLN44" s="63"/>
      <c r="SLO44" s="63"/>
      <c r="SLP44" s="63"/>
      <c r="SLQ44" s="63"/>
      <c r="SLR44" s="63"/>
      <c r="SLS44" s="63"/>
      <c r="SLT44" s="63"/>
      <c r="SLU44" s="63"/>
      <c r="SLV44" s="63"/>
      <c r="SLW44" s="63"/>
      <c r="SLX44" s="63"/>
      <c r="SLY44" s="63"/>
      <c r="SLZ44" s="63"/>
      <c r="SMA44" s="63"/>
      <c r="SMB44" s="63"/>
      <c r="SMC44" s="63"/>
      <c r="SMD44" s="63"/>
      <c r="SME44" s="63"/>
      <c r="SMF44" s="63"/>
      <c r="SMG44" s="63"/>
      <c r="SMH44" s="63"/>
      <c r="SMI44" s="63"/>
      <c r="SMJ44" s="63"/>
      <c r="SMK44" s="63"/>
      <c r="SML44" s="63"/>
      <c r="SMM44" s="63"/>
      <c r="SMN44" s="63"/>
      <c r="SMO44" s="63"/>
      <c r="SMP44" s="63"/>
      <c r="SMQ44" s="63"/>
      <c r="SMR44" s="63"/>
      <c r="SMS44" s="63"/>
      <c r="SMT44" s="63"/>
      <c r="SMU44" s="63"/>
      <c r="SMV44" s="63"/>
      <c r="SMW44" s="63"/>
      <c r="SMX44" s="63"/>
      <c r="SMY44" s="63"/>
      <c r="SMZ44" s="63"/>
      <c r="SNA44" s="63"/>
      <c r="SNB44" s="63"/>
      <c r="SNC44" s="63"/>
      <c r="SND44" s="63"/>
      <c r="SNE44" s="63"/>
      <c r="SNF44" s="63"/>
      <c r="SNG44" s="63"/>
      <c r="SNH44" s="63"/>
      <c r="SNI44" s="63"/>
      <c r="SNJ44" s="63"/>
      <c r="SNK44" s="63"/>
      <c r="SNL44" s="63"/>
      <c r="SNM44" s="63"/>
      <c r="SNN44" s="63"/>
      <c r="SNO44" s="63"/>
      <c r="SNP44" s="63"/>
      <c r="SNQ44" s="63"/>
      <c r="SNR44" s="63"/>
      <c r="SNS44" s="63"/>
      <c r="SNT44" s="63"/>
      <c r="SNU44" s="63"/>
      <c r="SNV44" s="63"/>
      <c r="SNW44" s="63"/>
      <c r="SNX44" s="63"/>
      <c r="SNY44" s="63"/>
      <c r="SNZ44" s="63"/>
      <c r="SOA44" s="63"/>
      <c r="SOB44" s="63"/>
      <c r="SOC44" s="63"/>
      <c r="SOD44" s="63"/>
      <c r="SOE44" s="63"/>
      <c r="SOF44" s="63"/>
      <c r="SOG44" s="63"/>
      <c r="SOH44" s="63"/>
      <c r="SOI44" s="63"/>
      <c r="SOJ44" s="63"/>
      <c r="SOK44" s="63"/>
      <c r="SOL44" s="63"/>
      <c r="SOM44" s="63"/>
      <c r="SON44" s="63"/>
      <c r="SOO44" s="63"/>
      <c r="SOP44" s="63"/>
      <c r="SOQ44" s="63"/>
      <c r="SOR44" s="63"/>
      <c r="SOS44" s="63"/>
      <c r="SOT44" s="63"/>
      <c r="SOU44" s="63"/>
      <c r="SOV44" s="63"/>
      <c r="SOW44" s="63"/>
      <c r="SOX44" s="63"/>
      <c r="SOY44" s="63"/>
      <c r="SOZ44" s="63"/>
      <c r="SPA44" s="63"/>
      <c r="SPB44" s="63"/>
      <c r="SPC44" s="63"/>
      <c r="SPD44" s="63"/>
      <c r="SPE44" s="63"/>
      <c r="SPF44" s="63"/>
      <c r="SPG44" s="63"/>
      <c r="SPH44" s="63"/>
      <c r="SPI44" s="63"/>
      <c r="SPJ44" s="63"/>
      <c r="SPK44" s="63"/>
      <c r="SPL44" s="63"/>
      <c r="SPM44" s="63"/>
      <c r="SPN44" s="63"/>
      <c r="SPO44" s="63"/>
      <c r="SPP44" s="63"/>
      <c r="SPQ44" s="63"/>
      <c r="SPR44" s="63"/>
      <c r="SPS44" s="63"/>
      <c r="SPT44" s="63"/>
      <c r="SPU44" s="63"/>
      <c r="SPV44" s="63"/>
      <c r="SPW44" s="63"/>
      <c r="SPX44" s="63"/>
      <c r="SPY44" s="63"/>
      <c r="SPZ44" s="63"/>
      <c r="SQA44" s="63"/>
      <c r="SQB44" s="63"/>
      <c r="SQC44" s="63"/>
      <c r="SQD44" s="63"/>
      <c r="SQE44" s="63"/>
      <c r="SQF44" s="63"/>
      <c r="SQG44" s="63"/>
      <c r="SQH44" s="63"/>
      <c r="SQI44" s="63"/>
      <c r="SQJ44" s="63"/>
      <c r="SQK44" s="63"/>
      <c r="SQL44" s="63"/>
      <c r="SQM44" s="63"/>
      <c r="SQN44" s="63"/>
      <c r="SQO44" s="63"/>
      <c r="SQP44" s="63"/>
      <c r="SQQ44" s="63"/>
      <c r="SQR44" s="63"/>
      <c r="SQS44" s="63"/>
      <c r="SQT44" s="63"/>
      <c r="SQU44" s="63"/>
      <c r="SQV44" s="63"/>
      <c r="SQW44" s="63"/>
      <c r="SQX44" s="63"/>
      <c r="SQY44" s="63"/>
      <c r="SQZ44" s="63"/>
      <c r="SRA44" s="63"/>
      <c r="SRB44" s="63"/>
      <c r="SRC44" s="63"/>
      <c r="SRD44" s="63"/>
      <c r="SRE44" s="63"/>
      <c r="SRF44" s="63"/>
      <c r="SRG44" s="63"/>
      <c r="SRH44" s="63"/>
      <c r="SRI44" s="63"/>
      <c r="SRJ44" s="63"/>
      <c r="SRK44" s="63"/>
      <c r="SRL44" s="63"/>
      <c r="SRM44" s="63"/>
      <c r="SRN44" s="63"/>
      <c r="SRO44" s="63"/>
      <c r="SRP44" s="63"/>
      <c r="SRQ44" s="63"/>
      <c r="SRR44" s="63"/>
      <c r="SRS44" s="63"/>
      <c r="SRT44" s="63"/>
      <c r="SRU44" s="63"/>
      <c r="SRV44" s="63"/>
      <c r="SRW44" s="63"/>
      <c r="SRX44" s="63"/>
      <c r="SRY44" s="63"/>
      <c r="SRZ44" s="63"/>
      <c r="SSA44" s="63"/>
      <c r="SSB44" s="63"/>
      <c r="SSC44" s="63"/>
      <c r="SSD44" s="63"/>
      <c r="SSE44" s="63"/>
      <c r="SSF44" s="63"/>
      <c r="SSG44" s="63"/>
      <c r="SSH44" s="63"/>
      <c r="SSI44" s="63"/>
      <c r="SSJ44" s="63"/>
      <c r="SSK44" s="63"/>
      <c r="SSL44" s="63"/>
      <c r="SSM44" s="63"/>
      <c r="SSN44" s="63"/>
      <c r="SSO44" s="63"/>
      <c r="SSP44" s="63"/>
      <c r="SSQ44" s="63"/>
      <c r="SSR44" s="63"/>
      <c r="SSS44" s="63"/>
      <c r="SST44" s="63"/>
      <c r="SSU44" s="63"/>
      <c r="SSV44" s="63"/>
      <c r="SSW44" s="63"/>
      <c r="SSX44" s="63"/>
      <c r="SSY44" s="63"/>
      <c r="SSZ44" s="63"/>
      <c r="STA44" s="63"/>
      <c r="STB44" s="63"/>
      <c r="STC44" s="63"/>
      <c r="STD44" s="63"/>
      <c r="STE44" s="63"/>
      <c r="STF44" s="63"/>
      <c r="STG44" s="63"/>
      <c r="STH44" s="63"/>
      <c r="STI44" s="63"/>
      <c r="STJ44" s="63"/>
      <c r="STK44" s="63"/>
      <c r="STL44" s="63"/>
      <c r="STM44" s="63"/>
      <c r="STN44" s="63"/>
      <c r="STO44" s="63"/>
      <c r="STP44" s="63"/>
      <c r="STQ44" s="63"/>
      <c r="STR44" s="63"/>
      <c r="STS44" s="63"/>
      <c r="STT44" s="63"/>
      <c r="STU44" s="63"/>
      <c r="STV44" s="63"/>
      <c r="STW44" s="63"/>
      <c r="STX44" s="63"/>
      <c r="STY44" s="63"/>
      <c r="STZ44" s="63"/>
      <c r="SUA44" s="63"/>
      <c r="SUB44" s="63"/>
      <c r="SUC44" s="63"/>
      <c r="SUD44" s="63"/>
      <c r="SUE44" s="63"/>
      <c r="SUF44" s="63"/>
      <c r="SUG44" s="63"/>
      <c r="SUH44" s="63"/>
      <c r="SUI44" s="63"/>
      <c r="SUJ44" s="63"/>
      <c r="SUK44" s="63"/>
      <c r="SUL44" s="63"/>
      <c r="SUM44" s="63"/>
      <c r="SUN44" s="63"/>
      <c r="SUO44" s="63"/>
      <c r="SUP44" s="63"/>
      <c r="SUQ44" s="63"/>
      <c r="SUR44" s="63"/>
      <c r="SUS44" s="63"/>
      <c r="SUT44" s="63"/>
      <c r="SUU44" s="63"/>
      <c r="SUV44" s="63"/>
      <c r="SUW44" s="63"/>
      <c r="SUX44" s="63"/>
      <c r="SUY44" s="63"/>
      <c r="SUZ44" s="63"/>
      <c r="SVA44" s="63"/>
      <c r="SVB44" s="63"/>
      <c r="SVC44" s="63"/>
      <c r="SVD44" s="63"/>
      <c r="SVE44" s="63"/>
      <c r="SVF44" s="63"/>
      <c r="SVG44" s="63"/>
      <c r="SVH44" s="63"/>
      <c r="SVI44" s="63"/>
      <c r="SVJ44" s="63"/>
      <c r="SVK44" s="63"/>
      <c r="SVL44" s="63"/>
      <c r="SVM44" s="63"/>
      <c r="SVN44" s="63"/>
      <c r="SVO44" s="63"/>
      <c r="SVP44" s="63"/>
      <c r="SVQ44" s="63"/>
      <c r="SVR44" s="63"/>
      <c r="SVS44" s="63"/>
      <c r="SVT44" s="63"/>
      <c r="SVU44" s="63"/>
      <c r="SVV44" s="63"/>
      <c r="SVW44" s="63"/>
      <c r="SVX44" s="63"/>
      <c r="SVY44" s="63"/>
      <c r="SVZ44" s="63"/>
      <c r="SWA44" s="63"/>
      <c r="SWB44" s="63"/>
      <c r="SWC44" s="63"/>
      <c r="SWD44" s="63"/>
      <c r="SWE44" s="63"/>
      <c r="SWF44" s="63"/>
      <c r="SWG44" s="63"/>
      <c r="SWH44" s="63"/>
      <c r="SWI44" s="63"/>
      <c r="SWJ44" s="63"/>
      <c r="SWK44" s="63"/>
      <c r="SWL44" s="63"/>
      <c r="SWM44" s="63"/>
      <c r="SWN44" s="63"/>
      <c r="SWO44" s="63"/>
      <c r="SWP44" s="63"/>
      <c r="SWQ44" s="63"/>
      <c r="SWR44" s="63"/>
      <c r="SWS44" s="63"/>
      <c r="SWT44" s="63"/>
      <c r="SWU44" s="63"/>
      <c r="SWV44" s="63"/>
      <c r="SWW44" s="63"/>
      <c r="SWX44" s="63"/>
      <c r="SWY44" s="63"/>
      <c r="SWZ44" s="63"/>
      <c r="SXA44" s="63"/>
      <c r="SXB44" s="63"/>
      <c r="SXC44" s="63"/>
      <c r="SXD44" s="63"/>
      <c r="SXE44" s="63"/>
      <c r="SXF44" s="63"/>
      <c r="SXG44" s="63"/>
      <c r="SXH44" s="63"/>
      <c r="SXI44" s="63"/>
      <c r="SXJ44" s="63"/>
      <c r="SXK44" s="63"/>
      <c r="SXL44" s="63"/>
      <c r="SXM44" s="63"/>
      <c r="SXN44" s="63"/>
      <c r="SXO44" s="63"/>
      <c r="SXP44" s="63"/>
      <c r="SXQ44" s="63"/>
      <c r="SXR44" s="63"/>
      <c r="SXS44" s="63"/>
      <c r="SXT44" s="63"/>
      <c r="SXU44" s="63"/>
      <c r="SXV44" s="63"/>
      <c r="SXW44" s="63"/>
      <c r="SXX44" s="63"/>
      <c r="SXY44" s="63"/>
      <c r="SXZ44" s="63"/>
      <c r="SYA44" s="63"/>
      <c r="SYB44" s="63"/>
      <c r="SYC44" s="63"/>
      <c r="SYD44" s="63"/>
      <c r="SYE44" s="63"/>
      <c r="SYF44" s="63"/>
      <c r="SYG44" s="63"/>
      <c r="SYH44" s="63"/>
      <c r="SYI44" s="63"/>
      <c r="SYJ44" s="63"/>
      <c r="SYK44" s="63"/>
      <c r="SYL44" s="63"/>
      <c r="SYM44" s="63"/>
      <c r="SYN44" s="63"/>
      <c r="SYO44" s="63"/>
      <c r="SYP44" s="63"/>
      <c r="SYQ44" s="63"/>
      <c r="SYR44" s="63"/>
      <c r="SYS44" s="63"/>
      <c r="SYT44" s="63"/>
      <c r="SYU44" s="63"/>
      <c r="SYV44" s="63"/>
      <c r="SYW44" s="63"/>
      <c r="SYX44" s="63"/>
      <c r="SYY44" s="63"/>
      <c r="SYZ44" s="63"/>
      <c r="SZA44" s="63"/>
      <c r="SZB44" s="63"/>
      <c r="SZC44" s="63"/>
      <c r="SZD44" s="63"/>
      <c r="SZE44" s="63"/>
      <c r="SZF44" s="63"/>
      <c r="SZG44" s="63"/>
      <c r="SZH44" s="63"/>
      <c r="SZI44" s="63"/>
      <c r="SZJ44" s="63"/>
      <c r="SZK44" s="63"/>
      <c r="SZL44" s="63"/>
      <c r="SZM44" s="63"/>
      <c r="SZN44" s="63"/>
      <c r="SZO44" s="63"/>
      <c r="SZP44" s="63"/>
      <c r="SZQ44" s="63"/>
      <c r="SZR44" s="63"/>
      <c r="SZS44" s="63"/>
      <c r="SZT44" s="63"/>
      <c r="SZU44" s="63"/>
      <c r="SZV44" s="63"/>
      <c r="SZW44" s="63"/>
      <c r="SZX44" s="63"/>
      <c r="SZY44" s="63"/>
      <c r="SZZ44" s="63"/>
      <c r="TAA44" s="63"/>
      <c r="TAB44" s="63"/>
      <c r="TAC44" s="63"/>
      <c r="TAD44" s="63"/>
      <c r="TAE44" s="63"/>
      <c r="TAF44" s="63"/>
      <c r="TAG44" s="63"/>
      <c r="TAH44" s="63"/>
      <c r="TAI44" s="63"/>
      <c r="TAJ44" s="63"/>
      <c r="TAK44" s="63"/>
      <c r="TAL44" s="63"/>
      <c r="TAM44" s="63"/>
      <c r="TAN44" s="63"/>
      <c r="TAO44" s="63"/>
      <c r="TAP44" s="63"/>
      <c r="TAQ44" s="63"/>
      <c r="TAR44" s="63"/>
      <c r="TAS44" s="63"/>
      <c r="TAT44" s="63"/>
      <c r="TAU44" s="63"/>
      <c r="TAV44" s="63"/>
      <c r="TAW44" s="63"/>
      <c r="TAX44" s="63"/>
      <c r="TAY44" s="63"/>
      <c r="TAZ44" s="63"/>
      <c r="TBA44" s="63"/>
      <c r="TBB44" s="63"/>
      <c r="TBC44" s="63"/>
      <c r="TBD44" s="63"/>
      <c r="TBE44" s="63"/>
      <c r="TBF44" s="63"/>
      <c r="TBG44" s="63"/>
      <c r="TBH44" s="63"/>
      <c r="TBI44" s="63"/>
      <c r="TBJ44" s="63"/>
      <c r="TBK44" s="63"/>
      <c r="TBL44" s="63"/>
      <c r="TBM44" s="63"/>
      <c r="TBN44" s="63"/>
      <c r="TBO44" s="63"/>
      <c r="TBP44" s="63"/>
      <c r="TBQ44" s="63"/>
      <c r="TBR44" s="63"/>
      <c r="TBS44" s="63"/>
      <c r="TBT44" s="63"/>
      <c r="TBU44" s="63"/>
      <c r="TBV44" s="63"/>
      <c r="TBW44" s="63"/>
      <c r="TBX44" s="63"/>
      <c r="TBY44" s="63"/>
      <c r="TBZ44" s="63"/>
      <c r="TCA44" s="63"/>
      <c r="TCB44" s="63"/>
      <c r="TCC44" s="63"/>
      <c r="TCD44" s="63"/>
      <c r="TCE44" s="63"/>
      <c r="TCF44" s="63"/>
      <c r="TCG44" s="63"/>
      <c r="TCH44" s="63"/>
      <c r="TCI44" s="63"/>
      <c r="TCJ44" s="63"/>
      <c r="TCK44" s="63"/>
      <c r="TCL44" s="63"/>
      <c r="TCM44" s="63"/>
      <c r="TCN44" s="63"/>
      <c r="TCO44" s="63"/>
      <c r="TCP44" s="63"/>
      <c r="TCQ44" s="63"/>
      <c r="TCR44" s="63"/>
      <c r="TCS44" s="63"/>
      <c r="TCT44" s="63"/>
      <c r="TCU44" s="63"/>
      <c r="TCV44" s="63"/>
      <c r="TCW44" s="63"/>
      <c r="TCX44" s="63"/>
      <c r="TCY44" s="63"/>
      <c r="TCZ44" s="63"/>
      <c r="TDA44" s="63"/>
      <c r="TDB44" s="63"/>
      <c r="TDC44" s="63"/>
      <c r="TDD44" s="63"/>
      <c r="TDE44" s="63"/>
      <c r="TDF44" s="63"/>
      <c r="TDG44" s="63"/>
      <c r="TDH44" s="63"/>
      <c r="TDI44" s="63"/>
      <c r="TDJ44" s="63"/>
      <c r="TDK44" s="63"/>
      <c r="TDL44" s="63"/>
      <c r="TDM44" s="63"/>
      <c r="TDN44" s="63"/>
      <c r="TDO44" s="63"/>
      <c r="TDP44" s="63"/>
      <c r="TDQ44" s="63"/>
      <c r="TDR44" s="63"/>
      <c r="TDS44" s="63"/>
      <c r="TDT44" s="63"/>
      <c r="TDU44" s="63"/>
      <c r="TDV44" s="63"/>
      <c r="TDW44" s="63"/>
      <c r="TDX44" s="63"/>
      <c r="TDY44" s="63"/>
      <c r="TDZ44" s="63"/>
      <c r="TEA44" s="63"/>
      <c r="TEB44" s="63"/>
      <c r="TEC44" s="63"/>
      <c r="TED44" s="63"/>
      <c r="TEE44" s="63"/>
      <c r="TEF44" s="63"/>
      <c r="TEG44" s="63"/>
      <c r="TEH44" s="63"/>
      <c r="TEI44" s="63"/>
      <c r="TEJ44" s="63"/>
      <c r="TEK44" s="63"/>
      <c r="TEL44" s="63"/>
      <c r="TEM44" s="63"/>
      <c r="TEN44" s="63"/>
      <c r="TEO44" s="63"/>
      <c r="TEP44" s="63"/>
      <c r="TEQ44" s="63"/>
      <c r="TER44" s="63"/>
      <c r="TES44" s="63"/>
      <c r="TET44" s="63"/>
      <c r="TEU44" s="63"/>
      <c r="TEV44" s="63"/>
      <c r="TEW44" s="63"/>
      <c r="TEX44" s="63"/>
      <c r="TEY44" s="63"/>
      <c r="TEZ44" s="63"/>
      <c r="TFA44" s="63"/>
      <c r="TFB44" s="63"/>
      <c r="TFC44" s="63"/>
      <c r="TFD44" s="63"/>
      <c r="TFE44" s="63"/>
      <c r="TFF44" s="63"/>
      <c r="TFG44" s="63"/>
      <c r="TFH44" s="63"/>
      <c r="TFI44" s="63"/>
      <c r="TFJ44" s="63"/>
      <c r="TFK44" s="63"/>
      <c r="TFL44" s="63"/>
      <c r="TFM44" s="63"/>
      <c r="TFN44" s="63"/>
      <c r="TFO44" s="63"/>
      <c r="TFP44" s="63"/>
      <c r="TFQ44" s="63"/>
      <c r="TFR44" s="63"/>
      <c r="TFS44" s="63"/>
      <c r="TFT44" s="63"/>
      <c r="TFU44" s="63"/>
      <c r="TFV44" s="63"/>
      <c r="TFW44" s="63"/>
      <c r="TFX44" s="63"/>
      <c r="TFY44" s="63"/>
      <c r="TFZ44" s="63"/>
      <c r="TGA44" s="63"/>
      <c r="TGB44" s="63"/>
      <c r="TGC44" s="63"/>
      <c r="TGD44" s="63"/>
      <c r="TGE44" s="63"/>
      <c r="TGF44" s="63"/>
      <c r="TGG44" s="63"/>
      <c r="TGH44" s="63"/>
      <c r="TGI44" s="63"/>
      <c r="TGJ44" s="63"/>
      <c r="TGK44" s="63"/>
      <c r="TGL44" s="63"/>
      <c r="TGM44" s="63"/>
      <c r="TGN44" s="63"/>
      <c r="TGO44" s="63"/>
      <c r="TGP44" s="63"/>
      <c r="TGQ44" s="63"/>
      <c r="TGR44" s="63"/>
      <c r="TGS44" s="63"/>
      <c r="TGT44" s="63"/>
      <c r="TGU44" s="63"/>
      <c r="TGV44" s="63"/>
      <c r="TGW44" s="63"/>
      <c r="TGX44" s="63"/>
      <c r="TGY44" s="63"/>
      <c r="TGZ44" s="63"/>
      <c r="THA44" s="63"/>
      <c r="THB44" s="63"/>
      <c r="THC44" s="63"/>
      <c r="THD44" s="63"/>
      <c r="THE44" s="63"/>
      <c r="THF44" s="63"/>
      <c r="THG44" s="63"/>
      <c r="THH44" s="63"/>
      <c r="THI44" s="63"/>
      <c r="THJ44" s="63"/>
      <c r="THK44" s="63"/>
      <c r="THL44" s="63"/>
      <c r="THM44" s="63"/>
      <c r="THN44" s="63"/>
      <c r="THO44" s="63"/>
      <c r="THP44" s="63"/>
      <c r="THQ44" s="63"/>
      <c r="THR44" s="63"/>
      <c r="THS44" s="63"/>
      <c r="THT44" s="63"/>
      <c r="THU44" s="63"/>
      <c r="THV44" s="63"/>
      <c r="THW44" s="63"/>
      <c r="THX44" s="63"/>
      <c r="THY44" s="63"/>
      <c r="THZ44" s="63"/>
      <c r="TIA44" s="63"/>
      <c r="TIB44" s="63"/>
      <c r="TIC44" s="63"/>
      <c r="TID44" s="63"/>
      <c r="TIE44" s="63"/>
      <c r="TIF44" s="63"/>
      <c r="TIG44" s="63"/>
      <c r="TIH44" s="63"/>
      <c r="TII44" s="63"/>
      <c r="TIJ44" s="63"/>
      <c r="TIK44" s="63"/>
      <c r="TIL44" s="63"/>
      <c r="TIM44" s="63"/>
      <c r="TIN44" s="63"/>
      <c r="TIO44" s="63"/>
      <c r="TIP44" s="63"/>
      <c r="TIQ44" s="63"/>
      <c r="TIR44" s="63"/>
      <c r="TIS44" s="63"/>
      <c r="TIT44" s="63"/>
      <c r="TIU44" s="63"/>
      <c r="TIV44" s="63"/>
      <c r="TIW44" s="63"/>
      <c r="TIX44" s="63"/>
      <c r="TIY44" s="63"/>
      <c r="TIZ44" s="63"/>
      <c r="TJA44" s="63"/>
      <c r="TJB44" s="63"/>
      <c r="TJC44" s="63"/>
      <c r="TJD44" s="63"/>
      <c r="TJE44" s="63"/>
      <c r="TJF44" s="63"/>
      <c r="TJG44" s="63"/>
      <c r="TJH44" s="63"/>
      <c r="TJI44" s="63"/>
      <c r="TJJ44" s="63"/>
      <c r="TJK44" s="63"/>
      <c r="TJL44" s="63"/>
      <c r="TJM44" s="63"/>
      <c r="TJN44" s="63"/>
      <c r="TJO44" s="63"/>
      <c r="TJP44" s="63"/>
      <c r="TJQ44" s="63"/>
      <c r="TJR44" s="63"/>
      <c r="TJS44" s="63"/>
      <c r="TJT44" s="63"/>
      <c r="TJU44" s="63"/>
      <c r="TJV44" s="63"/>
      <c r="TJW44" s="63"/>
      <c r="TJX44" s="63"/>
      <c r="TJY44" s="63"/>
      <c r="TJZ44" s="63"/>
      <c r="TKA44" s="63"/>
      <c r="TKB44" s="63"/>
      <c r="TKC44" s="63"/>
      <c r="TKD44" s="63"/>
      <c r="TKE44" s="63"/>
      <c r="TKF44" s="63"/>
      <c r="TKG44" s="63"/>
      <c r="TKH44" s="63"/>
      <c r="TKI44" s="63"/>
      <c r="TKJ44" s="63"/>
      <c r="TKK44" s="63"/>
      <c r="TKL44" s="63"/>
      <c r="TKM44" s="63"/>
      <c r="TKN44" s="63"/>
      <c r="TKO44" s="63"/>
      <c r="TKP44" s="63"/>
      <c r="TKQ44" s="63"/>
      <c r="TKR44" s="63"/>
      <c r="TKS44" s="63"/>
      <c r="TKT44" s="63"/>
      <c r="TKU44" s="63"/>
      <c r="TKV44" s="63"/>
      <c r="TKW44" s="63"/>
      <c r="TKX44" s="63"/>
      <c r="TKY44" s="63"/>
      <c r="TKZ44" s="63"/>
      <c r="TLA44" s="63"/>
      <c r="TLB44" s="63"/>
      <c r="TLC44" s="63"/>
      <c r="TLD44" s="63"/>
      <c r="TLE44" s="63"/>
      <c r="TLF44" s="63"/>
      <c r="TLG44" s="63"/>
      <c r="TLH44" s="63"/>
      <c r="TLI44" s="63"/>
      <c r="TLJ44" s="63"/>
      <c r="TLK44" s="63"/>
      <c r="TLL44" s="63"/>
      <c r="TLM44" s="63"/>
      <c r="TLN44" s="63"/>
      <c r="TLO44" s="63"/>
      <c r="TLP44" s="63"/>
      <c r="TLQ44" s="63"/>
      <c r="TLR44" s="63"/>
      <c r="TLS44" s="63"/>
      <c r="TLT44" s="63"/>
      <c r="TLU44" s="63"/>
      <c r="TLV44" s="63"/>
      <c r="TLW44" s="63"/>
      <c r="TLX44" s="63"/>
      <c r="TLY44" s="63"/>
      <c r="TLZ44" s="63"/>
      <c r="TMA44" s="63"/>
      <c r="TMB44" s="63"/>
      <c r="TMC44" s="63"/>
      <c r="TMD44" s="63"/>
      <c r="TME44" s="63"/>
      <c r="TMF44" s="63"/>
      <c r="TMG44" s="63"/>
      <c r="TMH44" s="63"/>
      <c r="TMI44" s="63"/>
      <c r="TMJ44" s="63"/>
      <c r="TMK44" s="63"/>
      <c r="TML44" s="63"/>
      <c r="TMM44" s="63"/>
      <c r="TMN44" s="63"/>
      <c r="TMO44" s="63"/>
      <c r="TMP44" s="63"/>
      <c r="TMQ44" s="63"/>
      <c r="TMR44" s="63"/>
      <c r="TMS44" s="63"/>
      <c r="TMT44" s="63"/>
      <c r="TMU44" s="63"/>
      <c r="TMV44" s="63"/>
      <c r="TMW44" s="63"/>
      <c r="TMX44" s="63"/>
      <c r="TMY44" s="63"/>
      <c r="TMZ44" s="63"/>
      <c r="TNA44" s="63"/>
      <c r="TNB44" s="63"/>
      <c r="TNC44" s="63"/>
      <c r="TND44" s="63"/>
      <c r="TNE44" s="63"/>
      <c r="TNF44" s="63"/>
      <c r="TNG44" s="63"/>
      <c r="TNH44" s="63"/>
      <c r="TNI44" s="63"/>
      <c r="TNJ44" s="63"/>
      <c r="TNK44" s="63"/>
      <c r="TNL44" s="63"/>
      <c r="TNM44" s="63"/>
      <c r="TNN44" s="63"/>
      <c r="TNO44" s="63"/>
      <c r="TNP44" s="63"/>
      <c r="TNQ44" s="63"/>
      <c r="TNR44" s="63"/>
      <c r="TNS44" s="63"/>
      <c r="TNT44" s="63"/>
      <c r="TNU44" s="63"/>
      <c r="TNV44" s="63"/>
      <c r="TNW44" s="63"/>
      <c r="TNX44" s="63"/>
      <c r="TNY44" s="63"/>
      <c r="TNZ44" s="63"/>
      <c r="TOA44" s="63"/>
      <c r="TOB44" s="63"/>
      <c r="TOC44" s="63"/>
      <c r="TOD44" s="63"/>
      <c r="TOE44" s="63"/>
      <c r="TOF44" s="63"/>
      <c r="TOG44" s="63"/>
      <c r="TOH44" s="63"/>
      <c r="TOI44" s="63"/>
      <c r="TOJ44" s="63"/>
      <c r="TOK44" s="63"/>
      <c r="TOL44" s="63"/>
      <c r="TOM44" s="63"/>
      <c r="TON44" s="63"/>
      <c r="TOO44" s="63"/>
      <c r="TOP44" s="63"/>
      <c r="TOQ44" s="63"/>
      <c r="TOR44" s="63"/>
      <c r="TOS44" s="63"/>
      <c r="TOT44" s="63"/>
      <c r="TOU44" s="63"/>
      <c r="TOV44" s="63"/>
      <c r="TOW44" s="63"/>
      <c r="TOX44" s="63"/>
      <c r="TOY44" s="63"/>
      <c r="TOZ44" s="63"/>
      <c r="TPA44" s="63"/>
      <c r="TPB44" s="63"/>
      <c r="TPC44" s="63"/>
      <c r="TPD44" s="63"/>
      <c r="TPE44" s="63"/>
      <c r="TPF44" s="63"/>
      <c r="TPG44" s="63"/>
      <c r="TPH44" s="63"/>
      <c r="TPI44" s="63"/>
      <c r="TPJ44" s="63"/>
      <c r="TPK44" s="63"/>
      <c r="TPL44" s="63"/>
      <c r="TPM44" s="63"/>
      <c r="TPN44" s="63"/>
      <c r="TPO44" s="63"/>
      <c r="TPP44" s="63"/>
      <c r="TPQ44" s="63"/>
      <c r="TPR44" s="63"/>
      <c r="TPS44" s="63"/>
      <c r="TPT44" s="63"/>
      <c r="TPU44" s="63"/>
      <c r="TPV44" s="63"/>
      <c r="TPW44" s="63"/>
      <c r="TPX44" s="63"/>
      <c r="TPY44" s="63"/>
      <c r="TPZ44" s="63"/>
      <c r="TQA44" s="63"/>
      <c r="TQB44" s="63"/>
      <c r="TQC44" s="63"/>
      <c r="TQD44" s="63"/>
      <c r="TQE44" s="63"/>
      <c r="TQF44" s="63"/>
      <c r="TQG44" s="63"/>
      <c r="TQH44" s="63"/>
      <c r="TQI44" s="63"/>
      <c r="TQJ44" s="63"/>
      <c r="TQK44" s="63"/>
      <c r="TQL44" s="63"/>
      <c r="TQM44" s="63"/>
      <c r="TQN44" s="63"/>
      <c r="TQO44" s="63"/>
      <c r="TQP44" s="63"/>
      <c r="TQQ44" s="63"/>
      <c r="TQR44" s="63"/>
      <c r="TQS44" s="63"/>
      <c r="TQT44" s="63"/>
      <c r="TQU44" s="63"/>
      <c r="TQV44" s="63"/>
      <c r="TQW44" s="63"/>
      <c r="TQX44" s="63"/>
      <c r="TQY44" s="63"/>
      <c r="TQZ44" s="63"/>
      <c r="TRA44" s="63"/>
      <c r="TRB44" s="63"/>
      <c r="TRC44" s="63"/>
      <c r="TRD44" s="63"/>
      <c r="TRE44" s="63"/>
      <c r="TRF44" s="63"/>
      <c r="TRG44" s="63"/>
      <c r="TRH44" s="63"/>
      <c r="TRI44" s="63"/>
      <c r="TRJ44" s="63"/>
      <c r="TRK44" s="63"/>
      <c r="TRL44" s="63"/>
      <c r="TRM44" s="63"/>
      <c r="TRN44" s="63"/>
      <c r="TRO44" s="63"/>
      <c r="TRP44" s="63"/>
      <c r="TRQ44" s="63"/>
      <c r="TRR44" s="63"/>
      <c r="TRS44" s="63"/>
      <c r="TRT44" s="63"/>
      <c r="TRU44" s="63"/>
      <c r="TRV44" s="63"/>
      <c r="TRW44" s="63"/>
      <c r="TRX44" s="63"/>
      <c r="TRY44" s="63"/>
      <c r="TRZ44" s="63"/>
      <c r="TSA44" s="63"/>
      <c r="TSB44" s="63"/>
      <c r="TSC44" s="63"/>
      <c r="TSD44" s="63"/>
      <c r="TSE44" s="63"/>
      <c r="TSF44" s="63"/>
      <c r="TSG44" s="63"/>
      <c r="TSH44" s="63"/>
      <c r="TSI44" s="63"/>
      <c r="TSJ44" s="63"/>
      <c r="TSK44" s="63"/>
      <c r="TSL44" s="63"/>
      <c r="TSM44" s="63"/>
      <c r="TSN44" s="63"/>
      <c r="TSO44" s="63"/>
      <c r="TSP44" s="63"/>
      <c r="TSQ44" s="63"/>
      <c r="TSR44" s="63"/>
      <c r="TSS44" s="63"/>
      <c r="TST44" s="63"/>
      <c r="TSU44" s="63"/>
      <c r="TSV44" s="63"/>
      <c r="TSW44" s="63"/>
      <c r="TSX44" s="63"/>
      <c r="TSY44" s="63"/>
      <c r="TSZ44" s="63"/>
      <c r="TTA44" s="63"/>
      <c r="TTB44" s="63"/>
      <c r="TTC44" s="63"/>
      <c r="TTD44" s="63"/>
      <c r="TTE44" s="63"/>
      <c r="TTF44" s="63"/>
      <c r="TTG44" s="63"/>
      <c r="TTH44" s="63"/>
      <c r="TTI44" s="63"/>
      <c r="TTJ44" s="63"/>
      <c r="TTK44" s="63"/>
      <c r="TTL44" s="63"/>
      <c r="TTM44" s="63"/>
      <c r="TTN44" s="63"/>
      <c r="TTO44" s="63"/>
      <c r="TTP44" s="63"/>
      <c r="TTQ44" s="63"/>
      <c r="TTR44" s="63"/>
      <c r="TTS44" s="63"/>
      <c r="TTT44" s="63"/>
      <c r="TTU44" s="63"/>
      <c r="TTV44" s="63"/>
      <c r="TTW44" s="63"/>
      <c r="TTX44" s="63"/>
      <c r="TTY44" s="63"/>
      <c r="TTZ44" s="63"/>
      <c r="TUA44" s="63"/>
      <c r="TUB44" s="63"/>
      <c r="TUC44" s="63"/>
      <c r="TUD44" s="63"/>
      <c r="TUE44" s="63"/>
      <c r="TUF44" s="63"/>
      <c r="TUG44" s="63"/>
      <c r="TUH44" s="63"/>
      <c r="TUI44" s="63"/>
      <c r="TUJ44" s="63"/>
      <c r="TUK44" s="63"/>
      <c r="TUL44" s="63"/>
      <c r="TUM44" s="63"/>
      <c r="TUN44" s="63"/>
      <c r="TUO44" s="63"/>
      <c r="TUP44" s="63"/>
      <c r="TUQ44" s="63"/>
      <c r="TUR44" s="63"/>
      <c r="TUS44" s="63"/>
      <c r="TUT44" s="63"/>
      <c r="TUU44" s="63"/>
      <c r="TUV44" s="63"/>
      <c r="TUW44" s="63"/>
      <c r="TUX44" s="63"/>
      <c r="TUY44" s="63"/>
      <c r="TUZ44" s="63"/>
      <c r="TVA44" s="63"/>
      <c r="TVB44" s="63"/>
      <c r="TVC44" s="63"/>
      <c r="TVD44" s="63"/>
      <c r="TVE44" s="63"/>
      <c r="TVF44" s="63"/>
      <c r="TVG44" s="63"/>
      <c r="TVH44" s="63"/>
      <c r="TVI44" s="63"/>
      <c r="TVJ44" s="63"/>
      <c r="TVK44" s="63"/>
      <c r="TVL44" s="63"/>
      <c r="TVM44" s="63"/>
      <c r="TVN44" s="63"/>
      <c r="TVO44" s="63"/>
      <c r="TVP44" s="63"/>
      <c r="TVQ44" s="63"/>
      <c r="TVR44" s="63"/>
      <c r="TVS44" s="63"/>
      <c r="TVT44" s="63"/>
      <c r="TVU44" s="63"/>
      <c r="TVV44" s="63"/>
      <c r="TVW44" s="63"/>
      <c r="TVX44" s="63"/>
      <c r="TVY44" s="63"/>
      <c r="TVZ44" s="63"/>
      <c r="TWA44" s="63"/>
      <c r="TWB44" s="63"/>
      <c r="TWC44" s="63"/>
      <c r="TWD44" s="63"/>
      <c r="TWE44" s="63"/>
      <c r="TWF44" s="63"/>
      <c r="TWG44" s="63"/>
      <c r="TWH44" s="63"/>
      <c r="TWI44" s="63"/>
      <c r="TWJ44" s="63"/>
      <c r="TWK44" s="63"/>
      <c r="TWL44" s="63"/>
      <c r="TWM44" s="63"/>
      <c r="TWN44" s="63"/>
      <c r="TWO44" s="63"/>
      <c r="TWP44" s="63"/>
      <c r="TWQ44" s="63"/>
      <c r="TWR44" s="63"/>
      <c r="TWS44" s="63"/>
      <c r="TWT44" s="63"/>
      <c r="TWU44" s="63"/>
      <c r="TWV44" s="63"/>
      <c r="TWW44" s="63"/>
      <c r="TWX44" s="63"/>
      <c r="TWY44" s="63"/>
      <c r="TWZ44" s="63"/>
      <c r="TXA44" s="63"/>
      <c r="TXB44" s="63"/>
      <c r="TXC44" s="63"/>
      <c r="TXD44" s="63"/>
      <c r="TXE44" s="63"/>
      <c r="TXF44" s="63"/>
      <c r="TXG44" s="63"/>
      <c r="TXH44" s="63"/>
      <c r="TXI44" s="63"/>
      <c r="TXJ44" s="63"/>
      <c r="TXK44" s="63"/>
      <c r="TXL44" s="63"/>
      <c r="TXM44" s="63"/>
      <c r="TXN44" s="63"/>
      <c r="TXO44" s="63"/>
      <c r="TXP44" s="63"/>
      <c r="TXQ44" s="63"/>
      <c r="TXR44" s="63"/>
      <c r="TXS44" s="63"/>
      <c r="TXT44" s="63"/>
      <c r="TXU44" s="63"/>
      <c r="TXV44" s="63"/>
      <c r="TXW44" s="63"/>
      <c r="TXX44" s="63"/>
      <c r="TXY44" s="63"/>
      <c r="TXZ44" s="63"/>
      <c r="TYA44" s="63"/>
      <c r="TYB44" s="63"/>
      <c r="TYC44" s="63"/>
      <c r="TYD44" s="63"/>
      <c r="TYE44" s="63"/>
      <c r="TYF44" s="63"/>
      <c r="TYG44" s="63"/>
      <c r="TYH44" s="63"/>
      <c r="TYI44" s="63"/>
      <c r="TYJ44" s="63"/>
      <c r="TYK44" s="63"/>
      <c r="TYL44" s="63"/>
      <c r="TYM44" s="63"/>
      <c r="TYN44" s="63"/>
      <c r="TYO44" s="63"/>
      <c r="TYP44" s="63"/>
      <c r="TYQ44" s="63"/>
      <c r="TYR44" s="63"/>
      <c r="TYS44" s="63"/>
      <c r="TYT44" s="63"/>
      <c r="TYU44" s="63"/>
      <c r="TYV44" s="63"/>
      <c r="TYW44" s="63"/>
      <c r="TYX44" s="63"/>
      <c r="TYY44" s="63"/>
      <c r="TYZ44" s="63"/>
      <c r="TZA44" s="63"/>
      <c r="TZB44" s="63"/>
      <c r="TZC44" s="63"/>
      <c r="TZD44" s="63"/>
      <c r="TZE44" s="63"/>
      <c r="TZF44" s="63"/>
      <c r="TZG44" s="63"/>
      <c r="TZH44" s="63"/>
      <c r="TZI44" s="63"/>
      <c r="TZJ44" s="63"/>
      <c r="TZK44" s="63"/>
      <c r="TZL44" s="63"/>
      <c r="TZM44" s="63"/>
      <c r="TZN44" s="63"/>
      <c r="TZO44" s="63"/>
      <c r="TZP44" s="63"/>
      <c r="TZQ44" s="63"/>
      <c r="TZR44" s="63"/>
      <c r="TZS44" s="63"/>
      <c r="TZT44" s="63"/>
      <c r="TZU44" s="63"/>
      <c r="TZV44" s="63"/>
      <c r="TZW44" s="63"/>
      <c r="TZX44" s="63"/>
      <c r="TZY44" s="63"/>
      <c r="TZZ44" s="63"/>
      <c r="UAA44" s="63"/>
      <c r="UAB44" s="63"/>
      <c r="UAC44" s="63"/>
      <c r="UAD44" s="63"/>
      <c r="UAE44" s="63"/>
      <c r="UAF44" s="63"/>
      <c r="UAG44" s="63"/>
      <c r="UAH44" s="63"/>
      <c r="UAI44" s="63"/>
      <c r="UAJ44" s="63"/>
      <c r="UAK44" s="63"/>
      <c r="UAL44" s="63"/>
      <c r="UAM44" s="63"/>
      <c r="UAN44" s="63"/>
      <c r="UAO44" s="63"/>
      <c r="UAP44" s="63"/>
      <c r="UAQ44" s="63"/>
      <c r="UAR44" s="63"/>
      <c r="UAS44" s="63"/>
      <c r="UAT44" s="63"/>
      <c r="UAU44" s="63"/>
      <c r="UAV44" s="63"/>
      <c r="UAW44" s="63"/>
      <c r="UAX44" s="63"/>
      <c r="UAY44" s="63"/>
      <c r="UAZ44" s="63"/>
      <c r="UBA44" s="63"/>
      <c r="UBB44" s="63"/>
      <c r="UBC44" s="63"/>
      <c r="UBD44" s="63"/>
      <c r="UBE44" s="63"/>
      <c r="UBF44" s="63"/>
      <c r="UBG44" s="63"/>
      <c r="UBH44" s="63"/>
      <c r="UBI44" s="63"/>
      <c r="UBJ44" s="63"/>
      <c r="UBK44" s="63"/>
      <c r="UBL44" s="63"/>
      <c r="UBM44" s="63"/>
      <c r="UBN44" s="63"/>
      <c r="UBO44" s="63"/>
      <c r="UBP44" s="63"/>
      <c r="UBQ44" s="63"/>
      <c r="UBR44" s="63"/>
      <c r="UBS44" s="63"/>
      <c r="UBT44" s="63"/>
      <c r="UBU44" s="63"/>
      <c r="UBV44" s="63"/>
      <c r="UBW44" s="63"/>
      <c r="UBX44" s="63"/>
      <c r="UBY44" s="63"/>
      <c r="UBZ44" s="63"/>
      <c r="UCA44" s="63"/>
      <c r="UCB44" s="63"/>
      <c r="UCC44" s="63"/>
      <c r="UCD44" s="63"/>
      <c r="UCE44" s="63"/>
      <c r="UCF44" s="63"/>
      <c r="UCG44" s="63"/>
      <c r="UCH44" s="63"/>
      <c r="UCI44" s="63"/>
      <c r="UCJ44" s="63"/>
      <c r="UCK44" s="63"/>
      <c r="UCL44" s="63"/>
      <c r="UCM44" s="63"/>
      <c r="UCN44" s="63"/>
      <c r="UCO44" s="63"/>
      <c r="UCP44" s="63"/>
      <c r="UCQ44" s="63"/>
      <c r="UCR44" s="63"/>
      <c r="UCS44" s="63"/>
      <c r="UCT44" s="63"/>
      <c r="UCU44" s="63"/>
      <c r="UCV44" s="63"/>
      <c r="UCW44" s="63"/>
      <c r="UCX44" s="63"/>
      <c r="UCY44" s="63"/>
      <c r="UCZ44" s="63"/>
      <c r="UDA44" s="63"/>
      <c r="UDB44" s="63"/>
      <c r="UDC44" s="63"/>
      <c r="UDD44" s="63"/>
      <c r="UDE44" s="63"/>
      <c r="UDF44" s="63"/>
      <c r="UDG44" s="63"/>
      <c r="UDH44" s="63"/>
      <c r="UDI44" s="63"/>
      <c r="UDJ44" s="63"/>
      <c r="UDK44" s="63"/>
      <c r="UDL44" s="63"/>
      <c r="UDM44" s="63"/>
      <c r="UDN44" s="63"/>
      <c r="UDO44" s="63"/>
      <c r="UDP44" s="63"/>
      <c r="UDQ44" s="63"/>
      <c r="UDR44" s="63"/>
      <c r="UDS44" s="63"/>
      <c r="UDT44" s="63"/>
      <c r="UDU44" s="63"/>
      <c r="UDV44" s="63"/>
      <c r="UDW44" s="63"/>
      <c r="UDX44" s="63"/>
      <c r="UDY44" s="63"/>
      <c r="UDZ44" s="63"/>
      <c r="UEA44" s="63"/>
      <c r="UEB44" s="63"/>
      <c r="UEC44" s="63"/>
      <c r="UED44" s="63"/>
      <c r="UEE44" s="63"/>
      <c r="UEF44" s="63"/>
      <c r="UEG44" s="63"/>
      <c r="UEH44" s="63"/>
      <c r="UEI44" s="63"/>
      <c r="UEJ44" s="63"/>
      <c r="UEK44" s="63"/>
      <c r="UEL44" s="63"/>
      <c r="UEM44" s="63"/>
      <c r="UEN44" s="63"/>
      <c r="UEO44" s="63"/>
      <c r="UEP44" s="63"/>
      <c r="UEQ44" s="63"/>
      <c r="UER44" s="63"/>
      <c r="UES44" s="63"/>
      <c r="UET44" s="63"/>
      <c r="UEU44" s="63"/>
      <c r="UEV44" s="63"/>
      <c r="UEW44" s="63"/>
      <c r="UEX44" s="63"/>
      <c r="UEY44" s="63"/>
      <c r="UEZ44" s="63"/>
      <c r="UFA44" s="63"/>
      <c r="UFB44" s="63"/>
      <c r="UFC44" s="63"/>
      <c r="UFD44" s="63"/>
      <c r="UFE44" s="63"/>
      <c r="UFF44" s="63"/>
      <c r="UFG44" s="63"/>
      <c r="UFH44" s="63"/>
      <c r="UFI44" s="63"/>
      <c r="UFJ44" s="63"/>
      <c r="UFK44" s="63"/>
      <c r="UFL44" s="63"/>
      <c r="UFM44" s="63"/>
      <c r="UFN44" s="63"/>
      <c r="UFO44" s="63"/>
      <c r="UFP44" s="63"/>
      <c r="UFQ44" s="63"/>
      <c r="UFR44" s="63"/>
      <c r="UFS44" s="63"/>
      <c r="UFT44" s="63"/>
      <c r="UFU44" s="63"/>
      <c r="UFV44" s="63"/>
      <c r="UFW44" s="63"/>
      <c r="UFX44" s="63"/>
      <c r="UFY44" s="63"/>
      <c r="UFZ44" s="63"/>
      <c r="UGA44" s="63"/>
      <c r="UGB44" s="63"/>
      <c r="UGC44" s="63"/>
      <c r="UGD44" s="63"/>
      <c r="UGE44" s="63"/>
      <c r="UGF44" s="63"/>
      <c r="UGG44" s="63"/>
      <c r="UGH44" s="63"/>
      <c r="UGI44" s="63"/>
      <c r="UGJ44" s="63"/>
      <c r="UGK44" s="63"/>
      <c r="UGL44" s="63"/>
      <c r="UGM44" s="63"/>
      <c r="UGN44" s="63"/>
      <c r="UGO44" s="63"/>
      <c r="UGP44" s="63"/>
      <c r="UGQ44" s="63"/>
      <c r="UGR44" s="63"/>
      <c r="UGS44" s="63"/>
      <c r="UGT44" s="63"/>
      <c r="UGU44" s="63"/>
      <c r="UGV44" s="63"/>
      <c r="UGW44" s="63"/>
      <c r="UGX44" s="63"/>
      <c r="UGY44" s="63"/>
      <c r="UGZ44" s="63"/>
      <c r="UHA44" s="63"/>
      <c r="UHB44" s="63"/>
      <c r="UHC44" s="63"/>
      <c r="UHD44" s="63"/>
      <c r="UHE44" s="63"/>
      <c r="UHF44" s="63"/>
      <c r="UHG44" s="63"/>
      <c r="UHH44" s="63"/>
      <c r="UHI44" s="63"/>
      <c r="UHJ44" s="63"/>
      <c r="UHK44" s="63"/>
      <c r="UHL44" s="63"/>
      <c r="UHM44" s="63"/>
      <c r="UHN44" s="63"/>
      <c r="UHO44" s="63"/>
      <c r="UHP44" s="63"/>
      <c r="UHQ44" s="63"/>
      <c r="UHR44" s="63"/>
      <c r="UHS44" s="63"/>
      <c r="UHT44" s="63"/>
      <c r="UHU44" s="63"/>
      <c r="UHV44" s="63"/>
      <c r="UHW44" s="63"/>
      <c r="UHX44" s="63"/>
      <c r="UHY44" s="63"/>
      <c r="UHZ44" s="63"/>
      <c r="UIA44" s="63"/>
      <c r="UIB44" s="63"/>
      <c r="UIC44" s="63"/>
      <c r="UID44" s="63"/>
      <c r="UIE44" s="63"/>
      <c r="UIF44" s="63"/>
      <c r="UIG44" s="63"/>
      <c r="UIH44" s="63"/>
      <c r="UII44" s="63"/>
      <c r="UIJ44" s="63"/>
      <c r="UIK44" s="63"/>
      <c r="UIL44" s="63"/>
      <c r="UIM44" s="63"/>
      <c r="UIN44" s="63"/>
      <c r="UIO44" s="63"/>
      <c r="UIP44" s="63"/>
      <c r="UIQ44" s="63"/>
      <c r="UIR44" s="63"/>
      <c r="UIS44" s="63"/>
      <c r="UIT44" s="63"/>
      <c r="UIU44" s="63"/>
      <c r="UIV44" s="63"/>
      <c r="UIW44" s="63"/>
      <c r="UIX44" s="63"/>
      <c r="UIY44" s="63"/>
      <c r="UIZ44" s="63"/>
      <c r="UJA44" s="63"/>
      <c r="UJB44" s="63"/>
      <c r="UJC44" s="63"/>
      <c r="UJD44" s="63"/>
      <c r="UJE44" s="63"/>
      <c r="UJF44" s="63"/>
      <c r="UJG44" s="63"/>
      <c r="UJH44" s="63"/>
      <c r="UJI44" s="63"/>
      <c r="UJJ44" s="63"/>
      <c r="UJK44" s="63"/>
      <c r="UJL44" s="63"/>
      <c r="UJM44" s="63"/>
      <c r="UJN44" s="63"/>
      <c r="UJO44" s="63"/>
      <c r="UJP44" s="63"/>
      <c r="UJQ44" s="63"/>
      <c r="UJR44" s="63"/>
      <c r="UJS44" s="63"/>
      <c r="UJT44" s="63"/>
      <c r="UJU44" s="63"/>
      <c r="UJV44" s="63"/>
      <c r="UJW44" s="63"/>
      <c r="UJX44" s="63"/>
      <c r="UJY44" s="63"/>
      <c r="UJZ44" s="63"/>
      <c r="UKA44" s="63"/>
      <c r="UKB44" s="63"/>
      <c r="UKC44" s="63"/>
      <c r="UKD44" s="63"/>
      <c r="UKE44" s="63"/>
      <c r="UKF44" s="63"/>
      <c r="UKG44" s="63"/>
      <c r="UKH44" s="63"/>
      <c r="UKI44" s="63"/>
      <c r="UKJ44" s="63"/>
      <c r="UKK44" s="63"/>
      <c r="UKL44" s="63"/>
      <c r="UKM44" s="63"/>
      <c r="UKN44" s="63"/>
      <c r="UKO44" s="63"/>
      <c r="UKP44" s="63"/>
      <c r="UKQ44" s="63"/>
      <c r="UKR44" s="63"/>
      <c r="UKS44" s="63"/>
      <c r="UKT44" s="63"/>
      <c r="UKU44" s="63"/>
      <c r="UKV44" s="63"/>
      <c r="UKW44" s="63"/>
      <c r="UKX44" s="63"/>
      <c r="UKY44" s="63"/>
      <c r="UKZ44" s="63"/>
      <c r="ULA44" s="63"/>
      <c r="ULB44" s="63"/>
      <c r="ULC44" s="63"/>
      <c r="ULD44" s="63"/>
      <c r="ULE44" s="63"/>
      <c r="ULF44" s="63"/>
      <c r="ULG44" s="63"/>
      <c r="ULH44" s="63"/>
      <c r="ULI44" s="63"/>
      <c r="ULJ44" s="63"/>
      <c r="ULK44" s="63"/>
      <c r="ULL44" s="63"/>
      <c r="ULM44" s="63"/>
      <c r="ULN44" s="63"/>
      <c r="ULO44" s="63"/>
      <c r="ULP44" s="63"/>
      <c r="ULQ44" s="63"/>
      <c r="ULR44" s="63"/>
      <c r="ULS44" s="63"/>
      <c r="ULT44" s="63"/>
      <c r="ULU44" s="63"/>
      <c r="ULV44" s="63"/>
      <c r="ULW44" s="63"/>
      <c r="ULX44" s="63"/>
      <c r="ULY44" s="63"/>
      <c r="ULZ44" s="63"/>
      <c r="UMA44" s="63"/>
      <c r="UMB44" s="63"/>
      <c r="UMC44" s="63"/>
      <c r="UMD44" s="63"/>
      <c r="UME44" s="63"/>
      <c r="UMF44" s="63"/>
      <c r="UMG44" s="63"/>
      <c r="UMH44" s="63"/>
      <c r="UMI44" s="63"/>
      <c r="UMJ44" s="63"/>
      <c r="UMK44" s="63"/>
      <c r="UML44" s="63"/>
      <c r="UMM44" s="63"/>
      <c r="UMN44" s="63"/>
      <c r="UMO44" s="63"/>
      <c r="UMP44" s="63"/>
      <c r="UMQ44" s="63"/>
      <c r="UMR44" s="63"/>
      <c r="UMS44" s="63"/>
      <c r="UMT44" s="63"/>
      <c r="UMU44" s="63"/>
      <c r="UMV44" s="63"/>
      <c r="UMW44" s="63"/>
      <c r="UMX44" s="63"/>
      <c r="UMY44" s="63"/>
      <c r="UMZ44" s="63"/>
      <c r="UNA44" s="63"/>
      <c r="UNB44" s="63"/>
      <c r="UNC44" s="63"/>
      <c r="UND44" s="63"/>
      <c r="UNE44" s="63"/>
      <c r="UNF44" s="63"/>
      <c r="UNG44" s="63"/>
      <c r="UNH44" s="63"/>
      <c r="UNI44" s="63"/>
      <c r="UNJ44" s="63"/>
      <c r="UNK44" s="63"/>
      <c r="UNL44" s="63"/>
      <c r="UNM44" s="63"/>
      <c r="UNN44" s="63"/>
      <c r="UNO44" s="63"/>
      <c r="UNP44" s="63"/>
      <c r="UNQ44" s="63"/>
      <c r="UNR44" s="63"/>
      <c r="UNS44" s="63"/>
      <c r="UNT44" s="63"/>
      <c r="UNU44" s="63"/>
      <c r="UNV44" s="63"/>
      <c r="UNW44" s="63"/>
      <c r="UNX44" s="63"/>
      <c r="UNY44" s="63"/>
      <c r="UNZ44" s="63"/>
      <c r="UOA44" s="63"/>
      <c r="UOB44" s="63"/>
      <c r="UOC44" s="63"/>
      <c r="UOD44" s="63"/>
      <c r="UOE44" s="63"/>
      <c r="UOF44" s="63"/>
      <c r="UOG44" s="63"/>
      <c r="UOH44" s="63"/>
      <c r="UOI44" s="63"/>
      <c r="UOJ44" s="63"/>
      <c r="UOK44" s="63"/>
      <c r="UOL44" s="63"/>
      <c r="UOM44" s="63"/>
      <c r="UON44" s="63"/>
      <c r="UOO44" s="63"/>
      <c r="UOP44" s="63"/>
      <c r="UOQ44" s="63"/>
      <c r="UOR44" s="63"/>
      <c r="UOS44" s="63"/>
      <c r="UOT44" s="63"/>
      <c r="UOU44" s="63"/>
      <c r="UOV44" s="63"/>
      <c r="UOW44" s="63"/>
      <c r="UOX44" s="63"/>
      <c r="UOY44" s="63"/>
      <c r="UOZ44" s="63"/>
      <c r="UPA44" s="63"/>
      <c r="UPB44" s="63"/>
      <c r="UPC44" s="63"/>
      <c r="UPD44" s="63"/>
      <c r="UPE44" s="63"/>
      <c r="UPF44" s="63"/>
      <c r="UPG44" s="63"/>
      <c r="UPH44" s="63"/>
      <c r="UPI44" s="63"/>
      <c r="UPJ44" s="63"/>
      <c r="UPK44" s="63"/>
      <c r="UPL44" s="63"/>
      <c r="UPM44" s="63"/>
      <c r="UPN44" s="63"/>
      <c r="UPO44" s="63"/>
      <c r="UPP44" s="63"/>
      <c r="UPQ44" s="63"/>
      <c r="UPR44" s="63"/>
      <c r="UPS44" s="63"/>
      <c r="UPT44" s="63"/>
      <c r="UPU44" s="63"/>
      <c r="UPV44" s="63"/>
      <c r="UPW44" s="63"/>
      <c r="UPX44" s="63"/>
      <c r="UPY44" s="63"/>
      <c r="UPZ44" s="63"/>
      <c r="UQA44" s="63"/>
      <c r="UQB44" s="63"/>
      <c r="UQC44" s="63"/>
      <c r="UQD44" s="63"/>
      <c r="UQE44" s="63"/>
      <c r="UQF44" s="63"/>
      <c r="UQG44" s="63"/>
      <c r="UQH44" s="63"/>
      <c r="UQI44" s="63"/>
      <c r="UQJ44" s="63"/>
      <c r="UQK44" s="63"/>
      <c r="UQL44" s="63"/>
      <c r="UQM44" s="63"/>
      <c r="UQN44" s="63"/>
      <c r="UQO44" s="63"/>
      <c r="UQP44" s="63"/>
      <c r="UQQ44" s="63"/>
      <c r="UQR44" s="63"/>
      <c r="UQS44" s="63"/>
      <c r="UQT44" s="63"/>
      <c r="UQU44" s="63"/>
      <c r="UQV44" s="63"/>
      <c r="UQW44" s="63"/>
      <c r="UQX44" s="63"/>
      <c r="UQY44" s="63"/>
      <c r="UQZ44" s="63"/>
      <c r="URA44" s="63"/>
      <c r="URB44" s="63"/>
      <c r="URC44" s="63"/>
      <c r="URD44" s="63"/>
      <c r="URE44" s="63"/>
      <c r="URF44" s="63"/>
      <c r="URG44" s="63"/>
      <c r="URH44" s="63"/>
      <c r="URI44" s="63"/>
      <c r="URJ44" s="63"/>
      <c r="URK44" s="63"/>
      <c r="URL44" s="63"/>
      <c r="URM44" s="63"/>
      <c r="URN44" s="63"/>
      <c r="URO44" s="63"/>
      <c r="URP44" s="63"/>
      <c r="URQ44" s="63"/>
      <c r="URR44" s="63"/>
      <c r="URS44" s="63"/>
      <c r="URT44" s="63"/>
      <c r="URU44" s="63"/>
      <c r="URV44" s="63"/>
      <c r="URW44" s="63"/>
      <c r="URX44" s="63"/>
      <c r="URY44" s="63"/>
      <c r="URZ44" s="63"/>
      <c r="USA44" s="63"/>
      <c r="USB44" s="63"/>
      <c r="USC44" s="63"/>
      <c r="USD44" s="63"/>
      <c r="USE44" s="63"/>
      <c r="USF44" s="63"/>
      <c r="USG44" s="63"/>
      <c r="USH44" s="63"/>
      <c r="USI44" s="63"/>
      <c r="USJ44" s="63"/>
      <c r="USK44" s="63"/>
      <c r="USL44" s="63"/>
      <c r="USM44" s="63"/>
      <c r="USN44" s="63"/>
      <c r="USO44" s="63"/>
      <c r="USP44" s="63"/>
      <c r="USQ44" s="63"/>
      <c r="USR44" s="63"/>
      <c r="USS44" s="63"/>
      <c r="UST44" s="63"/>
      <c r="USU44" s="63"/>
      <c r="USV44" s="63"/>
      <c r="USW44" s="63"/>
      <c r="USX44" s="63"/>
      <c r="USY44" s="63"/>
      <c r="USZ44" s="63"/>
      <c r="UTA44" s="63"/>
      <c r="UTB44" s="63"/>
      <c r="UTC44" s="63"/>
      <c r="UTD44" s="63"/>
      <c r="UTE44" s="63"/>
      <c r="UTF44" s="63"/>
      <c r="UTG44" s="63"/>
      <c r="UTH44" s="63"/>
      <c r="UTI44" s="63"/>
      <c r="UTJ44" s="63"/>
      <c r="UTK44" s="63"/>
      <c r="UTL44" s="63"/>
      <c r="UTM44" s="63"/>
      <c r="UTN44" s="63"/>
      <c r="UTO44" s="63"/>
      <c r="UTP44" s="63"/>
      <c r="UTQ44" s="63"/>
      <c r="UTR44" s="63"/>
      <c r="UTS44" s="63"/>
      <c r="UTT44" s="63"/>
      <c r="UTU44" s="63"/>
      <c r="UTV44" s="63"/>
      <c r="UTW44" s="63"/>
      <c r="UTX44" s="63"/>
      <c r="UTY44" s="63"/>
      <c r="UTZ44" s="63"/>
      <c r="UUA44" s="63"/>
      <c r="UUB44" s="63"/>
      <c r="UUC44" s="63"/>
      <c r="UUD44" s="63"/>
      <c r="UUE44" s="63"/>
      <c r="UUF44" s="63"/>
      <c r="UUG44" s="63"/>
      <c r="UUH44" s="63"/>
      <c r="UUI44" s="63"/>
      <c r="UUJ44" s="63"/>
      <c r="UUK44" s="63"/>
      <c r="UUL44" s="63"/>
      <c r="UUM44" s="63"/>
      <c r="UUN44" s="63"/>
      <c r="UUO44" s="63"/>
      <c r="UUP44" s="63"/>
      <c r="UUQ44" s="63"/>
      <c r="UUR44" s="63"/>
      <c r="UUS44" s="63"/>
      <c r="UUT44" s="63"/>
      <c r="UUU44" s="63"/>
      <c r="UUV44" s="63"/>
      <c r="UUW44" s="63"/>
      <c r="UUX44" s="63"/>
      <c r="UUY44" s="63"/>
      <c r="UUZ44" s="63"/>
      <c r="UVA44" s="63"/>
      <c r="UVB44" s="63"/>
      <c r="UVC44" s="63"/>
      <c r="UVD44" s="63"/>
      <c r="UVE44" s="63"/>
      <c r="UVF44" s="63"/>
      <c r="UVG44" s="63"/>
      <c r="UVH44" s="63"/>
      <c r="UVI44" s="63"/>
      <c r="UVJ44" s="63"/>
      <c r="UVK44" s="63"/>
      <c r="UVL44" s="63"/>
      <c r="UVM44" s="63"/>
      <c r="UVN44" s="63"/>
      <c r="UVO44" s="63"/>
      <c r="UVP44" s="63"/>
      <c r="UVQ44" s="63"/>
      <c r="UVR44" s="63"/>
      <c r="UVS44" s="63"/>
      <c r="UVT44" s="63"/>
      <c r="UVU44" s="63"/>
      <c r="UVV44" s="63"/>
      <c r="UVW44" s="63"/>
      <c r="UVX44" s="63"/>
      <c r="UVY44" s="63"/>
      <c r="UVZ44" s="63"/>
      <c r="UWA44" s="63"/>
      <c r="UWB44" s="63"/>
      <c r="UWC44" s="63"/>
      <c r="UWD44" s="63"/>
      <c r="UWE44" s="63"/>
      <c r="UWF44" s="63"/>
      <c r="UWG44" s="63"/>
      <c r="UWH44" s="63"/>
      <c r="UWI44" s="63"/>
      <c r="UWJ44" s="63"/>
      <c r="UWK44" s="63"/>
      <c r="UWL44" s="63"/>
      <c r="UWM44" s="63"/>
      <c r="UWN44" s="63"/>
      <c r="UWO44" s="63"/>
      <c r="UWP44" s="63"/>
      <c r="UWQ44" s="63"/>
      <c r="UWR44" s="63"/>
      <c r="UWS44" s="63"/>
      <c r="UWT44" s="63"/>
      <c r="UWU44" s="63"/>
      <c r="UWV44" s="63"/>
      <c r="UWW44" s="63"/>
      <c r="UWX44" s="63"/>
      <c r="UWY44" s="63"/>
      <c r="UWZ44" s="63"/>
      <c r="UXA44" s="63"/>
      <c r="UXB44" s="63"/>
      <c r="UXC44" s="63"/>
      <c r="UXD44" s="63"/>
      <c r="UXE44" s="63"/>
      <c r="UXF44" s="63"/>
      <c r="UXG44" s="63"/>
      <c r="UXH44" s="63"/>
      <c r="UXI44" s="63"/>
      <c r="UXJ44" s="63"/>
      <c r="UXK44" s="63"/>
      <c r="UXL44" s="63"/>
      <c r="UXM44" s="63"/>
      <c r="UXN44" s="63"/>
      <c r="UXO44" s="63"/>
      <c r="UXP44" s="63"/>
      <c r="UXQ44" s="63"/>
      <c r="UXR44" s="63"/>
      <c r="UXS44" s="63"/>
      <c r="UXT44" s="63"/>
      <c r="UXU44" s="63"/>
      <c r="UXV44" s="63"/>
      <c r="UXW44" s="63"/>
      <c r="UXX44" s="63"/>
      <c r="UXY44" s="63"/>
      <c r="UXZ44" s="63"/>
      <c r="UYA44" s="63"/>
      <c r="UYB44" s="63"/>
      <c r="UYC44" s="63"/>
      <c r="UYD44" s="63"/>
      <c r="UYE44" s="63"/>
      <c r="UYF44" s="63"/>
      <c r="UYG44" s="63"/>
      <c r="UYH44" s="63"/>
      <c r="UYI44" s="63"/>
      <c r="UYJ44" s="63"/>
      <c r="UYK44" s="63"/>
      <c r="UYL44" s="63"/>
      <c r="UYM44" s="63"/>
      <c r="UYN44" s="63"/>
      <c r="UYO44" s="63"/>
      <c r="UYP44" s="63"/>
      <c r="UYQ44" s="63"/>
      <c r="UYR44" s="63"/>
      <c r="UYS44" s="63"/>
      <c r="UYT44" s="63"/>
      <c r="UYU44" s="63"/>
      <c r="UYV44" s="63"/>
      <c r="UYW44" s="63"/>
      <c r="UYX44" s="63"/>
      <c r="UYY44" s="63"/>
      <c r="UYZ44" s="63"/>
      <c r="UZA44" s="63"/>
      <c r="UZB44" s="63"/>
      <c r="UZC44" s="63"/>
      <c r="UZD44" s="63"/>
      <c r="UZE44" s="63"/>
      <c r="UZF44" s="63"/>
      <c r="UZG44" s="63"/>
      <c r="UZH44" s="63"/>
      <c r="UZI44" s="63"/>
      <c r="UZJ44" s="63"/>
      <c r="UZK44" s="63"/>
      <c r="UZL44" s="63"/>
      <c r="UZM44" s="63"/>
      <c r="UZN44" s="63"/>
      <c r="UZO44" s="63"/>
      <c r="UZP44" s="63"/>
      <c r="UZQ44" s="63"/>
      <c r="UZR44" s="63"/>
      <c r="UZS44" s="63"/>
      <c r="UZT44" s="63"/>
      <c r="UZU44" s="63"/>
      <c r="UZV44" s="63"/>
      <c r="UZW44" s="63"/>
      <c r="UZX44" s="63"/>
      <c r="UZY44" s="63"/>
      <c r="UZZ44" s="63"/>
      <c r="VAA44" s="63"/>
      <c r="VAB44" s="63"/>
      <c r="VAC44" s="63"/>
      <c r="VAD44" s="63"/>
      <c r="VAE44" s="63"/>
      <c r="VAF44" s="63"/>
      <c r="VAG44" s="63"/>
      <c r="VAH44" s="63"/>
      <c r="VAI44" s="63"/>
      <c r="VAJ44" s="63"/>
      <c r="VAK44" s="63"/>
      <c r="VAL44" s="63"/>
      <c r="VAM44" s="63"/>
      <c r="VAN44" s="63"/>
      <c r="VAO44" s="63"/>
      <c r="VAP44" s="63"/>
      <c r="VAQ44" s="63"/>
      <c r="VAR44" s="63"/>
      <c r="VAS44" s="63"/>
      <c r="VAT44" s="63"/>
      <c r="VAU44" s="63"/>
      <c r="VAV44" s="63"/>
      <c r="VAW44" s="63"/>
      <c r="VAX44" s="63"/>
      <c r="VAY44" s="63"/>
      <c r="VAZ44" s="63"/>
      <c r="VBA44" s="63"/>
      <c r="VBB44" s="63"/>
      <c r="VBC44" s="63"/>
      <c r="VBD44" s="63"/>
      <c r="VBE44" s="63"/>
      <c r="VBF44" s="63"/>
      <c r="VBG44" s="63"/>
      <c r="VBH44" s="63"/>
      <c r="VBI44" s="63"/>
      <c r="VBJ44" s="63"/>
      <c r="VBK44" s="63"/>
      <c r="VBL44" s="63"/>
      <c r="VBM44" s="63"/>
      <c r="VBN44" s="63"/>
      <c r="VBO44" s="63"/>
      <c r="VBP44" s="63"/>
      <c r="VBQ44" s="63"/>
      <c r="VBR44" s="63"/>
      <c r="VBS44" s="63"/>
      <c r="VBT44" s="63"/>
      <c r="VBU44" s="63"/>
      <c r="VBV44" s="63"/>
      <c r="VBW44" s="63"/>
      <c r="VBX44" s="63"/>
      <c r="VBY44" s="63"/>
      <c r="VBZ44" s="63"/>
      <c r="VCA44" s="63"/>
      <c r="VCB44" s="63"/>
      <c r="VCC44" s="63"/>
      <c r="VCD44" s="63"/>
      <c r="VCE44" s="63"/>
      <c r="VCF44" s="63"/>
      <c r="VCG44" s="63"/>
      <c r="VCH44" s="63"/>
      <c r="VCI44" s="63"/>
      <c r="VCJ44" s="63"/>
      <c r="VCK44" s="63"/>
      <c r="VCL44" s="63"/>
      <c r="VCM44" s="63"/>
      <c r="VCN44" s="63"/>
      <c r="VCO44" s="63"/>
      <c r="VCP44" s="63"/>
      <c r="VCQ44" s="63"/>
      <c r="VCR44" s="63"/>
      <c r="VCS44" s="63"/>
      <c r="VCT44" s="63"/>
      <c r="VCU44" s="63"/>
      <c r="VCV44" s="63"/>
      <c r="VCW44" s="63"/>
      <c r="VCX44" s="63"/>
      <c r="VCY44" s="63"/>
      <c r="VCZ44" s="63"/>
      <c r="VDA44" s="63"/>
      <c r="VDB44" s="63"/>
      <c r="VDC44" s="63"/>
      <c r="VDD44" s="63"/>
      <c r="VDE44" s="63"/>
      <c r="VDF44" s="63"/>
      <c r="VDG44" s="63"/>
      <c r="VDH44" s="63"/>
      <c r="VDI44" s="63"/>
      <c r="VDJ44" s="63"/>
      <c r="VDK44" s="63"/>
      <c r="VDL44" s="63"/>
      <c r="VDM44" s="63"/>
      <c r="VDN44" s="63"/>
      <c r="VDO44" s="63"/>
      <c r="VDP44" s="63"/>
      <c r="VDQ44" s="63"/>
      <c r="VDR44" s="63"/>
      <c r="VDS44" s="63"/>
      <c r="VDT44" s="63"/>
      <c r="VDU44" s="63"/>
      <c r="VDV44" s="63"/>
      <c r="VDW44" s="63"/>
      <c r="VDX44" s="63"/>
      <c r="VDY44" s="63"/>
      <c r="VDZ44" s="63"/>
      <c r="VEA44" s="63"/>
      <c r="VEB44" s="63"/>
      <c r="VEC44" s="63"/>
      <c r="VED44" s="63"/>
      <c r="VEE44" s="63"/>
      <c r="VEF44" s="63"/>
      <c r="VEG44" s="63"/>
      <c r="VEH44" s="63"/>
      <c r="VEI44" s="63"/>
      <c r="VEJ44" s="63"/>
      <c r="VEK44" s="63"/>
      <c r="VEL44" s="63"/>
      <c r="VEM44" s="63"/>
      <c r="VEN44" s="63"/>
      <c r="VEO44" s="63"/>
      <c r="VEP44" s="63"/>
      <c r="VEQ44" s="63"/>
      <c r="VER44" s="63"/>
      <c r="VES44" s="63"/>
      <c r="VET44" s="63"/>
      <c r="VEU44" s="63"/>
      <c r="VEV44" s="63"/>
      <c r="VEW44" s="63"/>
      <c r="VEX44" s="63"/>
      <c r="VEY44" s="63"/>
      <c r="VEZ44" s="63"/>
      <c r="VFA44" s="63"/>
      <c r="VFB44" s="63"/>
      <c r="VFC44" s="63"/>
      <c r="VFD44" s="63"/>
      <c r="VFE44" s="63"/>
      <c r="VFF44" s="63"/>
      <c r="VFG44" s="63"/>
      <c r="VFH44" s="63"/>
      <c r="VFI44" s="63"/>
      <c r="VFJ44" s="63"/>
      <c r="VFK44" s="63"/>
      <c r="VFL44" s="63"/>
      <c r="VFM44" s="63"/>
      <c r="VFN44" s="63"/>
      <c r="VFO44" s="63"/>
      <c r="VFP44" s="63"/>
      <c r="VFQ44" s="63"/>
      <c r="VFR44" s="63"/>
      <c r="VFS44" s="63"/>
      <c r="VFT44" s="63"/>
      <c r="VFU44" s="63"/>
      <c r="VFV44" s="63"/>
      <c r="VFW44" s="63"/>
      <c r="VFX44" s="63"/>
      <c r="VFY44" s="63"/>
      <c r="VFZ44" s="63"/>
      <c r="VGA44" s="63"/>
      <c r="VGB44" s="63"/>
    </row>
    <row r="45" spans="1:15056" s="74" customFormat="1" x14ac:dyDescent="0.2">
      <c r="A45" s="16"/>
      <c r="B45" s="16"/>
      <c r="C45" s="17"/>
      <c r="D45" s="11" t="s">
        <v>71</v>
      </c>
      <c r="E45" s="257"/>
      <c r="F45" s="12" t="s">
        <v>14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16"/>
      <c r="AL45" s="55">
        <f>SUM(G45:AJ45)</f>
        <v>0</v>
      </c>
      <c r="AM45" s="16"/>
      <c r="AN45" s="16"/>
      <c r="AO45" s="16"/>
      <c r="AP45" s="1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4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6"/>
      <c r="WJ45" s="16"/>
      <c r="WK45" s="16"/>
      <c r="WL45" s="16"/>
      <c r="WM45" s="16"/>
      <c r="WN45" s="16"/>
      <c r="WO45" s="16"/>
      <c r="WP45" s="16"/>
      <c r="WQ45" s="16"/>
      <c r="WR45" s="16"/>
      <c r="WS45" s="16"/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6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/>
      <c r="AGX45" s="16"/>
      <c r="AGY45" s="16"/>
      <c r="AGZ45" s="16"/>
      <c r="AHA45" s="16"/>
      <c r="AHB45" s="16"/>
      <c r="AHC45" s="16"/>
      <c r="AHD45" s="16"/>
      <c r="AHE45" s="16"/>
      <c r="AHF45" s="16"/>
      <c r="AHG45" s="16"/>
      <c r="AHH45" s="16"/>
      <c r="AHI45" s="16"/>
      <c r="AHJ45" s="16"/>
      <c r="AHK45" s="16"/>
      <c r="AHL45" s="16"/>
      <c r="AHM45" s="16"/>
      <c r="AHN45" s="16"/>
      <c r="AHO45" s="16"/>
      <c r="AHP45" s="16"/>
      <c r="AHQ45" s="16"/>
      <c r="AHR45" s="16"/>
      <c r="AHS45" s="16"/>
      <c r="AHT45" s="16"/>
      <c r="AHU45" s="16"/>
      <c r="AHV45" s="16"/>
      <c r="AHW45" s="16"/>
      <c r="AHX45" s="16"/>
      <c r="AHY45" s="16"/>
      <c r="AHZ45" s="16"/>
      <c r="AIA45" s="16"/>
      <c r="AIB45" s="16"/>
      <c r="AIC45" s="16"/>
      <c r="AID45" s="16"/>
      <c r="AIE45" s="16"/>
      <c r="AIF45" s="16"/>
      <c r="AIG45" s="16"/>
      <c r="AIH45" s="16"/>
      <c r="AII45" s="16"/>
      <c r="AIJ45" s="16"/>
      <c r="AIK45" s="16"/>
      <c r="AIL45" s="16"/>
      <c r="AIM45" s="16"/>
      <c r="AIN45" s="16"/>
      <c r="AIO45" s="16"/>
      <c r="AIP45" s="16"/>
      <c r="AIQ45" s="16"/>
      <c r="AIR45" s="16"/>
      <c r="AIS45" s="16"/>
      <c r="AIT45" s="16"/>
      <c r="AIU45" s="16"/>
      <c r="AIV45" s="16"/>
      <c r="AIW45" s="16"/>
      <c r="AIX45" s="16"/>
      <c r="AIY45" s="16"/>
      <c r="AIZ45" s="16"/>
      <c r="AJA45" s="16"/>
      <c r="AJB45" s="16"/>
      <c r="AJC45" s="16"/>
      <c r="AJD45" s="16"/>
      <c r="AJE45" s="16"/>
      <c r="AJF45" s="16"/>
      <c r="AJG45" s="16"/>
      <c r="AJH45" s="16"/>
      <c r="AJI45" s="16"/>
      <c r="AJJ45" s="16"/>
      <c r="AJK45" s="16"/>
      <c r="AJL45" s="16"/>
      <c r="AJM45" s="16"/>
      <c r="AJN45" s="16"/>
      <c r="AJO45" s="16"/>
      <c r="AJP45" s="16"/>
      <c r="AJQ45" s="16"/>
      <c r="AJR45" s="16"/>
      <c r="AJS45" s="16"/>
      <c r="AJT45" s="16"/>
      <c r="AJU45" s="16"/>
      <c r="AJV45" s="16"/>
      <c r="AJW45" s="16"/>
      <c r="AJX45" s="16"/>
      <c r="AJY45" s="16"/>
      <c r="AJZ45" s="16"/>
      <c r="AKA45" s="16"/>
      <c r="AKB45" s="16"/>
      <c r="AKC45" s="16"/>
      <c r="AKD45" s="16"/>
      <c r="AKE45" s="16"/>
      <c r="AKF45" s="16"/>
      <c r="AKG45" s="16"/>
      <c r="AKH45" s="16"/>
      <c r="AKI45" s="16"/>
      <c r="AKJ45" s="16"/>
      <c r="AKK45" s="16"/>
      <c r="AKL45" s="16"/>
      <c r="AKM45" s="16"/>
      <c r="AKN45" s="16"/>
      <c r="AKO45" s="16"/>
      <c r="AKP45" s="16"/>
      <c r="AKQ45" s="16"/>
      <c r="AKR45" s="16"/>
      <c r="AKS45" s="16"/>
      <c r="AKT45" s="16"/>
      <c r="AKU45" s="16"/>
      <c r="AKV45" s="16"/>
      <c r="AKW45" s="16"/>
      <c r="AKX45" s="16"/>
      <c r="AKY45" s="16"/>
      <c r="AKZ45" s="16"/>
      <c r="ALA45" s="16"/>
      <c r="ALB45" s="16"/>
      <c r="ALC45" s="16"/>
      <c r="ALD45" s="16"/>
      <c r="ALE45" s="16"/>
      <c r="ALF45" s="16"/>
      <c r="ALG45" s="16"/>
      <c r="ALH45" s="16"/>
      <c r="ALI45" s="16"/>
      <c r="ALJ45" s="16"/>
      <c r="ALK45" s="16"/>
      <c r="ALL45" s="16"/>
      <c r="ALM45" s="16"/>
      <c r="ALN45" s="16"/>
      <c r="ALO45" s="16"/>
      <c r="ALP45" s="16"/>
      <c r="ALQ45" s="16"/>
      <c r="ALR45" s="16"/>
      <c r="ALS45" s="16"/>
      <c r="ALT45" s="16"/>
      <c r="ALU45" s="16"/>
      <c r="ALV45" s="16"/>
      <c r="ALW45" s="16"/>
      <c r="ALX45" s="16"/>
      <c r="ALY45" s="16"/>
      <c r="ALZ45" s="16"/>
      <c r="AMA45" s="16"/>
      <c r="AMB45" s="16"/>
      <c r="AMC45" s="16"/>
      <c r="AMD45" s="16"/>
      <c r="AME45" s="16"/>
      <c r="AMF45" s="16"/>
      <c r="AMG45" s="16"/>
      <c r="AMH45" s="16"/>
      <c r="AMI45" s="16"/>
      <c r="AMJ45" s="16"/>
      <c r="AMK45" s="16"/>
      <c r="AML45" s="16"/>
      <c r="AMM45" s="16"/>
      <c r="AMN45" s="16"/>
      <c r="AMO45" s="16"/>
      <c r="AMP45" s="16"/>
      <c r="AMQ45" s="16"/>
      <c r="AMR45" s="16"/>
      <c r="AMS45" s="16"/>
      <c r="AMT45" s="16"/>
      <c r="AMU45" s="16"/>
      <c r="AMV45" s="16"/>
      <c r="AMW45" s="16"/>
      <c r="AMX45" s="16"/>
      <c r="AMY45" s="16"/>
      <c r="AMZ45" s="16"/>
      <c r="ANA45" s="16"/>
      <c r="ANB45" s="16"/>
      <c r="ANC45" s="16"/>
      <c r="AND45" s="16"/>
      <c r="ANE45" s="16"/>
      <c r="ANF45" s="16"/>
      <c r="ANG45" s="16"/>
      <c r="ANH45" s="16"/>
      <c r="ANI45" s="16"/>
      <c r="ANJ45" s="16"/>
      <c r="ANK45" s="16"/>
      <c r="ANL45" s="16"/>
      <c r="ANM45" s="16"/>
      <c r="ANN45" s="16"/>
      <c r="ANO45" s="16"/>
      <c r="ANP45" s="16"/>
      <c r="ANQ45" s="16"/>
      <c r="ANR45" s="16"/>
      <c r="ANS45" s="16"/>
      <c r="ANT45" s="16"/>
      <c r="ANU45" s="16"/>
      <c r="ANV45" s="16"/>
      <c r="ANW45" s="16"/>
      <c r="ANX45" s="16"/>
      <c r="ANY45" s="16"/>
      <c r="ANZ45" s="16"/>
      <c r="AOA45" s="16"/>
      <c r="AOB45" s="16"/>
      <c r="AOC45" s="16"/>
      <c r="AOD45" s="16"/>
      <c r="AOE45" s="16"/>
      <c r="AOF45" s="16"/>
      <c r="AOG45" s="16"/>
      <c r="AOH45" s="16"/>
      <c r="AOI45" s="16"/>
      <c r="AOJ45" s="16"/>
      <c r="AOK45" s="16"/>
      <c r="AOL45" s="16"/>
      <c r="AOM45" s="16"/>
      <c r="AON45" s="16"/>
      <c r="AOO45" s="16"/>
      <c r="AOP45" s="16"/>
      <c r="AOQ45" s="16"/>
      <c r="AOR45" s="16"/>
      <c r="AOS45" s="16"/>
      <c r="AOT45" s="16"/>
      <c r="AOU45" s="16"/>
      <c r="AOV45" s="16"/>
      <c r="AOW45" s="16"/>
      <c r="AOX45" s="16"/>
      <c r="AOY45" s="16"/>
      <c r="AOZ45" s="16"/>
      <c r="APA45" s="16"/>
      <c r="APB45" s="16"/>
      <c r="APC45" s="16"/>
      <c r="APD45" s="16"/>
      <c r="APE45" s="16"/>
      <c r="APF45" s="16"/>
      <c r="APG45" s="16"/>
      <c r="APH45" s="16"/>
      <c r="API45" s="16"/>
      <c r="APJ45" s="16"/>
      <c r="APK45" s="16"/>
      <c r="APL45" s="16"/>
      <c r="APM45" s="16"/>
      <c r="APN45" s="16"/>
      <c r="APO45" s="16"/>
      <c r="APP45" s="16"/>
      <c r="APQ45" s="16"/>
      <c r="APR45" s="16"/>
      <c r="APS45" s="16"/>
      <c r="APT45" s="16"/>
      <c r="APU45" s="16"/>
      <c r="APV45" s="16"/>
      <c r="APW45" s="16"/>
      <c r="APX45" s="16"/>
      <c r="APY45" s="16"/>
      <c r="APZ45" s="16"/>
      <c r="AQA45" s="16"/>
      <c r="AQB45" s="16"/>
      <c r="AQC45" s="16"/>
      <c r="AQD45" s="16"/>
      <c r="AQE45" s="16"/>
      <c r="AQF45" s="16"/>
      <c r="AQG45" s="16"/>
      <c r="AQH45" s="16"/>
      <c r="AQI45" s="16"/>
      <c r="AQJ45" s="16"/>
      <c r="AQK45" s="16"/>
      <c r="AQL45" s="16"/>
      <c r="AQM45" s="16"/>
      <c r="AQN45" s="16"/>
      <c r="AQO45" s="16"/>
      <c r="AQP45" s="16"/>
      <c r="AQQ45" s="16"/>
      <c r="AQR45" s="16"/>
      <c r="AQS45" s="16"/>
      <c r="AQT45" s="16"/>
      <c r="AQU45" s="16"/>
      <c r="AQV45" s="16"/>
      <c r="AQW45" s="16"/>
      <c r="AQX45" s="16"/>
      <c r="AQY45" s="16"/>
      <c r="AQZ45" s="16"/>
      <c r="ARA45" s="16"/>
      <c r="ARB45" s="16"/>
      <c r="ARC45" s="16"/>
      <c r="ARD45" s="16"/>
      <c r="ARE45" s="16"/>
      <c r="ARF45" s="16"/>
      <c r="ARG45" s="16"/>
      <c r="ARH45" s="16"/>
      <c r="ARI45" s="16"/>
      <c r="ARJ45" s="16"/>
      <c r="ARK45" s="16"/>
      <c r="ARL45" s="16"/>
      <c r="ARM45" s="16"/>
      <c r="ARN45" s="16"/>
      <c r="ARO45" s="16"/>
      <c r="ARP45" s="16"/>
      <c r="ARQ45" s="16"/>
      <c r="ARR45" s="16"/>
      <c r="ARS45" s="16"/>
      <c r="ART45" s="16"/>
      <c r="ARU45" s="16"/>
      <c r="ARV45" s="16"/>
      <c r="ARW45" s="16"/>
      <c r="ARX45" s="16"/>
      <c r="ARY45" s="16"/>
      <c r="ARZ45" s="16"/>
      <c r="ASA45" s="16"/>
      <c r="ASB45" s="16"/>
      <c r="ASC45" s="16"/>
      <c r="ASD45" s="16"/>
      <c r="ASE45" s="16"/>
      <c r="ASF45" s="16"/>
      <c r="ASG45" s="16"/>
      <c r="ASH45" s="16"/>
      <c r="ASI45" s="16"/>
      <c r="ASJ45" s="16"/>
      <c r="ASK45" s="16"/>
      <c r="ASL45" s="16"/>
      <c r="ASM45" s="16"/>
      <c r="ASN45" s="16"/>
      <c r="ASO45" s="16"/>
      <c r="ASP45" s="16"/>
      <c r="ASQ45" s="16"/>
      <c r="ASR45" s="16"/>
      <c r="ASS45" s="16"/>
      <c r="AST45" s="16"/>
      <c r="ASU45" s="16"/>
      <c r="ASV45" s="16"/>
      <c r="ASW45" s="16"/>
      <c r="ASX45" s="16"/>
      <c r="ASY45" s="16"/>
      <c r="ASZ45" s="16"/>
      <c r="ATA45" s="16"/>
      <c r="ATB45" s="16"/>
      <c r="ATC45" s="16"/>
      <c r="ATD45" s="16"/>
      <c r="ATE45" s="16"/>
      <c r="ATF45" s="16"/>
      <c r="ATG45" s="16"/>
      <c r="ATH45" s="16"/>
      <c r="ATI45" s="16"/>
      <c r="ATJ45" s="16"/>
      <c r="ATK45" s="16"/>
      <c r="ATL45" s="16"/>
      <c r="ATM45" s="16"/>
      <c r="ATN45" s="16"/>
      <c r="ATO45" s="16"/>
      <c r="ATP45" s="16"/>
      <c r="ATQ45" s="16"/>
      <c r="ATR45" s="16"/>
      <c r="ATS45" s="16"/>
      <c r="ATT45" s="16"/>
      <c r="ATU45" s="16"/>
      <c r="ATV45" s="16"/>
      <c r="ATW45" s="16"/>
      <c r="ATX45" s="16"/>
      <c r="ATY45" s="16"/>
      <c r="ATZ45" s="16"/>
      <c r="AUA45" s="16"/>
      <c r="AUB45" s="16"/>
      <c r="AUC45" s="16"/>
      <c r="AUD45" s="16"/>
      <c r="AUE45" s="16"/>
      <c r="AUF45" s="16"/>
      <c r="AUG45" s="16"/>
      <c r="AUH45" s="16"/>
      <c r="AUI45" s="16"/>
      <c r="AUJ45" s="16"/>
      <c r="AUK45" s="16"/>
      <c r="AUL45" s="16"/>
      <c r="AUM45" s="16"/>
      <c r="AUN45" s="16"/>
      <c r="AUO45" s="16"/>
      <c r="AUP45" s="16"/>
      <c r="AUQ45" s="16"/>
      <c r="AUR45" s="16"/>
      <c r="AUS45" s="16"/>
      <c r="AUT45" s="16"/>
      <c r="AUU45" s="16"/>
      <c r="AUV45" s="16"/>
      <c r="AUW45" s="16"/>
      <c r="AUX45" s="16"/>
      <c r="AUY45" s="16"/>
      <c r="AUZ45" s="16"/>
      <c r="AVA45" s="16"/>
      <c r="AVB45" s="16"/>
      <c r="AVC45" s="16"/>
      <c r="AVD45" s="16"/>
      <c r="AVE45" s="16"/>
      <c r="AVF45" s="16"/>
      <c r="AVG45" s="16"/>
      <c r="AVH45" s="16"/>
      <c r="AVI45" s="16"/>
      <c r="AVJ45" s="16"/>
      <c r="AVK45" s="16"/>
      <c r="AVL45" s="16"/>
      <c r="AVM45" s="16"/>
      <c r="AVN45" s="16"/>
      <c r="AVO45" s="16"/>
      <c r="AVP45" s="16"/>
      <c r="AVQ45" s="16"/>
      <c r="AVR45" s="16"/>
      <c r="AVS45" s="16"/>
      <c r="AVT45" s="16"/>
      <c r="AVU45" s="16"/>
      <c r="AVV45" s="16"/>
      <c r="AVW45" s="16"/>
      <c r="AVX45" s="16"/>
      <c r="AVY45" s="16"/>
      <c r="AVZ45" s="16"/>
      <c r="AWA45" s="16"/>
      <c r="AWB45" s="16"/>
      <c r="AWC45" s="16"/>
      <c r="AWD45" s="16"/>
      <c r="AWE45" s="16"/>
      <c r="AWF45" s="16"/>
      <c r="AWG45" s="16"/>
      <c r="AWH45" s="16"/>
      <c r="AWI45" s="16"/>
      <c r="AWJ45" s="16"/>
      <c r="AWK45" s="16"/>
      <c r="AWL45" s="16"/>
      <c r="AWM45" s="16"/>
      <c r="AWN45" s="16"/>
      <c r="AWO45" s="16"/>
      <c r="AWP45" s="16"/>
      <c r="AWQ45" s="16"/>
      <c r="AWR45" s="16"/>
      <c r="AWS45" s="16"/>
      <c r="AWT45" s="16"/>
      <c r="AWU45" s="16"/>
      <c r="AWV45" s="16"/>
      <c r="AWW45" s="16"/>
      <c r="AWX45" s="16"/>
      <c r="AWY45" s="16"/>
      <c r="AWZ45" s="16"/>
      <c r="AXA45" s="16"/>
      <c r="AXB45" s="16"/>
      <c r="AXC45" s="16"/>
      <c r="AXD45" s="16"/>
      <c r="AXE45" s="16"/>
      <c r="AXF45" s="16"/>
      <c r="AXG45" s="16"/>
      <c r="AXH45" s="16"/>
      <c r="AXI45" s="16"/>
      <c r="AXJ45" s="16"/>
      <c r="AXK45" s="16"/>
      <c r="AXL45" s="16"/>
      <c r="AXM45" s="16"/>
      <c r="AXN45" s="16"/>
      <c r="AXO45" s="16"/>
      <c r="AXP45" s="16"/>
      <c r="AXQ45" s="16"/>
      <c r="AXR45" s="16"/>
      <c r="AXS45" s="16"/>
      <c r="AXT45" s="16"/>
      <c r="AXU45" s="16"/>
      <c r="AXV45" s="16"/>
      <c r="AXW45" s="16"/>
      <c r="AXX45" s="16"/>
      <c r="AXY45" s="16"/>
      <c r="AXZ45" s="16"/>
      <c r="AYA45" s="16"/>
      <c r="AYB45" s="16"/>
      <c r="AYC45" s="16"/>
      <c r="AYD45" s="16"/>
      <c r="AYE45" s="16"/>
      <c r="AYF45" s="16"/>
      <c r="AYG45" s="16"/>
      <c r="AYH45" s="16"/>
      <c r="AYI45" s="16"/>
      <c r="AYJ45" s="16"/>
      <c r="AYK45" s="16"/>
      <c r="AYL45" s="16"/>
      <c r="AYM45" s="16"/>
      <c r="AYN45" s="16"/>
      <c r="AYO45" s="16"/>
      <c r="AYP45" s="16"/>
      <c r="AYQ45" s="16"/>
      <c r="AYR45" s="16"/>
      <c r="AYS45" s="16"/>
      <c r="AYT45" s="16"/>
      <c r="AYU45" s="16"/>
      <c r="AYV45" s="16"/>
      <c r="AYW45" s="16"/>
      <c r="AYX45" s="16"/>
      <c r="AYY45" s="16"/>
      <c r="AYZ45" s="16"/>
      <c r="AZA45" s="16"/>
      <c r="AZB45" s="16"/>
      <c r="AZC45" s="16"/>
      <c r="AZD45" s="16"/>
      <c r="AZE45" s="16"/>
      <c r="AZF45" s="16"/>
      <c r="AZG45" s="16"/>
      <c r="AZH45" s="16"/>
      <c r="AZI45" s="16"/>
      <c r="AZJ45" s="16"/>
      <c r="AZK45" s="16"/>
      <c r="AZL45" s="16"/>
      <c r="AZM45" s="16"/>
      <c r="AZN45" s="16"/>
      <c r="AZO45" s="16"/>
      <c r="AZP45" s="16"/>
      <c r="AZQ45" s="16"/>
      <c r="AZR45" s="16"/>
      <c r="AZS45" s="16"/>
      <c r="AZT45" s="16"/>
      <c r="AZU45" s="16"/>
      <c r="AZV45" s="16"/>
      <c r="AZW45" s="16"/>
      <c r="AZX45" s="16"/>
      <c r="AZY45" s="16"/>
      <c r="AZZ45" s="16"/>
      <c r="BAA45" s="16"/>
      <c r="BAB45" s="16"/>
      <c r="BAC45" s="16"/>
      <c r="BAD45" s="16"/>
      <c r="BAE45" s="16"/>
      <c r="BAF45" s="16"/>
      <c r="BAG45" s="16"/>
      <c r="BAH45" s="16"/>
      <c r="BAI45" s="16"/>
      <c r="BAJ45" s="16"/>
      <c r="BAK45" s="16"/>
      <c r="BAL45" s="16"/>
      <c r="BAM45" s="16"/>
      <c r="BAN45" s="16"/>
      <c r="BAO45" s="16"/>
      <c r="BAP45" s="16"/>
      <c r="BAQ45" s="16"/>
      <c r="BAR45" s="16"/>
      <c r="BAS45" s="16"/>
      <c r="BAT45" s="16"/>
      <c r="BAU45" s="16"/>
      <c r="BAV45" s="16"/>
      <c r="BAW45" s="16"/>
      <c r="BAX45" s="16"/>
      <c r="BAY45" s="16"/>
      <c r="BAZ45" s="16"/>
      <c r="BBA45" s="16"/>
      <c r="BBB45" s="16"/>
      <c r="BBC45" s="16"/>
      <c r="BBD45" s="16"/>
      <c r="BBE45" s="16"/>
      <c r="BBF45" s="16"/>
      <c r="BBG45" s="16"/>
      <c r="BBH45" s="16"/>
      <c r="BBI45" s="16"/>
      <c r="BBJ45" s="16"/>
      <c r="BBK45" s="16"/>
      <c r="BBL45" s="16"/>
      <c r="BBM45" s="16"/>
      <c r="BBN45" s="16"/>
      <c r="BBO45" s="16"/>
      <c r="BBP45" s="16"/>
      <c r="BBQ45" s="16"/>
      <c r="BBR45" s="16"/>
      <c r="BBS45" s="16"/>
      <c r="BBT45" s="16"/>
      <c r="BBU45" s="16"/>
      <c r="BBV45" s="16"/>
      <c r="BBW45" s="16"/>
      <c r="BBX45" s="16"/>
      <c r="BBY45" s="16"/>
      <c r="BBZ45" s="16"/>
      <c r="BCA45" s="16"/>
      <c r="BCB45" s="16"/>
      <c r="BCC45" s="16"/>
      <c r="BCD45" s="16"/>
      <c r="BCE45" s="16"/>
      <c r="BCF45" s="16"/>
      <c r="BCG45" s="16"/>
      <c r="BCH45" s="16"/>
      <c r="BCI45" s="16"/>
      <c r="BCJ45" s="16"/>
      <c r="BCK45" s="16"/>
      <c r="BCL45" s="16"/>
      <c r="BCM45" s="16"/>
      <c r="BCN45" s="16"/>
      <c r="BCO45" s="16"/>
      <c r="BCP45" s="16"/>
      <c r="BCQ45" s="16"/>
      <c r="BCR45" s="16"/>
      <c r="BCS45" s="16"/>
      <c r="BCT45" s="16"/>
      <c r="BCU45" s="16"/>
      <c r="BCV45" s="16"/>
      <c r="BCW45" s="16"/>
      <c r="BCX45" s="16"/>
      <c r="BCY45" s="16"/>
      <c r="BCZ45" s="16"/>
      <c r="BDA45" s="16"/>
      <c r="BDB45" s="16"/>
      <c r="BDC45" s="16"/>
      <c r="BDD45" s="16"/>
      <c r="BDE45" s="16"/>
      <c r="BDF45" s="16"/>
      <c r="BDG45" s="16"/>
      <c r="BDH45" s="16"/>
      <c r="BDI45" s="16"/>
      <c r="BDJ45" s="16"/>
      <c r="BDK45" s="16"/>
      <c r="BDL45" s="16"/>
      <c r="BDM45" s="16"/>
      <c r="BDN45" s="16"/>
      <c r="BDO45" s="16"/>
      <c r="BDP45" s="16"/>
      <c r="BDQ45" s="16"/>
      <c r="BDR45" s="16"/>
      <c r="BDS45" s="16"/>
      <c r="BDT45" s="16"/>
      <c r="BDU45" s="16"/>
      <c r="BDV45" s="16"/>
      <c r="BDW45" s="16"/>
      <c r="BDX45" s="16"/>
      <c r="BDY45" s="16"/>
      <c r="BDZ45" s="16"/>
      <c r="BEA45" s="16"/>
      <c r="BEB45" s="16"/>
      <c r="BEC45" s="16"/>
      <c r="BED45" s="16"/>
      <c r="BEE45" s="16"/>
      <c r="BEF45" s="16"/>
      <c r="BEG45" s="16"/>
      <c r="BEH45" s="16"/>
      <c r="BEI45" s="16"/>
      <c r="BEJ45" s="16"/>
      <c r="BEK45" s="16"/>
      <c r="BEL45" s="16"/>
      <c r="BEM45" s="16"/>
      <c r="BEN45" s="16"/>
      <c r="BEO45" s="16"/>
      <c r="BEP45" s="16"/>
      <c r="BEQ45" s="16"/>
      <c r="BER45" s="16"/>
      <c r="BES45" s="16"/>
      <c r="BET45" s="16"/>
      <c r="BEU45" s="16"/>
      <c r="BEV45" s="16"/>
      <c r="BEW45" s="16"/>
      <c r="BEX45" s="16"/>
      <c r="BEY45" s="16"/>
      <c r="BEZ45" s="16"/>
      <c r="BFA45" s="16"/>
      <c r="BFB45" s="16"/>
      <c r="BFC45" s="16"/>
      <c r="BFD45" s="16"/>
      <c r="BFE45" s="16"/>
      <c r="BFF45" s="16"/>
      <c r="BFG45" s="16"/>
      <c r="BFH45" s="16"/>
      <c r="BFI45" s="16"/>
      <c r="BFJ45" s="16"/>
      <c r="BFK45" s="16"/>
      <c r="BFL45" s="16"/>
      <c r="BFM45" s="16"/>
      <c r="BFN45" s="16"/>
      <c r="BFO45" s="16"/>
      <c r="BFP45" s="16"/>
      <c r="BFQ45" s="16"/>
      <c r="BFR45" s="16"/>
      <c r="BFS45" s="16"/>
      <c r="BFT45" s="16"/>
      <c r="BFU45" s="16"/>
      <c r="BFV45" s="16"/>
      <c r="BFW45" s="16"/>
      <c r="BFX45" s="16"/>
      <c r="BFY45" s="16"/>
      <c r="BFZ45" s="16"/>
      <c r="BGA45" s="16"/>
      <c r="BGB45" s="16"/>
      <c r="BGC45" s="16"/>
      <c r="BGD45" s="16"/>
      <c r="BGE45" s="16"/>
      <c r="BGF45" s="16"/>
      <c r="BGG45" s="16"/>
      <c r="BGH45" s="16"/>
      <c r="BGI45" s="16"/>
      <c r="BGJ45" s="16"/>
      <c r="BGK45" s="16"/>
      <c r="BGL45" s="16"/>
      <c r="BGM45" s="16"/>
      <c r="BGN45" s="16"/>
      <c r="BGO45" s="16"/>
      <c r="BGP45" s="16"/>
      <c r="BGQ45" s="16"/>
      <c r="BGR45" s="16"/>
      <c r="BGS45" s="16"/>
      <c r="BGT45" s="16"/>
      <c r="BGU45" s="16"/>
      <c r="BGV45" s="16"/>
      <c r="BGW45" s="16"/>
      <c r="BGX45" s="16"/>
      <c r="BGY45" s="16"/>
      <c r="BGZ45" s="16"/>
      <c r="BHA45" s="16"/>
      <c r="BHB45" s="16"/>
      <c r="BHC45" s="16"/>
      <c r="BHD45" s="16"/>
      <c r="BHE45" s="16"/>
      <c r="BHF45" s="16"/>
      <c r="BHG45" s="16"/>
      <c r="BHH45" s="16"/>
      <c r="BHI45" s="16"/>
      <c r="BHJ45" s="16"/>
      <c r="BHK45" s="16"/>
      <c r="BHL45" s="16"/>
      <c r="BHM45" s="16"/>
      <c r="BHN45" s="16"/>
      <c r="BHO45" s="16"/>
      <c r="BHP45" s="16"/>
      <c r="BHQ45" s="16"/>
      <c r="BHR45" s="16"/>
      <c r="BHS45" s="16"/>
      <c r="BHT45" s="16"/>
      <c r="BHU45" s="16"/>
      <c r="BHV45" s="16"/>
      <c r="BHW45" s="16"/>
      <c r="BHX45" s="16"/>
      <c r="BHY45" s="16"/>
      <c r="BHZ45" s="16"/>
      <c r="BIA45" s="16"/>
      <c r="BIB45" s="16"/>
      <c r="BIC45" s="16"/>
      <c r="BID45" s="16"/>
      <c r="BIE45" s="16"/>
      <c r="BIF45" s="16"/>
      <c r="BIG45" s="16"/>
      <c r="BIH45" s="16"/>
      <c r="BII45" s="16"/>
      <c r="BIJ45" s="16"/>
      <c r="BIK45" s="16"/>
      <c r="BIL45" s="16"/>
      <c r="BIM45" s="16"/>
      <c r="BIN45" s="16"/>
      <c r="BIO45" s="16"/>
      <c r="BIP45" s="16"/>
      <c r="BIQ45" s="16"/>
      <c r="BIR45" s="16"/>
      <c r="BIS45" s="16"/>
      <c r="BIT45" s="16"/>
      <c r="BIU45" s="16"/>
      <c r="BIV45" s="16"/>
      <c r="BIW45" s="16"/>
      <c r="BIX45" s="16"/>
      <c r="BIY45" s="16"/>
      <c r="BIZ45" s="16"/>
      <c r="BJA45" s="16"/>
      <c r="BJB45" s="16"/>
      <c r="BJC45" s="16"/>
      <c r="BJD45" s="16"/>
      <c r="BJE45" s="16"/>
      <c r="BJF45" s="16"/>
      <c r="BJG45" s="16"/>
      <c r="BJH45" s="16"/>
      <c r="BJI45" s="16"/>
      <c r="BJJ45" s="16"/>
      <c r="BJK45" s="16"/>
      <c r="BJL45" s="16"/>
      <c r="BJM45" s="16"/>
      <c r="BJN45" s="16"/>
      <c r="BJO45" s="16"/>
      <c r="BJP45" s="16"/>
      <c r="BJQ45" s="16"/>
      <c r="BJR45" s="16"/>
      <c r="BJS45" s="16"/>
      <c r="BJT45" s="16"/>
      <c r="BJU45" s="16"/>
      <c r="BJV45" s="16"/>
      <c r="BJW45" s="16"/>
      <c r="BJX45" s="16"/>
      <c r="BJY45" s="16"/>
      <c r="BJZ45" s="16"/>
      <c r="BKA45" s="16"/>
      <c r="BKB45" s="16"/>
      <c r="BKC45" s="16"/>
      <c r="BKD45" s="16"/>
      <c r="BKE45" s="16"/>
      <c r="BKF45" s="16"/>
      <c r="BKG45" s="16"/>
      <c r="BKH45" s="16"/>
      <c r="BKI45" s="16"/>
      <c r="BKJ45" s="16"/>
      <c r="BKK45" s="16"/>
      <c r="BKL45" s="16"/>
      <c r="BKM45" s="16"/>
      <c r="BKN45" s="16"/>
      <c r="BKO45" s="16"/>
      <c r="BKP45" s="16"/>
      <c r="BKQ45" s="16"/>
      <c r="BKR45" s="16"/>
      <c r="BKS45" s="16"/>
      <c r="BKT45" s="16"/>
      <c r="BKU45" s="16"/>
      <c r="BKV45" s="16"/>
      <c r="BKW45" s="16"/>
      <c r="BKX45" s="16"/>
      <c r="BKY45" s="16"/>
      <c r="BKZ45" s="16"/>
      <c r="BLA45" s="16"/>
      <c r="BLB45" s="16"/>
      <c r="BLC45" s="16"/>
      <c r="BLD45" s="16"/>
      <c r="BLE45" s="16"/>
      <c r="BLF45" s="16"/>
      <c r="BLG45" s="16"/>
      <c r="BLH45" s="16"/>
      <c r="BLI45" s="16"/>
      <c r="BLJ45" s="16"/>
      <c r="BLK45" s="16"/>
      <c r="BLL45" s="16"/>
      <c r="BLM45" s="16"/>
      <c r="BLN45" s="16"/>
      <c r="BLO45" s="16"/>
      <c r="BLP45" s="16"/>
      <c r="BLQ45" s="16"/>
      <c r="BLR45" s="16"/>
      <c r="BLS45" s="16"/>
      <c r="BLT45" s="16"/>
      <c r="BLU45" s="16"/>
      <c r="BLV45" s="16"/>
      <c r="BLW45" s="16"/>
      <c r="BLX45" s="16"/>
      <c r="BLY45" s="16"/>
      <c r="BLZ45" s="16"/>
      <c r="BMA45" s="16"/>
      <c r="BMB45" s="16"/>
      <c r="BMC45" s="16"/>
      <c r="BMD45" s="16"/>
      <c r="BME45" s="16"/>
      <c r="BMF45" s="16"/>
      <c r="BMG45" s="16"/>
      <c r="BMH45" s="16"/>
      <c r="BMI45" s="16"/>
      <c r="BMJ45" s="16"/>
      <c r="BMK45" s="16"/>
      <c r="BML45" s="16"/>
      <c r="BMM45" s="16"/>
      <c r="BMN45" s="16"/>
      <c r="BMO45" s="16"/>
      <c r="BMP45" s="16"/>
      <c r="BMQ45" s="16"/>
      <c r="BMR45" s="16"/>
      <c r="BMS45" s="16"/>
      <c r="BMT45" s="16"/>
      <c r="BMU45" s="16"/>
      <c r="BMV45" s="16"/>
      <c r="BMW45" s="16"/>
      <c r="BMX45" s="16"/>
      <c r="BMY45" s="16"/>
      <c r="BMZ45" s="16"/>
      <c r="BNA45" s="16"/>
      <c r="BNB45" s="16"/>
      <c r="BNC45" s="16"/>
      <c r="BND45" s="16"/>
      <c r="BNE45" s="16"/>
      <c r="BNF45" s="16"/>
      <c r="BNG45" s="16"/>
      <c r="BNH45" s="16"/>
      <c r="BNI45" s="16"/>
      <c r="BNJ45" s="16"/>
      <c r="BNK45" s="16"/>
      <c r="BNL45" s="16"/>
      <c r="BNM45" s="16"/>
      <c r="BNN45" s="16"/>
      <c r="BNO45" s="16"/>
      <c r="BNP45" s="16"/>
      <c r="BNQ45" s="16"/>
      <c r="BNR45" s="16"/>
      <c r="BNS45" s="16"/>
      <c r="BNT45" s="16"/>
      <c r="BNU45" s="16"/>
      <c r="BNV45" s="16"/>
      <c r="BNW45" s="16"/>
      <c r="BNX45" s="16"/>
      <c r="BNY45" s="16"/>
      <c r="BNZ45" s="16"/>
      <c r="BOA45" s="16"/>
      <c r="BOB45" s="16"/>
      <c r="BOC45" s="16"/>
      <c r="BOD45" s="16"/>
      <c r="BOE45" s="16"/>
      <c r="BOF45" s="16"/>
      <c r="BOG45" s="16"/>
      <c r="BOH45" s="16"/>
      <c r="BOI45" s="16"/>
      <c r="BOJ45" s="16"/>
      <c r="BOK45" s="16"/>
      <c r="BOL45" s="16"/>
      <c r="BOM45" s="16"/>
      <c r="BON45" s="16"/>
      <c r="BOO45" s="16"/>
      <c r="BOP45" s="16"/>
      <c r="BOQ45" s="16"/>
      <c r="BOR45" s="16"/>
      <c r="BOS45" s="16"/>
      <c r="BOT45" s="16"/>
      <c r="BOU45" s="16"/>
      <c r="BOV45" s="16"/>
      <c r="BOW45" s="16"/>
      <c r="BOX45" s="16"/>
      <c r="BOY45" s="16"/>
      <c r="BOZ45" s="16"/>
      <c r="BPA45" s="16"/>
      <c r="BPB45" s="16"/>
      <c r="BPC45" s="16"/>
      <c r="BPD45" s="16"/>
      <c r="BPE45" s="16"/>
      <c r="BPF45" s="16"/>
      <c r="BPG45" s="16"/>
      <c r="BPH45" s="16"/>
      <c r="BPI45" s="16"/>
      <c r="BPJ45" s="16"/>
      <c r="BPK45" s="16"/>
      <c r="BPL45" s="16"/>
      <c r="BPM45" s="16"/>
      <c r="BPN45" s="16"/>
      <c r="BPO45" s="16"/>
      <c r="BPP45" s="16"/>
      <c r="BPQ45" s="16"/>
      <c r="BPR45" s="16"/>
      <c r="BPS45" s="16"/>
      <c r="BPT45" s="16"/>
      <c r="BPU45" s="16"/>
      <c r="BPV45" s="16"/>
      <c r="BPW45" s="16"/>
      <c r="BPX45" s="16"/>
      <c r="BPY45" s="16"/>
      <c r="BPZ45" s="16"/>
      <c r="BQA45" s="16"/>
      <c r="BQB45" s="16"/>
      <c r="BQC45" s="16"/>
      <c r="BQD45" s="16"/>
      <c r="BQE45" s="16"/>
      <c r="BQF45" s="16"/>
      <c r="BQG45" s="16"/>
      <c r="BQH45" s="16"/>
      <c r="BQI45" s="16"/>
      <c r="BQJ45" s="16"/>
      <c r="BQK45" s="16"/>
      <c r="BQL45" s="16"/>
      <c r="BQM45" s="16"/>
      <c r="BQN45" s="16"/>
      <c r="BQO45" s="16"/>
      <c r="BQP45" s="16"/>
      <c r="BQQ45" s="16"/>
      <c r="BQR45" s="16"/>
      <c r="BQS45" s="16"/>
      <c r="BQT45" s="16"/>
      <c r="BQU45" s="16"/>
      <c r="BQV45" s="16"/>
      <c r="BQW45" s="16"/>
      <c r="BQX45" s="16"/>
      <c r="BQY45" s="16"/>
      <c r="BQZ45" s="16"/>
      <c r="BRA45" s="16"/>
      <c r="BRB45" s="16"/>
      <c r="BRC45" s="16"/>
      <c r="BRD45" s="16"/>
      <c r="BRE45" s="16"/>
      <c r="BRF45" s="16"/>
      <c r="BRG45" s="16"/>
      <c r="BRH45" s="16"/>
      <c r="BRI45" s="16"/>
      <c r="BRJ45" s="16"/>
      <c r="BRK45" s="16"/>
      <c r="BRL45" s="16"/>
      <c r="BRM45" s="16"/>
      <c r="BRN45" s="16"/>
      <c r="BRO45" s="16"/>
      <c r="BRP45" s="16"/>
      <c r="BRQ45" s="16"/>
      <c r="BRR45" s="16"/>
      <c r="BRS45" s="16"/>
      <c r="BRT45" s="16"/>
      <c r="BRU45" s="16"/>
      <c r="BRV45" s="16"/>
      <c r="BRW45" s="16"/>
      <c r="BRX45" s="16"/>
      <c r="BRY45" s="16"/>
      <c r="BRZ45" s="16"/>
      <c r="BSA45" s="16"/>
      <c r="BSB45" s="16"/>
      <c r="BSC45" s="16"/>
      <c r="BSD45" s="16"/>
      <c r="BSE45" s="16"/>
      <c r="BSF45" s="16"/>
      <c r="BSG45" s="16"/>
      <c r="BSH45" s="16"/>
      <c r="BSI45" s="16"/>
      <c r="BSJ45" s="16"/>
      <c r="BSK45" s="16"/>
      <c r="BSL45" s="16"/>
      <c r="BSM45" s="16"/>
      <c r="BSN45" s="16"/>
      <c r="BSO45" s="16"/>
      <c r="BSP45" s="16"/>
      <c r="BSQ45" s="16"/>
      <c r="BSR45" s="16"/>
      <c r="BSS45" s="16"/>
      <c r="BST45" s="16"/>
      <c r="BSU45" s="16"/>
      <c r="BSV45" s="16"/>
      <c r="BSW45" s="16"/>
      <c r="BSX45" s="16"/>
      <c r="BSY45" s="16"/>
      <c r="BSZ45" s="16"/>
      <c r="BTA45" s="16"/>
      <c r="BTB45" s="16"/>
      <c r="BTC45" s="16"/>
      <c r="BTD45" s="16"/>
      <c r="BTE45" s="16"/>
      <c r="BTF45" s="16"/>
      <c r="BTG45" s="16"/>
      <c r="BTH45" s="16"/>
      <c r="BTI45" s="16"/>
      <c r="BTJ45" s="16"/>
      <c r="BTK45" s="16"/>
      <c r="BTL45" s="16"/>
      <c r="BTM45" s="16"/>
      <c r="BTN45" s="16"/>
      <c r="BTO45" s="16"/>
      <c r="BTP45" s="16"/>
      <c r="BTQ45" s="16"/>
      <c r="BTR45" s="16"/>
      <c r="BTS45" s="16"/>
      <c r="BTT45" s="16"/>
      <c r="BTU45" s="16"/>
      <c r="BTV45" s="16"/>
      <c r="BTW45" s="16"/>
      <c r="BTX45" s="16"/>
      <c r="BTY45" s="16"/>
      <c r="BTZ45" s="16"/>
      <c r="BUA45" s="16"/>
      <c r="BUB45" s="16"/>
      <c r="BUC45" s="16"/>
      <c r="BUD45" s="16"/>
      <c r="BUE45" s="16"/>
      <c r="BUF45" s="16"/>
      <c r="BUG45" s="16"/>
      <c r="BUH45" s="16"/>
      <c r="BUI45" s="16"/>
      <c r="BUJ45" s="16"/>
      <c r="BUK45" s="16"/>
      <c r="BUL45" s="16"/>
      <c r="BUM45" s="16"/>
      <c r="BUN45" s="16"/>
      <c r="BUO45" s="16"/>
      <c r="BUP45" s="16"/>
      <c r="BUQ45" s="16"/>
      <c r="BUR45" s="16"/>
      <c r="BUS45" s="16"/>
      <c r="BUT45" s="16"/>
      <c r="BUU45" s="16"/>
      <c r="BUV45" s="16"/>
      <c r="BUW45" s="16"/>
      <c r="BUX45" s="16"/>
      <c r="BUY45" s="16"/>
      <c r="BUZ45" s="16"/>
      <c r="BVA45" s="16"/>
      <c r="BVB45" s="16"/>
      <c r="BVC45" s="16"/>
      <c r="BVD45" s="16"/>
      <c r="BVE45" s="16"/>
      <c r="BVF45" s="16"/>
      <c r="BVG45" s="16"/>
      <c r="BVH45" s="16"/>
      <c r="BVI45" s="16"/>
      <c r="BVJ45" s="16"/>
      <c r="BVK45" s="16"/>
      <c r="BVL45" s="16"/>
      <c r="BVM45" s="16"/>
      <c r="BVN45" s="16"/>
      <c r="BVO45" s="16"/>
      <c r="BVP45" s="16"/>
      <c r="BVQ45" s="16"/>
      <c r="BVR45" s="16"/>
      <c r="BVS45" s="16"/>
      <c r="BVT45" s="16"/>
      <c r="BVU45" s="16"/>
      <c r="BVV45" s="16"/>
      <c r="BVW45" s="16"/>
      <c r="BVX45" s="16"/>
      <c r="BVY45" s="16"/>
      <c r="BVZ45" s="16"/>
      <c r="BWA45" s="16"/>
      <c r="BWB45" s="16"/>
      <c r="BWC45" s="16"/>
      <c r="BWD45" s="16"/>
      <c r="BWE45" s="16"/>
      <c r="BWF45" s="16"/>
      <c r="BWG45" s="16"/>
      <c r="BWH45" s="16"/>
      <c r="BWI45" s="16"/>
      <c r="BWJ45" s="16"/>
      <c r="BWK45" s="16"/>
      <c r="BWL45" s="16"/>
      <c r="BWM45" s="16"/>
      <c r="BWN45" s="16"/>
      <c r="BWO45" s="16"/>
      <c r="BWP45" s="16"/>
      <c r="BWQ45" s="16"/>
      <c r="BWR45" s="16"/>
      <c r="BWS45" s="16"/>
      <c r="BWT45" s="16"/>
      <c r="BWU45" s="16"/>
      <c r="BWV45" s="16"/>
      <c r="BWW45" s="16"/>
      <c r="BWX45" s="16"/>
      <c r="BWY45" s="16"/>
      <c r="BWZ45" s="16"/>
      <c r="BXA45" s="16"/>
      <c r="BXB45" s="16"/>
      <c r="BXC45" s="16"/>
      <c r="BXD45" s="16"/>
      <c r="BXE45" s="16"/>
      <c r="BXF45" s="16"/>
      <c r="BXG45" s="16"/>
      <c r="BXH45" s="16"/>
      <c r="BXI45" s="16"/>
      <c r="BXJ45" s="16"/>
      <c r="BXK45" s="16"/>
      <c r="BXL45" s="16"/>
      <c r="BXM45" s="16"/>
      <c r="BXN45" s="16"/>
      <c r="BXO45" s="16"/>
      <c r="BXP45" s="16"/>
      <c r="BXQ45" s="16"/>
      <c r="BXR45" s="16"/>
      <c r="BXS45" s="16"/>
      <c r="BXT45" s="16"/>
      <c r="BXU45" s="16"/>
      <c r="BXV45" s="16"/>
      <c r="BXW45" s="16"/>
      <c r="BXX45" s="16"/>
      <c r="BXY45" s="16"/>
      <c r="BXZ45" s="16"/>
      <c r="BYA45" s="16"/>
      <c r="BYB45" s="16"/>
      <c r="BYC45" s="16"/>
      <c r="BYD45" s="16"/>
      <c r="BYE45" s="16"/>
      <c r="BYF45" s="16"/>
      <c r="BYG45" s="16"/>
      <c r="BYH45" s="16"/>
      <c r="BYI45" s="16"/>
      <c r="BYJ45" s="16"/>
      <c r="BYK45" s="16"/>
      <c r="BYL45" s="16"/>
      <c r="BYM45" s="16"/>
      <c r="BYN45" s="16"/>
      <c r="BYO45" s="16"/>
      <c r="BYP45" s="16"/>
      <c r="BYQ45" s="16"/>
      <c r="BYR45" s="16"/>
      <c r="BYS45" s="16"/>
      <c r="BYT45" s="16"/>
      <c r="BYU45" s="16"/>
      <c r="BYV45" s="16"/>
      <c r="BYW45" s="16"/>
      <c r="BYX45" s="16"/>
      <c r="BYY45" s="16"/>
      <c r="BYZ45" s="16"/>
      <c r="BZA45" s="16"/>
      <c r="BZB45" s="16"/>
      <c r="BZC45" s="16"/>
      <c r="BZD45" s="16"/>
      <c r="BZE45" s="16"/>
      <c r="BZF45" s="16"/>
      <c r="BZG45" s="16"/>
      <c r="BZH45" s="16"/>
      <c r="BZI45" s="16"/>
      <c r="BZJ45" s="16"/>
      <c r="BZK45" s="16"/>
      <c r="BZL45" s="16"/>
      <c r="BZM45" s="16"/>
      <c r="BZN45" s="16"/>
      <c r="BZO45" s="16"/>
      <c r="BZP45" s="16"/>
      <c r="BZQ45" s="16"/>
      <c r="BZR45" s="16"/>
      <c r="BZS45" s="16"/>
      <c r="BZT45" s="16"/>
      <c r="BZU45" s="16"/>
      <c r="BZV45" s="16"/>
      <c r="BZW45" s="16"/>
      <c r="BZX45" s="16"/>
      <c r="BZY45" s="16"/>
      <c r="BZZ45" s="16"/>
      <c r="CAA45" s="16"/>
      <c r="CAB45" s="16"/>
      <c r="CAC45" s="16"/>
      <c r="CAD45" s="16"/>
      <c r="CAE45" s="16"/>
      <c r="CAF45" s="16"/>
      <c r="CAG45" s="16"/>
      <c r="CAH45" s="16"/>
      <c r="CAI45" s="16"/>
      <c r="CAJ45" s="16"/>
      <c r="CAK45" s="16"/>
      <c r="CAL45" s="16"/>
      <c r="CAM45" s="16"/>
      <c r="CAN45" s="16"/>
      <c r="CAO45" s="16"/>
      <c r="CAP45" s="16"/>
      <c r="CAQ45" s="16"/>
      <c r="CAR45" s="16"/>
      <c r="CAS45" s="16"/>
      <c r="CAT45" s="16"/>
      <c r="CAU45" s="16"/>
      <c r="CAV45" s="16"/>
      <c r="CAW45" s="16"/>
      <c r="CAX45" s="16"/>
      <c r="CAY45" s="16"/>
      <c r="CAZ45" s="16"/>
      <c r="CBA45" s="16"/>
      <c r="CBB45" s="16"/>
      <c r="CBC45" s="16"/>
      <c r="CBD45" s="16"/>
      <c r="CBE45" s="16"/>
      <c r="CBF45" s="16"/>
      <c r="CBG45" s="16"/>
      <c r="CBH45" s="16"/>
      <c r="CBI45" s="16"/>
      <c r="CBJ45" s="16"/>
      <c r="CBK45" s="16"/>
      <c r="CBL45" s="16"/>
      <c r="CBM45" s="16"/>
      <c r="CBN45" s="16"/>
      <c r="CBO45" s="16"/>
      <c r="CBP45" s="16"/>
      <c r="CBQ45" s="16"/>
      <c r="CBR45" s="16"/>
      <c r="CBS45" s="16"/>
      <c r="CBT45" s="16"/>
      <c r="CBU45" s="16"/>
      <c r="CBV45" s="16"/>
      <c r="CBW45" s="16"/>
      <c r="CBX45" s="16"/>
      <c r="CBY45" s="16"/>
      <c r="CBZ45" s="16"/>
      <c r="CCA45" s="16"/>
      <c r="CCB45" s="16"/>
      <c r="CCC45" s="16"/>
      <c r="CCD45" s="16"/>
      <c r="CCE45" s="16"/>
      <c r="CCF45" s="16"/>
      <c r="CCG45" s="16"/>
      <c r="CCH45" s="16"/>
      <c r="CCI45" s="16"/>
      <c r="CCJ45" s="16"/>
      <c r="CCK45" s="16"/>
      <c r="CCL45" s="16"/>
      <c r="CCM45" s="16"/>
      <c r="CCN45" s="16"/>
      <c r="CCO45" s="16"/>
      <c r="CCP45" s="16"/>
      <c r="CCQ45" s="16"/>
      <c r="CCR45" s="16"/>
      <c r="CCS45" s="16"/>
      <c r="CCT45" s="16"/>
      <c r="CCU45" s="16"/>
      <c r="CCV45" s="16"/>
      <c r="CCW45" s="16"/>
      <c r="CCX45" s="16"/>
      <c r="CCY45" s="16"/>
      <c r="CCZ45" s="16"/>
      <c r="CDA45" s="16"/>
      <c r="CDB45" s="16"/>
      <c r="CDC45" s="16"/>
      <c r="CDD45" s="16"/>
      <c r="CDE45" s="16"/>
      <c r="CDF45" s="16"/>
      <c r="CDG45" s="16"/>
      <c r="CDH45" s="16"/>
      <c r="CDI45" s="16"/>
      <c r="CDJ45" s="16"/>
      <c r="CDK45" s="16"/>
      <c r="CDL45" s="16"/>
      <c r="CDM45" s="16"/>
      <c r="CDN45" s="16"/>
      <c r="CDO45" s="16"/>
      <c r="CDP45" s="16"/>
      <c r="CDQ45" s="16"/>
      <c r="CDR45" s="16"/>
      <c r="CDS45" s="16"/>
      <c r="CDT45" s="16"/>
      <c r="CDU45" s="16"/>
      <c r="CDV45" s="16"/>
      <c r="CDW45" s="16"/>
      <c r="CDX45" s="16"/>
      <c r="CDY45" s="16"/>
      <c r="CDZ45" s="16"/>
      <c r="CEA45" s="16"/>
      <c r="CEB45" s="16"/>
      <c r="CEC45" s="16"/>
      <c r="CED45" s="16"/>
      <c r="CEE45" s="16"/>
      <c r="CEF45" s="16"/>
      <c r="CEG45" s="16"/>
      <c r="CEH45" s="16"/>
      <c r="CEI45" s="16"/>
      <c r="CEJ45" s="16"/>
      <c r="CEK45" s="16"/>
      <c r="CEL45" s="16"/>
      <c r="CEM45" s="16"/>
      <c r="CEN45" s="16"/>
      <c r="CEO45" s="16"/>
      <c r="CEP45" s="16"/>
      <c r="CEQ45" s="16"/>
      <c r="CER45" s="16"/>
      <c r="CES45" s="16"/>
      <c r="CET45" s="16"/>
      <c r="CEU45" s="16"/>
      <c r="CEV45" s="16"/>
      <c r="CEW45" s="16"/>
      <c r="CEX45" s="16"/>
      <c r="CEY45" s="16"/>
      <c r="CEZ45" s="16"/>
      <c r="CFA45" s="16"/>
      <c r="CFB45" s="16"/>
      <c r="CFC45" s="16"/>
      <c r="CFD45" s="16"/>
      <c r="CFE45" s="16"/>
      <c r="CFF45" s="16"/>
      <c r="CFG45" s="16"/>
      <c r="CFH45" s="16"/>
      <c r="CFI45" s="16"/>
      <c r="CFJ45" s="16"/>
      <c r="CFK45" s="16"/>
      <c r="CFL45" s="16"/>
      <c r="CFM45" s="16"/>
      <c r="CFN45" s="16"/>
      <c r="CFO45" s="16"/>
      <c r="CFP45" s="16"/>
      <c r="CFQ45" s="16"/>
      <c r="CFR45" s="16"/>
      <c r="CFS45" s="16"/>
      <c r="CFT45" s="16"/>
      <c r="CFU45" s="16"/>
      <c r="CFV45" s="16"/>
      <c r="CFW45" s="16"/>
      <c r="CFX45" s="16"/>
      <c r="CFY45" s="16"/>
      <c r="CFZ45" s="16"/>
      <c r="CGA45" s="16"/>
      <c r="CGB45" s="16"/>
      <c r="CGC45" s="16"/>
      <c r="CGD45" s="16"/>
      <c r="CGE45" s="16"/>
      <c r="CGF45" s="16"/>
      <c r="CGG45" s="16"/>
      <c r="CGH45" s="16"/>
      <c r="CGI45" s="16"/>
      <c r="CGJ45" s="16"/>
      <c r="CGK45" s="16"/>
      <c r="CGL45" s="16"/>
      <c r="CGM45" s="16"/>
      <c r="CGN45" s="16"/>
      <c r="CGO45" s="16"/>
      <c r="CGP45" s="16"/>
      <c r="CGQ45" s="16"/>
      <c r="CGR45" s="16"/>
      <c r="CGS45" s="16"/>
      <c r="CGT45" s="16"/>
      <c r="CGU45" s="16"/>
      <c r="CGV45" s="16"/>
      <c r="CGW45" s="16"/>
      <c r="CGX45" s="16"/>
      <c r="CGY45" s="16"/>
      <c r="CGZ45" s="16"/>
      <c r="CHA45" s="16"/>
      <c r="CHB45" s="16"/>
      <c r="CHC45" s="16"/>
      <c r="CHD45" s="16"/>
      <c r="CHE45" s="16"/>
      <c r="CHF45" s="16"/>
      <c r="CHG45" s="16"/>
      <c r="CHH45" s="16"/>
      <c r="CHI45" s="16"/>
      <c r="CHJ45" s="16"/>
      <c r="CHK45" s="16"/>
      <c r="CHL45" s="16"/>
      <c r="CHM45" s="16"/>
      <c r="CHN45" s="16"/>
      <c r="CHO45" s="16"/>
      <c r="CHP45" s="16"/>
      <c r="CHQ45" s="16"/>
      <c r="CHR45" s="16"/>
      <c r="CHS45" s="16"/>
      <c r="CHT45" s="16"/>
      <c r="CHU45" s="16"/>
      <c r="CHV45" s="16"/>
      <c r="CHW45" s="16"/>
      <c r="CHX45" s="16"/>
      <c r="CHY45" s="16"/>
      <c r="CHZ45" s="16"/>
      <c r="CIA45" s="16"/>
      <c r="CIB45" s="16"/>
      <c r="CIC45" s="16"/>
      <c r="CID45" s="16"/>
      <c r="CIE45" s="16"/>
      <c r="CIF45" s="16"/>
      <c r="CIG45" s="16"/>
      <c r="CIH45" s="16"/>
      <c r="CII45" s="16"/>
      <c r="CIJ45" s="16"/>
      <c r="CIK45" s="16"/>
      <c r="CIL45" s="16"/>
      <c r="CIM45" s="16"/>
      <c r="CIN45" s="16"/>
      <c r="CIO45" s="16"/>
      <c r="CIP45" s="16"/>
      <c r="CIQ45" s="16"/>
      <c r="CIR45" s="16"/>
      <c r="CIS45" s="16"/>
      <c r="CIT45" s="16"/>
      <c r="CIU45" s="16"/>
      <c r="CIV45" s="16"/>
      <c r="CIW45" s="16"/>
      <c r="CIX45" s="16"/>
      <c r="CIY45" s="16"/>
      <c r="CIZ45" s="16"/>
      <c r="CJA45" s="16"/>
      <c r="CJB45" s="16"/>
      <c r="CJC45" s="16"/>
      <c r="CJD45" s="16"/>
      <c r="CJE45" s="16"/>
      <c r="CJF45" s="16"/>
      <c r="CJG45" s="16"/>
      <c r="CJH45" s="16"/>
      <c r="CJI45" s="16"/>
      <c r="CJJ45" s="16"/>
      <c r="CJK45" s="16"/>
      <c r="CJL45" s="16"/>
      <c r="CJM45" s="16"/>
      <c r="CJN45" s="16"/>
      <c r="CJO45" s="16"/>
      <c r="CJP45" s="16"/>
      <c r="CJQ45" s="16"/>
      <c r="CJR45" s="16"/>
      <c r="CJS45" s="16"/>
      <c r="CJT45" s="16"/>
      <c r="CJU45" s="16"/>
      <c r="CJV45" s="16"/>
      <c r="CJW45" s="16"/>
      <c r="CJX45" s="16"/>
      <c r="CJY45" s="16"/>
      <c r="CJZ45" s="16"/>
      <c r="CKA45" s="16"/>
      <c r="CKB45" s="16"/>
      <c r="CKC45" s="16"/>
      <c r="CKD45" s="16"/>
      <c r="CKE45" s="16"/>
      <c r="CKF45" s="16"/>
      <c r="CKG45" s="16"/>
      <c r="CKH45" s="16"/>
      <c r="CKI45" s="16"/>
      <c r="CKJ45" s="16"/>
      <c r="CKK45" s="16"/>
      <c r="CKL45" s="16"/>
      <c r="CKM45" s="16"/>
      <c r="CKN45" s="16"/>
      <c r="CKO45" s="16"/>
      <c r="CKP45" s="16"/>
      <c r="CKQ45" s="16"/>
      <c r="CKR45" s="16"/>
      <c r="CKS45" s="16"/>
      <c r="CKT45" s="16"/>
      <c r="CKU45" s="16"/>
      <c r="CKV45" s="16"/>
      <c r="CKW45" s="16"/>
      <c r="CKX45" s="16"/>
      <c r="CKY45" s="16"/>
      <c r="CKZ45" s="16"/>
      <c r="CLA45" s="16"/>
      <c r="CLB45" s="16"/>
      <c r="CLC45" s="16"/>
      <c r="CLD45" s="16"/>
      <c r="CLE45" s="16"/>
      <c r="CLF45" s="16"/>
      <c r="CLG45" s="16"/>
      <c r="CLH45" s="16"/>
      <c r="CLI45" s="16"/>
      <c r="CLJ45" s="16"/>
      <c r="CLK45" s="16"/>
      <c r="CLL45" s="16"/>
      <c r="CLM45" s="16"/>
      <c r="CLN45" s="16"/>
      <c r="CLO45" s="16"/>
      <c r="CLP45" s="16"/>
      <c r="CLQ45" s="16"/>
      <c r="CLR45" s="16"/>
      <c r="CLS45" s="16"/>
      <c r="CLT45" s="16"/>
      <c r="CLU45" s="16"/>
      <c r="CLV45" s="16"/>
      <c r="CLW45" s="16"/>
      <c r="CLX45" s="16"/>
      <c r="CLY45" s="16"/>
      <c r="CLZ45" s="16"/>
      <c r="CMA45" s="16"/>
      <c r="CMB45" s="16"/>
      <c r="CMC45" s="16"/>
      <c r="CMD45" s="16"/>
      <c r="CME45" s="16"/>
      <c r="CMF45" s="16"/>
      <c r="CMG45" s="16"/>
      <c r="CMH45" s="16"/>
      <c r="CMI45" s="16"/>
      <c r="CMJ45" s="16"/>
      <c r="CMK45" s="16"/>
      <c r="CML45" s="16"/>
      <c r="CMM45" s="16"/>
      <c r="CMN45" s="16"/>
      <c r="CMO45" s="16"/>
      <c r="CMP45" s="16"/>
      <c r="CMQ45" s="16"/>
      <c r="CMR45" s="16"/>
      <c r="CMS45" s="16"/>
      <c r="CMT45" s="16"/>
      <c r="CMU45" s="16"/>
      <c r="CMV45" s="16"/>
      <c r="CMW45" s="16"/>
      <c r="CMX45" s="16"/>
      <c r="CMY45" s="16"/>
      <c r="CMZ45" s="16"/>
      <c r="CNA45" s="16"/>
      <c r="CNB45" s="16"/>
      <c r="CNC45" s="16"/>
      <c r="CND45" s="16"/>
      <c r="CNE45" s="16"/>
      <c r="CNF45" s="16"/>
      <c r="CNG45" s="16"/>
      <c r="CNH45" s="16"/>
      <c r="CNI45" s="16"/>
      <c r="CNJ45" s="16"/>
      <c r="CNK45" s="16"/>
      <c r="CNL45" s="16"/>
      <c r="CNM45" s="16"/>
      <c r="CNN45" s="16"/>
      <c r="CNO45" s="16"/>
      <c r="CNP45" s="16"/>
      <c r="CNQ45" s="16"/>
      <c r="CNR45" s="16"/>
      <c r="CNS45" s="16"/>
      <c r="CNT45" s="16"/>
      <c r="CNU45" s="16"/>
      <c r="CNV45" s="16"/>
      <c r="CNW45" s="16"/>
      <c r="CNX45" s="16"/>
      <c r="CNY45" s="16"/>
      <c r="CNZ45" s="16"/>
      <c r="COA45" s="16"/>
      <c r="COB45" s="16"/>
      <c r="COC45" s="16"/>
      <c r="COD45" s="16"/>
      <c r="COE45" s="16"/>
      <c r="COF45" s="16"/>
      <c r="COG45" s="16"/>
      <c r="COH45" s="16"/>
      <c r="COI45" s="16"/>
      <c r="COJ45" s="16"/>
      <c r="COK45" s="16"/>
      <c r="COL45" s="16"/>
      <c r="COM45" s="16"/>
      <c r="CON45" s="16"/>
      <c r="COO45" s="16"/>
      <c r="COP45" s="16"/>
      <c r="COQ45" s="16"/>
      <c r="COR45" s="16"/>
      <c r="COS45" s="16"/>
      <c r="COT45" s="16"/>
      <c r="COU45" s="16"/>
      <c r="COV45" s="16"/>
      <c r="COW45" s="16"/>
      <c r="COX45" s="16"/>
      <c r="COY45" s="16"/>
      <c r="COZ45" s="16"/>
      <c r="CPA45" s="16"/>
      <c r="CPB45" s="16"/>
      <c r="CPC45" s="16"/>
      <c r="CPD45" s="16"/>
      <c r="CPE45" s="16"/>
      <c r="CPF45" s="16"/>
      <c r="CPG45" s="16"/>
      <c r="CPH45" s="16"/>
      <c r="CPI45" s="16"/>
      <c r="CPJ45" s="16"/>
      <c r="CPK45" s="16"/>
      <c r="CPL45" s="16"/>
      <c r="CPM45" s="16"/>
      <c r="CPN45" s="16"/>
      <c r="CPO45" s="16"/>
      <c r="CPP45" s="16"/>
      <c r="CPQ45" s="16"/>
      <c r="CPR45" s="16"/>
      <c r="CPS45" s="16"/>
      <c r="CPT45" s="16"/>
      <c r="CPU45" s="16"/>
      <c r="CPV45" s="16"/>
      <c r="CPW45" s="16"/>
      <c r="CPX45" s="16"/>
      <c r="CPY45" s="16"/>
      <c r="CPZ45" s="16"/>
      <c r="CQA45" s="16"/>
      <c r="CQB45" s="16"/>
      <c r="CQC45" s="16"/>
      <c r="CQD45" s="16"/>
      <c r="CQE45" s="16"/>
      <c r="CQF45" s="16"/>
      <c r="CQG45" s="16"/>
      <c r="CQH45" s="16"/>
      <c r="CQI45" s="16"/>
      <c r="CQJ45" s="16"/>
      <c r="CQK45" s="16"/>
      <c r="CQL45" s="16"/>
      <c r="CQM45" s="16"/>
      <c r="CQN45" s="16"/>
      <c r="CQO45" s="16"/>
      <c r="CQP45" s="16"/>
      <c r="CQQ45" s="16"/>
      <c r="CQR45" s="16"/>
      <c r="CQS45" s="16"/>
      <c r="CQT45" s="16"/>
      <c r="CQU45" s="16"/>
      <c r="CQV45" s="16"/>
      <c r="CQW45" s="16"/>
      <c r="CQX45" s="16"/>
      <c r="CQY45" s="16"/>
      <c r="CQZ45" s="16"/>
      <c r="CRA45" s="16"/>
      <c r="CRB45" s="16"/>
      <c r="CRC45" s="16"/>
      <c r="CRD45" s="16"/>
      <c r="CRE45" s="16"/>
      <c r="CRF45" s="16"/>
      <c r="CRG45" s="16"/>
      <c r="CRH45" s="16"/>
      <c r="CRI45" s="16"/>
      <c r="CRJ45" s="16"/>
      <c r="CRK45" s="16"/>
      <c r="CRL45" s="16"/>
      <c r="CRM45" s="16"/>
      <c r="CRN45" s="16"/>
      <c r="CRO45" s="16"/>
      <c r="CRP45" s="16"/>
      <c r="CRQ45" s="16"/>
      <c r="CRR45" s="16"/>
      <c r="CRS45" s="16"/>
      <c r="CRT45" s="16"/>
      <c r="CRU45" s="16"/>
      <c r="CRV45" s="16"/>
      <c r="CRW45" s="16"/>
      <c r="CRX45" s="16"/>
      <c r="CRY45" s="16"/>
      <c r="CRZ45" s="16"/>
      <c r="CSA45" s="16"/>
      <c r="CSB45" s="16"/>
      <c r="CSC45" s="16"/>
      <c r="CSD45" s="16"/>
      <c r="CSE45" s="16"/>
      <c r="CSF45" s="16"/>
      <c r="CSG45" s="16"/>
      <c r="CSH45" s="16"/>
      <c r="CSI45" s="16"/>
      <c r="CSJ45" s="16"/>
      <c r="CSK45" s="16"/>
      <c r="CSL45" s="16"/>
      <c r="CSM45" s="16"/>
      <c r="CSN45" s="16"/>
      <c r="CSO45" s="16"/>
      <c r="CSP45" s="16"/>
      <c r="CSQ45" s="16"/>
      <c r="CSR45" s="16"/>
      <c r="CSS45" s="16"/>
      <c r="CST45" s="16"/>
      <c r="CSU45" s="16"/>
      <c r="CSV45" s="16"/>
      <c r="CSW45" s="16"/>
      <c r="CSX45" s="16"/>
      <c r="CSY45" s="16"/>
      <c r="CSZ45" s="16"/>
      <c r="CTA45" s="16"/>
      <c r="CTB45" s="16"/>
      <c r="CTC45" s="16"/>
      <c r="CTD45" s="16"/>
      <c r="CTE45" s="16"/>
      <c r="CTF45" s="16"/>
      <c r="CTG45" s="16"/>
      <c r="CTH45" s="16"/>
      <c r="CTI45" s="16"/>
      <c r="CTJ45" s="16"/>
      <c r="CTK45" s="16"/>
      <c r="CTL45" s="16"/>
      <c r="CTM45" s="16"/>
      <c r="CTN45" s="16"/>
      <c r="CTO45" s="16"/>
      <c r="CTP45" s="16"/>
      <c r="CTQ45" s="16"/>
      <c r="CTR45" s="16"/>
      <c r="CTS45" s="16"/>
      <c r="CTT45" s="16"/>
      <c r="CTU45" s="16"/>
      <c r="CTV45" s="16"/>
      <c r="CTW45" s="16"/>
      <c r="CTX45" s="16"/>
      <c r="CTY45" s="16"/>
      <c r="CTZ45" s="16"/>
      <c r="CUA45" s="16"/>
      <c r="CUB45" s="16"/>
      <c r="CUC45" s="16"/>
      <c r="CUD45" s="16"/>
      <c r="CUE45" s="16"/>
      <c r="CUF45" s="16"/>
      <c r="CUG45" s="16"/>
      <c r="CUH45" s="16"/>
      <c r="CUI45" s="16"/>
      <c r="CUJ45" s="16"/>
      <c r="CUK45" s="16"/>
      <c r="CUL45" s="16"/>
      <c r="CUM45" s="16"/>
      <c r="CUN45" s="16"/>
      <c r="CUO45" s="16"/>
      <c r="CUP45" s="16"/>
      <c r="CUQ45" s="16"/>
      <c r="CUR45" s="16"/>
      <c r="CUS45" s="16"/>
      <c r="CUT45" s="16"/>
      <c r="CUU45" s="16"/>
      <c r="CUV45" s="16"/>
      <c r="CUW45" s="16"/>
      <c r="CUX45" s="16"/>
      <c r="CUY45" s="16"/>
      <c r="CUZ45" s="16"/>
      <c r="CVA45" s="16"/>
      <c r="CVB45" s="16"/>
      <c r="CVC45" s="16"/>
      <c r="CVD45" s="16"/>
      <c r="CVE45" s="16"/>
      <c r="CVF45" s="16"/>
      <c r="CVG45" s="16"/>
      <c r="CVH45" s="16"/>
      <c r="CVI45" s="16"/>
      <c r="CVJ45" s="16"/>
      <c r="CVK45" s="16"/>
      <c r="CVL45" s="16"/>
      <c r="CVM45" s="16"/>
      <c r="CVN45" s="16"/>
      <c r="CVO45" s="16"/>
      <c r="CVP45" s="16"/>
      <c r="CVQ45" s="16"/>
      <c r="CVR45" s="16"/>
      <c r="CVS45" s="16"/>
      <c r="CVT45" s="16"/>
      <c r="CVU45" s="16"/>
      <c r="CVV45" s="16"/>
      <c r="CVW45" s="16"/>
      <c r="CVX45" s="16"/>
      <c r="CVY45" s="16"/>
      <c r="CVZ45" s="16"/>
      <c r="CWA45" s="16"/>
      <c r="CWB45" s="16"/>
      <c r="CWC45" s="16"/>
      <c r="CWD45" s="16"/>
      <c r="CWE45" s="16"/>
      <c r="CWF45" s="16"/>
      <c r="CWG45" s="16"/>
      <c r="CWH45" s="16"/>
      <c r="CWI45" s="16"/>
      <c r="CWJ45" s="16"/>
      <c r="CWK45" s="16"/>
      <c r="CWL45" s="16"/>
      <c r="CWM45" s="16"/>
      <c r="CWN45" s="16"/>
      <c r="CWO45" s="16"/>
      <c r="CWP45" s="16"/>
      <c r="CWQ45" s="16"/>
      <c r="CWR45" s="16"/>
      <c r="CWS45" s="16"/>
      <c r="CWT45" s="16"/>
      <c r="CWU45" s="16"/>
      <c r="CWV45" s="16"/>
      <c r="CWW45" s="16"/>
      <c r="CWX45" s="16"/>
      <c r="CWY45" s="16"/>
      <c r="CWZ45" s="16"/>
      <c r="CXA45" s="16"/>
      <c r="CXB45" s="16"/>
      <c r="CXC45" s="16"/>
      <c r="CXD45" s="16"/>
      <c r="CXE45" s="16"/>
      <c r="CXF45" s="16"/>
      <c r="CXG45" s="16"/>
      <c r="CXH45" s="16"/>
      <c r="CXI45" s="16"/>
      <c r="CXJ45" s="16"/>
      <c r="CXK45" s="16"/>
      <c r="CXL45" s="16"/>
      <c r="CXM45" s="16"/>
      <c r="CXN45" s="16"/>
      <c r="CXO45" s="16"/>
      <c r="CXP45" s="16"/>
      <c r="CXQ45" s="16"/>
      <c r="CXR45" s="16"/>
      <c r="CXS45" s="16"/>
      <c r="CXT45" s="16"/>
      <c r="CXU45" s="16"/>
      <c r="CXV45" s="16"/>
      <c r="CXW45" s="16"/>
      <c r="CXX45" s="16"/>
      <c r="CXY45" s="16"/>
      <c r="CXZ45" s="16"/>
      <c r="CYA45" s="16"/>
      <c r="CYB45" s="16"/>
      <c r="CYC45" s="16"/>
      <c r="CYD45" s="16"/>
      <c r="CYE45" s="16"/>
      <c r="CYF45" s="16"/>
      <c r="CYG45" s="16"/>
      <c r="CYH45" s="16"/>
      <c r="CYI45" s="16"/>
      <c r="CYJ45" s="16"/>
      <c r="CYK45" s="16"/>
      <c r="CYL45" s="16"/>
      <c r="CYM45" s="16"/>
      <c r="CYN45" s="16"/>
      <c r="CYO45" s="16"/>
      <c r="CYP45" s="16"/>
      <c r="CYQ45" s="16"/>
      <c r="CYR45" s="16"/>
      <c r="CYS45" s="16"/>
      <c r="CYT45" s="16"/>
      <c r="CYU45" s="16"/>
      <c r="CYV45" s="16"/>
      <c r="CYW45" s="16"/>
      <c r="CYX45" s="16"/>
      <c r="CYY45" s="16"/>
      <c r="CYZ45" s="16"/>
      <c r="CZA45" s="16"/>
      <c r="CZB45" s="16"/>
      <c r="CZC45" s="16"/>
      <c r="CZD45" s="16"/>
      <c r="CZE45" s="16"/>
      <c r="CZF45" s="16"/>
      <c r="CZG45" s="16"/>
      <c r="CZH45" s="16"/>
      <c r="CZI45" s="16"/>
      <c r="CZJ45" s="16"/>
      <c r="CZK45" s="16"/>
      <c r="CZL45" s="16"/>
      <c r="CZM45" s="16"/>
      <c r="CZN45" s="16"/>
      <c r="CZO45" s="16"/>
      <c r="CZP45" s="16"/>
      <c r="CZQ45" s="16"/>
      <c r="CZR45" s="16"/>
      <c r="CZS45" s="16"/>
      <c r="CZT45" s="16"/>
      <c r="CZU45" s="16"/>
      <c r="CZV45" s="16"/>
      <c r="CZW45" s="16"/>
      <c r="CZX45" s="16"/>
      <c r="CZY45" s="16"/>
      <c r="CZZ45" s="16"/>
      <c r="DAA45" s="16"/>
      <c r="DAB45" s="16"/>
      <c r="DAC45" s="16"/>
      <c r="DAD45" s="16"/>
      <c r="DAE45" s="16"/>
      <c r="DAF45" s="16"/>
      <c r="DAG45" s="16"/>
      <c r="DAH45" s="16"/>
      <c r="DAI45" s="16"/>
      <c r="DAJ45" s="16"/>
      <c r="DAK45" s="16"/>
      <c r="DAL45" s="16"/>
      <c r="DAM45" s="16"/>
      <c r="DAN45" s="16"/>
      <c r="DAO45" s="16"/>
      <c r="DAP45" s="16"/>
      <c r="DAQ45" s="16"/>
      <c r="DAR45" s="16"/>
      <c r="DAS45" s="16"/>
      <c r="DAT45" s="16"/>
      <c r="DAU45" s="16"/>
      <c r="DAV45" s="16"/>
      <c r="DAW45" s="16"/>
      <c r="DAX45" s="16"/>
      <c r="DAY45" s="16"/>
      <c r="DAZ45" s="16"/>
      <c r="DBA45" s="16"/>
      <c r="DBB45" s="16"/>
      <c r="DBC45" s="16"/>
      <c r="DBD45" s="16"/>
      <c r="DBE45" s="16"/>
      <c r="DBF45" s="16"/>
      <c r="DBG45" s="16"/>
      <c r="DBH45" s="16"/>
      <c r="DBI45" s="16"/>
      <c r="DBJ45" s="16"/>
      <c r="DBK45" s="16"/>
      <c r="DBL45" s="16"/>
      <c r="DBM45" s="16"/>
      <c r="DBN45" s="16"/>
      <c r="DBO45" s="16"/>
      <c r="DBP45" s="16"/>
      <c r="DBQ45" s="16"/>
      <c r="DBR45" s="16"/>
      <c r="DBS45" s="16"/>
      <c r="DBT45" s="16"/>
      <c r="DBU45" s="16"/>
      <c r="DBV45" s="16"/>
      <c r="DBW45" s="16"/>
      <c r="DBX45" s="16"/>
      <c r="DBY45" s="16"/>
      <c r="DBZ45" s="16"/>
      <c r="DCA45" s="16"/>
      <c r="DCB45" s="16"/>
      <c r="DCC45" s="16"/>
      <c r="DCD45" s="16"/>
      <c r="DCE45" s="16"/>
      <c r="DCF45" s="16"/>
      <c r="DCG45" s="16"/>
      <c r="DCH45" s="16"/>
      <c r="DCI45" s="16"/>
      <c r="DCJ45" s="16"/>
      <c r="DCK45" s="16"/>
      <c r="DCL45" s="16"/>
      <c r="DCM45" s="16"/>
      <c r="DCN45" s="16"/>
      <c r="DCO45" s="16"/>
      <c r="DCP45" s="16"/>
      <c r="DCQ45" s="16"/>
      <c r="DCR45" s="16"/>
      <c r="DCS45" s="16"/>
      <c r="DCT45" s="16"/>
      <c r="DCU45" s="16"/>
      <c r="DCV45" s="16"/>
      <c r="DCW45" s="16"/>
      <c r="DCX45" s="16"/>
      <c r="DCY45" s="16"/>
      <c r="DCZ45" s="16"/>
      <c r="DDA45" s="16"/>
      <c r="DDB45" s="16"/>
      <c r="DDC45" s="16"/>
      <c r="DDD45" s="16"/>
      <c r="DDE45" s="16"/>
      <c r="DDF45" s="16"/>
      <c r="DDG45" s="16"/>
      <c r="DDH45" s="16"/>
      <c r="DDI45" s="16"/>
      <c r="DDJ45" s="16"/>
      <c r="DDK45" s="16"/>
      <c r="DDL45" s="16"/>
      <c r="DDM45" s="16"/>
      <c r="DDN45" s="16"/>
      <c r="DDO45" s="16"/>
      <c r="DDP45" s="16"/>
      <c r="DDQ45" s="16"/>
      <c r="DDR45" s="16"/>
      <c r="DDS45" s="16"/>
      <c r="DDT45" s="16"/>
      <c r="DDU45" s="16"/>
      <c r="DDV45" s="16"/>
      <c r="DDW45" s="16"/>
      <c r="DDX45" s="16"/>
      <c r="DDY45" s="16"/>
      <c r="DDZ45" s="16"/>
      <c r="DEA45" s="16"/>
      <c r="DEB45" s="16"/>
      <c r="DEC45" s="16"/>
      <c r="DED45" s="16"/>
      <c r="DEE45" s="16"/>
      <c r="DEF45" s="16"/>
      <c r="DEG45" s="16"/>
      <c r="DEH45" s="16"/>
      <c r="DEI45" s="16"/>
      <c r="DEJ45" s="16"/>
      <c r="DEK45" s="16"/>
      <c r="DEL45" s="16"/>
      <c r="DEM45" s="16"/>
      <c r="DEN45" s="16"/>
      <c r="DEO45" s="16"/>
      <c r="DEP45" s="16"/>
      <c r="DEQ45" s="16"/>
      <c r="DER45" s="16"/>
      <c r="DES45" s="16"/>
      <c r="DET45" s="16"/>
      <c r="DEU45" s="16"/>
      <c r="DEV45" s="16"/>
      <c r="DEW45" s="16"/>
      <c r="DEX45" s="16"/>
      <c r="DEY45" s="16"/>
      <c r="DEZ45" s="16"/>
      <c r="DFA45" s="16"/>
      <c r="DFB45" s="16"/>
      <c r="DFC45" s="16"/>
      <c r="DFD45" s="16"/>
      <c r="DFE45" s="16"/>
      <c r="DFF45" s="16"/>
      <c r="DFG45" s="16"/>
      <c r="DFH45" s="16"/>
      <c r="DFI45" s="16"/>
      <c r="DFJ45" s="16"/>
      <c r="DFK45" s="16"/>
      <c r="DFL45" s="16"/>
      <c r="DFM45" s="16"/>
      <c r="DFN45" s="16"/>
      <c r="DFO45" s="16"/>
      <c r="DFP45" s="16"/>
      <c r="DFQ45" s="16"/>
      <c r="DFR45" s="16"/>
      <c r="DFS45" s="16"/>
      <c r="DFT45" s="16"/>
      <c r="DFU45" s="16"/>
      <c r="DFV45" s="16"/>
      <c r="DFW45" s="16"/>
      <c r="DFX45" s="16"/>
      <c r="DFY45" s="16"/>
      <c r="DFZ45" s="16"/>
      <c r="DGA45" s="16"/>
      <c r="DGB45" s="16"/>
      <c r="DGC45" s="16"/>
      <c r="DGD45" s="16"/>
      <c r="DGE45" s="16"/>
      <c r="DGF45" s="16"/>
      <c r="DGG45" s="16"/>
      <c r="DGH45" s="16"/>
      <c r="DGI45" s="16"/>
      <c r="DGJ45" s="16"/>
      <c r="DGK45" s="16"/>
      <c r="DGL45" s="16"/>
      <c r="DGM45" s="16"/>
      <c r="DGN45" s="16"/>
      <c r="DGO45" s="16"/>
      <c r="DGP45" s="16"/>
      <c r="DGQ45" s="16"/>
      <c r="DGR45" s="16"/>
      <c r="DGS45" s="16"/>
      <c r="DGT45" s="16"/>
      <c r="DGU45" s="16"/>
      <c r="DGV45" s="16"/>
      <c r="DGW45" s="16"/>
      <c r="DGX45" s="16"/>
      <c r="DGY45" s="16"/>
      <c r="DGZ45" s="16"/>
      <c r="DHA45" s="16"/>
      <c r="DHB45" s="16"/>
      <c r="DHC45" s="16"/>
      <c r="DHD45" s="16"/>
      <c r="DHE45" s="16"/>
      <c r="DHF45" s="16"/>
      <c r="DHG45" s="16"/>
      <c r="DHH45" s="16"/>
      <c r="DHI45" s="16"/>
      <c r="DHJ45" s="16"/>
      <c r="DHK45" s="16"/>
      <c r="DHL45" s="16"/>
      <c r="DHM45" s="16"/>
      <c r="DHN45" s="16"/>
      <c r="DHO45" s="16"/>
      <c r="DHP45" s="16"/>
      <c r="DHQ45" s="16"/>
      <c r="DHR45" s="16"/>
      <c r="DHS45" s="16"/>
      <c r="DHT45" s="16"/>
      <c r="DHU45" s="16"/>
      <c r="DHV45" s="16"/>
      <c r="DHW45" s="16"/>
      <c r="DHX45" s="16"/>
      <c r="DHY45" s="16"/>
      <c r="DHZ45" s="16"/>
      <c r="DIA45" s="16"/>
      <c r="DIB45" s="16"/>
      <c r="DIC45" s="16"/>
      <c r="DID45" s="16"/>
      <c r="DIE45" s="16"/>
      <c r="DIF45" s="16"/>
      <c r="DIG45" s="16"/>
      <c r="DIH45" s="16"/>
      <c r="DII45" s="16"/>
      <c r="DIJ45" s="16"/>
      <c r="DIK45" s="16"/>
      <c r="DIL45" s="16"/>
      <c r="DIM45" s="16"/>
      <c r="DIN45" s="16"/>
      <c r="DIO45" s="16"/>
      <c r="DIP45" s="16"/>
      <c r="DIQ45" s="16"/>
      <c r="DIR45" s="16"/>
      <c r="DIS45" s="16"/>
      <c r="DIT45" s="16"/>
      <c r="DIU45" s="16"/>
      <c r="DIV45" s="16"/>
      <c r="DIW45" s="16"/>
      <c r="DIX45" s="16"/>
      <c r="DIY45" s="16"/>
      <c r="DIZ45" s="16"/>
      <c r="DJA45" s="16"/>
      <c r="DJB45" s="16"/>
      <c r="DJC45" s="16"/>
      <c r="DJD45" s="16"/>
      <c r="DJE45" s="16"/>
      <c r="DJF45" s="16"/>
      <c r="DJG45" s="16"/>
      <c r="DJH45" s="16"/>
      <c r="DJI45" s="16"/>
      <c r="DJJ45" s="16"/>
      <c r="DJK45" s="16"/>
      <c r="DJL45" s="16"/>
      <c r="DJM45" s="16"/>
      <c r="DJN45" s="16"/>
      <c r="DJO45" s="16"/>
      <c r="DJP45" s="16"/>
      <c r="DJQ45" s="16"/>
      <c r="DJR45" s="16"/>
      <c r="DJS45" s="16"/>
      <c r="DJT45" s="16"/>
      <c r="DJU45" s="16"/>
      <c r="DJV45" s="16"/>
      <c r="DJW45" s="16"/>
      <c r="DJX45" s="16"/>
      <c r="DJY45" s="16"/>
      <c r="DJZ45" s="16"/>
      <c r="DKA45" s="16"/>
      <c r="DKB45" s="16"/>
      <c r="DKC45" s="16"/>
      <c r="DKD45" s="16"/>
      <c r="DKE45" s="16"/>
      <c r="DKF45" s="16"/>
      <c r="DKG45" s="16"/>
      <c r="DKH45" s="16"/>
      <c r="DKI45" s="16"/>
      <c r="DKJ45" s="16"/>
      <c r="DKK45" s="16"/>
      <c r="DKL45" s="16"/>
      <c r="DKM45" s="16"/>
      <c r="DKN45" s="16"/>
      <c r="DKO45" s="16"/>
      <c r="DKP45" s="16"/>
      <c r="DKQ45" s="16"/>
      <c r="DKR45" s="16"/>
      <c r="DKS45" s="16"/>
      <c r="DKT45" s="16"/>
      <c r="DKU45" s="16"/>
      <c r="DKV45" s="16"/>
      <c r="DKW45" s="16"/>
      <c r="DKX45" s="16"/>
      <c r="DKY45" s="16"/>
      <c r="DKZ45" s="16"/>
      <c r="DLA45" s="16"/>
      <c r="DLB45" s="16"/>
      <c r="DLC45" s="16"/>
      <c r="DLD45" s="16"/>
      <c r="DLE45" s="16"/>
      <c r="DLF45" s="16"/>
      <c r="DLG45" s="16"/>
      <c r="DLH45" s="16"/>
      <c r="DLI45" s="16"/>
      <c r="DLJ45" s="16"/>
      <c r="DLK45" s="16"/>
      <c r="DLL45" s="16"/>
      <c r="DLM45" s="16"/>
      <c r="DLN45" s="16"/>
      <c r="DLO45" s="16"/>
      <c r="DLP45" s="16"/>
      <c r="DLQ45" s="16"/>
      <c r="DLR45" s="16"/>
      <c r="DLS45" s="16"/>
      <c r="DLT45" s="16"/>
      <c r="DLU45" s="16"/>
      <c r="DLV45" s="16"/>
      <c r="DLW45" s="16"/>
      <c r="DLX45" s="16"/>
      <c r="DLY45" s="16"/>
      <c r="DLZ45" s="16"/>
      <c r="DMA45" s="16"/>
      <c r="DMB45" s="16"/>
      <c r="DMC45" s="16"/>
      <c r="DMD45" s="16"/>
      <c r="DME45" s="16"/>
      <c r="DMF45" s="16"/>
      <c r="DMG45" s="16"/>
      <c r="DMH45" s="16"/>
      <c r="DMI45" s="16"/>
      <c r="DMJ45" s="16"/>
      <c r="DMK45" s="16"/>
      <c r="DML45" s="16"/>
      <c r="DMM45" s="16"/>
      <c r="DMN45" s="16"/>
      <c r="DMO45" s="16"/>
      <c r="DMP45" s="16"/>
      <c r="DMQ45" s="16"/>
      <c r="DMR45" s="16"/>
      <c r="DMS45" s="16"/>
      <c r="DMT45" s="16"/>
      <c r="DMU45" s="16"/>
      <c r="DMV45" s="16"/>
      <c r="DMW45" s="16"/>
      <c r="DMX45" s="16"/>
      <c r="DMY45" s="16"/>
      <c r="DMZ45" s="16"/>
      <c r="DNA45" s="16"/>
      <c r="DNB45" s="16"/>
      <c r="DNC45" s="16"/>
      <c r="DND45" s="16"/>
      <c r="DNE45" s="16"/>
      <c r="DNF45" s="16"/>
      <c r="DNG45" s="16"/>
      <c r="DNH45" s="16"/>
      <c r="DNI45" s="16"/>
      <c r="DNJ45" s="16"/>
      <c r="DNK45" s="16"/>
      <c r="DNL45" s="16"/>
      <c r="DNM45" s="16"/>
      <c r="DNN45" s="16"/>
      <c r="DNO45" s="16"/>
      <c r="DNP45" s="16"/>
      <c r="DNQ45" s="16"/>
      <c r="DNR45" s="16"/>
      <c r="DNS45" s="16"/>
      <c r="DNT45" s="16"/>
      <c r="DNU45" s="16"/>
      <c r="DNV45" s="16"/>
      <c r="DNW45" s="16"/>
      <c r="DNX45" s="16"/>
      <c r="DNY45" s="16"/>
      <c r="DNZ45" s="16"/>
      <c r="DOA45" s="16"/>
      <c r="DOB45" s="16"/>
      <c r="DOC45" s="16"/>
      <c r="DOD45" s="16"/>
      <c r="DOE45" s="16"/>
      <c r="DOF45" s="16"/>
      <c r="DOG45" s="16"/>
      <c r="DOH45" s="16"/>
      <c r="DOI45" s="16"/>
      <c r="DOJ45" s="16"/>
      <c r="DOK45" s="16"/>
      <c r="DOL45" s="16"/>
      <c r="DOM45" s="16"/>
      <c r="DON45" s="16"/>
      <c r="DOO45" s="16"/>
      <c r="DOP45" s="16"/>
      <c r="DOQ45" s="16"/>
      <c r="DOR45" s="16"/>
      <c r="DOS45" s="16"/>
      <c r="DOT45" s="16"/>
      <c r="DOU45" s="16"/>
      <c r="DOV45" s="16"/>
      <c r="DOW45" s="16"/>
      <c r="DOX45" s="16"/>
      <c r="DOY45" s="16"/>
      <c r="DOZ45" s="16"/>
      <c r="DPA45" s="16"/>
      <c r="DPB45" s="16"/>
      <c r="DPC45" s="16"/>
      <c r="DPD45" s="16"/>
      <c r="DPE45" s="16"/>
      <c r="DPF45" s="16"/>
      <c r="DPG45" s="16"/>
      <c r="DPH45" s="16"/>
      <c r="DPI45" s="16"/>
      <c r="DPJ45" s="16"/>
      <c r="DPK45" s="16"/>
      <c r="DPL45" s="16"/>
      <c r="DPM45" s="16"/>
      <c r="DPN45" s="16"/>
      <c r="DPO45" s="16"/>
      <c r="DPP45" s="16"/>
      <c r="DPQ45" s="16"/>
      <c r="DPR45" s="16"/>
      <c r="DPS45" s="16"/>
      <c r="DPT45" s="16"/>
      <c r="DPU45" s="16"/>
      <c r="DPV45" s="16"/>
      <c r="DPW45" s="16"/>
      <c r="DPX45" s="16"/>
      <c r="DPY45" s="16"/>
      <c r="DPZ45" s="16"/>
      <c r="DQA45" s="16"/>
      <c r="DQB45" s="16"/>
      <c r="DQC45" s="16"/>
      <c r="DQD45" s="16"/>
      <c r="DQE45" s="16"/>
      <c r="DQF45" s="16"/>
      <c r="DQG45" s="16"/>
      <c r="DQH45" s="16"/>
      <c r="DQI45" s="16"/>
      <c r="DQJ45" s="16"/>
      <c r="DQK45" s="16"/>
      <c r="DQL45" s="16"/>
      <c r="DQM45" s="16"/>
      <c r="DQN45" s="16"/>
      <c r="DQO45" s="16"/>
      <c r="DQP45" s="16"/>
      <c r="DQQ45" s="16"/>
      <c r="DQR45" s="16"/>
      <c r="DQS45" s="16"/>
      <c r="DQT45" s="16"/>
      <c r="DQU45" s="16"/>
      <c r="DQV45" s="16"/>
      <c r="DQW45" s="16"/>
      <c r="DQX45" s="16"/>
      <c r="DQY45" s="16"/>
      <c r="DQZ45" s="16"/>
      <c r="DRA45" s="16"/>
      <c r="DRB45" s="16"/>
      <c r="DRC45" s="16"/>
      <c r="DRD45" s="16"/>
      <c r="DRE45" s="16"/>
      <c r="DRF45" s="16"/>
      <c r="DRG45" s="16"/>
      <c r="DRH45" s="16"/>
      <c r="DRI45" s="16"/>
      <c r="DRJ45" s="16"/>
      <c r="DRK45" s="16"/>
      <c r="DRL45" s="16"/>
      <c r="DRM45" s="16"/>
      <c r="DRN45" s="16"/>
      <c r="DRO45" s="16"/>
      <c r="DRP45" s="16"/>
      <c r="DRQ45" s="16"/>
      <c r="DRR45" s="16"/>
      <c r="DRS45" s="16"/>
      <c r="DRT45" s="16"/>
      <c r="DRU45" s="16"/>
      <c r="DRV45" s="16"/>
      <c r="DRW45" s="16"/>
      <c r="DRX45" s="16"/>
      <c r="DRY45" s="16"/>
      <c r="DRZ45" s="16"/>
      <c r="DSA45" s="16"/>
      <c r="DSB45" s="16"/>
      <c r="DSC45" s="16"/>
      <c r="DSD45" s="16"/>
      <c r="DSE45" s="16"/>
      <c r="DSF45" s="16"/>
      <c r="DSG45" s="16"/>
      <c r="DSH45" s="16"/>
      <c r="DSI45" s="16"/>
      <c r="DSJ45" s="16"/>
      <c r="DSK45" s="16"/>
      <c r="DSL45" s="16"/>
      <c r="DSM45" s="16"/>
      <c r="DSN45" s="16"/>
      <c r="DSO45" s="16"/>
      <c r="DSP45" s="16"/>
      <c r="DSQ45" s="16"/>
      <c r="DSR45" s="16"/>
      <c r="DSS45" s="16"/>
      <c r="DST45" s="16"/>
      <c r="DSU45" s="16"/>
      <c r="DSV45" s="16"/>
      <c r="DSW45" s="16"/>
      <c r="DSX45" s="16"/>
      <c r="DSY45" s="16"/>
      <c r="DSZ45" s="16"/>
      <c r="DTA45" s="16"/>
      <c r="DTB45" s="16"/>
      <c r="DTC45" s="16"/>
      <c r="DTD45" s="16"/>
      <c r="DTE45" s="16"/>
      <c r="DTF45" s="16"/>
      <c r="DTG45" s="16"/>
      <c r="DTH45" s="16"/>
      <c r="DTI45" s="16"/>
      <c r="DTJ45" s="16"/>
      <c r="DTK45" s="16"/>
      <c r="DTL45" s="16"/>
      <c r="DTM45" s="16"/>
      <c r="DTN45" s="16"/>
      <c r="DTO45" s="16"/>
      <c r="DTP45" s="16"/>
      <c r="DTQ45" s="16"/>
      <c r="DTR45" s="16"/>
      <c r="DTS45" s="16"/>
      <c r="DTT45" s="16"/>
      <c r="DTU45" s="16"/>
      <c r="DTV45" s="16"/>
      <c r="DTW45" s="16"/>
      <c r="DTX45" s="16"/>
      <c r="DTY45" s="16"/>
      <c r="DTZ45" s="16"/>
      <c r="DUA45" s="16"/>
      <c r="DUB45" s="16"/>
      <c r="DUC45" s="16"/>
      <c r="DUD45" s="16"/>
      <c r="DUE45" s="16"/>
      <c r="DUF45" s="16"/>
      <c r="DUG45" s="16"/>
      <c r="DUH45" s="16"/>
      <c r="DUI45" s="16"/>
      <c r="DUJ45" s="16"/>
      <c r="DUK45" s="16"/>
      <c r="DUL45" s="16"/>
      <c r="DUM45" s="16"/>
      <c r="DUN45" s="16"/>
      <c r="DUO45" s="16"/>
      <c r="DUP45" s="16"/>
      <c r="DUQ45" s="16"/>
      <c r="DUR45" s="16"/>
      <c r="DUS45" s="16"/>
      <c r="DUT45" s="16"/>
      <c r="DUU45" s="16"/>
      <c r="DUV45" s="16"/>
      <c r="DUW45" s="16"/>
      <c r="DUX45" s="16"/>
      <c r="DUY45" s="16"/>
      <c r="DUZ45" s="16"/>
      <c r="DVA45" s="16"/>
      <c r="DVB45" s="16"/>
      <c r="DVC45" s="16"/>
      <c r="DVD45" s="16"/>
      <c r="DVE45" s="16"/>
      <c r="DVF45" s="16"/>
      <c r="DVG45" s="16"/>
      <c r="DVH45" s="16"/>
      <c r="DVI45" s="16"/>
      <c r="DVJ45" s="16"/>
      <c r="DVK45" s="16"/>
      <c r="DVL45" s="16"/>
      <c r="DVM45" s="16"/>
      <c r="DVN45" s="16"/>
      <c r="DVO45" s="16"/>
      <c r="DVP45" s="16"/>
      <c r="DVQ45" s="16"/>
      <c r="DVR45" s="16"/>
      <c r="DVS45" s="16"/>
      <c r="DVT45" s="16"/>
      <c r="DVU45" s="16"/>
      <c r="DVV45" s="16"/>
      <c r="DVW45" s="16"/>
      <c r="DVX45" s="16"/>
      <c r="DVY45" s="16"/>
      <c r="DVZ45" s="16"/>
      <c r="DWA45" s="16"/>
      <c r="DWB45" s="16"/>
      <c r="DWC45" s="16"/>
      <c r="DWD45" s="16"/>
      <c r="DWE45" s="16"/>
      <c r="DWF45" s="16"/>
      <c r="DWG45" s="16"/>
      <c r="DWH45" s="16"/>
      <c r="DWI45" s="16"/>
      <c r="DWJ45" s="16"/>
      <c r="DWK45" s="16"/>
      <c r="DWL45" s="16"/>
      <c r="DWM45" s="16"/>
      <c r="DWN45" s="16"/>
      <c r="DWO45" s="16"/>
      <c r="DWP45" s="16"/>
      <c r="DWQ45" s="16"/>
      <c r="DWR45" s="16"/>
      <c r="DWS45" s="16"/>
      <c r="DWT45" s="16"/>
      <c r="DWU45" s="16"/>
      <c r="DWV45" s="16"/>
      <c r="DWW45" s="16"/>
      <c r="DWX45" s="16"/>
      <c r="DWY45" s="16"/>
      <c r="DWZ45" s="16"/>
      <c r="DXA45" s="16"/>
      <c r="DXB45" s="16"/>
      <c r="DXC45" s="16"/>
      <c r="DXD45" s="16"/>
      <c r="DXE45" s="16"/>
      <c r="DXF45" s="16"/>
      <c r="DXG45" s="16"/>
      <c r="DXH45" s="16"/>
      <c r="DXI45" s="16"/>
      <c r="DXJ45" s="16"/>
      <c r="DXK45" s="16"/>
      <c r="DXL45" s="16"/>
      <c r="DXM45" s="16"/>
      <c r="DXN45" s="16"/>
      <c r="DXO45" s="16"/>
      <c r="DXP45" s="16"/>
      <c r="DXQ45" s="16"/>
      <c r="DXR45" s="16"/>
      <c r="DXS45" s="16"/>
      <c r="DXT45" s="16"/>
      <c r="DXU45" s="16"/>
      <c r="DXV45" s="16"/>
      <c r="DXW45" s="16"/>
      <c r="DXX45" s="16"/>
      <c r="DXY45" s="16"/>
      <c r="DXZ45" s="16"/>
      <c r="DYA45" s="16"/>
      <c r="DYB45" s="16"/>
      <c r="DYC45" s="16"/>
      <c r="DYD45" s="16"/>
      <c r="DYE45" s="16"/>
      <c r="DYF45" s="16"/>
      <c r="DYG45" s="16"/>
      <c r="DYH45" s="16"/>
      <c r="DYI45" s="16"/>
      <c r="DYJ45" s="16"/>
      <c r="DYK45" s="16"/>
      <c r="DYL45" s="16"/>
      <c r="DYM45" s="16"/>
      <c r="DYN45" s="16"/>
      <c r="DYO45" s="16"/>
      <c r="DYP45" s="16"/>
      <c r="DYQ45" s="16"/>
      <c r="DYR45" s="16"/>
      <c r="DYS45" s="16"/>
      <c r="DYT45" s="16"/>
      <c r="DYU45" s="16"/>
      <c r="DYV45" s="16"/>
      <c r="DYW45" s="16"/>
      <c r="DYX45" s="16"/>
      <c r="DYY45" s="16"/>
      <c r="DYZ45" s="16"/>
      <c r="DZA45" s="16"/>
      <c r="DZB45" s="16"/>
      <c r="DZC45" s="16"/>
      <c r="DZD45" s="16"/>
      <c r="DZE45" s="16"/>
      <c r="DZF45" s="16"/>
      <c r="DZG45" s="16"/>
      <c r="DZH45" s="16"/>
      <c r="DZI45" s="16"/>
      <c r="DZJ45" s="16"/>
      <c r="DZK45" s="16"/>
      <c r="DZL45" s="16"/>
      <c r="DZM45" s="16"/>
      <c r="DZN45" s="16"/>
      <c r="DZO45" s="16"/>
      <c r="DZP45" s="16"/>
      <c r="DZQ45" s="16"/>
      <c r="DZR45" s="16"/>
      <c r="DZS45" s="16"/>
      <c r="DZT45" s="16"/>
      <c r="DZU45" s="16"/>
      <c r="DZV45" s="16"/>
      <c r="DZW45" s="16"/>
      <c r="DZX45" s="16"/>
      <c r="DZY45" s="16"/>
      <c r="DZZ45" s="16"/>
      <c r="EAA45" s="16"/>
      <c r="EAB45" s="16"/>
      <c r="EAC45" s="16"/>
      <c r="EAD45" s="16"/>
      <c r="EAE45" s="16"/>
      <c r="EAF45" s="16"/>
      <c r="EAG45" s="16"/>
      <c r="EAH45" s="16"/>
      <c r="EAI45" s="16"/>
      <c r="EAJ45" s="16"/>
      <c r="EAK45" s="16"/>
      <c r="EAL45" s="16"/>
      <c r="EAM45" s="16"/>
      <c r="EAN45" s="16"/>
      <c r="EAO45" s="16"/>
      <c r="EAP45" s="16"/>
      <c r="EAQ45" s="16"/>
      <c r="EAR45" s="16"/>
      <c r="EAS45" s="16"/>
      <c r="EAT45" s="16"/>
      <c r="EAU45" s="16"/>
      <c r="EAV45" s="16"/>
      <c r="EAW45" s="16"/>
      <c r="EAX45" s="16"/>
      <c r="EAY45" s="16"/>
      <c r="EAZ45" s="16"/>
      <c r="EBA45" s="16"/>
      <c r="EBB45" s="16"/>
      <c r="EBC45" s="16"/>
      <c r="EBD45" s="16"/>
      <c r="EBE45" s="16"/>
      <c r="EBF45" s="16"/>
      <c r="EBG45" s="16"/>
      <c r="EBH45" s="16"/>
      <c r="EBI45" s="16"/>
      <c r="EBJ45" s="16"/>
      <c r="EBK45" s="16"/>
      <c r="EBL45" s="16"/>
      <c r="EBM45" s="16"/>
      <c r="EBN45" s="16"/>
      <c r="EBO45" s="16"/>
      <c r="EBP45" s="16"/>
      <c r="EBQ45" s="16"/>
      <c r="EBR45" s="16"/>
      <c r="EBS45" s="16"/>
      <c r="EBT45" s="16"/>
      <c r="EBU45" s="16"/>
      <c r="EBV45" s="16"/>
      <c r="EBW45" s="16"/>
      <c r="EBX45" s="16"/>
      <c r="EBY45" s="16"/>
      <c r="EBZ45" s="16"/>
      <c r="ECA45" s="16"/>
      <c r="ECB45" s="16"/>
      <c r="ECC45" s="16"/>
      <c r="ECD45" s="16"/>
      <c r="ECE45" s="16"/>
      <c r="ECF45" s="16"/>
      <c r="ECG45" s="16"/>
      <c r="ECH45" s="16"/>
      <c r="ECI45" s="16"/>
      <c r="ECJ45" s="16"/>
      <c r="ECK45" s="16"/>
      <c r="ECL45" s="16"/>
      <c r="ECM45" s="16"/>
      <c r="ECN45" s="16"/>
      <c r="ECO45" s="16"/>
      <c r="ECP45" s="16"/>
      <c r="ECQ45" s="16"/>
      <c r="ECR45" s="16"/>
      <c r="ECS45" s="16"/>
      <c r="ECT45" s="16"/>
      <c r="ECU45" s="16"/>
      <c r="ECV45" s="16"/>
      <c r="ECW45" s="16"/>
      <c r="ECX45" s="16"/>
      <c r="ECY45" s="16"/>
      <c r="ECZ45" s="16"/>
      <c r="EDA45" s="16"/>
      <c r="EDB45" s="16"/>
      <c r="EDC45" s="16"/>
      <c r="EDD45" s="16"/>
      <c r="EDE45" s="16"/>
      <c r="EDF45" s="16"/>
      <c r="EDG45" s="16"/>
      <c r="EDH45" s="16"/>
      <c r="EDI45" s="16"/>
      <c r="EDJ45" s="16"/>
      <c r="EDK45" s="16"/>
      <c r="EDL45" s="16"/>
      <c r="EDM45" s="16"/>
      <c r="EDN45" s="16"/>
      <c r="EDO45" s="16"/>
      <c r="EDP45" s="16"/>
      <c r="EDQ45" s="16"/>
      <c r="EDR45" s="16"/>
      <c r="EDS45" s="16"/>
      <c r="EDT45" s="16"/>
      <c r="EDU45" s="16"/>
      <c r="EDV45" s="16"/>
      <c r="EDW45" s="16"/>
      <c r="EDX45" s="16"/>
      <c r="EDY45" s="16"/>
      <c r="EDZ45" s="16"/>
      <c r="EEA45" s="16"/>
      <c r="EEB45" s="16"/>
      <c r="EEC45" s="16"/>
      <c r="EED45" s="16"/>
      <c r="EEE45" s="16"/>
      <c r="EEF45" s="16"/>
      <c r="EEG45" s="16"/>
      <c r="EEH45" s="16"/>
      <c r="EEI45" s="16"/>
      <c r="EEJ45" s="16"/>
      <c r="EEK45" s="16"/>
      <c r="EEL45" s="16"/>
      <c r="EEM45" s="16"/>
      <c r="EEN45" s="16"/>
      <c r="EEO45" s="16"/>
      <c r="EEP45" s="16"/>
      <c r="EEQ45" s="16"/>
      <c r="EER45" s="16"/>
      <c r="EES45" s="16"/>
      <c r="EET45" s="16"/>
      <c r="EEU45" s="16"/>
      <c r="EEV45" s="16"/>
      <c r="EEW45" s="16"/>
      <c r="EEX45" s="16"/>
      <c r="EEY45" s="16"/>
      <c r="EEZ45" s="16"/>
      <c r="EFA45" s="16"/>
      <c r="EFB45" s="16"/>
      <c r="EFC45" s="16"/>
      <c r="EFD45" s="16"/>
      <c r="EFE45" s="16"/>
      <c r="EFF45" s="16"/>
      <c r="EFG45" s="16"/>
      <c r="EFH45" s="16"/>
      <c r="EFI45" s="16"/>
      <c r="EFJ45" s="16"/>
      <c r="EFK45" s="16"/>
      <c r="EFL45" s="16"/>
      <c r="EFM45" s="16"/>
      <c r="EFN45" s="16"/>
      <c r="EFO45" s="16"/>
      <c r="EFP45" s="16"/>
      <c r="EFQ45" s="16"/>
      <c r="EFR45" s="16"/>
      <c r="EFS45" s="16"/>
      <c r="EFT45" s="16"/>
      <c r="EFU45" s="16"/>
      <c r="EFV45" s="16"/>
      <c r="EFW45" s="16"/>
      <c r="EFX45" s="16"/>
      <c r="EFY45" s="16"/>
      <c r="EFZ45" s="16"/>
      <c r="EGA45" s="16"/>
      <c r="EGB45" s="16"/>
      <c r="EGC45" s="16"/>
      <c r="EGD45" s="16"/>
      <c r="EGE45" s="16"/>
      <c r="EGF45" s="16"/>
      <c r="EGG45" s="16"/>
      <c r="EGH45" s="16"/>
      <c r="EGI45" s="16"/>
      <c r="EGJ45" s="16"/>
      <c r="EGK45" s="16"/>
      <c r="EGL45" s="16"/>
      <c r="EGM45" s="16"/>
      <c r="EGN45" s="16"/>
      <c r="EGO45" s="16"/>
      <c r="EGP45" s="16"/>
      <c r="EGQ45" s="16"/>
      <c r="EGR45" s="16"/>
      <c r="EGS45" s="16"/>
      <c r="EGT45" s="16"/>
      <c r="EGU45" s="16"/>
      <c r="EGV45" s="16"/>
      <c r="EGW45" s="16"/>
      <c r="EGX45" s="16"/>
      <c r="EGY45" s="16"/>
      <c r="EGZ45" s="16"/>
      <c r="EHA45" s="16"/>
      <c r="EHB45" s="16"/>
      <c r="EHC45" s="16"/>
      <c r="EHD45" s="16"/>
      <c r="EHE45" s="16"/>
      <c r="EHF45" s="16"/>
      <c r="EHG45" s="16"/>
      <c r="EHH45" s="16"/>
      <c r="EHI45" s="16"/>
      <c r="EHJ45" s="16"/>
      <c r="EHK45" s="16"/>
      <c r="EHL45" s="16"/>
      <c r="EHM45" s="16"/>
      <c r="EHN45" s="16"/>
      <c r="EHO45" s="16"/>
      <c r="EHP45" s="16"/>
      <c r="EHQ45" s="16"/>
      <c r="EHR45" s="16"/>
      <c r="EHS45" s="16"/>
      <c r="EHT45" s="16"/>
      <c r="EHU45" s="16"/>
      <c r="EHV45" s="16"/>
      <c r="EHW45" s="16"/>
      <c r="EHX45" s="16"/>
      <c r="EHY45" s="16"/>
      <c r="EHZ45" s="16"/>
      <c r="EIA45" s="16"/>
      <c r="EIB45" s="16"/>
      <c r="EIC45" s="16"/>
      <c r="EID45" s="16"/>
      <c r="EIE45" s="16"/>
      <c r="EIF45" s="16"/>
      <c r="EIG45" s="16"/>
      <c r="EIH45" s="16"/>
      <c r="EII45" s="16"/>
      <c r="EIJ45" s="16"/>
      <c r="EIK45" s="16"/>
      <c r="EIL45" s="16"/>
      <c r="EIM45" s="16"/>
      <c r="EIN45" s="16"/>
      <c r="EIO45" s="16"/>
      <c r="EIP45" s="16"/>
      <c r="EIQ45" s="16"/>
      <c r="EIR45" s="16"/>
      <c r="EIS45" s="16"/>
      <c r="EIT45" s="16"/>
      <c r="EIU45" s="16"/>
      <c r="EIV45" s="16"/>
      <c r="EIW45" s="16"/>
      <c r="EIX45" s="16"/>
      <c r="EIY45" s="16"/>
      <c r="EIZ45" s="16"/>
      <c r="EJA45" s="16"/>
      <c r="EJB45" s="16"/>
      <c r="EJC45" s="16"/>
      <c r="EJD45" s="16"/>
      <c r="EJE45" s="16"/>
      <c r="EJF45" s="16"/>
      <c r="EJG45" s="16"/>
      <c r="EJH45" s="16"/>
      <c r="EJI45" s="16"/>
      <c r="EJJ45" s="16"/>
      <c r="EJK45" s="16"/>
      <c r="EJL45" s="16"/>
      <c r="EJM45" s="16"/>
      <c r="EJN45" s="16"/>
      <c r="EJO45" s="16"/>
      <c r="EJP45" s="16"/>
      <c r="EJQ45" s="16"/>
      <c r="EJR45" s="16"/>
      <c r="EJS45" s="16"/>
      <c r="EJT45" s="16"/>
      <c r="EJU45" s="16"/>
      <c r="EJV45" s="16"/>
      <c r="EJW45" s="16"/>
      <c r="EJX45" s="16"/>
      <c r="EJY45" s="16"/>
      <c r="EJZ45" s="16"/>
      <c r="EKA45" s="16"/>
      <c r="EKB45" s="16"/>
      <c r="EKC45" s="16"/>
      <c r="EKD45" s="16"/>
      <c r="EKE45" s="16"/>
      <c r="EKF45" s="16"/>
      <c r="EKG45" s="16"/>
      <c r="EKH45" s="16"/>
      <c r="EKI45" s="16"/>
      <c r="EKJ45" s="16"/>
      <c r="EKK45" s="16"/>
      <c r="EKL45" s="16"/>
      <c r="EKM45" s="16"/>
      <c r="EKN45" s="16"/>
      <c r="EKO45" s="16"/>
      <c r="EKP45" s="16"/>
      <c r="EKQ45" s="16"/>
      <c r="EKR45" s="16"/>
      <c r="EKS45" s="16"/>
      <c r="EKT45" s="16"/>
      <c r="EKU45" s="16"/>
      <c r="EKV45" s="16"/>
      <c r="EKW45" s="16"/>
      <c r="EKX45" s="16"/>
      <c r="EKY45" s="16"/>
      <c r="EKZ45" s="16"/>
      <c r="ELA45" s="16"/>
      <c r="ELB45" s="16"/>
      <c r="ELC45" s="16"/>
      <c r="ELD45" s="16"/>
      <c r="ELE45" s="16"/>
      <c r="ELF45" s="16"/>
      <c r="ELG45" s="16"/>
      <c r="ELH45" s="16"/>
      <c r="ELI45" s="16"/>
      <c r="ELJ45" s="16"/>
      <c r="ELK45" s="16"/>
      <c r="ELL45" s="16"/>
      <c r="ELM45" s="16"/>
      <c r="ELN45" s="16"/>
      <c r="ELO45" s="16"/>
      <c r="ELP45" s="16"/>
      <c r="ELQ45" s="16"/>
      <c r="ELR45" s="16"/>
      <c r="ELS45" s="16"/>
      <c r="ELT45" s="16"/>
      <c r="ELU45" s="16"/>
      <c r="ELV45" s="16"/>
      <c r="ELW45" s="16"/>
      <c r="ELX45" s="16"/>
      <c r="ELY45" s="16"/>
      <c r="ELZ45" s="16"/>
      <c r="EMA45" s="16"/>
      <c r="EMB45" s="16"/>
      <c r="EMC45" s="16"/>
      <c r="EMD45" s="16"/>
      <c r="EME45" s="16"/>
      <c r="EMF45" s="16"/>
      <c r="EMG45" s="16"/>
      <c r="EMH45" s="16"/>
      <c r="EMI45" s="16"/>
      <c r="EMJ45" s="16"/>
      <c r="EMK45" s="16"/>
      <c r="EML45" s="16"/>
      <c r="EMM45" s="16"/>
      <c r="EMN45" s="16"/>
      <c r="EMO45" s="16"/>
      <c r="EMP45" s="16"/>
      <c r="EMQ45" s="16"/>
      <c r="EMR45" s="16"/>
      <c r="EMS45" s="16"/>
      <c r="EMT45" s="16"/>
      <c r="EMU45" s="16"/>
      <c r="EMV45" s="16"/>
      <c r="EMW45" s="16"/>
      <c r="EMX45" s="16"/>
      <c r="EMY45" s="16"/>
      <c r="EMZ45" s="16"/>
      <c r="ENA45" s="16"/>
      <c r="ENB45" s="16"/>
      <c r="ENC45" s="16"/>
      <c r="END45" s="16"/>
      <c r="ENE45" s="16"/>
      <c r="ENF45" s="16"/>
      <c r="ENG45" s="16"/>
      <c r="ENH45" s="16"/>
      <c r="ENI45" s="16"/>
      <c r="ENJ45" s="16"/>
      <c r="ENK45" s="16"/>
      <c r="ENL45" s="16"/>
      <c r="ENM45" s="16"/>
      <c r="ENN45" s="16"/>
      <c r="ENO45" s="16"/>
      <c r="ENP45" s="16"/>
      <c r="ENQ45" s="16"/>
      <c r="ENR45" s="16"/>
      <c r="ENS45" s="16"/>
      <c r="ENT45" s="16"/>
      <c r="ENU45" s="16"/>
      <c r="ENV45" s="16"/>
      <c r="ENW45" s="16"/>
      <c r="ENX45" s="16"/>
      <c r="ENY45" s="16"/>
      <c r="ENZ45" s="16"/>
      <c r="EOA45" s="16"/>
      <c r="EOB45" s="16"/>
      <c r="EOC45" s="16"/>
      <c r="EOD45" s="16"/>
      <c r="EOE45" s="16"/>
      <c r="EOF45" s="16"/>
      <c r="EOG45" s="16"/>
      <c r="EOH45" s="16"/>
      <c r="EOI45" s="16"/>
      <c r="EOJ45" s="16"/>
      <c r="EOK45" s="16"/>
      <c r="EOL45" s="16"/>
      <c r="EOM45" s="16"/>
      <c r="EON45" s="16"/>
      <c r="EOO45" s="16"/>
      <c r="EOP45" s="16"/>
      <c r="EOQ45" s="16"/>
      <c r="EOR45" s="16"/>
      <c r="EOS45" s="16"/>
      <c r="EOT45" s="16"/>
      <c r="EOU45" s="16"/>
      <c r="EOV45" s="16"/>
      <c r="EOW45" s="16"/>
      <c r="EOX45" s="16"/>
      <c r="EOY45" s="16"/>
      <c r="EOZ45" s="16"/>
      <c r="EPA45" s="16"/>
      <c r="EPB45" s="16"/>
      <c r="EPC45" s="16"/>
      <c r="EPD45" s="16"/>
      <c r="EPE45" s="16"/>
      <c r="EPF45" s="16"/>
      <c r="EPG45" s="16"/>
      <c r="EPH45" s="16"/>
      <c r="EPI45" s="16"/>
      <c r="EPJ45" s="16"/>
      <c r="EPK45" s="16"/>
      <c r="EPL45" s="16"/>
      <c r="EPM45" s="16"/>
      <c r="EPN45" s="16"/>
      <c r="EPO45" s="16"/>
      <c r="EPP45" s="16"/>
      <c r="EPQ45" s="16"/>
      <c r="EPR45" s="16"/>
      <c r="EPS45" s="16"/>
      <c r="EPT45" s="16"/>
      <c r="EPU45" s="16"/>
      <c r="EPV45" s="16"/>
      <c r="EPW45" s="16"/>
      <c r="EPX45" s="16"/>
      <c r="EPY45" s="16"/>
      <c r="EPZ45" s="16"/>
      <c r="EQA45" s="16"/>
      <c r="EQB45" s="16"/>
      <c r="EQC45" s="16"/>
      <c r="EQD45" s="16"/>
      <c r="EQE45" s="16"/>
      <c r="EQF45" s="16"/>
      <c r="EQG45" s="16"/>
      <c r="EQH45" s="16"/>
      <c r="EQI45" s="16"/>
      <c r="EQJ45" s="16"/>
      <c r="EQK45" s="16"/>
      <c r="EQL45" s="16"/>
      <c r="EQM45" s="16"/>
      <c r="EQN45" s="16"/>
      <c r="EQO45" s="16"/>
      <c r="EQP45" s="16"/>
      <c r="EQQ45" s="16"/>
      <c r="EQR45" s="16"/>
      <c r="EQS45" s="16"/>
      <c r="EQT45" s="16"/>
      <c r="EQU45" s="16"/>
      <c r="EQV45" s="16"/>
      <c r="EQW45" s="16"/>
      <c r="EQX45" s="16"/>
      <c r="EQY45" s="16"/>
      <c r="EQZ45" s="16"/>
      <c r="ERA45" s="16"/>
      <c r="ERB45" s="16"/>
      <c r="ERC45" s="16"/>
      <c r="ERD45" s="16"/>
      <c r="ERE45" s="16"/>
      <c r="ERF45" s="16"/>
      <c r="ERG45" s="16"/>
      <c r="ERH45" s="16"/>
      <c r="ERI45" s="16"/>
      <c r="ERJ45" s="16"/>
      <c r="ERK45" s="16"/>
      <c r="ERL45" s="16"/>
      <c r="ERM45" s="16"/>
      <c r="ERN45" s="16"/>
      <c r="ERO45" s="16"/>
      <c r="ERP45" s="16"/>
      <c r="ERQ45" s="16"/>
      <c r="ERR45" s="16"/>
      <c r="ERS45" s="16"/>
      <c r="ERT45" s="16"/>
      <c r="ERU45" s="16"/>
      <c r="ERV45" s="16"/>
      <c r="ERW45" s="16"/>
      <c r="ERX45" s="16"/>
      <c r="ERY45" s="16"/>
      <c r="ERZ45" s="16"/>
      <c r="ESA45" s="16"/>
      <c r="ESB45" s="16"/>
      <c r="ESC45" s="16"/>
      <c r="ESD45" s="16"/>
      <c r="ESE45" s="16"/>
      <c r="ESF45" s="16"/>
      <c r="ESG45" s="16"/>
      <c r="ESH45" s="16"/>
      <c r="ESI45" s="16"/>
      <c r="ESJ45" s="16"/>
      <c r="ESK45" s="16"/>
      <c r="ESL45" s="16"/>
      <c r="ESM45" s="16"/>
      <c r="ESN45" s="16"/>
      <c r="ESO45" s="16"/>
      <c r="ESP45" s="16"/>
      <c r="ESQ45" s="16"/>
      <c r="ESR45" s="16"/>
      <c r="ESS45" s="16"/>
      <c r="EST45" s="16"/>
      <c r="ESU45" s="16"/>
      <c r="ESV45" s="16"/>
      <c r="ESW45" s="16"/>
      <c r="ESX45" s="16"/>
      <c r="ESY45" s="16"/>
      <c r="ESZ45" s="16"/>
      <c r="ETA45" s="16"/>
      <c r="ETB45" s="16"/>
      <c r="ETC45" s="16"/>
      <c r="ETD45" s="16"/>
      <c r="ETE45" s="16"/>
      <c r="ETF45" s="16"/>
      <c r="ETG45" s="16"/>
      <c r="ETH45" s="16"/>
      <c r="ETI45" s="16"/>
      <c r="ETJ45" s="16"/>
      <c r="ETK45" s="16"/>
      <c r="ETL45" s="16"/>
      <c r="ETM45" s="16"/>
      <c r="ETN45" s="16"/>
      <c r="ETO45" s="16"/>
      <c r="ETP45" s="16"/>
      <c r="ETQ45" s="16"/>
      <c r="ETR45" s="16"/>
      <c r="ETS45" s="16"/>
      <c r="ETT45" s="16"/>
      <c r="ETU45" s="16"/>
      <c r="ETV45" s="16"/>
      <c r="ETW45" s="16"/>
      <c r="ETX45" s="16"/>
      <c r="ETY45" s="16"/>
      <c r="ETZ45" s="16"/>
      <c r="EUA45" s="16"/>
      <c r="EUB45" s="16"/>
      <c r="EUC45" s="16"/>
      <c r="EUD45" s="16"/>
      <c r="EUE45" s="16"/>
      <c r="EUF45" s="16"/>
      <c r="EUG45" s="16"/>
      <c r="EUH45" s="16"/>
      <c r="EUI45" s="16"/>
      <c r="EUJ45" s="16"/>
      <c r="EUK45" s="16"/>
      <c r="EUL45" s="16"/>
      <c r="EUM45" s="16"/>
      <c r="EUN45" s="16"/>
      <c r="EUO45" s="16"/>
      <c r="EUP45" s="16"/>
      <c r="EUQ45" s="16"/>
      <c r="EUR45" s="16"/>
      <c r="EUS45" s="16"/>
      <c r="EUT45" s="16"/>
      <c r="EUU45" s="16"/>
      <c r="EUV45" s="16"/>
      <c r="EUW45" s="16"/>
      <c r="EUX45" s="16"/>
      <c r="EUY45" s="16"/>
      <c r="EUZ45" s="16"/>
      <c r="EVA45" s="16"/>
      <c r="EVB45" s="16"/>
      <c r="EVC45" s="16"/>
      <c r="EVD45" s="16"/>
      <c r="EVE45" s="16"/>
      <c r="EVF45" s="16"/>
      <c r="EVG45" s="16"/>
      <c r="EVH45" s="16"/>
      <c r="EVI45" s="16"/>
      <c r="EVJ45" s="16"/>
      <c r="EVK45" s="16"/>
      <c r="EVL45" s="16"/>
      <c r="EVM45" s="16"/>
      <c r="EVN45" s="16"/>
      <c r="EVO45" s="16"/>
      <c r="EVP45" s="16"/>
      <c r="EVQ45" s="16"/>
      <c r="EVR45" s="16"/>
      <c r="EVS45" s="16"/>
      <c r="EVT45" s="16"/>
      <c r="EVU45" s="16"/>
      <c r="EVV45" s="16"/>
      <c r="EVW45" s="16"/>
      <c r="EVX45" s="16"/>
      <c r="EVY45" s="16"/>
      <c r="EVZ45" s="16"/>
      <c r="EWA45" s="16"/>
      <c r="EWB45" s="16"/>
      <c r="EWC45" s="16"/>
      <c r="EWD45" s="16"/>
      <c r="EWE45" s="16"/>
      <c r="EWF45" s="16"/>
      <c r="EWG45" s="16"/>
      <c r="EWH45" s="16"/>
      <c r="EWI45" s="16"/>
      <c r="EWJ45" s="16"/>
      <c r="EWK45" s="16"/>
      <c r="EWL45" s="16"/>
      <c r="EWM45" s="16"/>
      <c r="EWN45" s="16"/>
      <c r="EWO45" s="16"/>
      <c r="EWP45" s="16"/>
      <c r="EWQ45" s="16"/>
      <c r="EWR45" s="16"/>
      <c r="EWS45" s="16"/>
      <c r="EWT45" s="16"/>
      <c r="EWU45" s="16"/>
      <c r="EWV45" s="16"/>
      <c r="EWW45" s="16"/>
      <c r="EWX45" s="16"/>
      <c r="EWY45" s="16"/>
      <c r="EWZ45" s="16"/>
      <c r="EXA45" s="16"/>
      <c r="EXB45" s="16"/>
      <c r="EXC45" s="16"/>
      <c r="EXD45" s="16"/>
      <c r="EXE45" s="16"/>
      <c r="EXF45" s="16"/>
      <c r="EXG45" s="16"/>
      <c r="EXH45" s="16"/>
      <c r="EXI45" s="16"/>
      <c r="EXJ45" s="16"/>
      <c r="EXK45" s="16"/>
      <c r="EXL45" s="16"/>
      <c r="EXM45" s="16"/>
      <c r="EXN45" s="16"/>
      <c r="EXO45" s="16"/>
      <c r="EXP45" s="16"/>
      <c r="EXQ45" s="16"/>
      <c r="EXR45" s="16"/>
      <c r="EXS45" s="16"/>
      <c r="EXT45" s="16"/>
      <c r="EXU45" s="16"/>
      <c r="EXV45" s="16"/>
      <c r="EXW45" s="16"/>
      <c r="EXX45" s="16"/>
      <c r="EXY45" s="16"/>
      <c r="EXZ45" s="16"/>
      <c r="EYA45" s="16"/>
      <c r="EYB45" s="16"/>
      <c r="EYC45" s="16"/>
      <c r="EYD45" s="16"/>
      <c r="EYE45" s="16"/>
      <c r="EYF45" s="16"/>
      <c r="EYG45" s="16"/>
      <c r="EYH45" s="16"/>
      <c r="EYI45" s="16"/>
      <c r="EYJ45" s="16"/>
      <c r="EYK45" s="16"/>
      <c r="EYL45" s="16"/>
      <c r="EYM45" s="16"/>
      <c r="EYN45" s="16"/>
      <c r="EYO45" s="16"/>
      <c r="EYP45" s="16"/>
      <c r="EYQ45" s="16"/>
      <c r="EYR45" s="16"/>
      <c r="EYS45" s="16"/>
      <c r="EYT45" s="16"/>
      <c r="EYU45" s="16"/>
      <c r="EYV45" s="16"/>
      <c r="EYW45" s="16"/>
      <c r="EYX45" s="16"/>
      <c r="EYY45" s="16"/>
      <c r="EYZ45" s="16"/>
      <c r="EZA45" s="16"/>
      <c r="EZB45" s="16"/>
      <c r="EZC45" s="16"/>
      <c r="EZD45" s="16"/>
      <c r="EZE45" s="16"/>
      <c r="EZF45" s="16"/>
      <c r="EZG45" s="16"/>
      <c r="EZH45" s="16"/>
      <c r="EZI45" s="16"/>
      <c r="EZJ45" s="16"/>
      <c r="EZK45" s="16"/>
      <c r="EZL45" s="16"/>
      <c r="EZM45" s="16"/>
      <c r="EZN45" s="16"/>
      <c r="EZO45" s="16"/>
      <c r="EZP45" s="16"/>
      <c r="EZQ45" s="16"/>
      <c r="EZR45" s="16"/>
      <c r="EZS45" s="16"/>
      <c r="EZT45" s="16"/>
      <c r="EZU45" s="16"/>
      <c r="EZV45" s="16"/>
      <c r="EZW45" s="16"/>
      <c r="EZX45" s="16"/>
      <c r="EZY45" s="16"/>
      <c r="EZZ45" s="16"/>
      <c r="FAA45" s="16"/>
      <c r="FAB45" s="16"/>
      <c r="FAC45" s="16"/>
      <c r="FAD45" s="16"/>
      <c r="FAE45" s="16"/>
      <c r="FAF45" s="16"/>
      <c r="FAG45" s="16"/>
      <c r="FAH45" s="16"/>
      <c r="FAI45" s="16"/>
      <c r="FAJ45" s="16"/>
      <c r="FAK45" s="16"/>
      <c r="FAL45" s="16"/>
      <c r="FAM45" s="16"/>
      <c r="FAN45" s="16"/>
      <c r="FAO45" s="16"/>
      <c r="FAP45" s="16"/>
      <c r="FAQ45" s="16"/>
      <c r="FAR45" s="16"/>
      <c r="FAS45" s="16"/>
      <c r="FAT45" s="16"/>
      <c r="FAU45" s="16"/>
      <c r="FAV45" s="16"/>
      <c r="FAW45" s="16"/>
      <c r="FAX45" s="16"/>
      <c r="FAY45" s="16"/>
      <c r="FAZ45" s="16"/>
      <c r="FBA45" s="16"/>
      <c r="FBB45" s="16"/>
      <c r="FBC45" s="16"/>
      <c r="FBD45" s="16"/>
      <c r="FBE45" s="16"/>
      <c r="FBF45" s="16"/>
      <c r="FBG45" s="16"/>
      <c r="FBH45" s="16"/>
      <c r="FBI45" s="16"/>
      <c r="FBJ45" s="16"/>
      <c r="FBK45" s="16"/>
      <c r="FBL45" s="16"/>
      <c r="FBM45" s="16"/>
      <c r="FBN45" s="16"/>
      <c r="FBO45" s="16"/>
      <c r="FBP45" s="16"/>
      <c r="FBQ45" s="16"/>
      <c r="FBR45" s="16"/>
      <c r="FBS45" s="16"/>
      <c r="FBT45" s="16"/>
      <c r="FBU45" s="16"/>
      <c r="FBV45" s="16"/>
      <c r="FBW45" s="16"/>
      <c r="FBX45" s="16"/>
      <c r="FBY45" s="16"/>
      <c r="FBZ45" s="16"/>
      <c r="FCA45" s="16"/>
      <c r="FCB45" s="16"/>
      <c r="FCC45" s="16"/>
      <c r="FCD45" s="16"/>
      <c r="FCE45" s="16"/>
      <c r="FCF45" s="16"/>
      <c r="FCG45" s="16"/>
      <c r="FCH45" s="16"/>
      <c r="FCI45" s="16"/>
      <c r="FCJ45" s="16"/>
      <c r="FCK45" s="16"/>
      <c r="FCL45" s="16"/>
      <c r="FCM45" s="16"/>
      <c r="FCN45" s="16"/>
      <c r="FCO45" s="16"/>
      <c r="FCP45" s="16"/>
      <c r="FCQ45" s="16"/>
      <c r="FCR45" s="16"/>
      <c r="FCS45" s="16"/>
      <c r="FCT45" s="16"/>
      <c r="FCU45" s="16"/>
      <c r="FCV45" s="16"/>
      <c r="FCW45" s="16"/>
      <c r="FCX45" s="16"/>
      <c r="FCY45" s="16"/>
      <c r="FCZ45" s="16"/>
      <c r="FDA45" s="16"/>
      <c r="FDB45" s="16"/>
      <c r="FDC45" s="16"/>
      <c r="FDD45" s="16"/>
      <c r="FDE45" s="16"/>
      <c r="FDF45" s="16"/>
      <c r="FDG45" s="16"/>
      <c r="FDH45" s="16"/>
      <c r="FDI45" s="16"/>
      <c r="FDJ45" s="16"/>
      <c r="FDK45" s="16"/>
      <c r="FDL45" s="16"/>
      <c r="FDM45" s="16"/>
      <c r="FDN45" s="16"/>
      <c r="FDO45" s="16"/>
      <c r="FDP45" s="16"/>
      <c r="FDQ45" s="16"/>
      <c r="FDR45" s="16"/>
      <c r="FDS45" s="16"/>
      <c r="FDT45" s="16"/>
      <c r="FDU45" s="16"/>
      <c r="FDV45" s="16"/>
      <c r="FDW45" s="16"/>
      <c r="FDX45" s="16"/>
      <c r="FDY45" s="16"/>
      <c r="FDZ45" s="16"/>
      <c r="FEA45" s="16"/>
      <c r="FEB45" s="16"/>
      <c r="FEC45" s="16"/>
      <c r="FED45" s="16"/>
      <c r="FEE45" s="16"/>
      <c r="FEF45" s="16"/>
      <c r="FEG45" s="16"/>
      <c r="FEH45" s="16"/>
      <c r="FEI45" s="16"/>
      <c r="FEJ45" s="16"/>
      <c r="FEK45" s="16"/>
      <c r="FEL45" s="16"/>
      <c r="FEM45" s="16"/>
      <c r="FEN45" s="16"/>
      <c r="FEO45" s="16"/>
      <c r="FEP45" s="16"/>
      <c r="FEQ45" s="16"/>
      <c r="FER45" s="16"/>
      <c r="FES45" s="16"/>
      <c r="FET45" s="16"/>
      <c r="FEU45" s="16"/>
      <c r="FEV45" s="16"/>
      <c r="FEW45" s="16"/>
      <c r="FEX45" s="16"/>
      <c r="FEY45" s="16"/>
      <c r="FEZ45" s="16"/>
      <c r="FFA45" s="16"/>
      <c r="FFB45" s="16"/>
      <c r="FFC45" s="16"/>
      <c r="FFD45" s="16"/>
      <c r="FFE45" s="16"/>
      <c r="FFF45" s="16"/>
      <c r="FFG45" s="16"/>
      <c r="FFH45" s="16"/>
      <c r="FFI45" s="16"/>
      <c r="FFJ45" s="16"/>
      <c r="FFK45" s="16"/>
      <c r="FFL45" s="16"/>
      <c r="FFM45" s="16"/>
      <c r="FFN45" s="16"/>
      <c r="FFO45" s="16"/>
      <c r="FFP45" s="16"/>
      <c r="FFQ45" s="16"/>
      <c r="FFR45" s="16"/>
      <c r="FFS45" s="16"/>
      <c r="FFT45" s="16"/>
      <c r="FFU45" s="16"/>
      <c r="FFV45" s="16"/>
      <c r="FFW45" s="16"/>
      <c r="FFX45" s="16"/>
      <c r="FFY45" s="16"/>
      <c r="FFZ45" s="16"/>
      <c r="FGA45" s="16"/>
      <c r="FGB45" s="16"/>
      <c r="FGC45" s="16"/>
      <c r="FGD45" s="16"/>
      <c r="FGE45" s="16"/>
      <c r="FGF45" s="16"/>
      <c r="FGG45" s="16"/>
      <c r="FGH45" s="16"/>
      <c r="FGI45" s="16"/>
      <c r="FGJ45" s="16"/>
      <c r="FGK45" s="16"/>
      <c r="FGL45" s="16"/>
      <c r="FGM45" s="16"/>
      <c r="FGN45" s="16"/>
      <c r="FGO45" s="16"/>
      <c r="FGP45" s="16"/>
      <c r="FGQ45" s="16"/>
      <c r="FGR45" s="16"/>
      <c r="FGS45" s="16"/>
      <c r="FGT45" s="16"/>
      <c r="FGU45" s="16"/>
      <c r="FGV45" s="16"/>
      <c r="FGW45" s="16"/>
      <c r="FGX45" s="16"/>
      <c r="FGY45" s="16"/>
      <c r="FGZ45" s="16"/>
      <c r="FHA45" s="16"/>
      <c r="FHB45" s="16"/>
      <c r="FHC45" s="16"/>
      <c r="FHD45" s="16"/>
      <c r="FHE45" s="16"/>
      <c r="FHF45" s="16"/>
      <c r="FHG45" s="16"/>
      <c r="FHH45" s="16"/>
      <c r="FHI45" s="16"/>
      <c r="FHJ45" s="16"/>
      <c r="FHK45" s="16"/>
      <c r="FHL45" s="16"/>
      <c r="FHM45" s="16"/>
      <c r="FHN45" s="16"/>
      <c r="FHO45" s="16"/>
      <c r="FHP45" s="16"/>
      <c r="FHQ45" s="16"/>
      <c r="FHR45" s="16"/>
      <c r="FHS45" s="16"/>
      <c r="FHT45" s="16"/>
      <c r="FHU45" s="16"/>
      <c r="FHV45" s="16"/>
      <c r="FHW45" s="16"/>
      <c r="FHX45" s="16"/>
      <c r="FHY45" s="16"/>
      <c r="FHZ45" s="16"/>
      <c r="FIA45" s="16"/>
      <c r="FIB45" s="16"/>
      <c r="FIC45" s="16"/>
      <c r="FID45" s="16"/>
      <c r="FIE45" s="16"/>
      <c r="FIF45" s="16"/>
      <c r="FIG45" s="16"/>
      <c r="FIH45" s="16"/>
      <c r="FII45" s="16"/>
      <c r="FIJ45" s="16"/>
      <c r="FIK45" s="16"/>
      <c r="FIL45" s="16"/>
      <c r="FIM45" s="16"/>
      <c r="FIN45" s="16"/>
      <c r="FIO45" s="16"/>
      <c r="FIP45" s="16"/>
      <c r="FIQ45" s="16"/>
      <c r="FIR45" s="16"/>
      <c r="FIS45" s="16"/>
      <c r="FIT45" s="16"/>
      <c r="FIU45" s="16"/>
      <c r="FIV45" s="16"/>
      <c r="FIW45" s="16"/>
      <c r="FIX45" s="16"/>
      <c r="FIY45" s="16"/>
      <c r="FIZ45" s="16"/>
      <c r="FJA45" s="16"/>
      <c r="FJB45" s="16"/>
      <c r="FJC45" s="16"/>
      <c r="FJD45" s="16"/>
      <c r="FJE45" s="16"/>
      <c r="FJF45" s="16"/>
      <c r="FJG45" s="16"/>
      <c r="FJH45" s="16"/>
      <c r="FJI45" s="16"/>
      <c r="FJJ45" s="16"/>
      <c r="FJK45" s="16"/>
      <c r="FJL45" s="16"/>
      <c r="FJM45" s="16"/>
      <c r="FJN45" s="16"/>
      <c r="FJO45" s="16"/>
      <c r="FJP45" s="16"/>
      <c r="FJQ45" s="16"/>
      <c r="FJR45" s="16"/>
      <c r="FJS45" s="16"/>
      <c r="FJT45" s="16"/>
      <c r="FJU45" s="16"/>
      <c r="FJV45" s="16"/>
      <c r="FJW45" s="16"/>
      <c r="FJX45" s="16"/>
      <c r="FJY45" s="16"/>
      <c r="FJZ45" s="16"/>
      <c r="FKA45" s="16"/>
      <c r="FKB45" s="16"/>
      <c r="FKC45" s="16"/>
      <c r="FKD45" s="16"/>
      <c r="FKE45" s="16"/>
      <c r="FKF45" s="16"/>
      <c r="FKG45" s="16"/>
      <c r="FKH45" s="16"/>
      <c r="FKI45" s="16"/>
      <c r="FKJ45" s="16"/>
      <c r="FKK45" s="16"/>
      <c r="FKL45" s="16"/>
      <c r="FKM45" s="16"/>
      <c r="FKN45" s="16"/>
      <c r="FKO45" s="16"/>
      <c r="FKP45" s="16"/>
      <c r="FKQ45" s="16"/>
      <c r="FKR45" s="16"/>
      <c r="FKS45" s="16"/>
      <c r="FKT45" s="16"/>
      <c r="FKU45" s="16"/>
      <c r="FKV45" s="16"/>
      <c r="FKW45" s="16"/>
      <c r="FKX45" s="16"/>
      <c r="FKY45" s="16"/>
      <c r="FKZ45" s="16"/>
      <c r="FLA45" s="16"/>
      <c r="FLB45" s="16"/>
      <c r="FLC45" s="16"/>
      <c r="FLD45" s="16"/>
      <c r="FLE45" s="16"/>
      <c r="FLF45" s="16"/>
      <c r="FLG45" s="16"/>
      <c r="FLH45" s="16"/>
      <c r="FLI45" s="16"/>
      <c r="FLJ45" s="16"/>
      <c r="FLK45" s="16"/>
      <c r="FLL45" s="16"/>
      <c r="FLM45" s="16"/>
      <c r="FLN45" s="16"/>
      <c r="FLO45" s="16"/>
      <c r="FLP45" s="16"/>
      <c r="FLQ45" s="16"/>
      <c r="FLR45" s="16"/>
      <c r="FLS45" s="16"/>
      <c r="FLT45" s="16"/>
      <c r="FLU45" s="16"/>
      <c r="FLV45" s="16"/>
      <c r="FLW45" s="16"/>
      <c r="FLX45" s="16"/>
      <c r="FLY45" s="16"/>
      <c r="FLZ45" s="16"/>
      <c r="FMA45" s="16"/>
      <c r="FMB45" s="16"/>
      <c r="FMC45" s="16"/>
      <c r="FMD45" s="16"/>
      <c r="FME45" s="16"/>
      <c r="FMF45" s="16"/>
      <c r="FMG45" s="16"/>
      <c r="FMH45" s="16"/>
      <c r="FMI45" s="16"/>
      <c r="FMJ45" s="16"/>
      <c r="FMK45" s="16"/>
      <c r="FML45" s="16"/>
      <c r="FMM45" s="16"/>
      <c r="FMN45" s="16"/>
      <c r="FMO45" s="16"/>
      <c r="FMP45" s="16"/>
      <c r="FMQ45" s="16"/>
      <c r="FMR45" s="16"/>
      <c r="FMS45" s="16"/>
      <c r="FMT45" s="16"/>
      <c r="FMU45" s="16"/>
      <c r="FMV45" s="16"/>
      <c r="FMW45" s="16"/>
      <c r="FMX45" s="16"/>
      <c r="FMY45" s="16"/>
      <c r="FMZ45" s="16"/>
      <c r="FNA45" s="16"/>
      <c r="FNB45" s="16"/>
      <c r="FNC45" s="16"/>
      <c r="FND45" s="16"/>
      <c r="FNE45" s="16"/>
      <c r="FNF45" s="16"/>
      <c r="FNG45" s="16"/>
      <c r="FNH45" s="16"/>
      <c r="FNI45" s="16"/>
      <c r="FNJ45" s="16"/>
      <c r="FNK45" s="16"/>
      <c r="FNL45" s="16"/>
      <c r="FNM45" s="16"/>
      <c r="FNN45" s="16"/>
      <c r="FNO45" s="16"/>
      <c r="FNP45" s="16"/>
      <c r="FNQ45" s="16"/>
      <c r="FNR45" s="16"/>
      <c r="FNS45" s="16"/>
      <c r="FNT45" s="16"/>
      <c r="FNU45" s="16"/>
      <c r="FNV45" s="16"/>
      <c r="FNW45" s="16"/>
      <c r="FNX45" s="16"/>
      <c r="FNY45" s="16"/>
      <c r="FNZ45" s="16"/>
      <c r="FOA45" s="16"/>
      <c r="FOB45" s="16"/>
      <c r="FOC45" s="16"/>
      <c r="FOD45" s="16"/>
      <c r="FOE45" s="16"/>
      <c r="FOF45" s="16"/>
      <c r="FOG45" s="16"/>
      <c r="FOH45" s="16"/>
      <c r="FOI45" s="16"/>
      <c r="FOJ45" s="16"/>
      <c r="FOK45" s="16"/>
      <c r="FOL45" s="16"/>
      <c r="FOM45" s="16"/>
      <c r="FON45" s="16"/>
      <c r="FOO45" s="16"/>
      <c r="FOP45" s="16"/>
      <c r="FOQ45" s="16"/>
      <c r="FOR45" s="16"/>
      <c r="FOS45" s="16"/>
      <c r="FOT45" s="16"/>
      <c r="FOU45" s="16"/>
      <c r="FOV45" s="16"/>
      <c r="FOW45" s="16"/>
      <c r="FOX45" s="16"/>
      <c r="FOY45" s="16"/>
      <c r="FOZ45" s="16"/>
      <c r="FPA45" s="16"/>
      <c r="FPB45" s="16"/>
      <c r="FPC45" s="16"/>
      <c r="FPD45" s="16"/>
      <c r="FPE45" s="16"/>
      <c r="FPF45" s="16"/>
      <c r="FPG45" s="16"/>
      <c r="FPH45" s="16"/>
      <c r="FPI45" s="16"/>
      <c r="FPJ45" s="16"/>
      <c r="FPK45" s="16"/>
      <c r="FPL45" s="16"/>
      <c r="FPM45" s="16"/>
      <c r="FPN45" s="16"/>
      <c r="FPO45" s="16"/>
      <c r="FPP45" s="16"/>
      <c r="FPQ45" s="16"/>
      <c r="FPR45" s="16"/>
      <c r="FPS45" s="16"/>
      <c r="FPT45" s="16"/>
      <c r="FPU45" s="16"/>
      <c r="FPV45" s="16"/>
      <c r="FPW45" s="16"/>
      <c r="FPX45" s="16"/>
      <c r="FPY45" s="16"/>
      <c r="FPZ45" s="16"/>
      <c r="FQA45" s="16"/>
      <c r="FQB45" s="16"/>
      <c r="FQC45" s="16"/>
      <c r="FQD45" s="16"/>
      <c r="FQE45" s="16"/>
      <c r="FQF45" s="16"/>
      <c r="FQG45" s="16"/>
      <c r="FQH45" s="16"/>
      <c r="FQI45" s="16"/>
      <c r="FQJ45" s="16"/>
      <c r="FQK45" s="16"/>
      <c r="FQL45" s="16"/>
      <c r="FQM45" s="16"/>
      <c r="FQN45" s="16"/>
      <c r="FQO45" s="16"/>
      <c r="FQP45" s="16"/>
      <c r="FQQ45" s="16"/>
      <c r="FQR45" s="16"/>
      <c r="FQS45" s="16"/>
      <c r="FQT45" s="16"/>
      <c r="FQU45" s="16"/>
      <c r="FQV45" s="16"/>
      <c r="FQW45" s="16"/>
      <c r="FQX45" s="16"/>
      <c r="FQY45" s="16"/>
      <c r="FQZ45" s="16"/>
      <c r="FRA45" s="16"/>
      <c r="FRB45" s="16"/>
      <c r="FRC45" s="16"/>
      <c r="FRD45" s="16"/>
      <c r="FRE45" s="16"/>
      <c r="FRF45" s="16"/>
      <c r="FRG45" s="16"/>
      <c r="FRH45" s="16"/>
      <c r="FRI45" s="16"/>
      <c r="FRJ45" s="16"/>
      <c r="FRK45" s="16"/>
      <c r="FRL45" s="16"/>
      <c r="FRM45" s="16"/>
      <c r="FRN45" s="16"/>
      <c r="FRO45" s="16"/>
      <c r="FRP45" s="16"/>
      <c r="FRQ45" s="16"/>
      <c r="FRR45" s="16"/>
      <c r="FRS45" s="16"/>
      <c r="FRT45" s="16"/>
      <c r="FRU45" s="16"/>
      <c r="FRV45" s="16"/>
      <c r="FRW45" s="16"/>
      <c r="FRX45" s="16"/>
      <c r="FRY45" s="16"/>
      <c r="FRZ45" s="16"/>
      <c r="FSA45" s="16"/>
      <c r="FSB45" s="16"/>
      <c r="FSC45" s="16"/>
      <c r="FSD45" s="16"/>
      <c r="FSE45" s="16"/>
      <c r="FSF45" s="16"/>
      <c r="FSG45" s="16"/>
      <c r="FSH45" s="16"/>
      <c r="FSI45" s="16"/>
      <c r="FSJ45" s="16"/>
      <c r="FSK45" s="16"/>
      <c r="FSL45" s="16"/>
      <c r="FSM45" s="16"/>
      <c r="FSN45" s="16"/>
      <c r="FSO45" s="16"/>
      <c r="FSP45" s="16"/>
      <c r="FSQ45" s="16"/>
      <c r="FSR45" s="16"/>
      <c r="FSS45" s="16"/>
      <c r="FST45" s="16"/>
      <c r="FSU45" s="16"/>
      <c r="FSV45" s="16"/>
      <c r="FSW45" s="16"/>
      <c r="FSX45" s="16"/>
      <c r="FSY45" s="16"/>
      <c r="FSZ45" s="16"/>
      <c r="FTA45" s="16"/>
      <c r="FTB45" s="16"/>
      <c r="FTC45" s="16"/>
      <c r="FTD45" s="16"/>
      <c r="FTE45" s="16"/>
      <c r="FTF45" s="16"/>
      <c r="FTG45" s="16"/>
      <c r="FTH45" s="16"/>
      <c r="FTI45" s="16"/>
      <c r="FTJ45" s="16"/>
      <c r="FTK45" s="16"/>
      <c r="FTL45" s="16"/>
      <c r="FTM45" s="16"/>
      <c r="FTN45" s="16"/>
      <c r="FTO45" s="16"/>
      <c r="FTP45" s="16"/>
      <c r="FTQ45" s="16"/>
      <c r="FTR45" s="16"/>
      <c r="FTS45" s="16"/>
      <c r="FTT45" s="16"/>
      <c r="FTU45" s="16"/>
      <c r="FTV45" s="16"/>
      <c r="FTW45" s="16"/>
      <c r="FTX45" s="16"/>
      <c r="FTY45" s="16"/>
      <c r="FTZ45" s="16"/>
      <c r="FUA45" s="16"/>
      <c r="FUB45" s="16"/>
      <c r="FUC45" s="16"/>
      <c r="FUD45" s="16"/>
      <c r="FUE45" s="16"/>
      <c r="FUF45" s="16"/>
      <c r="FUG45" s="16"/>
      <c r="FUH45" s="16"/>
      <c r="FUI45" s="16"/>
      <c r="FUJ45" s="16"/>
      <c r="FUK45" s="16"/>
      <c r="FUL45" s="16"/>
      <c r="FUM45" s="16"/>
      <c r="FUN45" s="16"/>
      <c r="FUO45" s="16"/>
      <c r="FUP45" s="16"/>
      <c r="FUQ45" s="16"/>
      <c r="FUR45" s="16"/>
      <c r="FUS45" s="16"/>
      <c r="FUT45" s="16"/>
      <c r="FUU45" s="16"/>
      <c r="FUV45" s="16"/>
      <c r="FUW45" s="16"/>
      <c r="FUX45" s="16"/>
      <c r="FUY45" s="16"/>
      <c r="FUZ45" s="16"/>
      <c r="FVA45" s="16"/>
      <c r="FVB45" s="16"/>
      <c r="FVC45" s="16"/>
      <c r="FVD45" s="16"/>
      <c r="FVE45" s="16"/>
      <c r="FVF45" s="16"/>
      <c r="FVG45" s="16"/>
      <c r="FVH45" s="16"/>
      <c r="FVI45" s="16"/>
      <c r="FVJ45" s="16"/>
      <c r="FVK45" s="16"/>
      <c r="FVL45" s="16"/>
      <c r="FVM45" s="16"/>
      <c r="FVN45" s="16"/>
      <c r="FVO45" s="16"/>
      <c r="FVP45" s="16"/>
      <c r="FVQ45" s="16"/>
      <c r="FVR45" s="16"/>
      <c r="FVS45" s="16"/>
      <c r="FVT45" s="16"/>
      <c r="FVU45" s="16"/>
      <c r="FVV45" s="16"/>
      <c r="FVW45" s="16"/>
      <c r="FVX45" s="16"/>
      <c r="FVY45" s="16"/>
      <c r="FVZ45" s="16"/>
      <c r="FWA45" s="16"/>
      <c r="FWB45" s="16"/>
      <c r="FWC45" s="16"/>
      <c r="FWD45" s="16"/>
      <c r="FWE45" s="16"/>
      <c r="FWF45" s="16"/>
      <c r="FWG45" s="16"/>
      <c r="FWH45" s="16"/>
      <c r="FWI45" s="16"/>
      <c r="FWJ45" s="16"/>
      <c r="FWK45" s="16"/>
      <c r="FWL45" s="16"/>
      <c r="FWM45" s="16"/>
      <c r="FWN45" s="16"/>
      <c r="FWO45" s="16"/>
      <c r="FWP45" s="16"/>
      <c r="FWQ45" s="16"/>
      <c r="FWR45" s="16"/>
      <c r="FWS45" s="16"/>
      <c r="FWT45" s="16"/>
      <c r="FWU45" s="16"/>
      <c r="FWV45" s="16"/>
      <c r="FWW45" s="16"/>
      <c r="FWX45" s="16"/>
      <c r="FWY45" s="16"/>
      <c r="FWZ45" s="16"/>
      <c r="FXA45" s="16"/>
      <c r="FXB45" s="16"/>
      <c r="FXC45" s="16"/>
      <c r="FXD45" s="16"/>
      <c r="FXE45" s="16"/>
      <c r="FXF45" s="16"/>
      <c r="FXG45" s="16"/>
      <c r="FXH45" s="16"/>
      <c r="FXI45" s="16"/>
      <c r="FXJ45" s="16"/>
      <c r="FXK45" s="16"/>
      <c r="FXL45" s="16"/>
      <c r="FXM45" s="16"/>
      <c r="FXN45" s="16"/>
      <c r="FXO45" s="16"/>
      <c r="FXP45" s="16"/>
      <c r="FXQ45" s="16"/>
      <c r="FXR45" s="16"/>
      <c r="FXS45" s="16"/>
      <c r="FXT45" s="16"/>
      <c r="FXU45" s="16"/>
      <c r="FXV45" s="16"/>
      <c r="FXW45" s="16"/>
      <c r="FXX45" s="16"/>
      <c r="FXY45" s="16"/>
      <c r="FXZ45" s="16"/>
      <c r="FYA45" s="16"/>
      <c r="FYB45" s="16"/>
      <c r="FYC45" s="16"/>
      <c r="FYD45" s="16"/>
      <c r="FYE45" s="16"/>
      <c r="FYF45" s="16"/>
      <c r="FYG45" s="16"/>
      <c r="FYH45" s="16"/>
      <c r="FYI45" s="16"/>
      <c r="FYJ45" s="16"/>
      <c r="FYK45" s="16"/>
      <c r="FYL45" s="16"/>
      <c r="FYM45" s="16"/>
      <c r="FYN45" s="16"/>
      <c r="FYO45" s="16"/>
      <c r="FYP45" s="16"/>
      <c r="FYQ45" s="16"/>
      <c r="FYR45" s="16"/>
      <c r="FYS45" s="16"/>
      <c r="FYT45" s="16"/>
      <c r="FYU45" s="16"/>
      <c r="FYV45" s="16"/>
      <c r="FYW45" s="16"/>
      <c r="FYX45" s="16"/>
      <c r="FYY45" s="16"/>
      <c r="FYZ45" s="16"/>
      <c r="FZA45" s="16"/>
      <c r="FZB45" s="16"/>
      <c r="FZC45" s="16"/>
      <c r="FZD45" s="16"/>
      <c r="FZE45" s="16"/>
      <c r="FZF45" s="16"/>
      <c r="FZG45" s="16"/>
      <c r="FZH45" s="16"/>
      <c r="FZI45" s="16"/>
      <c r="FZJ45" s="16"/>
      <c r="FZK45" s="16"/>
      <c r="FZL45" s="16"/>
      <c r="FZM45" s="16"/>
      <c r="FZN45" s="16"/>
      <c r="FZO45" s="16"/>
      <c r="FZP45" s="16"/>
      <c r="FZQ45" s="16"/>
      <c r="FZR45" s="16"/>
      <c r="FZS45" s="16"/>
      <c r="FZT45" s="16"/>
      <c r="FZU45" s="16"/>
      <c r="FZV45" s="16"/>
      <c r="FZW45" s="16"/>
      <c r="FZX45" s="16"/>
      <c r="FZY45" s="16"/>
      <c r="FZZ45" s="16"/>
      <c r="GAA45" s="16"/>
      <c r="GAB45" s="16"/>
      <c r="GAC45" s="16"/>
      <c r="GAD45" s="16"/>
      <c r="GAE45" s="16"/>
      <c r="GAF45" s="16"/>
      <c r="GAG45" s="16"/>
      <c r="GAH45" s="16"/>
      <c r="GAI45" s="16"/>
      <c r="GAJ45" s="16"/>
      <c r="GAK45" s="16"/>
      <c r="GAL45" s="16"/>
      <c r="GAM45" s="16"/>
      <c r="GAN45" s="16"/>
      <c r="GAO45" s="16"/>
      <c r="GAP45" s="16"/>
      <c r="GAQ45" s="16"/>
      <c r="GAR45" s="16"/>
      <c r="GAS45" s="16"/>
      <c r="GAT45" s="16"/>
      <c r="GAU45" s="16"/>
      <c r="GAV45" s="16"/>
      <c r="GAW45" s="16"/>
      <c r="GAX45" s="16"/>
      <c r="GAY45" s="16"/>
      <c r="GAZ45" s="16"/>
      <c r="GBA45" s="16"/>
      <c r="GBB45" s="16"/>
      <c r="GBC45" s="16"/>
      <c r="GBD45" s="16"/>
      <c r="GBE45" s="16"/>
      <c r="GBF45" s="16"/>
      <c r="GBG45" s="16"/>
      <c r="GBH45" s="16"/>
      <c r="GBI45" s="16"/>
      <c r="GBJ45" s="16"/>
      <c r="GBK45" s="16"/>
      <c r="GBL45" s="16"/>
      <c r="GBM45" s="16"/>
      <c r="GBN45" s="16"/>
      <c r="GBO45" s="16"/>
      <c r="GBP45" s="16"/>
      <c r="GBQ45" s="16"/>
      <c r="GBR45" s="16"/>
      <c r="GBS45" s="16"/>
      <c r="GBT45" s="16"/>
      <c r="GBU45" s="16"/>
      <c r="GBV45" s="16"/>
      <c r="GBW45" s="16"/>
      <c r="GBX45" s="16"/>
      <c r="GBY45" s="16"/>
      <c r="GBZ45" s="16"/>
      <c r="GCA45" s="16"/>
      <c r="GCB45" s="16"/>
      <c r="GCC45" s="16"/>
      <c r="GCD45" s="16"/>
      <c r="GCE45" s="16"/>
      <c r="GCF45" s="16"/>
      <c r="GCG45" s="16"/>
      <c r="GCH45" s="16"/>
      <c r="GCI45" s="16"/>
      <c r="GCJ45" s="16"/>
      <c r="GCK45" s="16"/>
      <c r="GCL45" s="16"/>
      <c r="GCM45" s="16"/>
      <c r="GCN45" s="16"/>
      <c r="GCO45" s="16"/>
      <c r="GCP45" s="16"/>
      <c r="GCQ45" s="16"/>
      <c r="GCR45" s="16"/>
      <c r="GCS45" s="16"/>
      <c r="GCT45" s="16"/>
      <c r="GCU45" s="16"/>
      <c r="GCV45" s="16"/>
      <c r="GCW45" s="16"/>
      <c r="GCX45" s="16"/>
      <c r="GCY45" s="16"/>
      <c r="GCZ45" s="16"/>
      <c r="GDA45" s="16"/>
      <c r="GDB45" s="16"/>
      <c r="GDC45" s="16"/>
      <c r="GDD45" s="16"/>
      <c r="GDE45" s="16"/>
      <c r="GDF45" s="16"/>
      <c r="GDG45" s="16"/>
      <c r="GDH45" s="16"/>
      <c r="GDI45" s="16"/>
      <c r="GDJ45" s="16"/>
      <c r="GDK45" s="16"/>
      <c r="GDL45" s="16"/>
      <c r="GDM45" s="16"/>
      <c r="GDN45" s="16"/>
      <c r="GDO45" s="16"/>
      <c r="GDP45" s="16"/>
      <c r="GDQ45" s="16"/>
      <c r="GDR45" s="16"/>
      <c r="GDS45" s="16"/>
      <c r="GDT45" s="16"/>
      <c r="GDU45" s="16"/>
      <c r="GDV45" s="16"/>
      <c r="GDW45" s="16"/>
      <c r="GDX45" s="16"/>
      <c r="GDY45" s="16"/>
      <c r="GDZ45" s="16"/>
      <c r="GEA45" s="16"/>
      <c r="GEB45" s="16"/>
      <c r="GEC45" s="16"/>
      <c r="GED45" s="16"/>
      <c r="GEE45" s="16"/>
      <c r="GEF45" s="16"/>
      <c r="GEG45" s="16"/>
      <c r="GEH45" s="16"/>
      <c r="GEI45" s="16"/>
      <c r="GEJ45" s="16"/>
      <c r="GEK45" s="16"/>
      <c r="GEL45" s="16"/>
      <c r="GEM45" s="16"/>
      <c r="GEN45" s="16"/>
      <c r="GEO45" s="16"/>
      <c r="GEP45" s="16"/>
      <c r="GEQ45" s="16"/>
      <c r="GER45" s="16"/>
      <c r="GES45" s="16"/>
      <c r="GET45" s="16"/>
      <c r="GEU45" s="16"/>
      <c r="GEV45" s="16"/>
      <c r="GEW45" s="16"/>
      <c r="GEX45" s="16"/>
      <c r="GEY45" s="16"/>
      <c r="GEZ45" s="16"/>
      <c r="GFA45" s="16"/>
      <c r="GFB45" s="16"/>
      <c r="GFC45" s="16"/>
      <c r="GFD45" s="16"/>
      <c r="GFE45" s="16"/>
      <c r="GFF45" s="16"/>
      <c r="GFG45" s="16"/>
      <c r="GFH45" s="16"/>
      <c r="GFI45" s="16"/>
      <c r="GFJ45" s="16"/>
      <c r="GFK45" s="16"/>
      <c r="GFL45" s="16"/>
      <c r="GFM45" s="16"/>
      <c r="GFN45" s="16"/>
      <c r="GFO45" s="16"/>
      <c r="GFP45" s="16"/>
      <c r="GFQ45" s="16"/>
      <c r="GFR45" s="16"/>
      <c r="GFS45" s="16"/>
      <c r="GFT45" s="16"/>
      <c r="GFU45" s="16"/>
      <c r="GFV45" s="16"/>
      <c r="GFW45" s="16"/>
      <c r="GFX45" s="16"/>
      <c r="GFY45" s="16"/>
      <c r="GFZ45" s="16"/>
      <c r="GGA45" s="16"/>
      <c r="GGB45" s="16"/>
      <c r="GGC45" s="16"/>
      <c r="GGD45" s="16"/>
      <c r="GGE45" s="16"/>
      <c r="GGF45" s="16"/>
      <c r="GGG45" s="16"/>
      <c r="GGH45" s="16"/>
      <c r="GGI45" s="16"/>
      <c r="GGJ45" s="16"/>
      <c r="GGK45" s="16"/>
      <c r="GGL45" s="16"/>
      <c r="GGM45" s="16"/>
      <c r="GGN45" s="16"/>
      <c r="GGO45" s="16"/>
      <c r="GGP45" s="16"/>
      <c r="GGQ45" s="16"/>
      <c r="GGR45" s="16"/>
      <c r="GGS45" s="16"/>
      <c r="GGT45" s="16"/>
      <c r="GGU45" s="16"/>
      <c r="GGV45" s="16"/>
      <c r="GGW45" s="16"/>
      <c r="GGX45" s="16"/>
      <c r="GGY45" s="16"/>
      <c r="GGZ45" s="16"/>
      <c r="GHA45" s="16"/>
      <c r="GHB45" s="16"/>
      <c r="GHC45" s="16"/>
      <c r="GHD45" s="16"/>
      <c r="GHE45" s="16"/>
      <c r="GHF45" s="16"/>
      <c r="GHG45" s="16"/>
      <c r="GHH45" s="16"/>
      <c r="GHI45" s="16"/>
      <c r="GHJ45" s="16"/>
      <c r="GHK45" s="16"/>
      <c r="GHL45" s="16"/>
      <c r="GHM45" s="16"/>
      <c r="GHN45" s="16"/>
      <c r="GHO45" s="16"/>
      <c r="GHP45" s="16"/>
      <c r="GHQ45" s="16"/>
      <c r="GHR45" s="16"/>
      <c r="GHS45" s="16"/>
      <c r="GHT45" s="16"/>
      <c r="GHU45" s="16"/>
      <c r="GHV45" s="16"/>
      <c r="GHW45" s="16"/>
      <c r="GHX45" s="16"/>
      <c r="GHY45" s="16"/>
      <c r="GHZ45" s="16"/>
      <c r="GIA45" s="16"/>
      <c r="GIB45" s="16"/>
      <c r="GIC45" s="16"/>
      <c r="GID45" s="16"/>
      <c r="GIE45" s="16"/>
      <c r="GIF45" s="16"/>
      <c r="GIG45" s="16"/>
      <c r="GIH45" s="16"/>
      <c r="GII45" s="16"/>
      <c r="GIJ45" s="16"/>
      <c r="GIK45" s="16"/>
      <c r="GIL45" s="16"/>
      <c r="GIM45" s="16"/>
      <c r="GIN45" s="16"/>
      <c r="GIO45" s="16"/>
      <c r="GIP45" s="16"/>
      <c r="GIQ45" s="16"/>
      <c r="GIR45" s="16"/>
      <c r="GIS45" s="16"/>
      <c r="GIT45" s="16"/>
      <c r="GIU45" s="16"/>
      <c r="GIV45" s="16"/>
      <c r="GIW45" s="16"/>
      <c r="GIX45" s="16"/>
      <c r="GIY45" s="16"/>
      <c r="GIZ45" s="16"/>
      <c r="GJA45" s="16"/>
      <c r="GJB45" s="16"/>
      <c r="GJC45" s="16"/>
      <c r="GJD45" s="16"/>
      <c r="GJE45" s="16"/>
      <c r="GJF45" s="16"/>
      <c r="GJG45" s="16"/>
      <c r="GJH45" s="16"/>
      <c r="GJI45" s="16"/>
      <c r="GJJ45" s="16"/>
      <c r="GJK45" s="16"/>
      <c r="GJL45" s="16"/>
      <c r="GJM45" s="16"/>
      <c r="GJN45" s="16"/>
      <c r="GJO45" s="16"/>
      <c r="GJP45" s="16"/>
      <c r="GJQ45" s="16"/>
      <c r="GJR45" s="16"/>
      <c r="GJS45" s="16"/>
      <c r="GJT45" s="16"/>
      <c r="GJU45" s="16"/>
      <c r="GJV45" s="16"/>
      <c r="GJW45" s="16"/>
      <c r="GJX45" s="16"/>
      <c r="GJY45" s="16"/>
      <c r="GJZ45" s="16"/>
      <c r="GKA45" s="16"/>
      <c r="GKB45" s="16"/>
      <c r="GKC45" s="16"/>
      <c r="GKD45" s="16"/>
      <c r="GKE45" s="16"/>
      <c r="GKF45" s="16"/>
      <c r="GKG45" s="16"/>
      <c r="GKH45" s="16"/>
      <c r="GKI45" s="16"/>
      <c r="GKJ45" s="16"/>
      <c r="GKK45" s="16"/>
      <c r="GKL45" s="16"/>
      <c r="GKM45" s="16"/>
      <c r="GKN45" s="16"/>
      <c r="GKO45" s="16"/>
      <c r="GKP45" s="16"/>
      <c r="GKQ45" s="16"/>
      <c r="GKR45" s="16"/>
      <c r="GKS45" s="16"/>
      <c r="GKT45" s="16"/>
      <c r="GKU45" s="16"/>
      <c r="GKV45" s="16"/>
      <c r="GKW45" s="16"/>
      <c r="GKX45" s="16"/>
      <c r="GKY45" s="16"/>
      <c r="GKZ45" s="16"/>
      <c r="GLA45" s="16"/>
      <c r="GLB45" s="16"/>
      <c r="GLC45" s="16"/>
      <c r="GLD45" s="16"/>
      <c r="GLE45" s="16"/>
      <c r="GLF45" s="16"/>
      <c r="GLG45" s="16"/>
      <c r="GLH45" s="16"/>
      <c r="GLI45" s="16"/>
      <c r="GLJ45" s="16"/>
      <c r="GLK45" s="16"/>
      <c r="GLL45" s="16"/>
      <c r="GLM45" s="16"/>
      <c r="GLN45" s="16"/>
      <c r="GLO45" s="16"/>
      <c r="GLP45" s="16"/>
      <c r="GLQ45" s="16"/>
      <c r="GLR45" s="16"/>
      <c r="GLS45" s="16"/>
      <c r="GLT45" s="16"/>
      <c r="GLU45" s="16"/>
      <c r="GLV45" s="16"/>
      <c r="GLW45" s="16"/>
      <c r="GLX45" s="16"/>
      <c r="GLY45" s="16"/>
      <c r="GLZ45" s="16"/>
      <c r="GMA45" s="16"/>
      <c r="GMB45" s="16"/>
      <c r="GMC45" s="16"/>
      <c r="GMD45" s="16"/>
      <c r="GME45" s="16"/>
      <c r="GMF45" s="16"/>
      <c r="GMG45" s="16"/>
      <c r="GMH45" s="16"/>
      <c r="GMI45" s="16"/>
      <c r="GMJ45" s="16"/>
      <c r="GMK45" s="16"/>
      <c r="GML45" s="16"/>
      <c r="GMM45" s="16"/>
      <c r="GMN45" s="16"/>
      <c r="GMO45" s="16"/>
      <c r="GMP45" s="16"/>
      <c r="GMQ45" s="16"/>
      <c r="GMR45" s="16"/>
      <c r="GMS45" s="16"/>
      <c r="GMT45" s="16"/>
      <c r="GMU45" s="16"/>
      <c r="GMV45" s="16"/>
      <c r="GMW45" s="16"/>
      <c r="GMX45" s="16"/>
      <c r="GMY45" s="16"/>
      <c r="GMZ45" s="16"/>
      <c r="GNA45" s="16"/>
      <c r="GNB45" s="16"/>
      <c r="GNC45" s="16"/>
      <c r="GND45" s="16"/>
      <c r="GNE45" s="16"/>
      <c r="GNF45" s="16"/>
      <c r="GNG45" s="16"/>
      <c r="GNH45" s="16"/>
      <c r="GNI45" s="16"/>
      <c r="GNJ45" s="16"/>
      <c r="GNK45" s="16"/>
      <c r="GNL45" s="16"/>
      <c r="GNM45" s="16"/>
      <c r="GNN45" s="16"/>
      <c r="GNO45" s="16"/>
      <c r="GNP45" s="16"/>
      <c r="GNQ45" s="16"/>
      <c r="GNR45" s="16"/>
      <c r="GNS45" s="16"/>
      <c r="GNT45" s="16"/>
      <c r="GNU45" s="16"/>
      <c r="GNV45" s="16"/>
      <c r="GNW45" s="16"/>
      <c r="GNX45" s="16"/>
      <c r="GNY45" s="16"/>
      <c r="GNZ45" s="16"/>
      <c r="GOA45" s="16"/>
      <c r="GOB45" s="16"/>
      <c r="GOC45" s="16"/>
      <c r="GOD45" s="16"/>
      <c r="GOE45" s="16"/>
      <c r="GOF45" s="16"/>
      <c r="GOG45" s="16"/>
      <c r="GOH45" s="16"/>
      <c r="GOI45" s="16"/>
      <c r="GOJ45" s="16"/>
      <c r="GOK45" s="16"/>
      <c r="GOL45" s="16"/>
      <c r="GOM45" s="16"/>
      <c r="GON45" s="16"/>
      <c r="GOO45" s="16"/>
      <c r="GOP45" s="16"/>
      <c r="GOQ45" s="16"/>
      <c r="GOR45" s="16"/>
      <c r="GOS45" s="16"/>
      <c r="GOT45" s="16"/>
      <c r="GOU45" s="16"/>
      <c r="GOV45" s="16"/>
      <c r="GOW45" s="16"/>
      <c r="GOX45" s="16"/>
      <c r="GOY45" s="16"/>
      <c r="GOZ45" s="16"/>
      <c r="GPA45" s="16"/>
      <c r="GPB45" s="16"/>
      <c r="GPC45" s="16"/>
      <c r="GPD45" s="16"/>
      <c r="GPE45" s="16"/>
      <c r="GPF45" s="16"/>
      <c r="GPG45" s="16"/>
      <c r="GPH45" s="16"/>
      <c r="GPI45" s="16"/>
      <c r="GPJ45" s="16"/>
      <c r="GPK45" s="16"/>
      <c r="GPL45" s="16"/>
      <c r="GPM45" s="16"/>
      <c r="GPN45" s="16"/>
      <c r="GPO45" s="16"/>
      <c r="GPP45" s="16"/>
      <c r="GPQ45" s="16"/>
      <c r="GPR45" s="16"/>
      <c r="GPS45" s="16"/>
      <c r="GPT45" s="16"/>
      <c r="GPU45" s="16"/>
      <c r="GPV45" s="16"/>
      <c r="GPW45" s="16"/>
      <c r="GPX45" s="16"/>
      <c r="GPY45" s="16"/>
      <c r="GPZ45" s="16"/>
      <c r="GQA45" s="16"/>
      <c r="GQB45" s="16"/>
      <c r="GQC45" s="16"/>
      <c r="GQD45" s="16"/>
      <c r="GQE45" s="16"/>
      <c r="GQF45" s="16"/>
      <c r="GQG45" s="16"/>
      <c r="GQH45" s="16"/>
      <c r="GQI45" s="16"/>
      <c r="GQJ45" s="16"/>
      <c r="GQK45" s="16"/>
      <c r="GQL45" s="16"/>
      <c r="GQM45" s="16"/>
      <c r="GQN45" s="16"/>
      <c r="GQO45" s="16"/>
      <c r="GQP45" s="16"/>
      <c r="GQQ45" s="16"/>
      <c r="GQR45" s="16"/>
      <c r="GQS45" s="16"/>
      <c r="GQT45" s="16"/>
      <c r="GQU45" s="16"/>
      <c r="GQV45" s="16"/>
      <c r="GQW45" s="16"/>
      <c r="GQX45" s="16"/>
      <c r="GQY45" s="16"/>
      <c r="GQZ45" s="16"/>
      <c r="GRA45" s="16"/>
      <c r="GRB45" s="16"/>
      <c r="GRC45" s="16"/>
      <c r="GRD45" s="16"/>
      <c r="GRE45" s="16"/>
      <c r="GRF45" s="16"/>
      <c r="GRG45" s="16"/>
      <c r="GRH45" s="16"/>
      <c r="GRI45" s="16"/>
      <c r="GRJ45" s="16"/>
      <c r="GRK45" s="16"/>
      <c r="GRL45" s="16"/>
      <c r="GRM45" s="16"/>
      <c r="GRN45" s="16"/>
      <c r="GRO45" s="16"/>
      <c r="GRP45" s="16"/>
      <c r="GRQ45" s="16"/>
      <c r="GRR45" s="16"/>
      <c r="GRS45" s="16"/>
      <c r="GRT45" s="16"/>
      <c r="GRU45" s="16"/>
      <c r="GRV45" s="16"/>
      <c r="GRW45" s="16"/>
      <c r="GRX45" s="16"/>
      <c r="GRY45" s="16"/>
      <c r="GRZ45" s="16"/>
      <c r="GSA45" s="16"/>
      <c r="GSB45" s="16"/>
      <c r="GSC45" s="16"/>
      <c r="GSD45" s="16"/>
      <c r="GSE45" s="16"/>
      <c r="GSF45" s="16"/>
      <c r="GSG45" s="16"/>
      <c r="GSH45" s="16"/>
      <c r="GSI45" s="16"/>
      <c r="GSJ45" s="16"/>
      <c r="GSK45" s="16"/>
      <c r="GSL45" s="16"/>
      <c r="GSM45" s="16"/>
      <c r="GSN45" s="16"/>
      <c r="GSO45" s="16"/>
      <c r="GSP45" s="16"/>
      <c r="GSQ45" s="16"/>
      <c r="GSR45" s="16"/>
      <c r="GSS45" s="16"/>
      <c r="GST45" s="16"/>
      <c r="GSU45" s="16"/>
      <c r="GSV45" s="16"/>
      <c r="GSW45" s="16"/>
      <c r="GSX45" s="16"/>
      <c r="GSY45" s="16"/>
      <c r="GSZ45" s="16"/>
      <c r="GTA45" s="16"/>
      <c r="GTB45" s="16"/>
      <c r="GTC45" s="16"/>
      <c r="GTD45" s="16"/>
      <c r="GTE45" s="16"/>
      <c r="GTF45" s="16"/>
      <c r="GTG45" s="16"/>
      <c r="GTH45" s="16"/>
      <c r="GTI45" s="16"/>
      <c r="GTJ45" s="16"/>
      <c r="GTK45" s="16"/>
      <c r="GTL45" s="16"/>
      <c r="GTM45" s="16"/>
      <c r="GTN45" s="16"/>
      <c r="GTO45" s="16"/>
      <c r="GTP45" s="16"/>
      <c r="GTQ45" s="16"/>
      <c r="GTR45" s="16"/>
      <c r="GTS45" s="16"/>
      <c r="GTT45" s="16"/>
      <c r="GTU45" s="16"/>
      <c r="GTV45" s="16"/>
      <c r="GTW45" s="16"/>
      <c r="GTX45" s="16"/>
      <c r="GTY45" s="16"/>
      <c r="GTZ45" s="16"/>
      <c r="GUA45" s="16"/>
      <c r="GUB45" s="16"/>
      <c r="GUC45" s="16"/>
      <c r="GUD45" s="16"/>
      <c r="GUE45" s="16"/>
      <c r="GUF45" s="16"/>
      <c r="GUG45" s="16"/>
      <c r="GUH45" s="16"/>
      <c r="GUI45" s="16"/>
      <c r="GUJ45" s="16"/>
      <c r="GUK45" s="16"/>
      <c r="GUL45" s="16"/>
      <c r="GUM45" s="16"/>
      <c r="GUN45" s="16"/>
      <c r="GUO45" s="16"/>
      <c r="GUP45" s="16"/>
      <c r="GUQ45" s="16"/>
      <c r="GUR45" s="16"/>
      <c r="GUS45" s="16"/>
      <c r="GUT45" s="16"/>
      <c r="GUU45" s="16"/>
      <c r="GUV45" s="16"/>
      <c r="GUW45" s="16"/>
      <c r="GUX45" s="16"/>
      <c r="GUY45" s="16"/>
      <c r="GUZ45" s="16"/>
      <c r="GVA45" s="16"/>
      <c r="GVB45" s="16"/>
      <c r="GVC45" s="16"/>
      <c r="GVD45" s="16"/>
      <c r="GVE45" s="16"/>
      <c r="GVF45" s="16"/>
      <c r="GVG45" s="16"/>
      <c r="GVH45" s="16"/>
      <c r="GVI45" s="16"/>
      <c r="GVJ45" s="16"/>
      <c r="GVK45" s="16"/>
      <c r="GVL45" s="16"/>
      <c r="GVM45" s="16"/>
      <c r="GVN45" s="16"/>
      <c r="GVO45" s="16"/>
      <c r="GVP45" s="16"/>
      <c r="GVQ45" s="16"/>
      <c r="GVR45" s="16"/>
      <c r="GVS45" s="16"/>
      <c r="GVT45" s="16"/>
      <c r="GVU45" s="16"/>
      <c r="GVV45" s="16"/>
      <c r="GVW45" s="16"/>
      <c r="GVX45" s="16"/>
      <c r="GVY45" s="16"/>
      <c r="GVZ45" s="16"/>
      <c r="GWA45" s="16"/>
      <c r="GWB45" s="16"/>
      <c r="GWC45" s="16"/>
      <c r="GWD45" s="16"/>
      <c r="GWE45" s="16"/>
      <c r="GWF45" s="16"/>
      <c r="GWG45" s="16"/>
      <c r="GWH45" s="16"/>
      <c r="GWI45" s="16"/>
      <c r="GWJ45" s="16"/>
      <c r="GWK45" s="16"/>
      <c r="GWL45" s="16"/>
      <c r="GWM45" s="16"/>
      <c r="GWN45" s="16"/>
      <c r="GWO45" s="16"/>
      <c r="GWP45" s="16"/>
      <c r="GWQ45" s="16"/>
      <c r="GWR45" s="16"/>
      <c r="GWS45" s="16"/>
      <c r="GWT45" s="16"/>
      <c r="GWU45" s="16"/>
      <c r="GWV45" s="16"/>
      <c r="GWW45" s="16"/>
      <c r="GWX45" s="16"/>
      <c r="GWY45" s="16"/>
      <c r="GWZ45" s="16"/>
      <c r="GXA45" s="16"/>
      <c r="GXB45" s="16"/>
      <c r="GXC45" s="16"/>
      <c r="GXD45" s="16"/>
      <c r="GXE45" s="16"/>
      <c r="GXF45" s="16"/>
      <c r="GXG45" s="16"/>
      <c r="GXH45" s="16"/>
      <c r="GXI45" s="16"/>
      <c r="GXJ45" s="16"/>
      <c r="GXK45" s="16"/>
      <c r="GXL45" s="16"/>
      <c r="GXM45" s="16"/>
      <c r="GXN45" s="16"/>
      <c r="GXO45" s="16"/>
      <c r="GXP45" s="16"/>
      <c r="GXQ45" s="16"/>
      <c r="GXR45" s="16"/>
      <c r="GXS45" s="16"/>
      <c r="GXT45" s="16"/>
      <c r="GXU45" s="16"/>
      <c r="GXV45" s="16"/>
      <c r="GXW45" s="16"/>
      <c r="GXX45" s="16"/>
      <c r="GXY45" s="16"/>
      <c r="GXZ45" s="16"/>
      <c r="GYA45" s="16"/>
      <c r="GYB45" s="16"/>
      <c r="GYC45" s="16"/>
      <c r="GYD45" s="16"/>
      <c r="GYE45" s="16"/>
      <c r="GYF45" s="16"/>
      <c r="GYG45" s="16"/>
      <c r="GYH45" s="16"/>
      <c r="GYI45" s="16"/>
      <c r="GYJ45" s="16"/>
      <c r="GYK45" s="16"/>
      <c r="GYL45" s="16"/>
      <c r="GYM45" s="16"/>
      <c r="GYN45" s="16"/>
      <c r="GYO45" s="16"/>
      <c r="GYP45" s="16"/>
      <c r="GYQ45" s="16"/>
      <c r="GYR45" s="16"/>
      <c r="GYS45" s="16"/>
      <c r="GYT45" s="16"/>
      <c r="GYU45" s="16"/>
      <c r="GYV45" s="16"/>
      <c r="GYW45" s="16"/>
      <c r="GYX45" s="16"/>
      <c r="GYY45" s="16"/>
      <c r="GYZ45" s="16"/>
      <c r="GZA45" s="16"/>
      <c r="GZB45" s="16"/>
      <c r="GZC45" s="16"/>
      <c r="GZD45" s="16"/>
      <c r="GZE45" s="16"/>
      <c r="GZF45" s="16"/>
      <c r="GZG45" s="16"/>
      <c r="GZH45" s="16"/>
      <c r="GZI45" s="16"/>
      <c r="GZJ45" s="16"/>
      <c r="GZK45" s="16"/>
      <c r="GZL45" s="16"/>
      <c r="GZM45" s="16"/>
      <c r="GZN45" s="16"/>
      <c r="GZO45" s="16"/>
      <c r="GZP45" s="16"/>
      <c r="GZQ45" s="16"/>
      <c r="GZR45" s="16"/>
      <c r="GZS45" s="16"/>
      <c r="GZT45" s="16"/>
      <c r="GZU45" s="16"/>
      <c r="GZV45" s="16"/>
      <c r="GZW45" s="16"/>
      <c r="GZX45" s="16"/>
      <c r="GZY45" s="16"/>
      <c r="GZZ45" s="16"/>
      <c r="HAA45" s="16"/>
      <c r="HAB45" s="16"/>
      <c r="HAC45" s="16"/>
      <c r="HAD45" s="16"/>
      <c r="HAE45" s="16"/>
      <c r="HAF45" s="16"/>
      <c r="HAG45" s="16"/>
      <c r="HAH45" s="16"/>
      <c r="HAI45" s="16"/>
      <c r="HAJ45" s="16"/>
      <c r="HAK45" s="16"/>
      <c r="HAL45" s="16"/>
      <c r="HAM45" s="16"/>
      <c r="HAN45" s="16"/>
      <c r="HAO45" s="16"/>
      <c r="HAP45" s="16"/>
      <c r="HAQ45" s="16"/>
      <c r="HAR45" s="16"/>
      <c r="HAS45" s="16"/>
      <c r="HAT45" s="16"/>
      <c r="HAU45" s="16"/>
      <c r="HAV45" s="16"/>
      <c r="HAW45" s="16"/>
      <c r="HAX45" s="16"/>
      <c r="HAY45" s="16"/>
      <c r="HAZ45" s="16"/>
      <c r="HBA45" s="16"/>
      <c r="HBB45" s="16"/>
      <c r="HBC45" s="16"/>
      <c r="HBD45" s="16"/>
      <c r="HBE45" s="16"/>
      <c r="HBF45" s="16"/>
      <c r="HBG45" s="16"/>
      <c r="HBH45" s="16"/>
      <c r="HBI45" s="16"/>
      <c r="HBJ45" s="16"/>
      <c r="HBK45" s="16"/>
      <c r="HBL45" s="16"/>
      <c r="HBM45" s="16"/>
      <c r="HBN45" s="16"/>
      <c r="HBO45" s="16"/>
      <c r="HBP45" s="16"/>
      <c r="HBQ45" s="16"/>
      <c r="HBR45" s="16"/>
      <c r="HBS45" s="16"/>
      <c r="HBT45" s="16"/>
      <c r="HBU45" s="16"/>
      <c r="HBV45" s="16"/>
      <c r="HBW45" s="16"/>
      <c r="HBX45" s="16"/>
      <c r="HBY45" s="16"/>
      <c r="HBZ45" s="16"/>
      <c r="HCA45" s="16"/>
      <c r="HCB45" s="16"/>
      <c r="HCC45" s="16"/>
      <c r="HCD45" s="16"/>
      <c r="HCE45" s="16"/>
      <c r="HCF45" s="16"/>
      <c r="HCG45" s="16"/>
      <c r="HCH45" s="16"/>
      <c r="HCI45" s="16"/>
      <c r="HCJ45" s="16"/>
      <c r="HCK45" s="16"/>
      <c r="HCL45" s="16"/>
      <c r="HCM45" s="16"/>
      <c r="HCN45" s="16"/>
      <c r="HCO45" s="16"/>
      <c r="HCP45" s="16"/>
      <c r="HCQ45" s="16"/>
      <c r="HCR45" s="16"/>
      <c r="HCS45" s="16"/>
      <c r="HCT45" s="16"/>
      <c r="HCU45" s="16"/>
      <c r="HCV45" s="16"/>
      <c r="HCW45" s="16"/>
      <c r="HCX45" s="16"/>
      <c r="HCY45" s="16"/>
      <c r="HCZ45" s="16"/>
      <c r="HDA45" s="16"/>
      <c r="HDB45" s="16"/>
      <c r="HDC45" s="16"/>
      <c r="HDD45" s="16"/>
      <c r="HDE45" s="16"/>
      <c r="HDF45" s="16"/>
      <c r="HDG45" s="16"/>
      <c r="HDH45" s="16"/>
      <c r="HDI45" s="16"/>
      <c r="HDJ45" s="16"/>
      <c r="HDK45" s="16"/>
      <c r="HDL45" s="16"/>
      <c r="HDM45" s="16"/>
      <c r="HDN45" s="16"/>
      <c r="HDO45" s="16"/>
      <c r="HDP45" s="16"/>
      <c r="HDQ45" s="16"/>
      <c r="HDR45" s="16"/>
      <c r="HDS45" s="16"/>
      <c r="HDT45" s="16"/>
      <c r="HDU45" s="16"/>
      <c r="HDV45" s="16"/>
      <c r="HDW45" s="16"/>
      <c r="HDX45" s="16"/>
      <c r="HDY45" s="16"/>
      <c r="HDZ45" s="16"/>
      <c r="HEA45" s="16"/>
      <c r="HEB45" s="16"/>
      <c r="HEC45" s="16"/>
      <c r="HED45" s="16"/>
      <c r="HEE45" s="16"/>
      <c r="HEF45" s="16"/>
      <c r="HEG45" s="16"/>
      <c r="HEH45" s="16"/>
      <c r="HEI45" s="16"/>
      <c r="HEJ45" s="16"/>
      <c r="HEK45" s="16"/>
      <c r="HEL45" s="16"/>
      <c r="HEM45" s="16"/>
      <c r="HEN45" s="16"/>
      <c r="HEO45" s="16"/>
      <c r="HEP45" s="16"/>
      <c r="HEQ45" s="16"/>
      <c r="HER45" s="16"/>
      <c r="HES45" s="16"/>
      <c r="HET45" s="16"/>
      <c r="HEU45" s="16"/>
      <c r="HEV45" s="16"/>
      <c r="HEW45" s="16"/>
      <c r="HEX45" s="16"/>
      <c r="HEY45" s="16"/>
      <c r="HEZ45" s="16"/>
      <c r="HFA45" s="16"/>
      <c r="HFB45" s="16"/>
      <c r="HFC45" s="16"/>
      <c r="HFD45" s="16"/>
      <c r="HFE45" s="16"/>
      <c r="HFF45" s="16"/>
      <c r="HFG45" s="16"/>
      <c r="HFH45" s="16"/>
      <c r="HFI45" s="16"/>
      <c r="HFJ45" s="16"/>
      <c r="HFK45" s="16"/>
      <c r="HFL45" s="16"/>
      <c r="HFM45" s="16"/>
      <c r="HFN45" s="16"/>
      <c r="HFO45" s="16"/>
      <c r="HFP45" s="16"/>
      <c r="HFQ45" s="16"/>
      <c r="HFR45" s="16"/>
      <c r="HFS45" s="16"/>
      <c r="HFT45" s="16"/>
      <c r="HFU45" s="16"/>
      <c r="HFV45" s="16"/>
      <c r="HFW45" s="16"/>
      <c r="HFX45" s="16"/>
      <c r="HFY45" s="16"/>
      <c r="HFZ45" s="16"/>
      <c r="HGA45" s="16"/>
      <c r="HGB45" s="16"/>
      <c r="HGC45" s="16"/>
      <c r="HGD45" s="16"/>
      <c r="HGE45" s="16"/>
      <c r="HGF45" s="16"/>
      <c r="HGG45" s="16"/>
      <c r="HGH45" s="16"/>
      <c r="HGI45" s="16"/>
      <c r="HGJ45" s="16"/>
      <c r="HGK45" s="16"/>
      <c r="HGL45" s="16"/>
      <c r="HGM45" s="16"/>
      <c r="HGN45" s="16"/>
      <c r="HGO45" s="16"/>
      <c r="HGP45" s="16"/>
      <c r="HGQ45" s="16"/>
      <c r="HGR45" s="16"/>
      <c r="HGS45" s="16"/>
      <c r="HGT45" s="16"/>
      <c r="HGU45" s="16"/>
      <c r="HGV45" s="16"/>
      <c r="HGW45" s="16"/>
      <c r="HGX45" s="16"/>
      <c r="HGY45" s="16"/>
      <c r="HGZ45" s="16"/>
      <c r="HHA45" s="16"/>
      <c r="HHB45" s="16"/>
      <c r="HHC45" s="16"/>
      <c r="HHD45" s="16"/>
      <c r="HHE45" s="16"/>
      <c r="HHF45" s="16"/>
      <c r="HHG45" s="16"/>
      <c r="HHH45" s="16"/>
      <c r="HHI45" s="16"/>
      <c r="HHJ45" s="16"/>
      <c r="HHK45" s="16"/>
      <c r="HHL45" s="16"/>
      <c r="HHM45" s="16"/>
      <c r="HHN45" s="16"/>
      <c r="HHO45" s="16"/>
      <c r="HHP45" s="16"/>
      <c r="HHQ45" s="16"/>
      <c r="HHR45" s="16"/>
      <c r="HHS45" s="16"/>
      <c r="HHT45" s="16"/>
      <c r="HHU45" s="16"/>
      <c r="HHV45" s="16"/>
      <c r="HHW45" s="16"/>
      <c r="HHX45" s="16"/>
      <c r="HHY45" s="16"/>
      <c r="HHZ45" s="16"/>
      <c r="HIA45" s="16"/>
      <c r="HIB45" s="16"/>
      <c r="HIC45" s="16"/>
      <c r="HID45" s="16"/>
      <c r="HIE45" s="16"/>
      <c r="HIF45" s="16"/>
      <c r="HIG45" s="16"/>
      <c r="HIH45" s="16"/>
      <c r="HII45" s="16"/>
      <c r="HIJ45" s="16"/>
      <c r="HIK45" s="16"/>
      <c r="HIL45" s="16"/>
      <c r="HIM45" s="16"/>
      <c r="HIN45" s="16"/>
      <c r="HIO45" s="16"/>
      <c r="HIP45" s="16"/>
      <c r="HIQ45" s="16"/>
      <c r="HIR45" s="16"/>
      <c r="HIS45" s="16"/>
      <c r="HIT45" s="16"/>
      <c r="HIU45" s="16"/>
      <c r="HIV45" s="16"/>
      <c r="HIW45" s="16"/>
      <c r="HIX45" s="16"/>
      <c r="HIY45" s="16"/>
      <c r="HIZ45" s="16"/>
      <c r="HJA45" s="16"/>
      <c r="HJB45" s="16"/>
      <c r="HJC45" s="16"/>
      <c r="HJD45" s="16"/>
      <c r="HJE45" s="16"/>
      <c r="HJF45" s="16"/>
      <c r="HJG45" s="16"/>
      <c r="HJH45" s="16"/>
      <c r="HJI45" s="16"/>
      <c r="HJJ45" s="16"/>
      <c r="HJK45" s="16"/>
      <c r="HJL45" s="16"/>
      <c r="HJM45" s="16"/>
      <c r="HJN45" s="16"/>
      <c r="HJO45" s="16"/>
      <c r="HJP45" s="16"/>
      <c r="HJQ45" s="16"/>
      <c r="HJR45" s="16"/>
      <c r="HJS45" s="16"/>
      <c r="HJT45" s="16"/>
      <c r="HJU45" s="16"/>
      <c r="HJV45" s="16"/>
      <c r="HJW45" s="16"/>
      <c r="HJX45" s="16"/>
      <c r="HJY45" s="16"/>
      <c r="HJZ45" s="16"/>
      <c r="HKA45" s="16"/>
      <c r="HKB45" s="16"/>
      <c r="HKC45" s="16"/>
      <c r="HKD45" s="16"/>
      <c r="HKE45" s="16"/>
      <c r="HKF45" s="16"/>
      <c r="HKG45" s="16"/>
      <c r="HKH45" s="16"/>
      <c r="HKI45" s="16"/>
      <c r="HKJ45" s="16"/>
      <c r="HKK45" s="16"/>
      <c r="HKL45" s="16"/>
      <c r="HKM45" s="16"/>
      <c r="HKN45" s="16"/>
      <c r="HKO45" s="16"/>
      <c r="HKP45" s="16"/>
      <c r="HKQ45" s="16"/>
      <c r="HKR45" s="16"/>
      <c r="HKS45" s="16"/>
      <c r="HKT45" s="16"/>
      <c r="HKU45" s="16"/>
      <c r="HKV45" s="16"/>
      <c r="HKW45" s="16"/>
      <c r="HKX45" s="16"/>
      <c r="HKY45" s="16"/>
      <c r="HKZ45" s="16"/>
      <c r="HLA45" s="16"/>
      <c r="HLB45" s="16"/>
      <c r="HLC45" s="16"/>
      <c r="HLD45" s="16"/>
      <c r="HLE45" s="16"/>
      <c r="HLF45" s="16"/>
      <c r="HLG45" s="16"/>
      <c r="HLH45" s="16"/>
      <c r="HLI45" s="16"/>
      <c r="HLJ45" s="16"/>
      <c r="HLK45" s="16"/>
      <c r="HLL45" s="16"/>
      <c r="HLM45" s="16"/>
      <c r="HLN45" s="16"/>
      <c r="HLO45" s="16"/>
      <c r="HLP45" s="16"/>
      <c r="HLQ45" s="16"/>
      <c r="HLR45" s="16"/>
      <c r="HLS45" s="16"/>
      <c r="HLT45" s="16"/>
      <c r="HLU45" s="16"/>
      <c r="HLV45" s="16"/>
      <c r="HLW45" s="16"/>
      <c r="HLX45" s="16"/>
      <c r="HLY45" s="16"/>
      <c r="HLZ45" s="16"/>
      <c r="HMA45" s="16"/>
      <c r="HMB45" s="16"/>
      <c r="HMC45" s="16"/>
      <c r="HMD45" s="16"/>
      <c r="HME45" s="16"/>
      <c r="HMF45" s="16"/>
      <c r="HMG45" s="16"/>
      <c r="HMH45" s="16"/>
      <c r="HMI45" s="16"/>
      <c r="HMJ45" s="16"/>
      <c r="HMK45" s="16"/>
      <c r="HML45" s="16"/>
      <c r="HMM45" s="16"/>
      <c r="HMN45" s="16"/>
      <c r="HMO45" s="16"/>
      <c r="HMP45" s="16"/>
      <c r="HMQ45" s="16"/>
      <c r="HMR45" s="16"/>
      <c r="HMS45" s="16"/>
      <c r="HMT45" s="16"/>
      <c r="HMU45" s="16"/>
      <c r="HMV45" s="16"/>
      <c r="HMW45" s="16"/>
      <c r="HMX45" s="16"/>
      <c r="HMY45" s="16"/>
      <c r="HMZ45" s="16"/>
      <c r="HNA45" s="16"/>
      <c r="HNB45" s="16"/>
      <c r="HNC45" s="16"/>
      <c r="HND45" s="16"/>
      <c r="HNE45" s="16"/>
      <c r="HNF45" s="16"/>
      <c r="HNG45" s="16"/>
      <c r="HNH45" s="16"/>
      <c r="HNI45" s="16"/>
      <c r="HNJ45" s="16"/>
      <c r="HNK45" s="16"/>
      <c r="HNL45" s="16"/>
      <c r="HNM45" s="16"/>
      <c r="HNN45" s="16"/>
      <c r="HNO45" s="16"/>
      <c r="HNP45" s="16"/>
      <c r="HNQ45" s="16"/>
      <c r="HNR45" s="16"/>
      <c r="HNS45" s="16"/>
      <c r="HNT45" s="16"/>
      <c r="HNU45" s="16"/>
      <c r="HNV45" s="16"/>
      <c r="HNW45" s="16"/>
      <c r="HNX45" s="16"/>
      <c r="HNY45" s="16"/>
      <c r="HNZ45" s="16"/>
      <c r="HOA45" s="16"/>
      <c r="HOB45" s="16"/>
      <c r="HOC45" s="16"/>
      <c r="HOD45" s="16"/>
      <c r="HOE45" s="16"/>
      <c r="HOF45" s="16"/>
      <c r="HOG45" s="16"/>
      <c r="HOH45" s="16"/>
      <c r="HOI45" s="16"/>
      <c r="HOJ45" s="16"/>
      <c r="HOK45" s="16"/>
      <c r="HOL45" s="16"/>
      <c r="HOM45" s="16"/>
      <c r="HON45" s="16"/>
      <c r="HOO45" s="16"/>
      <c r="HOP45" s="16"/>
      <c r="HOQ45" s="16"/>
      <c r="HOR45" s="16"/>
      <c r="HOS45" s="16"/>
      <c r="HOT45" s="16"/>
      <c r="HOU45" s="16"/>
      <c r="HOV45" s="16"/>
      <c r="HOW45" s="16"/>
      <c r="HOX45" s="16"/>
      <c r="HOY45" s="16"/>
      <c r="HOZ45" s="16"/>
      <c r="HPA45" s="16"/>
      <c r="HPB45" s="16"/>
      <c r="HPC45" s="16"/>
      <c r="HPD45" s="16"/>
      <c r="HPE45" s="16"/>
      <c r="HPF45" s="16"/>
      <c r="HPG45" s="16"/>
      <c r="HPH45" s="16"/>
      <c r="HPI45" s="16"/>
      <c r="HPJ45" s="16"/>
      <c r="HPK45" s="16"/>
      <c r="HPL45" s="16"/>
      <c r="HPM45" s="16"/>
      <c r="HPN45" s="16"/>
      <c r="HPO45" s="16"/>
      <c r="HPP45" s="16"/>
      <c r="HPQ45" s="16"/>
      <c r="HPR45" s="16"/>
      <c r="HPS45" s="16"/>
      <c r="HPT45" s="16"/>
      <c r="HPU45" s="16"/>
      <c r="HPV45" s="16"/>
      <c r="HPW45" s="16"/>
      <c r="HPX45" s="16"/>
      <c r="HPY45" s="16"/>
      <c r="HPZ45" s="16"/>
      <c r="HQA45" s="16"/>
      <c r="HQB45" s="16"/>
      <c r="HQC45" s="16"/>
      <c r="HQD45" s="16"/>
      <c r="HQE45" s="16"/>
      <c r="HQF45" s="16"/>
      <c r="HQG45" s="16"/>
      <c r="HQH45" s="16"/>
      <c r="HQI45" s="16"/>
      <c r="HQJ45" s="16"/>
      <c r="HQK45" s="16"/>
      <c r="HQL45" s="16"/>
      <c r="HQM45" s="16"/>
      <c r="HQN45" s="16"/>
      <c r="HQO45" s="16"/>
      <c r="HQP45" s="16"/>
      <c r="HQQ45" s="16"/>
      <c r="HQR45" s="16"/>
      <c r="HQS45" s="16"/>
      <c r="HQT45" s="16"/>
      <c r="HQU45" s="16"/>
      <c r="HQV45" s="16"/>
      <c r="HQW45" s="16"/>
      <c r="HQX45" s="16"/>
      <c r="HQY45" s="16"/>
      <c r="HQZ45" s="16"/>
      <c r="HRA45" s="16"/>
      <c r="HRB45" s="16"/>
      <c r="HRC45" s="16"/>
      <c r="HRD45" s="16"/>
      <c r="HRE45" s="16"/>
      <c r="HRF45" s="16"/>
      <c r="HRG45" s="16"/>
      <c r="HRH45" s="16"/>
      <c r="HRI45" s="16"/>
      <c r="HRJ45" s="16"/>
      <c r="HRK45" s="16"/>
      <c r="HRL45" s="16"/>
      <c r="HRM45" s="16"/>
      <c r="HRN45" s="16"/>
      <c r="HRO45" s="16"/>
      <c r="HRP45" s="16"/>
      <c r="HRQ45" s="16"/>
      <c r="HRR45" s="16"/>
      <c r="HRS45" s="16"/>
      <c r="HRT45" s="16"/>
      <c r="HRU45" s="16"/>
      <c r="HRV45" s="16"/>
      <c r="HRW45" s="16"/>
      <c r="HRX45" s="16"/>
      <c r="HRY45" s="16"/>
      <c r="HRZ45" s="16"/>
      <c r="HSA45" s="16"/>
      <c r="HSB45" s="16"/>
      <c r="HSC45" s="16"/>
      <c r="HSD45" s="16"/>
      <c r="HSE45" s="16"/>
      <c r="HSF45" s="16"/>
      <c r="HSG45" s="16"/>
      <c r="HSH45" s="16"/>
      <c r="HSI45" s="16"/>
      <c r="HSJ45" s="16"/>
      <c r="HSK45" s="16"/>
      <c r="HSL45" s="16"/>
      <c r="HSM45" s="16"/>
      <c r="HSN45" s="16"/>
      <c r="HSO45" s="16"/>
      <c r="HSP45" s="16"/>
      <c r="HSQ45" s="16"/>
      <c r="HSR45" s="16"/>
      <c r="HSS45" s="16"/>
      <c r="HST45" s="16"/>
      <c r="HSU45" s="16"/>
      <c r="HSV45" s="16"/>
      <c r="HSW45" s="16"/>
      <c r="HSX45" s="16"/>
      <c r="HSY45" s="16"/>
      <c r="HSZ45" s="16"/>
      <c r="HTA45" s="16"/>
      <c r="HTB45" s="16"/>
      <c r="HTC45" s="16"/>
      <c r="HTD45" s="16"/>
      <c r="HTE45" s="16"/>
      <c r="HTF45" s="16"/>
      <c r="HTG45" s="16"/>
      <c r="HTH45" s="16"/>
      <c r="HTI45" s="16"/>
      <c r="HTJ45" s="16"/>
      <c r="HTK45" s="16"/>
      <c r="HTL45" s="16"/>
      <c r="HTM45" s="16"/>
      <c r="HTN45" s="16"/>
      <c r="HTO45" s="16"/>
      <c r="HTP45" s="16"/>
      <c r="HTQ45" s="16"/>
      <c r="HTR45" s="16"/>
      <c r="HTS45" s="16"/>
      <c r="HTT45" s="16"/>
      <c r="HTU45" s="16"/>
      <c r="HTV45" s="16"/>
      <c r="HTW45" s="16"/>
      <c r="HTX45" s="16"/>
      <c r="HTY45" s="16"/>
      <c r="HTZ45" s="16"/>
      <c r="HUA45" s="16"/>
      <c r="HUB45" s="16"/>
      <c r="HUC45" s="16"/>
      <c r="HUD45" s="16"/>
      <c r="HUE45" s="16"/>
      <c r="HUF45" s="16"/>
      <c r="HUG45" s="16"/>
      <c r="HUH45" s="16"/>
      <c r="HUI45" s="16"/>
      <c r="HUJ45" s="16"/>
      <c r="HUK45" s="16"/>
      <c r="HUL45" s="16"/>
      <c r="HUM45" s="16"/>
      <c r="HUN45" s="16"/>
      <c r="HUO45" s="16"/>
      <c r="HUP45" s="16"/>
      <c r="HUQ45" s="16"/>
      <c r="HUR45" s="16"/>
      <c r="HUS45" s="16"/>
      <c r="HUT45" s="16"/>
      <c r="HUU45" s="16"/>
      <c r="HUV45" s="16"/>
      <c r="HUW45" s="16"/>
      <c r="HUX45" s="16"/>
      <c r="HUY45" s="16"/>
      <c r="HUZ45" s="16"/>
      <c r="HVA45" s="16"/>
      <c r="HVB45" s="16"/>
      <c r="HVC45" s="16"/>
      <c r="HVD45" s="16"/>
      <c r="HVE45" s="16"/>
      <c r="HVF45" s="16"/>
      <c r="HVG45" s="16"/>
      <c r="HVH45" s="16"/>
      <c r="HVI45" s="16"/>
      <c r="HVJ45" s="16"/>
      <c r="HVK45" s="16"/>
      <c r="HVL45" s="16"/>
      <c r="HVM45" s="16"/>
      <c r="HVN45" s="16"/>
      <c r="HVO45" s="16"/>
      <c r="HVP45" s="16"/>
      <c r="HVQ45" s="16"/>
      <c r="HVR45" s="16"/>
      <c r="HVS45" s="16"/>
      <c r="HVT45" s="16"/>
      <c r="HVU45" s="16"/>
      <c r="HVV45" s="16"/>
      <c r="HVW45" s="16"/>
      <c r="HVX45" s="16"/>
      <c r="HVY45" s="16"/>
      <c r="HVZ45" s="16"/>
      <c r="HWA45" s="16"/>
      <c r="HWB45" s="16"/>
      <c r="HWC45" s="16"/>
      <c r="HWD45" s="16"/>
      <c r="HWE45" s="16"/>
      <c r="HWF45" s="16"/>
      <c r="HWG45" s="16"/>
      <c r="HWH45" s="16"/>
      <c r="HWI45" s="16"/>
      <c r="HWJ45" s="16"/>
      <c r="HWK45" s="16"/>
      <c r="HWL45" s="16"/>
      <c r="HWM45" s="16"/>
      <c r="HWN45" s="16"/>
      <c r="HWO45" s="16"/>
      <c r="HWP45" s="16"/>
      <c r="HWQ45" s="16"/>
      <c r="HWR45" s="16"/>
      <c r="HWS45" s="16"/>
      <c r="HWT45" s="16"/>
      <c r="HWU45" s="16"/>
      <c r="HWV45" s="16"/>
      <c r="HWW45" s="16"/>
      <c r="HWX45" s="16"/>
      <c r="HWY45" s="16"/>
      <c r="HWZ45" s="16"/>
      <c r="HXA45" s="16"/>
      <c r="HXB45" s="16"/>
      <c r="HXC45" s="16"/>
      <c r="HXD45" s="16"/>
      <c r="HXE45" s="16"/>
      <c r="HXF45" s="16"/>
      <c r="HXG45" s="16"/>
      <c r="HXH45" s="16"/>
      <c r="HXI45" s="16"/>
      <c r="HXJ45" s="16"/>
      <c r="HXK45" s="16"/>
      <c r="HXL45" s="16"/>
      <c r="HXM45" s="16"/>
      <c r="HXN45" s="16"/>
      <c r="HXO45" s="16"/>
      <c r="HXP45" s="16"/>
      <c r="HXQ45" s="16"/>
      <c r="HXR45" s="16"/>
      <c r="HXS45" s="16"/>
      <c r="HXT45" s="16"/>
      <c r="HXU45" s="16"/>
      <c r="HXV45" s="16"/>
      <c r="HXW45" s="16"/>
      <c r="HXX45" s="16"/>
      <c r="HXY45" s="16"/>
      <c r="HXZ45" s="16"/>
      <c r="HYA45" s="16"/>
      <c r="HYB45" s="16"/>
      <c r="HYC45" s="16"/>
      <c r="HYD45" s="16"/>
      <c r="HYE45" s="16"/>
      <c r="HYF45" s="16"/>
      <c r="HYG45" s="16"/>
      <c r="HYH45" s="16"/>
      <c r="HYI45" s="16"/>
      <c r="HYJ45" s="16"/>
      <c r="HYK45" s="16"/>
      <c r="HYL45" s="16"/>
      <c r="HYM45" s="16"/>
      <c r="HYN45" s="16"/>
      <c r="HYO45" s="16"/>
      <c r="HYP45" s="16"/>
      <c r="HYQ45" s="16"/>
      <c r="HYR45" s="16"/>
      <c r="HYS45" s="16"/>
      <c r="HYT45" s="16"/>
      <c r="HYU45" s="16"/>
      <c r="HYV45" s="16"/>
      <c r="HYW45" s="16"/>
      <c r="HYX45" s="16"/>
      <c r="HYY45" s="16"/>
      <c r="HYZ45" s="16"/>
      <c r="HZA45" s="16"/>
      <c r="HZB45" s="16"/>
      <c r="HZC45" s="16"/>
      <c r="HZD45" s="16"/>
      <c r="HZE45" s="16"/>
      <c r="HZF45" s="16"/>
      <c r="HZG45" s="16"/>
      <c r="HZH45" s="16"/>
      <c r="HZI45" s="16"/>
      <c r="HZJ45" s="16"/>
      <c r="HZK45" s="16"/>
      <c r="HZL45" s="16"/>
      <c r="HZM45" s="16"/>
      <c r="HZN45" s="16"/>
      <c r="HZO45" s="16"/>
      <c r="HZP45" s="16"/>
      <c r="HZQ45" s="16"/>
      <c r="HZR45" s="16"/>
      <c r="HZS45" s="16"/>
      <c r="HZT45" s="16"/>
      <c r="HZU45" s="16"/>
      <c r="HZV45" s="16"/>
      <c r="HZW45" s="16"/>
      <c r="HZX45" s="16"/>
      <c r="HZY45" s="16"/>
      <c r="HZZ45" s="16"/>
      <c r="IAA45" s="16"/>
      <c r="IAB45" s="16"/>
      <c r="IAC45" s="16"/>
      <c r="IAD45" s="16"/>
      <c r="IAE45" s="16"/>
      <c r="IAF45" s="16"/>
      <c r="IAG45" s="16"/>
      <c r="IAH45" s="16"/>
      <c r="IAI45" s="16"/>
      <c r="IAJ45" s="16"/>
      <c r="IAK45" s="16"/>
      <c r="IAL45" s="16"/>
      <c r="IAM45" s="16"/>
      <c r="IAN45" s="16"/>
      <c r="IAO45" s="16"/>
      <c r="IAP45" s="16"/>
      <c r="IAQ45" s="16"/>
      <c r="IAR45" s="16"/>
      <c r="IAS45" s="16"/>
      <c r="IAT45" s="16"/>
      <c r="IAU45" s="16"/>
      <c r="IAV45" s="16"/>
      <c r="IAW45" s="16"/>
      <c r="IAX45" s="16"/>
      <c r="IAY45" s="16"/>
      <c r="IAZ45" s="16"/>
      <c r="IBA45" s="16"/>
      <c r="IBB45" s="16"/>
      <c r="IBC45" s="16"/>
      <c r="IBD45" s="16"/>
      <c r="IBE45" s="16"/>
      <c r="IBF45" s="16"/>
      <c r="IBG45" s="16"/>
      <c r="IBH45" s="16"/>
      <c r="IBI45" s="16"/>
      <c r="IBJ45" s="16"/>
      <c r="IBK45" s="16"/>
      <c r="IBL45" s="16"/>
      <c r="IBM45" s="16"/>
      <c r="IBN45" s="16"/>
      <c r="IBO45" s="16"/>
      <c r="IBP45" s="16"/>
      <c r="IBQ45" s="16"/>
      <c r="IBR45" s="16"/>
      <c r="IBS45" s="16"/>
      <c r="IBT45" s="16"/>
      <c r="IBU45" s="16"/>
      <c r="IBV45" s="16"/>
      <c r="IBW45" s="16"/>
      <c r="IBX45" s="16"/>
      <c r="IBY45" s="16"/>
      <c r="IBZ45" s="16"/>
      <c r="ICA45" s="16"/>
      <c r="ICB45" s="16"/>
      <c r="ICC45" s="16"/>
      <c r="ICD45" s="16"/>
      <c r="ICE45" s="16"/>
      <c r="ICF45" s="16"/>
      <c r="ICG45" s="16"/>
      <c r="ICH45" s="16"/>
      <c r="ICI45" s="16"/>
      <c r="ICJ45" s="16"/>
      <c r="ICK45" s="16"/>
      <c r="ICL45" s="16"/>
      <c r="ICM45" s="16"/>
      <c r="ICN45" s="16"/>
      <c r="ICO45" s="16"/>
      <c r="ICP45" s="16"/>
      <c r="ICQ45" s="16"/>
      <c r="ICR45" s="16"/>
      <c r="ICS45" s="16"/>
      <c r="ICT45" s="16"/>
      <c r="ICU45" s="16"/>
      <c r="ICV45" s="16"/>
      <c r="ICW45" s="16"/>
      <c r="ICX45" s="16"/>
      <c r="ICY45" s="16"/>
      <c r="ICZ45" s="16"/>
      <c r="IDA45" s="16"/>
      <c r="IDB45" s="16"/>
      <c r="IDC45" s="16"/>
      <c r="IDD45" s="16"/>
      <c r="IDE45" s="16"/>
      <c r="IDF45" s="16"/>
      <c r="IDG45" s="16"/>
      <c r="IDH45" s="16"/>
      <c r="IDI45" s="16"/>
      <c r="IDJ45" s="16"/>
      <c r="IDK45" s="16"/>
      <c r="IDL45" s="16"/>
      <c r="IDM45" s="16"/>
      <c r="IDN45" s="16"/>
      <c r="IDO45" s="16"/>
      <c r="IDP45" s="16"/>
      <c r="IDQ45" s="16"/>
      <c r="IDR45" s="16"/>
      <c r="IDS45" s="16"/>
      <c r="IDT45" s="16"/>
      <c r="IDU45" s="16"/>
      <c r="IDV45" s="16"/>
      <c r="IDW45" s="16"/>
      <c r="IDX45" s="16"/>
      <c r="IDY45" s="16"/>
      <c r="IDZ45" s="16"/>
      <c r="IEA45" s="16"/>
      <c r="IEB45" s="16"/>
      <c r="IEC45" s="16"/>
      <c r="IED45" s="16"/>
      <c r="IEE45" s="16"/>
      <c r="IEF45" s="16"/>
      <c r="IEG45" s="16"/>
      <c r="IEH45" s="16"/>
      <c r="IEI45" s="16"/>
      <c r="IEJ45" s="16"/>
      <c r="IEK45" s="16"/>
      <c r="IEL45" s="16"/>
      <c r="IEM45" s="16"/>
      <c r="IEN45" s="16"/>
      <c r="IEO45" s="16"/>
      <c r="IEP45" s="16"/>
      <c r="IEQ45" s="16"/>
      <c r="IER45" s="16"/>
      <c r="IES45" s="16"/>
      <c r="IET45" s="16"/>
      <c r="IEU45" s="16"/>
      <c r="IEV45" s="16"/>
      <c r="IEW45" s="16"/>
      <c r="IEX45" s="16"/>
      <c r="IEY45" s="16"/>
      <c r="IEZ45" s="16"/>
      <c r="IFA45" s="16"/>
      <c r="IFB45" s="16"/>
      <c r="IFC45" s="16"/>
      <c r="IFD45" s="16"/>
      <c r="IFE45" s="16"/>
      <c r="IFF45" s="16"/>
      <c r="IFG45" s="16"/>
      <c r="IFH45" s="16"/>
      <c r="IFI45" s="16"/>
      <c r="IFJ45" s="16"/>
      <c r="IFK45" s="16"/>
      <c r="IFL45" s="16"/>
      <c r="IFM45" s="16"/>
      <c r="IFN45" s="16"/>
      <c r="IFO45" s="16"/>
      <c r="IFP45" s="16"/>
      <c r="IFQ45" s="16"/>
      <c r="IFR45" s="16"/>
      <c r="IFS45" s="16"/>
      <c r="IFT45" s="16"/>
      <c r="IFU45" s="16"/>
      <c r="IFV45" s="16"/>
      <c r="IFW45" s="16"/>
      <c r="IFX45" s="16"/>
      <c r="IFY45" s="16"/>
      <c r="IFZ45" s="16"/>
      <c r="IGA45" s="16"/>
      <c r="IGB45" s="16"/>
      <c r="IGC45" s="16"/>
      <c r="IGD45" s="16"/>
      <c r="IGE45" s="16"/>
      <c r="IGF45" s="16"/>
      <c r="IGG45" s="16"/>
      <c r="IGH45" s="16"/>
      <c r="IGI45" s="16"/>
      <c r="IGJ45" s="16"/>
      <c r="IGK45" s="16"/>
      <c r="IGL45" s="16"/>
      <c r="IGM45" s="16"/>
      <c r="IGN45" s="16"/>
      <c r="IGO45" s="16"/>
      <c r="IGP45" s="16"/>
      <c r="IGQ45" s="16"/>
      <c r="IGR45" s="16"/>
      <c r="IGS45" s="16"/>
      <c r="IGT45" s="16"/>
      <c r="IGU45" s="16"/>
      <c r="IGV45" s="16"/>
      <c r="IGW45" s="16"/>
      <c r="IGX45" s="16"/>
      <c r="IGY45" s="16"/>
      <c r="IGZ45" s="16"/>
      <c r="IHA45" s="16"/>
      <c r="IHB45" s="16"/>
      <c r="IHC45" s="16"/>
      <c r="IHD45" s="16"/>
      <c r="IHE45" s="16"/>
      <c r="IHF45" s="16"/>
      <c r="IHG45" s="16"/>
      <c r="IHH45" s="16"/>
      <c r="IHI45" s="16"/>
      <c r="IHJ45" s="16"/>
      <c r="IHK45" s="16"/>
      <c r="IHL45" s="16"/>
      <c r="IHM45" s="16"/>
      <c r="IHN45" s="16"/>
      <c r="IHO45" s="16"/>
      <c r="IHP45" s="16"/>
      <c r="IHQ45" s="16"/>
      <c r="IHR45" s="16"/>
      <c r="IHS45" s="16"/>
      <c r="IHT45" s="16"/>
      <c r="IHU45" s="16"/>
      <c r="IHV45" s="16"/>
      <c r="IHW45" s="16"/>
      <c r="IHX45" s="16"/>
      <c r="IHY45" s="16"/>
      <c r="IHZ45" s="16"/>
      <c r="IIA45" s="16"/>
      <c r="IIB45" s="16"/>
      <c r="IIC45" s="16"/>
      <c r="IID45" s="16"/>
      <c r="IIE45" s="16"/>
      <c r="IIF45" s="16"/>
      <c r="IIG45" s="16"/>
      <c r="IIH45" s="16"/>
      <c r="III45" s="16"/>
      <c r="IIJ45" s="16"/>
      <c r="IIK45" s="16"/>
      <c r="IIL45" s="16"/>
      <c r="IIM45" s="16"/>
      <c r="IIN45" s="16"/>
      <c r="IIO45" s="16"/>
      <c r="IIP45" s="16"/>
      <c r="IIQ45" s="16"/>
      <c r="IIR45" s="16"/>
      <c r="IIS45" s="16"/>
      <c r="IIT45" s="16"/>
      <c r="IIU45" s="16"/>
      <c r="IIV45" s="16"/>
      <c r="IIW45" s="16"/>
      <c r="IIX45" s="16"/>
      <c r="IIY45" s="16"/>
      <c r="IIZ45" s="16"/>
      <c r="IJA45" s="16"/>
      <c r="IJB45" s="16"/>
      <c r="IJC45" s="16"/>
      <c r="IJD45" s="16"/>
      <c r="IJE45" s="16"/>
      <c r="IJF45" s="16"/>
      <c r="IJG45" s="16"/>
      <c r="IJH45" s="16"/>
      <c r="IJI45" s="16"/>
      <c r="IJJ45" s="16"/>
      <c r="IJK45" s="16"/>
      <c r="IJL45" s="16"/>
      <c r="IJM45" s="16"/>
      <c r="IJN45" s="16"/>
      <c r="IJO45" s="16"/>
      <c r="IJP45" s="16"/>
      <c r="IJQ45" s="16"/>
      <c r="IJR45" s="16"/>
      <c r="IJS45" s="16"/>
      <c r="IJT45" s="16"/>
      <c r="IJU45" s="16"/>
      <c r="IJV45" s="16"/>
      <c r="IJW45" s="16"/>
      <c r="IJX45" s="16"/>
      <c r="IJY45" s="16"/>
      <c r="IJZ45" s="16"/>
      <c r="IKA45" s="16"/>
      <c r="IKB45" s="16"/>
      <c r="IKC45" s="16"/>
      <c r="IKD45" s="16"/>
      <c r="IKE45" s="16"/>
      <c r="IKF45" s="16"/>
      <c r="IKG45" s="16"/>
      <c r="IKH45" s="16"/>
      <c r="IKI45" s="16"/>
      <c r="IKJ45" s="16"/>
      <c r="IKK45" s="16"/>
      <c r="IKL45" s="16"/>
      <c r="IKM45" s="16"/>
      <c r="IKN45" s="16"/>
      <c r="IKO45" s="16"/>
      <c r="IKP45" s="16"/>
      <c r="IKQ45" s="16"/>
      <c r="IKR45" s="16"/>
      <c r="IKS45" s="16"/>
      <c r="IKT45" s="16"/>
      <c r="IKU45" s="16"/>
      <c r="IKV45" s="16"/>
      <c r="IKW45" s="16"/>
      <c r="IKX45" s="16"/>
      <c r="IKY45" s="16"/>
      <c r="IKZ45" s="16"/>
      <c r="ILA45" s="16"/>
      <c r="ILB45" s="16"/>
      <c r="ILC45" s="16"/>
      <c r="ILD45" s="16"/>
      <c r="ILE45" s="16"/>
      <c r="ILF45" s="16"/>
      <c r="ILG45" s="16"/>
      <c r="ILH45" s="16"/>
      <c r="ILI45" s="16"/>
      <c r="ILJ45" s="16"/>
      <c r="ILK45" s="16"/>
      <c r="ILL45" s="16"/>
      <c r="ILM45" s="16"/>
      <c r="ILN45" s="16"/>
      <c r="ILO45" s="16"/>
      <c r="ILP45" s="16"/>
      <c r="ILQ45" s="16"/>
      <c r="ILR45" s="16"/>
      <c r="ILS45" s="16"/>
      <c r="ILT45" s="16"/>
      <c r="ILU45" s="16"/>
      <c r="ILV45" s="16"/>
      <c r="ILW45" s="16"/>
      <c r="ILX45" s="16"/>
      <c r="ILY45" s="16"/>
      <c r="ILZ45" s="16"/>
      <c r="IMA45" s="16"/>
      <c r="IMB45" s="16"/>
      <c r="IMC45" s="16"/>
      <c r="IMD45" s="16"/>
      <c r="IME45" s="16"/>
      <c r="IMF45" s="16"/>
      <c r="IMG45" s="16"/>
      <c r="IMH45" s="16"/>
      <c r="IMI45" s="16"/>
      <c r="IMJ45" s="16"/>
      <c r="IMK45" s="16"/>
      <c r="IML45" s="16"/>
      <c r="IMM45" s="16"/>
      <c r="IMN45" s="16"/>
      <c r="IMO45" s="16"/>
      <c r="IMP45" s="16"/>
      <c r="IMQ45" s="16"/>
      <c r="IMR45" s="16"/>
      <c r="IMS45" s="16"/>
      <c r="IMT45" s="16"/>
      <c r="IMU45" s="16"/>
      <c r="IMV45" s="16"/>
      <c r="IMW45" s="16"/>
      <c r="IMX45" s="16"/>
      <c r="IMY45" s="16"/>
      <c r="IMZ45" s="16"/>
      <c r="INA45" s="16"/>
      <c r="INB45" s="16"/>
      <c r="INC45" s="16"/>
      <c r="IND45" s="16"/>
      <c r="INE45" s="16"/>
      <c r="INF45" s="16"/>
      <c r="ING45" s="16"/>
      <c r="INH45" s="16"/>
      <c r="INI45" s="16"/>
      <c r="INJ45" s="16"/>
      <c r="INK45" s="16"/>
      <c r="INL45" s="16"/>
      <c r="INM45" s="16"/>
      <c r="INN45" s="16"/>
      <c r="INO45" s="16"/>
      <c r="INP45" s="16"/>
      <c r="INQ45" s="16"/>
      <c r="INR45" s="16"/>
      <c r="INS45" s="16"/>
      <c r="INT45" s="16"/>
      <c r="INU45" s="16"/>
      <c r="INV45" s="16"/>
      <c r="INW45" s="16"/>
      <c r="INX45" s="16"/>
      <c r="INY45" s="16"/>
      <c r="INZ45" s="16"/>
      <c r="IOA45" s="16"/>
      <c r="IOB45" s="16"/>
      <c r="IOC45" s="16"/>
      <c r="IOD45" s="16"/>
      <c r="IOE45" s="16"/>
      <c r="IOF45" s="16"/>
      <c r="IOG45" s="16"/>
      <c r="IOH45" s="16"/>
      <c r="IOI45" s="16"/>
      <c r="IOJ45" s="16"/>
      <c r="IOK45" s="16"/>
      <c r="IOL45" s="16"/>
      <c r="IOM45" s="16"/>
      <c r="ION45" s="16"/>
      <c r="IOO45" s="16"/>
      <c r="IOP45" s="16"/>
      <c r="IOQ45" s="16"/>
      <c r="IOR45" s="16"/>
      <c r="IOS45" s="16"/>
      <c r="IOT45" s="16"/>
      <c r="IOU45" s="16"/>
      <c r="IOV45" s="16"/>
      <c r="IOW45" s="16"/>
      <c r="IOX45" s="16"/>
      <c r="IOY45" s="16"/>
      <c r="IOZ45" s="16"/>
      <c r="IPA45" s="16"/>
      <c r="IPB45" s="16"/>
      <c r="IPC45" s="16"/>
      <c r="IPD45" s="16"/>
      <c r="IPE45" s="16"/>
      <c r="IPF45" s="16"/>
      <c r="IPG45" s="16"/>
      <c r="IPH45" s="16"/>
      <c r="IPI45" s="16"/>
      <c r="IPJ45" s="16"/>
      <c r="IPK45" s="16"/>
      <c r="IPL45" s="16"/>
      <c r="IPM45" s="16"/>
      <c r="IPN45" s="16"/>
      <c r="IPO45" s="16"/>
      <c r="IPP45" s="16"/>
      <c r="IPQ45" s="16"/>
      <c r="IPR45" s="16"/>
      <c r="IPS45" s="16"/>
      <c r="IPT45" s="16"/>
      <c r="IPU45" s="16"/>
      <c r="IPV45" s="16"/>
      <c r="IPW45" s="16"/>
      <c r="IPX45" s="16"/>
      <c r="IPY45" s="16"/>
      <c r="IPZ45" s="16"/>
      <c r="IQA45" s="16"/>
      <c r="IQB45" s="16"/>
      <c r="IQC45" s="16"/>
      <c r="IQD45" s="16"/>
      <c r="IQE45" s="16"/>
      <c r="IQF45" s="16"/>
      <c r="IQG45" s="16"/>
      <c r="IQH45" s="16"/>
      <c r="IQI45" s="16"/>
      <c r="IQJ45" s="16"/>
      <c r="IQK45" s="16"/>
      <c r="IQL45" s="16"/>
      <c r="IQM45" s="16"/>
      <c r="IQN45" s="16"/>
      <c r="IQO45" s="16"/>
      <c r="IQP45" s="16"/>
      <c r="IQQ45" s="16"/>
      <c r="IQR45" s="16"/>
      <c r="IQS45" s="16"/>
      <c r="IQT45" s="16"/>
      <c r="IQU45" s="16"/>
      <c r="IQV45" s="16"/>
      <c r="IQW45" s="16"/>
      <c r="IQX45" s="16"/>
      <c r="IQY45" s="16"/>
      <c r="IQZ45" s="16"/>
      <c r="IRA45" s="16"/>
      <c r="IRB45" s="16"/>
      <c r="IRC45" s="16"/>
      <c r="IRD45" s="16"/>
      <c r="IRE45" s="16"/>
      <c r="IRF45" s="16"/>
      <c r="IRG45" s="16"/>
      <c r="IRH45" s="16"/>
      <c r="IRI45" s="16"/>
      <c r="IRJ45" s="16"/>
      <c r="IRK45" s="16"/>
      <c r="IRL45" s="16"/>
      <c r="IRM45" s="16"/>
      <c r="IRN45" s="16"/>
      <c r="IRO45" s="16"/>
      <c r="IRP45" s="16"/>
      <c r="IRQ45" s="16"/>
      <c r="IRR45" s="16"/>
      <c r="IRS45" s="16"/>
      <c r="IRT45" s="16"/>
      <c r="IRU45" s="16"/>
      <c r="IRV45" s="16"/>
      <c r="IRW45" s="16"/>
      <c r="IRX45" s="16"/>
      <c r="IRY45" s="16"/>
      <c r="IRZ45" s="16"/>
      <c r="ISA45" s="16"/>
      <c r="ISB45" s="16"/>
      <c r="ISC45" s="16"/>
      <c r="ISD45" s="16"/>
      <c r="ISE45" s="16"/>
      <c r="ISF45" s="16"/>
      <c r="ISG45" s="16"/>
      <c r="ISH45" s="16"/>
      <c r="ISI45" s="16"/>
      <c r="ISJ45" s="16"/>
      <c r="ISK45" s="16"/>
      <c r="ISL45" s="16"/>
      <c r="ISM45" s="16"/>
      <c r="ISN45" s="16"/>
      <c r="ISO45" s="16"/>
      <c r="ISP45" s="16"/>
      <c r="ISQ45" s="16"/>
      <c r="ISR45" s="16"/>
      <c r="ISS45" s="16"/>
      <c r="IST45" s="16"/>
      <c r="ISU45" s="16"/>
      <c r="ISV45" s="16"/>
      <c r="ISW45" s="16"/>
      <c r="ISX45" s="16"/>
      <c r="ISY45" s="16"/>
      <c r="ISZ45" s="16"/>
      <c r="ITA45" s="16"/>
      <c r="ITB45" s="16"/>
      <c r="ITC45" s="16"/>
      <c r="ITD45" s="16"/>
      <c r="ITE45" s="16"/>
      <c r="ITF45" s="16"/>
      <c r="ITG45" s="16"/>
      <c r="ITH45" s="16"/>
      <c r="ITI45" s="16"/>
      <c r="ITJ45" s="16"/>
      <c r="ITK45" s="16"/>
      <c r="ITL45" s="16"/>
      <c r="ITM45" s="16"/>
      <c r="ITN45" s="16"/>
      <c r="ITO45" s="16"/>
      <c r="ITP45" s="16"/>
      <c r="ITQ45" s="16"/>
      <c r="ITR45" s="16"/>
      <c r="ITS45" s="16"/>
      <c r="ITT45" s="16"/>
      <c r="ITU45" s="16"/>
      <c r="ITV45" s="16"/>
      <c r="ITW45" s="16"/>
      <c r="ITX45" s="16"/>
      <c r="ITY45" s="16"/>
      <c r="ITZ45" s="16"/>
      <c r="IUA45" s="16"/>
      <c r="IUB45" s="16"/>
      <c r="IUC45" s="16"/>
      <c r="IUD45" s="16"/>
      <c r="IUE45" s="16"/>
      <c r="IUF45" s="16"/>
      <c r="IUG45" s="16"/>
      <c r="IUH45" s="16"/>
      <c r="IUI45" s="16"/>
      <c r="IUJ45" s="16"/>
      <c r="IUK45" s="16"/>
      <c r="IUL45" s="16"/>
      <c r="IUM45" s="16"/>
      <c r="IUN45" s="16"/>
      <c r="IUO45" s="16"/>
      <c r="IUP45" s="16"/>
      <c r="IUQ45" s="16"/>
      <c r="IUR45" s="16"/>
      <c r="IUS45" s="16"/>
      <c r="IUT45" s="16"/>
      <c r="IUU45" s="16"/>
      <c r="IUV45" s="16"/>
      <c r="IUW45" s="16"/>
      <c r="IUX45" s="16"/>
      <c r="IUY45" s="16"/>
      <c r="IUZ45" s="16"/>
      <c r="IVA45" s="16"/>
      <c r="IVB45" s="16"/>
      <c r="IVC45" s="16"/>
      <c r="IVD45" s="16"/>
      <c r="IVE45" s="16"/>
      <c r="IVF45" s="16"/>
      <c r="IVG45" s="16"/>
      <c r="IVH45" s="16"/>
      <c r="IVI45" s="16"/>
      <c r="IVJ45" s="16"/>
      <c r="IVK45" s="16"/>
      <c r="IVL45" s="16"/>
      <c r="IVM45" s="16"/>
      <c r="IVN45" s="16"/>
      <c r="IVO45" s="16"/>
      <c r="IVP45" s="16"/>
      <c r="IVQ45" s="16"/>
      <c r="IVR45" s="16"/>
      <c r="IVS45" s="16"/>
      <c r="IVT45" s="16"/>
      <c r="IVU45" s="16"/>
      <c r="IVV45" s="16"/>
      <c r="IVW45" s="16"/>
      <c r="IVX45" s="16"/>
      <c r="IVY45" s="16"/>
      <c r="IVZ45" s="16"/>
      <c r="IWA45" s="16"/>
      <c r="IWB45" s="16"/>
      <c r="IWC45" s="16"/>
      <c r="IWD45" s="16"/>
      <c r="IWE45" s="16"/>
      <c r="IWF45" s="16"/>
      <c r="IWG45" s="16"/>
      <c r="IWH45" s="16"/>
      <c r="IWI45" s="16"/>
      <c r="IWJ45" s="16"/>
      <c r="IWK45" s="16"/>
      <c r="IWL45" s="16"/>
      <c r="IWM45" s="16"/>
      <c r="IWN45" s="16"/>
      <c r="IWO45" s="16"/>
      <c r="IWP45" s="16"/>
      <c r="IWQ45" s="16"/>
      <c r="IWR45" s="16"/>
      <c r="IWS45" s="16"/>
      <c r="IWT45" s="16"/>
      <c r="IWU45" s="16"/>
      <c r="IWV45" s="16"/>
      <c r="IWW45" s="16"/>
      <c r="IWX45" s="16"/>
      <c r="IWY45" s="16"/>
      <c r="IWZ45" s="16"/>
      <c r="IXA45" s="16"/>
      <c r="IXB45" s="16"/>
      <c r="IXC45" s="16"/>
      <c r="IXD45" s="16"/>
      <c r="IXE45" s="16"/>
      <c r="IXF45" s="16"/>
      <c r="IXG45" s="16"/>
      <c r="IXH45" s="16"/>
      <c r="IXI45" s="16"/>
      <c r="IXJ45" s="16"/>
      <c r="IXK45" s="16"/>
      <c r="IXL45" s="16"/>
      <c r="IXM45" s="16"/>
      <c r="IXN45" s="16"/>
      <c r="IXO45" s="16"/>
      <c r="IXP45" s="16"/>
      <c r="IXQ45" s="16"/>
      <c r="IXR45" s="16"/>
      <c r="IXS45" s="16"/>
      <c r="IXT45" s="16"/>
      <c r="IXU45" s="16"/>
      <c r="IXV45" s="16"/>
      <c r="IXW45" s="16"/>
      <c r="IXX45" s="16"/>
      <c r="IXY45" s="16"/>
      <c r="IXZ45" s="16"/>
      <c r="IYA45" s="16"/>
      <c r="IYB45" s="16"/>
      <c r="IYC45" s="16"/>
      <c r="IYD45" s="16"/>
      <c r="IYE45" s="16"/>
      <c r="IYF45" s="16"/>
      <c r="IYG45" s="16"/>
      <c r="IYH45" s="16"/>
      <c r="IYI45" s="16"/>
      <c r="IYJ45" s="16"/>
      <c r="IYK45" s="16"/>
      <c r="IYL45" s="16"/>
      <c r="IYM45" s="16"/>
      <c r="IYN45" s="16"/>
      <c r="IYO45" s="16"/>
      <c r="IYP45" s="16"/>
      <c r="IYQ45" s="16"/>
      <c r="IYR45" s="16"/>
      <c r="IYS45" s="16"/>
      <c r="IYT45" s="16"/>
      <c r="IYU45" s="16"/>
      <c r="IYV45" s="16"/>
      <c r="IYW45" s="16"/>
      <c r="IYX45" s="16"/>
      <c r="IYY45" s="16"/>
      <c r="IYZ45" s="16"/>
      <c r="IZA45" s="16"/>
      <c r="IZB45" s="16"/>
      <c r="IZC45" s="16"/>
      <c r="IZD45" s="16"/>
      <c r="IZE45" s="16"/>
      <c r="IZF45" s="16"/>
      <c r="IZG45" s="16"/>
      <c r="IZH45" s="16"/>
      <c r="IZI45" s="16"/>
      <c r="IZJ45" s="16"/>
      <c r="IZK45" s="16"/>
      <c r="IZL45" s="16"/>
      <c r="IZM45" s="16"/>
      <c r="IZN45" s="16"/>
      <c r="IZO45" s="16"/>
      <c r="IZP45" s="16"/>
      <c r="IZQ45" s="16"/>
      <c r="IZR45" s="16"/>
      <c r="IZS45" s="16"/>
      <c r="IZT45" s="16"/>
      <c r="IZU45" s="16"/>
      <c r="IZV45" s="16"/>
      <c r="IZW45" s="16"/>
      <c r="IZX45" s="16"/>
      <c r="IZY45" s="16"/>
      <c r="IZZ45" s="16"/>
      <c r="JAA45" s="16"/>
      <c r="JAB45" s="16"/>
      <c r="JAC45" s="16"/>
      <c r="JAD45" s="16"/>
      <c r="JAE45" s="16"/>
      <c r="JAF45" s="16"/>
      <c r="JAG45" s="16"/>
      <c r="JAH45" s="16"/>
      <c r="JAI45" s="16"/>
      <c r="JAJ45" s="16"/>
      <c r="JAK45" s="16"/>
      <c r="JAL45" s="16"/>
      <c r="JAM45" s="16"/>
      <c r="JAN45" s="16"/>
      <c r="JAO45" s="16"/>
      <c r="JAP45" s="16"/>
      <c r="JAQ45" s="16"/>
      <c r="JAR45" s="16"/>
      <c r="JAS45" s="16"/>
      <c r="JAT45" s="16"/>
      <c r="JAU45" s="16"/>
      <c r="JAV45" s="16"/>
      <c r="JAW45" s="16"/>
      <c r="JAX45" s="16"/>
      <c r="JAY45" s="16"/>
      <c r="JAZ45" s="16"/>
      <c r="JBA45" s="16"/>
      <c r="JBB45" s="16"/>
      <c r="JBC45" s="16"/>
      <c r="JBD45" s="16"/>
      <c r="JBE45" s="16"/>
      <c r="JBF45" s="16"/>
      <c r="JBG45" s="16"/>
      <c r="JBH45" s="16"/>
      <c r="JBI45" s="16"/>
      <c r="JBJ45" s="16"/>
      <c r="JBK45" s="16"/>
      <c r="JBL45" s="16"/>
      <c r="JBM45" s="16"/>
      <c r="JBN45" s="16"/>
      <c r="JBO45" s="16"/>
      <c r="JBP45" s="16"/>
      <c r="JBQ45" s="16"/>
      <c r="JBR45" s="16"/>
      <c r="JBS45" s="16"/>
      <c r="JBT45" s="16"/>
      <c r="JBU45" s="16"/>
      <c r="JBV45" s="16"/>
      <c r="JBW45" s="16"/>
      <c r="JBX45" s="16"/>
      <c r="JBY45" s="16"/>
      <c r="JBZ45" s="16"/>
      <c r="JCA45" s="16"/>
      <c r="JCB45" s="16"/>
      <c r="JCC45" s="16"/>
      <c r="JCD45" s="16"/>
      <c r="JCE45" s="16"/>
      <c r="JCF45" s="16"/>
      <c r="JCG45" s="16"/>
      <c r="JCH45" s="16"/>
      <c r="JCI45" s="16"/>
      <c r="JCJ45" s="16"/>
      <c r="JCK45" s="16"/>
      <c r="JCL45" s="16"/>
      <c r="JCM45" s="16"/>
      <c r="JCN45" s="16"/>
      <c r="JCO45" s="16"/>
      <c r="JCP45" s="16"/>
      <c r="JCQ45" s="16"/>
      <c r="JCR45" s="16"/>
      <c r="JCS45" s="16"/>
      <c r="JCT45" s="16"/>
      <c r="JCU45" s="16"/>
      <c r="JCV45" s="16"/>
      <c r="JCW45" s="16"/>
      <c r="JCX45" s="16"/>
      <c r="JCY45" s="16"/>
      <c r="JCZ45" s="16"/>
      <c r="JDA45" s="16"/>
      <c r="JDB45" s="16"/>
      <c r="JDC45" s="16"/>
      <c r="JDD45" s="16"/>
      <c r="JDE45" s="16"/>
      <c r="JDF45" s="16"/>
      <c r="JDG45" s="16"/>
      <c r="JDH45" s="16"/>
      <c r="JDI45" s="16"/>
      <c r="JDJ45" s="16"/>
      <c r="JDK45" s="16"/>
      <c r="JDL45" s="16"/>
      <c r="JDM45" s="16"/>
      <c r="JDN45" s="16"/>
      <c r="JDO45" s="16"/>
      <c r="JDP45" s="16"/>
      <c r="JDQ45" s="16"/>
      <c r="JDR45" s="16"/>
      <c r="JDS45" s="16"/>
      <c r="JDT45" s="16"/>
      <c r="JDU45" s="16"/>
      <c r="JDV45" s="16"/>
      <c r="JDW45" s="16"/>
      <c r="JDX45" s="16"/>
      <c r="JDY45" s="16"/>
      <c r="JDZ45" s="16"/>
      <c r="JEA45" s="16"/>
      <c r="JEB45" s="16"/>
      <c r="JEC45" s="16"/>
      <c r="JED45" s="16"/>
      <c r="JEE45" s="16"/>
      <c r="JEF45" s="16"/>
      <c r="JEG45" s="16"/>
      <c r="JEH45" s="16"/>
      <c r="JEI45" s="16"/>
      <c r="JEJ45" s="16"/>
      <c r="JEK45" s="16"/>
      <c r="JEL45" s="16"/>
      <c r="JEM45" s="16"/>
      <c r="JEN45" s="16"/>
      <c r="JEO45" s="16"/>
      <c r="JEP45" s="16"/>
      <c r="JEQ45" s="16"/>
      <c r="JER45" s="16"/>
      <c r="JES45" s="16"/>
      <c r="JET45" s="16"/>
      <c r="JEU45" s="16"/>
      <c r="JEV45" s="16"/>
      <c r="JEW45" s="16"/>
      <c r="JEX45" s="16"/>
      <c r="JEY45" s="16"/>
      <c r="JEZ45" s="16"/>
      <c r="JFA45" s="16"/>
      <c r="JFB45" s="16"/>
      <c r="JFC45" s="16"/>
      <c r="JFD45" s="16"/>
      <c r="JFE45" s="16"/>
      <c r="JFF45" s="16"/>
      <c r="JFG45" s="16"/>
      <c r="JFH45" s="16"/>
      <c r="JFI45" s="16"/>
      <c r="JFJ45" s="16"/>
      <c r="JFK45" s="16"/>
      <c r="JFL45" s="16"/>
      <c r="JFM45" s="16"/>
      <c r="JFN45" s="16"/>
      <c r="JFO45" s="16"/>
      <c r="JFP45" s="16"/>
      <c r="JFQ45" s="16"/>
      <c r="JFR45" s="16"/>
      <c r="JFS45" s="16"/>
      <c r="JFT45" s="16"/>
      <c r="JFU45" s="16"/>
      <c r="JFV45" s="16"/>
      <c r="JFW45" s="16"/>
      <c r="JFX45" s="16"/>
      <c r="JFY45" s="16"/>
      <c r="JFZ45" s="16"/>
      <c r="JGA45" s="16"/>
      <c r="JGB45" s="16"/>
      <c r="JGC45" s="16"/>
      <c r="JGD45" s="16"/>
      <c r="JGE45" s="16"/>
      <c r="JGF45" s="16"/>
      <c r="JGG45" s="16"/>
      <c r="JGH45" s="16"/>
      <c r="JGI45" s="16"/>
      <c r="JGJ45" s="16"/>
      <c r="JGK45" s="16"/>
      <c r="JGL45" s="16"/>
      <c r="JGM45" s="16"/>
      <c r="JGN45" s="16"/>
      <c r="JGO45" s="16"/>
      <c r="JGP45" s="16"/>
      <c r="JGQ45" s="16"/>
      <c r="JGR45" s="16"/>
      <c r="JGS45" s="16"/>
      <c r="JGT45" s="16"/>
      <c r="JGU45" s="16"/>
      <c r="JGV45" s="16"/>
      <c r="JGW45" s="16"/>
      <c r="JGX45" s="16"/>
      <c r="JGY45" s="16"/>
      <c r="JGZ45" s="16"/>
      <c r="JHA45" s="16"/>
      <c r="JHB45" s="16"/>
      <c r="JHC45" s="16"/>
      <c r="JHD45" s="16"/>
      <c r="JHE45" s="16"/>
      <c r="JHF45" s="16"/>
      <c r="JHG45" s="16"/>
      <c r="JHH45" s="16"/>
      <c r="JHI45" s="16"/>
      <c r="JHJ45" s="16"/>
      <c r="JHK45" s="16"/>
      <c r="JHL45" s="16"/>
      <c r="JHM45" s="16"/>
      <c r="JHN45" s="16"/>
      <c r="JHO45" s="16"/>
      <c r="JHP45" s="16"/>
      <c r="JHQ45" s="16"/>
      <c r="JHR45" s="16"/>
      <c r="JHS45" s="16"/>
      <c r="JHT45" s="16"/>
      <c r="JHU45" s="16"/>
      <c r="JHV45" s="16"/>
      <c r="JHW45" s="16"/>
      <c r="JHX45" s="16"/>
      <c r="JHY45" s="16"/>
      <c r="JHZ45" s="16"/>
      <c r="JIA45" s="16"/>
      <c r="JIB45" s="16"/>
      <c r="JIC45" s="16"/>
      <c r="JID45" s="16"/>
      <c r="JIE45" s="16"/>
      <c r="JIF45" s="16"/>
      <c r="JIG45" s="16"/>
      <c r="JIH45" s="16"/>
      <c r="JII45" s="16"/>
      <c r="JIJ45" s="16"/>
      <c r="JIK45" s="16"/>
      <c r="JIL45" s="16"/>
      <c r="JIM45" s="16"/>
      <c r="JIN45" s="16"/>
      <c r="JIO45" s="16"/>
      <c r="JIP45" s="16"/>
      <c r="JIQ45" s="16"/>
      <c r="JIR45" s="16"/>
      <c r="JIS45" s="16"/>
      <c r="JIT45" s="16"/>
      <c r="JIU45" s="16"/>
      <c r="JIV45" s="16"/>
      <c r="JIW45" s="16"/>
      <c r="JIX45" s="16"/>
      <c r="JIY45" s="16"/>
      <c r="JIZ45" s="16"/>
      <c r="JJA45" s="16"/>
      <c r="JJB45" s="16"/>
      <c r="JJC45" s="16"/>
      <c r="JJD45" s="16"/>
      <c r="JJE45" s="16"/>
      <c r="JJF45" s="16"/>
      <c r="JJG45" s="16"/>
      <c r="JJH45" s="16"/>
      <c r="JJI45" s="16"/>
      <c r="JJJ45" s="16"/>
      <c r="JJK45" s="16"/>
      <c r="JJL45" s="16"/>
      <c r="JJM45" s="16"/>
      <c r="JJN45" s="16"/>
      <c r="JJO45" s="16"/>
      <c r="JJP45" s="16"/>
      <c r="JJQ45" s="16"/>
      <c r="JJR45" s="16"/>
      <c r="JJS45" s="16"/>
      <c r="JJT45" s="16"/>
      <c r="JJU45" s="16"/>
      <c r="JJV45" s="16"/>
      <c r="JJW45" s="16"/>
      <c r="JJX45" s="16"/>
      <c r="JJY45" s="16"/>
      <c r="JJZ45" s="16"/>
      <c r="JKA45" s="16"/>
      <c r="JKB45" s="16"/>
      <c r="JKC45" s="16"/>
      <c r="JKD45" s="16"/>
      <c r="JKE45" s="16"/>
      <c r="JKF45" s="16"/>
      <c r="JKG45" s="16"/>
      <c r="JKH45" s="16"/>
      <c r="JKI45" s="16"/>
      <c r="JKJ45" s="16"/>
      <c r="JKK45" s="16"/>
      <c r="JKL45" s="16"/>
      <c r="JKM45" s="16"/>
      <c r="JKN45" s="16"/>
      <c r="JKO45" s="16"/>
      <c r="JKP45" s="16"/>
      <c r="JKQ45" s="16"/>
      <c r="JKR45" s="16"/>
      <c r="JKS45" s="16"/>
      <c r="JKT45" s="16"/>
      <c r="JKU45" s="16"/>
      <c r="JKV45" s="16"/>
      <c r="JKW45" s="16"/>
      <c r="JKX45" s="16"/>
      <c r="JKY45" s="16"/>
      <c r="JKZ45" s="16"/>
      <c r="JLA45" s="16"/>
      <c r="JLB45" s="16"/>
      <c r="JLC45" s="16"/>
      <c r="JLD45" s="16"/>
      <c r="JLE45" s="16"/>
      <c r="JLF45" s="16"/>
      <c r="JLG45" s="16"/>
      <c r="JLH45" s="16"/>
      <c r="JLI45" s="16"/>
      <c r="JLJ45" s="16"/>
      <c r="JLK45" s="16"/>
      <c r="JLL45" s="16"/>
      <c r="JLM45" s="16"/>
      <c r="JLN45" s="16"/>
      <c r="JLO45" s="16"/>
      <c r="JLP45" s="16"/>
      <c r="JLQ45" s="16"/>
      <c r="JLR45" s="16"/>
      <c r="JLS45" s="16"/>
      <c r="JLT45" s="16"/>
      <c r="JLU45" s="16"/>
      <c r="JLV45" s="16"/>
      <c r="JLW45" s="16"/>
      <c r="JLX45" s="16"/>
      <c r="JLY45" s="16"/>
      <c r="JLZ45" s="16"/>
      <c r="JMA45" s="16"/>
      <c r="JMB45" s="16"/>
      <c r="JMC45" s="16"/>
      <c r="JMD45" s="16"/>
      <c r="JME45" s="16"/>
      <c r="JMF45" s="16"/>
      <c r="JMG45" s="16"/>
      <c r="JMH45" s="16"/>
      <c r="JMI45" s="16"/>
      <c r="JMJ45" s="16"/>
      <c r="JMK45" s="16"/>
      <c r="JML45" s="16"/>
      <c r="JMM45" s="16"/>
      <c r="JMN45" s="16"/>
      <c r="JMO45" s="16"/>
      <c r="JMP45" s="16"/>
      <c r="JMQ45" s="16"/>
      <c r="JMR45" s="16"/>
      <c r="JMS45" s="16"/>
      <c r="JMT45" s="16"/>
      <c r="JMU45" s="16"/>
      <c r="JMV45" s="16"/>
      <c r="JMW45" s="16"/>
      <c r="JMX45" s="16"/>
      <c r="JMY45" s="16"/>
      <c r="JMZ45" s="16"/>
      <c r="JNA45" s="16"/>
      <c r="JNB45" s="16"/>
      <c r="JNC45" s="16"/>
      <c r="JND45" s="16"/>
      <c r="JNE45" s="16"/>
      <c r="JNF45" s="16"/>
      <c r="JNG45" s="16"/>
      <c r="JNH45" s="16"/>
      <c r="JNI45" s="16"/>
      <c r="JNJ45" s="16"/>
      <c r="JNK45" s="16"/>
      <c r="JNL45" s="16"/>
      <c r="JNM45" s="16"/>
      <c r="JNN45" s="16"/>
      <c r="JNO45" s="16"/>
      <c r="JNP45" s="16"/>
      <c r="JNQ45" s="16"/>
      <c r="JNR45" s="16"/>
      <c r="JNS45" s="16"/>
      <c r="JNT45" s="16"/>
      <c r="JNU45" s="16"/>
      <c r="JNV45" s="16"/>
      <c r="JNW45" s="16"/>
      <c r="JNX45" s="16"/>
      <c r="JNY45" s="16"/>
      <c r="JNZ45" s="16"/>
      <c r="JOA45" s="16"/>
      <c r="JOB45" s="16"/>
      <c r="JOC45" s="16"/>
      <c r="JOD45" s="16"/>
      <c r="JOE45" s="16"/>
      <c r="JOF45" s="16"/>
      <c r="JOG45" s="16"/>
      <c r="JOH45" s="16"/>
      <c r="JOI45" s="16"/>
      <c r="JOJ45" s="16"/>
      <c r="JOK45" s="16"/>
      <c r="JOL45" s="16"/>
      <c r="JOM45" s="16"/>
      <c r="JON45" s="16"/>
      <c r="JOO45" s="16"/>
      <c r="JOP45" s="16"/>
      <c r="JOQ45" s="16"/>
      <c r="JOR45" s="16"/>
      <c r="JOS45" s="16"/>
      <c r="JOT45" s="16"/>
      <c r="JOU45" s="16"/>
      <c r="JOV45" s="16"/>
      <c r="JOW45" s="16"/>
      <c r="JOX45" s="16"/>
      <c r="JOY45" s="16"/>
      <c r="JOZ45" s="16"/>
      <c r="JPA45" s="16"/>
      <c r="JPB45" s="16"/>
      <c r="JPC45" s="16"/>
      <c r="JPD45" s="16"/>
      <c r="JPE45" s="16"/>
      <c r="JPF45" s="16"/>
      <c r="JPG45" s="16"/>
      <c r="JPH45" s="16"/>
      <c r="JPI45" s="16"/>
      <c r="JPJ45" s="16"/>
      <c r="JPK45" s="16"/>
      <c r="JPL45" s="16"/>
      <c r="JPM45" s="16"/>
      <c r="JPN45" s="16"/>
      <c r="JPO45" s="16"/>
      <c r="JPP45" s="16"/>
      <c r="JPQ45" s="16"/>
      <c r="JPR45" s="16"/>
      <c r="JPS45" s="16"/>
      <c r="JPT45" s="16"/>
      <c r="JPU45" s="16"/>
      <c r="JPV45" s="16"/>
      <c r="JPW45" s="16"/>
      <c r="JPX45" s="16"/>
      <c r="JPY45" s="16"/>
      <c r="JPZ45" s="16"/>
      <c r="JQA45" s="16"/>
      <c r="JQB45" s="16"/>
      <c r="JQC45" s="16"/>
      <c r="JQD45" s="16"/>
      <c r="JQE45" s="16"/>
      <c r="JQF45" s="16"/>
      <c r="JQG45" s="16"/>
      <c r="JQH45" s="16"/>
      <c r="JQI45" s="16"/>
      <c r="JQJ45" s="16"/>
      <c r="JQK45" s="16"/>
      <c r="JQL45" s="16"/>
      <c r="JQM45" s="16"/>
      <c r="JQN45" s="16"/>
      <c r="JQO45" s="16"/>
      <c r="JQP45" s="16"/>
      <c r="JQQ45" s="16"/>
      <c r="JQR45" s="16"/>
      <c r="JQS45" s="16"/>
      <c r="JQT45" s="16"/>
      <c r="JQU45" s="16"/>
      <c r="JQV45" s="16"/>
      <c r="JQW45" s="16"/>
      <c r="JQX45" s="16"/>
      <c r="JQY45" s="16"/>
      <c r="JQZ45" s="16"/>
      <c r="JRA45" s="16"/>
      <c r="JRB45" s="16"/>
      <c r="JRC45" s="16"/>
      <c r="JRD45" s="16"/>
      <c r="JRE45" s="16"/>
      <c r="JRF45" s="16"/>
      <c r="JRG45" s="16"/>
      <c r="JRH45" s="16"/>
      <c r="JRI45" s="16"/>
      <c r="JRJ45" s="16"/>
      <c r="JRK45" s="16"/>
      <c r="JRL45" s="16"/>
      <c r="JRM45" s="16"/>
      <c r="JRN45" s="16"/>
      <c r="JRO45" s="16"/>
      <c r="JRP45" s="16"/>
      <c r="JRQ45" s="16"/>
      <c r="JRR45" s="16"/>
      <c r="JRS45" s="16"/>
      <c r="JRT45" s="16"/>
      <c r="JRU45" s="16"/>
      <c r="JRV45" s="16"/>
      <c r="JRW45" s="16"/>
      <c r="JRX45" s="16"/>
      <c r="JRY45" s="16"/>
      <c r="JRZ45" s="16"/>
      <c r="JSA45" s="16"/>
      <c r="JSB45" s="16"/>
      <c r="JSC45" s="16"/>
      <c r="JSD45" s="16"/>
      <c r="JSE45" s="16"/>
      <c r="JSF45" s="16"/>
      <c r="JSG45" s="16"/>
      <c r="JSH45" s="16"/>
      <c r="JSI45" s="16"/>
      <c r="JSJ45" s="16"/>
      <c r="JSK45" s="16"/>
      <c r="JSL45" s="16"/>
      <c r="JSM45" s="16"/>
      <c r="JSN45" s="16"/>
      <c r="JSO45" s="16"/>
      <c r="JSP45" s="16"/>
      <c r="JSQ45" s="16"/>
      <c r="JSR45" s="16"/>
      <c r="JSS45" s="16"/>
      <c r="JST45" s="16"/>
      <c r="JSU45" s="16"/>
      <c r="JSV45" s="16"/>
      <c r="JSW45" s="16"/>
      <c r="JSX45" s="16"/>
      <c r="JSY45" s="16"/>
      <c r="JSZ45" s="16"/>
      <c r="JTA45" s="16"/>
      <c r="JTB45" s="16"/>
      <c r="JTC45" s="16"/>
      <c r="JTD45" s="16"/>
      <c r="JTE45" s="16"/>
      <c r="JTF45" s="16"/>
      <c r="JTG45" s="16"/>
      <c r="JTH45" s="16"/>
      <c r="JTI45" s="16"/>
      <c r="JTJ45" s="16"/>
      <c r="JTK45" s="16"/>
      <c r="JTL45" s="16"/>
      <c r="JTM45" s="16"/>
      <c r="JTN45" s="16"/>
      <c r="JTO45" s="16"/>
      <c r="JTP45" s="16"/>
      <c r="JTQ45" s="16"/>
      <c r="JTR45" s="16"/>
      <c r="JTS45" s="16"/>
      <c r="JTT45" s="16"/>
      <c r="JTU45" s="16"/>
      <c r="JTV45" s="16"/>
      <c r="JTW45" s="16"/>
      <c r="JTX45" s="16"/>
      <c r="JTY45" s="16"/>
      <c r="JTZ45" s="16"/>
      <c r="JUA45" s="16"/>
      <c r="JUB45" s="16"/>
      <c r="JUC45" s="16"/>
      <c r="JUD45" s="16"/>
      <c r="JUE45" s="16"/>
      <c r="JUF45" s="16"/>
      <c r="JUG45" s="16"/>
      <c r="JUH45" s="16"/>
      <c r="JUI45" s="16"/>
      <c r="JUJ45" s="16"/>
      <c r="JUK45" s="16"/>
      <c r="JUL45" s="16"/>
      <c r="JUM45" s="16"/>
      <c r="JUN45" s="16"/>
      <c r="JUO45" s="16"/>
      <c r="JUP45" s="16"/>
      <c r="JUQ45" s="16"/>
      <c r="JUR45" s="16"/>
      <c r="JUS45" s="16"/>
      <c r="JUT45" s="16"/>
      <c r="JUU45" s="16"/>
      <c r="JUV45" s="16"/>
      <c r="JUW45" s="16"/>
      <c r="JUX45" s="16"/>
      <c r="JUY45" s="16"/>
      <c r="JUZ45" s="16"/>
      <c r="JVA45" s="16"/>
      <c r="JVB45" s="16"/>
      <c r="JVC45" s="16"/>
      <c r="JVD45" s="16"/>
      <c r="JVE45" s="16"/>
      <c r="JVF45" s="16"/>
      <c r="JVG45" s="16"/>
      <c r="JVH45" s="16"/>
      <c r="JVI45" s="16"/>
      <c r="JVJ45" s="16"/>
      <c r="JVK45" s="16"/>
      <c r="JVL45" s="16"/>
      <c r="JVM45" s="16"/>
      <c r="JVN45" s="16"/>
      <c r="JVO45" s="16"/>
      <c r="JVP45" s="16"/>
      <c r="JVQ45" s="16"/>
      <c r="JVR45" s="16"/>
      <c r="JVS45" s="16"/>
      <c r="JVT45" s="16"/>
      <c r="JVU45" s="16"/>
      <c r="JVV45" s="16"/>
      <c r="JVW45" s="16"/>
      <c r="JVX45" s="16"/>
      <c r="JVY45" s="16"/>
      <c r="JVZ45" s="16"/>
      <c r="JWA45" s="16"/>
      <c r="JWB45" s="16"/>
      <c r="JWC45" s="16"/>
      <c r="JWD45" s="16"/>
      <c r="JWE45" s="16"/>
      <c r="JWF45" s="16"/>
      <c r="JWG45" s="16"/>
      <c r="JWH45" s="16"/>
      <c r="JWI45" s="16"/>
      <c r="JWJ45" s="16"/>
      <c r="JWK45" s="16"/>
      <c r="JWL45" s="16"/>
      <c r="JWM45" s="16"/>
      <c r="JWN45" s="16"/>
      <c r="JWO45" s="16"/>
      <c r="JWP45" s="16"/>
      <c r="JWQ45" s="16"/>
      <c r="JWR45" s="16"/>
      <c r="JWS45" s="16"/>
      <c r="JWT45" s="16"/>
      <c r="JWU45" s="16"/>
      <c r="JWV45" s="16"/>
      <c r="JWW45" s="16"/>
      <c r="JWX45" s="16"/>
      <c r="JWY45" s="16"/>
      <c r="JWZ45" s="16"/>
      <c r="JXA45" s="16"/>
      <c r="JXB45" s="16"/>
      <c r="JXC45" s="16"/>
      <c r="JXD45" s="16"/>
      <c r="JXE45" s="16"/>
      <c r="JXF45" s="16"/>
      <c r="JXG45" s="16"/>
      <c r="JXH45" s="16"/>
      <c r="JXI45" s="16"/>
      <c r="JXJ45" s="16"/>
      <c r="JXK45" s="16"/>
      <c r="JXL45" s="16"/>
      <c r="JXM45" s="16"/>
      <c r="JXN45" s="16"/>
      <c r="JXO45" s="16"/>
      <c r="JXP45" s="16"/>
      <c r="JXQ45" s="16"/>
      <c r="JXR45" s="16"/>
      <c r="JXS45" s="16"/>
      <c r="JXT45" s="16"/>
      <c r="JXU45" s="16"/>
      <c r="JXV45" s="16"/>
      <c r="JXW45" s="16"/>
      <c r="JXX45" s="16"/>
      <c r="JXY45" s="16"/>
      <c r="JXZ45" s="16"/>
      <c r="JYA45" s="16"/>
      <c r="JYB45" s="16"/>
      <c r="JYC45" s="16"/>
      <c r="JYD45" s="16"/>
      <c r="JYE45" s="16"/>
      <c r="JYF45" s="16"/>
      <c r="JYG45" s="16"/>
      <c r="JYH45" s="16"/>
      <c r="JYI45" s="16"/>
      <c r="JYJ45" s="16"/>
      <c r="JYK45" s="16"/>
      <c r="JYL45" s="16"/>
      <c r="JYM45" s="16"/>
      <c r="JYN45" s="16"/>
      <c r="JYO45" s="16"/>
      <c r="JYP45" s="16"/>
      <c r="JYQ45" s="16"/>
      <c r="JYR45" s="16"/>
      <c r="JYS45" s="16"/>
      <c r="JYT45" s="16"/>
      <c r="JYU45" s="16"/>
      <c r="JYV45" s="16"/>
      <c r="JYW45" s="16"/>
      <c r="JYX45" s="16"/>
      <c r="JYY45" s="16"/>
      <c r="JYZ45" s="16"/>
      <c r="JZA45" s="16"/>
      <c r="JZB45" s="16"/>
      <c r="JZC45" s="16"/>
      <c r="JZD45" s="16"/>
      <c r="JZE45" s="16"/>
      <c r="JZF45" s="16"/>
      <c r="JZG45" s="16"/>
      <c r="JZH45" s="16"/>
      <c r="JZI45" s="16"/>
      <c r="JZJ45" s="16"/>
      <c r="JZK45" s="16"/>
      <c r="JZL45" s="16"/>
      <c r="JZM45" s="16"/>
      <c r="JZN45" s="16"/>
      <c r="JZO45" s="16"/>
      <c r="JZP45" s="16"/>
      <c r="JZQ45" s="16"/>
      <c r="JZR45" s="16"/>
      <c r="JZS45" s="16"/>
      <c r="JZT45" s="16"/>
      <c r="JZU45" s="16"/>
      <c r="JZV45" s="16"/>
      <c r="JZW45" s="16"/>
      <c r="JZX45" s="16"/>
      <c r="JZY45" s="16"/>
      <c r="JZZ45" s="16"/>
      <c r="KAA45" s="16"/>
      <c r="KAB45" s="16"/>
      <c r="KAC45" s="16"/>
      <c r="KAD45" s="16"/>
      <c r="KAE45" s="16"/>
      <c r="KAF45" s="16"/>
      <c r="KAG45" s="16"/>
      <c r="KAH45" s="16"/>
      <c r="KAI45" s="16"/>
      <c r="KAJ45" s="16"/>
      <c r="KAK45" s="16"/>
      <c r="KAL45" s="16"/>
      <c r="KAM45" s="16"/>
      <c r="KAN45" s="16"/>
      <c r="KAO45" s="16"/>
      <c r="KAP45" s="16"/>
      <c r="KAQ45" s="16"/>
      <c r="KAR45" s="16"/>
      <c r="KAS45" s="16"/>
      <c r="KAT45" s="16"/>
      <c r="KAU45" s="16"/>
      <c r="KAV45" s="16"/>
      <c r="KAW45" s="16"/>
      <c r="KAX45" s="16"/>
      <c r="KAY45" s="16"/>
      <c r="KAZ45" s="16"/>
      <c r="KBA45" s="16"/>
      <c r="KBB45" s="16"/>
      <c r="KBC45" s="16"/>
      <c r="KBD45" s="16"/>
      <c r="KBE45" s="16"/>
      <c r="KBF45" s="16"/>
      <c r="KBG45" s="16"/>
      <c r="KBH45" s="16"/>
      <c r="KBI45" s="16"/>
      <c r="KBJ45" s="16"/>
      <c r="KBK45" s="16"/>
      <c r="KBL45" s="16"/>
      <c r="KBM45" s="16"/>
      <c r="KBN45" s="16"/>
      <c r="KBO45" s="16"/>
      <c r="KBP45" s="16"/>
      <c r="KBQ45" s="16"/>
      <c r="KBR45" s="16"/>
      <c r="KBS45" s="16"/>
      <c r="KBT45" s="16"/>
      <c r="KBU45" s="16"/>
      <c r="KBV45" s="16"/>
      <c r="KBW45" s="16"/>
      <c r="KBX45" s="16"/>
      <c r="KBY45" s="16"/>
      <c r="KBZ45" s="16"/>
      <c r="KCA45" s="16"/>
      <c r="KCB45" s="16"/>
      <c r="KCC45" s="16"/>
      <c r="KCD45" s="16"/>
      <c r="KCE45" s="16"/>
      <c r="KCF45" s="16"/>
      <c r="KCG45" s="16"/>
      <c r="KCH45" s="16"/>
      <c r="KCI45" s="16"/>
      <c r="KCJ45" s="16"/>
      <c r="KCK45" s="16"/>
      <c r="KCL45" s="16"/>
      <c r="KCM45" s="16"/>
      <c r="KCN45" s="16"/>
      <c r="KCO45" s="16"/>
      <c r="KCP45" s="16"/>
      <c r="KCQ45" s="16"/>
      <c r="KCR45" s="16"/>
      <c r="KCS45" s="16"/>
      <c r="KCT45" s="16"/>
      <c r="KCU45" s="16"/>
      <c r="KCV45" s="16"/>
      <c r="KCW45" s="16"/>
      <c r="KCX45" s="16"/>
      <c r="KCY45" s="16"/>
      <c r="KCZ45" s="16"/>
      <c r="KDA45" s="16"/>
      <c r="KDB45" s="16"/>
      <c r="KDC45" s="16"/>
      <c r="KDD45" s="16"/>
      <c r="KDE45" s="16"/>
      <c r="KDF45" s="16"/>
      <c r="KDG45" s="16"/>
      <c r="KDH45" s="16"/>
      <c r="KDI45" s="16"/>
      <c r="KDJ45" s="16"/>
      <c r="KDK45" s="16"/>
      <c r="KDL45" s="16"/>
      <c r="KDM45" s="16"/>
      <c r="KDN45" s="16"/>
      <c r="KDO45" s="16"/>
      <c r="KDP45" s="16"/>
      <c r="KDQ45" s="16"/>
      <c r="KDR45" s="16"/>
      <c r="KDS45" s="16"/>
      <c r="KDT45" s="16"/>
      <c r="KDU45" s="16"/>
      <c r="KDV45" s="16"/>
      <c r="KDW45" s="16"/>
      <c r="KDX45" s="16"/>
      <c r="KDY45" s="16"/>
      <c r="KDZ45" s="16"/>
      <c r="KEA45" s="16"/>
      <c r="KEB45" s="16"/>
      <c r="KEC45" s="16"/>
      <c r="KED45" s="16"/>
      <c r="KEE45" s="16"/>
      <c r="KEF45" s="16"/>
      <c r="KEG45" s="16"/>
      <c r="KEH45" s="16"/>
      <c r="KEI45" s="16"/>
      <c r="KEJ45" s="16"/>
      <c r="KEK45" s="16"/>
      <c r="KEL45" s="16"/>
      <c r="KEM45" s="16"/>
      <c r="KEN45" s="16"/>
      <c r="KEO45" s="16"/>
      <c r="KEP45" s="16"/>
      <c r="KEQ45" s="16"/>
      <c r="KER45" s="16"/>
      <c r="KES45" s="16"/>
      <c r="KET45" s="16"/>
      <c r="KEU45" s="16"/>
      <c r="KEV45" s="16"/>
      <c r="KEW45" s="16"/>
      <c r="KEX45" s="16"/>
      <c r="KEY45" s="16"/>
      <c r="KEZ45" s="16"/>
      <c r="KFA45" s="16"/>
      <c r="KFB45" s="16"/>
      <c r="KFC45" s="16"/>
      <c r="KFD45" s="16"/>
      <c r="KFE45" s="16"/>
      <c r="KFF45" s="16"/>
      <c r="KFG45" s="16"/>
      <c r="KFH45" s="16"/>
      <c r="KFI45" s="16"/>
      <c r="KFJ45" s="16"/>
      <c r="KFK45" s="16"/>
      <c r="KFL45" s="16"/>
      <c r="KFM45" s="16"/>
      <c r="KFN45" s="16"/>
      <c r="KFO45" s="16"/>
      <c r="KFP45" s="16"/>
      <c r="KFQ45" s="16"/>
      <c r="KFR45" s="16"/>
      <c r="KFS45" s="16"/>
      <c r="KFT45" s="16"/>
      <c r="KFU45" s="16"/>
      <c r="KFV45" s="16"/>
      <c r="KFW45" s="16"/>
      <c r="KFX45" s="16"/>
      <c r="KFY45" s="16"/>
      <c r="KFZ45" s="16"/>
      <c r="KGA45" s="16"/>
      <c r="KGB45" s="16"/>
      <c r="KGC45" s="16"/>
      <c r="KGD45" s="16"/>
      <c r="KGE45" s="16"/>
      <c r="KGF45" s="16"/>
      <c r="KGG45" s="16"/>
      <c r="KGH45" s="16"/>
      <c r="KGI45" s="16"/>
      <c r="KGJ45" s="16"/>
      <c r="KGK45" s="16"/>
      <c r="KGL45" s="16"/>
      <c r="KGM45" s="16"/>
      <c r="KGN45" s="16"/>
      <c r="KGO45" s="16"/>
      <c r="KGP45" s="16"/>
      <c r="KGQ45" s="16"/>
      <c r="KGR45" s="16"/>
      <c r="KGS45" s="16"/>
      <c r="KGT45" s="16"/>
      <c r="KGU45" s="16"/>
      <c r="KGV45" s="16"/>
      <c r="KGW45" s="16"/>
      <c r="KGX45" s="16"/>
      <c r="KGY45" s="16"/>
      <c r="KGZ45" s="16"/>
      <c r="KHA45" s="16"/>
      <c r="KHB45" s="16"/>
      <c r="KHC45" s="16"/>
      <c r="KHD45" s="16"/>
      <c r="KHE45" s="16"/>
      <c r="KHF45" s="16"/>
      <c r="KHG45" s="16"/>
      <c r="KHH45" s="16"/>
      <c r="KHI45" s="16"/>
      <c r="KHJ45" s="16"/>
      <c r="KHK45" s="16"/>
      <c r="KHL45" s="16"/>
      <c r="KHM45" s="16"/>
      <c r="KHN45" s="16"/>
      <c r="KHO45" s="16"/>
      <c r="KHP45" s="16"/>
      <c r="KHQ45" s="16"/>
      <c r="KHR45" s="16"/>
      <c r="KHS45" s="16"/>
      <c r="KHT45" s="16"/>
      <c r="KHU45" s="16"/>
      <c r="KHV45" s="16"/>
      <c r="KHW45" s="16"/>
      <c r="KHX45" s="16"/>
      <c r="KHY45" s="16"/>
      <c r="KHZ45" s="16"/>
      <c r="KIA45" s="16"/>
      <c r="KIB45" s="16"/>
      <c r="KIC45" s="16"/>
      <c r="KID45" s="16"/>
      <c r="KIE45" s="16"/>
      <c r="KIF45" s="16"/>
      <c r="KIG45" s="16"/>
      <c r="KIH45" s="16"/>
      <c r="KII45" s="16"/>
      <c r="KIJ45" s="16"/>
      <c r="KIK45" s="16"/>
      <c r="KIL45" s="16"/>
      <c r="KIM45" s="16"/>
      <c r="KIN45" s="16"/>
      <c r="KIO45" s="16"/>
      <c r="KIP45" s="16"/>
      <c r="KIQ45" s="16"/>
      <c r="KIR45" s="16"/>
      <c r="KIS45" s="16"/>
      <c r="KIT45" s="16"/>
      <c r="KIU45" s="16"/>
      <c r="KIV45" s="16"/>
      <c r="KIW45" s="16"/>
      <c r="KIX45" s="16"/>
      <c r="KIY45" s="16"/>
      <c r="KIZ45" s="16"/>
      <c r="KJA45" s="16"/>
      <c r="KJB45" s="16"/>
      <c r="KJC45" s="16"/>
      <c r="KJD45" s="16"/>
      <c r="KJE45" s="16"/>
      <c r="KJF45" s="16"/>
      <c r="KJG45" s="16"/>
      <c r="KJH45" s="16"/>
      <c r="KJI45" s="16"/>
      <c r="KJJ45" s="16"/>
      <c r="KJK45" s="16"/>
      <c r="KJL45" s="16"/>
      <c r="KJM45" s="16"/>
      <c r="KJN45" s="16"/>
      <c r="KJO45" s="16"/>
      <c r="KJP45" s="16"/>
      <c r="KJQ45" s="16"/>
      <c r="KJR45" s="16"/>
      <c r="KJS45" s="16"/>
      <c r="KJT45" s="16"/>
      <c r="KJU45" s="16"/>
      <c r="KJV45" s="16"/>
      <c r="KJW45" s="16"/>
      <c r="KJX45" s="16"/>
      <c r="KJY45" s="16"/>
      <c r="KJZ45" s="16"/>
      <c r="KKA45" s="16"/>
      <c r="KKB45" s="16"/>
      <c r="KKC45" s="16"/>
      <c r="KKD45" s="16"/>
      <c r="KKE45" s="16"/>
      <c r="KKF45" s="16"/>
      <c r="KKG45" s="16"/>
      <c r="KKH45" s="16"/>
      <c r="KKI45" s="16"/>
      <c r="KKJ45" s="16"/>
      <c r="KKK45" s="16"/>
      <c r="KKL45" s="16"/>
      <c r="KKM45" s="16"/>
      <c r="KKN45" s="16"/>
      <c r="KKO45" s="16"/>
      <c r="KKP45" s="16"/>
      <c r="KKQ45" s="16"/>
      <c r="KKR45" s="16"/>
      <c r="KKS45" s="16"/>
      <c r="KKT45" s="16"/>
      <c r="KKU45" s="16"/>
      <c r="KKV45" s="16"/>
      <c r="KKW45" s="16"/>
      <c r="KKX45" s="16"/>
      <c r="KKY45" s="16"/>
      <c r="KKZ45" s="16"/>
      <c r="KLA45" s="16"/>
      <c r="KLB45" s="16"/>
      <c r="KLC45" s="16"/>
      <c r="KLD45" s="16"/>
      <c r="KLE45" s="16"/>
      <c r="KLF45" s="16"/>
      <c r="KLG45" s="16"/>
      <c r="KLH45" s="16"/>
      <c r="KLI45" s="16"/>
      <c r="KLJ45" s="16"/>
      <c r="KLK45" s="16"/>
      <c r="KLL45" s="16"/>
      <c r="KLM45" s="16"/>
      <c r="KLN45" s="16"/>
      <c r="KLO45" s="16"/>
      <c r="KLP45" s="16"/>
      <c r="KLQ45" s="16"/>
      <c r="KLR45" s="16"/>
      <c r="KLS45" s="16"/>
      <c r="KLT45" s="16"/>
      <c r="KLU45" s="16"/>
      <c r="KLV45" s="16"/>
      <c r="KLW45" s="16"/>
      <c r="KLX45" s="16"/>
      <c r="KLY45" s="16"/>
      <c r="KLZ45" s="16"/>
      <c r="KMA45" s="16"/>
      <c r="KMB45" s="16"/>
      <c r="KMC45" s="16"/>
      <c r="KMD45" s="16"/>
      <c r="KME45" s="16"/>
      <c r="KMF45" s="16"/>
      <c r="KMG45" s="16"/>
      <c r="KMH45" s="16"/>
      <c r="KMI45" s="16"/>
      <c r="KMJ45" s="16"/>
      <c r="KMK45" s="16"/>
      <c r="KML45" s="16"/>
      <c r="KMM45" s="16"/>
      <c r="KMN45" s="16"/>
      <c r="KMO45" s="16"/>
      <c r="KMP45" s="16"/>
      <c r="KMQ45" s="16"/>
      <c r="KMR45" s="16"/>
      <c r="KMS45" s="16"/>
      <c r="KMT45" s="16"/>
      <c r="KMU45" s="16"/>
      <c r="KMV45" s="16"/>
      <c r="KMW45" s="16"/>
      <c r="KMX45" s="16"/>
      <c r="KMY45" s="16"/>
      <c r="KMZ45" s="16"/>
      <c r="KNA45" s="16"/>
      <c r="KNB45" s="16"/>
      <c r="KNC45" s="16"/>
      <c r="KND45" s="16"/>
      <c r="KNE45" s="16"/>
      <c r="KNF45" s="16"/>
      <c r="KNG45" s="16"/>
      <c r="KNH45" s="16"/>
      <c r="KNI45" s="16"/>
      <c r="KNJ45" s="16"/>
      <c r="KNK45" s="16"/>
      <c r="KNL45" s="16"/>
      <c r="KNM45" s="16"/>
      <c r="KNN45" s="16"/>
      <c r="KNO45" s="16"/>
      <c r="KNP45" s="16"/>
      <c r="KNQ45" s="16"/>
      <c r="KNR45" s="16"/>
      <c r="KNS45" s="16"/>
      <c r="KNT45" s="16"/>
      <c r="KNU45" s="16"/>
      <c r="KNV45" s="16"/>
      <c r="KNW45" s="16"/>
      <c r="KNX45" s="16"/>
      <c r="KNY45" s="16"/>
      <c r="KNZ45" s="16"/>
      <c r="KOA45" s="16"/>
      <c r="KOB45" s="16"/>
      <c r="KOC45" s="16"/>
      <c r="KOD45" s="16"/>
      <c r="KOE45" s="16"/>
      <c r="KOF45" s="16"/>
      <c r="KOG45" s="16"/>
      <c r="KOH45" s="16"/>
      <c r="KOI45" s="16"/>
      <c r="KOJ45" s="16"/>
      <c r="KOK45" s="16"/>
      <c r="KOL45" s="16"/>
      <c r="KOM45" s="16"/>
      <c r="KON45" s="16"/>
      <c r="KOO45" s="16"/>
      <c r="KOP45" s="16"/>
      <c r="KOQ45" s="16"/>
      <c r="KOR45" s="16"/>
      <c r="KOS45" s="16"/>
      <c r="KOT45" s="16"/>
      <c r="KOU45" s="16"/>
      <c r="KOV45" s="16"/>
      <c r="KOW45" s="16"/>
      <c r="KOX45" s="16"/>
      <c r="KOY45" s="16"/>
      <c r="KOZ45" s="16"/>
      <c r="KPA45" s="16"/>
      <c r="KPB45" s="16"/>
      <c r="KPC45" s="16"/>
      <c r="KPD45" s="16"/>
      <c r="KPE45" s="16"/>
      <c r="KPF45" s="16"/>
      <c r="KPG45" s="16"/>
      <c r="KPH45" s="16"/>
      <c r="KPI45" s="16"/>
      <c r="KPJ45" s="16"/>
      <c r="KPK45" s="16"/>
      <c r="KPL45" s="16"/>
      <c r="KPM45" s="16"/>
      <c r="KPN45" s="16"/>
      <c r="KPO45" s="16"/>
      <c r="KPP45" s="16"/>
      <c r="KPQ45" s="16"/>
      <c r="KPR45" s="16"/>
      <c r="KPS45" s="16"/>
      <c r="KPT45" s="16"/>
      <c r="KPU45" s="16"/>
      <c r="KPV45" s="16"/>
      <c r="KPW45" s="16"/>
      <c r="KPX45" s="16"/>
      <c r="KPY45" s="16"/>
      <c r="KPZ45" s="16"/>
      <c r="KQA45" s="16"/>
      <c r="KQB45" s="16"/>
      <c r="KQC45" s="16"/>
      <c r="KQD45" s="16"/>
      <c r="KQE45" s="16"/>
      <c r="KQF45" s="16"/>
      <c r="KQG45" s="16"/>
      <c r="KQH45" s="16"/>
      <c r="KQI45" s="16"/>
      <c r="KQJ45" s="16"/>
      <c r="KQK45" s="16"/>
      <c r="KQL45" s="16"/>
      <c r="KQM45" s="16"/>
      <c r="KQN45" s="16"/>
      <c r="KQO45" s="16"/>
      <c r="KQP45" s="16"/>
      <c r="KQQ45" s="16"/>
      <c r="KQR45" s="16"/>
      <c r="KQS45" s="16"/>
      <c r="KQT45" s="16"/>
      <c r="KQU45" s="16"/>
      <c r="KQV45" s="16"/>
      <c r="KQW45" s="16"/>
      <c r="KQX45" s="16"/>
      <c r="KQY45" s="16"/>
      <c r="KQZ45" s="16"/>
      <c r="KRA45" s="16"/>
      <c r="KRB45" s="16"/>
      <c r="KRC45" s="16"/>
      <c r="KRD45" s="16"/>
      <c r="KRE45" s="16"/>
      <c r="KRF45" s="16"/>
      <c r="KRG45" s="16"/>
      <c r="KRH45" s="16"/>
      <c r="KRI45" s="16"/>
      <c r="KRJ45" s="16"/>
      <c r="KRK45" s="16"/>
      <c r="KRL45" s="16"/>
      <c r="KRM45" s="16"/>
      <c r="KRN45" s="16"/>
      <c r="KRO45" s="16"/>
      <c r="KRP45" s="16"/>
      <c r="KRQ45" s="16"/>
      <c r="KRR45" s="16"/>
      <c r="KRS45" s="16"/>
      <c r="KRT45" s="16"/>
      <c r="KRU45" s="16"/>
      <c r="KRV45" s="16"/>
      <c r="KRW45" s="16"/>
      <c r="KRX45" s="16"/>
      <c r="KRY45" s="16"/>
      <c r="KRZ45" s="16"/>
      <c r="KSA45" s="16"/>
      <c r="KSB45" s="16"/>
      <c r="KSC45" s="16"/>
      <c r="KSD45" s="16"/>
      <c r="KSE45" s="16"/>
      <c r="KSF45" s="16"/>
      <c r="KSG45" s="16"/>
      <c r="KSH45" s="16"/>
      <c r="KSI45" s="16"/>
      <c r="KSJ45" s="16"/>
      <c r="KSK45" s="16"/>
      <c r="KSL45" s="16"/>
      <c r="KSM45" s="16"/>
      <c r="KSN45" s="16"/>
      <c r="KSO45" s="16"/>
      <c r="KSP45" s="16"/>
      <c r="KSQ45" s="16"/>
      <c r="KSR45" s="16"/>
      <c r="KSS45" s="16"/>
      <c r="KST45" s="16"/>
      <c r="KSU45" s="16"/>
      <c r="KSV45" s="16"/>
      <c r="KSW45" s="16"/>
      <c r="KSX45" s="16"/>
      <c r="KSY45" s="16"/>
      <c r="KSZ45" s="16"/>
      <c r="KTA45" s="16"/>
      <c r="KTB45" s="16"/>
      <c r="KTC45" s="16"/>
      <c r="KTD45" s="16"/>
      <c r="KTE45" s="16"/>
      <c r="KTF45" s="16"/>
      <c r="KTG45" s="16"/>
      <c r="KTH45" s="16"/>
      <c r="KTI45" s="16"/>
      <c r="KTJ45" s="16"/>
      <c r="KTK45" s="16"/>
      <c r="KTL45" s="16"/>
      <c r="KTM45" s="16"/>
      <c r="KTN45" s="16"/>
      <c r="KTO45" s="16"/>
      <c r="KTP45" s="16"/>
      <c r="KTQ45" s="16"/>
      <c r="KTR45" s="16"/>
      <c r="KTS45" s="16"/>
      <c r="KTT45" s="16"/>
      <c r="KTU45" s="16"/>
      <c r="KTV45" s="16"/>
      <c r="KTW45" s="16"/>
      <c r="KTX45" s="16"/>
      <c r="KTY45" s="16"/>
      <c r="KTZ45" s="16"/>
      <c r="KUA45" s="16"/>
      <c r="KUB45" s="16"/>
      <c r="KUC45" s="16"/>
      <c r="KUD45" s="16"/>
      <c r="KUE45" s="16"/>
      <c r="KUF45" s="16"/>
      <c r="KUG45" s="16"/>
      <c r="KUH45" s="16"/>
      <c r="KUI45" s="16"/>
      <c r="KUJ45" s="16"/>
      <c r="KUK45" s="16"/>
      <c r="KUL45" s="16"/>
      <c r="KUM45" s="16"/>
      <c r="KUN45" s="16"/>
      <c r="KUO45" s="16"/>
      <c r="KUP45" s="16"/>
      <c r="KUQ45" s="16"/>
      <c r="KUR45" s="16"/>
      <c r="KUS45" s="16"/>
      <c r="KUT45" s="16"/>
      <c r="KUU45" s="16"/>
      <c r="KUV45" s="16"/>
      <c r="KUW45" s="16"/>
      <c r="KUX45" s="16"/>
      <c r="KUY45" s="16"/>
      <c r="KUZ45" s="16"/>
      <c r="KVA45" s="16"/>
      <c r="KVB45" s="16"/>
      <c r="KVC45" s="16"/>
      <c r="KVD45" s="16"/>
      <c r="KVE45" s="16"/>
      <c r="KVF45" s="16"/>
      <c r="KVG45" s="16"/>
      <c r="KVH45" s="16"/>
      <c r="KVI45" s="16"/>
      <c r="KVJ45" s="16"/>
      <c r="KVK45" s="16"/>
      <c r="KVL45" s="16"/>
      <c r="KVM45" s="16"/>
      <c r="KVN45" s="16"/>
      <c r="KVO45" s="16"/>
      <c r="KVP45" s="16"/>
      <c r="KVQ45" s="16"/>
      <c r="KVR45" s="16"/>
      <c r="KVS45" s="16"/>
      <c r="KVT45" s="16"/>
      <c r="KVU45" s="16"/>
      <c r="KVV45" s="16"/>
      <c r="KVW45" s="16"/>
      <c r="KVX45" s="16"/>
      <c r="KVY45" s="16"/>
      <c r="KVZ45" s="16"/>
      <c r="KWA45" s="16"/>
      <c r="KWB45" s="16"/>
      <c r="KWC45" s="16"/>
      <c r="KWD45" s="16"/>
      <c r="KWE45" s="16"/>
      <c r="KWF45" s="16"/>
      <c r="KWG45" s="16"/>
      <c r="KWH45" s="16"/>
      <c r="KWI45" s="16"/>
      <c r="KWJ45" s="16"/>
      <c r="KWK45" s="16"/>
      <c r="KWL45" s="16"/>
      <c r="KWM45" s="16"/>
      <c r="KWN45" s="16"/>
      <c r="KWO45" s="16"/>
      <c r="KWP45" s="16"/>
      <c r="KWQ45" s="16"/>
      <c r="KWR45" s="16"/>
      <c r="KWS45" s="16"/>
      <c r="KWT45" s="16"/>
      <c r="KWU45" s="16"/>
      <c r="KWV45" s="16"/>
      <c r="KWW45" s="16"/>
      <c r="KWX45" s="16"/>
      <c r="KWY45" s="16"/>
      <c r="KWZ45" s="16"/>
      <c r="KXA45" s="16"/>
      <c r="KXB45" s="16"/>
      <c r="KXC45" s="16"/>
      <c r="KXD45" s="16"/>
      <c r="KXE45" s="16"/>
      <c r="KXF45" s="16"/>
      <c r="KXG45" s="16"/>
      <c r="KXH45" s="16"/>
      <c r="KXI45" s="16"/>
      <c r="KXJ45" s="16"/>
      <c r="KXK45" s="16"/>
      <c r="KXL45" s="16"/>
      <c r="KXM45" s="16"/>
      <c r="KXN45" s="16"/>
      <c r="KXO45" s="16"/>
      <c r="KXP45" s="16"/>
      <c r="KXQ45" s="16"/>
      <c r="KXR45" s="16"/>
      <c r="KXS45" s="16"/>
      <c r="KXT45" s="16"/>
      <c r="KXU45" s="16"/>
      <c r="KXV45" s="16"/>
      <c r="KXW45" s="16"/>
      <c r="KXX45" s="16"/>
      <c r="KXY45" s="16"/>
      <c r="KXZ45" s="16"/>
      <c r="KYA45" s="16"/>
      <c r="KYB45" s="16"/>
      <c r="KYC45" s="16"/>
      <c r="KYD45" s="16"/>
      <c r="KYE45" s="16"/>
      <c r="KYF45" s="16"/>
      <c r="KYG45" s="16"/>
      <c r="KYH45" s="16"/>
      <c r="KYI45" s="16"/>
      <c r="KYJ45" s="16"/>
      <c r="KYK45" s="16"/>
      <c r="KYL45" s="16"/>
      <c r="KYM45" s="16"/>
      <c r="KYN45" s="16"/>
      <c r="KYO45" s="16"/>
      <c r="KYP45" s="16"/>
      <c r="KYQ45" s="16"/>
      <c r="KYR45" s="16"/>
      <c r="KYS45" s="16"/>
      <c r="KYT45" s="16"/>
      <c r="KYU45" s="16"/>
      <c r="KYV45" s="16"/>
      <c r="KYW45" s="16"/>
      <c r="KYX45" s="16"/>
      <c r="KYY45" s="16"/>
      <c r="KYZ45" s="16"/>
      <c r="KZA45" s="16"/>
      <c r="KZB45" s="16"/>
      <c r="KZC45" s="16"/>
      <c r="KZD45" s="16"/>
      <c r="KZE45" s="16"/>
      <c r="KZF45" s="16"/>
      <c r="KZG45" s="16"/>
      <c r="KZH45" s="16"/>
      <c r="KZI45" s="16"/>
      <c r="KZJ45" s="16"/>
      <c r="KZK45" s="16"/>
      <c r="KZL45" s="16"/>
      <c r="KZM45" s="16"/>
      <c r="KZN45" s="16"/>
      <c r="KZO45" s="16"/>
      <c r="KZP45" s="16"/>
      <c r="KZQ45" s="16"/>
      <c r="KZR45" s="16"/>
      <c r="KZS45" s="16"/>
      <c r="KZT45" s="16"/>
      <c r="KZU45" s="16"/>
      <c r="KZV45" s="16"/>
      <c r="KZW45" s="16"/>
      <c r="KZX45" s="16"/>
      <c r="KZY45" s="16"/>
      <c r="KZZ45" s="16"/>
      <c r="LAA45" s="16"/>
      <c r="LAB45" s="16"/>
      <c r="LAC45" s="16"/>
      <c r="LAD45" s="16"/>
      <c r="LAE45" s="16"/>
      <c r="LAF45" s="16"/>
      <c r="LAG45" s="16"/>
      <c r="LAH45" s="16"/>
      <c r="LAI45" s="16"/>
      <c r="LAJ45" s="16"/>
      <c r="LAK45" s="16"/>
      <c r="LAL45" s="16"/>
      <c r="LAM45" s="16"/>
      <c r="LAN45" s="16"/>
      <c r="LAO45" s="16"/>
      <c r="LAP45" s="16"/>
      <c r="LAQ45" s="16"/>
      <c r="LAR45" s="16"/>
      <c r="LAS45" s="16"/>
      <c r="LAT45" s="16"/>
      <c r="LAU45" s="16"/>
      <c r="LAV45" s="16"/>
      <c r="LAW45" s="16"/>
      <c r="LAX45" s="16"/>
      <c r="LAY45" s="16"/>
      <c r="LAZ45" s="16"/>
      <c r="LBA45" s="16"/>
      <c r="LBB45" s="16"/>
      <c r="LBC45" s="16"/>
      <c r="LBD45" s="16"/>
      <c r="LBE45" s="16"/>
      <c r="LBF45" s="16"/>
      <c r="LBG45" s="16"/>
      <c r="LBH45" s="16"/>
      <c r="LBI45" s="16"/>
      <c r="LBJ45" s="16"/>
      <c r="LBK45" s="16"/>
      <c r="LBL45" s="16"/>
      <c r="LBM45" s="16"/>
      <c r="LBN45" s="16"/>
      <c r="LBO45" s="16"/>
      <c r="LBP45" s="16"/>
      <c r="LBQ45" s="16"/>
      <c r="LBR45" s="16"/>
      <c r="LBS45" s="16"/>
      <c r="LBT45" s="16"/>
      <c r="LBU45" s="16"/>
      <c r="LBV45" s="16"/>
      <c r="LBW45" s="16"/>
      <c r="LBX45" s="16"/>
      <c r="LBY45" s="16"/>
      <c r="LBZ45" s="16"/>
      <c r="LCA45" s="16"/>
      <c r="LCB45" s="16"/>
      <c r="LCC45" s="16"/>
      <c r="LCD45" s="16"/>
      <c r="LCE45" s="16"/>
      <c r="LCF45" s="16"/>
      <c r="LCG45" s="16"/>
      <c r="LCH45" s="16"/>
      <c r="LCI45" s="16"/>
      <c r="LCJ45" s="16"/>
      <c r="LCK45" s="16"/>
      <c r="LCL45" s="16"/>
      <c r="LCM45" s="16"/>
      <c r="LCN45" s="16"/>
      <c r="LCO45" s="16"/>
      <c r="LCP45" s="16"/>
      <c r="LCQ45" s="16"/>
      <c r="LCR45" s="16"/>
      <c r="LCS45" s="16"/>
      <c r="LCT45" s="16"/>
      <c r="LCU45" s="16"/>
      <c r="LCV45" s="16"/>
      <c r="LCW45" s="16"/>
      <c r="LCX45" s="16"/>
      <c r="LCY45" s="16"/>
      <c r="LCZ45" s="16"/>
      <c r="LDA45" s="16"/>
      <c r="LDB45" s="16"/>
      <c r="LDC45" s="16"/>
      <c r="LDD45" s="16"/>
      <c r="LDE45" s="16"/>
      <c r="LDF45" s="16"/>
      <c r="LDG45" s="16"/>
      <c r="LDH45" s="16"/>
      <c r="LDI45" s="16"/>
      <c r="LDJ45" s="16"/>
      <c r="LDK45" s="16"/>
      <c r="LDL45" s="16"/>
      <c r="LDM45" s="16"/>
      <c r="LDN45" s="16"/>
      <c r="LDO45" s="16"/>
      <c r="LDP45" s="16"/>
      <c r="LDQ45" s="16"/>
      <c r="LDR45" s="16"/>
      <c r="LDS45" s="16"/>
      <c r="LDT45" s="16"/>
      <c r="LDU45" s="16"/>
      <c r="LDV45" s="16"/>
      <c r="LDW45" s="16"/>
      <c r="LDX45" s="16"/>
      <c r="LDY45" s="16"/>
      <c r="LDZ45" s="16"/>
      <c r="LEA45" s="16"/>
      <c r="LEB45" s="16"/>
      <c r="LEC45" s="16"/>
      <c r="LED45" s="16"/>
      <c r="LEE45" s="16"/>
      <c r="LEF45" s="16"/>
      <c r="LEG45" s="16"/>
      <c r="LEH45" s="16"/>
      <c r="LEI45" s="16"/>
      <c r="LEJ45" s="16"/>
      <c r="LEK45" s="16"/>
      <c r="LEL45" s="16"/>
      <c r="LEM45" s="16"/>
      <c r="LEN45" s="16"/>
      <c r="LEO45" s="16"/>
      <c r="LEP45" s="16"/>
      <c r="LEQ45" s="16"/>
      <c r="LER45" s="16"/>
      <c r="LES45" s="16"/>
      <c r="LET45" s="16"/>
      <c r="LEU45" s="16"/>
      <c r="LEV45" s="16"/>
      <c r="LEW45" s="16"/>
      <c r="LEX45" s="16"/>
      <c r="LEY45" s="16"/>
      <c r="LEZ45" s="16"/>
      <c r="LFA45" s="16"/>
      <c r="LFB45" s="16"/>
      <c r="LFC45" s="16"/>
      <c r="LFD45" s="16"/>
      <c r="LFE45" s="16"/>
      <c r="LFF45" s="16"/>
      <c r="LFG45" s="16"/>
      <c r="LFH45" s="16"/>
      <c r="LFI45" s="16"/>
      <c r="LFJ45" s="16"/>
      <c r="LFK45" s="16"/>
      <c r="LFL45" s="16"/>
      <c r="LFM45" s="16"/>
      <c r="LFN45" s="16"/>
      <c r="LFO45" s="16"/>
      <c r="LFP45" s="16"/>
      <c r="LFQ45" s="16"/>
      <c r="LFR45" s="16"/>
      <c r="LFS45" s="16"/>
      <c r="LFT45" s="16"/>
      <c r="LFU45" s="16"/>
      <c r="LFV45" s="16"/>
      <c r="LFW45" s="16"/>
      <c r="LFX45" s="16"/>
      <c r="LFY45" s="16"/>
      <c r="LFZ45" s="16"/>
      <c r="LGA45" s="16"/>
      <c r="LGB45" s="16"/>
      <c r="LGC45" s="16"/>
      <c r="LGD45" s="16"/>
      <c r="LGE45" s="16"/>
      <c r="LGF45" s="16"/>
      <c r="LGG45" s="16"/>
      <c r="LGH45" s="16"/>
      <c r="LGI45" s="16"/>
      <c r="LGJ45" s="16"/>
      <c r="LGK45" s="16"/>
      <c r="LGL45" s="16"/>
      <c r="LGM45" s="16"/>
      <c r="LGN45" s="16"/>
      <c r="LGO45" s="16"/>
      <c r="LGP45" s="16"/>
      <c r="LGQ45" s="16"/>
      <c r="LGR45" s="16"/>
      <c r="LGS45" s="16"/>
      <c r="LGT45" s="16"/>
      <c r="LGU45" s="16"/>
      <c r="LGV45" s="16"/>
      <c r="LGW45" s="16"/>
      <c r="LGX45" s="16"/>
      <c r="LGY45" s="16"/>
      <c r="LGZ45" s="16"/>
      <c r="LHA45" s="16"/>
      <c r="LHB45" s="16"/>
      <c r="LHC45" s="16"/>
      <c r="LHD45" s="16"/>
      <c r="LHE45" s="16"/>
      <c r="LHF45" s="16"/>
      <c r="LHG45" s="16"/>
      <c r="LHH45" s="16"/>
      <c r="LHI45" s="16"/>
      <c r="LHJ45" s="16"/>
      <c r="LHK45" s="16"/>
      <c r="LHL45" s="16"/>
      <c r="LHM45" s="16"/>
      <c r="LHN45" s="16"/>
      <c r="LHO45" s="16"/>
      <c r="LHP45" s="16"/>
      <c r="LHQ45" s="16"/>
      <c r="LHR45" s="16"/>
      <c r="LHS45" s="16"/>
      <c r="LHT45" s="16"/>
      <c r="LHU45" s="16"/>
      <c r="LHV45" s="16"/>
      <c r="LHW45" s="16"/>
      <c r="LHX45" s="16"/>
      <c r="LHY45" s="16"/>
      <c r="LHZ45" s="16"/>
      <c r="LIA45" s="16"/>
      <c r="LIB45" s="16"/>
      <c r="LIC45" s="16"/>
      <c r="LID45" s="16"/>
      <c r="LIE45" s="16"/>
      <c r="LIF45" s="16"/>
      <c r="LIG45" s="16"/>
      <c r="LIH45" s="16"/>
      <c r="LII45" s="16"/>
      <c r="LIJ45" s="16"/>
      <c r="LIK45" s="16"/>
      <c r="LIL45" s="16"/>
      <c r="LIM45" s="16"/>
      <c r="LIN45" s="16"/>
      <c r="LIO45" s="16"/>
      <c r="LIP45" s="16"/>
      <c r="LIQ45" s="16"/>
      <c r="LIR45" s="16"/>
      <c r="LIS45" s="16"/>
      <c r="LIT45" s="16"/>
      <c r="LIU45" s="16"/>
      <c r="LIV45" s="16"/>
      <c r="LIW45" s="16"/>
      <c r="LIX45" s="16"/>
      <c r="LIY45" s="16"/>
      <c r="LIZ45" s="16"/>
      <c r="LJA45" s="16"/>
      <c r="LJB45" s="16"/>
      <c r="LJC45" s="16"/>
      <c r="LJD45" s="16"/>
      <c r="LJE45" s="16"/>
      <c r="LJF45" s="16"/>
      <c r="LJG45" s="16"/>
      <c r="LJH45" s="16"/>
      <c r="LJI45" s="16"/>
      <c r="LJJ45" s="16"/>
      <c r="LJK45" s="16"/>
      <c r="LJL45" s="16"/>
      <c r="LJM45" s="16"/>
      <c r="LJN45" s="16"/>
      <c r="LJO45" s="16"/>
      <c r="LJP45" s="16"/>
      <c r="LJQ45" s="16"/>
      <c r="LJR45" s="16"/>
      <c r="LJS45" s="16"/>
      <c r="LJT45" s="16"/>
      <c r="LJU45" s="16"/>
      <c r="LJV45" s="16"/>
      <c r="LJW45" s="16"/>
      <c r="LJX45" s="16"/>
      <c r="LJY45" s="16"/>
      <c r="LJZ45" s="16"/>
      <c r="LKA45" s="16"/>
      <c r="LKB45" s="16"/>
      <c r="LKC45" s="16"/>
      <c r="LKD45" s="16"/>
      <c r="LKE45" s="16"/>
      <c r="LKF45" s="16"/>
      <c r="LKG45" s="16"/>
      <c r="LKH45" s="16"/>
      <c r="LKI45" s="16"/>
      <c r="LKJ45" s="16"/>
      <c r="LKK45" s="16"/>
      <c r="LKL45" s="16"/>
      <c r="LKM45" s="16"/>
      <c r="LKN45" s="16"/>
      <c r="LKO45" s="16"/>
      <c r="LKP45" s="16"/>
      <c r="LKQ45" s="16"/>
      <c r="LKR45" s="16"/>
      <c r="LKS45" s="16"/>
      <c r="LKT45" s="16"/>
      <c r="LKU45" s="16"/>
      <c r="LKV45" s="16"/>
      <c r="LKW45" s="16"/>
      <c r="LKX45" s="16"/>
      <c r="LKY45" s="16"/>
      <c r="LKZ45" s="16"/>
      <c r="LLA45" s="16"/>
      <c r="LLB45" s="16"/>
      <c r="LLC45" s="16"/>
      <c r="LLD45" s="16"/>
      <c r="LLE45" s="16"/>
      <c r="LLF45" s="16"/>
      <c r="LLG45" s="16"/>
      <c r="LLH45" s="16"/>
      <c r="LLI45" s="16"/>
      <c r="LLJ45" s="16"/>
      <c r="LLK45" s="16"/>
      <c r="LLL45" s="16"/>
      <c r="LLM45" s="16"/>
      <c r="LLN45" s="16"/>
      <c r="LLO45" s="16"/>
      <c r="LLP45" s="16"/>
      <c r="LLQ45" s="16"/>
      <c r="LLR45" s="16"/>
      <c r="LLS45" s="16"/>
      <c r="LLT45" s="16"/>
      <c r="LLU45" s="16"/>
      <c r="LLV45" s="16"/>
      <c r="LLW45" s="16"/>
      <c r="LLX45" s="16"/>
      <c r="LLY45" s="16"/>
      <c r="LLZ45" s="16"/>
      <c r="LMA45" s="16"/>
      <c r="LMB45" s="16"/>
      <c r="LMC45" s="16"/>
      <c r="LMD45" s="16"/>
      <c r="LME45" s="16"/>
      <c r="LMF45" s="16"/>
      <c r="LMG45" s="16"/>
      <c r="LMH45" s="16"/>
      <c r="LMI45" s="16"/>
      <c r="LMJ45" s="16"/>
      <c r="LMK45" s="16"/>
      <c r="LML45" s="16"/>
      <c r="LMM45" s="16"/>
      <c r="LMN45" s="16"/>
      <c r="LMO45" s="16"/>
      <c r="LMP45" s="16"/>
      <c r="LMQ45" s="16"/>
      <c r="LMR45" s="16"/>
      <c r="LMS45" s="16"/>
      <c r="LMT45" s="16"/>
      <c r="LMU45" s="16"/>
      <c r="LMV45" s="16"/>
      <c r="LMW45" s="16"/>
      <c r="LMX45" s="16"/>
      <c r="LMY45" s="16"/>
      <c r="LMZ45" s="16"/>
      <c r="LNA45" s="16"/>
      <c r="LNB45" s="16"/>
      <c r="LNC45" s="16"/>
      <c r="LND45" s="16"/>
      <c r="LNE45" s="16"/>
      <c r="LNF45" s="16"/>
      <c r="LNG45" s="16"/>
      <c r="LNH45" s="16"/>
      <c r="LNI45" s="16"/>
      <c r="LNJ45" s="16"/>
      <c r="LNK45" s="16"/>
      <c r="LNL45" s="16"/>
      <c r="LNM45" s="16"/>
      <c r="LNN45" s="16"/>
      <c r="LNO45" s="16"/>
      <c r="LNP45" s="16"/>
      <c r="LNQ45" s="16"/>
      <c r="LNR45" s="16"/>
      <c r="LNS45" s="16"/>
      <c r="LNT45" s="16"/>
      <c r="LNU45" s="16"/>
      <c r="LNV45" s="16"/>
      <c r="LNW45" s="16"/>
      <c r="LNX45" s="16"/>
      <c r="LNY45" s="16"/>
      <c r="LNZ45" s="16"/>
      <c r="LOA45" s="16"/>
      <c r="LOB45" s="16"/>
      <c r="LOC45" s="16"/>
      <c r="LOD45" s="16"/>
      <c r="LOE45" s="16"/>
      <c r="LOF45" s="16"/>
      <c r="LOG45" s="16"/>
      <c r="LOH45" s="16"/>
      <c r="LOI45" s="16"/>
      <c r="LOJ45" s="16"/>
      <c r="LOK45" s="16"/>
      <c r="LOL45" s="16"/>
      <c r="LOM45" s="16"/>
      <c r="LON45" s="16"/>
      <c r="LOO45" s="16"/>
      <c r="LOP45" s="16"/>
      <c r="LOQ45" s="16"/>
      <c r="LOR45" s="16"/>
      <c r="LOS45" s="16"/>
      <c r="LOT45" s="16"/>
      <c r="LOU45" s="16"/>
      <c r="LOV45" s="16"/>
      <c r="LOW45" s="16"/>
      <c r="LOX45" s="16"/>
      <c r="LOY45" s="16"/>
      <c r="LOZ45" s="16"/>
      <c r="LPA45" s="16"/>
      <c r="LPB45" s="16"/>
      <c r="LPC45" s="16"/>
      <c r="LPD45" s="16"/>
      <c r="LPE45" s="16"/>
      <c r="LPF45" s="16"/>
      <c r="LPG45" s="16"/>
      <c r="LPH45" s="16"/>
      <c r="LPI45" s="16"/>
      <c r="LPJ45" s="16"/>
      <c r="LPK45" s="16"/>
      <c r="LPL45" s="16"/>
      <c r="LPM45" s="16"/>
      <c r="LPN45" s="16"/>
      <c r="LPO45" s="16"/>
      <c r="LPP45" s="16"/>
      <c r="LPQ45" s="16"/>
      <c r="LPR45" s="16"/>
      <c r="LPS45" s="16"/>
      <c r="LPT45" s="16"/>
      <c r="LPU45" s="16"/>
      <c r="LPV45" s="16"/>
      <c r="LPW45" s="16"/>
      <c r="LPX45" s="16"/>
      <c r="LPY45" s="16"/>
      <c r="LPZ45" s="16"/>
      <c r="LQA45" s="16"/>
      <c r="LQB45" s="16"/>
      <c r="LQC45" s="16"/>
      <c r="LQD45" s="16"/>
      <c r="LQE45" s="16"/>
      <c r="LQF45" s="16"/>
      <c r="LQG45" s="16"/>
      <c r="LQH45" s="16"/>
      <c r="LQI45" s="16"/>
      <c r="LQJ45" s="16"/>
      <c r="LQK45" s="16"/>
      <c r="LQL45" s="16"/>
      <c r="LQM45" s="16"/>
      <c r="LQN45" s="16"/>
      <c r="LQO45" s="16"/>
      <c r="LQP45" s="16"/>
      <c r="LQQ45" s="16"/>
      <c r="LQR45" s="16"/>
      <c r="LQS45" s="16"/>
      <c r="LQT45" s="16"/>
      <c r="LQU45" s="16"/>
      <c r="LQV45" s="16"/>
      <c r="LQW45" s="16"/>
      <c r="LQX45" s="16"/>
      <c r="LQY45" s="16"/>
      <c r="LQZ45" s="16"/>
      <c r="LRA45" s="16"/>
      <c r="LRB45" s="16"/>
      <c r="LRC45" s="16"/>
      <c r="LRD45" s="16"/>
      <c r="LRE45" s="16"/>
      <c r="LRF45" s="16"/>
      <c r="LRG45" s="16"/>
      <c r="LRH45" s="16"/>
      <c r="LRI45" s="16"/>
      <c r="LRJ45" s="16"/>
      <c r="LRK45" s="16"/>
      <c r="LRL45" s="16"/>
      <c r="LRM45" s="16"/>
      <c r="LRN45" s="16"/>
      <c r="LRO45" s="16"/>
      <c r="LRP45" s="16"/>
      <c r="LRQ45" s="16"/>
      <c r="LRR45" s="16"/>
      <c r="LRS45" s="16"/>
      <c r="LRT45" s="16"/>
      <c r="LRU45" s="16"/>
      <c r="LRV45" s="16"/>
      <c r="LRW45" s="16"/>
      <c r="LRX45" s="16"/>
      <c r="LRY45" s="16"/>
      <c r="LRZ45" s="16"/>
      <c r="LSA45" s="16"/>
      <c r="LSB45" s="16"/>
      <c r="LSC45" s="16"/>
      <c r="LSD45" s="16"/>
      <c r="LSE45" s="16"/>
      <c r="LSF45" s="16"/>
      <c r="LSG45" s="16"/>
      <c r="LSH45" s="16"/>
      <c r="LSI45" s="16"/>
      <c r="LSJ45" s="16"/>
      <c r="LSK45" s="16"/>
      <c r="LSL45" s="16"/>
      <c r="LSM45" s="16"/>
      <c r="LSN45" s="16"/>
      <c r="LSO45" s="16"/>
      <c r="LSP45" s="16"/>
      <c r="LSQ45" s="16"/>
      <c r="LSR45" s="16"/>
      <c r="LSS45" s="16"/>
      <c r="LST45" s="16"/>
      <c r="LSU45" s="16"/>
      <c r="LSV45" s="16"/>
      <c r="LSW45" s="16"/>
      <c r="LSX45" s="16"/>
      <c r="LSY45" s="16"/>
      <c r="LSZ45" s="16"/>
      <c r="LTA45" s="16"/>
      <c r="LTB45" s="16"/>
      <c r="LTC45" s="16"/>
      <c r="LTD45" s="16"/>
      <c r="LTE45" s="16"/>
      <c r="LTF45" s="16"/>
      <c r="LTG45" s="16"/>
      <c r="LTH45" s="16"/>
      <c r="LTI45" s="16"/>
      <c r="LTJ45" s="16"/>
      <c r="LTK45" s="16"/>
      <c r="LTL45" s="16"/>
      <c r="LTM45" s="16"/>
      <c r="LTN45" s="16"/>
      <c r="LTO45" s="16"/>
      <c r="LTP45" s="16"/>
      <c r="LTQ45" s="16"/>
      <c r="LTR45" s="16"/>
      <c r="LTS45" s="16"/>
      <c r="LTT45" s="16"/>
      <c r="LTU45" s="16"/>
      <c r="LTV45" s="16"/>
      <c r="LTW45" s="16"/>
      <c r="LTX45" s="16"/>
      <c r="LTY45" s="16"/>
      <c r="LTZ45" s="16"/>
      <c r="LUA45" s="16"/>
      <c r="LUB45" s="16"/>
      <c r="LUC45" s="16"/>
      <c r="LUD45" s="16"/>
      <c r="LUE45" s="16"/>
      <c r="LUF45" s="16"/>
      <c r="LUG45" s="16"/>
      <c r="LUH45" s="16"/>
      <c r="LUI45" s="16"/>
      <c r="LUJ45" s="16"/>
      <c r="LUK45" s="16"/>
      <c r="LUL45" s="16"/>
      <c r="LUM45" s="16"/>
      <c r="LUN45" s="16"/>
      <c r="LUO45" s="16"/>
      <c r="LUP45" s="16"/>
      <c r="LUQ45" s="16"/>
      <c r="LUR45" s="16"/>
      <c r="LUS45" s="16"/>
      <c r="LUT45" s="16"/>
      <c r="LUU45" s="16"/>
      <c r="LUV45" s="16"/>
      <c r="LUW45" s="16"/>
      <c r="LUX45" s="16"/>
      <c r="LUY45" s="16"/>
      <c r="LUZ45" s="16"/>
      <c r="LVA45" s="16"/>
      <c r="LVB45" s="16"/>
      <c r="LVC45" s="16"/>
      <c r="LVD45" s="16"/>
      <c r="LVE45" s="16"/>
      <c r="LVF45" s="16"/>
      <c r="LVG45" s="16"/>
      <c r="LVH45" s="16"/>
      <c r="LVI45" s="16"/>
      <c r="LVJ45" s="16"/>
      <c r="LVK45" s="16"/>
      <c r="LVL45" s="16"/>
      <c r="LVM45" s="16"/>
      <c r="LVN45" s="16"/>
      <c r="LVO45" s="16"/>
      <c r="LVP45" s="16"/>
      <c r="LVQ45" s="16"/>
      <c r="LVR45" s="16"/>
      <c r="LVS45" s="16"/>
      <c r="LVT45" s="16"/>
      <c r="LVU45" s="16"/>
      <c r="LVV45" s="16"/>
      <c r="LVW45" s="16"/>
      <c r="LVX45" s="16"/>
      <c r="LVY45" s="16"/>
      <c r="LVZ45" s="16"/>
      <c r="LWA45" s="16"/>
      <c r="LWB45" s="16"/>
      <c r="LWC45" s="16"/>
      <c r="LWD45" s="16"/>
      <c r="LWE45" s="16"/>
      <c r="LWF45" s="16"/>
      <c r="LWG45" s="16"/>
      <c r="LWH45" s="16"/>
      <c r="LWI45" s="16"/>
      <c r="LWJ45" s="16"/>
      <c r="LWK45" s="16"/>
      <c r="LWL45" s="16"/>
      <c r="LWM45" s="16"/>
      <c r="LWN45" s="16"/>
      <c r="LWO45" s="16"/>
      <c r="LWP45" s="16"/>
      <c r="LWQ45" s="16"/>
      <c r="LWR45" s="16"/>
      <c r="LWS45" s="16"/>
      <c r="LWT45" s="16"/>
      <c r="LWU45" s="16"/>
      <c r="LWV45" s="16"/>
      <c r="LWW45" s="16"/>
      <c r="LWX45" s="16"/>
      <c r="LWY45" s="16"/>
      <c r="LWZ45" s="16"/>
      <c r="LXA45" s="16"/>
      <c r="LXB45" s="16"/>
      <c r="LXC45" s="16"/>
      <c r="LXD45" s="16"/>
      <c r="LXE45" s="16"/>
      <c r="LXF45" s="16"/>
      <c r="LXG45" s="16"/>
      <c r="LXH45" s="16"/>
      <c r="LXI45" s="16"/>
      <c r="LXJ45" s="16"/>
      <c r="LXK45" s="16"/>
      <c r="LXL45" s="16"/>
      <c r="LXM45" s="16"/>
      <c r="LXN45" s="16"/>
      <c r="LXO45" s="16"/>
      <c r="LXP45" s="16"/>
      <c r="LXQ45" s="16"/>
      <c r="LXR45" s="16"/>
      <c r="LXS45" s="16"/>
      <c r="LXT45" s="16"/>
      <c r="LXU45" s="16"/>
      <c r="LXV45" s="16"/>
      <c r="LXW45" s="16"/>
      <c r="LXX45" s="16"/>
      <c r="LXY45" s="16"/>
      <c r="LXZ45" s="16"/>
      <c r="LYA45" s="16"/>
      <c r="LYB45" s="16"/>
      <c r="LYC45" s="16"/>
      <c r="LYD45" s="16"/>
      <c r="LYE45" s="16"/>
      <c r="LYF45" s="16"/>
      <c r="LYG45" s="16"/>
      <c r="LYH45" s="16"/>
      <c r="LYI45" s="16"/>
      <c r="LYJ45" s="16"/>
      <c r="LYK45" s="16"/>
      <c r="LYL45" s="16"/>
      <c r="LYM45" s="16"/>
      <c r="LYN45" s="16"/>
      <c r="LYO45" s="16"/>
      <c r="LYP45" s="16"/>
      <c r="LYQ45" s="16"/>
      <c r="LYR45" s="16"/>
      <c r="LYS45" s="16"/>
      <c r="LYT45" s="16"/>
      <c r="LYU45" s="16"/>
      <c r="LYV45" s="16"/>
      <c r="LYW45" s="16"/>
      <c r="LYX45" s="16"/>
      <c r="LYY45" s="16"/>
      <c r="LYZ45" s="16"/>
      <c r="LZA45" s="16"/>
      <c r="LZB45" s="16"/>
      <c r="LZC45" s="16"/>
      <c r="LZD45" s="16"/>
      <c r="LZE45" s="16"/>
      <c r="LZF45" s="16"/>
      <c r="LZG45" s="16"/>
      <c r="LZH45" s="16"/>
      <c r="LZI45" s="16"/>
      <c r="LZJ45" s="16"/>
      <c r="LZK45" s="16"/>
      <c r="LZL45" s="16"/>
      <c r="LZM45" s="16"/>
      <c r="LZN45" s="16"/>
      <c r="LZO45" s="16"/>
      <c r="LZP45" s="16"/>
      <c r="LZQ45" s="16"/>
      <c r="LZR45" s="16"/>
      <c r="LZS45" s="16"/>
      <c r="LZT45" s="16"/>
      <c r="LZU45" s="16"/>
      <c r="LZV45" s="16"/>
      <c r="LZW45" s="16"/>
      <c r="LZX45" s="16"/>
      <c r="LZY45" s="16"/>
      <c r="LZZ45" s="16"/>
      <c r="MAA45" s="16"/>
      <c r="MAB45" s="16"/>
      <c r="MAC45" s="16"/>
      <c r="MAD45" s="16"/>
      <c r="MAE45" s="16"/>
      <c r="MAF45" s="16"/>
      <c r="MAG45" s="16"/>
      <c r="MAH45" s="16"/>
      <c r="MAI45" s="16"/>
      <c r="MAJ45" s="16"/>
      <c r="MAK45" s="16"/>
      <c r="MAL45" s="16"/>
      <c r="MAM45" s="16"/>
      <c r="MAN45" s="16"/>
      <c r="MAO45" s="16"/>
      <c r="MAP45" s="16"/>
      <c r="MAQ45" s="16"/>
      <c r="MAR45" s="16"/>
      <c r="MAS45" s="16"/>
      <c r="MAT45" s="16"/>
      <c r="MAU45" s="16"/>
      <c r="MAV45" s="16"/>
      <c r="MAW45" s="16"/>
      <c r="MAX45" s="16"/>
      <c r="MAY45" s="16"/>
      <c r="MAZ45" s="16"/>
      <c r="MBA45" s="16"/>
      <c r="MBB45" s="16"/>
      <c r="MBC45" s="16"/>
      <c r="MBD45" s="16"/>
      <c r="MBE45" s="16"/>
      <c r="MBF45" s="16"/>
      <c r="MBG45" s="16"/>
      <c r="MBH45" s="16"/>
      <c r="MBI45" s="16"/>
      <c r="MBJ45" s="16"/>
      <c r="MBK45" s="16"/>
      <c r="MBL45" s="16"/>
      <c r="MBM45" s="16"/>
      <c r="MBN45" s="16"/>
      <c r="MBO45" s="16"/>
      <c r="MBP45" s="16"/>
      <c r="MBQ45" s="16"/>
      <c r="MBR45" s="16"/>
      <c r="MBS45" s="16"/>
      <c r="MBT45" s="16"/>
      <c r="MBU45" s="16"/>
      <c r="MBV45" s="16"/>
      <c r="MBW45" s="16"/>
      <c r="MBX45" s="16"/>
      <c r="MBY45" s="16"/>
      <c r="MBZ45" s="16"/>
      <c r="MCA45" s="16"/>
      <c r="MCB45" s="16"/>
      <c r="MCC45" s="16"/>
      <c r="MCD45" s="16"/>
      <c r="MCE45" s="16"/>
      <c r="MCF45" s="16"/>
      <c r="MCG45" s="16"/>
      <c r="MCH45" s="16"/>
      <c r="MCI45" s="16"/>
      <c r="MCJ45" s="16"/>
      <c r="MCK45" s="16"/>
      <c r="MCL45" s="16"/>
      <c r="MCM45" s="16"/>
      <c r="MCN45" s="16"/>
      <c r="MCO45" s="16"/>
      <c r="MCP45" s="16"/>
      <c r="MCQ45" s="16"/>
      <c r="MCR45" s="16"/>
      <c r="MCS45" s="16"/>
      <c r="MCT45" s="16"/>
      <c r="MCU45" s="16"/>
      <c r="MCV45" s="16"/>
      <c r="MCW45" s="16"/>
      <c r="MCX45" s="16"/>
      <c r="MCY45" s="16"/>
      <c r="MCZ45" s="16"/>
      <c r="MDA45" s="16"/>
      <c r="MDB45" s="16"/>
      <c r="MDC45" s="16"/>
      <c r="MDD45" s="16"/>
      <c r="MDE45" s="16"/>
      <c r="MDF45" s="16"/>
      <c r="MDG45" s="16"/>
      <c r="MDH45" s="16"/>
      <c r="MDI45" s="16"/>
      <c r="MDJ45" s="16"/>
      <c r="MDK45" s="16"/>
      <c r="MDL45" s="16"/>
      <c r="MDM45" s="16"/>
      <c r="MDN45" s="16"/>
      <c r="MDO45" s="16"/>
      <c r="MDP45" s="16"/>
      <c r="MDQ45" s="16"/>
      <c r="MDR45" s="16"/>
      <c r="MDS45" s="16"/>
      <c r="MDT45" s="16"/>
      <c r="MDU45" s="16"/>
      <c r="MDV45" s="16"/>
      <c r="MDW45" s="16"/>
      <c r="MDX45" s="16"/>
      <c r="MDY45" s="16"/>
      <c r="MDZ45" s="16"/>
      <c r="MEA45" s="16"/>
      <c r="MEB45" s="16"/>
      <c r="MEC45" s="16"/>
      <c r="MED45" s="16"/>
      <c r="MEE45" s="16"/>
      <c r="MEF45" s="16"/>
      <c r="MEG45" s="16"/>
      <c r="MEH45" s="16"/>
      <c r="MEI45" s="16"/>
      <c r="MEJ45" s="16"/>
      <c r="MEK45" s="16"/>
      <c r="MEL45" s="16"/>
      <c r="MEM45" s="16"/>
      <c r="MEN45" s="16"/>
      <c r="MEO45" s="16"/>
      <c r="MEP45" s="16"/>
      <c r="MEQ45" s="16"/>
      <c r="MER45" s="16"/>
      <c r="MES45" s="16"/>
      <c r="MET45" s="16"/>
      <c r="MEU45" s="16"/>
      <c r="MEV45" s="16"/>
      <c r="MEW45" s="16"/>
      <c r="MEX45" s="16"/>
      <c r="MEY45" s="16"/>
      <c r="MEZ45" s="16"/>
      <c r="MFA45" s="16"/>
      <c r="MFB45" s="16"/>
      <c r="MFC45" s="16"/>
      <c r="MFD45" s="16"/>
      <c r="MFE45" s="16"/>
      <c r="MFF45" s="16"/>
      <c r="MFG45" s="16"/>
      <c r="MFH45" s="16"/>
      <c r="MFI45" s="16"/>
      <c r="MFJ45" s="16"/>
      <c r="MFK45" s="16"/>
      <c r="MFL45" s="16"/>
      <c r="MFM45" s="16"/>
      <c r="MFN45" s="16"/>
      <c r="MFO45" s="16"/>
      <c r="MFP45" s="16"/>
      <c r="MFQ45" s="16"/>
      <c r="MFR45" s="16"/>
      <c r="MFS45" s="16"/>
      <c r="MFT45" s="16"/>
      <c r="MFU45" s="16"/>
      <c r="MFV45" s="16"/>
      <c r="MFW45" s="16"/>
      <c r="MFX45" s="16"/>
      <c r="MFY45" s="16"/>
      <c r="MFZ45" s="16"/>
      <c r="MGA45" s="16"/>
      <c r="MGB45" s="16"/>
      <c r="MGC45" s="16"/>
      <c r="MGD45" s="16"/>
      <c r="MGE45" s="16"/>
      <c r="MGF45" s="16"/>
      <c r="MGG45" s="16"/>
      <c r="MGH45" s="16"/>
      <c r="MGI45" s="16"/>
      <c r="MGJ45" s="16"/>
      <c r="MGK45" s="16"/>
      <c r="MGL45" s="16"/>
      <c r="MGM45" s="16"/>
      <c r="MGN45" s="16"/>
      <c r="MGO45" s="16"/>
      <c r="MGP45" s="16"/>
      <c r="MGQ45" s="16"/>
      <c r="MGR45" s="16"/>
      <c r="MGS45" s="16"/>
      <c r="MGT45" s="16"/>
      <c r="MGU45" s="16"/>
      <c r="MGV45" s="16"/>
      <c r="MGW45" s="16"/>
      <c r="MGX45" s="16"/>
      <c r="MGY45" s="16"/>
      <c r="MGZ45" s="16"/>
      <c r="MHA45" s="16"/>
      <c r="MHB45" s="16"/>
      <c r="MHC45" s="16"/>
      <c r="MHD45" s="16"/>
      <c r="MHE45" s="16"/>
      <c r="MHF45" s="16"/>
      <c r="MHG45" s="16"/>
      <c r="MHH45" s="16"/>
      <c r="MHI45" s="16"/>
      <c r="MHJ45" s="16"/>
      <c r="MHK45" s="16"/>
      <c r="MHL45" s="16"/>
      <c r="MHM45" s="16"/>
      <c r="MHN45" s="16"/>
      <c r="MHO45" s="16"/>
      <c r="MHP45" s="16"/>
      <c r="MHQ45" s="16"/>
      <c r="MHR45" s="16"/>
      <c r="MHS45" s="16"/>
      <c r="MHT45" s="16"/>
      <c r="MHU45" s="16"/>
      <c r="MHV45" s="16"/>
      <c r="MHW45" s="16"/>
      <c r="MHX45" s="16"/>
      <c r="MHY45" s="16"/>
      <c r="MHZ45" s="16"/>
      <c r="MIA45" s="16"/>
      <c r="MIB45" s="16"/>
      <c r="MIC45" s="16"/>
      <c r="MID45" s="16"/>
      <c r="MIE45" s="16"/>
      <c r="MIF45" s="16"/>
      <c r="MIG45" s="16"/>
      <c r="MIH45" s="16"/>
      <c r="MII45" s="16"/>
      <c r="MIJ45" s="16"/>
      <c r="MIK45" s="16"/>
      <c r="MIL45" s="16"/>
      <c r="MIM45" s="16"/>
      <c r="MIN45" s="16"/>
      <c r="MIO45" s="16"/>
      <c r="MIP45" s="16"/>
      <c r="MIQ45" s="16"/>
      <c r="MIR45" s="16"/>
      <c r="MIS45" s="16"/>
      <c r="MIT45" s="16"/>
      <c r="MIU45" s="16"/>
      <c r="MIV45" s="16"/>
      <c r="MIW45" s="16"/>
      <c r="MIX45" s="16"/>
      <c r="MIY45" s="16"/>
      <c r="MIZ45" s="16"/>
      <c r="MJA45" s="16"/>
      <c r="MJB45" s="16"/>
      <c r="MJC45" s="16"/>
      <c r="MJD45" s="16"/>
      <c r="MJE45" s="16"/>
      <c r="MJF45" s="16"/>
      <c r="MJG45" s="16"/>
      <c r="MJH45" s="16"/>
      <c r="MJI45" s="16"/>
      <c r="MJJ45" s="16"/>
      <c r="MJK45" s="16"/>
      <c r="MJL45" s="16"/>
      <c r="MJM45" s="16"/>
      <c r="MJN45" s="16"/>
      <c r="MJO45" s="16"/>
      <c r="MJP45" s="16"/>
      <c r="MJQ45" s="16"/>
      <c r="MJR45" s="16"/>
      <c r="MJS45" s="16"/>
      <c r="MJT45" s="16"/>
      <c r="MJU45" s="16"/>
      <c r="MJV45" s="16"/>
      <c r="MJW45" s="16"/>
      <c r="MJX45" s="16"/>
      <c r="MJY45" s="16"/>
      <c r="MJZ45" s="16"/>
      <c r="MKA45" s="16"/>
      <c r="MKB45" s="16"/>
      <c r="MKC45" s="16"/>
      <c r="MKD45" s="16"/>
      <c r="MKE45" s="16"/>
      <c r="MKF45" s="16"/>
      <c r="MKG45" s="16"/>
      <c r="MKH45" s="16"/>
      <c r="MKI45" s="16"/>
      <c r="MKJ45" s="16"/>
      <c r="MKK45" s="16"/>
      <c r="MKL45" s="16"/>
      <c r="MKM45" s="16"/>
      <c r="MKN45" s="16"/>
      <c r="MKO45" s="16"/>
      <c r="MKP45" s="16"/>
      <c r="MKQ45" s="16"/>
      <c r="MKR45" s="16"/>
      <c r="MKS45" s="16"/>
      <c r="MKT45" s="16"/>
      <c r="MKU45" s="16"/>
      <c r="MKV45" s="16"/>
      <c r="MKW45" s="16"/>
      <c r="MKX45" s="16"/>
      <c r="MKY45" s="16"/>
      <c r="MKZ45" s="16"/>
      <c r="MLA45" s="16"/>
      <c r="MLB45" s="16"/>
      <c r="MLC45" s="16"/>
      <c r="MLD45" s="16"/>
      <c r="MLE45" s="16"/>
      <c r="MLF45" s="16"/>
      <c r="MLG45" s="16"/>
      <c r="MLH45" s="16"/>
      <c r="MLI45" s="16"/>
      <c r="MLJ45" s="16"/>
      <c r="MLK45" s="16"/>
      <c r="MLL45" s="16"/>
      <c r="MLM45" s="16"/>
      <c r="MLN45" s="16"/>
      <c r="MLO45" s="16"/>
      <c r="MLP45" s="16"/>
      <c r="MLQ45" s="16"/>
      <c r="MLR45" s="16"/>
      <c r="MLS45" s="16"/>
      <c r="MLT45" s="16"/>
      <c r="MLU45" s="16"/>
      <c r="MLV45" s="16"/>
      <c r="MLW45" s="16"/>
      <c r="MLX45" s="16"/>
      <c r="MLY45" s="16"/>
      <c r="MLZ45" s="16"/>
      <c r="MMA45" s="16"/>
      <c r="MMB45" s="16"/>
      <c r="MMC45" s="16"/>
      <c r="MMD45" s="16"/>
      <c r="MME45" s="16"/>
      <c r="MMF45" s="16"/>
      <c r="MMG45" s="16"/>
      <c r="MMH45" s="16"/>
      <c r="MMI45" s="16"/>
      <c r="MMJ45" s="16"/>
      <c r="MMK45" s="16"/>
      <c r="MML45" s="16"/>
      <c r="MMM45" s="16"/>
      <c r="MMN45" s="16"/>
      <c r="MMO45" s="16"/>
      <c r="MMP45" s="16"/>
      <c r="MMQ45" s="16"/>
      <c r="MMR45" s="16"/>
      <c r="MMS45" s="16"/>
      <c r="MMT45" s="16"/>
      <c r="MMU45" s="16"/>
      <c r="MMV45" s="16"/>
      <c r="MMW45" s="16"/>
      <c r="MMX45" s="16"/>
      <c r="MMY45" s="16"/>
      <c r="MMZ45" s="16"/>
      <c r="MNA45" s="16"/>
      <c r="MNB45" s="16"/>
      <c r="MNC45" s="16"/>
      <c r="MND45" s="16"/>
      <c r="MNE45" s="16"/>
      <c r="MNF45" s="16"/>
      <c r="MNG45" s="16"/>
      <c r="MNH45" s="16"/>
      <c r="MNI45" s="16"/>
      <c r="MNJ45" s="16"/>
      <c r="MNK45" s="16"/>
      <c r="MNL45" s="16"/>
      <c r="MNM45" s="16"/>
      <c r="MNN45" s="16"/>
      <c r="MNO45" s="16"/>
      <c r="MNP45" s="16"/>
      <c r="MNQ45" s="16"/>
      <c r="MNR45" s="16"/>
      <c r="MNS45" s="16"/>
      <c r="MNT45" s="16"/>
      <c r="MNU45" s="16"/>
      <c r="MNV45" s="16"/>
      <c r="MNW45" s="16"/>
      <c r="MNX45" s="16"/>
      <c r="MNY45" s="16"/>
      <c r="MNZ45" s="16"/>
      <c r="MOA45" s="16"/>
      <c r="MOB45" s="16"/>
      <c r="MOC45" s="16"/>
      <c r="MOD45" s="16"/>
      <c r="MOE45" s="16"/>
      <c r="MOF45" s="16"/>
      <c r="MOG45" s="16"/>
      <c r="MOH45" s="16"/>
      <c r="MOI45" s="16"/>
      <c r="MOJ45" s="16"/>
      <c r="MOK45" s="16"/>
      <c r="MOL45" s="16"/>
      <c r="MOM45" s="16"/>
      <c r="MON45" s="16"/>
      <c r="MOO45" s="16"/>
      <c r="MOP45" s="16"/>
      <c r="MOQ45" s="16"/>
      <c r="MOR45" s="16"/>
      <c r="MOS45" s="16"/>
      <c r="MOT45" s="16"/>
      <c r="MOU45" s="16"/>
      <c r="MOV45" s="16"/>
      <c r="MOW45" s="16"/>
      <c r="MOX45" s="16"/>
      <c r="MOY45" s="16"/>
      <c r="MOZ45" s="16"/>
      <c r="MPA45" s="16"/>
      <c r="MPB45" s="16"/>
      <c r="MPC45" s="16"/>
      <c r="MPD45" s="16"/>
      <c r="MPE45" s="16"/>
      <c r="MPF45" s="16"/>
      <c r="MPG45" s="16"/>
      <c r="MPH45" s="16"/>
      <c r="MPI45" s="16"/>
      <c r="MPJ45" s="16"/>
      <c r="MPK45" s="16"/>
      <c r="MPL45" s="16"/>
      <c r="MPM45" s="16"/>
      <c r="MPN45" s="16"/>
      <c r="MPO45" s="16"/>
      <c r="MPP45" s="16"/>
      <c r="MPQ45" s="16"/>
      <c r="MPR45" s="16"/>
      <c r="MPS45" s="16"/>
      <c r="MPT45" s="16"/>
      <c r="MPU45" s="16"/>
      <c r="MPV45" s="16"/>
      <c r="MPW45" s="16"/>
      <c r="MPX45" s="16"/>
      <c r="MPY45" s="16"/>
      <c r="MPZ45" s="16"/>
      <c r="MQA45" s="16"/>
      <c r="MQB45" s="16"/>
      <c r="MQC45" s="16"/>
      <c r="MQD45" s="16"/>
      <c r="MQE45" s="16"/>
      <c r="MQF45" s="16"/>
      <c r="MQG45" s="16"/>
      <c r="MQH45" s="16"/>
      <c r="MQI45" s="16"/>
      <c r="MQJ45" s="16"/>
      <c r="MQK45" s="16"/>
      <c r="MQL45" s="16"/>
      <c r="MQM45" s="16"/>
      <c r="MQN45" s="16"/>
      <c r="MQO45" s="16"/>
      <c r="MQP45" s="16"/>
      <c r="MQQ45" s="16"/>
      <c r="MQR45" s="16"/>
      <c r="MQS45" s="16"/>
      <c r="MQT45" s="16"/>
      <c r="MQU45" s="16"/>
      <c r="MQV45" s="16"/>
      <c r="MQW45" s="16"/>
      <c r="MQX45" s="16"/>
      <c r="MQY45" s="16"/>
      <c r="MQZ45" s="16"/>
      <c r="MRA45" s="16"/>
      <c r="MRB45" s="16"/>
      <c r="MRC45" s="16"/>
      <c r="MRD45" s="16"/>
      <c r="MRE45" s="16"/>
      <c r="MRF45" s="16"/>
      <c r="MRG45" s="16"/>
      <c r="MRH45" s="16"/>
      <c r="MRI45" s="16"/>
      <c r="MRJ45" s="16"/>
      <c r="MRK45" s="16"/>
      <c r="MRL45" s="16"/>
      <c r="MRM45" s="16"/>
      <c r="MRN45" s="16"/>
      <c r="MRO45" s="16"/>
      <c r="MRP45" s="16"/>
      <c r="MRQ45" s="16"/>
      <c r="MRR45" s="16"/>
      <c r="MRS45" s="16"/>
      <c r="MRT45" s="16"/>
      <c r="MRU45" s="16"/>
      <c r="MRV45" s="16"/>
      <c r="MRW45" s="16"/>
      <c r="MRX45" s="16"/>
      <c r="MRY45" s="16"/>
      <c r="MRZ45" s="16"/>
      <c r="MSA45" s="16"/>
      <c r="MSB45" s="16"/>
      <c r="MSC45" s="16"/>
      <c r="MSD45" s="16"/>
      <c r="MSE45" s="16"/>
      <c r="MSF45" s="16"/>
      <c r="MSG45" s="16"/>
      <c r="MSH45" s="16"/>
      <c r="MSI45" s="16"/>
      <c r="MSJ45" s="16"/>
      <c r="MSK45" s="16"/>
      <c r="MSL45" s="16"/>
      <c r="MSM45" s="16"/>
      <c r="MSN45" s="16"/>
      <c r="MSO45" s="16"/>
      <c r="MSP45" s="16"/>
      <c r="MSQ45" s="16"/>
      <c r="MSR45" s="16"/>
      <c r="MSS45" s="16"/>
      <c r="MST45" s="16"/>
      <c r="MSU45" s="16"/>
      <c r="MSV45" s="16"/>
      <c r="MSW45" s="16"/>
      <c r="MSX45" s="16"/>
      <c r="MSY45" s="16"/>
      <c r="MSZ45" s="16"/>
      <c r="MTA45" s="16"/>
      <c r="MTB45" s="16"/>
      <c r="MTC45" s="16"/>
      <c r="MTD45" s="16"/>
      <c r="MTE45" s="16"/>
      <c r="MTF45" s="16"/>
      <c r="MTG45" s="16"/>
      <c r="MTH45" s="16"/>
      <c r="MTI45" s="16"/>
      <c r="MTJ45" s="16"/>
      <c r="MTK45" s="16"/>
      <c r="MTL45" s="16"/>
      <c r="MTM45" s="16"/>
      <c r="MTN45" s="16"/>
      <c r="MTO45" s="16"/>
      <c r="MTP45" s="16"/>
      <c r="MTQ45" s="16"/>
      <c r="MTR45" s="16"/>
      <c r="MTS45" s="16"/>
      <c r="MTT45" s="16"/>
      <c r="MTU45" s="16"/>
      <c r="MTV45" s="16"/>
      <c r="MTW45" s="16"/>
      <c r="MTX45" s="16"/>
      <c r="MTY45" s="16"/>
      <c r="MTZ45" s="16"/>
      <c r="MUA45" s="16"/>
      <c r="MUB45" s="16"/>
      <c r="MUC45" s="16"/>
      <c r="MUD45" s="16"/>
      <c r="MUE45" s="16"/>
      <c r="MUF45" s="16"/>
      <c r="MUG45" s="16"/>
      <c r="MUH45" s="16"/>
      <c r="MUI45" s="16"/>
      <c r="MUJ45" s="16"/>
      <c r="MUK45" s="16"/>
      <c r="MUL45" s="16"/>
      <c r="MUM45" s="16"/>
      <c r="MUN45" s="16"/>
      <c r="MUO45" s="16"/>
      <c r="MUP45" s="16"/>
      <c r="MUQ45" s="16"/>
      <c r="MUR45" s="16"/>
      <c r="MUS45" s="16"/>
      <c r="MUT45" s="16"/>
      <c r="MUU45" s="16"/>
      <c r="MUV45" s="16"/>
      <c r="MUW45" s="16"/>
      <c r="MUX45" s="16"/>
      <c r="MUY45" s="16"/>
      <c r="MUZ45" s="16"/>
      <c r="MVA45" s="16"/>
      <c r="MVB45" s="16"/>
      <c r="MVC45" s="16"/>
      <c r="MVD45" s="16"/>
      <c r="MVE45" s="16"/>
      <c r="MVF45" s="16"/>
      <c r="MVG45" s="16"/>
      <c r="MVH45" s="16"/>
      <c r="MVI45" s="16"/>
      <c r="MVJ45" s="16"/>
      <c r="MVK45" s="16"/>
      <c r="MVL45" s="16"/>
      <c r="MVM45" s="16"/>
      <c r="MVN45" s="16"/>
      <c r="MVO45" s="16"/>
      <c r="MVP45" s="16"/>
      <c r="MVQ45" s="16"/>
      <c r="MVR45" s="16"/>
      <c r="MVS45" s="16"/>
      <c r="MVT45" s="16"/>
      <c r="MVU45" s="16"/>
      <c r="MVV45" s="16"/>
      <c r="MVW45" s="16"/>
      <c r="MVX45" s="16"/>
      <c r="MVY45" s="16"/>
      <c r="MVZ45" s="16"/>
      <c r="MWA45" s="16"/>
      <c r="MWB45" s="16"/>
      <c r="MWC45" s="16"/>
      <c r="MWD45" s="16"/>
      <c r="MWE45" s="16"/>
      <c r="MWF45" s="16"/>
      <c r="MWG45" s="16"/>
      <c r="MWH45" s="16"/>
      <c r="MWI45" s="16"/>
      <c r="MWJ45" s="16"/>
      <c r="MWK45" s="16"/>
      <c r="MWL45" s="16"/>
      <c r="MWM45" s="16"/>
      <c r="MWN45" s="16"/>
      <c r="MWO45" s="16"/>
      <c r="MWP45" s="16"/>
      <c r="MWQ45" s="16"/>
      <c r="MWR45" s="16"/>
      <c r="MWS45" s="16"/>
      <c r="MWT45" s="16"/>
      <c r="MWU45" s="16"/>
      <c r="MWV45" s="16"/>
      <c r="MWW45" s="16"/>
      <c r="MWX45" s="16"/>
      <c r="MWY45" s="16"/>
      <c r="MWZ45" s="16"/>
      <c r="MXA45" s="16"/>
      <c r="MXB45" s="16"/>
      <c r="MXC45" s="16"/>
      <c r="MXD45" s="16"/>
      <c r="MXE45" s="16"/>
      <c r="MXF45" s="16"/>
      <c r="MXG45" s="16"/>
      <c r="MXH45" s="16"/>
      <c r="MXI45" s="16"/>
      <c r="MXJ45" s="16"/>
      <c r="MXK45" s="16"/>
      <c r="MXL45" s="16"/>
      <c r="MXM45" s="16"/>
      <c r="MXN45" s="16"/>
      <c r="MXO45" s="16"/>
      <c r="MXP45" s="16"/>
      <c r="MXQ45" s="16"/>
      <c r="MXR45" s="16"/>
      <c r="MXS45" s="16"/>
      <c r="MXT45" s="16"/>
      <c r="MXU45" s="16"/>
      <c r="MXV45" s="16"/>
      <c r="MXW45" s="16"/>
      <c r="MXX45" s="16"/>
      <c r="MXY45" s="16"/>
      <c r="MXZ45" s="16"/>
      <c r="MYA45" s="16"/>
      <c r="MYB45" s="16"/>
      <c r="MYC45" s="16"/>
      <c r="MYD45" s="16"/>
      <c r="MYE45" s="16"/>
      <c r="MYF45" s="16"/>
      <c r="MYG45" s="16"/>
      <c r="MYH45" s="16"/>
      <c r="MYI45" s="16"/>
      <c r="MYJ45" s="16"/>
      <c r="MYK45" s="16"/>
      <c r="MYL45" s="16"/>
      <c r="MYM45" s="16"/>
      <c r="MYN45" s="16"/>
      <c r="MYO45" s="16"/>
      <c r="MYP45" s="16"/>
      <c r="MYQ45" s="16"/>
      <c r="MYR45" s="16"/>
      <c r="MYS45" s="16"/>
      <c r="MYT45" s="16"/>
      <c r="MYU45" s="16"/>
      <c r="MYV45" s="16"/>
      <c r="MYW45" s="16"/>
      <c r="MYX45" s="16"/>
      <c r="MYY45" s="16"/>
      <c r="MYZ45" s="16"/>
      <c r="MZA45" s="16"/>
      <c r="MZB45" s="16"/>
      <c r="MZC45" s="16"/>
      <c r="MZD45" s="16"/>
      <c r="MZE45" s="16"/>
      <c r="MZF45" s="16"/>
      <c r="MZG45" s="16"/>
      <c r="MZH45" s="16"/>
      <c r="MZI45" s="16"/>
      <c r="MZJ45" s="16"/>
      <c r="MZK45" s="16"/>
      <c r="MZL45" s="16"/>
      <c r="MZM45" s="16"/>
      <c r="MZN45" s="16"/>
      <c r="MZO45" s="16"/>
      <c r="MZP45" s="16"/>
      <c r="MZQ45" s="16"/>
      <c r="MZR45" s="16"/>
      <c r="MZS45" s="16"/>
      <c r="MZT45" s="16"/>
      <c r="MZU45" s="16"/>
      <c r="MZV45" s="16"/>
      <c r="MZW45" s="16"/>
      <c r="MZX45" s="16"/>
      <c r="MZY45" s="16"/>
      <c r="MZZ45" s="16"/>
      <c r="NAA45" s="16"/>
      <c r="NAB45" s="16"/>
      <c r="NAC45" s="16"/>
      <c r="NAD45" s="16"/>
      <c r="NAE45" s="16"/>
      <c r="NAF45" s="16"/>
      <c r="NAG45" s="16"/>
      <c r="NAH45" s="16"/>
      <c r="NAI45" s="16"/>
      <c r="NAJ45" s="16"/>
      <c r="NAK45" s="16"/>
      <c r="NAL45" s="16"/>
      <c r="NAM45" s="16"/>
      <c r="NAN45" s="16"/>
      <c r="NAO45" s="16"/>
      <c r="NAP45" s="16"/>
      <c r="NAQ45" s="16"/>
      <c r="NAR45" s="16"/>
      <c r="NAS45" s="16"/>
      <c r="NAT45" s="16"/>
      <c r="NAU45" s="16"/>
      <c r="NAV45" s="16"/>
      <c r="NAW45" s="16"/>
      <c r="NAX45" s="16"/>
      <c r="NAY45" s="16"/>
      <c r="NAZ45" s="16"/>
      <c r="NBA45" s="16"/>
      <c r="NBB45" s="16"/>
      <c r="NBC45" s="16"/>
      <c r="NBD45" s="16"/>
      <c r="NBE45" s="16"/>
      <c r="NBF45" s="16"/>
      <c r="NBG45" s="16"/>
      <c r="NBH45" s="16"/>
      <c r="NBI45" s="16"/>
      <c r="NBJ45" s="16"/>
      <c r="NBK45" s="16"/>
      <c r="NBL45" s="16"/>
      <c r="NBM45" s="16"/>
      <c r="NBN45" s="16"/>
      <c r="NBO45" s="16"/>
      <c r="NBP45" s="16"/>
      <c r="NBQ45" s="16"/>
      <c r="NBR45" s="16"/>
      <c r="NBS45" s="16"/>
      <c r="NBT45" s="16"/>
      <c r="NBU45" s="16"/>
      <c r="NBV45" s="16"/>
      <c r="NBW45" s="16"/>
      <c r="NBX45" s="16"/>
      <c r="NBY45" s="16"/>
      <c r="NBZ45" s="16"/>
      <c r="NCA45" s="16"/>
      <c r="NCB45" s="16"/>
      <c r="NCC45" s="16"/>
      <c r="NCD45" s="16"/>
      <c r="NCE45" s="16"/>
      <c r="NCF45" s="16"/>
      <c r="NCG45" s="16"/>
      <c r="NCH45" s="16"/>
      <c r="NCI45" s="16"/>
      <c r="NCJ45" s="16"/>
      <c r="NCK45" s="16"/>
      <c r="NCL45" s="16"/>
      <c r="NCM45" s="16"/>
      <c r="NCN45" s="16"/>
      <c r="NCO45" s="16"/>
      <c r="NCP45" s="16"/>
      <c r="NCQ45" s="16"/>
      <c r="NCR45" s="16"/>
      <c r="NCS45" s="16"/>
      <c r="NCT45" s="16"/>
      <c r="NCU45" s="16"/>
      <c r="NCV45" s="16"/>
      <c r="NCW45" s="16"/>
      <c r="NCX45" s="16"/>
      <c r="NCY45" s="16"/>
      <c r="NCZ45" s="16"/>
      <c r="NDA45" s="16"/>
      <c r="NDB45" s="16"/>
      <c r="NDC45" s="16"/>
      <c r="NDD45" s="16"/>
      <c r="NDE45" s="16"/>
      <c r="NDF45" s="16"/>
      <c r="NDG45" s="16"/>
      <c r="NDH45" s="16"/>
      <c r="NDI45" s="16"/>
      <c r="NDJ45" s="16"/>
      <c r="NDK45" s="16"/>
      <c r="NDL45" s="16"/>
      <c r="NDM45" s="16"/>
      <c r="NDN45" s="16"/>
      <c r="NDO45" s="16"/>
      <c r="NDP45" s="16"/>
      <c r="NDQ45" s="16"/>
      <c r="NDR45" s="16"/>
      <c r="NDS45" s="16"/>
      <c r="NDT45" s="16"/>
      <c r="NDU45" s="16"/>
      <c r="NDV45" s="16"/>
      <c r="NDW45" s="16"/>
      <c r="NDX45" s="16"/>
      <c r="NDY45" s="16"/>
      <c r="NDZ45" s="16"/>
      <c r="NEA45" s="16"/>
      <c r="NEB45" s="16"/>
      <c r="NEC45" s="16"/>
      <c r="NED45" s="16"/>
      <c r="NEE45" s="16"/>
      <c r="NEF45" s="16"/>
      <c r="NEG45" s="16"/>
      <c r="NEH45" s="16"/>
      <c r="NEI45" s="16"/>
      <c r="NEJ45" s="16"/>
      <c r="NEK45" s="16"/>
      <c r="NEL45" s="16"/>
      <c r="NEM45" s="16"/>
      <c r="NEN45" s="16"/>
      <c r="NEO45" s="16"/>
      <c r="NEP45" s="16"/>
      <c r="NEQ45" s="16"/>
      <c r="NER45" s="16"/>
      <c r="NES45" s="16"/>
      <c r="NET45" s="16"/>
      <c r="NEU45" s="16"/>
      <c r="NEV45" s="16"/>
      <c r="NEW45" s="16"/>
      <c r="NEX45" s="16"/>
      <c r="NEY45" s="16"/>
      <c r="NEZ45" s="16"/>
      <c r="NFA45" s="16"/>
      <c r="NFB45" s="16"/>
      <c r="NFC45" s="16"/>
      <c r="NFD45" s="16"/>
      <c r="NFE45" s="16"/>
      <c r="NFF45" s="16"/>
      <c r="NFG45" s="16"/>
      <c r="NFH45" s="16"/>
      <c r="NFI45" s="16"/>
      <c r="NFJ45" s="16"/>
      <c r="NFK45" s="16"/>
      <c r="NFL45" s="16"/>
      <c r="NFM45" s="16"/>
      <c r="NFN45" s="16"/>
      <c r="NFO45" s="16"/>
      <c r="NFP45" s="16"/>
      <c r="NFQ45" s="16"/>
      <c r="NFR45" s="16"/>
      <c r="NFS45" s="16"/>
      <c r="NFT45" s="16"/>
      <c r="NFU45" s="16"/>
      <c r="NFV45" s="16"/>
      <c r="NFW45" s="16"/>
      <c r="NFX45" s="16"/>
      <c r="NFY45" s="16"/>
      <c r="NFZ45" s="16"/>
      <c r="NGA45" s="16"/>
      <c r="NGB45" s="16"/>
      <c r="NGC45" s="16"/>
      <c r="NGD45" s="16"/>
      <c r="NGE45" s="16"/>
      <c r="NGF45" s="16"/>
      <c r="NGG45" s="16"/>
      <c r="NGH45" s="16"/>
      <c r="NGI45" s="16"/>
      <c r="NGJ45" s="16"/>
      <c r="NGK45" s="16"/>
      <c r="NGL45" s="16"/>
      <c r="NGM45" s="16"/>
      <c r="NGN45" s="16"/>
      <c r="NGO45" s="16"/>
      <c r="NGP45" s="16"/>
      <c r="NGQ45" s="16"/>
      <c r="NGR45" s="16"/>
      <c r="NGS45" s="16"/>
      <c r="NGT45" s="16"/>
      <c r="NGU45" s="16"/>
      <c r="NGV45" s="16"/>
      <c r="NGW45" s="16"/>
      <c r="NGX45" s="16"/>
      <c r="NGY45" s="16"/>
      <c r="NGZ45" s="16"/>
      <c r="NHA45" s="16"/>
      <c r="NHB45" s="16"/>
      <c r="NHC45" s="16"/>
      <c r="NHD45" s="16"/>
      <c r="NHE45" s="16"/>
      <c r="NHF45" s="16"/>
      <c r="NHG45" s="16"/>
      <c r="NHH45" s="16"/>
      <c r="NHI45" s="16"/>
      <c r="NHJ45" s="16"/>
      <c r="NHK45" s="16"/>
      <c r="NHL45" s="16"/>
      <c r="NHM45" s="16"/>
      <c r="NHN45" s="16"/>
      <c r="NHO45" s="16"/>
      <c r="NHP45" s="16"/>
      <c r="NHQ45" s="16"/>
      <c r="NHR45" s="16"/>
      <c r="NHS45" s="16"/>
      <c r="NHT45" s="16"/>
      <c r="NHU45" s="16"/>
      <c r="NHV45" s="16"/>
      <c r="NHW45" s="16"/>
      <c r="NHX45" s="16"/>
      <c r="NHY45" s="16"/>
      <c r="NHZ45" s="16"/>
      <c r="NIA45" s="16"/>
      <c r="NIB45" s="16"/>
      <c r="NIC45" s="16"/>
      <c r="NID45" s="16"/>
      <c r="NIE45" s="16"/>
      <c r="NIF45" s="16"/>
      <c r="NIG45" s="16"/>
      <c r="NIH45" s="16"/>
      <c r="NII45" s="16"/>
      <c r="NIJ45" s="16"/>
      <c r="NIK45" s="16"/>
      <c r="NIL45" s="16"/>
      <c r="NIM45" s="16"/>
      <c r="NIN45" s="16"/>
      <c r="NIO45" s="16"/>
      <c r="NIP45" s="16"/>
      <c r="NIQ45" s="16"/>
      <c r="NIR45" s="16"/>
      <c r="NIS45" s="16"/>
      <c r="NIT45" s="16"/>
      <c r="NIU45" s="16"/>
      <c r="NIV45" s="16"/>
      <c r="NIW45" s="16"/>
      <c r="NIX45" s="16"/>
      <c r="NIY45" s="16"/>
      <c r="NIZ45" s="16"/>
      <c r="NJA45" s="16"/>
      <c r="NJB45" s="16"/>
      <c r="NJC45" s="16"/>
      <c r="NJD45" s="16"/>
      <c r="NJE45" s="16"/>
      <c r="NJF45" s="16"/>
      <c r="NJG45" s="16"/>
      <c r="NJH45" s="16"/>
      <c r="NJI45" s="16"/>
      <c r="NJJ45" s="16"/>
      <c r="NJK45" s="16"/>
      <c r="NJL45" s="16"/>
      <c r="NJM45" s="16"/>
      <c r="NJN45" s="16"/>
      <c r="NJO45" s="16"/>
      <c r="NJP45" s="16"/>
      <c r="NJQ45" s="16"/>
      <c r="NJR45" s="16"/>
      <c r="NJS45" s="16"/>
      <c r="NJT45" s="16"/>
      <c r="NJU45" s="16"/>
      <c r="NJV45" s="16"/>
      <c r="NJW45" s="16"/>
      <c r="NJX45" s="16"/>
      <c r="NJY45" s="16"/>
      <c r="NJZ45" s="16"/>
      <c r="NKA45" s="16"/>
      <c r="NKB45" s="16"/>
      <c r="NKC45" s="16"/>
      <c r="NKD45" s="16"/>
      <c r="NKE45" s="16"/>
      <c r="NKF45" s="16"/>
      <c r="NKG45" s="16"/>
      <c r="NKH45" s="16"/>
      <c r="NKI45" s="16"/>
      <c r="NKJ45" s="16"/>
      <c r="NKK45" s="16"/>
      <c r="NKL45" s="16"/>
      <c r="NKM45" s="16"/>
      <c r="NKN45" s="16"/>
      <c r="NKO45" s="16"/>
      <c r="NKP45" s="16"/>
      <c r="NKQ45" s="16"/>
      <c r="NKR45" s="16"/>
      <c r="NKS45" s="16"/>
      <c r="NKT45" s="16"/>
      <c r="NKU45" s="16"/>
      <c r="NKV45" s="16"/>
      <c r="NKW45" s="16"/>
      <c r="NKX45" s="16"/>
      <c r="NKY45" s="16"/>
      <c r="NKZ45" s="16"/>
      <c r="NLA45" s="16"/>
      <c r="NLB45" s="16"/>
      <c r="NLC45" s="16"/>
      <c r="NLD45" s="16"/>
      <c r="NLE45" s="16"/>
      <c r="NLF45" s="16"/>
      <c r="NLG45" s="16"/>
      <c r="NLH45" s="16"/>
      <c r="NLI45" s="16"/>
      <c r="NLJ45" s="16"/>
      <c r="NLK45" s="16"/>
      <c r="NLL45" s="16"/>
      <c r="NLM45" s="16"/>
      <c r="NLN45" s="16"/>
      <c r="NLO45" s="16"/>
      <c r="NLP45" s="16"/>
      <c r="NLQ45" s="16"/>
      <c r="NLR45" s="16"/>
      <c r="NLS45" s="16"/>
      <c r="NLT45" s="16"/>
      <c r="NLU45" s="16"/>
      <c r="NLV45" s="16"/>
      <c r="NLW45" s="16"/>
      <c r="NLX45" s="16"/>
      <c r="NLY45" s="16"/>
      <c r="NLZ45" s="16"/>
      <c r="NMA45" s="16"/>
      <c r="NMB45" s="16"/>
      <c r="NMC45" s="16"/>
      <c r="NMD45" s="16"/>
      <c r="NME45" s="16"/>
      <c r="NMF45" s="16"/>
      <c r="NMG45" s="16"/>
      <c r="NMH45" s="16"/>
      <c r="NMI45" s="16"/>
      <c r="NMJ45" s="16"/>
      <c r="NMK45" s="16"/>
      <c r="NML45" s="16"/>
      <c r="NMM45" s="16"/>
      <c r="NMN45" s="16"/>
      <c r="NMO45" s="16"/>
      <c r="NMP45" s="16"/>
      <c r="NMQ45" s="16"/>
      <c r="NMR45" s="16"/>
      <c r="NMS45" s="16"/>
      <c r="NMT45" s="16"/>
      <c r="NMU45" s="16"/>
      <c r="NMV45" s="16"/>
      <c r="NMW45" s="16"/>
      <c r="NMX45" s="16"/>
      <c r="NMY45" s="16"/>
      <c r="NMZ45" s="16"/>
      <c r="NNA45" s="16"/>
      <c r="NNB45" s="16"/>
      <c r="NNC45" s="16"/>
      <c r="NND45" s="16"/>
      <c r="NNE45" s="16"/>
      <c r="NNF45" s="16"/>
      <c r="NNG45" s="16"/>
      <c r="NNH45" s="16"/>
      <c r="NNI45" s="16"/>
      <c r="NNJ45" s="16"/>
      <c r="NNK45" s="16"/>
      <c r="NNL45" s="16"/>
      <c r="NNM45" s="16"/>
      <c r="NNN45" s="16"/>
      <c r="NNO45" s="16"/>
      <c r="NNP45" s="16"/>
      <c r="NNQ45" s="16"/>
      <c r="NNR45" s="16"/>
      <c r="NNS45" s="16"/>
      <c r="NNT45" s="16"/>
      <c r="NNU45" s="16"/>
      <c r="NNV45" s="16"/>
      <c r="NNW45" s="16"/>
      <c r="NNX45" s="16"/>
      <c r="NNY45" s="16"/>
      <c r="NNZ45" s="16"/>
      <c r="NOA45" s="16"/>
      <c r="NOB45" s="16"/>
      <c r="NOC45" s="16"/>
      <c r="NOD45" s="16"/>
      <c r="NOE45" s="16"/>
      <c r="NOF45" s="16"/>
      <c r="NOG45" s="16"/>
      <c r="NOH45" s="16"/>
      <c r="NOI45" s="16"/>
      <c r="NOJ45" s="16"/>
      <c r="NOK45" s="16"/>
      <c r="NOL45" s="16"/>
      <c r="NOM45" s="16"/>
      <c r="NON45" s="16"/>
      <c r="NOO45" s="16"/>
      <c r="NOP45" s="16"/>
      <c r="NOQ45" s="16"/>
      <c r="NOR45" s="16"/>
      <c r="NOS45" s="16"/>
      <c r="NOT45" s="16"/>
      <c r="NOU45" s="16"/>
      <c r="NOV45" s="16"/>
      <c r="NOW45" s="16"/>
      <c r="NOX45" s="16"/>
      <c r="NOY45" s="16"/>
      <c r="NOZ45" s="16"/>
      <c r="NPA45" s="16"/>
      <c r="NPB45" s="16"/>
      <c r="NPC45" s="16"/>
      <c r="NPD45" s="16"/>
      <c r="NPE45" s="16"/>
      <c r="NPF45" s="16"/>
      <c r="NPG45" s="16"/>
      <c r="NPH45" s="16"/>
      <c r="NPI45" s="16"/>
      <c r="NPJ45" s="16"/>
      <c r="NPK45" s="16"/>
      <c r="NPL45" s="16"/>
      <c r="NPM45" s="16"/>
      <c r="NPN45" s="16"/>
      <c r="NPO45" s="16"/>
      <c r="NPP45" s="16"/>
      <c r="NPQ45" s="16"/>
      <c r="NPR45" s="16"/>
      <c r="NPS45" s="16"/>
      <c r="NPT45" s="16"/>
      <c r="NPU45" s="16"/>
      <c r="NPV45" s="16"/>
      <c r="NPW45" s="16"/>
      <c r="NPX45" s="16"/>
      <c r="NPY45" s="16"/>
      <c r="NPZ45" s="16"/>
      <c r="NQA45" s="16"/>
      <c r="NQB45" s="16"/>
      <c r="NQC45" s="16"/>
      <c r="NQD45" s="16"/>
      <c r="NQE45" s="16"/>
      <c r="NQF45" s="16"/>
      <c r="NQG45" s="16"/>
      <c r="NQH45" s="16"/>
      <c r="NQI45" s="16"/>
      <c r="NQJ45" s="16"/>
      <c r="NQK45" s="16"/>
      <c r="NQL45" s="16"/>
      <c r="NQM45" s="16"/>
      <c r="NQN45" s="16"/>
      <c r="NQO45" s="16"/>
      <c r="NQP45" s="16"/>
      <c r="NQQ45" s="16"/>
      <c r="NQR45" s="16"/>
      <c r="NQS45" s="16"/>
      <c r="NQT45" s="16"/>
      <c r="NQU45" s="16"/>
      <c r="NQV45" s="16"/>
      <c r="NQW45" s="16"/>
      <c r="NQX45" s="16"/>
      <c r="NQY45" s="16"/>
      <c r="NQZ45" s="16"/>
      <c r="NRA45" s="16"/>
      <c r="NRB45" s="16"/>
      <c r="NRC45" s="16"/>
      <c r="NRD45" s="16"/>
      <c r="NRE45" s="16"/>
      <c r="NRF45" s="16"/>
      <c r="NRG45" s="16"/>
      <c r="NRH45" s="16"/>
      <c r="NRI45" s="16"/>
      <c r="NRJ45" s="16"/>
      <c r="NRK45" s="16"/>
      <c r="NRL45" s="16"/>
      <c r="NRM45" s="16"/>
      <c r="NRN45" s="16"/>
      <c r="NRO45" s="16"/>
      <c r="NRP45" s="16"/>
      <c r="NRQ45" s="16"/>
      <c r="NRR45" s="16"/>
      <c r="NRS45" s="16"/>
      <c r="NRT45" s="16"/>
      <c r="NRU45" s="16"/>
      <c r="NRV45" s="16"/>
      <c r="NRW45" s="16"/>
      <c r="NRX45" s="16"/>
      <c r="NRY45" s="16"/>
      <c r="NRZ45" s="16"/>
      <c r="NSA45" s="16"/>
      <c r="NSB45" s="16"/>
      <c r="NSC45" s="16"/>
      <c r="NSD45" s="16"/>
      <c r="NSE45" s="16"/>
      <c r="NSF45" s="16"/>
      <c r="NSG45" s="16"/>
      <c r="NSH45" s="16"/>
      <c r="NSI45" s="16"/>
      <c r="NSJ45" s="16"/>
      <c r="NSK45" s="16"/>
      <c r="NSL45" s="16"/>
      <c r="NSM45" s="16"/>
      <c r="NSN45" s="16"/>
      <c r="NSO45" s="16"/>
      <c r="NSP45" s="16"/>
      <c r="NSQ45" s="16"/>
      <c r="NSR45" s="16"/>
      <c r="NSS45" s="16"/>
      <c r="NST45" s="16"/>
      <c r="NSU45" s="16"/>
      <c r="NSV45" s="16"/>
      <c r="NSW45" s="16"/>
      <c r="NSX45" s="16"/>
      <c r="NSY45" s="16"/>
      <c r="NSZ45" s="16"/>
      <c r="NTA45" s="16"/>
      <c r="NTB45" s="16"/>
      <c r="NTC45" s="16"/>
      <c r="NTD45" s="16"/>
      <c r="NTE45" s="16"/>
      <c r="NTF45" s="16"/>
      <c r="NTG45" s="16"/>
      <c r="NTH45" s="16"/>
      <c r="NTI45" s="16"/>
      <c r="NTJ45" s="16"/>
      <c r="NTK45" s="16"/>
      <c r="NTL45" s="16"/>
      <c r="NTM45" s="16"/>
      <c r="NTN45" s="16"/>
      <c r="NTO45" s="16"/>
      <c r="NTP45" s="16"/>
      <c r="NTQ45" s="16"/>
      <c r="NTR45" s="16"/>
      <c r="NTS45" s="16"/>
      <c r="NTT45" s="16"/>
      <c r="NTU45" s="16"/>
      <c r="NTV45" s="16"/>
      <c r="NTW45" s="16"/>
      <c r="NTX45" s="16"/>
      <c r="NTY45" s="16"/>
      <c r="NTZ45" s="16"/>
      <c r="NUA45" s="16"/>
      <c r="NUB45" s="16"/>
      <c r="NUC45" s="16"/>
      <c r="NUD45" s="16"/>
      <c r="NUE45" s="16"/>
      <c r="NUF45" s="16"/>
      <c r="NUG45" s="16"/>
      <c r="NUH45" s="16"/>
      <c r="NUI45" s="16"/>
      <c r="NUJ45" s="16"/>
      <c r="NUK45" s="16"/>
      <c r="NUL45" s="16"/>
      <c r="NUM45" s="16"/>
      <c r="NUN45" s="16"/>
      <c r="NUO45" s="16"/>
      <c r="NUP45" s="16"/>
      <c r="NUQ45" s="16"/>
      <c r="NUR45" s="16"/>
      <c r="NUS45" s="16"/>
      <c r="NUT45" s="16"/>
      <c r="NUU45" s="16"/>
      <c r="NUV45" s="16"/>
      <c r="NUW45" s="16"/>
      <c r="NUX45" s="16"/>
      <c r="NUY45" s="16"/>
      <c r="NUZ45" s="16"/>
      <c r="NVA45" s="16"/>
      <c r="NVB45" s="16"/>
      <c r="NVC45" s="16"/>
      <c r="NVD45" s="16"/>
      <c r="NVE45" s="16"/>
      <c r="NVF45" s="16"/>
      <c r="NVG45" s="16"/>
      <c r="NVH45" s="16"/>
      <c r="NVI45" s="16"/>
      <c r="NVJ45" s="16"/>
      <c r="NVK45" s="16"/>
      <c r="NVL45" s="16"/>
      <c r="NVM45" s="16"/>
      <c r="NVN45" s="16"/>
      <c r="NVO45" s="16"/>
      <c r="NVP45" s="16"/>
      <c r="NVQ45" s="16"/>
      <c r="NVR45" s="16"/>
      <c r="NVS45" s="16"/>
      <c r="NVT45" s="16"/>
      <c r="NVU45" s="16"/>
      <c r="NVV45" s="16"/>
      <c r="NVW45" s="16"/>
      <c r="NVX45" s="16"/>
      <c r="NVY45" s="16"/>
      <c r="NVZ45" s="16"/>
      <c r="NWA45" s="16"/>
      <c r="NWB45" s="16"/>
      <c r="NWC45" s="16"/>
      <c r="NWD45" s="16"/>
      <c r="NWE45" s="16"/>
      <c r="NWF45" s="16"/>
      <c r="NWG45" s="16"/>
      <c r="NWH45" s="16"/>
      <c r="NWI45" s="16"/>
      <c r="NWJ45" s="16"/>
      <c r="NWK45" s="16"/>
      <c r="NWL45" s="16"/>
      <c r="NWM45" s="16"/>
      <c r="NWN45" s="16"/>
      <c r="NWO45" s="16"/>
      <c r="NWP45" s="16"/>
      <c r="NWQ45" s="16"/>
      <c r="NWR45" s="16"/>
      <c r="NWS45" s="16"/>
      <c r="NWT45" s="16"/>
      <c r="NWU45" s="16"/>
      <c r="NWV45" s="16"/>
      <c r="NWW45" s="16"/>
      <c r="NWX45" s="16"/>
      <c r="NWY45" s="16"/>
      <c r="NWZ45" s="16"/>
      <c r="NXA45" s="16"/>
      <c r="NXB45" s="16"/>
      <c r="NXC45" s="16"/>
      <c r="NXD45" s="16"/>
      <c r="NXE45" s="16"/>
      <c r="NXF45" s="16"/>
      <c r="NXG45" s="16"/>
      <c r="NXH45" s="16"/>
      <c r="NXI45" s="16"/>
      <c r="NXJ45" s="16"/>
      <c r="NXK45" s="16"/>
      <c r="NXL45" s="16"/>
      <c r="NXM45" s="16"/>
      <c r="NXN45" s="16"/>
      <c r="NXO45" s="16"/>
      <c r="NXP45" s="16"/>
      <c r="NXQ45" s="16"/>
      <c r="NXR45" s="16"/>
      <c r="NXS45" s="16"/>
      <c r="NXT45" s="16"/>
      <c r="NXU45" s="16"/>
      <c r="NXV45" s="16"/>
      <c r="NXW45" s="16"/>
      <c r="NXX45" s="16"/>
      <c r="NXY45" s="16"/>
      <c r="NXZ45" s="16"/>
      <c r="NYA45" s="16"/>
      <c r="NYB45" s="16"/>
      <c r="NYC45" s="16"/>
      <c r="NYD45" s="16"/>
      <c r="NYE45" s="16"/>
      <c r="NYF45" s="16"/>
      <c r="NYG45" s="16"/>
      <c r="NYH45" s="16"/>
      <c r="NYI45" s="16"/>
      <c r="NYJ45" s="16"/>
      <c r="NYK45" s="16"/>
      <c r="NYL45" s="16"/>
      <c r="NYM45" s="16"/>
      <c r="NYN45" s="16"/>
      <c r="NYO45" s="16"/>
      <c r="NYP45" s="16"/>
      <c r="NYQ45" s="16"/>
      <c r="NYR45" s="16"/>
      <c r="NYS45" s="16"/>
      <c r="NYT45" s="16"/>
      <c r="NYU45" s="16"/>
      <c r="NYV45" s="16"/>
      <c r="NYW45" s="16"/>
      <c r="NYX45" s="16"/>
      <c r="NYY45" s="16"/>
      <c r="NYZ45" s="16"/>
      <c r="NZA45" s="16"/>
      <c r="NZB45" s="16"/>
      <c r="NZC45" s="16"/>
      <c r="NZD45" s="16"/>
      <c r="NZE45" s="16"/>
      <c r="NZF45" s="16"/>
      <c r="NZG45" s="16"/>
      <c r="NZH45" s="16"/>
      <c r="NZI45" s="16"/>
      <c r="NZJ45" s="16"/>
      <c r="NZK45" s="16"/>
      <c r="NZL45" s="16"/>
      <c r="NZM45" s="16"/>
      <c r="NZN45" s="16"/>
      <c r="NZO45" s="16"/>
      <c r="NZP45" s="16"/>
      <c r="NZQ45" s="16"/>
      <c r="NZR45" s="16"/>
      <c r="NZS45" s="16"/>
      <c r="NZT45" s="16"/>
      <c r="NZU45" s="16"/>
      <c r="NZV45" s="16"/>
      <c r="NZW45" s="16"/>
      <c r="NZX45" s="16"/>
      <c r="NZY45" s="16"/>
      <c r="NZZ45" s="16"/>
      <c r="OAA45" s="16"/>
      <c r="OAB45" s="16"/>
      <c r="OAC45" s="16"/>
      <c r="OAD45" s="16"/>
      <c r="OAE45" s="16"/>
      <c r="OAF45" s="16"/>
      <c r="OAG45" s="16"/>
      <c r="OAH45" s="16"/>
      <c r="OAI45" s="16"/>
      <c r="OAJ45" s="16"/>
      <c r="OAK45" s="16"/>
      <c r="OAL45" s="16"/>
      <c r="OAM45" s="16"/>
      <c r="OAN45" s="16"/>
      <c r="OAO45" s="16"/>
      <c r="OAP45" s="16"/>
      <c r="OAQ45" s="16"/>
      <c r="OAR45" s="16"/>
      <c r="OAS45" s="16"/>
      <c r="OAT45" s="16"/>
      <c r="OAU45" s="16"/>
      <c r="OAV45" s="16"/>
      <c r="OAW45" s="16"/>
      <c r="OAX45" s="16"/>
      <c r="OAY45" s="16"/>
      <c r="OAZ45" s="16"/>
      <c r="OBA45" s="16"/>
      <c r="OBB45" s="16"/>
      <c r="OBC45" s="16"/>
      <c r="OBD45" s="16"/>
      <c r="OBE45" s="16"/>
      <c r="OBF45" s="16"/>
      <c r="OBG45" s="16"/>
      <c r="OBH45" s="16"/>
      <c r="OBI45" s="16"/>
      <c r="OBJ45" s="16"/>
      <c r="OBK45" s="16"/>
      <c r="OBL45" s="16"/>
      <c r="OBM45" s="16"/>
      <c r="OBN45" s="16"/>
      <c r="OBO45" s="16"/>
      <c r="OBP45" s="16"/>
      <c r="OBQ45" s="16"/>
      <c r="OBR45" s="16"/>
      <c r="OBS45" s="16"/>
      <c r="OBT45" s="16"/>
      <c r="OBU45" s="16"/>
      <c r="OBV45" s="16"/>
      <c r="OBW45" s="16"/>
      <c r="OBX45" s="16"/>
      <c r="OBY45" s="16"/>
      <c r="OBZ45" s="16"/>
      <c r="OCA45" s="16"/>
      <c r="OCB45" s="16"/>
      <c r="OCC45" s="16"/>
      <c r="OCD45" s="16"/>
      <c r="OCE45" s="16"/>
      <c r="OCF45" s="16"/>
      <c r="OCG45" s="16"/>
      <c r="OCH45" s="16"/>
      <c r="OCI45" s="16"/>
      <c r="OCJ45" s="16"/>
      <c r="OCK45" s="16"/>
      <c r="OCL45" s="16"/>
      <c r="OCM45" s="16"/>
      <c r="OCN45" s="16"/>
      <c r="OCO45" s="16"/>
      <c r="OCP45" s="16"/>
      <c r="OCQ45" s="16"/>
      <c r="OCR45" s="16"/>
      <c r="OCS45" s="16"/>
      <c r="OCT45" s="16"/>
      <c r="OCU45" s="16"/>
      <c r="OCV45" s="16"/>
      <c r="OCW45" s="16"/>
      <c r="OCX45" s="16"/>
      <c r="OCY45" s="16"/>
      <c r="OCZ45" s="16"/>
      <c r="ODA45" s="16"/>
      <c r="ODB45" s="16"/>
      <c r="ODC45" s="16"/>
      <c r="ODD45" s="16"/>
      <c r="ODE45" s="16"/>
      <c r="ODF45" s="16"/>
      <c r="ODG45" s="16"/>
      <c r="ODH45" s="16"/>
      <c r="ODI45" s="16"/>
      <c r="ODJ45" s="16"/>
      <c r="ODK45" s="16"/>
      <c r="ODL45" s="16"/>
      <c r="ODM45" s="16"/>
      <c r="ODN45" s="16"/>
      <c r="ODO45" s="16"/>
      <c r="ODP45" s="16"/>
      <c r="ODQ45" s="16"/>
      <c r="ODR45" s="16"/>
      <c r="ODS45" s="16"/>
      <c r="ODT45" s="16"/>
      <c r="ODU45" s="16"/>
      <c r="ODV45" s="16"/>
      <c r="ODW45" s="16"/>
      <c r="ODX45" s="16"/>
      <c r="ODY45" s="16"/>
      <c r="ODZ45" s="16"/>
      <c r="OEA45" s="16"/>
      <c r="OEB45" s="16"/>
      <c r="OEC45" s="16"/>
      <c r="OED45" s="16"/>
      <c r="OEE45" s="16"/>
      <c r="OEF45" s="16"/>
      <c r="OEG45" s="16"/>
      <c r="OEH45" s="16"/>
      <c r="OEI45" s="16"/>
      <c r="OEJ45" s="16"/>
      <c r="OEK45" s="16"/>
      <c r="OEL45" s="16"/>
      <c r="OEM45" s="16"/>
      <c r="OEN45" s="16"/>
      <c r="OEO45" s="16"/>
      <c r="OEP45" s="16"/>
      <c r="OEQ45" s="16"/>
      <c r="OER45" s="16"/>
      <c r="OES45" s="16"/>
      <c r="OET45" s="16"/>
      <c r="OEU45" s="16"/>
      <c r="OEV45" s="16"/>
      <c r="OEW45" s="16"/>
      <c r="OEX45" s="16"/>
      <c r="OEY45" s="16"/>
      <c r="OEZ45" s="16"/>
      <c r="OFA45" s="16"/>
      <c r="OFB45" s="16"/>
      <c r="OFC45" s="16"/>
      <c r="OFD45" s="16"/>
      <c r="OFE45" s="16"/>
      <c r="OFF45" s="16"/>
      <c r="OFG45" s="16"/>
      <c r="OFH45" s="16"/>
      <c r="OFI45" s="16"/>
      <c r="OFJ45" s="16"/>
      <c r="OFK45" s="16"/>
      <c r="OFL45" s="16"/>
      <c r="OFM45" s="16"/>
      <c r="OFN45" s="16"/>
      <c r="OFO45" s="16"/>
      <c r="OFP45" s="16"/>
      <c r="OFQ45" s="16"/>
      <c r="OFR45" s="16"/>
      <c r="OFS45" s="16"/>
      <c r="OFT45" s="16"/>
      <c r="OFU45" s="16"/>
      <c r="OFV45" s="16"/>
      <c r="OFW45" s="16"/>
      <c r="OFX45" s="16"/>
      <c r="OFY45" s="16"/>
      <c r="OFZ45" s="16"/>
      <c r="OGA45" s="16"/>
      <c r="OGB45" s="16"/>
      <c r="OGC45" s="16"/>
      <c r="OGD45" s="16"/>
      <c r="OGE45" s="16"/>
      <c r="OGF45" s="16"/>
      <c r="OGG45" s="16"/>
      <c r="OGH45" s="16"/>
      <c r="OGI45" s="16"/>
      <c r="OGJ45" s="16"/>
      <c r="OGK45" s="16"/>
      <c r="OGL45" s="16"/>
      <c r="OGM45" s="16"/>
      <c r="OGN45" s="16"/>
      <c r="OGO45" s="16"/>
      <c r="OGP45" s="16"/>
      <c r="OGQ45" s="16"/>
      <c r="OGR45" s="16"/>
      <c r="OGS45" s="16"/>
      <c r="OGT45" s="16"/>
      <c r="OGU45" s="16"/>
      <c r="OGV45" s="16"/>
      <c r="OGW45" s="16"/>
      <c r="OGX45" s="16"/>
      <c r="OGY45" s="16"/>
      <c r="OGZ45" s="16"/>
      <c r="OHA45" s="16"/>
      <c r="OHB45" s="16"/>
      <c r="OHC45" s="16"/>
      <c r="OHD45" s="16"/>
      <c r="OHE45" s="16"/>
      <c r="OHF45" s="16"/>
      <c r="OHG45" s="16"/>
      <c r="OHH45" s="16"/>
      <c r="OHI45" s="16"/>
      <c r="OHJ45" s="16"/>
      <c r="OHK45" s="16"/>
      <c r="OHL45" s="16"/>
      <c r="OHM45" s="16"/>
      <c r="OHN45" s="16"/>
      <c r="OHO45" s="16"/>
      <c r="OHP45" s="16"/>
      <c r="OHQ45" s="16"/>
      <c r="OHR45" s="16"/>
      <c r="OHS45" s="16"/>
      <c r="OHT45" s="16"/>
      <c r="OHU45" s="16"/>
      <c r="OHV45" s="16"/>
      <c r="OHW45" s="16"/>
      <c r="OHX45" s="16"/>
      <c r="OHY45" s="16"/>
      <c r="OHZ45" s="16"/>
      <c r="OIA45" s="16"/>
      <c r="OIB45" s="16"/>
      <c r="OIC45" s="16"/>
      <c r="OID45" s="16"/>
      <c r="OIE45" s="16"/>
      <c r="OIF45" s="16"/>
      <c r="OIG45" s="16"/>
      <c r="OIH45" s="16"/>
      <c r="OII45" s="16"/>
      <c r="OIJ45" s="16"/>
      <c r="OIK45" s="16"/>
      <c r="OIL45" s="16"/>
      <c r="OIM45" s="16"/>
      <c r="OIN45" s="16"/>
      <c r="OIO45" s="16"/>
      <c r="OIP45" s="16"/>
      <c r="OIQ45" s="16"/>
      <c r="OIR45" s="16"/>
      <c r="OIS45" s="16"/>
      <c r="OIT45" s="16"/>
      <c r="OIU45" s="16"/>
      <c r="OIV45" s="16"/>
      <c r="OIW45" s="16"/>
      <c r="OIX45" s="16"/>
      <c r="OIY45" s="16"/>
      <c r="OIZ45" s="16"/>
      <c r="OJA45" s="16"/>
      <c r="OJB45" s="16"/>
      <c r="OJC45" s="16"/>
      <c r="OJD45" s="16"/>
      <c r="OJE45" s="16"/>
      <c r="OJF45" s="16"/>
      <c r="OJG45" s="16"/>
      <c r="OJH45" s="16"/>
      <c r="OJI45" s="16"/>
      <c r="OJJ45" s="16"/>
      <c r="OJK45" s="16"/>
      <c r="OJL45" s="16"/>
      <c r="OJM45" s="16"/>
      <c r="OJN45" s="16"/>
      <c r="OJO45" s="16"/>
      <c r="OJP45" s="16"/>
      <c r="OJQ45" s="16"/>
      <c r="OJR45" s="16"/>
      <c r="OJS45" s="16"/>
      <c r="OJT45" s="16"/>
      <c r="OJU45" s="16"/>
      <c r="OJV45" s="16"/>
      <c r="OJW45" s="16"/>
      <c r="OJX45" s="16"/>
      <c r="OJY45" s="16"/>
      <c r="OJZ45" s="16"/>
      <c r="OKA45" s="16"/>
      <c r="OKB45" s="16"/>
      <c r="OKC45" s="16"/>
      <c r="OKD45" s="16"/>
      <c r="OKE45" s="16"/>
      <c r="OKF45" s="16"/>
      <c r="OKG45" s="16"/>
      <c r="OKH45" s="16"/>
      <c r="OKI45" s="16"/>
      <c r="OKJ45" s="16"/>
      <c r="OKK45" s="16"/>
      <c r="OKL45" s="16"/>
      <c r="OKM45" s="16"/>
      <c r="OKN45" s="16"/>
      <c r="OKO45" s="16"/>
      <c r="OKP45" s="16"/>
      <c r="OKQ45" s="16"/>
      <c r="OKR45" s="16"/>
      <c r="OKS45" s="16"/>
      <c r="OKT45" s="16"/>
      <c r="OKU45" s="16"/>
      <c r="OKV45" s="16"/>
      <c r="OKW45" s="16"/>
      <c r="OKX45" s="16"/>
      <c r="OKY45" s="16"/>
      <c r="OKZ45" s="16"/>
      <c r="OLA45" s="16"/>
      <c r="OLB45" s="16"/>
      <c r="OLC45" s="16"/>
      <c r="OLD45" s="16"/>
      <c r="OLE45" s="16"/>
      <c r="OLF45" s="16"/>
      <c r="OLG45" s="16"/>
      <c r="OLH45" s="16"/>
      <c r="OLI45" s="16"/>
      <c r="OLJ45" s="16"/>
      <c r="OLK45" s="16"/>
      <c r="OLL45" s="16"/>
      <c r="OLM45" s="16"/>
      <c r="OLN45" s="16"/>
      <c r="OLO45" s="16"/>
      <c r="OLP45" s="16"/>
      <c r="OLQ45" s="16"/>
      <c r="OLR45" s="16"/>
      <c r="OLS45" s="16"/>
      <c r="OLT45" s="16"/>
      <c r="OLU45" s="16"/>
      <c r="OLV45" s="16"/>
      <c r="OLW45" s="16"/>
      <c r="OLX45" s="16"/>
      <c r="OLY45" s="16"/>
      <c r="OLZ45" s="16"/>
      <c r="OMA45" s="16"/>
      <c r="OMB45" s="16"/>
      <c r="OMC45" s="16"/>
      <c r="OMD45" s="16"/>
      <c r="OME45" s="16"/>
      <c r="OMF45" s="16"/>
      <c r="OMG45" s="16"/>
      <c r="OMH45" s="16"/>
      <c r="OMI45" s="16"/>
      <c r="OMJ45" s="16"/>
      <c r="OMK45" s="16"/>
      <c r="OML45" s="16"/>
      <c r="OMM45" s="16"/>
      <c r="OMN45" s="16"/>
      <c r="OMO45" s="16"/>
      <c r="OMP45" s="16"/>
      <c r="OMQ45" s="16"/>
      <c r="OMR45" s="16"/>
      <c r="OMS45" s="16"/>
      <c r="OMT45" s="16"/>
      <c r="OMU45" s="16"/>
      <c r="OMV45" s="16"/>
      <c r="OMW45" s="16"/>
      <c r="OMX45" s="16"/>
      <c r="OMY45" s="16"/>
      <c r="OMZ45" s="16"/>
      <c r="ONA45" s="16"/>
      <c r="ONB45" s="16"/>
      <c r="ONC45" s="16"/>
      <c r="OND45" s="16"/>
      <c r="ONE45" s="16"/>
      <c r="ONF45" s="16"/>
      <c r="ONG45" s="16"/>
      <c r="ONH45" s="16"/>
      <c r="ONI45" s="16"/>
      <c r="ONJ45" s="16"/>
      <c r="ONK45" s="16"/>
      <c r="ONL45" s="16"/>
      <c r="ONM45" s="16"/>
      <c r="ONN45" s="16"/>
      <c r="ONO45" s="16"/>
      <c r="ONP45" s="16"/>
      <c r="ONQ45" s="16"/>
      <c r="ONR45" s="16"/>
      <c r="ONS45" s="16"/>
      <c r="ONT45" s="16"/>
      <c r="ONU45" s="16"/>
      <c r="ONV45" s="16"/>
      <c r="ONW45" s="16"/>
      <c r="ONX45" s="16"/>
      <c r="ONY45" s="16"/>
      <c r="ONZ45" s="16"/>
      <c r="OOA45" s="16"/>
      <c r="OOB45" s="16"/>
      <c r="OOC45" s="16"/>
      <c r="OOD45" s="16"/>
      <c r="OOE45" s="16"/>
      <c r="OOF45" s="16"/>
      <c r="OOG45" s="16"/>
      <c r="OOH45" s="16"/>
      <c r="OOI45" s="16"/>
      <c r="OOJ45" s="16"/>
      <c r="OOK45" s="16"/>
      <c r="OOL45" s="16"/>
      <c r="OOM45" s="16"/>
      <c r="OON45" s="16"/>
      <c r="OOO45" s="16"/>
      <c r="OOP45" s="16"/>
      <c r="OOQ45" s="16"/>
      <c r="OOR45" s="16"/>
      <c r="OOS45" s="16"/>
      <c r="OOT45" s="16"/>
      <c r="OOU45" s="16"/>
      <c r="OOV45" s="16"/>
      <c r="OOW45" s="16"/>
      <c r="OOX45" s="16"/>
      <c r="OOY45" s="16"/>
      <c r="OOZ45" s="16"/>
      <c r="OPA45" s="16"/>
      <c r="OPB45" s="16"/>
      <c r="OPC45" s="16"/>
      <c r="OPD45" s="16"/>
      <c r="OPE45" s="16"/>
      <c r="OPF45" s="16"/>
      <c r="OPG45" s="16"/>
      <c r="OPH45" s="16"/>
      <c r="OPI45" s="16"/>
      <c r="OPJ45" s="16"/>
      <c r="OPK45" s="16"/>
      <c r="OPL45" s="16"/>
      <c r="OPM45" s="16"/>
      <c r="OPN45" s="16"/>
      <c r="OPO45" s="16"/>
      <c r="OPP45" s="16"/>
      <c r="OPQ45" s="16"/>
      <c r="OPR45" s="16"/>
      <c r="OPS45" s="16"/>
      <c r="OPT45" s="16"/>
      <c r="OPU45" s="16"/>
      <c r="OPV45" s="16"/>
      <c r="OPW45" s="16"/>
      <c r="OPX45" s="16"/>
      <c r="OPY45" s="16"/>
      <c r="OPZ45" s="16"/>
      <c r="OQA45" s="16"/>
      <c r="OQB45" s="16"/>
      <c r="OQC45" s="16"/>
      <c r="OQD45" s="16"/>
      <c r="OQE45" s="16"/>
      <c r="OQF45" s="16"/>
      <c r="OQG45" s="16"/>
      <c r="OQH45" s="16"/>
      <c r="OQI45" s="16"/>
      <c r="OQJ45" s="16"/>
      <c r="OQK45" s="16"/>
      <c r="OQL45" s="16"/>
      <c r="OQM45" s="16"/>
      <c r="OQN45" s="16"/>
      <c r="OQO45" s="16"/>
      <c r="OQP45" s="16"/>
      <c r="OQQ45" s="16"/>
      <c r="OQR45" s="16"/>
      <c r="OQS45" s="16"/>
      <c r="OQT45" s="16"/>
      <c r="OQU45" s="16"/>
      <c r="OQV45" s="16"/>
      <c r="OQW45" s="16"/>
      <c r="OQX45" s="16"/>
      <c r="OQY45" s="16"/>
      <c r="OQZ45" s="16"/>
      <c r="ORA45" s="16"/>
      <c r="ORB45" s="16"/>
      <c r="ORC45" s="16"/>
      <c r="ORD45" s="16"/>
      <c r="ORE45" s="16"/>
      <c r="ORF45" s="16"/>
      <c r="ORG45" s="16"/>
      <c r="ORH45" s="16"/>
      <c r="ORI45" s="16"/>
      <c r="ORJ45" s="16"/>
      <c r="ORK45" s="16"/>
      <c r="ORL45" s="16"/>
      <c r="ORM45" s="16"/>
      <c r="ORN45" s="16"/>
      <c r="ORO45" s="16"/>
      <c r="ORP45" s="16"/>
      <c r="ORQ45" s="16"/>
      <c r="ORR45" s="16"/>
      <c r="ORS45" s="16"/>
      <c r="ORT45" s="16"/>
      <c r="ORU45" s="16"/>
      <c r="ORV45" s="16"/>
      <c r="ORW45" s="16"/>
      <c r="ORX45" s="16"/>
      <c r="ORY45" s="16"/>
      <c r="ORZ45" s="16"/>
      <c r="OSA45" s="16"/>
      <c r="OSB45" s="16"/>
      <c r="OSC45" s="16"/>
      <c r="OSD45" s="16"/>
      <c r="OSE45" s="16"/>
      <c r="OSF45" s="16"/>
      <c r="OSG45" s="16"/>
      <c r="OSH45" s="16"/>
      <c r="OSI45" s="16"/>
      <c r="OSJ45" s="16"/>
      <c r="OSK45" s="16"/>
      <c r="OSL45" s="16"/>
      <c r="OSM45" s="16"/>
      <c r="OSN45" s="16"/>
      <c r="OSO45" s="16"/>
      <c r="OSP45" s="16"/>
      <c r="OSQ45" s="16"/>
      <c r="OSR45" s="16"/>
      <c r="OSS45" s="16"/>
      <c r="OST45" s="16"/>
      <c r="OSU45" s="16"/>
      <c r="OSV45" s="16"/>
      <c r="OSW45" s="16"/>
      <c r="OSX45" s="16"/>
      <c r="OSY45" s="16"/>
      <c r="OSZ45" s="16"/>
      <c r="OTA45" s="16"/>
      <c r="OTB45" s="16"/>
      <c r="OTC45" s="16"/>
      <c r="OTD45" s="16"/>
      <c r="OTE45" s="16"/>
      <c r="OTF45" s="16"/>
      <c r="OTG45" s="16"/>
      <c r="OTH45" s="16"/>
      <c r="OTI45" s="16"/>
      <c r="OTJ45" s="16"/>
      <c r="OTK45" s="16"/>
      <c r="OTL45" s="16"/>
      <c r="OTM45" s="16"/>
      <c r="OTN45" s="16"/>
      <c r="OTO45" s="16"/>
      <c r="OTP45" s="16"/>
      <c r="OTQ45" s="16"/>
      <c r="OTR45" s="16"/>
      <c r="OTS45" s="16"/>
      <c r="OTT45" s="16"/>
      <c r="OTU45" s="16"/>
      <c r="OTV45" s="16"/>
      <c r="OTW45" s="16"/>
      <c r="OTX45" s="16"/>
      <c r="OTY45" s="16"/>
      <c r="OTZ45" s="16"/>
      <c r="OUA45" s="16"/>
      <c r="OUB45" s="16"/>
      <c r="OUC45" s="16"/>
      <c r="OUD45" s="16"/>
      <c r="OUE45" s="16"/>
      <c r="OUF45" s="16"/>
      <c r="OUG45" s="16"/>
      <c r="OUH45" s="16"/>
      <c r="OUI45" s="16"/>
      <c r="OUJ45" s="16"/>
      <c r="OUK45" s="16"/>
      <c r="OUL45" s="16"/>
      <c r="OUM45" s="16"/>
      <c r="OUN45" s="16"/>
      <c r="OUO45" s="16"/>
      <c r="OUP45" s="16"/>
      <c r="OUQ45" s="16"/>
      <c r="OUR45" s="16"/>
      <c r="OUS45" s="16"/>
      <c r="OUT45" s="16"/>
      <c r="OUU45" s="16"/>
      <c r="OUV45" s="16"/>
      <c r="OUW45" s="16"/>
      <c r="OUX45" s="16"/>
      <c r="OUY45" s="16"/>
      <c r="OUZ45" s="16"/>
      <c r="OVA45" s="16"/>
      <c r="OVB45" s="16"/>
      <c r="OVC45" s="16"/>
      <c r="OVD45" s="16"/>
      <c r="OVE45" s="16"/>
      <c r="OVF45" s="16"/>
      <c r="OVG45" s="16"/>
      <c r="OVH45" s="16"/>
      <c r="OVI45" s="16"/>
      <c r="OVJ45" s="16"/>
      <c r="OVK45" s="16"/>
      <c r="OVL45" s="16"/>
      <c r="OVM45" s="16"/>
      <c r="OVN45" s="16"/>
      <c r="OVO45" s="16"/>
      <c r="OVP45" s="16"/>
      <c r="OVQ45" s="16"/>
      <c r="OVR45" s="16"/>
      <c r="OVS45" s="16"/>
      <c r="OVT45" s="16"/>
      <c r="OVU45" s="16"/>
      <c r="OVV45" s="16"/>
      <c r="OVW45" s="16"/>
      <c r="OVX45" s="16"/>
      <c r="OVY45" s="16"/>
      <c r="OVZ45" s="16"/>
      <c r="OWA45" s="16"/>
      <c r="OWB45" s="16"/>
      <c r="OWC45" s="16"/>
      <c r="OWD45" s="16"/>
      <c r="OWE45" s="16"/>
      <c r="OWF45" s="16"/>
      <c r="OWG45" s="16"/>
      <c r="OWH45" s="16"/>
      <c r="OWI45" s="16"/>
      <c r="OWJ45" s="16"/>
      <c r="OWK45" s="16"/>
      <c r="OWL45" s="16"/>
      <c r="OWM45" s="16"/>
      <c r="OWN45" s="16"/>
      <c r="OWO45" s="16"/>
      <c r="OWP45" s="16"/>
      <c r="OWQ45" s="16"/>
      <c r="OWR45" s="16"/>
      <c r="OWS45" s="16"/>
      <c r="OWT45" s="16"/>
      <c r="OWU45" s="16"/>
      <c r="OWV45" s="16"/>
      <c r="OWW45" s="16"/>
      <c r="OWX45" s="16"/>
      <c r="OWY45" s="16"/>
      <c r="OWZ45" s="16"/>
      <c r="OXA45" s="16"/>
      <c r="OXB45" s="16"/>
      <c r="OXC45" s="16"/>
      <c r="OXD45" s="16"/>
      <c r="OXE45" s="16"/>
      <c r="OXF45" s="16"/>
      <c r="OXG45" s="16"/>
      <c r="OXH45" s="16"/>
      <c r="OXI45" s="16"/>
      <c r="OXJ45" s="16"/>
      <c r="OXK45" s="16"/>
      <c r="OXL45" s="16"/>
      <c r="OXM45" s="16"/>
      <c r="OXN45" s="16"/>
      <c r="OXO45" s="16"/>
      <c r="OXP45" s="16"/>
      <c r="OXQ45" s="16"/>
      <c r="OXR45" s="16"/>
      <c r="OXS45" s="16"/>
      <c r="OXT45" s="16"/>
      <c r="OXU45" s="16"/>
      <c r="OXV45" s="16"/>
      <c r="OXW45" s="16"/>
      <c r="OXX45" s="16"/>
      <c r="OXY45" s="16"/>
      <c r="OXZ45" s="16"/>
      <c r="OYA45" s="16"/>
      <c r="OYB45" s="16"/>
      <c r="OYC45" s="16"/>
      <c r="OYD45" s="16"/>
      <c r="OYE45" s="16"/>
      <c r="OYF45" s="16"/>
      <c r="OYG45" s="16"/>
      <c r="OYH45" s="16"/>
      <c r="OYI45" s="16"/>
      <c r="OYJ45" s="16"/>
      <c r="OYK45" s="16"/>
      <c r="OYL45" s="16"/>
      <c r="OYM45" s="16"/>
      <c r="OYN45" s="16"/>
      <c r="OYO45" s="16"/>
      <c r="OYP45" s="16"/>
      <c r="OYQ45" s="16"/>
      <c r="OYR45" s="16"/>
      <c r="OYS45" s="16"/>
      <c r="OYT45" s="16"/>
      <c r="OYU45" s="16"/>
      <c r="OYV45" s="16"/>
      <c r="OYW45" s="16"/>
      <c r="OYX45" s="16"/>
      <c r="OYY45" s="16"/>
      <c r="OYZ45" s="16"/>
      <c r="OZA45" s="16"/>
      <c r="OZB45" s="16"/>
      <c r="OZC45" s="16"/>
      <c r="OZD45" s="16"/>
      <c r="OZE45" s="16"/>
      <c r="OZF45" s="16"/>
      <c r="OZG45" s="16"/>
      <c r="OZH45" s="16"/>
      <c r="OZI45" s="16"/>
      <c r="OZJ45" s="16"/>
      <c r="OZK45" s="16"/>
      <c r="OZL45" s="16"/>
      <c r="OZM45" s="16"/>
      <c r="OZN45" s="16"/>
      <c r="OZO45" s="16"/>
      <c r="OZP45" s="16"/>
      <c r="OZQ45" s="16"/>
      <c r="OZR45" s="16"/>
      <c r="OZS45" s="16"/>
      <c r="OZT45" s="16"/>
      <c r="OZU45" s="16"/>
      <c r="OZV45" s="16"/>
      <c r="OZW45" s="16"/>
      <c r="OZX45" s="16"/>
      <c r="OZY45" s="16"/>
      <c r="OZZ45" s="16"/>
      <c r="PAA45" s="16"/>
      <c r="PAB45" s="16"/>
      <c r="PAC45" s="16"/>
      <c r="PAD45" s="16"/>
      <c r="PAE45" s="16"/>
      <c r="PAF45" s="16"/>
      <c r="PAG45" s="16"/>
      <c r="PAH45" s="16"/>
      <c r="PAI45" s="16"/>
      <c r="PAJ45" s="16"/>
      <c r="PAK45" s="16"/>
      <c r="PAL45" s="16"/>
      <c r="PAM45" s="16"/>
      <c r="PAN45" s="16"/>
      <c r="PAO45" s="16"/>
      <c r="PAP45" s="16"/>
      <c r="PAQ45" s="16"/>
      <c r="PAR45" s="16"/>
      <c r="PAS45" s="16"/>
      <c r="PAT45" s="16"/>
      <c r="PAU45" s="16"/>
      <c r="PAV45" s="16"/>
      <c r="PAW45" s="16"/>
      <c r="PAX45" s="16"/>
      <c r="PAY45" s="16"/>
      <c r="PAZ45" s="16"/>
      <c r="PBA45" s="16"/>
      <c r="PBB45" s="16"/>
      <c r="PBC45" s="16"/>
      <c r="PBD45" s="16"/>
      <c r="PBE45" s="16"/>
      <c r="PBF45" s="16"/>
      <c r="PBG45" s="16"/>
      <c r="PBH45" s="16"/>
      <c r="PBI45" s="16"/>
      <c r="PBJ45" s="16"/>
      <c r="PBK45" s="16"/>
      <c r="PBL45" s="16"/>
      <c r="PBM45" s="16"/>
      <c r="PBN45" s="16"/>
      <c r="PBO45" s="16"/>
      <c r="PBP45" s="16"/>
      <c r="PBQ45" s="16"/>
      <c r="PBR45" s="16"/>
      <c r="PBS45" s="16"/>
      <c r="PBT45" s="16"/>
      <c r="PBU45" s="16"/>
      <c r="PBV45" s="16"/>
      <c r="PBW45" s="16"/>
      <c r="PBX45" s="16"/>
      <c r="PBY45" s="16"/>
      <c r="PBZ45" s="16"/>
      <c r="PCA45" s="16"/>
      <c r="PCB45" s="16"/>
      <c r="PCC45" s="16"/>
      <c r="PCD45" s="16"/>
      <c r="PCE45" s="16"/>
      <c r="PCF45" s="16"/>
      <c r="PCG45" s="16"/>
      <c r="PCH45" s="16"/>
      <c r="PCI45" s="16"/>
      <c r="PCJ45" s="16"/>
      <c r="PCK45" s="16"/>
      <c r="PCL45" s="16"/>
      <c r="PCM45" s="16"/>
      <c r="PCN45" s="16"/>
      <c r="PCO45" s="16"/>
      <c r="PCP45" s="16"/>
      <c r="PCQ45" s="16"/>
      <c r="PCR45" s="16"/>
      <c r="PCS45" s="16"/>
      <c r="PCT45" s="16"/>
      <c r="PCU45" s="16"/>
      <c r="PCV45" s="16"/>
      <c r="PCW45" s="16"/>
      <c r="PCX45" s="16"/>
      <c r="PCY45" s="16"/>
      <c r="PCZ45" s="16"/>
      <c r="PDA45" s="16"/>
      <c r="PDB45" s="16"/>
      <c r="PDC45" s="16"/>
      <c r="PDD45" s="16"/>
      <c r="PDE45" s="16"/>
      <c r="PDF45" s="16"/>
      <c r="PDG45" s="16"/>
      <c r="PDH45" s="16"/>
      <c r="PDI45" s="16"/>
      <c r="PDJ45" s="16"/>
      <c r="PDK45" s="16"/>
      <c r="PDL45" s="16"/>
      <c r="PDM45" s="16"/>
      <c r="PDN45" s="16"/>
      <c r="PDO45" s="16"/>
      <c r="PDP45" s="16"/>
      <c r="PDQ45" s="16"/>
      <c r="PDR45" s="16"/>
      <c r="PDS45" s="16"/>
      <c r="PDT45" s="16"/>
      <c r="PDU45" s="16"/>
      <c r="PDV45" s="16"/>
      <c r="PDW45" s="16"/>
      <c r="PDX45" s="16"/>
      <c r="PDY45" s="16"/>
      <c r="PDZ45" s="16"/>
      <c r="PEA45" s="16"/>
      <c r="PEB45" s="16"/>
      <c r="PEC45" s="16"/>
      <c r="PED45" s="16"/>
      <c r="PEE45" s="16"/>
      <c r="PEF45" s="16"/>
      <c r="PEG45" s="16"/>
      <c r="PEH45" s="16"/>
      <c r="PEI45" s="16"/>
      <c r="PEJ45" s="16"/>
      <c r="PEK45" s="16"/>
      <c r="PEL45" s="16"/>
      <c r="PEM45" s="16"/>
      <c r="PEN45" s="16"/>
      <c r="PEO45" s="16"/>
      <c r="PEP45" s="16"/>
      <c r="PEQ45" s="16"/>
      <c r="PER45" s="16"/>
      <c r="PES45" s="16"/>
      <c r="PET45" s="16"/>
      <c r="PEU45" s="16"/>
      <c r="PEV45" s="16"/>
      <c r="PEW45" s="16"/>
      <c r="PEX45" s="16"/>
      <c r="PEY45" s="16"/>
      <c r="PEZ45" s="16"/>
      <c r="PFA45" s="16"/>
      <c r="PFB45" s="16"/>
      <c r="PFC45" s="16"/>
      <c r="PFD45" s="16"/>
      <c r="PFE45" s="16"/>
      <c r="PFF45" s="16"/>
      <c r="PFG45" s="16"/>
      <c r="PFH45" s="16"/>
      <c r="PFI45" s="16"/>
      <c r="PFJ45" s="16"/>
      <c r="PFK45" s="16"/>
      <c r="PFL45" s="16"/>
      <c r="PFM45" s="16"/>
      <c r="PFN45" s="16"/>
      <c r="PFO45" s="16"/>
      <c r="PFP45" s="16"/>
      <c r="PFQ45" s="16"/>
      <c r="PFR45" s="16"/>
      <c r="PFS45" s="16"/>
      <c r="PFT45" s="16"/>
      <c r="PFU45" s="16"/>
      <c r="PFV45" s="16"/>
      <c r="PFW45" s="16"/>
      <c r="PFX45" s="16"/>
      <c r="PFY45" s="16"/>
      <c r="PFZ45" s="16"/>
      <c r="PGA45" s="16"/>
      <c r="PGB45" s="16"/>
      <c r="PGC45" s="16"/>
      <c r="PGD45" s="16"/>
      <c r="PGE45" s="16"/>
      <c r="PGF45" s="16"/>
      <c r="PGG45" s="16"/>
      <c r="PGH45" s="16"/>
      <c r="PGI45" s="16"/>
      <c r="PGJ45" s="16"/>
      <c r="PGK45" s="16"/>
      <c r="PGL45" s="16"/>
      <c r="PGM45" s="16"/>
      <c r="PGN45" s="16"/>
      <c r="PGO45" s="16"/>
      <c r="PGP45" s="16"/>
      <c r="PGQ45" s="16"/>
      <c r="PGR45" s="16"/>
      <c r="PGS45" s="16"/>
      <c r="PGT45" s="16"/>
      <c r="PGU45" s="16"/>
      <c r="PGV45" s="16"/>
      <c r="PGW45" s="16"/>
      <c r="PGX45" s="16"/>
      <c r="PGY45" s="16"/>
      <c r="PGZ45" s="16"/>
      <c r="PHA45" s="16"/>
      <c r="PHB45" s="16"/>
      <c r="PHC45" s="16"/>
      <c r="PHD45" s="16"/>
      <c r="PHE45" s="16"/>
      <c r="PHF45" s="16"/>
      <c r="PHG45" s="16"/>
      <c r="PHH45" s="16"/>
      <c r="PHI45" s="16"/>
      <c r="PHJ45" s="16"/>
      <c r="PHK45" s="16"/>
      <c r="PHL45" s="16"/>
      <c r="PHM45" s="16"/>
      <c r="PHN45" s="16"/>
      <c r="PHO45" s="16"/>
      <c r="PHP45" s="16"/>
      <c r="PHQ45" s="16"/>
      <c r="PHR45" s="16"/>
      <c r="PHS45" s="16"/>
      <c r="PHT45" s="16"/>
      <c r="PHU45" s="16"/>
      <c r="PHV45" s="16"/>
      <c r="PHW45" s="16"/>
      <c r="PHX45" s="16"/>
      <c r="PHY45" s="16"/>
      <c r="PHZ45" s="16"/>
      <c r="PIA45" s="16"/>
      <c r="PIB45" s="16"/>
      <c r="PIC45" s="16"/>
      <c r="PID45" s="16"/>
      <c r="PIE45" s="16"/>
      <c r="PIF45" s="16"/>
      <c r="PIG45" s="16"/>
      <c r="PIH45" s="16"/>
      <c r="PII45" s="16"/>
      <c r="PIJ45" s="16"/>
      <c r="PIK45" s="16"/>
      <c r="PIL45" s="16"/>
      <c r="PIM45" s="16"/>
      <c r="PIN45" s="16"/>
      <c r="PIO45" s="16"/>
      <c r="PIP45" s="16"/>
      <c r="PIQ45" s="16"/>
      <c r="PIR45" s="16"/>
      <c r="PIS45" s="16"/>
      <c r="PIT45" s="16"/>
      <c r="PIU45" s="16"/>
      <c r="PIV45" s="16"/>
      <c r="PIW45" s="16"/>
      <c r="PIX45" s="16"/>
      <c r="PIY45" s="16"/>
      <c r="PIZ45" s="16"/>
      <c r="PJA45" s="16"/>
      <c r="PJB45" s="16"/>
      <c r="PJC45" s="16"/>
      <c r="PJD45" s="16"/>
      <c r="PJE45" s="16"/>
      <c r="PJF45" s="16"/>
      <c r="PJG45" s="16"/>
      <c r="PJH45" s="16"/>
      <c r="PJI45" s="16"/>
      <c r="PJJ45" s="16"/>
      <c r="PJK45" s="16"/>
      <c r="PJL45" s="16"/>
      <c r="PJM45" s="16"/>
      <c r="PJN45" s="16"/>
      <c r="PJO45" s="16"/>
      <c r="PJP45" s="16"/>
      <c r="PJQ45" s="16"/>
      <c r="PJR45" s="16"/>
      <c r="PJS45" s="16"/>
      <c r="PJT45" s="16"/>
      <c r="PJU45" s="16"/>
      <c r="PJV45" s="16"/>
      <c r="PJW45" s="16"/>
      <c r="PJX45" s="16"/>
      <c r="PJY45" s="16"/>
      <c r="PJZ45" s="16"/>
      <c r="PKA45" s="16"/>
      <c r="PKB45" s="16"/>
      <c r="PKC45" s="16"/>
      <c r="PKD45" s="16"/>
      <c r="PKE45" s="16"/>
      <c r="PKF45" s="16"/>
      <c r="PKG45" s="16"/>
      <c r="PKH45" s="16"/>
      <c r="PKI45" s="16"/>
      <c r="PKJ45" s="16"/>
      <c r="PKK45" s="16"/>
      <c r="PKL45" s="16"/>
      <c r="PKM45" s="16"/>
      <c r="PKN45" s="16"/>
      <c r="PKO45" s="16"/>
      <c r="PKP45" s="16"/>
      <c r="PKQ45" s="16"/>
      <c r="PKR45" s="16"/>
      <c r="PKS45" s="16"/>
      <c r="PKT45" s="16"/>
      <c r="PKU45" s="16"/>
      <c r="PKV45" s="16"/>
      <c r="PKW45" s="16"/>
      <c r="PKX45" s="16"/>
      <c r="PKY45" s="16"/>
      <c r="PKZ45" s="16"/>
      <c r="PLA45" s="16"/>
      <c r="PLB45" s="16"/>
      <c r="PLC45" s="16"/>
      <c r="PLD45" s="16"/>
      <c r="PLE45" s="16"/>
      <c r="PLF45" s="16"/>
      <c r="PLG45" s="16"/>
      <c r="PLH45" s="16"/>
      <c r="PLI45" s="16"/>
      <c r="PLJ45" s="16"/>
      <c r="PLK45" s="16"/>
      <c r="PLL45" s="16"/>
      <c r="PLM45" s="16"/>
      <c r="PLN45" s="16"/>
      <c r="PLO45" s="16"/>
      <c r="PLP45" s="16"/>
      <c r="PLQ45" s="16"/>
      <c r="PLR45" s="16"/>
      <c r="PLS45" s="16"/>
      <c r="PLT45" s="16"/>
      <c r="PLU45" s="16"/>
      <c r="PLV45" s="16"/>
      <c r="PLW45" s="16"/>
      <c r="PLX45" s="16"/>
      <c r="PLY45" s="16"/>
      <c r="PLZ45" s="16"/>
      <c r="PMA45" s="16"/>
      <c r="PMB45" s="16"/>
      <c r="PMC45" s="16"/>
      <c r="PMD45" s="16"/>
      <c r="PME45" s="16"/>
      <c r="PMF45" s="16"/>
      <c r="PMG45" s="16"/>
      <c r="PMH45" s="16"/>
      <c r="PMI45" s="16"/>
      <c r="PMJ45" s="16"/>
      <c r="PMK45" s="16"/>
      <c r="PML45" s="16"/>
      <c r="PMM45" s="16"/>
      <c r="PMN45" s="16"/>
      <c r="PMO45" s="16"/>
      <c r="PMP45" s="16"/>
      <c r="PMQ45" s="16"/>
      <c r="PMR45" s="16"/>
      <c r="PMS45" s="16"/>
      <c r="PMT45" s="16"/>
      <c r="PMU45" s="16"/>
      <c r="PMV45" s="16"/>
      <c r="PMW45" s="16"/>
      <c r="PMX45" s="16"/>
      <c r="PMY45" s="16"/>
      <c r="PMZ45" s="16"/>
      <c r="PNA45" s="16"/>
      <c r="PNB45" s="16"/>
      <c r="PNC45" s="16"/>
      <c r="PND45" s="16"/>
      <c r="PNE45" s="16"/>
      <c r="PNF45" s="16"/>
      <c r="PNG45" s="16"/>
      <c r="PNH45" s="16"/>
      <c r="PNI45" s="16"/>
      <c r="PNJ45" s="16"/>
      <c r="PNK45" s="16"/>
      <c r="PNL45" s="16"/>
      <c r="PNM45" s="16"/>
      <c r="PNN45" s="16"/>
      <c r="PNO45" s="16"/>
      <c r="PNP45" s="16"/>
      <c r="PNQ45" s="16"/>
      <c r="PNR45" s="16"/>
      <c r="PNS45" s="16"/>
      <c r="PNT45" s="16"/>
      <c r="PNU45" s="16"/>
      <c r="PNV45" s="16"/>
      <c r="PNW45" s="16"/>
      <c r="PNX45" s="16"/>
      <c r="PNY45" s="16"/>
      <c r="PNZ45" s="16"/>
      <c r="POA45" s="16"/>
      <c r="POB45" s="16"/>
      <c r="POC45" s="16"/>
      <c r="POD45" s="16"/>
      <c r="POE45" s="16"/>
      <c r="POF45" s="16"/>
      <c r="POG45" s="16"/>
      <c r="POH45" s="16"/>
      <c r="POI45" s="16"/>
      <c r="POJ45" s="16"/>
      <c r="POK45" s="16"/>
      <c r="POL45" s="16"/>
      <c r="POM45" s="16"/>
      <c r="PON45" s="16"/>
      <c r="POO45" s="16"/>
      <c r="POP45" s="16"/>
      <c r="POQ45" s="16"/>
      <c r="POR45" s="16"/>
      <c r="POS45" s="16"/>
      <c r="POT45" s="16"/>
      <c r="POU45" s="16"/>
      <c r="POV45" s="16"/>
      <c r="POW45" s="16"/>
      <c r="POX45" s="16"/>
      <c r="POY45" s="16"/>
      <c r="POZ45" s="16"/>
      <c r="PPA45" s="16"/>
      <c r="PPB45" s="16"/>
      <c r="PPC45" s="16"/>
      <c r="PPD45" s="16"/>
      <c r="PPE45" s="16"/>
      <c r="PPF45" s="16"/>
      <c r="PPG45" s="16"/>
      <c r="PPH45" s="16"/>
      <c r="PPI45" s="16"/>
      <c r="PPJ45" s="16"/>
      <c r="PPK45" s="16"/>
      <c r="PPL45" s="16"/>
      <c r="PPM45" s="16"/>
      <c r="PPN45" s="16"/>
      <c r="PPO45" s="16"/>
      <c r="PPP45" s="16"/>
      <c r="PPQ45" s="16"/>
      <c r="PPR45" s="16"/>
      <c r="PPS45" s="16"/>
      <c r="PPT45" s="16"/>
      <c r="PPU45" s="16"/>
      <c r="PPV45" s="16"/>
      <c r="PPW45" s="16"/>
      <c r="PPX45" s="16"/>
      <c r="PPY45" s="16"/>
      <c r="PPZ45" s="16"/>
      <c r="PQA45" s="16"/>
      <c r="PQB45" s="16"/>
      <c r="PQC45" s="16"/>
      <c r="PQD45" s="16"/>
      <c r="PQE45" s="16"/>
      <c r="PQF45" s="16"/>
      <c r="PQG45" s="16"/>
      <c r="PQH45" s="16"/>
      <c r="PQI45" s="16"/>
      <c r="PQJ45" s="16"/>
      <c r="PQK45" s="16"/>
      <c r="PQL45" s="16"/>
      <c r="PQM45" s="16"/>
      <c r="PQN45" s="16"/>
      <c r="PQO45" s="16"/>
      <c r="PQP45" s="16"/>
      <c r="PQQ45" s="16"/>
      <c r="PQR45" s="16"/>
      <c r="PQS45" s="16"/>
      <c r="PQT45" s="16"/>
      <c r="PQU45" s="16"/>
      <c r="PQV45" s="16"/>
      <c r="PQW45" s="16"/>
      <c r="PQX45" s="16"/>
      <c r="PQY45" s="16"/>
      <c r="PQZ45" s="16"/>
      <c r="PRA45" s="16"/>
      <c r="PRB45" s="16"/>
      <c r="PRC45" s="16"/>
      <c r="PRD45" s="16"/>
      <c r="PRE45" s="16"/>
      <c r="PRF45" s="16"/>
      <c r="PRG45" s="16"/>
      <c r="PRH45" s="16"/>
      <c r="PRI45" s="16"/>
      <c r="PRJ45" s="16"/>
      <c r="PRK45" s="16"/>
      <c r="PRL45" s="16"/>
      <c r="PRM45" s="16"/>
      <c r="PRN45" s="16"/>
      <c r="PRO45" s="16"/>
      <c r="PRP45" s="16"/>
      <c r="PRQ45" s="16"/>
      <c r="PRR45" s="16"/>
      <c r="PRS45" s="16"/>
      <c r="PRT45" s="16"/>
      <c r="PRU45" s="16"/>
      <c r="PRV45" s="16"/>
      <c r="PRW45" s="16"/>
      <c r="PRX45" s="16"/>
      <c r="PRY45" s="16"/>
      <c r="PRZ45" s="16"/>
      <c r="PSA45" s="16"/>
      <c r="PSB45" s="16"/>
      <c r="PSC45" s="16"/>
      <c r="PSD45" s="16"/>
      <c r="PSE45" s="16"/>
      <c r="PSF45" s="16"/>
      <c r="PSG45" s="16"/>
      <c r="PSH45" s="16"/>
      <c r="PSI45" s="16"/>
      <c r="PSJ45" s="16"/>
      <c r="PSK45" s="16"/>
      <c r="PSL45" s="16"/>
      <c r="PSM45" s="16"/>
      <c r="PSN45" s="16"/>
      <c r="PSO45" s="16"/>
      <c r="PSP45" s="16"/>
      <c r="PSQ45" s="16"/>
      <c r="PSR45" s="16"/>
      <c r="PSS45" s="16"/>
      <c r="PST45" s="16"/>
      <c r="PSU45" s="16"/>
      <c r="PSV45" s="16"/>
      <c r="PSW45" s="16"/>
      <c r="PSX45" s="16"/>
      <c r="PSY45" s="16"/>
      <c r="PSZ45" s="16"/>
      <c r="PTA45" s="16"/>
      <c r="PTB45" s="16"/>
      <c r="PTC45" s="16"/>
      <c r="PTD45" s="16"/>
      <c r="PTE45" s="16"/>
      <c r="PTF45" s="16"/>
      <c r="PTG45" s="16"/>
      <c r="PTH45" s="16"/>
      <c r="PTI45" s="16"/>
      <c r="PTJ45" s="16"/>
      <c r="PTK45" s="16"/>
      <c r="PTL45" s="16"/>
      <c r="PTM45" s="16"/>
      <c r="PTN45" s="16"/>
      <c r="PTO45" s="16"/>
      <c r="PTP45" s="16"/>
      <c r="PTQ45" s="16"/>
      <c r="PTR45" s="16"/>
      <c r="PTS45" s="16"/>
      <c r="PTT45" s="16"/>
      <c r="PTU45" s="16"/>
      <c r="PTV45" s="16"/>
      <c r="PTW45" s="16"/>
      <c r="PTX45" s="16"/>
      <c r="PTY45" s="16"/>
      <c r="PTZ45" s="16"/>
      <c r="PUA45" s="16"/>
      <c r="PUB45" s="16"/>
      <c r="PUC45" s="16"/>
      <c r="PUD45" s="16"/>
      <c r="PUE45" s="16"/>
      <c r="PUF45" s="16"/>
      <c r="PUG45" s="16"/>
      <c r="PUH45" s="16"/>
      <c r="PUI45" s="16"/>
      <c r="PUJ45" s="16"/>
      <c r="PUK45" s="16"/>
      <c r="PUL45" s="16"/>
      <c r="PUM45" s="16"/>
      <c r="PUN45" s="16"/>
      <c r="PUO45" s="16"/>
      <c r="PUP45" s="16"/>
      <c r="PUQ45" s="16"/>
      <c r="PUR45" s="16"/>
      <c r="PUS45" s="16"/>
      <c r="PUT45" s="16"/>
      <c r="PUU45" s="16"/>
      <c r="PUV45" s="16"/>
      <c r="PUW45" s="16"/>
      <c r="PUX45" s="16"/>
      <c r="PUY45" s="16"/>
      <c r="PUZ45" s="16"/>
      <c r="PVA45" s="16"/>
      <c r="PVB45" s="16"/>
      <c r="PVC45" s="16"/>
      <c r="PVD45" s="16"/>
      <c r="PVE45" s="16"/>
      <c r="PVF45" s="16"/>
      <c r="PVG45" s="16"/>
      <c r="PVH45" s="16"/>
      <c r="PVI45" s="16"/>
      <c r="PVJ45" s="16"/>
      <c r="PVK45" s="16"/>
      <c r="PVL45" s="16"/>
      <c r="PVM45" s="16"/>
      <c r="PVN45" s="16"/>
      <c r="PVO45" s="16"/>
      <c r="PVP45" s="16"/>
      <c r="PVQ45" s="16"/>
      <c r="PVR45" s="16"/>
      <c r="PVS45" s="16"/>
      <c r="PVT45" s="16"/>
      <c r="PVU45" s="16"/>
      <c r="PVV45" s="16"/>
      <c r="PVW45" s="16"/>
      <c r="PVX45" s="16"/>
      <c r="PVY45" s="16"/>
      <c r="PVZ45" s="16"/>
      <c r="PWA45" s="16"/>
      <c r="PWB45" s="16"/>
      <c r="PWC45" s="16"/>
      <c r="PWD45" s="16"/>
      <c r="PWE45" s="16"/>
      <c r="PWF45" s="16"/>
      <c r="PWG45" s="16"/>
      <c r="PWH45" s="16"/>
      <c r="PWI45" s="16"/>
      <c r="PWJ45" s="16"/>
      <c r="PWK45" s="16"/>
      <c r="PWL45" s="16"/>
      <c r="PWM45" s="16"/>
      <c r="PWN45" s="16"/>
      <c r="PWO45" s="16"/>
      <c r="PWP45" s="16"/>
      <c r="PWQ45" s="16"/>
      <c r="PWR45" s="16"/>
      <c r="PWS45" s="16"/>
      <c r="PWT45" s="16"/>
      <c r="PWU45" s="16"/>
      <c r="PWV45" s="16"/>
      <c r="PWW45" s="16"/>
      <c r="PWX45" s="16"/>
      <c r="PWY45" s="16"/>
      <c r="PWZ45" s="16"/>
      <c r="PXA45" s="16"/>
      <c r="PXB45" s="16"/>
      <c r="PXC45" s="16"/>
      <c r="PXD45" s="16"/>
      <c r="PXE45" s="16"/>
      <c r="PXF45" s="16"/>
      <c r="PXG45" s="16"/>
      <c r="PXH45" s="16"/>
      <c r="PXI45" s="16"/>
      <c r="PXJ45" s="16"/>
      <c r="PXK45" s="16"/>
      <c r="PXL45" s="16"/>
      <c r="PXM45" s="16"/>
      <c r="PXN45" s="16"/>
      <c r="PXO45" s="16"/>
      <c r="PXP45" s="16"/>
      <c r="PXQ45" s="16"/>
      <c r="PXR45" s="16"/>
      <c r="PXS45" s="16"/>
      <c r="PXT45" s="16"/>
      <c r="PXU45" s="16"/>
      <c r="PXV45" s="16"/>
      <c r="PXW45" s="16"/>
      <c r="PXX45" s="16"/>
      <c r="PXY45" s="16"/>
      <c r="PXZ45" s="16"/>
      <c r="PYA45" s="16"/>
      <c r="PYB45" s="16"/>
      <c r="PYC45" s="16"/>
      <c r="PYD45" s="16"/>
      <c r="PYE45" s="16"/>
      <c r="PYF45" s="16"/>
      <c r="PYG45" s="16"/>
      <c r="PYH45" s="16"/>
      <c r="PYI45" s="16"/>
      <c r="PYJ45" s="16"/>
      <c r="PYK45" s="16"/>
      <c r="PYL45" s="16"/>
      <c r="PYM45" s="16"/>
      <c r="PYN45" s="16"/>
      <c r="PYO45" s="16"/>
      <c r="PYP45" s="16"/>
      <c r="PYQ45" s="16"/>
      <c r="PYR45" s="16"/>
      <c r="PYS45" s="16"/>
      <c r="PYT45" s="16"/>
      <c r="PYU45" s="16"/>
      <c r="PYV45" s="16"/>
      <c r="PYW45" s="16"/>
      <c r="PYX45" s="16"/>
      <c r="PYY45" s="16"/>
      <c r="PYZ45" s="16"/>
      <c r="PZA45" s="16"/>
      <c r="PZB45" s="16"/>
      <c r="PZC45" s="16"/>
      <c r="PZD45" s="16"/>
      <c r="PZE45" s="16"/>
      <c r="PZF45" s="16"/>
      <c r="PZG45" s="16"/>
      <c r="PZH45" s="16"/>
      <c r="PZI45" s="16"/>
      <c r="PZJ45" s="16"/>
      <c r="PZK45" s="16"/>
      <c r="PZL45" s="16"/>
      <c r="PZM45" s="16"/>
      <c r="PZN45" s="16"/>
      <c r="PZO45" s="16"/>
      <c r="PZP45" s="16"/>
      <c r="PZQ45" s="16"/>
      <c r="PZR45" s="16"/>
      <c r="PZS45" s="16"/>
      <c r="PZT45" s="16"/>
      <c r="PZU45" s="16"/>
      <c r="PZV45" s="16"/>
      <c r="PZW45" s="16"/>
      <c r="PZX45" s="16"/>
      <c r="PZY45" s="16"/>
      <c r="PZZ45" s="16"/>
      <c r="QAA45" s="16"/>
      <c r="QAB45" s="16"/>
      <c r="QAC45" s="16"/>
      <c r="QAD45" s="16"/>
      <c r="QAE45" s="16"/>
      <c r="QAF45" s="16"/>
      <c r="QAG45" s="16"/>
      <c r="QAH45" s="16"/>
      <c r="QAI45" s="16"/>
      <c r="QAJ45" s="16"/>
      <c r="QAK45" s="16"/>
      <c r="QAL45" s="16"/>
      <c r="QAM45" s="16"/>
      <c r="QAN45" s="16"/>
      <c r="QAO45" s="16"/>
      <c r="QAP45" s="16"/>
      <c r="QAQ45" s="16"/>
      <c r="QAR45" s="16"/>
      <c r="QAS45" s="16"/>
      <c r="QAT45" s="16"/>
      <c r="QAU45" s="16"/>
      <c r="QAV45" s="16"/>
      <c r="QAW45" s="16"/>
      <c r="QAX45" s="16"/>
      <c r="QAY45" s="16"/>
      <c r="QAZ45" s="16"/>
      <c r="QBA45" s="16"/>
      <c r="QBB45" s="16"/>
      <c r="QBC45" s="16"/>
      <c r="QBD45" s="16"/>
      <c r="QBE45" s="16"/>
      <c r="QBF45" s="16"/>
      <c r="QBG45" s="16"/>
      <c r="QBH45" s="16"/>
      <c r="QBI45" s="16"/>
      <c r="QBJ45" s="16"/>
      <c r="QBK45" s="16"/>
      <c r="QBL45" s="16"/>
      <c r="QBM45" s="16"/>
      <c r="QBN45" s="16"/>
      <c r="QBO45" s="16"/>
      <c r="QBP45" s="16"/>
      <c r="QBQ45" s="16"/>
      <c r="QBR45" s="16"/>
      <c r="QBS45" s="16"/>
      <c r="QBT45" s="16"/>
      <c r="QBU45" s="16"/>
      <c r="QBV45" s="16"/>
      <c r="QBW45" s="16"/>
      <c r="QBX45" s="16"/>
      <c r="QBY45" s="16"/>
      <c r="QBZ45" s="16"/>
      <c r="QCA45" s="16"/>
      <c r="QCB45" s="16"/>
      <c r="QCC45" s="16"/>
      <c r="QCD45" s="16"/>
      <c r="QCE45" s="16"/>
      <c r="QCF45" s="16"/>
      <c r="QCG45" s="16"/>
      <c r="QCH45" s="16"/>
      <c r="QCI45" s="16"/>
      <c r="QCJ45" s="16"/>
      <c r="QCK45" s="16"/>
      <c r="QCL45" s="16"/>
      <c r="QCM45" s="16"/>
      <c r="QCN45" s="16"/>
      <c r="QCO45" s="16"/>
      <c r="QCP45" s="16"/>
      <c r="QCQ45" s="16"/>
      <c r="QCR45" s="16"/>
      <c r="QCS45" s="16"/>
      <c r="QCT45" s="16"/>
      <c r="QCU45" s="16"/>
      <c r="QCV45" s="16"/>
      <c r="QCW45" s="16"/>
      <c r="QCX45" s="16"/>
      <c r="QCY45" s="16"/>
      <c r="QCZ45" s="16"/>
      <c r="QDA45" s="16"/>
      <c r="QDB45" s="16"/>
      <c r="QDC45" s="16"/>
      <c r="QDD45" s="16"/>
      <c r="QDE45" s="16"/>
      <c r="QDF45" s="16"/>
      <c r="QDG45" s="16"/>
      <c r="QDH45" s="16"/>
      <c r="QDI45" s="16"/>
      <c r="QDJ45" s="16"/>
      <c r="QDK45" s="16"/>
      <c r="QDL45" s="16"/>
      <c r="QDM45" s="16"/>
      <c r="QDN45" s="16"/>
      <c r="QDO45" s="16"/>
      <c r="QDP45" s="16"/>
      <c r="QDQ45" s="16"/>
      <c r="QDR45" s="16"/>
      <c r="QDS45" s="16"/>
      <c r="QDT45" s="16"/>
      <c r="QDU45" s="16"/>
      <c r="QDV45" s="16"/>
      <c r="QDW45" s="16"/>
      <c r="QDX45" s="16"/>
      <c r="QDY45" s="16"/>
      <c r="QDZ45" s="16"/>
      <c r="QEA45" s="16"/>
      <c r="QEB45" s="16"/>
      <c r="QEC45" s="16"/>
      <c r="QED45" s="16"/>
      <c r="QEE45" s="16"/>
      <c r="QEF45" s="16"/>
      <c r="QEG45" s="16"/>
      <c r="QEH45" s="16"/>
      <c r="QEI45" s="16"/>
      <c r="QEJ45" s="16"/>
      <c r="QEK45" s="16"/>
      <c r="QEL45" s="16"/>
      <c r="QEM45" s="16"/>
      <c r="QEN45" s="16"/>
      <c r="QEO45" s="16"/>
      <c r="QEP45" s="16"/>
      <c r="QEQ45" s="16"/>
      <c r="QER45" s="16"/>
      <c r="QES45" s="16"/>
      <c r="QET45" s="16"/>
      <c r="QEU45" s="16"/>
      <c r="QEV45" s="16"/>
      <c r="QEW45" s="16"/>
      <c r="QEX45" s="16"/>
      <c r="QEY45" s="16"/>
      <c r="QEZ45" s="16"/>
      <c r="QFA45" s="16"/>
      <c r="QFB45" s="16"/>
      <c r="QFC45" s="16"/>
      <c r="QFD45" s="16"/>
      <c r="QFE45" s="16"/>
      <c r="QFF45" s="16"/>
      <c r="QFG45" s="16"/>
      <c r="QFH45" s="16"/>
      <c r="QFI45" s="16"/>
      <c r="QFJ45" s="16"/>
      <c r="QFK45" s="16"/>
      <c r="QFL45" s="16"/>
      <c r="QFM45" s="16"/>
      <c r="QFN45" s="16"/>
      <c r="QFO45" s="16"/>
      <c r="QFP45" s="16"/>
      <c r="QFQ45" s="16"/>
      <c r="QFR45" s="16"/>
      <c r="QFS45" s="16"/>
      <c r="QFT45" s="16"/>
      <c r="QFU45" s="16"/>
      <c r="QFV45" s="16"/>
      <c r="QFW45" s="16"/>
      <c r="QFX45" s="16"/>
      <c r="QFY45" s="16"/>
      <c r="QFZ45" s="16"/>
      <c r="QGA45" s="16"/>
      <c r="QGB45" s="16"/>
      <c r="QGC45" s="16"/>
      <c r="QGD45" s="16"/>
      <c r="QGE45" s="16"/>
      <c r="QGF45" s="16"/>
      <c r="QGG45" s="16"/>
      <c r="QGH45" s="16"/>
      <c r="QGI45" s="16"/>
      <c r="QGJ45" s="16"/>
      <c r="QGK45" s="16"/>
      <c r="QGL45" s="16"/>
      <c r="QGM45" s="16"/>
      <c r="QGN45" s="16"/>
      <c r="QGO45" s="16"/>
      <c r="QGP45" s="16"/>
      <c r="QGQ45" s="16"/>
      <c r="QGR45" s="16"/>
      <c r="QGS45" s="16"/>
      <c r="QGT45" s="16"/>
      <c r="QGU45" s="16"/>
      <c r="QGV45" s="16"/>
      <c r="QGW45" s="16"/>
      <c r="QGX45" s="16"/>
      <c r="QGY45" s="16"/>
      <c r="QGZ45" s="16"/>
      <c r="QHA45" s="16"/>
      <c r="QHB45" s="16"/>
      <c r="QHC45" s="16"/>
      <c r="QHD45" s="16"/>
      <c r="QHE45" s="16"/>
      <c r="QHF45" s="16"/>
      <c r="QHG45" s="16"/>
      <c r="QHH45" s="16"/>
      <c r="QHI45" s="16"/>
      <c r="QHJ45" s="16"/>
      <c r="QHK45" s="16"/>
      <c r="QHL45" s="16"/>
      <c r="QHM45" s="16"/>
      <c r="QHN45" s="16"/>
      <c r="QHO45" s="16"/>
      <c r="QHP45" s="16"/>
      <c r="QHQ45" s="16"/>
      <c r="QHR45" s="16"/>
      <c r="QHS45" s="16"/>
      <c r="QHT45" s="16"/>
      <c r="QHU45" s="16"/>
      <c r="QHV45" s="16"/>
      <c r="QHW45" s="16"/>
      <c r="QHX45" s="16"/>
      <c r="QHY45" s="16"/>
      <c r="QHZ45" s="16"/>
      <c r="QIA45" s="16"/>
      <c r="QIB45" s="16"/>
      <c r="QIC45" s="16"/>
      <c r="QID45" s="16"/>
      <c r="QIE45" s="16"/>
      <c r="QIF45" s="16"/>
      <c r="QIG45" s="16"/>
      <c r="QIH45" s="16"/>
      <c r="QII45" s="16"/>
      <c r="QIJ45" s="16"/>
      <c r="QIK45" s="16"/>
      <c r="QIL45" s="16"/>
      <c r="QIM45" s="16"/>
      <c r="QIN45" s="16"/>
      <c r="QIO45" s="16"/>
      <c r="QIP45" s="16"/>
      <c r="QIQ45" s="16"/>
      <c r="QIR45" s="16"/>
      <c r="QIS45" s="16"/>
      <c r="QIT45" s="16"/>
      <c r="QIU45" s="16"/>
      <c r="QIV45" s="16"/>
      <c r="QIW45" s="16"/>
      <c r="QIX45" s="16"/>
      <c r="QIY45" s="16"/>
      <c r="QIZ45" s="16"/>
      <c r="QJA45" s="16"/>
      <c r="QJB45" s="16"/>
      <c r="QJC45" s="16"/>
      <c r="QJD45" s="16"/>
      <c r="QJE45" s="16"/>
      <c r="QJF45" s="16"/>
      <c r="QJG45" s="16"/>
      <c r="QJH45" s="16"/>
      <c r="QJI45" s="16"/>
      <c r="QJJ45" s="16"/>
      <c r="QJK45" s="16"/>
      <c r="QJL45" s="16"/>
      <c r="QJM45" s="16"/>
      <c r="QJN45" s="16"/>
      <c r="QJO45" s="16"/>
      <c r="QJP45" s="16"/>
      <c r="QJQ45" s="16"/>
      <c r="QJR45" s="16"/>
      <c r="QJS45" s="16"/>
      <c r="QJT45" s="16"/>
      <c r="QJU45" s="16"/>
      <c r="QJV45" s="16"/>
      <c r="QJW45" s="16"/>
      <c r="QJX45" s="16"/>
      <c r="QJY45" s="16"/>
      <c r="QJZ45" s="16"/>
      <c r="QKA45" s="16"/>
      <c r="QKB45" s="16"/>
      <c r="QKC45" s="16"/>
      <c r="QKD45" s="16"/>
      <c r="QKE45" s="16"/>
      <c r="QKF45" s="16"/>
      <c r="QKG45" s="16"/>
      <c r="QKH45" s="16"/>
      <c r="QKI45" s="16"/>
      <c r="QKJ45" s="16"/>
      <c r="QKK45" s="16"/>
      <c r="QKL45" s="16"/>
      <c r="QKM45" s="16"/>
      <c r="QKN45" s="16"/>
      <c r="QKO45" s="16"/>
      <c r="QKP45" s="16"/>
      <c r="QKQ45" s="16"/>
      <c r="QKR45" s="16"/>
      <c r="QKS45" s="16"/>
      <c r="QKT45" s="16"/>
      <c r="QKU45" s="16"/>
      <c r="QKV45" s="16"/>
      <c r="QKW45" s="16"/>
      <c r="QKX45" s="16"/>
      <c r="QKY45" s="16"/>
      <c r="QKZ45" s="16"/>
      <c r="QLA45" s="16"/>
      <c r="QLB45" s="16"/>
      <c r="QLC45" s="16"/>
      <c r="QLD45" s="16"/>
      <c r="QLE45" s="16"/>
      <c r="QLF45" s="16"/>
      <c r="QLG45" s="16"/>
      <c r="QLH45" s="16"/>
      <c r="QLI45" s="16"/>
      <c r="QLJ45" s="16"/>
      <c r="QLK45" s="16"/>
      <c r="QLL45" s="16"/>
      <c r="QLM45" s="16"/>
      <c r="QLN45" s="16"/>
      <c r="QLO45" s="16"/>
      <c r="QLP45" s="16"/>
      <c r="QLQ45" s="16"/>
      <c r="QLR45" s="16"/>
      <c r="QLS45" s="16"/>
      <c r="QLT45" s="16"/>
      <c r="QLU45" s="16"/>
      <c r="QLV45" s="16"/>
      <c r="QLW45" s="16"/>
      <c r="QLX45" s="16"/>
      <c r="QLY45" s="16"/>
      <c r="QLZ45" s="16"/>
      <c r="QMA45" s="16"/>
      <c r="QMB45" s="16"/>
      <c r="QMC45" s="16"/>
      <c r="QMD45" s="16"/>
      <c r="QME45" s="16"/>
      <c r="QMF45" s="16"/>
      <c r="QMG45" s="16"/>
      <c r="QMH45" s="16"/>
      <c r="QMI45" s="16"/>
      <c r="QMJ45" s="16"/>
      <c r="QMK45" s="16"/>
      <c r="QML45" s="16"/>
      <c r="QMM45" s="16"/>
      <c r="QMN45" s="16"/>
      <c r="QMO45" s="16"/>
      <c r="QMP45" s="16"/>
      <c r="QMQ45" s="16"/>
      <c r="QMR45" s="16"/>
      <c r="QMS45" s="16"/>
      <c r="QMT45" s="16"/>
      <c r="QMU45" s="16"/>
      <c r="QMV45" s="16"/>
      <c r="QMW45" s="16"/>
      <c r="QMX45" s="16"/>
      <c r="QMY45" s="16"/>
      <c r="QMZ45" s="16"/>
      <c r="QNA45" s="16"/>
      <c r="QNB45" s="16"/>
      <c r="QNC45" s="16"/>
      <c r="QND45" s="16"/>
      <c r="QNE45" s="16"/>
      <c r="QNF45" s="16"/>
      <c r="QNG45" s="16"/>
      <c r="QNH45" s="16"/>
      <c r="QNI45" s="16"/>
      <c r="QNJ45" s="16"/>
      <c r="QNK45" s="16"/>
      <c r="QNL45" s="16"/>
      <c r="QNM45" s="16"/>
      <c r="QNN45" s="16"/>
      <c r="QNO45" s="16"/>
      <c r="QNP45" s="16"/>
      <c r="QNQ45" s="16"/>
      <c r="QNR45" s="16"/>
      <c r="QNS45" s="16"/>
      <c r="QNT45" s="16"/>
      <c r="QNU45" s="16"/>
      <c r="QNV45" s="16"/>
      <c r="QNW45" s="16"/>
      <c r="QNX45" s="16"/>
      <c r="QNY45" s="16"/>
      <c r="QNZ45" s="16"/>
      <c r="QOA45" s="16"/>
      <c r="QOB45" s="16"/>
      <c r="QOC45" s="16"/>
      <c r="QOD45" s="16"/>
      <c r="QOE45" s="16"/>
      <c r="QOF45" s="16"/>
      <c r="QOG45" s="16"/>
      <c r="QOH45" s="16"/>
      <c r="QOI45" s="16"/>
      <c r="QOJ45" s="16"/>
      <c r="QOK45" s="16"/>
      <c r="QOL45" s="16"/>
      <c r="QOM45" s="16"/>
      <c r="QON45" s="16"/>
      <c r="QOO45" s="16"/>
      <c r="QOP45" s="16"/>
      <c r="QOQ45" s="16"/>
      <c r="QOR45" s="16"/>
      <c r="QOS45" s="16"/>
      <c r="QOT45" s="16"/>
      <c r="QOU45" s="16"/>
      <c r="QOV45" s="16"/>
      <c r="QOW45" s="16"/>
      <c r="QOX45" s="16"/>
      <c r="QOY45" s="16"/>
      <c r="QOZ45" s="16"/>
      <c r="QPA45" s="16"/>
      <c r="QPB45" s="16"/>
      <c r="QPC45" s="16"/>
      <c r="QPD45" s="16"/>
      <c r="QPE45" s="16"/>
      <c r="QPF45" s="16"/>
      <c r="QPG45" s="16"/>
      <c r="QPH45" s="16"/>
      <c r="QPI45" s="16"/>
      <c r="QPJ45" s="16"/>
      <c r="QPK45" s="16"/>
      <c r="QPL45" s="16"/>
      <c r="QPM45" s="16"/>
      <c r="QPN45" s="16"/>
      <c r="QPO45" s="16"/>
      <c r="QPP45" s="16"/>
      <c r="QPQ45" s="16"/>
      <c r="QPR45" s="16"/>
      <c r="QPS45" s="16"/>
      <c r="QPT45" s="16"/>
      <c r="QPU45" s="16"/>
      <c r="QPV45" s="16"/>
      <c r="QPW45" s="16"/>
      <c r="QPX45" s="16"/>
      <c r="QPY45" s="16"/>
      <c r="QPZ45" s="16"/>
      <c r="QQA45" s="16"/>
      <c r="QQB45" s="16"/>
      <c r="QQC45" s="16"/>
      <c r="QQD45" s="16"/>
      <c r="QQE45" s="16"/>
      <c r="QQF45" s="16"/>
      <c r="QQG45" s="16"/>
      <c r="QQH45" s="16"/>
      <c r="QQI45" s="16"/>
      <c r="QQJ45" s="16"/>
      <c r="QQK45" s="16"/>
      <c r="QQL45" s="16"/>
      <c r="QQM45" s="16"/>
      <c r="QQN45" s="16"/>
      <c r="QQO45" s="16"/>
      <c r="QQP45" s="16"/>
      <c r="QQQ45" s="16"/>
      <c r="QQR45" s="16"/>
      <c r="QQS45" s="16"/>
      <c r="QQT45" s="16"/>
      <c r="QQU45" s="16"/>
      <c r="QQV45" s="16"/>
      <c r="QQW45" s="16"/>
      <c r="QQX45" s="16"/>
      <c r="QQY45" s="16"/>
      <c r="QQZ45" s="16"/>
      <c r="QRA45" s="16"/>
      <c r="QRB45" s="16"/>
      <c r="QRC45" s="16"/>
      <c r="QRD45" s="16"/>
      <c r="QRE45" s="16"/>
      <c r="QRF45" s="16"/>
      <c r="QRG45" s="16"/>
      <c r="QRH45" s="16"/>
      <c r="QRI45" s="16"/>
      <c r="QRJ45" s="16"/>
      <c r="QRK45" s="16"/>
      <c r="QRL45" s="16"/>
      <c r="QRM45" s="16"/>
      <c r="QRN45" s="16"/>
      <c r="QRO45" s="16"/>
      <c r="QRP45" s="16"/>
      <c r="QRQ45" s="16"/>
      <c r="QRR45" s="16"/>
      <c r="QRS45" s="16"/>
      <c r="QRT45" s="16"/>
      <c r="QRU45" s="16"/>
      <c r="QRV45" s="16"/>
      <c r="QRW45" s="16"/>
      <c r="QRX45" s="16"/>
      <c r="QRY45" s="16"/>
      <c r="QRZ45" s="16"/>
      <c r="QSA45" s="16"/>
      <c r="QSB45" s="16"/>
      <c r="QSC45" s="16"/>
      <c r="QSD45" s="16"/>
      <c r="QSE45" s="16"/>
      <c r="QSF45" s="16"/>
      <c r="QSG45" s="16"/>
      <c r="QSH45" s="16"/>
      <c r="QSI45" s="16"/>
      <c r="QSJ45" s="16"/>
      <c r="QSK45" s="16"/>
      <c r="QSL45" s="16"/>
      <c r="QSM45" s="16"/>
      <c r="QSN45" s="16"/>
      <c r="QSO45" s="16"/>
      <c r="QSP45" s="16"/>
      <c r="QSQ45" s="16"/>
      <c r="QSR45" s="16"/>
      <c r="QSS45" s="16"/>
      <c r="QST45" s="16"/>
      <c r="QSU45" s="16"/>
      <c r="QSV45" s="16"/>
      <c r="QSW45" s="16"/>
      <c r="QSX45" s="16"/>
      <c r="QSY45" s="16"/>
      <c r="QSZ45" s="16"/>
      <c r="QTA45" s="16"/>
      <c r="QTB45" s="16"/>
      <c r="QTC45" s="16"/>
      <c r="QTD45" s="16"/>
      <c r="QTE45" s="16"/>
      <c r="QTF45" s="16"/>
      <c r="QTG45" s="16"/>
      <c r="QTH45" s="16"/>
      <c r="QTI45" s="16"/>
      <c r="QTJ45" s="16"/>
      <c r="QTK45" s="16"/>
      <c r="QTL45" s="16"/>
      <c r="QTM45" s="16"/>
      <c r="QTN45" s="16"/>
      <c r="QTO45" s="16"/>
      <c r="QTP45" s="16"/>
      <c r="QTQ45" s="16"/>
      <c r="QTR45" s="16"/>
      <c r="QTS45" s="16"/>
      <c r="QTT45" s="16"/>
      <c r="QTU45" s="16"/>
      <c r="QTV45" s="16"/>
      <c r="QTW45" s="16"/>
      <c r="QTX45" s="16"/>
      <c r="QTY45" s="16"/>
      <c r="QTZ45" s="16"/>
      <c r="QUA45" s="16"/>
      <c r="QUB45" s="16"/>
      <c r="QUC45" s="16"/>
      <c r="QUD45" s="16"/>
      <c r="QUE45" s="16"/>
      <c r="QUF45" s="16"/>
      <c r="QUG45" s="16"/>
      <c r="QUH45" s="16"/>
      <c r="QUI45" s="16"/>
      <c r="QUJ45" s="16"/>
      <c r="QUK45" s="16"/>
      <c r="QUL45" s="16"/>
      <c r="QUM45" s="16"/>
      <c r="QUN45" s="16"/>
      <c r="QUO45" s="16"/>
      <c r="QUP45" s="16"/>
      <c r="QUQ45" s="16"/>
      <c r="QUR45" s="16"/>
      <c r="QUS45" s="16"/>
      <c r="QUT45" s="16"/>
      <c r="QUU45" s="16"/>
      <c r="QUV45" s="16"/>
      <c r="QUW45" s="16"/>
      <c r="QUX45" s="16"/>
      <c r="QUY45" s="16"/>
      <c r="QUZ45" s="16"/>
      <c r="QVA45" s="16"/>
      <c r="QVB45" s="16"/>
      <c r="QVC45" s="16"/>
      <c r="QVD45" s="16"/>
      <c r="QVE45" s="16"/>
      <c r="QVF45" s="16"/>
      <c r="QVG45" s="16"/>
      <c r="QVH45" s="16"/>
      <c r="QVI45" s="16"/>
      <c r="QVJ45" s="16"/>
      <c r="QVK45" s="16"/>
      <c r="QVL45" s="16"/>
      <c r="QVM45" s="16"/>
      <c r="QVN45" s="16"/>
      <c r="QVO45" s="16"/>
      <c r="QVP45" s="16"/>
      <c r="QVQ45" s="16"/>
      <c r="QVR45" s="16"/>
      <c r="QVS45" s="16"/>
      <c r="QVT45" s="16"/>
      <c r="QVU45" s="16"/>
      <c r="QVV45" s="16"/>
      <c r="QVW45" s="16"/>
      <c r="QVX45" s="16"/>
      <c r="QVY45" s="16"/>
      <c r="QVZ45" s="16"/>
      <c r="QWA45" s="16"/>
      <c r="QWB45" s="16"/>
      <c r="QWC45" s="16"/>
      <c r="QWD45" s="16"/>
      <c r="QWE45" s="16"/>
      <c r="QWF45" s="16"/>
      <c r="QWG45" s="16"/>
      <c r="QWH45" s="16"/>
      <c r="QWI45" s="16"/>
      <c r="QWJ45" s="16"/>
      <c r="QWK45" s="16"/>
      <c r="QWL45" s="16"/>
      <c r="QWM45" s="16"/>
      <c r="QWN45" s="16"/>
      <c r="QWO45" s="16"/>
      <c r="QWP45" s="16"/>
      <c r="QWQ45" s="16"/>
      <c r="QWR45" s="16"/>
      <c r="QWS45" s="16"/>
      <c r="QWT45" s="16"/>
      <c r="QWU45" s="16"/>
      <c r="QWV45" s="16"/>
      <c r="QWW45" s="16"/>
      <c r="QWX45" s="16"/>
      <c r="QWY45" s="16"/>
      <c r="QWZ45" s="16"/>
      <c r="QXA45" s="16"/>
      <c r="QXB45" s="16"/>
      <c r="QXC45" s="16"/>
      <c r="QXD45" s="16"/>
      <c r="QXE45" s="16"/>
      <c r="QXF45" s="16"/>
      <c r="QXG45" s="16"/>
      <c r="QXH45" s="16"/>
      <c r="QXI45" s="16"/>
      <c r="QXJ45" s="16"/>
      <c r="QXK45" s="16"/>
      <c r="QXL45" s="16"/>
      <c r="QXM45" s="16"/>
      <c r="QXN45" s="16"/>
      <c r="QXO45" s="16"/>
      <c r="QXP45" s="16"/>
      <c r="QXQ45" s="16"/>
      <c r="QXR45" s="16"/>
      <c r="QXS45" s="16"/>
      <c r="QXT45" s="16"/>
      <c r="QXU45" s="16"/>
      <c r="QXV45" s="16"/>
      <c r="QXW45" s="16"/>
      <c r="QXX45" s="16"/>
      <c r="QXY45" s="16"/>
      <c r="QXZ45" s="16"/>
      <c r="QYA45" s="16"/>
      <c r="QYB45" s="16"/>
      <c r="QYC45" s="16"/>
      <c r="QYD45" s="16"/>
      <c r="QYE45" s="16"/>
      <c r="QYF45" s="16"/>
      <c r="QYG45" s="16"/>
      <c r="QYH45" s="16"/>
      <c r="QYI45" s="16"/>
      <c r="QYJ45" s="16"/>
      <c r="QYK45" s="16"/>
      <c r="QYL45" s="16"/>
      <c r="QYM45" s="16"/>
      <c r="QYN45" s="16"/>
      <c r="QYO45" s="16"/>
      <c r="QYP45" s="16"/>
      <c r="QYQ45" s="16"/>
      <c r="QYR45" s="16"/>
      <c r="QYS45" s="16"/>
      <c r="QYT45" s="16"/>
      <c r="QYU45" s="16"/>
      <c r="QYV45" s="16"/>
      <c r="QYW45" s="16"/>
      <c r="QYX45" s="16"/>
      <c r="QYY45" s="16"/>
      <c r="QYZ45" s="16"/>
      <c r="QZA45" s="16"/>
      <c r="QZB45" s="16"/>
      <c r="QZC45" s="16"/>
      <c r="QZD45" s="16"/>
      <c r="QZE45" s="16"/>
      <c r="QZF45" s="16"/>
      <c r="QZG45" s="16"/>
      <c r="QZH45" s="16"/>
      <c r="QZI45" s="16"/>
      <c r="QZJ45" s="16"/>
      <c r="QZK45" s="16"/>
      <c r="QZL45" s="16"/>
      <c r="QZM45" s="16"/>
      <c r="QZN45" s="16"/>
      <c r="QZO45" s="16"/>
      <c r="QZP45" s="16"/>
      <c r="QZQ45" s="16"/>
      <c r="QZR45" s="16"/>
      <c r="QZS45" s="16"/>
      <c r="QZT45" s="16"/>
      <c r="QZU45" s="16"/>
      <c r="QZV45" s="16"/>
      <c r="QZW45" s="16"/>
      <c r="QZX45" s="16"/>
      <c r="QZY45" s="16"/>
      <c r="QZZ45" s="16"/>
      <c r="RAA45" s="16"/>
      <c r="RAB45" s="16"/>
      <c r="RAC45" s="16"/>
      <c r="RAD45" s="16"/>
      <c r="RAE45" s="16"/>
      <c r="RAF45" s="16"/>
      <c r="RAG45" s="16"/>
      <c r="RAH45" s="16"/>
      <c r="RAI45" s="16"/>
      <c r="RAJ45" s="16"/>
      <c r="RAK45" s="16"/>
      <c r="RAL45" s="16"/>
      <c r="RAM45" s="16"/>
      <c r="RAN45" s="16"/>
      <c r="RAO45" s="16"/>
      <c r="RAP45" s="16"/>
      <c r="RAQ45" s="16"/>
      <c r="RAR45" s="16"/>
      <c r="RAS45" s="16"/>
      <c r="RAT45" s="16"/>
      <c r="RAU45" s="16"/>
      <c r="RAV45" s="16"/>
      <c r="RAW45" s="16"/>
      <c r="RAX45" s="16"/>
      <c r="RAY45" s="16"/>
      <c r="RAZ45" s="16"/>
      <c r="RBA45" s="16"/>
      <c r="RBB45" s="16"/>
      <c r="RBC45" s="16"/>
      <c r="RBD45" s="16"/>
      <c r="RBE45" s="16"/>
      <c r="RBF45" s="16"/>
      <c r="RBG45" s="16"/>
      <c r="RBH45" s="16"/>
      <c r="RBI45" s="16"/>
      <c r="RBJ45" s="16"/>
      <c r="RBK45" s="16"/>
      <c r="RBL45" s="16"/>
      <c r="RBM45" s="16"/>
      <c r="RBN45" s="16"/>
      <c r="RBO45" s="16"/>
      <c r="RBP45" s="16"/>
      <c r="RBQ45" s="16"/>
      <c r="RBR45" s="16"/>
      <c r="RBS45" s="16"/>
      <c r="RBT45" s="16"/>
      <c r="RBU45" s="16"/>
      <c r="RBV45" s="16"/>
      <c r="RBW45" s="16"/>
      <c r="RBX45" s="16"/>
      <c r="RBY45" s="16"/>
      <c r="RBZ45" s="16"/>
      <c r="RCA45" s="16"/>
      <c r="RCB45" s="16"/>
      <c r="RCC45" s="16"/>
      <c r="RCD45" s="16"/>
      <c r="RCE45" s="16"/>
      <c r="RCF45" s="16"/>
      <c r="RCG45" s="16"/>
      <c r="RCH45" s="16"/>
      <c r="RCI45" s="16"/>
      <c r="RCJ45" s="16"/>
      <c r="RCK45" s="16"/>
      <c r="RCL45" s="16"/>
      <c r="RCM45" s="16"/>
      <c r="RCN45" s="16"/>
      <c r="RCO45" s="16"/>
      <c r="RCP45" s="16"/>
      <c r="RCQ45" s="16"/>
      <c r="RCR45" s="16"/>
      <c r="RCS45" s="16"/>
      <c r="RCT45" s="16"/>
      <c r="RCU45" s="16"/>
      <c r="RCV45" s="16"/>
      <c r="RCW45" s="16"/>
      <c r="RCX45" s="16"/>
      <c r="RCY45" s="16"/>
      <c r="RCZ45" s="16"/>
      <c r="RDA45" s="16"/>
      <c r="RDB45" s="16"/>
      <c r="RDC45" s="16"/>
      <c r="RDD45" s="16"/>
      <c r="RDE45" s="16"/>
      <c r="RDF45" s="16"/>
      <c r="RDG45" s="16"/>
      <c r="RDH45" s="16"/>
      <c r="RDI45" s="16"/>
      <c r="RDJ45" s="16"/>
      <c r="RDK45" s="16"/>
      <c r="RDL45" s="16"/>
      <c r="RDM45" s="16"/>
      <c r="RDN45" s="16"/>
      <c r="RDO45" s="16"/>
      <c r="RDP45" s="16"/>
      <c r="RDQ45" s="16"/>
      <c r="RDR45" s="16"/>
      <c r="RDS45" s="16"/>
      <c r="RDT45" s="16"/>
      <c r="RDU45" s="16"/>
      <c r="RDV45" s="16"/>
      <c r="RDW45" s="16"/>
      <c r="RDX45" s="16"/>
      <c r="RDY45" s="16"/>
      <c r="RDZ45" s="16"/>
      <c r="REA45" s="16"/>
      <c r="REB45" s="16"/>
      <c r="REC45" s="16"/>
      <c r="RED45" s="16"/>
      <c r="REE45" s="16"/>
      <c r="REF45" s="16"/>
      <c r="REG45" s="16"/>
      <c r="REH45" s="16"/>
      <c r="REI45" s="16"/>
      <c r="REJ45" s="16"/>
      <c r="REK45" s="16"/>
      <c r="REL45" s="16"/>
      <c r="REM45" s="16"/>
      <c r="REN45" s="16"/>
      <c r="REO45" s="16"/>
      <c r="REP45" s="16"/>
      <c r="REQ45" s="16"/>
      <c r="RER45" s="16"/>
      <c r="RES45" s="16"/>
      <c r="RET45" s="16"/>
      <c r="REU45" s="16"/>
      <c r="REV45" s="16"/>
      <c r="REW45" s="16"/>
      <c r="REX45" s="16"/>
      <c r="REY45" s="16"/>
      <c r="REZ45" s="16"/>
      <c r="RFA45" s="16"/>
      <c r="RFB45" s="16"/>
      <c r="RFC45" s="16"/>
      <c r="RFD45" s="16"/>
      <c r="RFE45" s="16"/>
      <c r="RFF45" s="16"/>
      <c r="RFG45" s="16"/>
      <c r="RFH45" s="16"/>
      <c r="RFI45" s="16"/>
      <c r="RFJ45" s="16"/>
      <c r="RFK45" s="16"/>
      <c r="RFL45" s="16"/>
      <c r="RFM45" s="16"/>
      <c r="RFN45" s="16"/>
      <c r="RFO45" s="16"/>
      <c r="RFP45" s="16"/>
      <c r="RFQ45" s="16"/>
      <c r="RFR45" s="16"/>
      <c r="RFS45" s="16"/>
      <c r="RFT45" s="16"/>
      <c r="RFU45" s="16"/>
      <c r="RFV45" s="16"/>
      <c r="RFW45" s="16"/>
      <c r="RFX45" s="16"/>
      <c r="RFY45" s="16"/>
      <c r="RFZ45" s="16"/>
      <c r="RGA45" s="16"/>
      <c r="RGB45" s="16"/>
      <c r="RGC45" s="16"/>
      <c r="RGD45" s="16"/>
      <c r="RGE45" s="16"/>
      <c r="RGF45" s="16"/>
      <c r="RGG45" s="16"/>
      <c r="RGH45" s="16"/>
      <c r="RGI45" s="16"/>
      <c r="RGJ45" s="16"/>
      <c r="RGK45" s="16"/>
      <c r="RGL45" s="16"/>
      <c r="RGM45" s="16"/>
      <c r="RGN45" s="16"/>
      <c r="RGO45" s="16"/>
      <c r="RGP45" s="16"/>
      <c r="RGQ45" s="16"/>
      <c r="RGR45" s="16"/>
      <c r="RGS45" s="16"/>
      <c r="RGT45" s="16"/>
      <c r="RGU45" s="16"/>
      <c r="RGV45" s="16"/>
      <c r="RGW45" s="16"/>
      <c r="RGX45" s="16"/>
      <c r="RGY45" s="16"/>
      <c r="RGZ45" s="16"/>
      <c r="RHA45" s="16"/>
      <c r="RHB45" s="16"/>
      <c r="RHC45" s="16"/>
      <c r="RHD45" s="16"/>
      <c r="RHE45" s="16"/>
      <c r="RHF45" s="16"/>
      <c r="RHG45" s="16"/>
      <c r="RHH45" s="16"/>
      <c r="RHI45" s="16"/>
      <c r="RHJ45" s="16"/>
      <c r="RHK45" s="16"/>
      <c r="RHL45" s="16"/>
      <c r="RHM45" s="16"/>
      <c r="RHN45" s="16"/>
      <c r="RHO45" s="16"/>
      <c r="RHP45" s="16"/>
      <c r="RHQ45" s="16"/>
      <c r="RHR45" s="16"/>
      <c r="RHS45" s="16"/>
      <c r="RHT45" s="16"/>
      <c r="RHU45" s="16"/>
      <c r="RHV45" s="16"/>
      <c r="RHW45" s="16"/>
      <c r="RHX45" s="16"/>
      <c r="RHY45" s="16"/>
      <c r="RHZ45" s="16"/>
      <c r="RIA45" s="16"/>
      <c r="RIB45" s="16"/>
      <c r="RIC45" s="16"/>
      <c r="RID45" s="16"/>
      <c r="RIE45" s="16"/>
      <c r="RIF45" s="16"/>
      <c r="RIG45" s="16"/>
      <c r="RIH45" s="16"/>
      <c r="RII45" s="16"/>
      <c r="RIJ45" s="16"/>
      <c r="RIK45" s="16"/>
      <c r="RIL45" s="16"/>
      <c r="RIM45" s="16"/>
      <c r="RIN45" s="16"/>
      <c r="RIO45" s="16"/>
      <c r="RIP45" s="16"/>
      <c r="RIQ45" s="16"/>
      <c r="RIR45" s="16"/>
      <c r="RIS45" s="16"/>
      <c r="RIT45" s="16"/>
      <c r="RIU45" s="16"/>
      <c r="RIV45" s="16"/>
      <c r="RIW45" s="16"/>
      <c r="RIX45" s="16"/>
      <c r="RIY45" s="16"/>
      <c r="RIZ45" s="16"/>
      <c r="RJA45" s="16"/>
      <c r="RJB45" s="16"/>
      <c r="RJC45" s="16"/>
      <c r="RJD45" s="16"/>
      <c r="RJE45" s="16"/>
      <c r="RJF45" s="16"/>
      <c r="RJG45" s="16"/>
      <c r="RJH45" s="16"/>
      <c r="RJI45" s="16"/>
      <c r="RJJ45" s="16"/>
      <c r="RJK45" s="16"/>
      <c r="RJL45" s="16"/>
      <c r="RJM45" s="16"/>
      <c r="RJN45" s="16"/>
      <c r="RJO45" s="16"/>
      <c r="RJP45" s="16"/>
      <c r="RJQ45" s="16"/>
      <c r="RJR45" s="16"/>
      <c r="RJS45" s="16"/>
      <c r="RJT45" s="16"/>
      <c r="RJU45" s="16"/>
      <c r="RJV45" s="16"/>
      <c r="RJW45" s="16"/>
      <c r="RJX45" s="16"/>
      <c r="RJY45" s="16"/>
      <c r="RJZ45" s="16"/>
      <c r="RKA45" s="16"/>
      <c r="RKB45" s="16"/>
      <c r="RKC45" s="16"/>
      <c r="RKD45" s="16"/>
      <c r="RKE45" s="16"/>
      <c r="RKF45" s="16"/>
      <c r="RKG45" s="16"/>
      <c r="RKH45" s="16"/>
      <c r="RKI45" s="16"/>
      <c r="RKJ45" s="16"/>
      <c r="RKK45" s="16"/>
      <c r="RKL45" s="16"/>
      <c r="RKM45" s="16"/>
      <c r="RKN45" s="16"/>
      <c r="RKO45" s="16"/>
      <c r="RKP45" s="16"/>
      <c r="RKQ45" s="16"/>
      <c r="RKR45" s="16"/>
      <c r="RKS45" s="16"/>
      <c r="RKT45" s="16"/>
      <c r="RKU45" s="16"/>
      <c r="RKV45" s="16"/>
      <c r="RKW45" s="16"/>
      <c r="RKX45" s="16"/>
      <c r="RKY45" s="16"/>
      <c r="RKZ45" s="16"/>
      <c r="RLA45" s="16"/>
      <c r="RLB45" s="16"/>
      <c r="RLC45" s="16"/>
      <c r="RLD45" s="16"/>
      <c r="RLE45" s="16"/>
      <c r="RLF45" s="16"/>
      <c r="RLG45" s="16"/>
      <c r="RLH45" s="16"/>
      <c r="RLI45" s="16"/>
      <c r="RLJ45" s="16"/>
      <c r="RLK45" s="16"/>
      <c r="RLL45" s="16"/>
      <c r="RLM45" s="16"/>
      <c r="RLN45" s="16"/>
      <c r="RLO45" s="16"/>
      <c r="RLP45" s="16"/>
      <c r="RLQ45" s="16"/>
      <c r="RLR45" s="16"/>
      <c r="RLS45" s="16"/>
      <c r="RLT45" s="16"/>
      <c r="RLU45" s="16"/>
      <c r="RLV45" s="16"/>
      <c r="RLW45" s="16"/>
      <c r="RLX45" s="16"/>
      <c r="RLY45" s="16"/>
      <c r="RLZ45" s="16"/>
      <c r="RMA45" s="16"/>
      <c r="RMB45" s="16"/>
      <c r="RMC45" s="16"/>
      <c r="RMD45" s="16"/>
      <c r="RME45" s="16"/>
      <c r="RMF45" s="16"/>
      <c r="RMG45" s="16"/>
      <c r="RMH45" s="16"/>
      <c r="RMI45" s="16"/>
      <c r="RMJ45" s="16"/>
      <c r="RMK45" s="16"/>
      <c r="RML45" s="16"/>
      <c r="RMM45" s="16"/>
      <c r="RMN45" s="16"/>
      <c r="RMO45" s="16"/>
      <c r="RMP45" s="16"/>
      <c r="RMQ45" s="16"/>
      <c r="RMR45" s="16"/>
      <c r="RMS45" s="16"/>
      <c r="RMT45" s="16"/>
      <c r="RMU45" s="16"/>
      <c r="RMV45" s="16"/>
      <c r="RMW45" s="16"/>
      <c r="RMX45" s="16"/>
      <c r="RMY45" s="16"/>
      <c r="RMZ45" s="16"/>
      <c r="RNA45" s="16"/>
      <c r="RNB45" s="16"/>
      <c r="RNC45" s="16"/>
      <c r="RND45" s="16"/>
      <c r="RNE45" s="16"/>
      <c r="RNF45" s="16"/>
      <c r="RNG45" s="16"/>
      <c r="RNH45" s="16"/>
      <c r="RNI45" s="16"/>
      <c r="RNJ45" s="16"/>
      <c r="RNK45" s="16"/>
      <c r="RNL45" s="16"/>
      <c r="RNM45" s="16"/>
      <c r="RNN45" s="16"/>
      <c r="RNO45" s="16"/>
      <c r="RNP45" s="16"/>
      <c r="RNQ45" s="16"/>
      <c r="RNR45" s="16"/>
      <c r="RNS45" s="16"/>
      <c r="RNT45" s="16"/>
      <c r="RNU45" s="16"/>
      <c r="RNV45" s="16"/>
      <c r="RNW45" s="16"/>
      <c r="RNX45" s="16"/>
      <c r="RNY45" s="16"/>
      <c r="RNZ45" s="16"/>
      <c r="ROA45" s="16"/>
      <c r="ROB45" s="16"/>
      <c r="ROC45" s="16"/>
      <c r="ROD45" s="16"/>
      <c r="ROE45" s="16"/>
      <c r="ROF45" s="16"/>
      <c r="ROG45" s="16"/>
      <c r="ROH45" s="16"/>
      <c r="ROI45" s="16"/>
      <c r="ROJ45" s="16"/>
      <c r="ROK45" s="16"/>
      <c r="ROL45" s="16"/>
      <c r="ROM45" s="16"/>
      <c r="RON45" s="16"/>
      <c r="ROO45" s="16"/>
      <c r="ROP45" s="16"/>
      <c r="ROQ45" s="16"/>
      <c r="ROR45" s="16"/>
      <c r="ROS45" s="16"/>
      <c r="ROT45" s="16"/>
      <c r="ROU45" s="16"/>
      <c r="ROV45" s="16"/>
      <c r="ROW45" s="16"/>
      <c r="ROX45" s="16"/>
      <c r="ROY45" s="16"/>
      <c r="ROZ45" s="16"/>
      <c r="RPA45" s="16"/>
      <c r="RPB45" s="16"/>
      <c r="RPC45" s="16"/>
      <c r="RPD45" s="16"/>
      <c r="RPE45" s="16"/>
      <c r="RPF45" s="16"/>
      <c r="RPG45" s="16"/>
      <c r="RPH45" s="16"/>
      <c r="RPI45" s="16"/>
      <c r="RPJ45" s="16"/>
      <c r="RPK45" s="16"/>
      <c r="RPL45" s="16"/>
      <c r="RPM45" s="16"/>
      <c r="RPN45" s="16"/>
      <c r="RPO45" s="16"/>
      <c r="RPP45" s="16"/>
      <c r="RPQ45" s="16"/>
      <c r="RPR45" s="16"/>
      <c r="RPS45" s="16"/>
      <c r="RPT45" s="16"/>
      <c r="RPU45" s="16"/>
      <c r="RPV45" s="16"/>
      <c r="RPW45" s="16"/>
      <c r="RPX45" s="16"/>
      <c r="RPY45" s="16"/>
      <c r="RPZ45" s="16"/>
      <c r="RQA45" s="16"/>
      <c r="RQB45" s="16"/>
      <c r="RQC45" s="16"/>
      <c r="RQD45" s="16"/>
      <c r="RQE45" s="16"/>
      <c r="RQF45" s="16"/>
      <c r="RQG45" s="16"/>
      <c r="RQH45" s="16"/>
      <c r="RQI45" s="16"/>
      <c r="RQJ45" s="16"/>
      <c r="RQK45" s="16"/>
      <c r="RQL45" s="16"/>
      <c r="RQM45" s="16"/>
      <c r="RQN45" s="16"/>
      <c r="RQO45" s="16"/>
      <c r="RQP45" s="16"/>
      <c r="RQQ45" s="16"/>
      <c r="RQR45" s="16"/>
      <c r="RQS45" s="16"/>
      <c r="RQT45" s="16"/>
      <c r="RQU45" s="16"/>
      <c r="RQV45" s="16"/>
      <c r="RQW45" s="16"/>
      <c r="RQX45" s="16"/>
      <c r="RQY45" s="16"/>
      <c r="RQZ45" s="16"/>
      <c r="RRA45" s="16"/>
      <c r="RRB45" s="16"/>
      <c r="RRC45" s="16"/>
      <c r="RRD45" s="16"/>
      <c r="RRE45" s="16"/>
      <c r="RRF45" s="16"/>
      <c r="RRG45" s="16"/>
      <c r="RRH45" s="16"/>
      <c r="RRI45" s="16"/>
      <c r="RRJ45" s="16"/>
      <c r="RRK45" s="16"/>
      <c r="RRL45" s="16"/>
      <c r="RRM45" s="16"/>
      <c r="RRN45" s="16"/>
      <c r="RRO45" s="16"/>
      <c r="RRP45" s="16"/>
      <c r="RRQ45" s="16"/>
      <c r="RRR45" s="16"/>
      <c r="RRS45" s="16"/>
      <c r="RRT45" s="16"/>
      <c r="RRU45" s="16"/>
      <c r="RRV45" s="16"/>
      <c r="RRW45" s="16"/>
      <c r="RRX45" s="16"/>
      <c r="RRY45" s="16"/>
      <c r="RRZ45" s="16"/>
      <c r="RSA45" s="16"/>
      <c r="RSB45" s="16"/>
      <c r="RSC45" s="16"/>
      <c r="RSD45" s="16"/>
      <c r="RSE45" s="16"/>
      <c r="RSF45" s="16"/>
      <c r="RSG45" s="16"/>
      <c r="RSH45" s="16"/>
      <c r="RSI45" s="16"/>
      <c r="RSJ45" s="16"/>
      <c r="RSK45" s="16"/>
      <c r="RSL45" s="16"/>
      <c r="RSM45" s="16"/>
      <c r="RSN45" s="16"/>
      <c r="RSO45" s="16"/>
      <c r="RSP45" s="16"/>
      <c r="RSQ45" s="16"/>
      <c r="RSR45" s="16"/>
      <c r="RSS45" s="16"/>
      <c r="RST45" s="16"/>
      <c r="RSU45" s="16"/>
      <c r="RSV45" s="16"/>
      <c r="RSW45" s="16"/>
      <c r="RSX45" s="16"/>
      <c r="RSY45" s="16"/>
      <c r="RSZ45" s="16"/>
      <c r="RTA45" s="16"/>
      <c r="RTB45" s="16"/>
      <c r="RTC45" s="16"/>
      <c r="RTD45" s="16"/>
      <c r="RTE45" s="16"/>
      <c r="RTF45" s="16"/>
      <c r="RTG45" s="16"/>
      <c r="RTH45" s="16"/>
      <c r="RTI45" s="16"/>
      <c r="RTJ45" s="16"/>
      <c r="RTK45" s="16"/>
      <c r="RTL45" s="16"/>
      <c r="RTM45" s="16"/>
      <c r="RTN45" s="16"/>
      <c r="RTO45" s="16"/>
      <c r="RTP45" s="16"/>
      <c r="RTQ45" s="16"/>
      <c r="RTR45" s="16"/>
      <c r="RTS45" s="16"/>
      <c r="RTT45" s="16"/>
      <c r="RTU45" s="16"/>
      <c r="RTV45" s="16"/>
      <c r="RTW45" s="16"/>
      <c r="RTX45" s="16"/>
      <c r="RTY45" s="16"/>
      <c r="RTZ45" s="16"/>
      <c r="RUA45" s="16"/>
      <c r="RUB45" s="16"/>
      <c r="RUC45" s="16"/>
      <c r="RUD45" s="16"/>
      <c r="RUE45" s="16"/>
      <c r="RUF45" s="16"/>
      <c r="RUG45" s="16"/>
      <c r="RUH45" s="16"/>
      <c r="RUI45" s="16"/>
      <c r="RUJ45" s="16"/>
      <c r="RUK45" s="16"/>
      <c r="RUL45" s="16"/>
      <c r="RUM45" s="16"/>
      <c r="RUN45" s="16"/>
      <c r="RUO45" s="16"/>
      <c r="RUP45" s="16"/>
      <c r="RUQ45" s="16"/>
      <c r="RUR45" s="16"/>
      <c r="RUS45" s="16"/>
      <c r="RUT45" s="16"/>
      <c r="RUU45" s="16"/>
      <c r="RUV45" s="16"/>
      <c r="RUW45" s="16"/>
      <c r="RUX45" s="16"/>
      <c r="RUY45" s="16"/>
      <c r="RUZ45" s="16"/>
      <c r="RVA45" s="16"/>
      <c r="RVB45" s="16"/>
      <c r="RVC45" s="16"/>
      <c r="RVD45" s="16"/>
      <c r="RVE45" s="16"/>
      <c r="RVF45" s="16"/>
      <c r="RVG45" s="16"/>
      <c r="RVH45" s="16"/>
      <c r="RVI45" s="16"/>
      <c r="RVJ45" s="16"/>
      <c r="RVK45" s="16"/>
      <c r="RVL45" s="16"/>
      <c r="RVM45" s="16"/>
      <c r="RVN45" s="16"/>
      <c r="RVO45" s="16"/>
      <c r="RVP45" s="16"/>
      <c r="RVQ45" s="16"/>
      <c r="RVR45" s="16"/>
      <c r="RVS45" s="16"/>
      <c r="RVT45" s="16"/>
      <c r="RVU45" s="16"/>
      <c r="RVV45" s="16"/>
      <c r="RVW45" s="16"/>
      <c r="RVX45" s="16"/>
      <c r="RVY45" s="16"/>
      <c r="RVZ45" s="16"/>
      <c r="RWA45" s="16"/>
      <c r="RWB45" s="16"/>
      <c r="RWC45" s="16"/>
      <c r="RWD45" s="16"/>
      <c r="RWE45" s="16"/>
      <c r="RWF45" s="16"/>
      <c r="RWG45" s="16"/>
      <c r="RWH45" s="16"/>
      <c r="RWI45" s="16"/>
      <c r="RWJ45" s="16"/>
      <c r="RWK45" s="16"/>
      <c r="RWL45" s="16"/>
      <c r="RWM45" s="16"/>
      <c r="RWN45" s="16"/>
      <c r="RWO45" s="16"/>
      <c r="RWP45" s="16"/>
      <c r="RWQ45" s="16"/>
      <c r="RWR45" s="16"/>
      <c r="RWS45" s="16"/>
      <c r="RWT45" s="16"/>
      <c r="RWU45" s="16"/>
      <c r="RWV45" s="16"/>
      <c r="RWW45" s="16"/>
      <c r="RWX45" s="16"/>
      <c r="RWY45" s="16"/>
      <c r="RWZ45" s="16"/>
      <c r="RXA45" s="16"/>
      <c r="RXB45" s="16"/>
      <c r="RXC45" s="16"/>
      <c r="RXD45" s="16"/>
      <c r="RXE45" s="16"/>
      <c r="RXF45" s="16"/>
      <c r="RXG45" s="16"/>
      <c r="RXH45" s="16"/>
      <c r="RXI45" s="16"/>
      <c r="RXJ45" s="16"/>
      <c r="RXK45" s="16"/>
      <c r="RXL45" s="16"/>
      <c r="RXM45" s="16"/>
      <c r="RXN45" s="16"/>
      <c r="RXO45" s="16"/>
      <c r="RXP45" s="16"/>
      <c r="RXQ45" s="16"/>
      <c r="RXR45" s="16"/>
      <c r="RXS45" s="16"/>
      <c r="RXT45" s="16"/>
      <c r="RXU45" s="16"/>
      <c r="RXV45" s="16"/>
      <c r="RXW45" s="16"/>
      <c r="RXX45" s="16"/>
      <c r="RXY45" s="16"/>
      <c r="RXZ45" s="16"/>
      <c r="RYA45" s="16"/>
      <c r="RYB45" s="16"/>
      <c r="RYC45" s="16"/>
      <c r="RYD45" s="16"/>
      <c r="RYE45" s="16"/>
      <c r="RYF45" s="16"/>
      <c r="RYG45" s="16"/>
      <c r="RYH45" s="16"/>
      <c r="RYI45" s="16"/>
      <c r="RYJ45" s="16"/>
      <c r="RYK45" s="16"/>
      <c r="RYL45" s="16"/>
      <c r="RYM45" s="16"/>
      <c r="RYN45" s="16"/>
      <c r="RYO45" s="16"/>
      <c r="RYP45" s="16"/>
      <c r="RYQ45" s="16"/>
      <c r="RYR45" s="16"/>
      <c r="RYS45" s="16"/>
      <c r="RYT45" s="16"/>
      <c r="RYU45" s="16"/>
      <c r="RYV45" s="16"/>
      <c r="RYW45" s="16"/>
      <c r="RYX45" s="16"/>
      <c r="RYY45" s="16"/>
      <c r="RYZ45" s="16"/>
      <c r="RZA45" s="16"/>
      <c r="RZB45" s="16"/>
      <c r="RZC45" s="16"/>
      <c r="RZD45" s="16"/>
      <c r="RZE45" s="16"/>
      <c r="RZF45" s="16"/>
      <c r="RZG45" s="16"/>
      <c r="RZH45" s="16"/>
      <c r="RZI45" s="16"/>
      <c r="RZJ45" s="16"/>
      <c r="RZK45" s="16"/>
      <c r="RZL45" s="16"/>
      <c r="RZM45" s="16"/>
      <c r="RZN45" s="16"/>
      <c r="RZO45" s="16"/>
      <c r="RZP45" s="16"/>
      <c r="RZQ45" s="16"/>
      <c r="RZR45" s="16"/>
      <c r="RZS45" s="16"/>
      <c r="RZT45" s="16"/>
      <c r="RZU45" s="16"/>
      <c r="RZV45" s="16"/>
      <c r="RZW45" s="16"/>
      <c r="RZX45" s="16"/>
      <c r="RZY45" s="16"/>
      <c r="RZZ45" s="16"/>
      <c r="SAA45" s="16"/>
      <c r="SAB45" s="16"/>
      <c r="SAC45" s="16"/>
      <c r="SAD45" s="16"/>
      <c r="SAE45" s="16"/>
      <c r="SAF45" s="16"/>
      <c r="SAG45" s="16"/>
      <c r="SAH45" s="16"/>
      <c r="SAI45" s="16"/>
      <c r="SAJ45" s="16"/>
      <c r="SAK45" s="16"/>
      <c r="SAL45" s="16"/>
      <c r="SAM45" s="16"/>
      <c r="SAN45" s="16"/>
      <c r="SAO45" s="16"/>
      <c r="SAP45" s="16"/>
      <c r="SAQ45" s="16"/>
      <c r="SAR45" s="16"/>
      <c r="SAS45" s="16"/>
      <c r="SAT45" s="16"/>
      <c r="SAU45" s="16"/>
      <c r="SAV45" s="16"/>
      <c r="SAW45" s="16"/>
      <c r="SAX45" s="16"/>
      <c r="SAY45" s="16"/>
      <c r="SAZ45" s="16"/>
      <c r="SBA45" s="16"/>
      <c r="SBB45" s="16"/>
      <c r="SBC45" s="16"/>
      <c r="SBD45" s="16"/>
      <c r="SBE45" s="16"/>
      <c r="SBF45" s="16"/>
      <c r="SBG45" s="16"/>
      <c r="SBH45" s="16"/>
      <c r="SBI45" s="16"/>
      <c r="SBJ45" s="16"/>
      <c r="SBK45" s="16"/>
      <c r="SBL45" s="16"/>
      <c r="SBM45" s="16"/>
      <c r="SBN45" s="16"/>
      <c r="SBO45" s="16"/>
      <c r="SBP45" s="16"/>
      <c r="SBQ45" s="16"/>
      <c r="SBR45" s="16"/>
      <c r="SBS45" s="16"/>
      <c r="SBT45" s="16"/>
      <c r="SBU45" s="16"/>
      <c r="SBV45" s="16"/>
      <c r="SBW45" s="16"/>
      <c r="SBX45" s="16"/>
      <c r="SBY45" s="16"/>
      <c r="SBZ45" s="16"/>
      <c r="SCA45" s="16"/>
      <c r="SCB45" s="16"/>
      <c r="SCC45" s="16"/>
      <c r="SCD45" s="16"/>
      <c r="SCE45" s="16"/>
      <c r="SCF45" s="16"/>
      <c r="SCG45" s="16"/>
      <c r="SCH45" s="16"/>
      <c r="SCI45" s="16"/>
      <c r="SCJ45" s="16"/>
      <c r="SCK45" s="16"/>
      <c r="SCL45" s="16"/>
      <c r="SCM45" s="16"/>
      <c r="SCN45" s="16"/>
      <c r="SCO45" s="16"/>
      <c r="SCP45" s="16"/>
      <c r="SCQ45" s="16"/>
      <c r="SCR45" s="16"/>
      <c r="SCS45" s="16"/>
      <c r="SCT45" s="16"/>
      <c r="SCU45" s="16"/>
      <c r="SCV45" s="16"/>
      <c r="SCW45" s="16"/>
      <c r="SCX45" s="16"/>
      <c r="SCY45" s="16"/>
      <c r="SCZ45" s="16"/>
      <c r="SDA45" s="16"/>
      <c r="SDB45" s="16"/>
      <c r="SDC45" s="16"/>
      <c r="SDD45" s="16"/>
      <c r="SDE45" s="16"/>
      <c r="SDF45" s="16"/>
      <c r="SDG45" s="16"/>
      <c r="SDH45" s="16"/>
      <c r="SDI45" s="16"/>
      <c r="SDJ45" s="16"/>
      <c r="SDK45" s="16"/>
      <c r="SDL45" s="16"/>
      <c r="SDM45" s="16"/>
      <c r="SDN45" s="16"/>
      <c r="SDO45" s="16"/>
      <c r="SDP45" s="16"/>
      <c r="SDQ45" s="16"/>
      <c r="SDR45" s="16"/>
      <c r="SDS45" s="16"/>
      <c r="SDT45" s="16"/>
      <c r="SDU45" s="16"/>
      <c r="SDV45" s="16"/>
      <c r="SDW45" s="16"/>
      <c r="SDX45" s="16"/>
      <c r="SDY45" s="16"/>
      <c r="SDZ45" s="16"/>
      <c r="SEA45" s="16"/>
      <c r="SEB45" s="16"/>
      <c r="SEC45" s="16"/>
      <c r="SED45" s="16"/>
      <c r="SEE45" s="16"/>
      <c r="SEF45" s="16"/>
      <c r="SEG45" s="16"/>
      <c r="SEH45" s="16"/>
      <c r="SEI45" s="16"/>
      <c r="SEJ45" s="16"/>
      <c r="SEK45" s="16"/>
      <c r="SEL45" s="16"/>
      <c r="SEM45" s="16"/>
      <c r="SEN45" s="16"/>
      <c r="SEO45" s="16"/>
      <c r="SEP45" s="16"/>
      <c r="SEQ45" s="16"/>
      <c r="SER45" s="16"/>
      <c r="SES45" s="16"/>
      <c r="SET45" s="16"/>
      <c r="SEU45" s="16"/>
      <c r="SEV45" s="16"/>
      <c r="SEW45" s="16"/>
      <c r="SEX45" s="16"/>
      <c r="SEY45" s="16"/>
      <c r="SEZ45" s="16"/>
      <c r="SFA45" s="16"/>
      <c r="SFB45" s="16"/>
      <c r="SFC45" s="16"/>
      <c r="SFD45" s="16"/>
      <c r="SFE45" s="16"/>
      <c r="SFF45" s="16"/>
      <c r="SFG45" s="16"/>
      <c r="SFH45" s="16"/>
      <c r="SFI45" s="16"/>
      <c r="SFJ45" s="16"/>
      <c r="SFK45" s="16"/>
      <c r="SFL45" s="16"/>
      <c r="SFM45" s="16"/>
      <c r="SFN45" s="16"/>
      <c r="SFO45" s="16"/>
      <c r="SFP45" s="16"/>
      <c r="SFQ45" s="16"/>
      <c r="SFR45" s="16"/>
      <c r="SFS45" s="16"/>
      <c r="SFT45" s="16"/>
      <c r="SFU45" s="16"/>
      <c r="SFV45" s="16"/>
      <c r="SFW45" s="16"/>
      <c r="SFX45" s="16"/>
      <c r="SFY45" s="16"/>
      <c r="SFZ45" s="16"/>
      <c r="SGA45" s="16"/>
      <c r="SGB45" s="16"/>
      <c r="SGC45" s="16"/>
      <c r="SGD45" s="16"/>
      <c r="SGE45" s="16"/>
      <c r="SGF45" s="16"/>
      <c r="SGG45" s="16"/>
      <c r="SGH45" s="16"/>
      <c r="SGI45" s="16"/>
      <c r="SGJ45" s="16"/>
      <c r="SGK45" s="16"/>
      <c r="SGL45" s="16"/>
      <c r="SGM45" s="16"/>
      <c r="SGN45" s="16"/>
      <c r="SGO45" s="16"/>
      <c r="SGP45" s="16"/>
      <c r="SGQ45" s="16"/>
      <c r="SGR45" s="16"/>
      <c r="SGS45" s="16"/>
      <c r="SGT45" s="16"/>
      <c r="SGU45" s="16"/>
      <c r="SGV45" s="16"/>
      <c r="SGW45" s="16"/>
      <c r="SGX45" s="16"/>
      <c r="SGY45" s="16"/>
      <c r="SGZ45" s="16"/>
      <c r="SHA45" s="16"/>
      <c r="SHB45" s="16"/>
      <c r="SHC45" s="16"/>
      <c r="SHD45" s="16"/>
      <c r="SHE45" s="16"/>
      <c r="SHF45" s="16"/>
      <c r="SHG45" s="16"/>
      <c r="SHH45" s="16"/>
      <c r="SHI45" s="16"/>
      <c r="SHJ45" s="16"/>
      <c r="SHK45" s="16"/>
      <c r="SHL45" s="16"/>
      <c r="SHM45" s="16"/>
      <c r="SHN45" s="16"/>
      <c r="SHO45" s="16"/>
      <c r="SHP45" s="16"/>
      <c r="SHQ45" s="16"/>
      <c r="SHR45" s="16"/>
      <c r="SHS45" s="16"/>
      <c r="SHT45" s="16"/>
      <c r="SHU45" s="16"/>
      <c r="SHV45" s="16"/>
      <c r="SHW45" s="16"/>
      <c r="SHX45" s="16"/>
      <c r="SHY45" s="16"/>
      <c r="SHZ45" s="16"/>
      <c r="SIA45" s="16"/>
      <c r="SIB45" s="16"/>
      <c r="SIC45" s="16"/>
      <c r="SID45" s="16"/>
      <c r="SIE45" s="16"/>
      <c r="SIF45" s="16"/>
      <c r="SIG45" s="16"/>
      <c r="SIH45" s="16"/>
      <c r="SII45" s="16"/>
      <c r="SIJ45" s="16"/>
      <c r="SIK45" s="16"/>
      <c r="SIL45" s="16"/>
      <c r="SIM45" s="16"/>
      <c r="SIN45" s="16"/>
      <c r="SIO45" s="16"/>
      <c r="SIP45" s="16"/>
      <c r="SIQ45" s="16"/>
      <c r="SIR45" s="16"/>
      <c r="SIS45" s="16"/>
      <c r="SIT45" s="16"/>
      <c r="SIU45" s="16"/>
      <c r="SIV45" s="16"/>
      <c r="SIW45" s="16"/>
      <c r="SIX45" s="16"/>
      <c r="SIY45" s="16"/>
      <c r="SIZ45" s="16"/>
      <c r="SJA45" s="16"/>
      <c r="SJB45" s="16"/>
      <c r="SJC45" s="16"/>
      <c r="SJD45" s="16"/>
      <c r="SJE45" s="16"/>
      <c r="SJF45" s="16"/>
      <c r="SJG45" s="16"/>
      <c r="SJH45" s="16"/>
      <c r="SJI45" s="16"/>
      <c r="SJJ45" s="16"/>
      <c r="SJK45" s="16"/>
      <c r="SJL45" s="16"/>
      <c r="SJM45" s="16"/>
      <c r="SJN45" s="16"/>
      <c r="SJO45" s="16"/>
      <c r="SJP45" s="16"/>
      <c r="SJQ45" s="16"/>
      <c r="SJR45" s="16"/>
      <c r="SJS45" s="16"/>
      <c r="SJT45" s="16"/>
      <c r="SJU45" s="16"/>
      <c r="SJV45" s="16"/>
      <c r="SJW45" s="16"/>
      <c r="SJX45" s="16"/>
      <c r="SJY45" s="16"/>
      <c r="SJZ45" s="16"/>
      <c r="SKA45" s="16"/>
      <c r="SKB45" s="16"/>
      <c r="SKC45" s="16"/>
      <c r="SKD45" s="16"/>
      <c r="SKE45" s="16"/>
      <c r="SKF45" s="16"/>
      <c r="SKG45" s="16"/>
      <c r="SKH45" s="16"/>
      <c r="SKI45" s="16"/>
      <c r="SKJ45" s="16"/>
      <c r="SKK45" s="16"/>
      <c r="SKL45" s="16"/>
      <c r="SKM45" s="16"/>
      <c r="SKN45" s="16"/>
      <c r="SKO45" s="16"/>
      <c r="SKP45" s="16"/>
      <c r="SKQ45" s="16"/>
      <c r="SKR45" s="16"/>
      <c r="SKS45" s="16"/>
      <c r="SKT45" s="16"/>
      <c r="SKU45" s="16"/>
      <c r="SKV45" s="16"/>
      <c r="SKW45" s="16"/>
      <c r="SKX45" s="16"/>
      <c r="SKY45" s="16"/>
      <c r="SKZ45" s="16"/>
      <c r="SLA45" s="16"/>
      <c r="SLB45" s="16"/>
      <c r="SLC45" s="16"/>
      <c r="SLD45" s="16"/>
      <c r="SLE45" s="16"/>
      <c r="SLF45" s="16"/>
      <c r="SLG45" s="16"/>
      <c r="SLH45" s="16"/>
      <c r="SLI45" s="16"/>
      <c r="SLJ45" s="16"/>
      <c r="SLK45" s="16"/>
      <c r="SLL45" s="16"/>
      <c r="SLM45" s="16"/>
      <c r="SLN45" s="16"/>
      <c r="SLO45" s="16"/>
      <c r="SLP45" s="16"/>
      <c r="SLQ45" s="16"/>
      <c r="SLR45" s="16"/>
      <c r="SLS45" s="16"/>
      <c r="SLT45" s="16"/>
      <c r="SLU45" s="16"/>
      <c r="SLV45" s="16"/>
      <c r="SLW45" s="16"/>
      <c r="SLX45" s="16"/>
      <c r="SLY45" s="16"/>
      <c r="SLZ45" s="16"/>
      <c r="SMA45" s="16"/>
      <c r="SMB45" s="16"/>
      <c r="SMC45" s="16"/>
      <c r="SMD45" s="16"/>
      <c r="SME45" s="16"/>
      <c r="SMF45" s="16"/>
      <c r="SMG45" s="16"/>
      <c r="SMH45" s="16"/>
      <c r="SMI45" s="16"/>
      <c r="SMJ45" s="16"/>
      <c r="SMK45" s="16"/>
      <c r="SML45" s="16"/>
      <c r="SMM45" s="16"/>
      <c r="SMN45" s="16"/>
      <c r="SMO45" s="16"/>
      <c r="SMP45" s="16"/>
      <c r="SMQ45" s="16"/>
      <c r="SMR45" s="16"/>
      <c r="SMS45" s="16"/>
      <c r="SMT45" s="16"/>
      <c r="SMU45" s="16"/>
      <c r="SMV45" s="16"/>
      <c r="SMW45" s="16"/>
      <c r="SMX45" s="16"/>
      <c r="SMY45" s="16"/>
      <c r="SMZ45" s="16"/>
      <c r="SNA45" s="16"/>
      <c r="SNB45" s="16"/>
      <c r="SNC45" s="16"/>
      <c r="SND45" s="16"/>
      <c r="SNE45" s="16"/>
      <c r="SNF45" s="16"/>
      <c r="SNG45" s="16"/>
      <c r="SNH45" s="16"/>
      <c r="SNI45" s="16"/>
      <c r="SNJ45" s="16"/>
      <c r="SNK45" s="16"/>
      <c r="SNL45" s="16"/>
      <c r="SNM45" s="16"/>
      <c r="SNN45" s="16"/>
      <c r="SNO45" s="16"/>
      <c r="SNP45" s="16"/>
      <c r="SNQ45" s="16"/>
      <c r="SNR45" s="16"/>
      <c r="SNS45" s="16"/>
      <c r="SNT45" s="16"/>
      <c r="SNU45" s="16"/>
      <c r="SNV45" s="16"/>
      <c r="SNW45" s="16"/>
      <c r="SNX45" s="16"/>
      <c r="SNY45" s="16"/>
      <c r="SNZ45" s="16"/>
      <c r="SOA45" s="16"/>
      <c r="SOB45" s="16"/>
      <c r="SOC45" s="16"/>
      <c r="SOD45" s="16"/>
      <c r="SOE45" s="16"/>
      <c r="SOF45" s="16"/>
      <c r="SOG45" s="16"/>
      <c r="SOH45" s="16"/>
      <c r="SOI45" s="16"/>
      <c r="SOJ45" s="16"/>
      <c r="SOK45" s="16"/>
      <c r="SOL45" s="16"/>
      <c r="SOM45" s="16"/>
      <c r="SON45" s="16"/>
      <c r="SOO45" s="16"/>
      <c r="SOP45" s="16"/>
      <c r="SOQ45" s="16"/>
      <c r="SOR45" s="16"/>
      <c r="SOS45" s="16"/>
      <c r="SOT45" s="16"/>
      <c r="SOU45" s="16"/>
      <c r="SOV45" s="16"/>
      <c r="SOW45" s="16"/>
      <c r="SOX45" s="16"/>
      <c r="SOY45" s="16"/>
      <c r="SOZ45" s="16"/>
      <c r="SPA45" s="16"/>
      <c r="SPB45" s="16"/>
      <c r="SPC45" s="16"/>
      <c r="SPD45" s="16"/>
      <c r="SPE45" s="16"/>
      <c r="SPF45" s="16"/>
      <c r="SPG45" s="16"/>
      <c r="SPH45" s="16"/>
      <c r="SPI45" s="16"/>
      <c r="SPJ45" s="16"/>
      <c r="SPK45" s="16"/>
      <c r="SPL45" s="16"/>
      <c r="SPM45" s="16"/>
      <c r="SPN45" s="16"/>
      <c r="SPO45" s="16"/>
      <c r="SPP45" s="16"/>
      <c r="SPQ45" s="16"/>
      <c r="SPR45" s="16"/>
      <c r="SPS45" s="16"/>
      <c r="SPT45" s="16"/>
      <c r="SPU45" s="16"/>
      <c r="SPV45" s="16"/>
      <c r="SPW45" s="16"/>
      <c r="SPX45" s="16"/>
      <c r="SPY45" s="16"/>
      <c r="SPZ45" s="16"/>
      <c r="SQA45" s="16"/>
      <c r="SQB45" s="16"/>
      <c r="SQC45" s="16"/>
      <c r="SQD45" s="16"/>
      <c r="SQE45" s="16"/>
      <c r="SQF45" s="16"/>
      <c r="SQG45" s="16"/>
      <c r="SQH45" s="16"/>
      <c r="SQI45" s="16"/>
      <c r="SQJ45" s="16"/>
      <c r="SQK45" s="16"/>
      <c r="SQL45" s="16"/>
      <c r="SQM45" s="16"/>
      <c r="SQN45" s="16"/>
      <c r="SQO45" s="16"/>
      <c r="SQP45" s="16"/>
      <c r="SQQ45" s="16"/>
      <c r="SQR45" s="16"/>
      <c r="SQS45" s="16"/>
      <c r="SQT45" s="16"/>
      <c r="SQU45" s="16"/>
      <c r="SQV45" s="16"/>
      <c r="SQW45" s="16"/>
      <c r="SQX45" s="16"/>
      <c r="SQY45" s="16"/>
      <c r="SQZ45" s="16"/>
      <c r="SRA45" s="16"/>
      <c r="SRB45" s="16"/>
      <c r="SRC45" s="16"/>
      <c r="SRD45" s="16"/>
      <c r="SRE45" s="16"/>
      <c r="SRF45" s="16"/>
      <c r="SRG45" s="16"/>
      <c r="SRH45" s="16"/>
      <c r="SRI45" s="16"/>
      <c r="SRJ45" s="16"/>
      <c r="SRK45" s="16"/>
      <c r="SRL45" s="16"/>
      <c r="SRM45" s="16"/>
      <c r="SRN45" s="16"/>
      <c r="SRO45" s="16"/>
      <c r="SRP45" s="16"/>
      <c r="SRQ45" s="16"/>
      <c r="SRR45" s="16"/>
      <c r="SRS45" s="16"/>
      <c r="SRT45" s="16"/>
      <c r="SRU45" s="16"/>
      <c r="SRV45" s="16"/>
      <c r="SRW45" s="16"/>
      <c r="SRX45" s="16"/>
      <c r="SRY45" s="16"/>
      <c r="SRZ45" s="16"/>
      <c r="SSA45" s="16"/>
      <c r="SSB45" s="16"/>
      <c r="SSC45" s="16"/>
      <c r="SSD45" s="16"/>
      <c r="SSE45" s="16"/>
      <c r="SSF45" s="16"/>
      <c r="SSG45" s="16"/>
      <c r="SSH45" s="16"/>
      <c r="SSI45" s="16"/>
      <c r="SSJ45" s="16"/>
      <c r="SSK45" s="16"/>
      <c r="SSL45" s="16"/>
      <c r="SSM45" s="16"/>
      <c r="SSN45" s="16"/>
      <c r="SSO45" s="16"/>
      <c r="SSP45" s="16"/>
      <c r="SSQ45" s="16"/>
      <c r="SSR45" s="16"/>
      <c r="SSS45" s="16"/>
      <c r="SST45" s="16"/>
      <c r="SSU45" s="16"/>
      <c r="SSV45" s="16"/>
      <c r="SSW45" s="16"/>
      <c r="SSX45" s="16"/>
      <c r="SSY45" s="16"/>
      <c r="SSZ45" s="16"/>
      <c r="STA45" s="16"/>
      <c r="STB45" s="16"/>
      <c r="STC45" s="16"/>
      <c r="STD45" s="16"/>
      <c r="STE45" s="16"/>
      <c r="STF45" s="16"/>
      <c r="STG45" s="16"/>
      <c r="STH45" s="16"/>
      <c r="STI45" s="16"/>
      <c r="STJ45" s="16"/>
      <c r="STK45" s="16"/>
      <c r="STL45" s="16"/>
      <c r="STM45" s="16"/>
      <c r="STN45" s="16"/>
      <c r="STO45" s="16"/>
      <c r="STP45" s="16"/>
      <c r="STQ45" s="16"/>
      <c r="STR45" s="16"/>
      <c r="STS45" s="16"/>
      <c r="STT45" s="16"/>
      <c r="STU45" s="16"/>
      <c r="STV45" s="16"/>
      <c r="STW45" s="16"/>
      <c r="STX45" s="16"/>
      <c r="STY45" s="16"/>
      <c r="STZ45" s="16"/>
      <c r="SUA45" s="16"/>
      <c r="SUB45" s="16"/>
      <c r="SUC45" s="16"/>
      <c r="SUD45" s="16"/>
      <c r="SUE45" s="16"/>
      <c r="SUF45" s="16"/>
      <c r="SUG45" s="16"/>
      <c r="SUH45" s="16"/>
      <c r="SUI45" s="16"/>
      <c r="SUJ45" s="16"/>
      <c r="SUK45" s="16"/>
      <c r="SUL45" s="16"/>
      <c r="SUM45" s="16"/>
      <c r="SUN45" s="16"/>
      <c r="SUO45" s="16"/>
      <c r="SUP45" s="16"/>
      <c r="SUQ45" s="16"/>
      <c r="SUR45" s="16"/>
      <c r="SUS45" s="16"/>
      <c r="SUT45" s="16"/>
      <c r="SUU45" s="16"/>
      <c r="SUV45" s="16"/>
      <c r="SUW45" s="16"/>
      <c r="SUX45" s="16"/>
      <c r="SUY45" s="16"/>
      <c r="SUZ45" s="16"/>
      <c r="SVA45" s="16"/>
      <c r="SVB45" s="16"/>
      <c r="SVC45" s="16"/>
      <c r="SVD45" s="16"/>
      <c r="SVE45" s="16"/>
      <c r="SVF45" s="16"/>
      <c r="SVG45" s="16"/>
      <c r="SVH45" s="16"/>
      <c r="SVI45" s="16"/>
      <c r="SVJ45" s="16"/>
      <c r="SVK45" s="16"/>
      <c r="SVL45" s="16"/>
      <c r="SVM45" s="16"/>
      <c r="SVN45" s="16"/>
      <c r="SVO45" s="16"/>
      <c r="SVP45" s="16"/>
      <c r="SVQ45" s="16"/>
      <c r="SVR45" s="16"/>
      <c r="SVS45" s="16"/>
      <c r="SVT45" s="16"/>
      <c r="SVU45" s="16"/>
      <c r="SVV45" s="16"/>
      <c r="SVW45" s="16"/>
      <c r="SVX45" s="16"/>
      <c r="SVY45" s="16"/>
      <c r="SVZ45" s="16"/>
      <c r="SWA45" s="16"/>
      <c r="SWB45" s="16"/>
      <c r="SWC45" s="16"/>
      <c r="SWD45" s="16"/>
      <c r="SWE45" s="16"/>
      <c r="SWF45" s="16"/>
      <c r="SWG45" s="16"/>
      <c r="SWH45" s="16"/>
      <c r="SWI45" s="16"/>
      <c r="SWJ45" s="16"/>
      <c r="SWK45" s="16"/>
      <c r="SWL45" s="16"/>
      <c r="SWM45" s="16"/>
      <c r="SWN45" s="16"/>
      <c r="SWO45" s="16"/>
      <c r="SWP45" s="16"/>
      <c r="SWQ45" s="16"/>
      <c r="SWR45" s="16"/>
      <c r="SWS45" s="16"/>
      <c r="SWT45" s="16"/>
      <c r="SWU45" s="16"/>
      <c r="SWV45" s="16"/>
      <c r="SWW45" s="16"/>
      <c r="SWX45" s="16"/>
      <c r="SWY45" s="16"/>
      <c r="SWZ45" s="16"/>
      <c r="SXA45" s="16"/>
      <c r="SXB45" s="16"/>
      <c r="SXC45" s="16"/>
      <c r="SXD45" s="16"/>
      <c r="SXE45" s="16"/>
      <c r="SXF45" s="16"/>
      <c r="SXG45" s="16"/>
      <c r="SXH45" s="16"/>
      <c r="SXI45" s="16"/>
      <c r="SXJ45" s="16"/>
      <c r="SXK45" s="16"/>
      <c r="SXL45" s="16"/>
      <c r="SXM45" s="16"/>
      <c r="SXN45" s="16"/>
      <c r="SXO45" s="16"/>
      <c r="SXP45" s="16"/>
      <c r="SXQ45" s="16"/>
      <c r="SXR45" s="16"/>
      <c r="SXS45" s="16"/>
      <c r="SXT45" s="16"/>
      <c r="SXU45" s="16"/>
      <c r="SXV45" s="16"/>
      <c r="SXW45" s="16"/>
      <c r="SXX45" s="16"/>
      <c r="SXY45" s="16"/>
      <c r="SXZ45" s="16"/>
      <c r="SYA45" s="16"/>
      <c r="SYB45" s="16"/>
      <c r="SYC45" s="16"/>
      <c r="SYD45" s="16"/>
      <c r="SYE45" s="16"/>
      <c r="SYF45" s="16"/>
      <c r="SYG45" s="16"/>
      <c r="SYH45" s="16"/>
      <c r="SYI45" s="16"/>
      <c r="SYJ45" s="16"/>
      <c r="SYK45" s="16"/>
      <c r="SYL45" s="16"/>
      <c r="SYM45" s="16"/>
      <c r="SYN45" s="16"/>
      <c r="SYO45" s="16"/>
      <c r="SYP45" s="16"/>
      <c r="SYQ45" s="16"/>
      <c r="SYR45" s="16"/>
      <c r="SYS45" s="16"/>
      <c r="SYT45" s="16"/>
      <c r="SYU45" s="16"/>
      <c r="SYV45" s="16"/>
      <c r="SYW45" s="16"/>
      <c r="SYX45" s="16"/>
      <c r="SYY45" s="16"/>
      <c r="SYZ45" s="16"/>
      <c r="SZA45" s="16"/>
      <c r="SZB45" s="16"/>
      <c r="SZC45" s="16"/>
      <c r="SZD45" s="16"/>
      <c r="SZE45" s="16"/>
      <c r="SZF45" s="16"/>
      <c r="SZG45" s="16"/>
      <c r="SZH45" s="16"/>
      <c r="SZI45" s="16"/>
      <c r="SZJ45" s="16"/>
      <c r="SZK45" s="16"/>
      <c r="SZL45" s="16"/>
      <c r="SZM45" s="16"/>
      <c r="SZN45" s="16"/>
      <c r="SZO45" s="16"/>
      <c r="SZP45" s="16"/>
      <c r="SZQ45" s="16"/>
      <c r="SZR45" s="16"/>
      <c r="SZS45" s="16"/>
      <c r="SZT45" s="16"/>
      <c r="SZU45" s="16"/>
      <c r="SZV45" s="16"/>
      <c r="SZW45" s="16"/>
      <c r="SZX45" s="16"/>
      <c r="SZY45" s="16"/>
      <c r="SZZ45" s="16"/>
      <c r="TAA45" s="16"/>
      <c r="TAB45" s="16"/>
      <c r="TAC45" s="16"/>
      <c r="TAD45" s="16"/>
      <c r="TAE45" s="16"/>
      <c r="TAF45" s="16"/>
      <c r="TAG45" s="16"/>
      <c r="TAH45" s="16"/>
      <c r="TAI45" s="16"/>
      <c r="TAJ45" s="16"/>
      <c r="TAK45" s="16"/>
      <c r="TAL45" s="16"/>
      <c r="TAM45" s="16"/>
      <c r="TAN45" s="16"/>
      <c r="TAO45" s="16"/>
      <c r="TAP45" s="16"/>
      <c r="TAQ45" s="16"/>
      <c r="TAR45" s="16"/>
      <c r="TAS45" s="16"/>
      <c r="TAT45" s="16"/>
      <c r="TAU45" s="16"/>
      <c r="TAV45" s="16"/>
      <c r="TAW45" s="16"/>
      <c r="TAX45" s="16"/>
      <c r="TAY45" s="16"/>
      <c r="TAZ45" s="16"/>
      <c r="TBA45" s="16"/>
      <c r="TBB45" s="16"/>
      <c r="TBC45" s="16"/>
      <c r="TBD45" s="16"/>
      <c r="TBE45" s="16"/>
      <c r="TBF45" s="16"/>
      <c r="TBG45" s="16"/>
      <c r="TBH45" s="16"/>
      <c r="TBI45" s="16"/>
      <c r="TBJ45" s="16"/>
      <c r="TBK45" s="16"/>
      <c r="TBL45" s="16"/>
      <c r="TBM45" s="16"/>
      <c r="TBN45" s="16"/>
      <c r="TBO45" s="16"/>
      <c r="TBP45" s="16"/>
      <c r="TBQ45" s="16"/>
      <c r="TBR45" s="16"/>
      <c r="TBS45" s="16"/>
      <c r="TBT45" s="16"/>
      <c r="TBU45" s="16"/>
      <c r="TBV45" s="16"/>
      <c r="TBW45" s="16"/>
      <c r="TBX45" s="16"/>
      <c r="TBY45" s="16"/>
      <c r="TBZ45" s="16"/>
      <c r="TCA45" s="16"/>
      <c r="TCB45" s="16"/>
      <c r="TCC45" s="16"/>
      <c r="TCD45" s="16"/>
      <c r="TCE45" s="16"/>
      <c r="TCF45" s="16"/>
      <c r="TCG45" s="16"/>
      <c r="TCH45" s="16"/>
      <c r="TCI45" s="16"/>
      <c r="TCJ45" s="16"/>
      <c r="TCK45" s="16"/>
      <c r="TCL45" s="16"/>
      <c r="TCM45" s="16"/>
      <c r="TCN45" s="16"/>
      <c r="TCO45" s="16"/>
      <c r="TCP45" s="16"/>
      <c r="TCQ45" s="16"/>
      <c r="TCR45" s="16"/>
      <c r="TCS45" s="16"/>
      <c r="TCT45" s="16"/>
      <c r="TCU45" s="16"/>
      <c r="TCV45" s="16"/>
      <c r="TCW45" s="16"/>
      <c r="TCX45" s="16"/>
      <c r="TCY45" s="16"/>
      <c r="TCZ45" s="16"/>
      <c r="TDA45" s="16"/>
      <c r="TDB45" s="16"/>
      <c r="TDC45" s="16"/>
      <c r="TDD45" s="16"/>
      <c r="TDE45" s="16"/>
      <c r="TDF45" s="16"/>
      <c r="TDG45" s="16"/>
      <c r="TDH45" s="16"/>
      <c r="TDI45" s="16"/>
      <c r="TDJ45" s="16"/>
      <c r="TDK45" s="16"/>
      <c r="TDL45" s="16"/>
      <c r="TDM45" s="16"/>
      <c r="TDN45" s="16"/>
      <c r="TDO45" s="16"/>
      <c r="TDP45" s="16"/>
      <c r="TDQ45" s="16"/>
      <c r="TDR45" s="16"/>
      <c r="TDS45" s="16"/>
      <c r="TDT45" s="16"/>
      <c r="TDU45" s="16"/>
      <c r="TDV45" s="16"/>
      <c r="TDW45" s="16"/>
      <c r="TDX45" s="16"/>
      <c r="TDY45" s="16"/>
      <c r="TDZ45" s="16"/>
      <c r="TEA45" s="16"/>
      <c r="TEB45" s="16"/>
      <c r="TEC45" s="16"/>
      <c r="TED45" s="16"/>
      <c r="TEE45" s="16"/>
      <c r="TEF45" s="16"/>
      <c r="TEG45" s="16"/>
      <c r="TEH45" s="16"/>
      <c r="TEI45" s="16"/>
      <c r="TEJ45" s="16"/>
      <c r="TEK45" s="16"/>
      <c r="TEL45" s="16"/>
      <c r="TEM45" s="16"/>
      <c r="TEN45" s="16"/>
      <c r="TEO45" s="16"/>
      <c r="TEP45" s="16"/>
      <c r="TEQ45" s="16"/>
      <c r="TER45" s="16"/>
      <c r="TES45" s="16"/>
      <c r="TET45" s="16"/>
      <c r="TEU45" s="16"/>
      <c r="TEV45" s="16"/>
      <c r="TEW45" s="16"/>
      <c r="TEX45" s="16"/>
      <c r="TEY45" s="16"/>
      <c r="TEZ45" s="16"/>
      <c r="TFA45" s="16"/>
      <c r="TFB45" s="16"/>
      <c r="TFC45" s="16"/>
      <c r="TFD45" s="16"/>
      <c r="TFE45" s="16"/>
      <c r="TFF45" s="16"/>
      <c r="TFG45" s="16"/>
      <c r="TFH45" s="16"/>
      <c r="TFI45" s="16"/>
      <c r="TFJ45" s="16"/>
      <c r="TFK45" s="16"/>
      <c r="TFL45" s="16"/>
      <c r="TFM45" s="16"/>
      <c r="TFN45" s="16"/>
      <c r="TFO45" s="16"/>
      <c r="TFP45" s="16"/>
      <c r="TFQ45" s="16"/>
      <c r="TFR45" s="16"/>
      <c r="TFS45" s="16"/>
      <c r="TFT45" s="16"/>
      <c r="TFU45" s="16"/>
      <c r="TFV45" s="16"/>
      <c r="TFW45" s="16"/>
      <c r="TFX45" s="16"/>
      <c r="TFY45" s="16"/>
      <c r="TFZ45" s="16"/>
      <c r="TGA45" s="16"/>
      <c r="TGB45" s="16"/>
      <c r="TGC45" s="16"/>
      <c r="TGD45" s="16"/>
      <c r="TGE45" s="16"/>
      <c r="TGF45" s="16"/>
      <c r="TGG45" s="16"/>
      <c r="TGH45" s="16"/>
      <c r="TGI45" s="16"/>
      <c r="TGJ45" s="16"/>
      <c r="TGK45" s="16"/>
      <c r="TGL45" s="16"/>
      <c r="TGM45" s="16"/>
      <c r="TGN45" s="16"/>
      <c r="TGO45" s="16"/>
      <c r="TGP45" s="16"/>
      <c r="TGQ45" s="16"/>
      <c r="TGR45" s="16"/>
      <c r="TGS45" s="16"/>
      <c r="TGT45" s="16"/>
      <c r="TGU45" s="16"/>
      <c r="TGV45" s="16"/>
      <c r="TGW45" s="16"/>
      <c r="TGX45" s="16"/>
      <c r="TGY45" s="16"/>
      <c r="TGZ45" s="16"/>
      <c r="THA45" s="16"/>
      <c r="THB45" s="16"/>
      <c r="THC45" s="16"/>
      <c r="THD45" s="16"/>
      <c r="THE45" s="16"/>
      <c r="THF45" s="16"/>
      <c r="THG45" s="16"/>
      <c r="THH45" s="16"/>
      <c r="THI45" s="16"/>
      <c r="THJ45" s="16"/>
      <c r="THK45" s="16"/>
      <c r="THL45" s="16"/>
      <c r="THM45" s="16"/>
      <c r="THN45" s="16"/>
      <c r="THO45" s="16"/>
      <c r="THP45" s="16"/>
      <c r="THQ45" s="16"/>
      <c r="THR45" s="16"/>
      <c r="THS45" s="16"/>
      <c r="THT45" s="16"/>
      <c r="THU45" s="16"/>
      <c r="THV45" s="16"/>
      <c r="THW45" s="16"/>
      <c r="THX45" s="16"/>
      <c r="THY45" s="16"/>
      <c r="THZ45" s="16"/>
      <c r="TIA45" s="16"/>
      <c r="TIB45" s="16"/>
      <c r="TIC45" s="16"/>
      <c r="TID45" s="16"/>
      <c r="TIE45" s="16"/>
      <c r="TIF45" s="16"/>
      <c r="TIG45" s="16"/>
      <c r="TIH45" s="16"/>
      <c r="TII45" s="16"/>
      <c r="TIJ45" s="16"/>
      <c r="TIK45" s="16"/>
      <c r="TIL45" s="16"/>
      <c r="TIM45" s="16"/>
      <c r="TIN45" s="16"/>
      <c r="TIO45" s="16"/>
      <c r="TIP45" s="16"/>
      <c r="TIQ45" s="16"/>
      <c r="TIR45" s="16"/>
      <c r="TIS45" s="16"/>
      <c r="TIT45" s="16"/>
      <c r="TIU45" s="16"/>
      <c r="TIV45" s="16"/>
      <c r="TIW45" s="16"/>
      <c r="TIX45" s="16"/>
      <c r="TIY45" s="16"/>
      <c r="TIZ45" s="16"/>
      <c r="TJA45" s="16"/>
      <c r="TJB45" s="16"/>
      <c r="TJC45" s="16"/>
      <c r="TJD45" s="16"/>
      <c r="TJE45" s="16"/>
      <c r="TJF45" s="16"/>
      <c r="TJG45" s="16"/>
      <c r="TJH45" s="16"/>
      <c r="TJI45" s="16"/>
      <c r="TJJ45" s="16"/>
      <c r="TJK45" s="16"/>
      <c r="TJL45" s="16"/>
      <c r="TJM45" s="16"/>
      <c r="TJN45" s="16"/>
      <c r="TJO45" s="16"/>
      <c r="TJP45" s="16"/>
      <c r="TJQ45" s="16"/>
      <c r="TJR45" s="16"/>
      <c r="TJS45" s="16"/>
      <c r="TJT45" s="16"/>
      <c r="TJU45" s="16"/>
      <c r="TJV45" s="16"/>
      <c r="TJW45" s="16"/>
      <c r="TJX45" s="16"/>
      <c r="TJY45" s="16"/>
      <c r="TJZ45" s="16"/>
      <c r="TKA45" s="16"/>
      <c r="TKB45" s="16"/>
      <c r="TKC45" s="16"/>
      <c r="TKD45" s="16"/>
      <c r="TKE45" s="16"/>
      <c r="TKF45" s="16"/>
      <c r="TKG45" s="16"/>
      <c r="TKH45" s="16"/>
      <c r="TKI45" s="16"/>
      <c r="TKJ45" s="16"/>
      <c r="TKK45" s="16"/>
      <c r="TKL45" s="16"/>
      <c r="TKM45" s="16"/>
      <c r="TKN45" s="16"/>
      <c r="TKO45" s="16"/>
      <c r="TKP45" s="16"/>
      <c r="TKQ45" s="16"/>
      <c r="TKR45" s="16"/>
      <c r="TKS45" s="16"/>
      <c r="TKT45" s="16"/>
      <c r="TKU45" s="16"/>
      <c r="TKV45" s="16"/>
      <c r="TKW45" s="16"/>
      <c r="TKX45" s="16"/>
      <c r="TKY45" s="16"/>
      <c r="TKZ45" s="16"/>
      <c r="TLA45" s="16"/>
      <c r="TLB45" s="16"/>
      <c r="TLC45" s="16"/>
      <c r="TLD45" s="16"/>
      <c r="TLE45" s="16"/>
      <c r="TLF45" s="16"/>
      <c r="TLG45" s="16"/>
      <c r="TLH45" s="16"/>
      <c r="TLI45" s="16"/>
      <c r="TLJ45" s="16"/>
      <c r="TLK45" s="16"/>
      <c r="TLL45" s="16"/>
      <c r="TLM45" s="16"/>
      <c r="TLN45" s="16"/>
      <c r="TLO45" s="16"/>
      <c r="TLP45" s="16"/>
      <c r="TLQ45" s="16"/>
      <c r="TLR45" s="16"/>
      <c r="TLS45" s="16"/>
      <c r="TLT45" s="16"/>
      <c r="TLU45" s="16"/>
      <c r="TLV45" s="16"/>
      <c r="TLW45" s="16"/>
      <c r="TLX45" s="16"/>
      <c r="TLY45" s="16"/>
      <c r="TLZ45" s="16"/>
      <c r="TMA45" s="16"/>
      <c r="TMB45" s="16"/>
      <c r="TMC45" s="16"/>
      <c r="TMD45" s="16"/>
      <c r="TME45" s="16"/>
      <c r="TMF45" s="16"/>
      <c r="TMG45" s="16"/>
      <c r="TMH45" s="16"/>
      <c r="TMI45" s="16"/>
      <c r="TMJ45" s="16"/>
      <c r="TMK45" s="16"/>
      <c r="TML45" s="16"/>
      <c r="TMM45" s="16"/>
      <c r="TMN45" s="16"/>
      <c r="TMO45" s="16"/>
      <c r="TMP45" s="16"/>
      <c r="TMQ45" s="16"/>
      <c r="TMR45" s="16"/>
      <c r="TMS45" s="16"/>
      <c r="TMT45" s="16"/>
      <c r="TMU45" s="16"/>
      <c r="TMV45" s="16"/>
      <c r="TMW45" s="16"/>
      <c r="TMX45" s="16"/>
      <c r="TMY45" s="16"/>
      <c r="TMZ45" s="16"/>
      <c r="TNA45" s="16"/>
      <c r="TNB45" s="16"/>
      <c r="TNC45" s="16"/>
      <c r="TND45" s="16"/>
      <c r="TNE45" s="16"/>
      <c r="TNF45" s="16"/>
      <c r="TNG45" s="16"/>
      <c r="TNH45" s="16"/>
      <c r="TNI45" s="16"/>
      <c r="TNJ45" s="16"/>
      <c r="TNK45" s="16"/>
      <c r="TNL45" s="16"/>
      <c r="TNM45" s="16"/>
      <c r="TNN45" s="16"/>
      <c r="TNO45" s="16"/>
      <c r="TNP45" s="16"/>
      <c r="TNQ45" s="16"/>
      <c r="TNR45" s="16"/>
      <c r="TNS45" s="16"/>
      <c r="TNT45" s="16"/>
      <c r="TNU45" s="16"/>
      <c r="TNV45" s="16"/>
      <c r="TNW45" s="16"/>
      <c r="TNX45" s="16"/>
      <c r="TNY45" s="16"/>
      <c r="TNZ45" s="16"/>
      <c r="TOA45" s="16"/>
      <c r="TOB45" s="16"/>
      <c r="TOC45" s="16"/>
      <c r="TOD45" s="16"/>
      <c r="TOE45" s="16"/>
      <c r="TOF45" s="16"/>
      <c r="TOG45" s="16"/>
      <c r="TOH45" s="16"/>
      <c r="TOI45" s="16"/>
      <c r="TOJ45" s="16"/>
      <c r="TOK45" s="16"/>
      <c r="TOL45" s="16"/>
      <c r="TOM45" s="16"/>
      <c r="TON45" s="16"/>
      <c r="TOO45" s="16"/>
      <c r="TOP45" s="16"/>
      <c r="TOQ45" s="16"/>
      <c r="TOR45" s="16"/>
      <c r="TOS45" s="16"/>
      <c r="TOT45" s="16"/>
      <c r="TOU45" s="16"/>
      <c r="TOV45" s="16"/>
      <c r="TOW45" s="16"/>
      <c r="TOX45" s="16"/>
      <c r="TOY45" s="16"/>
      <c r="TOZ45" s="16"/>
      <c r="TPA45" s="16"/>
      <c r="TPB45" s="16"/>
      <c r="TPC45" s="16"/>
      <c r="TPD45" s="16"/>
      <c r="TPE45" s="16"/>
      <c r="TPF45" s="16"/>
      <c r="TPG45" s="16"/>
      <c r="TPH45" s="16"/>
      <c r="TPI45" s="16"/>
      <c r="TPJ45" s="16"/>
      <c r="TPK45" s="16"/>
      <c r="TPL45" s="16"/>
      <c r="TPM45" s="16"/>
      <c r="TPN45" s="16"/>
      <c r="TPO45" s="16"/>
      <c r="TPP45" s="16"/>
      <c r="TPQ45" s="16"/>
      <c r="TPR45" s="16"/>
      <c r="TPS45" s="16"/>
      <c r="TPT45" s="16"/>
      <c r="TPU45" s="16"/>
      <c r="TPV45" s="16"/>
      <c r="TPW45" s="16"/>
      <c r="TPX45" s="16"/>
      <c r="TPY45" s="16"/>
      <c r="TPZ45" s="16"/>
      <c r="TQA45" s="16"/>
      <c r="TQB45" s="16"/>
      <c r="TQC45" s="16"/>
      <c r="TQD45" s="16"/>
      <c r="TQE45" s="16"/>
      <c r="TQF45" s="16"/>
      <c r="TQG45" s="16"/>
      <c r="TQH45" s="16"/>
      <c r="TQI45" s="16"/>
      <c r="TQJ45" s="16"/>
      <c r="TQK45" s="16"/>
      <c r="TQL45" s="16"/>
      <c r="TQM45" s="16"/>
      <c r="TQN45" s="16"/>
      <c r="TQO45" s="16"/>
      <c r="TQP45" s="16"/>
      <c r="TQQ45" s="16"/>
      <c r="TQR45" s="16"/>
      <c r="TQS45" s="16"/>
      <c r="TQT45" s="16"/>
      <c r="TQU45" s="16"/>
      <c r="TQV45" s="16"/>
      <c r="TQW45" s="16"/>
      <c r="TQX45" s="16"/>
      <c r="TQY45" s="16"/>
      <c r="TQZ45" s="16"/>
      <c r="TRA45" s="16"/>
      <c r="TRB45" s="16"/>
      <c r="TRC45" s="16"/>
      <c r="TRD45" s="16"/>
      <c r="TRE45" s="16"/>
      <c r="TRF45" s="16"/>
      <c r="TRG45" s="16"/>
      <c r="TRH45" s="16"/>
      <c r="TRI45" s="16"/>
      <c r="TRJ45" s="16"/>
      <c r="TRK45" s="16"/>
      <c r="TRL45" s="16"/>
      <c r="TRM45" s="16"/>
      <c r="TRN45" s="16"/>
      <c r="TRO45" s="16"/>
      <c r="TRP45" s="16"/>
      <c r="TRQ45" s="16"/>
      <c r="TRR45" s="16"/>
      <c r="TRS45" s="16"/>
      <c r="TRT45" s="16"/>
      <c r="TRU45" s="16"/>
      <c r="TRV45" s="16"/>
      <c r="TRW45" s="16"/>
      <c r="TRX45" s="16"/>
      <c r="TRY45" s="16"/>
      <c r="TRZ45" s="16"/>
      <c r="TSA45" s="16"/>
      <c r="TSB45" s="16"/>
      <c r="TSC45" s="16"/>
      <c r="TSD45" s="16"/>
      <c r="TSE45" s="16"/>
      <c r="TSF45" s="16"/>
      <c r="TSG45" s="16"/>
      <c r="TSH45" s="16"/>
      <c r="TSI45" s="16"/>
      <c r="TSJ45" s="16"/>
      <c r="TSK45" s="16"/>
      <c r="TSL45" s="16"/>
      <c r="TSM45" s="16"/>
      <c r="TSN45" s="16"/>
      <c r="TSO45" s="16"/>
      <c r="TSP45" s="16"/>
      <c r="TSQ45" s="16"/>
      <c r="TSR45" s="16"/>
      <c r="TSS45" s="16"/>
      <c r="TST45" s="16"/>
      <c r="TSU45" s="16"/>
      <c r="TSV45" s="16"/>
      <c r="TSW45" s="16"/>
      <c r="TSX45" s="16"/>
      <c r="TSY45" s="16"/>
      <c r="TSZ45" s="16"/>
      <c r="TTA45" s="16"/>
      <c r="TTB45" s="16"/>
      <c r="TTC45" s="16"/>
      <c r="TTD45" s="16"/>
      <c r="TTE45" s="16"/>
      <c r="TTF45" s="16"/>
      <c r="TTG45" s="16"/>
      <c r="TTH45" s="16"/>
      <c r="TTI45" s="16"/>
      <c r="TTJ45" s="16"/>
      <c r="TTK45" s="16"/>
      <c r="TTL45" s="16"/>
      <c r="TTM45" s="16"/>
      <c r="TTN45" s="16"/>
      <c r="TTO45" s="16"/>
      <c r="TTP45" s="16"/>
      <c r="TTQ45" s="16"/>
      <c r="TTR45" s="16"/>
      <c r="TTS45" s="16"/>
      <c r="TTT45" s="16"/>
      <c r="TTU45" s="16"/>
      <c r="TTV45" s="16"/>
      <c r="TTW45" s="16"/>
      <c r="TTX45" s="16"/>
      <c r="TTY45" s="16"/>
      <c r="TTZ45" s="16"/>
      <c r="TUA45" s="16"/>
      <c r="TUB45" s="16"/>
      <c r="TUC45" s="16"/>
      <c r="TUD45" s="16"/>
      <c r="TUE45" s="16"/>
      <c r="TUF45" s="16"/>
      <c r="TUG45" s="16"/>
      <c r="TUH45" s="16"/>
      <c r="TUI45" s="16"/>
      <c r="TUJ45" s="16"/>
      <c r="TUK45" s="16"/>
      <c r="TUL45" s="16"/>
      <c r="TUM45" s="16"/>
      <c r="TUN45" s="16"/>
      <c r="TUO45" s="16"/>
      <c r="TUP45" s="16"/>
      <c r="TUQ45" s="16"/>
      <c r="TUR45" s="16"/>
      <c r="TUS45" s="16"/>
      <c r="TUT45" s="16"/>
      <c r="TUU45" s="16"/>
      <c r="TUV45" s="16"/>
      <c r="TUW45" s="16"/>
      <c r="TUX45" s="16"/>
      <c r="TUY45" s="16"/>
      <c r="TUZ45" s="16"/>
      <c r="TVA45" s="16"/>
      <c r="TVB45" s="16"/>
      <c r="TVC45" s="16"/>
      <c r="TVD45" s="16"/>
      <c r="TVE45" s="16"/>
      <c r="TVF45" s="16"/>
      <c r="TVG45" s="16"/>
      <c r="TVH45" s="16"/>
      <c r="TVI45" s="16"/>
      <c r="TVJ45" s="16"/>
      <c r="TVK45" s="16"/>
      <c r="TVL45" s="16"/>
      <c r="TVM45" s="16"/>
      <c r="TVN45" s="16"/>
      <c r="TVO45" s="16"/>
      <c r="TVP45" s="16"/>
      <c r="TVQ45" s="16"/>
      <c r="TVR45" s="16"/>
      <c r="TVS45" s="16"/>
      <c r="TVT45" s="16"/>
      <c r="TVU45" s="16"/>
      <c r="TVV45" s="16"/>
      <c r="TVW45" s="16"/>
      <c r="TVX45" s="16"/>
      <c r="TVY45" s="16"/>
      <c r="TVZ45" s="16"/>
      <c r="TWA45" s="16"/>
      <c r="TWB45" s="16"/>
      <c r="TWC45" s="16"/>
      <c r="TWD45" s="16"/>
      <c r="TWE45" s="16"/>
      <c r="TWF45" s="16"/>
      <c r="TWG45" s="16"/>
      <c r="TWH45" s="16"/>
      <c r="TWI45" s="16"/>
      <c r="TWJ45" s="16"/>
      <c r="TWK45" s="16"/>
      <c r="TWL45" s="16"/>
      <c r="TWM45" s="16"/>
      <c r="TWN45" s="16"/>
      <c r="TWO45" s="16"/>
      <c r="TWP45" s="16"/>
      <c r="TWQ45" s="16"/>
      <c r="TWR45" s="16"/>
      <c r="TWS45" s="16"/>
      <c r="TWT45" s="16"/>
      <c r="TWU45" s="16"/>
      <c r="TWV45" s="16"/>
      <c r="TWW45" s="16"/>
      <c r="TWX45" s="16"/>
      <c r="TWY45" s="16"/>
      <c r="TWZ45" s="16"/>
      <c r="TXA45" s="16"/>
      <c r="TXB45" s="16"/>
      <c r="TXC45" s="16"/>
      <c r="TXD45" s="16"/>
      <c r="TXE45" s="16"/>
      <c r="TXF45" s="16"/>
      <c r="TXG45" s="16"/>
      <c r="TXH45" s="16"/>
      <c r="TXI45" s="16"/>
      <c r="TXJ45" s="16"/>
      <c r="TXK45" s="16"/>
      <c r="TXL45" s="16"/>
      <c r="TXM45" s="16"/>
      <c r="TXN45" s="16"/>
      <c r="TXO45" s="16"/>
      <c r="TXP45" s="16"/>
      <c r="TXQ45" s="16"/>
      <c r="TXR45" s="16"/>
      <c r="TXS45" s="16"/>
      <c r="TXT45" s="16"/>
      <c r="TXU45" s="16"/>
      <c r="TXV45" s="16"/>
      <c r="TXW45" s="16"/>
      <c r="TXX45" s="16"/>
      <c r="TXY45" s="16"/>
      <c r="TXZ45" s="16"/>
      <c r="TYA45" s="16"/>
      <c r="TYB45" s="16"/>
      <c r="TYC45" s="16"/>
      <c r="TYD45" s="16"/>
      <c r="TYE45" s="16"/>
      <c r="TYF45" s="16"/>
      <c r="TYG45" s="16"/>
      <c r="TYH45" s="16"/>
      <c r="TYI45" s="16"/>
      <c r="TYJ45" s="16"/>
      <c r="TYK45" s="16"/>
      <c r="TYL45" s="16"/>
      <c r="TYM45" s="16"/>
      <c r="TYN45" s="16"/>
      <c r="TYO45" s="16"/>
      <c r="TYP45" s="16"/>
      <c r="TYQ45" s="16"/>
      <c r="TYR45" s="16"/>
      <c r="TYS45" s="16"/>
      <c r="TYT45" s="16"/>
      <c r="TYU45" s="16"/>
      <c r="TYV45" s="16"/>
      <c r="TYW45" s="16"/>
      <c r="TYX45" s="16"/>
      <c r="TYY45" s="16"/>
      <c r="TYZ45" s="16"/>
      <c r="TZA45" s="16"/>
      <c r="TZB45" s="16"/>
      <c r="TZC45" s="16"/>
      <c r="TZD45" s="16"/>
      <c r="TZE45" s="16"/>
      <c r="TZF45" s="16"/>
      <c r="TZG45" s="16"/>
      <c r="TZH45" s="16"/>
      <c r="TZI45" s="16"/>
      <c r="TZJ45" s="16"/>
      <c r="TZK45" s="16"/>
      <c r="TZL45" s="16"/>
      <c r="TZM45" s="16"/>
      <c r="TZN45" s="16"/>
      <c r="TZO45" s="16"/>
      <c r="TZP45" s="16"/>
      <c r="TZQ45" s="16"/>
      <c r="TZR45" s="16"/>
      <c r="TZS45" s="16"/>
      <c r="TZT45" s="16"/>
      <c r="TZU45" s="16"/>
      <c r="TZV45" s="16"/>
      <c r="TZW45" s="16"/>
      <c r="TZX45" s="16"/>
      <c r="TZY45" s="16"/>
      <c r="TZZ45" s="16"/>
      <c r="UAA45" s="16"/>
      <c r="UAB45" s="16"/>
      <c r="UAC45" s="16"/>
      <c r="UAD45" s="16"/>
      <c r="UAE45" s="16"/>
      <c r="UAF45" s="16"/>
      <c r="UAG45" s="16"/>
      <c r="UAH45" s="16"/>
      <c r="UAI45" s="16"/>
      <c r="UAJ45" s="16"/>
      <c r="UAK45" s="16"/>
      <c r="UAL45" s="16"/>
      <c r="UAM45" s="16"/>
      <c r="UAN45" s="16"/>
      <c r="UAO45" s="16"/>
      <c r="UAP45" s="16"/>
      <c r="UAQ45" s="16"/>
      <c r="UAR45" s="16"/>
      <c r="UAS45" s="16"/>
      <c r="UAT45" s="16"/>
      <c r="UAU45" s="16"/>
      <c r="UAV45" s="16"/>
      <c r="UAW45" s="16"/>
      <c r="UAX45" s="16"/>
      <c r="UAY45" s="16"/>
      <c r="UAZ45" s="16"/>
      <c r="UBA45" s="16"/>
      <c r="UBB45" s="16"/>
      <c r="UBC45" s="16"/>
      <c r="UBD45" s="16"/>
      <c r="UBE45" s="16"/>
      <c r="UBF45" s="16"/>
      <c r="UBG45" s="16"/>
      <c r="UBH45" s="16"/>
      <c r="UBI45" s="16"/>
      <c r="UBJ45" s="16"/>
      <c r="UBK45" s="16"/>
      <c r="UBL45" s="16"/>
      <c r="UBM45" s="16"/>
      <c r="UBN45" s="16"/>
      <c r="UBO45" s="16"/>
      <c r="UBP45" s="16"/>
      <c r="UBQ45" s="16"/>
      <c r="UBR45" s="16"/>
      <c r="UBS45" s="16"/>
      <c r="UBT45" s="16"/>
      <c r="UBU45" s="16"/>
      <c r="UBV45" s="16"/>
      <c r="UBW45" s="16"/>
      <c r="UBX45" s="16"/>
      <c r="UBY45" s="16"/>
      <c r="UBZ45" s="16"/>
      <c r="UCA45" s="16"/>
      <c r="UCB45" s="16"/>
      <c r="UCC45" s="16"/>
      <c r="UCD45" s="16"/>
      <c r="UCE45" s="16"/>
      <c r="UCF45" s="16"/>
      <c r="UCG45" s="16"/>
      <c r="UCH45" s="16"/>
      <c r="UCI45" s="16"/>
      <c r="UCJ45" s="16"/>
      <c r="UCK45" s="16"/>
      <c r="UCL45" s="16"/>
      <c r="UCM45" s="16"/>
      <c r="UCN45" s="16"/>
      <c r="UCO45" s="16"/>
      <c r="UCP45" s="16"/>
      <c r="UCQ45" s="16"/>
      <c r="UCR45" s="16"/>
      <c r="UCS45" s="16"/>
      <c r="UCT45" s="16"/>
      <c r="UCU45" s="16"/>
      <c r="UCV45" s="16"/>
      <c r="UCW45" s="16"/>
      <c r="UCX45" s="16"/>
      <c r="UCY45" s="16"/>
      <c r="UCZ45" s="16"/>
      <c r="UDA45" s="16"/>
      <c r="UDB45" s="16"/>
      <c r="UDC45" s="16"/>
      <c r="UDD45" s="16"/>
      <c r="UDE45" s="16"/>
      <c r="UDF45" s="16"/>
      <c r="UDG45" s="16"/>
      <c r="UDH45" s="16"/>
      <c r="UDI45" s="16"/>
      <c r="UDJ45" s="16"/>
      <c r="UDK45" s="16"/>
      <c r="UDL45" s="16"/>
      <c r="UDM45" s="16"/>
      <c r="UDN45" s="16"/>
      <c r="UDO45" s="16"/>
      <c r="UDP45" s="16"/>
      <c r="UDQ45" s="16"/>
      <c r="UDR45" s="16"/>
      <c r="UDS45" s="16"/>
      <c r="UDT45" s="16"/>
      <c r="UDU45" s="16"/>
      <c r="UDV45" s="16"/>
      <c r="UDW45" s="16"/>
      <c r="UDX45" s="16"/>
      <c r="UDY45" s="16"/>
      <c r="UDZ45" s="16"/>
      <c r="UEA45" s="16"/>
      <c r="UEB45" s="16"/>
      <c r="UEC45" s="16"/>
      <c r="UED45" s="16"/>
      <c r="UEE45" s="16"/>
      <c r="UEF45" s="16"/>
      <c r="UEG45" s="16"/>
      <c r="UEH45" s="16"/>
      <c r="UEI45" s="16"/>
      <c r="UEJ45" s="16"/>
      <c r="UEK45" s="16"/>
      <c r="UEL45" s="16"/>
      <c r="UEM45" s="16"/>
      <c r="UEN45" s="16"/>
      <c r="UEO45" s="16"/>
      <c r="UEP45" s="16"/>
      <c r="UEQ45" s="16"/>
      <c r="UER45" s="16"/>
      <c r="UES45" s="16"/>
      <c r="UET45" s="16"/>
      <c r="UEU45" s="16"/>
      <c r="UEV45" s="16"/>
      <c r="UEW45" s="16"/>
      <c r="UEX45" s="16"/>
      <c r="UEY45" s="16"/>
      <c r="UEZ45" s="16"/>
      <c r="UFA45" s="16"/>
      <c r="UFB45" s="16"/>
      <c r="UFC45" s="16"/>
      <c r="UFD45" s="16"/>
      <c r="UFE45" s="16"/>
      <c r="UFF45" s="16"/>
      <c r="UFG45" s="16"/>
      <c r="UFH45" s="16"/>
      <c r="UFI45" s="16"/>
      <c r="UFJ45" s="16"/>
      <c r="UFK45" s="16"/>
      <c r="UFL45" s="16"/>
      <c r="UFM45" s="16"/>
      <c r="UFN45" s="16"/>
      <c r="UFO45" s="16"/>
      <c r="UFP45" s="16"/>
      <c r="UFQ45" s="16"/>
      <c r="UFR45" s="16"/>
      <c r="UFS45" s="16"/>
      <c r="UFT45" s="16"/>
      <c r="UFU45" s="16"/>
      <c r="UFV45" s="16"/>
      <c r="UFW45" s="16"/>
      <c r="UFX45" s="16"/>
      <c r="UFY45" s="16"/>
      <c r="UFZ45" s="16"/>
      <c r="UGA45" s="16"/>
      <c r="UGB45" s="16"/>
      <c r="UGC45" s="16"/>
      <c r="UGD45" s="16"/>
      <c r="UGE45" s="16"/>
      <c r="UGF45" s="16"/>
      <c r="UGG45" s="16"/>
      <c r="UGH45" s="16"/>
      <c r="UGI45" s="16"/>
      <c r="UGJ45" s="16"/>
      <c r="UGK45" s="16"/>
      <c r="UGL45" s="16"/>
      <c r="UGM45" s="16"/>
      <c r="UGN45" s="16"/>
      <c r="UGO45" s="16"/>
      <c r="UGP45" s="16"/>
      <c r="UGQ45" s="16"/>
      <c r="UGR45" s="16"/>
      <c r="UGS45" s="16"/>
      <c r="UGT45" s="16"/>
      <c r="UGU45" s="16"/>
      <c r="UGV45" s="16"/>
      <c r="UGW45" s="16"/>
      <c r="UGX45" s="16"/>
      <c r="UGY45" s="16"/>
      <c r="UGZ45" s="16"/>
      <c r="UHA45" s="16"/>
      <c r="UHB45" s="16"/>
      <c r="UHC45" s="16"/>
      <c r="UHD45" s="16"/>
      <c r="UHE45" s="16"/>
      <c r="UHF45" s="16"/>
      <c r="UHG45" s="16"/>
      <c r="UHH45" s="16"/>
      <c r="UHI45" s="16"/>
      <c r="UHJ45" s="16"/>
      <c r="UHK45" s="16"/>
      <c r="UHL45" s="16"/>
      <c r="UHM45" s="16"/>
      <c r="UHN45" s="16"/>
      <c r="UHO45" s="16"/>
      <c r="UHP45" s="16"/>
      <c r="UHQ45" s="16"/>
      <c r="UHR45" s="16"/>
      <c r="UHS45" s="16"/>
      <c r="UHT45" s="16"/>
      <c r="UHU45" s="16"/>
      <c r="UHV45" s="16"/>
      <c r="UHW45" s="16"/>
      <c r="UHX45" s="16"/>
      <c r="UHY45" s="16"/>
      <c r="UHZ45" s="16"/>
      <c r="UIA45" s="16"/>
      <c r="UIB45" s="16"/>
      <c r="UIC45" s="16"/>
      <c r="UID45" s="16"/>
      <c r="UIE45" s="16"/>
      <c r="UIF45" s="16"/>
      <c r="UIG45" s="16"/>
      <c r="UIH45" s="16"/>
      <c r="UII45" s="16"/>
      <c r="UIJ45" s="16"/>
      <c r="UIK45" s="16"/>
      <c r="UIL45" s="16"/>
      <c r="UIM45" s="16"/>
      <c r="UIN45" s="16"/>
      <c r="UIO45" s="16"/>
      <c r="UIP45" s="16"/>
      <c r="UIQ45" s="16"/>
      <c r="UIR45" s="16"/>
      <c r="UIS45" s="16"/>
      <c r="UIT45" s="16"/>
      <c r="UIU45" s="16"/>
      <c r="UIV45" s="16"/>
      <c r="UIW45" s="16"/>
      <c r="UIX45" s="16"/>
      <c r="UIY45" s="16"/>
      <c r="UIZ45" s="16"/>
      <c r="UJA45" s="16"/>
      <c r="UJB45" s="16"/>
      <c r="UJC45" s="16"/>
      <c r="UJD45" s="16"/>
      <c r="UJE45" s="16"/>
      <c r="UJF45" s="16"/>
      <c r="UJG45" s="16"/>
      <c r="UJH45" s="16"/>
      <c r="UJI45" s="16"/>
      <c r="UJJ45" s="16"/>
      <c r="UJK45" s="16"/>
      <c r="UJL45" s="16"/>
      <c r="UJM45" s="16"/>
      <c r="UJN45" s="16"/>
      <c r="UJO45" s="16"/>
      <c r="UJP45" s="16"/>
      <c r="UJQ45" s="16"/>
      <c r="UJR45" s="16"/>
      <c r="UJS45" s="16"/>
      <c r="UJT45" s="16"/>
      <c r="UJU45" s="16"/>
      <c r="UJV45" s="16"/>
      <c r="UJW45" s="16"/>
      <c r="UJX45" s="16"/>
      <c r="UJY45" s="16"/>
      <c r="UJZ45" s="16"/>
      <c r="UKA45" s="16"/>
      <c r="UKB45" s="16"/>
      <c r="UKC45" s="16"/>
      <c r="UKD45" s="16"/>
      <c r="UKE45" s="16"/>
      <c r="UKF45" s="16"/>
      <c r="UKG45" s="16"/>
      <c r="UKH45" s="16"/>
      <c r="UKI45" s="16"/>
      <c r="UKJ45" s="16"/>
      <c r="UKK45" s="16"/>
      <c r="UKL45" s="16"/>
      <c r="UKM45" s="16"/>
      <c r="UKN45" s="16"/>
      <c r="UKO45" s="16"/>
      <c r="UKP45" s="16"/>
      <c r="UKQ45" s="16"/>
      <c r="UKR45" s="16"/>
      <c r="UKS45" s="16"/>
      <c r="UKT45" s="16"/>
      <c r="UKU45" s="16"/>
      <c r="UKV45" s="16"/>
      <c r="UKW45" s="16"/>
      <c r="UKX45" s="16"/>
      <c r="UKY45" s="16"/>
      <c r="UKZ45" s="16"/>
      <c r="ULA45" s="16"/>
      <c r="ULB45" s="16"/>
      <c r="ULC45" s="16"/>
      <c r="ULD45" s="16"/>
      <c r="ULE45" s="16"/>
      <c r="ULF45" s="16"/>
      <c r="ULG45" s="16"/>
      <c r="ULH45" s="16"/>
      <c r="ULI45" s="16"/>
      <c r="ULJ45" s="16"/>
      <c r="ULK45" s="16"/>
      <c r="ULL45" s="16"/>
      <c r="ULM45" s="16"/>
      <c r="ULN45" s="16"/>
      <c r="ULO45" s="16"/>
      <c r="ULP45" s="16"/>
      <c r="ULQ45" s="16"/>
      <c r="ULR45" s="16"/>
      <c r="ULS45" s="16"/>
      <c r="ULT45" s="16"/>
      <c r="ULU45" s="16"/>
      <c r="ULV45" s="16"/>
      <c r="ULW45" s="16"/>
      <c r="ULX45" s="16"/>
      <c r="ULY45" s="16"/>
      <c r="ULZ45" s="16"/>
      <c r="UMA45" s="16"/>
      <c r="UMB45" s="16"/>
      <c r="UMC45" s="16"/>
      <c r="UMD45" s="16"/>
      <c r="UME45" s="16"/>
      <c r="UMF45" s="16"/>
      <c r="UMG45" s="16"/>
      <c r="UMH45" s="16"/>
      <c r="UMI45" s="16"/>
      <c r="UMJ45" s="16"/>
      <c r="UMK45" s="16"/>
      <c r="UML45" s="16"/>
      <c r="UMM45" s="16"/>
      <c r="UMN45" s="16"/>
      <c r="UMO45" s="16"/>
      <c r="UMP45" s="16"/>
      <c r="UMQ45" s="16"/>
      <c r="UMR45" s="16"/>
      <c r="UMS45" s="16"/>
      <c r="UMT45" s="16"/>
      <c r="UMU45" s="16"/>
      <c r="UMV45" s="16"/>
      <c r="UMW45" s="16"/>
      <c r="UMX45" s="16"/>
      <c r="UMY45" s="16"/>
      <c r="UMZ45" s="16"/>
      <c r="UNA45" s="16"/>
      <c r="UNB45" s="16"/>
      <c r="UNC45" s="16"/>
      <c r="UND45" s="16"/>
      <c r="UNE45" s="16"/>
      <c r="UNF45" s="16"/>
      <c r="UNG45" s="16"/>
      <c r="UNH45" s="16"/>
      <c r="UNI45" s="16"/>
      <c r="UNJ45" s="16"/>
      <c r="UNK45" s="16"/>
      <c r="UNL45" s="16"/>
      <c r="UNM45" s="16"/>
      <c r="UNN45" s="16"/>
      <c r="UNO45" s="16"/>
      <c r="UNP45" s="16"/>
      <c r="UNQ45" s="16"/>
      <c r="UNR45" s="16"/>
      <c r="UNS45" s="16"/>
      <c r="UNT45" s="16"/>
      <c r="UNU45" s="16"/>
      <c r="UNV45" s="16"/>
      <c r="UNW45" s="16"/>
      <c r="UNX45" s="16"/>
      <c r="UNY45" s="16"/>
      <c r="UNZ45" s="16"/>
      <c r="UOA45" s="16"/>
      <c r="UOB45" s="16"/>
      <c r="UOC45" s="16"/>
      <c r="UOD45" s="16"/>
      <c r="UOE45" s="16"/>
      <c r="UOF45" s="16"/>
      <c r="UOG45" s="16"/>
      <c r="UOH45" s="16"/>
      <c r="UOI45" s="16"/>
      <c r="UOJ45" s="16"/>
      <c r="UOK45" s="16"/>
      <c r="UOL45" s="16"/>
      <c r="UOM45" s="16"/>
      <c r="UON45" s="16"/>
      <c r="UOO45" s="16"/>
      <c r="UOP45" s="16"/>
      <c r="UOQ45" s="16"/>
      <c r="UOR45" s="16"/>
      <c r="UOS45" s="16"/>
      <c r="UOT45" s="16"/>
      <c r="UOU45" s="16"/>
      <c r="UOV45" s="16"/>
      <c r="UOW45" s="16"/>
      <c r="UOX45" s="16"/>
      <c r="UOY45" s="16"/>
      <c r="UOZ45" s="16"/>
      <c r="UPA45" s="16"/>
      <c r="UPB45" s="16"/>
      <c r="UPC45" s="16"/>
      <c r="UPD45" s="16"/>
      <c r="UPE45" s="16"/>
      <c r="UPF45" s="16"/>
      <c r="UPG45" s="16"/>
      <c r="UPH45" s="16"/>
      <c r="UPI45" s="16"/>
      <c r="UPJ45" s="16"/>
      <c r="UPK45" s="16"/>
      <c r="UPL45" s="16"/>
      <c r="UPM45" s="16"/>
      <c r="UPN45" s="16"/>
      <c r="UPO45" s="16"/>
      <c r="UPP45" s="16"/>
      <c r="UPQ45" s="16"/>
      <c r="UPR45" s="16"/>
      <c r="UPS45" s="16"/>
      <c r="UPT45" s="16"/>
      <c r="UPU45" s="16"/>
      <c r="UPV45" s="16"/>
      <c r="UPW45" s="16"/>
      <c r="UPX45" s="16"/>
      <c r="UPY45" s="16"/>
      <c r="UPZ45" s="16"/>
      <c r="UQA45" s="16"/>
      <c r="UQB45" s="16"/>
      <c r="UQC45" s="16"/>
      <c r="UQD45" s="16"/>
      <c r="UQE45" s="16"/>
      <c r="UQF45" s="16"/>
      <c r="UQG45" s="16"/>
      <c r="UQH45" s="16"/>
      <c r="UQI45" s="16"/>
      <c r="UQJ45" s="16"/>
      <c r="UQK45" s="16"/>
      <c r="UQL45" s="16"/>
      <c r="UQM45" s="16"/>
      <c r="UQN45" s="16"/>
      <c r="UQO45" s="16"/>
      <c r="UQP45" s="16"/>
      <c r="UQQ45" s="16"/>
      <c r="UQR45" s="16"/>
      <c r="UQS45" s="16"/>
      <c r="UQT45" s="16"/>
      <c r="UQU45" s="16"/>
      <c r="UQV45" s="16"/>
      <c r="UQW45" s="16"/>
      <c r="UQX45" s="16"/>
      <c r="UQY45" s="16"/>
      <c r="UQZ45" s="16"/>
      <c r="URA45" s="16"/>
      <c r="URB45" s="16"/>
      <c r="URC45" s="16"/>
      <c r="URD45" s="16"/>
      <c r="URE45" s="16"/>
      <c r="URF45" s="16"/>
      <c r="URG45" s="16"/>
      <c r="URH45" s="16"/>
      <c r="URI45" s="16"/>
      <c r="URJ45" s="16"/>
      <c r="URK45" s="16"/>
      <c r="URL45" s="16"/>
      <c r="URM45" s="16"/>
      <c r="URN45" s="16"/>
      <c r="URO45" s="16"/>
      <c r="URP45" s="16"/>
      <c r="URQ45" s="16"/>
      <c r="URR45" s="16"/>
      <c r="URS45" s="16"/>
      <c r="URT45" s="16"/>
      <c r="URU45" s="16"/>
      <c r="URV45" s="16"/>
      <c r="URW45" s="16"/>
      <c r="URX45" s="16"/>
      <c r="URY45" s="16"/>
      <c r="URZ45" s="16"/>
      <c r="USA45" s="16"/>
      <c r="USB45" s="16"/>
      <c r="USC45" s="16"/>
      <c r="USD45" s="16"/>
      <c r="USE45" s="16"/>
      <c r="USF45" s="16"/>
      <c r="USG45" s="16"/>
      <c r="USH45" s="16"/>
      <c r="USI45" s="16"/>
      <c r="USJ45" s="16"/>
      <c r="USK45" s="16"/>
      <c r="USL45" s="16"/>
      <c r="USM45" s="16"/>
      <c r="USN45" s="16"/>
      <c r="USO45" s="16"/>
      <c r="USP45" s="16"/>
      <c r="USQ45" s="16"/>
      <c r="USR45" s="16"/>
      <c r="USS45" s="16"/>
      <c r="UST45" s="16"/>
      <c r="USU45" s="16"/>
      <c r="USV45" s="16"/>
      <c r="USW45" s="16"/>
      <c r="USX45" s="16"/>
      <c r="USY45" s="16"/>
      <c r="USZ45" s="16"/>
      <c r="UTA45" s="16"/>
      <c r="UTB45" s="16"/>
      <c r="UTC45" s="16"/>
      <c r="UTD45" s="16"/>
      <c r="UTE45" s="16"/>
      <c r="UTF45" s="16"/>
      <c r="UTG45" s="16"/>
      <c r="UTH45" s="16"/>
      <c r="UTI45" s="16"/>
      <c r="UTJ45" s="16"/>
      <c r="UTK45" s="16"/>
      <c r="UTL45" s="16"/>
      <c r="UTM45" s="16"/>
      <c r="UTN45" s="16"/>
      <c r="UTO45" s="16"/>
      <c r="UTP45" s="16"/>
      <c r="UTQ45" s="16"/>
      <c r="UTR45" s="16"/>
      <c r="UTS45" s="16"/>
      <c r="UTT45" s="16"/>
      <c r="UTU45" s="16"/>
      <c r="UTV45" s="16"/>
      <c r="UTW45" s="16"/>
      <c r="UTX45" s="16"/>
      <c r="UTY45" s="16"/>
      <c r="UTZ45" s="16"/>
      <c r="UUA45" s="16"/>
      <c r="UUB45" s="16"/>
      <c r="UUC45" s="16"/>
      <c r="UUD45" s="16"/>
      <c r="UUE45" s="16"/>
      <c r="UUF45" s="16"/>
      <c r="UUG45" s="16"/>
      <c r="UUH45" s="16"/>
      <c r="UUI45" s="16"/>
      <c r="UUJ45" s="16"/>
      <c r="UUK45" s="16"/>
      <c r="UUL45" s="16"/>
      <c r="UUM45" s="16"/>
      <c r="UUN45" s="16"/>
      <c r="UUO45" s="16"/>
      <c r="UUP45" s="16"/>
      <c r="UUQ45" s="16"/>
      <c r="UUR45" s="16"/>
      <c r="UUS45" s="16"/>
      <c r="UUT45" s="16"/>
      <c r="UUU45" s="16"/>
      <c r="UUV45" s="16"/>
      <c r="UUW45" s="16"/>
      <c r="UUX45" s="16"/>
      <c r="UUY45" s="16"/>
      <c r="UUZ45" s="16"/>
      <c r="UVA45" s="16"/>
      <c r="UVB45" s="16"/>
      <c r="UVC45" s="16"/>
      <c r="UVD45" s="16"/>
      <c r="UVE45" s="16"/>
      <c r="UVF45" s="16"/>
      <c r="UVG45" s="16"/>
      <c r="UVH45" s="16"/>
      <c r="UVI45" s="16"/>
      <c r="UVJ45" s="16"/>
      <c r="UVK45" s="16"/>
      <c r="UVL45" s="16"/>
      <c r="UVM45" s="16"/>
      <c r="UVN45" s="16"/>
      <c r="UVO45" s="16"/>
      <c r="UVP45" s="16"/>
      <c r="UVQ45" s="16"/>
      <c r="UVR45" s="16"/>
      <c r="UVS45" s="16"/>
      <c r="UVT45" s="16"/>
      <c r="UVU45" s="16"/>
      <c r="UVV45" s="16"/>
      <c r="UVW45" s="16"/>
      <c r="UVX45" s="16"/>
      <c r="UVY45" s="16"/>
      <c r="UVZ45" s="16"/>
      <c r="UWA45" s="16"/>
      <c r="UWB45" s="16"/>
      <c r="UWC45" s="16"/>
      <c r="UWD45" s="16"/>
      <c r="UWE45" s="16"/>
      <c r="UWF45" s="16"/>
      <c r="UWG45" s="16"/>
      <c r="UWH45" s="16"/>
      <c r="UWI45" s="16"/>
      <c r="UWJ45" s="16"/>
      <c r="UWK45" s="16"/>
      <c r="UWL45" s="16"/>
      <c r="UWM45" s="16"/>
      <c r="UWN45" s="16"/>
      <c r="UWO45" s="16"/>
      <c r="UWP45" s="16"/>
      <c r="UWQ45" s="16"/>
      <c r="UWR45" s="16"/>
      <c r="UWS45" s="16"/>
      <c r="UWT45" s="16"/>
      <c r="UWU45" s="16"/>
      <c r="UWV45" s="16"/>
      <c r="UWW45" s="16"/>
      <c r="UWX45" s="16"/>
      <c r="UWY45" s="16"/>
      <c r="UWZ45" s="16"/>
      <c r="UXA45" s="16"/>
      <c r="UXB45" s="16"/>
      <c r="UXC45" s="16"/>
      <c r="UXD45" s="16"/>
      <c r="UXE45" s="16"/>
      <c r="UXF45" s="16"/>
      <c r="UXG45" s="16"/>
      <c r="UXH45" s="16"/>
      <c r="UXI45" s="16"/>
      <c r="UXJ45" s="16"/>
      <c r="UXK45" s="16"/>
      <c r="UXL45" s="16"/>
      <c r="UXM45" s="16"/>
      <c r="UXN45" s="16"/>
      <c r="UXO45" s="16"/>
      <c r="UXP45" s="16"/>
      <c r="UXQ45" s="16"/>
      <c r="UXR45" s="16"/>
      <c r="UXS45" s="16"/>
      <c r="UXT45" s="16"/>
      <c r="UXU45" s="16"/>
      <c r="UXV45" s="16"/>
      <c r="UXW45" s="16"/>
      <c r="UXX45" s="16"/>
      <c r="UXY45" s="16"/>
      <c r="UXZ45" s="16"/>
      <c r="UYA45" s="16"/>
      <c r="UYB45" s="16"/>
      <c r="UYC45" s="16"/>
      <c r="UYD45" s="16"/>
      <c r="UYE45" s="16"/>
      <c r="UYF45" s="16"/>
      <c r="UYG45" s="16"/>
      <c r="UYH45" s="16"/>
      <c r="UYI45" s="16"/>
      <c r="UYJ45" s="16"/>
      <c r="UYK45" s="16"/>
      <c r="UYL45" s="16"/>
      <c r="UYM45" s="16"/>
      <c r="UYN45" s="16"/>
      <c r="UYO45" s="16"/>
      <c r="UYP45" s="16"/>
      <c r="UYQ45" s="16"/>
      <c r="UYR45" s="16"/>
      <c r="UYS45" s="16"/>
      <c r="UYT45" s="16"/>
      <c r="UYU45" s="16"/>
      <c r="UYV45" s="16"/>
      <c r="UYW45" s="16"/>
      <c r="UYX45" s="16"/>
      <c r="UYY45" s="16"/>
      <c r="UYZ45" s="16"/>
      <c r="UZA45" s="16"/>
      <c r="UZB45" s="16"/>
      <c r="UZC45" s="16"/>
      <c r="UZD45" s="16"/>
      <c r="UZE45" s="16"/>
      <c r="UZF45" s="16"/>
      <c r="UZG45" s="16"/>
      <c r="UZH45" s="16"/>
      <c r="UZI45" s="16"/>
      <c r="UZJ45" s="16"/>
      <c r="UZK45" s="16"/>
      <c r="UZL45" s="16"/>
      <c r="UZM45" s="16"/>
      <c r="UZN45" s="16"/>
      <c r="UZO45" s="16"/>
      <c r="UZP45" s="16"/>
      <c r="UZQ45" s="16"/>
      <c r="UZR45" s="16"/>
      <c r="UZS45" s="16"/>
      <c r="UZT45" s="16"/>
      <c r="UZU45" s="16"/>
      <c r="UZV45" s="16"/>
      <c r="UZW45" s="16"/>
      <c r="UZX45" s="16"/>
      <c r="UZY45" s="16"/>
      <c r="UZZ45" s="16"/>
      <c r="VAA45" s="16"/>
      <c r="VAB45" s="16"/>
      <c r="VAC45" s="16"/>
      <c r="VAD45" s="16"/>
      <c r="VAE45" s="16"/>
      <c r="VAF45" s="16"/>
      <c r="VAG45" s="16"/>
      <c r="VAH45" s="16"/>
      <c r="VAI45" s="16"/>
      <c r="VAJ45" s="16"/>
      <c r="VAK45" s="16"/>
      <c r="VAL45" s="16"/>
      <c r="VAM45" s="16"/>
      <c r="VAN45" s="16"/>
      <c r="VAO45" s="16"/>
      <c r="VAP45" s="16"/>
      <c r="VAQ45" s="16"/>
      <c r="VAR45" s="16"/>
      <c r="VAS45" s="16"/>
      <c r="VAT45" s="16"/>
      <c r="VAU45" s="16"/>
      <c r="VAV45" s="16"/>
      <c r="VAW45" s="16"/>
      <c r="VAX45" s="16"/>
      <c r="VAY45" s="16"/>
      <c r="VAZ45" s="16"/>
      <c r="VBA45" s="16"/>
      <c r="VBB45" s="16"/>
      <c r="VBC45" s="16"/>
      <c r="VBD45" s="16"/>
      <c r="VBE45" s="16"/>
      <c r="VBF45" s="16"/>
      <c r="VBG45" s="16"/>
      <c r="VBH45" s="16"/>
      <c r="VBI45" s="16"/>
      <c r="VBJ45" s="16"/>
      <c r="VBK45" s="16"/>
      <c r="VBL45" s="16"/>
      <c r="VBM45" s="16"/>
      <c r="VBN45" s="16"/>
      <c r="VBO45" s="16"/>
      <c r="VBP45" s="16"/>
      <c r="VBQ45" s="16"/>
      <c r="VBR45" s="16"/>
      <c r="VBS45" s="16"/>
      <c r="VBT45" s="16"/>
      <c r="VBU45" s="16"/>
      <c r="VBV45" s="16"/>
      <c r="VBW45" s="16"/>
      <c r="VBX45" s="16"/>
      <c r="VBY45" s="16"/>
      <c r="VBZ45" s="16"/>
      <c r="VCA45" s="16"/>
      <c r="VCB45" s="16"/>
      <c r="VCC45" s="16"/>
      <c r="VCD45" s="16"/>
      <c r="VCE45" s="16"/>
      <c r="VCF45" s="16"/>
      <c r="VCG45" s="16"/>
      <c r="VCH45" s="16"/>
      <c r="VCI45" s="16"/>
      <c r="VCJ45" s="16"/>
      <c r="VCK45" s="16"/>
      <c r="VCL45" s="16"/>
      <c r="VCM45" s="16"/>
      <c r="VCN45" s="16"/>
      <c r="VCO45" s="16"/>
      <c r="VCP45" s="16"/>
      <c r="VCQ45" s="16"/>
      <c r="VCR45" s="16"/>
      <c r="VCS45" s="16"/>
      <c r="VCT45" s="16"/>
      <c r="VCU45" s="16"/>
      <c r="VCV45" s="16"/>
      <c r="VCW45" s="16"/>
      <c r="VCX45" s="16"/>
      <c r="VCY45" s="16"/>
      <c r="VCZ45" s="16"/>
      <c r="VDA45" s="16"/>
      <c r="VDB45" s="16"/>
      <c r="VDC45" s="16"/>
      <c r="VDD45" s="16"/>
      <c r="VDE45" s="16"/>
      <c r="VDF45" s="16"/>
      <c r="VDG45" s="16"/>
      <c r="VDH45" s="16"/>
      <c r="VDI45" s="16"/>
      <c r="VDJ45" s="16"/>
      <c r="VDK45" s="16"/>
      <c r="VDL45" s="16"/>
      <c r="VDM45" s="16"/>
      <c r="VDN45" s="16"/>
      <c r="VDO45" s="16"/>
      <c r="VDP45" s="16"/>
      <c r="VDQ45" s="16"/>
      <c r="VDR45" s="16"/>
      <c r="VDS45" s="16"/>
      <c r="VDT45" s="16"/>
      <c r="VDU45" s="16"/>
      <c r="VDV45" s="16"/>
      <c r="VDW45" s="16"/>
      <c r="VDX45" s="16"/>
      <c r="VDY45" s="16"/>
      <c r="VDZ45" s="16"/>
      <c r="VEA45" s="16"/>
      <c r="VEB45" s="16"/>
      <c r="VEC45" s="16"/>
      <c r="VED45" s="16"/>
      <c r="VEE45" s="16"/>
      <c r="VEF45" s="16"/>
      <c r="VEG45" s="16"/>
      <c r="VEH45" s="16"/>
      <c r="VEI45" s="16"/>
      <c r="VEJ45" s="16"/>
      <c r="VEK45" s="16"/>
      <c r="VEL45" s="16"/>
      <c r="VEM45" s="16"/>
      <c r="VEN45" s="16"/>
      <c r="VEO45" s="16"/>
      <c r="VEP45" s="16"/>
      <c r="VEQ45" s="16"/>
      <c r="VER45" s="16"/>
      <c r="VES45" s="16"/>
      <c r="VET45" s="16"/>
      <c r="VEU45" s="16"/>
      <c r="VEV45" s="16"/>
      <c r="VEW45" s="16"/>
      <c r="VEX45" s="16"/>
      <c r="VEY45" s="16"/>
      <c r="VEZ45" s="16"/>
      <c r="VFA45" s="16"/>
      <c r="VFB45" s="16"/>
      <c r="VFC45" s="16"/>
      <c r="VFD45" s="16"/>
      <c r="VFE45" s="16"/>
      <c r="VFF45" s="16"/>
      <c r="VFG45" s="16"/>
      <c r="VFH45" s="16"/>
      <c r="VFI45" s="16"/>
      <c r="VFJ45" s="16"/>
      <c r="VFK45" s="16"/>
      <c r="VFL45" s="16"/>
      <c r="VFM45" s="16"/>
      <c r="VFN45" s="16"/>
      <c r="VFO45" s="16"/>
      <c r="VFP45" s="16"/>
      <c r="VFQ45" s="16"/>
      <c r="VFR45" s="16"/>
      <c r="VFS45" s="16"/>
      <c r="VFT45" s="16"/>
      <c r="VFU45" s="16"/>
      <c r="VFV45" s="16"/>
      <c r="VFW45" s="16"/>
      <c r="VFX45" s="16"/>
      <c r="VFY45" s="16"/>
      <c r="VFZ45" s="16"/>
      <c r="VGA45" s="16"/>
      <c r="VGB45" s="16"/>
    </row>
    <row r="46" spans="1:15056" x14ac:dyDescent="0.25">
      <c r="C46" s="15"/>
      <c r="D46" s="14" t="s">
        <v>75</v>
      </c>
      <c r="E46" s="230">
        <f>E47+E48</f>
        <v>21429000</v>
      </c>
      <c r="F46" s="20" t="s">
        <v>14</v>
      </c>
      <c r="G46" s="33">
        <f t="shared" ref="G46" si="20">G47+G48</f>
        <v>0</v>
      </c>
      <c r="H46" s="33">
        <f t="shared" ref="H46:AJ46" si="21">H47+H48</f>
        <v>0</v>
      </c>
      <c r="I46" s="33">
        <f t="shared" si="21"/>
        <v>0</v>
      </c>
      <c r="J46" s="33">
        <f t="shared" si="21"/>
        <v>0</v>
      </c>
      <c r="K46" s="33">
        <v>0</v>
      </c>
      <c r="L46" s="33">
        <f t="shared" si="21"/>
        <v>0</v>
      </c>
      <c r="M46" s="33">
        <f t="shared" si="21"/>
        <v>0</v>
      </c>
      <c r="N46" s="33">
        <f t="shared" si="21"/>
        <v>0</v>
      </c>
      <c r="O46" s="33">
        <f t="shared" si="21"/>
        <v>0</v>
      </c>
      <c r="P46" s="33">
        <f t="shared" si="21"/>
        <v>0</v>
      </c>
      <c r="Q46" s="33">
        <f t="shared" si="21"/>
        <v>0</v>
      </c>
      <c r="R46" s="33">
        <f t="shared" si="21"/>
        <v>0</v>
      </c>
      <c r="S46" s="33">
        <f t="shared" si="21"/>
        <v>0</v>
      </c>
      <c r="T46" s="33">
        <f t="shared" si="21"/>
        <v>0</v>
      </c>
      <c r="U46" s="33">
        <f t="shared" si="21"/>
        <v>0</v>
      </c>
      <c r="V46" s="33">
        <f t="shared" si="21"/>
        <v>0</v>
      </c>
      <c r="W46" s="33">
        <f t="shared" si="21"/>
        <v>0</v>
      </c>
      <c r="X46" s="33">
        <f t="shared" si="21"/>
        <v>0</v>
      </c>
      <c r="Y46" s="33">
        <f t="shared" si="21"/>
        <v>0</v>
      </c>
      <c r="Z46" s="33">
        <f t="shared" si="21"/>
        <v>0</v>
      </c>
      <c r="AA46" s="33">
        <f t="shared" si="21"/>
        <v>0</v>
      </c>
      <c r="AB46" s="33">
        <f t="shared" si="21"/>
        <v>0</v>
      </c>
      <c r="AC46" s="33">
        <f t="shared" si="21"/>
        <v>0</v>
      </c>
      <c r="AD46" s="33">
        <f t="shared" si="21"/>
        <v>0</v>
      </c>
      <c r="AE46" s="33">
        <f t="shared" si="21"/>
        <v>0</v>
      </c>
      <c r="AF46" s="33">
        <f t="shared" si="21"/>
        <v>0</v>
      </c>
      <c r="AG46" s="33">
        <f t="shared" si="21"/>
        <v>0</v>
      </c>
      <c r="AH46" s="33">
        <f t="shared" si="21"/>
        <v>0</v>
      </c>
      <c r="AI46" s="33">
        <f t="shared" si="21"/>
        <v>0</v>
      </c>
      <c r="AJ46" s="33">
        <f t="shared" si="21"/>
        <v>0</v>
      </c>
      <c r="AL46" s="55">
        <f>SUM(G46:AJ46)</f>
        <v>0</v>
      </c>
    </row>
    <row r="47" spans="1:15056" x14ac:dyDescent="0.25">
      <c r="C47" s="15"/>
      <c r="D47" s="65" t="s">
        <v>113</v>
      </c>
      <c r="E47" s="68">
        <v>15000000</v>
      </c>
      <c r="F47" s="66" t="s">
        <v>14</v>
      </c>
      <c r="G47" s="271">
        <v>0</v>
      </c>
      <c r="H47" s="271">
        <v>0</v>
      </c>
      <c r="I47" s="271">
        <v>0</v>
      </c>
      <c r="J47" s="271">
        <v>0</v>
      </c>
      <c r="K47" s="271">
        <v>0</v>
      </c>
      <c r="L47" s="271">
        <v>0</v>
      </c>
      <c r="M47" s="271">
        <v>0</v>
      </c>
      <c r="N47" s="271">
        <v>0</v>
      </c>
      <c r="O47" s="271">
        <v>0</v>
      </c>
      <c r="P47" s="271">
        <v>0</v>
      </c>
      <c r="Q47" s="271">
        <v>0</v>
      </c>
      <c r="R47" s="271">
        <v>0</v>
      </c>
      <c r="S47" s="271">
        <v>0</v>
      </c>
      <c r="T47" s="271">
        <v>0</v>
      </c>
      <c r="U47" s="271">
        <v>0</v>
      </c>
      <c r="V47" s="271">
        <v>0</v>
      </c>
      <c r="W47" s="271">
        <v>0</v>
      </c>
      <c r="X47" s="271">
        <v>0</v>
      </c>
      <c r="Y47" s="271">
        <v>0</v>
      </c>
      <c r="Z47" s="271">
        <v>0</v>
      </c>
      <c r="AA47" s="271">
        <v>0</v>
      </c>
      <c r="AB47" s="271">
        <v>0</v>
      </c>
      <c r="AC47" s="271">
        <v>0</v>
      </c>
      <c r="AD47" s="271">
        <v>0</v>
      </c>
      <c r="AE47" s="271">
        <v>0</v>
      </c>
      <c r="AF47" s="271">
        <v>0</v>
      </c>
      <c r="AG47" s="271">
        <v>0</v>
      </c>
      <c r="AH47" s="271">
        <v>0</v>
      </c>
      <c r="AI47" s="271">
        <v>0</v>
      </c>
      <c r="AJ47" s="271">
        <v>0</v>
      </c>
      <c r="AL47" s="58">
        <f>SUM(G47:AJ47)</f>
        <v>0</v>
      </c>
    </row>
    <row r="48" spans="1:15056" x14ac:dyDescent="0.25">
      <c r="C48" s="15"/>
      <c r="D48" s="65" t="s">
        <v>73</v>
      </c>
      <c r="E48" s="68">
        <v>6429000</v>
      </c>
      <c r="F48" s="66" t="s">
        <v>14</v>
      </c>
      <c r="G48" s="271">
        <v>0</v>
      </c>
      <c r="H48" s="271">
        <v>0</v>
      </c>
      <c r="I48" s="271">
        <v>0</v>
      </c>
      <c r="J48" s="271">
        <v>0</v>
      </c>
      <c r="K48" s="271">
        <v>0</v>
      </c>
      <c r="L48" s="271">
        <v>0</v>
      </c>
      <c r="M48" s="271">
        <v>0</v>
      </c>
      <c r="N48" s="271">
        <v>0</v>
      </c>
      <c r="O48" s="271">
        <v>0</v>
      </c>
      <c r="P48" s="271">
        <v>0</v>
      </c>
      <c r="Q48" s="271">
        <v>0</v>
      </c>
      <c r="R48" s="271">
        <v>0</v>
      </c>
      <c r="S48" s="271">
        <v>0</v>
      </c>
      <c r="T48" s="271">
        <v>0</v>
      </c>
      <c r="U48" s="271">
        <v>0</v>
      </c>
      <c r="V48" s="271">
        <v>0</v>
      </c>
      <c r="W48" s="271">
        <v>0</v>
      </c>
      <c r="X48" s="271">
        <v>0</v>
      </c>
      <c r="Y48" s="271">
        <v>0</v>
      </c>
      <c r="Z48" s="271">
        <v>0</v>
      </c>
      <c r="AA48" s="271">
        <v>0</v>
      </c>
      <c r="AB48" s="271">
        <v>0</v>
      </c>
      <c r="AC48" s="271">
        <v>0</v>
      </c>
      <c r="AD48" s="271">
        <v>0</v>
      </c>
      <c r="AE48" s="271">
        <v>0</v>
      </c>
      <c r="AF48" s="271">
        <v>0</v>
      </c>
      <c r="AG48" s="271">
        <v>0</v>
      </c>
      <c r="AH48" s="271">
        <v>0</v>
      </c>
      <c r="AI48" s="271">
        <v>0</v>
      </c>
      <c r="AJ48" s="271">
        <v>0</v>
      </c>
      <c r="AL48" s="58">
        <f>SUM(G48:AJ48)</f>
        <v>0</v>
      </c>
    </row>
    <row r="49" spans="1:15056" x14ac:dyDescent="0.25">
      <c r="C49" s="15"/>
      <c r="D49" s="231" t="s">
        <v>72</v>
      </c>
      <c r="E49" s="234"/>
      <c r="F49" s="233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L49" s="67" t="s">
        <v>61</v>
      </c>
    </row>
    <row r="50" spans="1:15056" s="74" customFormat="1" x14ac:dyDescent="0.2">
      <c r="A50" s="16"/>
      <c r="B50" s="16"/>
      <c r="C50" s="17"/>
      <c r="D50" s="11" t="s">
        <v>71</v>
      </c>
      <c r="E50" s="257"/>
      <c r="F50" s="12" t="s">
        <v>14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16"/>
      <c r="AL50" s="55">
        <f t="shared" ref="AL50:AL55" si="22">SUM(G50:AJ50)</f>
        <v>0</v>
      </c>
      <c r="AM50" s="16"/>
      <c r="AN50" s="16"/>
      <c r="AO50" s="16"/>
      <c r="AP50" s="1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40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45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6"/>
      <c r="AIM50" s="16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  <c r="VBP50" s="16"/>
      <c r="VBQ50" s="16"/>
      <c r="VBR50" s="16"/>
      <c r="VBS50" s="16"/>
      <c r="VBT50" s="16"/>
      <c r="VBU50" s="16"/>
      <c r="VBV50" s="16"/>
      <c r="VBW50" s="16"/>
      <c r="VBX50" s="16"/>
      <c r="VBY50" s="16"/>
      <c r="VBZ50" s="16"/>
      <c r="VCA50" s="16"/>
      <c r="VCB50" s="16"/>
      <c r="VCC50" s="16"/>
      <c r="VCD50" s="16"/>
      <c r="VCE50" s="16"/>
      <c r="VCF50" s="16"/>
      <c r="VCG50" s="16"/>
      <c r="VCH50" s="16"/>
      <c r="VCI50" s="16"/>
      <c r="VCJ50" s="16"/>
      <c r="VCK50" s="16"/>
      <c r="VCL50" s="16"/>
      <c r="VCM50" s="16"/>
      <c r="VCN50" s="16"/>
      <c r="VCO50" s="16"/>
      <c r="VCP50" s="16"/>
      <c r="VCQ50" s="16"/>
      <c r="VCR50" s="16"/>
      <c r="VCS50" s="16"/>
      <c r="VCT50" s="16"/>
      <c r="VCU50" s="16"/>
      <c r="VCV50" s="16"/>
      <c r="VCW50" s="16"/>
      <c r="VCX50" s="16"/>
      <c r="VCY50" s="16"/>
      <c r="VCZ50" s="16"/>
      <c r="VDA50" s="16"/>
      <c r="VDB50" s="16"/>
      <c r="VDC50" s="16"/>
      <c r="VDD50" s="16"/>
      <c r="VDE50" s="16"/>
      <c r="VDF50" s="16"/>
      <c r="VDG50" s="16"/>
      <c r="VDH50" s="16"/>
      <c r="VDI50" s="16"/>
      <c r="VDJ50" s="16"/>
      <c r="VDK50" s="16"/>
      <c r="VDL50" s="16"/>
      <c r="VDM50" s="16"/>
      <c r="VDN50" s="16"/>
      <c r="VDO50" s="16"/>
      <c r="VDP50" s="16"/>
      <c r="VDQ50" s="16"/>
      <c r="VDR50" s="16"/>
      <c r="VDS50" s="16"/>
      <c r="VDT50" s="16"/>
      <c r="VDU50" s="16"/>
      <c r="VDV50" s="16"/>
      <c r="VDW50" s="16"/>
      <c r="VDX50" s="16"/>
      <c r="VDY50" s="16"/>
      <c r="VDZ50" s="16"/>
      <c r="VEA50" s="16"/>
      <c r="VEB50" s="16"/>
      <c r="VEC50" s="16"/>
      <c r="VED50" s="16"/>
      <c r="VEE50" s="16"/>
      <c r="VEF50" s="16"/>
      <c r="VEG50" s="16"/>
      <c r="VEH50" s="16"/>
      <c r="VEI50" s="16"/>
      <c r="VEJ50" s="16"/>
      <c r="VEK50" s="16"/>
      <c r="VEL50" s="16"/>
      <c r="VEM50" s="16"/>
      <c r="VEN50" s="16"/>
      <c r="VEO50" s="16"/>
      <c r="VEP50" s="16"/>
      <c r="VEQ50" s="16"/>
      <c r="VER50" s="16"/>
      <c r="VES50" s="16"/>
      <c r="VET50" s="16"/>
      <c r="VEU50" s="16"/>
      <c r="VEV50" s="16"/>
      <c r="VEW50" s="16"/>
      <c r="VEX50" s="16"/>
      <c r="VEY50" s="16"/>
      <c r="VEZ50" s="16"/>
      <c r="VFA50" s="16"/>
      <c r="VFB50" s="16"/>
      <c r="VFC50" s="16"/>
      <c r="VFD50" s="16"/>
      <c r="VFE50" s="16"/>
      <c r="VFF50" s="16"/>
      <c r="VFG50" s="16"/>
      <c r="VFH50" s="16"/>
      <c r="VFI50" s="16"/>
      <c r="VFJ50" s="16"/>
      <c r="VFK50" s="16"/>
      <c r="VFL50" s="16"/>
      <c r="VFM50" s="16"/>
      <c r="VFN50" s="16"/>
      <c r="VFO50" s="16"/>
      <c r="VFP50" s="16"/>
      <c r="VFQ50" s="16"/>
      <c r="VFR50" s="16"/>
      <c r="VFS50" s="16"/>
      <c r="VFT50" s="16"/>
      <c r="VFU50" s="16"/>
      <c r="VFV50" s="16"/>
      <c r="VFW50" s="16"/>
      <c r="VFX50" s="16"/>
      <c r="VFY50" s="16"/>
      <c r="VFZ50" s="16"/>
      <c r="VGA50" s="16"/>
      <c r="VGB50" s="16"/>
    </row>
    <row r="51" spans="1:15056" s="1" customFormat="1" x14ac:dyDescent="0.25">
      <c r="C51" s="15"/>
      <c r="D51" s="14" t="s">
        <v>70</v>
      </c>
      <c r="E51" s="256"/>
      <c r="F51" s="20" t="s">
        <v>14</v>
      </c>
      <c r="G51" s="33">
        <f t="shared" ref="G51" si="23">G53+G54</f>
        <v>0</v>
      </c>
      <c r="H51" s="33">
        <f t="shared" ref="H51" si="24">H53+H54</f>
        <v>0</v>
      </c>
      <c r="I51" s="33">
        <f>I53+I54</f>
        <v>0</v>
      </c>
      <c r="J51" s="33">
        <f t="shared" ref="J51:AJ51" si="25">J53+J54</f>
        <v>0</v>
      </c>
      <c r="K51" s="33">
        <v>0</v>
      </c>
      <c r="L51" s="33">
        <v>0</v>
      </c>
      <c r="M51" s="33">
        <f t="shared" si="25"/>
        <v>0</v>
      </c>
      <c r="N51" s="33">
        <f t="shared" si="25"/>
        <v>0</v>
      </c>
      <c r="O51" s="33">
        <f t="shared" si="25"/>
        <v>0</v>
      </c>
      <c r="P51" s="33">
        <f t="shared" si="25"/>
        <v>0</v>
      </c>
      <c r="Q51" s="33">
        <f t="shared" si="25"/>
        <v>0</v>
      </c>
      <c r="R51" s="33">
        <f t="shared" si="25"/>
        <v>0</v>
      </c>
      <c r="S51" s="33">
        <f t="shared" si="25"/>
        <v>0</v>
      </c>
      <c r="T51" s="33">
        <f t="shared" si="25"/>
        <v>0</v>
      </c>
      <c r="U51" s="33">
        <f t="shared" si="25"/>
        <v>0</v>
      </c>
      <c r="V51" s="33">
        <f t="shared" si="25"/>
        <v>0</v>
      </c>
      <c r="W51" s="33">
        <f t="shared" si="25"/>
        <v>0</v>
      </c>
      <c r="X51" s="33">
        <f t="shared" si="25"/>
        <v>0</v>
      </c>
      <c r="Y51" s="33">
        <f t="shared" si="25"/>
        <v>0</v>
      </c>
      <c r="Z51" s="33">
        <f t="shared" si="25"/>
        <v>0</v>
      </c>
      <c r="AA51" s="33">
        <f t="shared" si="25"/>
        <v>0</v>
      </c>
      <c r="AB51" s="33">
        <f t="shared" si="25"/>
        <v>0</v>
      </c>
      <c r="AC51" s="33">
        <f t="shared" si="25"/>
        <v>0</v>
      </c>
      <c r="AD51" s="33">
        <f t="shared" si="25"/>
        <v>0</v>
      </c>
      <c r="AE51" s="33">
        <f t="shared" si="25"/>
        <v>0</v>
      </c>
      <c r="AF51" s="33">
        <f t="shared" si="25"/>
        <v>0</v>
      </c>
      <c r="AG51" s="33">
        <f t="shared" si="25"/>
        <v>0</v>
      </c>
      <c r="AH51" s="33">
        <f t="shared" si="25"/>
        <v>0</v>
      </c>
      <c r="AI51" s="33">
        <f t="shared" si="25"/>
        <v>0</v>
      </c>
      <c r="AJ51" s="33">
        <f t="shared" si="25"/>
        <v>0</v>
      </c>
      <c r="AL51" s="55">
        <f t="shared" si="22"/>
        <v>0</v>
      </c>
      <c r="BF51" s="146"/>
      <c r="CM51" s="143"/>
    </row>
    <row r="52" spans="1:15056" s="1" customFormat="1" x14ac:dyDescent="0.25">
      <c r="C52" s="15"/>
      <c r="D52" s="65" t="s">
        <v>69</v>
      </c>
      <c r="E52" s="256"/>
      <c r="F52" s="66" t="s">
        <v>14</v>
      </c>
      <c r="G52" s="271">
        <v>0</v>
      </c>
      <c r="H52" s="271">
        <v>0</v>
      </c>
      <c r="I52" s="271">
        <v>0</v>
      </c>
      <c r="J52" s="271">
        <v>0</v>
      </c>
      <c r="K52" s="271">
        <v>0</v>
      </c>
      <c r="L52" s="271">
        <v>0</v>
      </c>
      <c r="M52" s="271">
        <v>0</v>
      </c>
      <c r="N52" s="271">
        <v>0</v>
      </c>
      <c r="O52" s="271">
        <v>0</v>
      </c>
      <c r="P52" s="271">
        <v>0</v>
      </c>
      <c r="Q52" s="271">
        <v>0</v>
      </c>
      <c r="R52" s="271">
        <v>0</v>
      </c>
      <c r="S52" s="271">
        <v>0</v>
      </c>
      <c r="T52" s="271">
        <v>0</v>
      </c>
      <c r="U52" s="271">
        <v>0</v>
      </c>
      <c r="V52" s="271">
        <v>0</v>
      </c>
      <c r="W52" s="271">
        <v>0</v>
      </c>
      <c r="X52" s="271">
        <v>0</v>
      </c>
      <c r="Y52" s="271">
        <v>0</v>
      </c>
      <c r="Z52" s="271">
        <v>0</v>
      </c>
      <c r="AA52" s="271">
        <v>0</v>
      </c>
      <c r="AB52" s="271">
        <v>0</v>
      </c>
      <c r="AC52" s="271">
        <v>0</v>
      </c>
      <c r="AD52" s="271">
        <v>0</v>
      </c>
      <c r="AE52" s="271">
        <v>0</v>
      </c>
      <c r="AF52" s="271">
        <v>0</v>
      </c>
      <c r="AG52" s="271">
        <v>0</v>
      </c>
      <c r="AH52" s="271">
        <v>0</v>
      </c>
      <c r="AI52" s="271">
        <v>0</v>
      </c>
      <c r="AJ52" s="271">
        <v>0</v>
      </c>
      <c r="AL52" s="58">
        <f t="shared" si="22"/>
        <v>0</v>
      </c>
      <c r="CM52" s="143"/>
    </row>
    <row r="53" spans="1:15056" s="1" customFormat="1" x14ac:dyDescent="0.25">
      <c r="C53" s="15"/>
      <c r="D53" s="65" t="s">
        <v>68</v>
      </c>
      <c r="E53" s="256"/>
      <c r="F53" s="66" t="s">
        <v>14</v>
      </c>
      <c r="G53" s="271">
        <v>0</v>
      </c>
      <c r="H53" s="271">
        <v>0</v>
      </c>
      <c r="I53" s="271">
        <v>0</v>
      </c>
      <c r="J53" s="271">
        <v>0</v>
      </c>
      <c r="K53" s="271">
        <v>0</v>
      </c>
      <c r="L53" s="271">
        <v>0</v>
      </c>
      <c r="M53" s="271">
        <v>0</v>
      </c>
      <c r="N53" s="271">
        <v>0</v>
      </c>
      <c r="O53" s="271">
        <v>0</v>
      </c>
      <c r="P53" s="271">
        <v>0</v>
      </c>
      <c r="Q53" s="271">
        <v>0</v>
      </c>
      <c r="R53" s="271">
        <v>0</v>
      </c>
      <c r="S53" s="271">
        <v>0</v>
      </c>
      <c r="T53" s="271">
        <v>0</v>
      </c>
      <c r="U53" s="271">
        <v>0</v>
      </c>
      <c r="V53" s="271">
        <v>0</v>
      </c>
      <c r="W53" s="271">
        <v>0</v>
      </c>
      <c r="X53" s="271">
        <v>0</v>
      </c>
      <c r="Y53" s="271">
        <v>0</v>
      </c>
      <c r="Z53" s="271">
        <v>0</v>
      </c>
      <c r="AA53" s="271">
        <v>0</v>
      </c>
      <c r="AB53" s="271">
        <v>0</v>
      </c>
      <c r="AC53" s="271">
        <v>0</v>
      </c>
      <c r="AD53" s="271">
        <v>0</v>
      </c>
      <c r="AE53" s="271">
        <v>0</v>
      </c>
      <c r="AF53" s="271">
        <v>0</v>
      </c>
      <c r="AG53" s="271">
        <v>0</v>
      </c>
      <c r="AH53" s="271">
        <v>0</v>
      </c>
      <c r="AI53" s="271">
        <v>0</v>
      </c>
      <c r="AJ53" s="271">
        <v>0</v>
      </c>
      <c r="AL53" s="58">
        <f t="shared" si="22"/>
        <v>0</v>
      </c>
      <c r="BF53" s="143"/>
      <c r="CM53" s="143"/>
    </row>
    <row r="54" spans="1:15056" s="1" customFormat="1" x14ac:dyDescent="0.25">
      <c r="C54" s="15"/>
      <c r="D54" s="65" t="s">
        <v>67</v>
      </c>
      <c r="E54" s="256"/>
      <c r="F54" s="66" t="s">
        <v>14</v>
      </c>
      <c r="G54" s="271">
        <v>0</v>
      </c>
      <c r="H54" s="271">
        <v>0</v>
      </c>
      <c r="I54" s="271">
        <v>0</v>
      </c>
      <c r="J54" s="271">
        <v>0</v>
      </c>
      <c r="K54" s="271">
        <v>0</v>
      </c>
      <c r="L54" s="271">
        <v>0</v>
      </c>
      <c r="M54" s="271">
        <v>0</v>
      </c>
      <c r="N54" s="271">
        <v>0</v>
      </c>
      <c r="O54" s="271">
        <v>0</v>
      </c>
      <c r="P54" s="271">
        <v>0</v>
      </c>
      <c r="Q54" s="271">
        <v>0</v>
      </c>
      <c r="R54" s="271">
        <v>0</v>
      </c>
      <c r="S54" s="271">
        <v>0</v>
      </c>
      <c r="T54" s="271">
        <v>0</v>
      </c>
      <c r="U54" s="271">
        <v>0</v>
      </c>
      <c r="V54" s="271">
        <v>0</v>
      </c>
      <c r="W54" s="271">
        <v>0</v>
      </c>
      <c r="X54" s="271">
        <v>0</v>
      </c>
      <c r="Y54" s="271">
        <v>0</v>
      </c>
      <c r="Z54" s="271">
        <v>0</v>
      </c>
      <c r="AA54" s="271">
        <v>0</v>
      </c>
      <c r="AB54" s="271">
        <v>0</v>
      </c>
      <c r="AC54" s="271">
        <v>0</v>
      </c>
      <c r="AD54" s="271">
        <v>0</v>
      </c>
      <c r="AE54" s="271">
        <v>0</v>
      </c>
      <c r="AF54" s="271">
        <v>0</v>
      </c>
      <c r="AG54" s="271">
        <v>0</v>
      </c>
      <c r="AH54" s="271">
        <v>0</v>
      </c>
      <c r="AI54" s="271">
        <v>0</v>
      </c>
      <c r="AJ54" s="271">
        <v>0</v>
      </c>
      <c r="AL54" s="58">
        <f t="shared" si="22"/>
        <v>0</v>
      </c>
      <c r="CM54" s="143"/>
    </row>
    <row r="55" spans="1:15056" s="1" customFormat="1" x14ac:dyDescent="0.25">
      <c r="C55" s="15"/>
      <c r="D55" s="75" t="s">
        <v>114</v>
      </c>
      <c r="E55" s="256"/>
      <c r="F55" s="13" t="s">
        <v>25</v>
      </c>
      <c r="G55" s="274">
        <v>0</v>
      </c>
      <c r="H55" s="274">
        <v>0</v>
      </c>
      <c r="I55" s="274">
        <v>0</v>
      </c>
      <c r="J55" s="274">
        <v>0</v>
      </c>
      <c r="K55" s="274">
        <v>0</v>
      </c>
      <c r="L55" s="274">
        <v>0</v>
      </c>
      <c r="M55" s="274">
        <v>0</v>
      </c>
      <c r="N55" s="274">
        <v>0</v>
      </c>
      <c r="O55" s="274">
        <v>0</v>
      </c>
      <c r="P55" s="274">
        <v>0</v>
      </c>
      <c r="Q55" s="274">
        <v>0</v>
      </c>
      <c r="R55" s="274">
        <v>0</v>
      </c>
      <c r="S55" s="274">
        <v>0</v>
      </c>
      <c r="T55" s="274">
        <v>0</v>
      </c>
      <c r="U55" s="274">
        <v>0</v>
      </c>
      <c r="V55" s="274">
        <v>0</v>
      </c>
      <c r="W55" s="274">
        <v>0</v>
      </c>
      <c r="X55" s="274">
        <v>0</v>
      </c>
      <c r="Y55" s="274">
        <v>0</v>
      </c>
      <c r="Z55" s="274">
        <v>0</v>
      </c>
      <c r="AA55" s="274">
        <v>0</v>
      </c>
      <c r="AB55" s="274">
        <v>0</v>
      </c>
      <c r="AC55" s="274">
        <v>0</v>
      </c>
      <c r="AD55" s="274">
        <v>0</v>
      </c>
      <c r="AE55" s="274">
        <v>0</v>
      </c>
      <c r="AF55" s="274">
        <v>0</v>
      </c>
      <c r="AG55" s="274">
        <v>0</v>
      </c>
      <c r="AH55" s="274">
        <v>0</v>
      </c>
      <c r="AI55" s="274">
        <v>0</v>
      </c>
      <c r="AJ55" s="274">
        <v>0</v>
      </c>
      <c r="AK55" s="63"/>
      <c r="AL55" s="58">
        <f t="shared" si="22"/>
        <v>0</v>
      </c>
      <c r="CM55" s="143"/>
    </row>
    <row r="56" spans="1:15056" x14ac:dyDescent="0.25">
      <c r="C56" s="8"/>
      <c r="D56" s="76" t="s">
        <v>66</v>
      </c>
      <c r="E56" s="77"/>
      <c r="F56" s="78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L56" s="79" t="s">
        <v>129</v>
      </c>
      <c r="AQ56" s="1630"/>
    </row>
    <row r="57" spans="1:15056" x14ac:dyDescent="0.25">
      <c r="C57" s="15"/>
      <c r="D57" s="75" t="s">
        <v>65</v>
      </c>
      <c r="E57" s="1625">
        <v>94.2</v>
      </c>
      <c r="F57" s="70" t="s">
        <v>25</v>
      </c>
      <c r="G57" s="275">
        <f t="shared" ref="G57" si="26">(G18/(G9))*100</f>
        <v>96.84697418644069</v>
      </c>
      <c r="H57" s="275">
        <f>(H18/(H9))*100</f>
        <v>93.781500093057872</v>
      </c>
      <c r="I57" s="275">
        <f t="shared" ref="I57:AJ57" si="27">(I18/(I9))*100</f>
        <v>97.399840662539816</v>
      </c>
      <c r="J57" s="275">
        <f>(J18/(J9))*100</f>
        <v>95.084558383794132</v>
      </c>
      <c r="K57" s="275">
        <f>(K18/(K9))*100</f>
        <v>96.204991316938418</v>
      </c>
      <c r="L57" s="275">
        <f>(L18/(L9))*100</f>
        <v>95.088013708748193</v>
      </c>
      <c r="M57" s="275">
        <f t="shared" si="27"/>
        <v>95.163391409779877</v>
      </c>
      <c r="N57" s="275">
        <f t="shared" si="27"/>
        <v>90.573855783265856</v>
      </c>
      <c r="O57" s="275">
        <f t="shared" si="27"/>
        <v>91.061967622261321</v>
      </c>
      <c r="P57" s="275">
        <f t="shared" si="27"/>
        <v>96.332187515568179</v>
      </c>
      <c r="Q57" s="275">
        <f t="shared" si="27"/>
        <v>94.753944059256057</v>
      </c>
      <c r="R57" s="275">
        <f t="shared" si="27"/>
        <v>94.085229224782253</v>
      </c>
      <c r="S57" s="275">
        <f t="shared" si="27"/>
        <v>94.339439518406891</v>
      </c>
      <c r="T57" s="275">
        <f t="shared" si="27"/>
        <v>92.857340879297581</v>
      </c>
      <c r="U57" s="275">
        <f t="shared" si="27"/>
        <v>93.908114581374193</v>
      </c>
      <c r="V57" s="275">
        <f t="shared" si="27"/>
        <v>95.391452274375084</v>
      </c>
      <c r="W57" s="275">
        <f t="shared" si="27"/>
        <v>103.38184296636616</v>
      </c>
      <c r="X57" s="275">
        <f t="shared" si="27"/>
        <v>95.001368860883346</v>
      </c>
      <c r="Y57" s="275">
        <f t="shared" si="27"/>
        <v>96.564996513303569</v>
      </c>
      <c r="Z57" s="275">
        <f t="shared" si="27"/>
        <v>95.610794732292675</v>
      </c>
      <c r="AA57" s="275">
        <f t="shared" si="27"/>
        <v>97.390742803185361</v>
      </c>
      <c r="AB57" s="275">
        <f t="shared" si="27"/>
        <v>138.56131311916678</v>
      </c>
      <c r="AC57" s="275" t="e">
        <f t="shared" si="27"/>
        <v>#DIV/0!</v>
      </c>
      <c r="AD57" s="275" t="e">
        <f t="shared" si="27"/>
        <v>#DIV/0!</v>
      </c>
      <c r="AE57" s="275" t="e">
        <f t="shared" si="27"/>
        <v>#DIV/0!</v>
      </c>
      <c r="AF57" s="275" t="e">
        <f t="shared" si="27"/>
        <v>#DIV/0!</v>
      </c>
      <c r="AG57" s="275" t="e">
        <f t="shared" si="27"/>
        <v>#DIV/0!</v>
      </c>
      <c r="AH57" s="275" t="e">
        <f t="shared" si="27"/>
        <v>#DIV/0!</v>
      </c>
      <c r="AI57" s="275" t="e">
        <f t="shared" si="27"/>
        <v>#DIV/0!</v>
      </c>
      <c r="AJ57" s="275" t="e">
        <f t="shared" si="27"/>
        <v>#DIV/0!</v>
      </c>
      <c r="AK57" s="63"/>
      <c r="AL57" s="302">
        <f>(AL18/(AL9))*100</f>
        <v>97.94269920863232</v>
      </c>
      <c r="AQ57" s="1629"/>
    </row>
    <row r="58" spans="1:15056" x14ac:dyDescent="0.25">
      <c r="C58" s="15"/>
      <c r="D58" s="75" t="s">
        <v>64</v>
      </c>
      <c r="E58" s="127">
        <v>5</v>
      </c>
      <c r="F58" s="70" t="s">
        <v>25</v>
      </c>
      <c r="G58" s="275">
        <f t="shared" ref="G58" si="28">(G19/(G9))*100</f>
        <v>4.0028525326697588</v>
      </c>
      <c r="H58" s="275">
        <f>(H19/(H9))*100</f>
        <v>4.515912897822445</v>
      </c>
      <c r="I58" s="275">
        <f t="shared" ref="I58:AJ58" si="29">(I19/(I9))*100</f>
        <v>4.2342504964026926</v>
      </c>
      <c r="J58" s="275">
        <f t="shared" si="29"/>
        <v>4.8264622077848038</v>
      </c>
      <c r="K58" s="275">
        <v>3.32565700352208</v>
      </c>
      <c r="L58" s="275">
        <f t="shared" si="29"/>
        <v>4.1639140839660822</v>
      </c>
      <c r="M58" s="275">
        <f t="shared" si="29"/>
        <v>3.9840336201338755</v>
      </c>
      <c r="N58" s="275">
        <f t="shared" si="29"/>
        <v>4.3645935445350723</v>
      </c>
      <c r="O58" s="275">
        <f t="shared" si="29"/>
        <v>4.5684617556970002</v>
      </c>
      <c r="P58" s="275">
        <f t="shared" si="29"/>
        <v>4.339859512778359</v>
      </c>
      <c r="Q58" s="275">
        <f t="shared" si="29"/>
        <v>4.335192829001338</v>
      </c>
      <c r="R58" s="275">
        <f t="shared" si="29"/>
        <v>4.236396362135614</v>
      </c>
      <c r="S58" s="275">
        <f t="shared" si="29"/>
        <v>5.2029076755766699</v>
      </c>
      <c r="T58" s="275">
        <f t="shared" si="29"/>
        <v>3.2739002839637696</v>
      </c>
      <c r="U58" s="275">
        <f t="shared" si="29"/>
        <v>5.3225911695729105</v>
      </c>
      <c r="V58" s="275">
        <f t="shared" si="29"/>
        <v>4.0024040037149122</v>
      </c>
      <c r="W58" s="275">
        <f t="shared" si="29"/>
        <v>4.9513588902948129</v>
      </c>
      <c r="X58" s="275">
        <f t="shared" si="29"/>
        <v>4.2672555012499274</v>
      </c>
      <c r="Y58" s="275">
        <f t="shared" si="29"/>
        <v>2.9955398267623652</v>
      </c>
      <c r="Z58" s="275">
        <f t="shared" si="29"/>
        <v>3.6694081456246503</v>
      </c>
      <c r="AA58" s="275">
        <f t="shared" si="29"/>
        <v>4.4707807129063903</v>
      </c>
      <c r="AB58" s="275">
        <f t="shared" si="29"/>
        <v>6.930274075238879</v>
      </c>
      <c r="AC58" s="275" t="e">
        <f t="shared" si="29"/>
        <v>#DIV/0!</v>
      </c>
      <c r="AD58" s="275" t="e">
        <f t="shared" si="29"/>
        <v>#DIV/0!</v>
      </c>
      <c r="AE58" s="275" t="e">
        <f t="shared" si="29"/>
        <v>#DIV/0!</v>
      </c>
      <c r="AF58" s="275" t="e">
        <f t="shared" si="29"/>
        <v>#DIV/0!</v>
      </c>
      <c r="AG58" s="275" t="e">
        <f t="shared" si="29"/>
        <v>#DIV/0!</v>
      </c>
      <c r="AH58" s="275" t="e">
        <f t="shared" si="29"/>
        <v>#DIV/0!</v>
      </c>
      <c r="AI58" s="275" t="e">
        <f t="shared" si="29"/>
        <v>#DIV/0!</v>
      </c>
      <c r="AJ58" s="275" t="e">
        <f t="shared" si="29"/>
        <v>#DIV/0!</v>
      </c>
      <c r="AK58" s="63"/>
      <c r="AL58" s="302">
        <f>(AL19/(AL9))*100</f>
        <v>4.2716875280335351</v>
      </c>
      <c r="AQ58" s="1626"/>
      <c r="BB58" s="3"/>
    </row>
    <row r="59" spans="1:15056" x14ac:dyDescent="0.25">
      <c r="C59" s="15"/>
      <c r="D59" s="75" t="s">
        <v>63</v>
      </c>
      <c r="E59" s="127">
        <v>82</v>
      </c>
      <c r="F59" s="70" t="s">
        <v>25</v>
      </c>
      <c r="G59" s="275" t="e">
        <f t="shared" ref="G59" si="30">G29/(G29+G30)*100</f>
        <v>#DIV/0!</v>
      </c>
      <c r="H59" s="275" t="e">
        <f t="shared" ref="H59" si="31">H29/(H29+H30)*100</f>
        <v>#DIV/0!</v>
      </c>
      <c r="I59" s="275" t="e">
        <f t="shared" ref="I59:AJ59" si="32">I29/(I29+I30)*100</f>
        <v>#DIV/0!</v>
      </c>
      <c r="J59" s="275" t="e">
        <f t="shared" si="32"/>
        <v>#DIV/0!</v>
      </c>
      <c r="K59" s="275" t="e">
        <v>#DIV/0!</v>
      </c>
      <c r="L59" s="275" t="e">
        <f t="shared" si="32"/>
        <v>#DIV/0!</v>
      </c>
      <c r="M59" s="275" t="e">
        <f t="shared" si="32"/>
        <v>#DIV/0!</v>
      </c>
      <c r="N59" s="275" t="e">
        <f t="shared" si="32"/>
        <v>#DIV/0!</v>
      </c>
      <c r="O59" s="275" t="e">
        <f t="shared" si="32"/>
        <v>#DIV/0!</v>
      </c>
      <c r="P59" s="275">
        <f t="shared" si="32"/>
        <v>82.6932626703111</v>
      </c>
      <c r="Q59" s="275">
        <f t="shared" si="32"/>
        <v>82.587573653551587</v>
      </c>
      <c r="R59" s="275">
        <f t="shared" si="32"/>
        <v>84.670171218704738</v>
      </c>
      <c r="S59" s="275">
        <f t="shared" si="32"/>
        <v>84.013034314046692</v>
      </c>
      <c r="T59" s="275">
        <f t="shared" si="32"/>
        <v>84.338111942990977</v>
      </c>
      <c r="U59" s="275">
        <f t="shared" si="32"/>
        <v>83.420382115047261</v>
      </c>
      <c r="V59" s="275" t="e">
        <f t="shared" si="32"/>
        <v>#DIV/0!</v>
      </c>
      <c r="W59" s="275" t="e">
        <f t="shared" si="32"/>
        <v>#DIV/0!</v>
      </c>
      <c r="X59" s="275" t="e">
        <f t="shared" si="32"/>
        <v>#DIV/0!</v>
      </c>
      <c r="Y59" s="275" t="e">
        <f t="shared" si="32"/>
        <v>#DIV/0!</v>
      </c>
      <c r="Z59" s="275" t="e">
        <f t="shared" si="32"/>
        <v>#DIV/0!</v>
      </c>
      <c r="AA59" s="275" t="e">
        <f t="shared" si="32"/>
        <v>#DIV/0!</v>
      </c>
      <c r="AB59" s="275" t="e">
        <f t="shared" si="32"/>
        <v>#DIV/0!</v>
      </c>
      <c r="AC59" s="275" t="e">
        <f t="shared" si="32"/>
        <v>#DIV/0!</v>
      </c>
      <c r="AD59" s="275">
        <f t="shared" si="32"/>
        <v>83.588996518843643</v>
      </c>
      <c r="AE59" s="275" t="e">
        <f t="shared" si="32"/>
        <v>#DIV/0!</v>
      </c>
      <c r="AF59" s="275" t="e">
        <f t="shared" si="32"/>
        <v>#DIV/0!</v>
      </c>
      <c r="AG59" s="275" t="e">
        <f t="shared" si="32"/>
        <v>#DIV/0!</v>
      </c>
      <c r="AH59" s="275" t="e">
        <f t="shared" si="32"/>
        <v>#DIV/0!</v>
      </c>
      <c r="AI59" s="275" t="e">
        <f t="shared" si="32"/>
        <v>#DIV/0!</v>
      </c>
      <c r="AJ59" s="275" t="e">
        <f t="shared" si="32"/>
        <v>#DIV/0!</v>
      </c>
      <c r="AK59" s="63"/>
      <c r="AL59" s="302">
        <f>AL29/(AL29+AL30)*100</f>
        <v>83.594110905758612</v>
      </c>
      <c r="AQ59" s="1626"/>
    </row>
    <row r="60" spans="1:15056" x14ac:dyDescent="0.25">
      <c r="C60" s="15"/>
      <c r="D60" s="75" t="s">
        <v>62</v>
      </c>
      <c r="E60" s="127">
        <v>18</v>
      </c>
      <c r="F60" s="70" t="s">
        <v>25</v>
      </c>
      <c r="G60" s="275" t="e">
        <f t="shared" ref="G60" si="33">(G30/G28)*100</f>
        <v>#DIV/0!</v>
      </c>
      <c r="H60" s="275" t="e">
        <f t="shared" ref="H60" si="34">(H30/H28)*100</f>
        <v>#DIV/0!</v>
      </c>
      <c r="I60" s="275" t="e">
        <f t="shared" ref="I60:AJ60" si="35">(I30/I28)*100</f>
        <v>#DIV/0!</v>
      </c>
      <c r="J60" s="275" t="e">
        <f t="shared" si="35"/>
        <v>#DIV/0!</v>
      </c>
      <c r="K60" s="275" t="e">
        <v>#DIV/0!</v>
      </c>
      <c r="L60" s="275" t="e">
        <f t="shared" si="35"/>
        <v>#DIV/0!</v>
      </c>
      <c r="M60" s="275" t="e">
        <f t="shared" si="35"/>
        <v>#DIV/0!</v>
      </c>
      <c r="N60" s="275" t="e">
        <f t="shared" si="35"/>
        <v>#DIV/0!</v>
      </c>
      <c r="O60" s="275" t="e">
        <f t="shared" si="35"/>
        <v>#DIV/0!</v>
      </c>
      <c r="P60" s="275">
        <f t="shared" si="35"/>
        <v>17.3067373296889</v>
      </c>
      <c r="Q60" s="275">
        <f t="shared" si="35"/>
        <v>17.412426346448417</v>
      </c>
      <c r="R60" s="275">
        <f t="shared" si="35"/>
        <v>15.329828781295262</v>
      </c>
      <c r="S60" s="275">
        <f t="shared" si="35"/>
        <v>15.986965685953303</v>
      </c>
      <c r="T60" s="275">
        <f t="shared" si="35"/>
        <v>15.661888057009024</v>
      </c>
      <c r="U60" s="275">
        <f t="shared" si="35"/>
        <v>16.579617884952732</v>
      </c>
      <c r="V60" s="275" t="e">
        <f t="shared" si="35"/>
        <v>#DIV/0!</v>
      </c>
      <c r="W60" s="275" t="e">
        <f t="shared" si="35"/>
        <v>#DIV/0!</v>
      </c>
      <c r="X60" s="275" t="e">
        <f t="shared" si="35"/>
        <v>#DIV/0!</v>
      </c>
      <c r="Y60" s="275" t="e">
        <f t="shared" si="35"/>
        <v>#DIV/0!</v>
      </c>
      <c r="Z60" s="275" t="e">
        <f t="shared" si="35"/>
        <v>#DIV/0!</v>
      </c>
      <c r="AA60" s="275" t="e">
        <f t="shared" si="35"/>
        <v>#DIV/0!</v>
      </c>
      <c r="AB60" s="275" t="e">
        <f t="shared" si="35"/>
        <v>#DIV/0!</v>
      </c>
      <c r="AC60" s="275" t="e">
        <f t="shared" si="35"/>
        <v>#DIV/0!</v>
      </c>
      <c r="AD60" s="275">
        <f t="shared" si="35"/>
        <v>16.411003481156349</v>
      </c>
      <c r="AE60" s="275" t="e">
        <f t="shared" si="35"/>
        <v>#DIV/0!</v>
      </c>
      <c r="AF60" s="275" t="e">
        <f t="shared" si="35"/>
        <v>#DIV/0!</v>
      </c>
      <c r="AG60" s="275" t="e">
        <f t="shared" si="35"/>
        <v>#DIV/0!</v>
      </c>
      <c r="AH60" s="275" t="e">
        <f t="shared" si="35"/>
        <v>#DIV/0!</v>
      </c>
      <c r="AI60" s="275" t="e">
        <f t="shared" si="35"/>
        <v>#DIV/0!</v>
      </c>
      <c r="AJ60" s="275" t="e">
        <f t="shared" si="35"/>
        <v>#DIV/0!</v>
      </c>
      <c r="AK60" s="63"/>
      <c r="AL60" s="1533">
        <f>AL30/(AL29+AL30)*100</f>
        <v>16.405889094241385</v>
      </c>
      <c r="AQ60" s="1626"/>
    </row>
    <row r="61" spans="1:15056" x14ac:dyDescent="0.25">
      <c r="C61" s="15"/>
      <c r="D61" s="75" t="s">
        <v>107</v>
      </c>
      <c r="E61" s="127">
        <v>75</v>
      </c>
      <c r="F61" s="80"/>
      <c r="G61" s="275" t="e">
        <f t="shared" ref="G61" si="36">(G33/G32)*100</f>
        <v>#DIV/0!</v>
      </c>
      <c r="H61" s="275" t="e">
        <f t="shared" ref="H61" si="37">(H33/H32)*100</f>
        <v>#DIV/0!</v>
      </c>
      <c r="I61" s="275" t="e">
        <f t="shared" ref="I61:AJ61" si="38">(I33/I32)*100</f>
        <v>#DIV/0!</v>
      </c>
      <c r="J61" s="275" t="e">
        <f t="shared" si="38"/>
        <v>#DIV/0!</v>
      </c>
      <c r="K61" s="275" t="e">
        <v>#DIV/0!</v>
      </c>
      <c r="L61" s="275" t="e">
        <f t="shared" si="38"/>
        <v>#DIV/0!</v>
      </c>
      <c r="M61" s="275" t="e">
        <f t="shared" si="38"/>
        <v>#DIV/0!</v>
      </c>
      <c r="N61" s="275" t="e">
        <f t="shared" si="38"/>
        <v>#DIV/0!</v>
      </c>
      <c r="O61" s="275" t="e">
        <f t="shared" si="38"/>
        <v>#DIV/0!</v>
      </c>
      <c r="P61" s="275" t="e">
        <f t="shared" si="38"/>
        <v>#DIV/0!</v>
      </c>
      <c r="Q61" s="275" t="e">
        <f t="shared" si="38"/>
        <v>#DIV/0!</v>
      </c>
      <c r="R61" s="275" t="e">
        <f t="shared" si="38"/>
        <v>#DIV/0!</v>
      </c>
      <c r="S61" s="275" t="e">
        <f t="shared" si="38"/>
        <v>#DIV/0!</v>
      </c>
      <c r="T61" s="275" t="e">
        <f t="shared" si="38"/>
        <v>#DIV/0!</v>
      </c>
      <c r="U61" s="275" t="e">
        <f t="shared" si="38"/>
        <v>#DIV/0!</v>
      </c>
      <c r="V61" s="275" t="e">
        <f t="shared" si="38"/>
        <v>#DIV/0!</v>
      </c>
      <c r="W61" s="275" t="e">
        <f t="shared" si="38"/>
        <v>#DIV/0!</v>
      </c>
      <c r="X61" s="275" t="e">
        <f t="shared" si="38"/>
        <v>#DIV/0!</v>
      </c>
      <c r="Y61" s="275" t="e">
        <f t="shared" si="38"/>
        <v>#DIV/0!</v>
      </c>
      <c r="Z61" s="275" t="e">
        <f t="shared" si="38"/>
        <v>#DIV/0!</v>
      </c>
      <c r="AA61" s="275" t="e">
        <f t="shared" si="38"/>
        <v>#DIV/0!</v>
      </c>
      <c r="AB61" s="275" t="e">
        <f t="shared" si="38"/>
        <v>#DIV/0!</v>
      </c>
      <c r="AC61" s="275" t="e">
        <f t="shared" si="38"/>
        <v>#DIV/0!</v>
      </c>
      <c r="AD61" s="275" t="e">
        <f t="shared" si="38"/>
        <v>#DIV/0!</v>
      </c>
      <c r="AE61" s="275" t="e">
        <f t="shared" si="38"/>
        <v>#DIV/0!</v>
      </c>
      <c r="AF61" s="275" t="e">
        <f t="shared" si="38"/>
        <v>#DIV/0!</v>
      </c>
      <c r="AG61" s="275" t="e">
        <f t="shared" si="38"/>
        <v>#DIV/0!</v>
      </c>
      <c r="AH61" s="275" t="e">
        <f t="shared" si="38"/>
        <v>#DIV/0!</v>
      </c>
      <c r="AI61" s="275" t="e">
        <f t="shared" si="38"/>
        <v>#DIV/0!</v>
      </c>
      <c r="AJ61" s="275" t="e">
        <f t="shared" si="38"/>
        <v>#DIV/0!</v>
      </c>
      <c r="AK61" s="63"/>
      <c r="AL61" s="302" t="e">
        <f>(AL38/AL37)*100</f>
        <v>#DIV/0!</v>
      </c>
      <c r="AQ61" s="1626"/>
    </row>
    <row r="62" spans="1:15056" x14ac:dyDescent="0.25">
      <c r="C62" s="15"/>
      <c r="D62" s="75" t="s">
        <v>62</v>
      </c>
      <c r="E62" s="127">
        <v>25</v>
      </c>
      <c r="F62" s="80"/>
      <c r="G62" s="275" t="e">
        <f t="shared" ref="G62" si="39">(G34/G32)*100</f>
        <v>#DIV/0!</v>
      </c>
      <c r="H62" s="275" t="e">
        <f t="shared" ref="H62" si="40">(H34/H32)*100</f>
        <v>#DIV/0!</v>
      </c>
      <c r="I62" s="275" t="e">
        <f t="shared" ref="I62:AJ62" si="41">(I34/I32)*100</f>
        <v>#DIV/0!</v>
      </c>
      <c r="J62" s="275" t="e">
        <f t="shared" si="41"/>
        <v>#DIV/0!</v>
      </c>
      <c r="K62" s="275" t="e">
        <v>#DIV/0!</v>
      </c>
      <c r="L62" s="275" t="e">
        <f t="shared" si="41"/>
        <v>#DIV/0!</v>
      </c>
      <c r="M62" s="275" t="e">
        <f t="shared" si="41"/>
        <v>#DIV/0!</v>
      </c>
      <c r="N62" s="275" t="e">
        <f t="shared" si="41"/>
        <v>#DIV/0!</v>
      </c>
      <c r="O62" s="275" t="e">
        <f t="shared" si="41"/>
        <v>#DIV/0!</v>
      </c>
      <c r="P62" s="275" t="e">
        <f t="shared" si="41"/>
        <v>#DIV/0!</v>
      </c>
      <c r="Q62" s="275" t="e">
        <f t="shared" si="41"/>
        <v>#DIV/0!</v>
      </c>
      <c r="R62" s="275" t="e">
        <f t="shared" si="41"/>
        <v>#DIV/0!</v>
      </c>
      <c r="S62" s="275" t="e">
        <f t="shared" si="41"/>
        <v>#DIV/0!</v>
      </c>
      <c r="T62" s="275" t="e">
        <f t="shared" si="41"/>
        <v>#DIV/0!</v>
      </c>
      <c r="U62" s="275" t="e">
        <f t="shared" si="41"/>
        <v>#DIV/0!</v>
      </c>
      <c r="V62" s="275" t="e">
        <f t="shared" si="41"/>
        <v>#DIV/0!</v>
      </c>
      <c r="W62" s="275" t="e">
        <f t="shared" si="41"/>
        <v>#DIV/0!</v>
      </c>
      <c r="X62" s="275" t="e">
        <f t="shared" si="41"/>
        <v>#DIV/0!</v>
      </c>
      <c r="Y62" s="275" t="e">
        <f t="shared" si="41"/>
        <v>#DIV/0!</v>
      </c>
      <c r="Z62" s="275" t="e">
        <f t="shared" si="41"/>
        <v>#DIV/0!</v>
      </c>
      <c r="AA62" s="275" t="e">
        <f t="shared" si="41"/>
        <v>#DIV/0!</v>
      </c>
      <c r="AB62" s="275" t="e">
        <f t="shared" si="41"/>
        <v>#DIV/0!</v>
      </c>
      <c r="AC62" s="275" t="e">
        <f t="shared" si="41"/>
        <v>#DIV/0!</v>
      </c>
      <c r="AD62" s="275" t="e">
        <f t="shared" si="41"/>
        <v>#DIV/0!</v>
      </c>
      <c r="AE62" s="275" t="e">
        <f t="shared" si="41"/>
        <v>#DIV/0!</v>
      </c>
      <c r="AF62" s="275" t="e">
        <f t="shared" si="41"/>
        <v>#DIV/0!</v>
      </c>
      <c r="AG62" s="275" t="e">
        <f t="shared" si="41"/>
        <v>#DIV/0!</v>
      </c>
      <c r="AH62" s="275" t="e">
        <f t="shared" si="41"/>
        <v>#DIV/0!</v>
      </c>
      <c r="AI62" s="275" t="e">
        <f t="shared" si="41"/>
        <v>#DIV/0!</v>
      </c>
      <c r="AJ62" s="275" t="e">
        <f t="shared" si="41"/>
        <v>#DIV/0!</v>
      </c>
      <c r="AK62" s="63"/>
      <c r="AL62" s="302" t="e">
        <f>(AL39/AL37)*100</f>
        <v>#DIV/0!</v>
      </c>
      <c r="AQ62" s="1626"/>
    </row>
    <row r="63" spans="1:15056" x14ac:dyDescent="0.25">
      <c r="C63" s="15"/>
      <c r="D63" s="75" t="s">
        <v>109</v>
      </c>
      <c r="E63" s="127">
        <v>75</v>
      </c>
      <c r="F63" s="70" t="s">
        <v>25</v>
      </c>
      <c r="G63" s="275" t="e">
        <f t="shared" ref="G63" si="42">G38/G37*100</f>
        <v>#DIV/0!</v>
      </c>
      <c r="H63" s="275" t="e">
        <f t="shared" ref="H63" si="43">H38/H37*100</f>
        <v>#DIV/0!</v>
      </c>
      <c r="I63" s="275" t="e">
        <f t="shared" ref="I63:AJ63" si="44">I38/I37*100</f>
        <v>#DIV/0!</v>
      </c>
      <c r="J63" s="275" t="e">
        <f t="shared" si="44"/>
        <v>#DIV/0!</v>
      </c>
      <c r="K63" s="275" t="e">
        <v>#DIV/0!</v>
      </c>
      <c r="L63" s="275" t="e">
        <f t="shared" si="44"/>
        <v>#DIV/0!</v>
      </c>
      <c r="M63" s="275" t="e">
        <f t="shared" si="44"/>
        <v>#DIV/0!</v>
      </c>
      <c r="N63" s="275" t="e">
        <f t="shared" si="44"/>
        <v>#DIV/0!</v>
      </c>
      <c r="O63" s="275" t="e">
        <f t="shared" si="44"/>
        <v>#DIV/0!</v>
      </c>
      <c r="P63" s="275" t="e">
        <f t="shared" si="44"/>
        <v>#DIV/0!</v>
      </c>
      <c r="Q63" s="275" t="e">
        <f t="shared" si="44"/>
        <v>#DIV/0!</v>
      </c>
      <c r="R63" s="275" t="e">
        <f t="shared" si="44"/>
        <v>#DIV/0!</v>
      </c>
      <c r="S63" s="275" t="e">
        <f t="shared" si="44"/>
        <v>#DIV/0!</v>
      </c>
      <c r="T63" s="275" t="e">
        <f t="shared" si="44"/>
        <v>#DIV/0!</v>
      </c>
      <c r="U63" s="275" t="e">
        <f t="shared" si="44"/>
        <v>#DIV/0!</v>
      </c>
      <c r="V63" s="275" t="e">
        <f t="shared" si="44"/>
        <v>#DIV/0!</v>
      </c>
      <c r="W63" s="275" t="e">
        <f t="shared" si="44"/>
        <v>#DIV/0!</v>
      </c>
      <c r="X63" s="275" t="e">
        <f t="shared" si="44"/>
        <v>#DIV/0!</v>
      </c>
      <c r="Y63" s="275" t="e">
        <f t="shared" si="44"/>
        <v>#DIV/0!</v>
      </c>
      <c r="Z63" s="275" t="e">
        <f t="shared" si="44"/>
        <v>#DIV/0!</v>
      </c>
      <c r="AA63" s="275" t="e">
        <f t="shared" si="44"/>
        <v>#DIV/0!</v>
      </c>
      <c r="AB63" s="275" t="e">
        <f t="shared" si="44"/>
        <v>#DIV/0!</v>
      </c>
      <c r="AC63" s="275" t="e">
        <f t="shared" si="44"/>
        <v>#DIV/0!</v>
      </c>
      <c r="AD63" s="275" t="e">
        <f t="shared" si="44"/>
        <v>#DIV/0!</v>
      </c>
      <c r="AE63" s="275" t="e">
        <f t="shared" si="44"/>
        <v>#DIV/0!</v>
      </c>
      <c r="AF63" s="275" t="e">
        <f t="shared" si="44"/>
        <v>#DIV/0!</v>
      </c>
      <c r="AG63" s="275" t="e">
        <f t="shared" si="44"/>
        <v>#DIV/0!</v>
      </c>
      <c r="AH63" s="275" t="e">
        <f t="shared" si="44"/>
        <v>#DIV/0!</v>
      </c>
      <c r="AI63" s="275" t="e">
        <f t="shared" si="44"/>
        <v>#DIV/0!</v>
      </c>
      <c r="AJ63" s="275" t="e">
        <f t="shared" si="44"/>
        <v>#DIV/0!</v>
      </c>
      <c r="AK63" s="63"/>
      <c r="AL63" s="302" t="e">
        <f>AL38/AL37*100</f>
        <v>#DIV/0!</v>
      </c>
      <c r="AQ63" s="1626"/>
      <c r="BB63" s="3"/>
    </row>
    <row r="64" spans="1:15056" x14ac:dyDescent="0.25">
      <c r="C64" s="15"/>
      <c r="D64" s="75" t="s">
        <v>62</v>
      </c>
      <c r="E64" s="127">
        <v>25</v>
      </c>
      <c r="F64" s="70" t="s">
        <v>25</v>
      </c>
      <c r="G64" s="275" t="e">
        <f t="shared" ref="G64" si="45">G39/G37*100</f>
        <v>#DIV/0!</v>
      </c>
      <c r="H64" s="275" t="e">
        <f t="shared" ref="H64" si="46">H39/H37*100</f>
        <v>#DIV/0!</v>
      </c>
      <c r="I64" s="275" t="e">
        <f t="shared" ref="I64:AJ64" si="47">I39/I37*100</f>
        <v>#DIV/0!</v>
      </c>
      <c r="J64" s="275" t="e">
        <f t="shared" si="47"/>
        <v>#DIV/0!</v>
      </c>
      <c r="K64" s="275" t="e">
        <v>#DIV/0!</v>
      </c>
      <c r="L64" s="275" t="e">
        <f t="shared" si="47"/>
        <v>#DIV/0!</v>
      </c>
      <c r="M64" s="275" t="e">
        <f t="shared" si="47"/>
        <v>#DIV/0!</v>
      </c>
      <c r="N64" s="275" t="e">
        <f t="shared" si="47"/>
        <v>#DIV/0!</v>
      </c>
      <c r="O64" s="275" t="e">
        <f t="shared" si="47"/>
        <v>#DIV/0!</v>
      </c>
      <c r="P64" s="275" t="e">
        <f t="shared" si="47"/>
        <v>#DIV/0!</v>
      </c>
      <c r="Q64" s="275" t="e">
        <f t="shared" si="47"/>
        <v>#DIV/0!</v>
      </c>
      <c r="R64" s="275" t="e">
        <f t="shared" si="47"/>
        <v>#DIV/0!</v>
      </c>
      <c r="S64" s="275" t="e">
        <f t="shared" si="47"/>
        <v>#DIV/0!</v>
      </c>
      <c r="T64" s="275" t="e">
        <f t="shared" si="47"/>
        <v>#DIV/0!</v>
      </c>
      <c r="U64" s="275" t="e">
        <f t="shared" si="47"/>
        <v>#DIV/0!</v>
      </c>
      <c r="V64" s="275" t="e">
        <f t="shared" si="47"/>
        <v>#DIV/0!</v>
      </c>
      <c r="W64" s="275" t="e">
        <f t="shared" si="47"/>
        <v>#DIV/0!</v>
      </c>
      <c r="X64" s="275" t="e">
        <f t="shared" si="47"/>
        <v>#DIV/0!</v>
      </c>
      <c r="Y64" s="275" t="e">
        <f t="shared" si="47"/>
        <v>#DIV/0!</v>
      </c>
      <c r="Z64" s="275" t="e">
        <f t="shared" si="47"/>
        <v>#DIV/0!</v>
      </c>
      <c r="AA64" s="275" t="e">
        <f t="shared" si="47"/>
        <v>#DIV/0!</v>
      </c>
      <c r="AB64" s="275" t="e">
        <f t="shared" si="47"/>
        <v>#DIV/0!</v>
      </c>
      <c r="AC64" s="275" t="e">
        <f t="shared" si="47"/>
        <v>#DIV/0!</v>
      </c>
      <c r="AD64" s="275" t="e">
        <f t="shared" si="47"/>
        <v>#DIV/0!</v>
      </c>
      <c r="AE64" s="275" t="e">
        <f t="shared" si="47"/>
        <v>#DIV/0!</v>
      </c>
      <c r="AF64" s="275" t="e">
        <f t="shared" si="47"/>
        <v>#DIV/0!</v>
      </c>
      <c r="AG64" s="275" t="e">
        <f t="shared" si="47"/>
        <v>#DIV/0!</v>
      </c>
      <c r="AH64" s="275" t="e">
        <f t="shared" si="47"/>
        <v>#DIV/0!</v>
      </c>
      <c r="AI64" s="275" t="e">
        <f t="shared" si="47"/>
        <v>#DIV/0!</v>
      </c>
      <c r="AJ64" s="275" t="e">
        <f t="shared" si="47"/>
        <v>#DIV/0!</v>
      </c>
      <c r="AK64" s="18"/>
      <c r="AL64" s="302" t="e">
        <f>AL39/AL37*100</f>
        <v>#DIV/0!</v>
      </c>
      <c r="AQ64" s="1626"/>
    </row>
    <row r="65" spans="3:91 15057:15070" x14ac:dyDescent="0.25">
      <c r="C65" s="15"/>
      <c r="D65" s="75" t="s">
        <v>112</v>
      </c>
      <c r="E65" s="127">
        <v>70</v>
      </c>
      <c r="F65" s="70" t="s">
        <v>25</v>
      </c>
      <c r="G65" s="275">
        <f t="shared" ref="G65" si="48">G42/(G42+G43)*100</f>
        <v>76.015238892163111</v>
      </c>
      <c r="H65" s="275">
        <f t="shared" ref="H65" si="49">H42/(H42+H43)*100</f>
        <v>77.027340846469656</v>
      </c>
      <c r="I65" s="275">
        <f t="shared" ref="I65:AJ65" si="50">I42/(I42+I43)*100</f>
        <v>76.489821870694882</v>
      </c>
      <c r="J65" s="275">
        <f t="shared" si="50"/>
        <v>76.601322508058942</v>
      </c>
      <c r="K65" s="275">
        <v>76.367645292854007</v>
      </c>
      <c r="L65" s="275">
        <f t="shared" si="50"/>
        <v>78.352327282094734</v>
      </c>
      <c r="M65" s="275">
        <f t="shared" si="50"/>
        <v>76.048825070738943</v>
      </c>
      <c r="N65" s="275">
        <f t="shared" si="50"/>
        <v>77.248617248950779</v>
      </c>
      <c r="O65" s="275">
        <f t="shared" si="50"/>
        <v>74.487311667720775</v>
      </c>
      <c r="P65" s="275">
        <f t="shared" si="50"/>
        <v>70.043099528996706</v>
      </c>
      <c r="Q65" s="275" t="e">
        <f t="shared" si="50"/>
        <v>#DIV/0!</v>
      </c>
      <c r="R65" s="275" t="e">
        <f t="shared" si="50"/>
        <v>#DIV/0!</v>
      </c>
      <c r="S65" s="275" t="e">
        <f t="shared" si="50"/>
        <v>#DIV/0!</v>
      </c>
      <c r="T65" s="275" t="e">
        <f t="shared" si="50"/>
        <v>#DIV/0!</v>
      </c>
      <c r="U65" s="275">
        <f t="shared" si="50"/>
        <v>70.735880398671085</v>
      </c>
      <c r="V65" s="275">
        <f t="shared" si="50"/>
        <v>76.836543036738362</v>
      </c>
      <c r="W65" s="275">
        <f t="shared" si="50"/>
        <v>76.626846538458864</v>
      </c>
      <c r="X65" s="275">
        <f t="shared" si="50"/>
        <v>74.961633596331268</v>
      </c>
      <c r="Y65" s="275">
        <f t="shared" si="50"/>
        <v>75.604210963922725</v>
      </c>
      <c r="Z65" s="275">
        <f t="shared" si="50"/>
        <v>74.446154983399921</v>
      </c>
      <c r="AA65" s="275">
        <f t="shared" si="50"/>
        <v>77.606946513470263</v>
      </c>
      <c r="AB65" s="275">
        <f t="shared" si="50"/>
        <v>75.304247784428995</v>
      </c>
      <c r="AC65" s="275">
        <f t="shared" si="50"/>
        <v>76.12695150355745</v>
      </c>
      <c r="AD65" s="275">
        <f t="shared" si="50"/>
        <v>61.646453895393286</v>
      </c>
      <c r="AE65" s="275" t="e">
        <f t="shared" si="50"/>
        <v>#DIV/0!</v>
      </c>
      <c r="AF65" s="275" t="e">
        <f t="shared" si="50"/>
        <v>#DIV/0!</v>
      </c>
      <c r="AG65" s="275" t="e">
        <f t="shared" si="50"/>
        <v>#DIV/0!</v>
      </c>
      <c r="AH65" s="275" t="e">
        <f t="shared" si="50"/>
        <v>#DIV/0!</v>
      </c>
      <c r="AI65" s="275" t="e">
        <f t="shared" si="50"/>
        <v>#DIV/0!</v>
      </c>
      <c r="AJ65" s="275" t="e">
        <f t="shared" si="50"/>
        <v>#DIV/0!</v>
      </c>
      <c r="AK65" s="18"/>
      <c r="AL65" s="1533">
        <f>AL42/(AL42+AL43)*100</f>
        <v>75.891352416188454</v>
      </c>
      <c r="AQ65" s="1626"/>
    </row>
    <row r="66" spans="3:91 15057:15070" x14ac:dyDescent="0.25">
      <c r="C66" s="15"/>
      <c r="D66" s="75" t="s">
        <v>62</v>
      </c>
      <c r="E66" s="127">
        <v>30</v>
      </c>
      <c r="F66" s="70" t="s">
        <v>25</v>
      </c>
      <c r="G66" s="275">
        <f t="shared" ref="G66" si="51">G43/(G43+G42)*100</f>
        <v>23.984761107836885</v>
      </c>
      <c r="H66" s="275">
        <f t="shared" ref="H66" si="52">H43/(H43+H42)*100</f>
        <v>22.972659153530333</v>
      </c>
      <c r="I66" s="275">
        <f t="shared" ref="I66:AJ66" si="53">I43/(I43+I42)*100</f>
        <v>23.51017812930511</v>
      </c>
      <c r="J66" s="275">
        <f t="shared" si="53"/>
        <v>23.398677491941054</v>
      </c>
      <c r="K66" s="275">
        <v>23.632354707146003</v>
      </c>
      <c r="L66" s="275">
        <f t="shared" si="53"/>
        <v>21.647672717905266</v>
      </c>
      <c r="M66" s="275">
        <f t="shared" si="53"/>
        <v>23.951174929261057</v>
      </c>
      <c r="N66" s="275">
        <f t="shared" si="53"/>
        <v>22.751382751049224</v>
      </c>
      <c r="O66" s="275">
        <f t="shared" si="53"/>
        <v>25.512688332279222</v>
      </c>
      <c r="P66" s="275">
        <f t="shared" si="53"/>
        <v>29.956900471003291</v>
      </c>
      <c r="Q66" s="275" t="e">
        <f t="shared" si="53"/>
        <v>#DIV/0!</v>
      </c>
      <c r="R66" s="275" t="e">
        <f t="shared" si="53"/>
        <v>#DIV/0!</v>
      </c>
      <c r="S66" s="275" t="e">
        <f t="shared" si="53"/>
        <v>#DIV/0!</v>
      </c>
      <c r="T66" s="275" t="e">
        <f t="shared" si="53"/>
        <v>#DIV/0!</v>
      </c>
      <c r="U66" s="275">
        <f t="shared" si="53"/>
        <v>29.264119601328904</v>
      </c>
      <c r="V66" s="275">
        <f t="shared" si="53"/>
        <v>23.163456963261623</v>
      </c>
      <c r="W66" s="275">
        <f t="shared" si="53"/>
        <v>23.37315346154114</v>
      </c>
      <c r="X66" s="275">
        <f t="shared" si="53"/>
        <v>25.038366403668732</v>
      </c>
      <c r="Y66" s="275">
        <f t="shared" si="53"/>
        <v>24.395789036077272</v>
      </c>
      <c r="Z66" s="275">
        <f t="shared" si="53"/>
        <v>25.553845016600086</v>
      </c>
      <c r="AA66" s="275">
        <f t="shared" si="53"/>
        <v>22.39305348652973</v>
      </c>
      <c r="AB66" s="275">
        <f t="shared" si="53"/>
        <v>24.695752215571016</v>
      </c>
      <c r="AC66" s="275">
        <f t="shared" si="53"/>
        <v>23.873048496442546</v>
      </c>
      <c r="AD66" s="275">
        <f t="shared" si="53"/>
        <v>38.353546104606714</v>
      </c>
      <c r="AE66" s="275" t="e">
        <f t="shared" si="53"/>
        <v>#DIV/0!</v>
      </c>
      <c r="AF66" s="275" t="e">
        <f t="shared" si="53"/>
        <v>#DIV/0!</v>
      </c>
      <c r="AG66" s="275" t="e">
        <f t="shared" si="53"/>
        <v>#DIV/0!</v>
      </c>
      <c r="AH66" s="275" t="e">
        <f t="shared" si="53"/>
        <v>#DIV/0!</v>
      </c>
      <c r="AI66" s="275" t="e">
        <f t="shared" si="53"/>
        <v>#DIV/0!</v>
      </c>
      <c r="AJ66" s="275" t="e">
        <f t="shared" si="53"/>
        <v>#DIV/0!</v>
      </c>
      <c r="AK66" s="18"/>
      <c r="AL66" s="302">
        <f>AL43/AL41*100</f>
        <v>24.108647583811546</v>
      </c>
      <c r="AQ66" s="1626"/>
    </row>
    <row r="67" spans="3:91 15057:15070" hidden="1" x14ac:dyDescent="0.25">
      <c r="C67" s="15"/>
      <c r="D67" s="75" t="s">
        <v>843</v>
      </c>
      <c r="E67" s="127">
        <v>70</v>
      </c>
      <c r="F67" s="70" t="s">
        <v>25</v>
      </c>
      <c r="G67" s="275" t="e">
        <f t="shared" ref="G67" si="54">G47/(G47+G48)*100</f>
        <v>#DIV/0!</v>
      </c>
      <c r="H67" s="275" t="e">
        <f t="shared" ref="H67" si="55">H47/(H47+H48)*100</f>
        <v>#DIV/0!</v>
      </c>
      <c r="I67" s="275" t="e">
        <f t="shared" ref="I67:AJ67" si="56">I47/(I47+I48)*100</f>
        <v>#DIV/0!</v>
      </c>
      <c r="J67" s="275" t="e">
        <f t="shared" si="56"/>
        <v>#DIV/0!</v>
      </c>
      <c r="K67" s="275" t="e">
        <v>#DIV/0!</v>
      </c>
      <c r="L67" s="275" t="e">
        <f t="shared" si="56"/>
        <v>#DIV/0!</v>
      </c>
      <c r="M67" s="275" t="e">
        <f t="shared" si="56"/>
        <v>#DIV/0!</v>
      </c>
      <c r="N67" s="275" t="e">
        <f t="shared" si="56"/>
        <v>#DIV/0!</v>
      </c>
      <c r="O67" s="275" t="e">
        <f t="shared" si="56"/>
        <v>#DIV/0!</v>
      </c>
      <c r="P67" s="275" t="e">
        <f t="shared" si="56"/>
        <v>#DIV/0!</v>
      </c>
      <c r="Q67" s="275" t="e">
        <f t="shared" si="56"/>
        <v>#DIV/0!</v>
      </c>
      <c r="R67" s="275" t="e">
        <f t="shared" si="56"/>
        <v>#DIV/0!</v>
      </c>
      <c r="S67" s="275" t="e">
        <f t="shared" si="56"/>
        <v>#DIV/0!</v>
      </c>
      <c r="T67" s="275" t="e">
        <f t="shared" si="56"/>
        <v>#DIV/0!</v>
      </c>
      <c r="U67" s="275" t="e">
        <f t="shared" si="56"/>
        <v>#DIV/0!</v>
      </c>
      <c r="V67" s="275" t="e">
        <f t="shared" si="56"/>
        <v>#DIV/0!</v>
      </c>
      <c r="W67" s="275" t="e">
        <f t="shared" si="56"/>
        <v>#DIV/0!</v>
      </c>
      <c r="X67" s="275" t="e">
        <f t="shared" si="56"/>
        <v>#DIV/0!</v>
      </c>
      <c r="Y67" s="275" t="e">
        <f t="shared" si="56"/>
        <v>#DIV/0!</v>
      </c>
      <c r="Z67" s="275" t="e">
        <f t="shared" si="56"/>
        <v>#DIV/0!</v>
      </c>
      <c r="AA67" s="275" t="e">
        <f t="shared" si="56"/>
        <v>#DIV/0!</v>
      </c>
      <c r="AB67" s="275" t="e">
        <f t="shared" si="56"/>
        <v>#DIV/0!</v>
      </c>
      <c r="AC67" s="275" t="e">
        <f t="shared" si="56"/>
        <v>#DIV/0!</v>
      </c>
      <c r="AD67" s="275" t="e">
        <f t="shared" si="56"/>
        <v>#DIV/0!</v>
      </c>
      <c r="AE67" s="275" t="e">
        <f t="shared" si="56"/>
        <v>#DIV/0!</v>
      </c>
      <c r="AF67" s="275" t="e">
        <f t="shared" si="56"/>
        <v>#DIV/0!</v>
      </c>
      <c r="AG67" s="275" t="e">
        <f t="shared" si="56"/>
        <v>#DIV/0!</v>
      </c>
      <c r="AH67" s="275" t="e">
        <f t="shared" si="56"/>
        <v>#DIV/0!</v>
      </c>
      <c r="AI67" s="275" t="e">
        <f t="shared" si="56"/>
        <v>#DIV/0!</v>
      </c>
      <c r="AJ67" s="275" t="e">
        <f t="shared" si="56"/>
        <v>#DIV/0!</v>
      </c>
      <c r="AK67" s="18"/>
      <c r="AL67" s="1533" t="e">
        <f>AL47/(AL47+AL48)*100</f>
        <v>#DIV/0!</v>
      </c>
      <c r="AQ67" s="1626"/>
    </row>
    <row r="68" spans="3:91 15057:15070" hidden="1" x14ac:dyDescent="0.25">
      <c r="C68" s="15"/>
      <c r="D68" s="75" t="s">
        <v>62</v>
      </c>
      <c r="E68" s="127">
        <v>30</v>
      </c>
      <c r="F68" s="70" t="s">
        <v>25</v>
      </c>
      <c r="G68" s="275" t="e">
        <f t="shared" ref="G68" si="57">G48/(G47+G48)*100</f>
        <v>#DIV/0!</v>
      </c>
      <c r="H68" s="275" t="e">
        <f t="shared" ref="H68" si="58">H48/(H47+H48)*100</f>
        <v>#DIV/0!</v>
      </c>
      <c r="I68" s="275" t="e">
        <f t="shared" ref="I68:AJ68" si="59">I48/(I47+I48)*100</f>
        <v>#DIV/0!</v>
      </c>
      <c r="J68" s="275" t="e">
        <f t="shared" si="59"/>
        <v>#DIV/0!</v>
      </c>
      <c r="K68" s="275" t="e">
        <v>#DIV/0!</v>
      </c>
      <c r="L68" s="275" t="e">
        <f t="shared" si="59"/>
        <v>#DIV/0!</v>
      </c>
      <c r="M68" s="275" t="e">
        <f t="shared" si="59"/>
        <v>#DIV/0!</v>
      </c>
      <c r="N68" s="275" t="e">
        <f t="shared" si="59"/>
        <v>#DIV/0!</v>
      </c>
      <c r="O68" s="275" t="e">
        <f t="shared" si="59"/>
        <v>#DIV/0!</v>
      </c>
      <c r="P68" s="275" t="e">
        <f t="shared" si="59"/>
        <v>#DIV/0!</v>
      </c>
      <c r="Q68" s="275" t="e">
        <f t="shared" si="59"/>
        <v>#DIV/0!</v>
      </c>
      <c r="R68" s="275" t="e">
        <f t="shared" si="59"/>
        <v>#DIV/0!</v>
      </c>
      <c r="S68" s="275" t="e">
        <f t="shared" si="59"/>
        <v>#DIV/0!</v>
      </c>
      <c r="T68" s="275" t="e">
        <f t="shared" si="59"/>
        <v>#DIV/0!</v>
      </c>
      <c r="U68" s="275" t="e">
        <f t="shared" si="59"/>
        <v>#DIV/0!</v>
      </c>
      <c r="V68" s="275" t="e">
        <f t="shared" si="59"/>
        <v>#DIV/0!</v>
      </c>
      <c r="W68" s="275" t="e">
        <f t="shared" si="59"/>
        <v>#DIV/0!</v>
      </c>
      <c r="X68" s="275" t="e">
        <f t="shared" si="59"/>
        <v>#DIV/0!</v>
      </c>
      <c r="Y68" s="275" t="e">
        <f t="shared" si="59"/>
        <v>#DIV/0!</v>
      </c>
      <c r="Z68" s="275" t="e">
        <f t="shared" si="59"/>
        <v>#DIV/0!</v>
      </c>
      <c r="AA68" s="275" t="e">
        <f t="shared" si="59"/>
        <v>#DIV/0!</v>
      </c>
      <c r="AB68" s="275" t="e">
        <f t="shared" si="59"/>
        <v>#DIV/0!</v>
      </c>
      <c r="AC68" s="275" t="e">
        <f t="shared" si="59"/>
        <v>#DIV/0!</v>
      </c>
      <c r="AD68" s="275" t="e">
        <f t="shared" si="59"/>
        <v>#DIV/0!</v>
      </c>
      <c r="AE68" s="275" t="e">
        <f t="shared" si="59"/>
        <v>#DIV/0!</v>
      </c>
      <c r="AF68" s="275" t="e">
        <f t="shared" si="59"/>
        <v>#DIV/0!</v>
      </c>
      <c r="AG68" s="275" t="e">
        <f t="shared" si="59"/>
        <v>#DIV/0!</v>
      </c>
      <c r="AH68" s="275" t="e">
        <f t="shared" si="59"/>
        <v>#DIV/0!</v>
      </c>
      <c r="AI68" s="275" t="e">
        <f t="shared" si="59"/>
        <v>#DIV/0!</v>
      </c>
      <c r="AJ68" s="275" t="e">
        <f t="shared" si="59"/>
        <v>#DIV/0!</v>
      </c>
      <c r="AK68" s="18"/>
      <c r="AL68" s="1533" t="e">
        <f>AL48/(AL47+AL48)*100</f>
        <v>#DIV/0!</v>
      </c>
      <c r="AQ68" s="1626"/>
    </row>
    <row r="69" spans="3:91 15057:15070" hidden="1" x14ac:dyDescent="0.25">
      <c r="C69" s="15"/>
      <c r="D69" s="75" t="s">
        <v>61</v>
      </c>
      <c r="E69" s="127">
        <v>60</v>
      </c>
      <c r="F69" s="70" t="s">
        <v>25</v>
      </c>
      <c r="G69" s="275" t="e">
        <f t="shared" ref="G69" si="60">G52/G51*100</f>
        <v>#DIV/0!</v>
      </c>
      <c r="H69" s="275" t="e">
        <f t="shared" ref="H69" si="61">H52/H51*100</f>
        <v>#DIV/0!</v>
      </c>
      <c r="I69" s="275" t="e">
        <f t="shared" ref="I69:AJ69" si="62">I52/I51*100</f>
        <v>#DIV/0!</v>
      </c>
      <c r="J69" s="275" t="e">
        <f t="shared" si="62"/>
        <v>#DIV/0!</v>
      </c>
      <c r="K69" s="275" t="e">
        <v>#DIV/0!</v>
      </c>
      <c r="L69" s="275" t="e">
        <f t="shared" si="62"/>
        <v>#DIV/0!</v>
      </c>
      <c r="M69" s="275" t="e">
        <f t="shared" si="62"/>
        <v>#DIV/0!</v>
      </c>
      <c r="N69" s="275" t="e">
        <f t="shared" si="62"/>
        <v>#DIV/0!</v>
      </c>
      <c r="O69" s="275" t="e">
        <f t="shared" si="62"/>
        <v>#DIV/0!</v>
      </c>
      <c r="P69" s="275" t="e">
        <f t="shared" si="62"/>
        <v>#DIV/0!</v>
      </c>
      <c r="Q69" s="275" t="e">
        <f t="shared" si="62"/>
        <v>#DIV/0!</v>
      </c>
      <c r="R69" s="275" t="e">
        <f t="shared" si="62"/>
        <v>#DIV/0!</v>
      </c>
      <c r="S69" s="275" t="e">
        <f t="shared" si="62"/>
        <v>#DIV/0!</v>
      </c>
      <c r="T69" s="275" t="e">
        <f t="shared" si="62"/>
        <v>#DIV/0!</v>
      </c>
      <c r="U69" s="275" t="e">
        <f t="shared" si="62"/>
        <v>#DIV/0!</v>
      </c>
      <c r="V69" s="275" t="e">
        <f t="shared" si="62"/>
        <v>#DIV/0!</v>
      </c>
      <c r="W69" s="275" t="e">
        <f t="shared" si="62"/>
        <v>#DIV/0!</v>
      </c>
      <c r="X69" s="275" t="e">
        <f t="shared" si="62"/>
        <v>#DIV/0!</v>
      </c>
      <c r="Y69" s="275" t="e">
        <f t="shared" si="62"/>
        <v>#DIV/0!</v>
      </c>
      <c r="Z69" s="275" t="e">
        <f t="shared" si="62"/>
        <v>#DIV/0!</v>
      </c>
      <c r="AA69" s="275" t="e">
        <f t="shared" si="62"/>
        <v>#DIV/0!</v>
      </c>
      <c r="AB69" s="275" t="e">
        <f t="shared" si="62"/>
        <v>#DIV/0!</v>
      </c>
      <c r="AC69" s="275" t="e">
        <f t="shared" si="62"/>
        <v>#DIV/0!</v>
      </c>
      <c r="AD69" s="275" t="e">
        <f t="shared" si="62"/>
        <v>#DIV/0!</v>
      </c>
      <c r="AE69" s="275" t="e">
        <f t="shared" si="62"/>
        <v>#DIV/0!</v>
      </c>
      <c r="AF69" s="275" t="e">
        <f t="shared" si="62"/>
        <v>#DIV/0!</v>
      </c>
      <c r="AG69" s="275" t="e">
        <f t="shared" si="62"/>
        <v>#DIV/0!</v>
      </c>
      <c r="AH69" s="275" t="e">
        <f t="shared" si="62"/>
        <v>#DIV/0!</v>
      </c>
      <c r="AI69" s="275" t="e">
        <f t="shared" si="62"/>
        <v>#DIV/0!</v>
      </c>
      <c r="AJ69" s="275" t="e">
        <f t="shared" si="62"/>
        <v>#DIV/0!</v>
      </c>
      <c r="AK69" s="63"/>
      <c r="AL69" s="302" t="e">
        <f>(AL53+AL52)/AL51*100</f>
        <v>#DIV/0!</v>
      </c>
      <c r="AQ69" s="1626"/>
    </row>
    <row r="70" spans="3:91 15057:15070" ht="15.75" hidden="1" thickBot="1" x14ac:dyDescent="0.3">
      <c r="C70" s="19"/>
      <c r="D70" s="75" t="s">
        <v>60</v>
      </c>
      <c r="E70" s="127">
        <v>40</v>
      </c>
      <c r="F70" s="70" t="s">
        <v>25</v>
      </c>
      <c r="G70" s="275" t="e">
        <f t="shared" ref="G70" si="63">G54/G51*100</f>
        <v>#DIV/0!</v>
      </c>
      <c r="H70" s="275" t="e">
        <f t="shared" ref="H70" si="64">H54/H51*100</f>
        <v>#DIV/0!</v>
      </c>
      <c r="I70" s="275" t="e">
        <f t="shared" ref="I70:AJ70" si="65">I54/I51*100</f>
        <v>#DIV/0!</v>
      </c>
      <c r="J70" s="275" t="e">
        <f t="shared" si="65"/>
        <v>#DIV/0!</v>
      </c>
      <c r="K70" s="275" t="e">
        <v>#DIV/0!</v>
      </c>
      <c r="L70" s="275" t="e">
        <f t="shared" si="65"/>
        <v>#DIV/0!</v>
      </c>
      <c r="M70" s="275" t="e">
        <f t="shared" si="65"/>
        <v>#DIV/0!</v>
      </c>
      <c r="N70" s="275" t="e">
        <f t="shared" si="65"/>
        <v>#DIV/0!</v>
      </c>
      <c r="O70" s="275" t="e">
        <f t="shared" si="65"/>
        <v>#DIV/0!</v>
      </c>
      <c r="P70" s="275" t="e">
        <f t="shared" si="65"/>
        <v>#DIV/0!</v>
      </c>
      <c r="Q70" s="275" t="e">
        <f t="shared" si="65"/>
        <v>#DIV/0!</v>
      </c>
      <c r="R70" s="275" t="e">
        <f t="shared" si="65"/>
        <v>#DIV/0!</v>
      </c>
      <c r="S70" s="275" t="e">
        <f t="shared" si="65"/>
        <v>#DIV/0!</v>
      </c>
      <c r="T70" s="275" t="e">
        <f t="shared" si="65"/>
        <v>#DIV/0!</v>
      </c>
      <c r="U70" s="275" t="e">
        <f t="shared" si="65"/>
        <v>#DIV/0!</v>
      </c>
      <c r="V70" s="275" t="e">
        <f t="shared" si="65"/>
        <v>#DIV/0!</v>
      </c>
      <c r="W70" s="275" t="e">
        <f t="shared" si="65"/>
        <v>#DIV/0!</v>
      </c>
      <c r="X70" s="275" t="e">
        <f t="shared" si="65"/>
        <v>#DIV/0!</v>
      </c>
      <c r="Y70" s="275" t="e">
        <f t="shared" si="65"/>
        <v>#DIV/0!</v>
      </c>
      <c r="Z70" s="275" t="e">
        <f t="shared" si="65"/>
        <v>#DIV/0!</v>
      </c>
      <c r="AA70" s="275" t="e">
        <f t="shared" si="65"/>
        <v>#DIV/0!</v>
      </c>
      <c r="AB70" s="275" t="e">
        <f t="shared" si="65"/>
        <v>#DIV/0!</v>
      </c>
      <c r="AC70" s="275" t="e">
        <f t="shared" si="65"/>
        <v>#DIV/0!</v>
      </c>
      <c r="AD70" s="275" t="e">
        <f t="shared" si="65"/>
        <v>#DIV/0!</v>
      </c>
      <c r="AE70" s="275" t="e">
        <f t="shared" si="65"/>
        <v>#DIV/0!</v>
      </c>
      <c r="AF70" s="275" t="e">
        <f t="shared" si="65"/>
        <v>#DIV/0!</v>
      </c>
      <c r="AG70" s="275" t="e">
        <f t="shared" si="65"/>
        <v>#DIV/0!</v>
      </c>
      <c r="AH70" s="275" t="e">
        <f t="shared" si="65"/>
        <v>#DIV/0!</v>
      </c>
      <c r="AI70" s="275" t="e">
        <f t="shared" si="65"/>
        <v>#DIV/0!</v>
      </c>
      <c r="AJ70" s="275" t="e">
        <f t="shared" si="65"/>
        <v>#DIV/0!</v>
      </c>
      <c r="AK70" s="18"/>
      <c r="AL70" s="302" t="e">
        <f>AL54/AL51*100</f>
        <v>#DIV/0!</v>
      </c>
      <c r="AQ70" s="1626"/>
    </row>
    <row r="71" spans="3:91 15057:15070" x14ac:dyDescent="0.25">
      <c r="C71" s="8">
        <v>2</v>
      </c>
      <c r="D71" s="81" t="s">
        <v>59</v>
      </c>
      <c r="E71" s="77"/>
      <c r="F71" s="78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L71" s="82" t="s">
        <v>130</v>
      </c>
      <c r="AQ71" s="1626"/>
    </row>
    <row r="72" spans="3:91 15057:15070" x14ac:dyDescent="0.25">
      <c r="C72" s="8"/>
      <c r="D72" s="236" t="s">
        <v>58</v>
      </c>
      <c r="E72" s="253">
        <v>8</v>
      </c>
      <c r="F72" s="237" t="s">
        <v>56</v>
      </c>
      <c r="G72" s="276">
        <v>6031</v>
      </c>
      <c r="H72" s="276">
        <v>3547</v>
      </c>
      <c r="I72" s="276">
        <v>4999</v>
      </c>
      <c r="J72" s="276">
        <v>5981</v>
      </c>
      <c r="K72" s="276">
        <v>5471</v>
      </c>
      <c r="L72" s="276">
        <v>4974</v>
      </c>
      <c r="M72" s="276">
        <v>4629</v>
      </c>
      <c r="N72" s="276">
        <v>4400</v>
      </c>
      <c r="O72" s="276">
        <v>4691</v>
      </c>
      <c r="P72" s="276">
        <v>6930</v>
      </c>
      <c r="Q72" s="276">
        <v>5718</v>
      </c>
      <c r="R72" s="276">
        <v>4983</v>
      </c>
      <c r="S72" s="276">
        <v>4801</v>
      </c>
      <c r="T72" s="276">
        <v>5643</v>
      </c>
      <c r="U72" s="276">
        <v>5874</v>
      </c>
      <c r="V72" s="276">
        <v>5726</v>
      </c>
      <c r="W72" s="276">
        <v>4802</v>
      </c>
      <c r="X72" s="276">
        <v>8051</v>
      </c>
      <c r="Y72" s="276">
        <v>9884</v>
      </c>
      <c r="Z72" s="276">
        <v>10692</v>
      </c>
      <c r="AA72" s="276">
        <v>14561</v>
      </c>
      <c r="AB72" s="276">
        <v>5181</v>
      </c>
      <c r="AC72" s="276">
        <v>0</v>
      </c>
      <c r="AD72" s="276">
        <v>0</v>
      </c>
      <c r="AE72" s="276">
        <v>0</v>
      </c>
      <c r="AF72" s="276">
        <v>0</v>
      </c>
      <c r="AG72" s="276">
        <v>0</v>
      </c>
      <c r="AH72" s="276">
        <v>0</v>
      </c>
      <c r="AI72" s="276">
        <v>0</v>
      </c>
      <c r="AJ72" s="276">
        <v>0</v>
      </c>
      <c r="AL72" s="83">
        <f>SUM(G72:AJ72)</f>
        <v>137569</v>
      </c>
      <c r="AQ72" s="1626"/>
    </row>
    <row r="73" spans="3:91 15057:15070" x14ac:dyDescent="0.25">
      <c r="C73" s="15"/>
      <c r="D73" s="21"/>
      <c r="E73" s="255"/>
      <c r="F73" s="20" t="s">
        <v>25</v>
      </c>
      <c r="G73" s="277">
        <f t="shared" ref="G73" si="66">G72/(G11)*100</f>
        <v>0.70161600861809215</v>
      </c>
      <c r="H73" s="277">
        <f t="shared" ref="H73:AJ73" si="67">H72/(H11)*100</f>
        <v>0.66015261492648425</v>
      </c>
      <c r="I73" s="277">
        <f t="shared" si="67"/>
        <v>0.67847356341807363</v>
      </c>
      <c r="J73" s="277">
        <f t="shared" si="67"/>
        <v>0.66857517809854583</v>
      </c>
      <c r="K73" s="277">
        <v>0.60748120150476792</v>
      </c>
      <c r="L73" s="277">
        <f t="shared" si="67"/>
        <v>0.5878216680946613</v>
      </c>
      <c r="M73" s="277">
        <f t="shared" si="67"/>
        <v>0.6140609205740255</v>
      </c>
      <c r="N73" s="277">
        <f t="shared" si="67"/>
        <v>0.63150975323756398</v>
      </c>
      <c r="O73" s="277">
        <f t="shared" si="67"/>
        <v>0.56613974998612104</v>
      </c>
      <c r="P73" s="277">
        <f t="shared" si="67"/>
        <v>0.69047974891645492</v>
      </c>
      <c r="Q73" s="277">
        <f t="shared" si="67"/>
        <v>0.57133778772972665</v>
      </c>
      <c r="R73" s="277">
        <f t="shared" si="67"/>
        <v>0.53835466368769158</v>
      </c>
      <c r="S73" s="277">
        <f t="shared" si="67"/>
        <v>0.59738747190997254</v>
      </c>
      <c r="T73" s="277">
        <f t="shared" si="67"/>
        <v>0.55871950953872718</v>
      </c>
      <c r="U73" s="277">
        <f t="shared" si="67"/>
        <v>0.56365653223608703</v>
      </c>
      <c r="V73" s="277">
        <f t="shared" si="67"/>
        <v>0.57740458353963331</v>
      </c>
      <c r="W73" s="277">
        <f t="shared" si="67"/>
        <v>0.75762117678984453</v>
      </c>
      <c r="X73" s="277">
        <f t="shared" si="67"/>
        <v>0.72266878503498455</v>
      </c>
      <c r="Y73" s="277">
        <f t="shared" si="67"/>
        <v>0.72782486842967586</v>
      </c>
      <c r="Z73" s="277">
        <f t="shared" si="67"/>
        <v>0.67956475313977727</v>
      </c>
      <c r="AA73" s="277">
        <f t="shared" si="67"/>
        <v>1.0154588812726955</v>
      </c>
      <c r="AB73" s="277">
        <f t="shared" si="67"/>
        <v>1.198096365704983</v>
      </c>
      <c r="AC73" s="277" t="e">
        <f t="shared" si="67"/>
        <v>#DIV/0!</v>
      </c>
      <c r="AD73" s="277" t="e">
        <f t="shared" si="67"/>
        <v>#DIV/0!</v>
      </c>
      <c r="AE73" s="277" t="e">
        <f t="shared" si="67"/>
        <v>#DIV/0!</v>
      </c>
      <c r="AF73" s="277" t="e">
        <f t="shared" si="67"/>
        <v>#DIV/0!</v>
      </c>
      <c r="AG73" s="277" t="e">
        <f t="shared" si="67"/>
        <v>#DIV/0!</v>
      </c>
      <c r="AH73" s="277" t="e">
        <f t="shared" si="67"/>
        <v>#DIV/0!</v>
      </c>
      <c r="AI73" s="277" t="e">
        <f t="shared" si="67"/>
        <v>#DIV/0!</v>
      </c>
      <c r="AJ73" s="277" t="e">
        <f t="shared" si="67"/>
        <v>#DIV/0!</v>
      </c>
      <c r="AL73" s="303">
        <f>AL72/(AL11)*100</f>
        <v>0.67510641701730056</v>
      </c>
      <c r="AP73" s="141"/>
      <c r="AQ73" s="1626"/>
      <c r="BA73" s="141" t="e">
        <v>#DIV/0!</v>
      </c>
      <c r="BB73" s="141" t="e">
        <v>#DIV/0!</v>
      </c>
    </row>
    <row r="74" spans="3:91 15057:15070" s="1" customFormat="1" x14ac:dyDescent="0.25">
      <c r="C74" s="8"/>
      <c r="D74" s="238" t="s">
        <v>57</v>
      </c>
      <c r="E74" s="258">
        <v>18</v>
      </c>
      <c r="F74" s="239" t="s">
        <v>56</v>
      </c>
      <c r="G74" s="278">
        <v>0</v>
      </c>
      <c r="H74" s="278">
        <v>0</v>
      </c>
      <c r="I74" s="278">
        <v>0</v>
      </c>
      <c r="J74" s="278">
        <v>0</v>
      </c>
      <c r="K74" s="278">
        <v>0</v>
      </c>
      <c r="L74" s="278">
        <v>0</v>
      </c>
      <c r="M74" s="278">
        <v>0</v>
      </c>
      <c r="N74" s="278">
        <v>0</v>
      </c>
      <c r="O74" s="278">
        <v>0</v>
      </c>
      <c r="P74" s="278">
        <v>0</v>
      </c>
      <c r="Q74" s="278">
        <v>0</v>
      </c>
      <c r="R74" s="278">
        <v>0</v>
      </c>
      <c r="S74" s="278">
        <v>0</v>
      </c>
      <c r="T74" s="278">
        <v>0</v>
      </c>
      <c r="U74" s="278">
        <v>0</v>
      </c>
      <c r="V74" s="278">
        <v>0</v>
      </c>
      <c r="W74" s="278">
        <v>0</v>
      </c>
      <c r="X74" s="278">
        <v>0</v>
      </c>
      <c r="Y74" s="278">
        <v>0</v>
      </c>
      <c r="Z74" s="278">
        <v>0</v>
      </c>
      <c r="AA74" s="278">
        <v>0</v>
      </c>
      <c r="AB74" s="278">
        <v>0</v>
      </c>
      <c r="AC74" s="278">
        <v>0</v>
      </c>
      <c r="AD74" s="278">
        <v>0</v>
      </c>
      <c r="AE74" s="278">
        <v>0</v>
      </c>
      <c r="AF74" s="278">
        <v>0</v>
      </c>
      <c r="AG74" s="278">
        <v>0</v>
      </c>
      <c r="AH74" s="278">
        <v>0</v>
      </c>
      <c r="AI74" s="278">
        <v>0</v>
      </c>
      <c r="AJ74" s="278">
        <v>0</v>
      </c>
      <c r="AL74" s="83">
        <f>SUM(G74:AJ74)</f>
        <v>0</v>
      </c>
      <c r="AQ74" s="1626"/>
      <c r="CM74" s="142"/>
      <c r="VGC74" s="46"/>
      <c r="VGD74" s="46"/>
      <c r="VGE74" s="46"/>
      <c r="VGF74" s="46"/>
      <c r="VGG74" s="46"/>
      <c r="VGH74" s="46"/>
      <c r="VGI74" s="46"/>
      <c r="VGJ74" s="46"/>
      <c r="VGK74" s="46"/>
      <c r="VGL74" s="46"/>
      <c r="VGM74" s="46"/>
      <c r="VGN74" s="46"/>
      <c r="VGO74" s="46"/>
      <c r="VGP74" s="46"/>
    </row>
    <row r="75" spans="3:91 15057:15070" s="1" customFormat="1" x14ac:dyDescent="0.25">
      <c r="C75" s="15"/>
      <c r="D75" s="22"/>
      <c r="E75" s="259"/>
      <c r="F75" s="23" t="s">
        <v>25</v>
      </c>
      <c r="G75" s="279" t="e">
        <f t="shared" ref="G75" si="68">G74/(G12)*100</f>
        <v>#DIV/0!</v>
      </c>
      <c r="H75" s="279" t="e">
        <f t="shared" ref="H75" si="69">H74/(H12)*100</f>
        <v>#DIV/0!</v>
      </c>
      <c r="I75" s="279" t="e">
        <f>I74/(I12)*100</f>
        <v>#DIV/0!</v>
      </c>
      <c r="J75" s="279" t="e">
        <f t="shared" ref="J75:AJ75" si="70">J74/(J12)*100</f>
        <v>#DIV/0!</v>
      </c>
      <c r="K75" s="279" t="e">
        <v>#DIV/0!</v>
      </c>
      <c r="L75" s="279" t="e">
        <f t="shared" si="70"/>
        <v>#DIV/0!</v>
      </c>
      <c r="M75" s="279" t="e">
        <f t="shared" si="70"/>
        <v>#DIV/0!</v>
      </c>
      <c r="N75" s="279" t="e">
        <f t="shared" si="70"/>
        <v>#DIV/0!</v>
      </c>
      <c r="O75" s="279" t="e">
        <f t="shared" si="70"/>
        <v>#DIV/0!</v>
      </c>
      <c r="P75" s="279" t="e">
        <f t="shared" si="70"/>
        <v>#DIV/0!</v>
      </c>
      <c r="Q75" s="279" t="e">
        <f t="shared" si="70"/>
        <v>#DIV/0!</v>
      </c>
      <c r="R75" s="279" t="e">
        <f t="shared" si="70"/>
        <v>#DIV/0!</v>
      </c>
      <c r="S75" s="279" t="e">
        <f t="shared" si="70"/>
        <v>#DIV/0!</v>
      </c>
      <c r="T75" s="279" t="e">
        <f t="shared" si="70"/>
        <v>#DIV/0!</v>
      </c>
      <c r="U75" s="279" t="e">
        <f t="shared" si="70"/>
        <v>#DIV/0!</v>
      </c>
      <c r="V75" s="279" t="e">
        <f t="shared" si="70"/>
        <v>#DIV/0!</v>
      </c>
      <c r="W75" s="279" t="e">
        <f t="shared" si="70"/>
        <v>#DIV/0!</v>
      </c>
      <c r="X75" s="279" t="e">
        <f t="shared" si="70"/>
        <v>#DIV/0!</v>
      </c>
      <c r="Y75" s="279" t="e">
        <f t="shared" si="70"/>
        <v>#DIV/0!</v>
      </c>
      <c r="Z75" s="279" t="e">
        <f t="shared" si="70"/>
        <v>#DIV/0!</v>
      </c>
      <c r="AA75" s="279" t="e">
        <f t="shared" si="70"/>
        <v>#DIV/0!</v>
      </c>
      <c r="AB75" s="279" t="e">
        <f t="shared" si="70"/>
        <v>#DIV/0!</v>
      </c>
      <c r="AC75" s="279" t="e">
        <f t="shared" si="70"/>
        <v>#DIV/0!</v>
      </c>
      <c r="AD75" s="279" t="e">
        <f t="shared" si="70"/>
        <v>#DIV/0!</v>
      </c>
      <c r="AE75" s="279" t="e">
        <f t="shared" si="70"/>
        <v>#DIV/0!</v>
      </c>
      <c r="AF75" s="279" t="e">
        <f t="shared" si="70"/>
        <v>#DIV/0!</v>
      </c>
      <c r="AG75" s="279" t="e">
        <f t="shared" si="70"/>
        <v>#DIV/0!</v>
      </c>
      <c r="AH75" s="279" t="e">
        <f t="shared" si="70"/>
        <v>#DIV/0!</v>
      </c>
      <c r="AI75" s="279" t="e">
        <f t="shared" si="70"/>
        <v>#DIV/0!</v>
      </c>
      <c r="AJ75" s="279" t="e">
        <f t="shared" si="70"/>
        <v>#DIV/0!</v>
      </c>
      <c r="AL75" s="303" t="e">
        <f>AL74/(AL12)*100</f>
        <v>#DIV/0!</v>
      </c>
      <c r="AP75" s="141"/>
      <c r="AQ75" s="1626"/>
      <c r="CM75" s="142"/>
      <c r="VGC75" s="46"/>
      <c r="VGD75" s="46"/>
      <c r="VGE75" s="46"/>
      <c r="VGF75" s="46"/>
      <c r="VGG75" s="46"/>
      <c r="VGH75" s="46"/>
      <c r="VGI75" s="46"/>
      <c r="VGJ75" s="46"/>
      <c r="VGK75" s="46"/>
      <c r="VGL75" s="46"/>
      <c r="VGM75" s="46"/>
      <c r="VGN75" s="46"/>
      <c r="VGO75" s="46"/>
      <c r="VGP75" s="46"/>
    </row>
    <row r="76" spans="3:91 15057:15070" x14ac:dyDescent="0.25">
      <c r="C76" s="15"/>
      <c r="D76" s="236" t="s">
        <v>55</v>
      </c>
      <c r="E76" s="253">
        <v>0.6</v>
      </c>
      <c r="F76" s="237" t="s">
        <v>14</v>
      </c>
      <c r="G76" s="1535">
        <v>424.42399999999998</v>
      </c>
      <c r="H76" s="1535">
        <v>380.11599999999999</v>
      </c>
      <c r="I76" s="1535">
        <v>473.39600000000002</v>
      </c>
      <c r="J76" s="1535">
        <v>443.08</v>
      </c>
      <c r="K76" s="1535">
        <v>424.42399999999998</v>
      </c>
      <c r="L76" s="1535">
        <v>409.26600000000002</v>
      </c>
      <c r="M76" s="1535">
        <v>489.72</v>
      </c>
      <c r="N76" s="1535">
        <v>353.30399999999997</v>
      </c>
      <c r="O76" s="1535">
        <v>397.6</v>
      </c>
      <c r="P76" s="1535">
        <v>553.85</v>
      </c>
      <c r="Q76" s="1535">
        <v>473.39600000000002</v>
      </c>
      <c r="R76" s="1535">
        <v>425.59</v>
      </c>
      <c r="S76" s="1535">
        <v>417.428</v>
      </c>
      <c r="T76" s="1535">
        <v>503.71199999999999</v>
      </c>
      <c r="U76" s="1535">
        <v>489.72</v>
      </c>
      <c r="V76" s="1535">
        <v>474.56200000000001</v>
      </c>
      <c r="W76" s="1535">
        <v>314.82</v>
      </c>
      <c r="X76" s="1535">
        <v>546.85400000000004</v>
      </c>
      <c r="Y76" s="1535">
        <v>684.44200000000001</v>
      </c>
      <c r="Z76" s="1535">
        <v>846.51599999999996</v>
      </c>
      <c r="AA76" s="1535">
        <v>825.52800000000002</v>
      </c>
      <c r="AB76" s="1535">
        <v>343.97</v>
      </c>
      <c r="AC76" s="278">
        <v>0</v>
      </c>
      <c r="AD76" s="278">
        <v>0</v>
      </c>
      <c r="AE76" s="278">
        <v>0</v>
      </c>
      <c r="AF76" s="278">
        <v>0</v>
      </c>
      <c r="AG76" s="278">
        <v>0</v>
      </c>
      <c r="AH76" s="278">
        <v>0</v>
      </c>
      <c r="AI76" s="1535">
        <v>0</v>
      </c>
      <c r="AJ76" s="1535">
        <v>0</v>
      </c>
      <c r="AK76" s="307"/>
      <c r="AL76" s="308">
        <f>SUM(G76:AJ76)</f>
        <v>10695.717999999997</v>
      </c>
      <c r="AM76" s="307"/>
      <c r="AN76" s="307"/>
      <c r="AO76" s="307"/>
      <c r="AP76" s="307"/>
      <c r="AQ76" s="1626"/>
      <c r="AR76" s="307"/>
      <c r="AS76" s="307"/>
      <c r="AT76" s="307"/>
      <c r="AU76" s="307"/>
      <c r="AV76" s="307"/>
      <c r="AW76" s="307"/>
    </row>
    <row r="77" spans="3:91 15057:15070" ht="15.75" thickBot="1" x14ac:dyDescent="0.3">
      <c r="C77" s="19"/>
      <c r="D77" s="24"/>
      <c r="E77" s="255"/>
      <c r="F77" s="25" t="s">
        <v>25</v>
      </c>
      <c r="G77" s="280">
        <f>G76/(G9)*100</f>
        <v>4.9375339552599096E-2</v>
      </c>
      <c r="H77" s="280">
        <f>H76/(H9)*100</f>
        <v>7.0745579750604873E-2</v>
      </c>
      <c r="I77" s="280">
        <f>I76/(I9)*100</f>
        <v>6.425018424242096E-2</v>
      </c>
      <c r="J77" s="280">
        <f t="shared" ref="J77:AJ77" si="71">J76/(J9)*100</f>
        <v>4.952888980302686E-2</v>
      </c>
      <c r="K77" s="280">
        <v>4.7126595040661599E-2</v>
      </c>
      <c r="L77" s="280">
        <f t="shared" si="71"/>
        <v>4.8366590835229123E-2</v>
      </c>
      <c r="M77" s="280">
        <f t="shared" si="71"/>
        <v>6.4963904520093291E-2</v>
      </c>
      <c r="N77" s="280">
        <f t="shared" si="71"/>
        <v>5.0707936785873695E-2</v>
      </c>
      <c r="O77" s="280">
        <f t="shared" si="71"/>
        <v>4.7984899721697241E-2</v>
      </c>
      <c r="P77" s="280">
        <f t="shared" si="71"/>
        <v>5.5183579933243659E-2</v>
      </c>
      <c r="Q77" s="280">
        <f t="shared" si="71"/>
        <v>4.7301333221423866E-2</v>
      </c>
      <c r="R77" s="280">
        <f t="shared" si="71"/>
        <v>4.5980004278315202E-2</v>
      </c>
      <c r="S77" s="280">
        <f t="shared" si="71"/>
        <v>5.1940482737853788E-2</v>
      </c>
      <c r="T77" s="280">
        <f t="shared" si="71"/>
        <v>4.9873067798825325E-2</v>
      </c>
      <c r="U77" s="280">
        <f t="shared" si="71"/>
        <v>4.699248841788501E-2</v>
      </c>
      <c r="V77" s="280">
        <f t="shared" si="71"/>
        <v>4.7854396432716634E-2</v>
      </c>
      <c r="W77" s="280">
        <f t="shared" si="71"/>
        <v>4.9669783189708216E-2</v>
      </c>
      <c r="X77" s="280">
        <f t="shared" si="71"/>
        <v>4.9086363901567689E-2</v>
      </c>
      <c r="Y77" s="280">
        <f t="shared" si="71"/>
        <v>5.0400031221949027E-2</v>
      </c>
      <c r="Z77" s="280">
        <f t="shared" si="71"/>
        <v>5.3803071134387551E-2</v>
      </c>
      <c r="AA77" s="280">
        <f t="shared" si="71"/>
        <v>5.7570890690150797E-2</v>
      </c>
      <c r="AB77" s="280">
        <f t="shared" si="71"/>
        <v>7.9542406275148234E-2</v>
      </c>
      <c r="AC77" s="280" t="e">
        <f t="shared" si="71"/>
        <v>#DIV/0!</v>
      </c>
      <c r="AD77" s="280" t="e">
        <f t="shared" si="71"/>
        <v>#DIV/0!</v>
      </c>
      <c r="AE77" s="280" t="e">
        <f t="shared" si="71"/>
        <v>#DIV/0!</v>
      </c>
      <c r="AF77" s="280" t="e">
        <f t="shared" si="71"/>
        <v>#DIV/0!</v>
      </c>
      <c r="AG77" s="280" t="e">
        <f t="shared" si="71"/>
        <v>#DIV/0!</v>
      </c>
      <c r="AH77" s="280" t="e">
        <f t="shared" si="71"/>
        <v>#DIV/0!</v>
      </c>
      <c r="AI77" s="280" t="e">
        <f t="shared" si="71"/>
        <v>#DIV/0!</v>
      </c>
      <c r="AJ77" s="280" t="e">
        <f t="shared" si="71"/>
        <v>#DIV/0!</v>
      </c>
      <c r="AL77" s="304">
        <f>AL76/(AL9)*100</f>
        <v>5.2488190336539814E-2</v>
      </c>
      <c r="AP77" s="1539"/>
      <c r="AQ77" s="1626"/>
    </row>
    <row r="78" spans="3:91 15057:15070" s="138" customFormat="1" x14ac:dyDescent="0.25">
      <c r="C78" s="139">
        <v>3</v>
      </c>
      <c r="D78" s="240" t="s">
        <v>170</v>
      </c>
      <c r="E78" s="241">
        <v>0.8</v>
      </c>
      <c r="F78" s="242" t="s">
        <v>25</v>
      </c>
      <c r="G78" s="281">
        <f>((SUM(G18:G19))-(SUM(G9)))/(SUM(G9))*100</f>
        <v>0.84982671911045649</v>
      </c>
      <c r="H78" s="281">
        <f>((SUM(H18:H19))-(SUM(H9)))/(SUM(H9))*100</f>
        <v>-1.7025870091196726</v>
      </c>
      <c r="I78" s="281">
        <f>((SUM(I18:I19))-(SUM(I9)))/(SUM(I9))*100</f>
        <v>1.6340911589425096</v>
      </c>
      <c r="J78" s="281">
        <f>((SUM(J18:J19))-(SUM(J9)))/(SUM(J9))*100</f>
        <v>-8.8979408421073811E-2</v>
      </c>
      <c r="K78" s="281">
        <v>-0.89873018551993988</v>
      </c>
      <c r="L78" s="281">
        <f t="shared" ref="L78:AJ78" si="72">((SUM(L18:L19))-(SUM(L9)))/(SUM(L9))*100</f>
        <v>-0.74807220728572688</v>
      </c>
      <c r="M78" s="281">
        <f t="shared" si="72"/>
        <v>-0.85257497008625238</v>
      </c>
      <c r="N78" s="281">
        <f>((SUM(N18:N19))-(SUM(N9)))/(SUM(N9))*100</f>
        <v>-5.0615506721990746</v>
      </c>
      <c r="O78" s="281">
        <f>((SUM(O18:O19))-(SUM(O9)))/(SUM(O9))*100</f>
        <v>-4.3695706220416755</v>
      </c>
      <c r="P78" s="281">
        <f t="shared" si="72"/>
        <v>0.67204702834653507</v>
      </c>
      <c r="Q78" s="281">
        <f t="shared" si="72"/>
        <v>-0.91086311174260015</v>
      </c>
      <c r="R78" s="281">
        <f t="shared" si="72"/>
        <v>-1.6783744130821372</v>
      </c>
      <c r="S78" s="281">
        <f t="shared" si="72"/>
        <v>-0.45765280601642971</v>
      </c>
      <c r="T78" s="281">
        <f>((SUM(T18:T19))-(SUM(T9)))/(SUM(T9))*100</f>
        <v>-3.8687588367386541</v>
      </c>
      <c r="U78" s="281">
        <f t="shared" si="72"/>
        <v>-0.76929424905289578</v>
      </c>
      <c r="V78" s="281">
        <f t="shared" si="72"/>
        <v>-0.6061437219100132</v>
      </c>
      <c r="W78" s="281">
        <f t="shared" si="72"/>
        <v>8.3332018566609776</v>
      </c>
      <c r="X78" s="281">
        <f t="shared" si="72"/>
        <v>-0.73137563786673132</v>
      </c>
      <c r="Y78" s="281">
        <f t="shared" si="72"/>
        <v>-0.43946365993406572</v>
      </c>
      <c r="Z78" s="281">
        <f t="shared" si="72"/>
        <v>-0.71979712208267654</v>
      </c>
      <c r="AA78" s="281">
        <f t="shared" si="72"/>
        <v>1.861523516091756</v>
      </c>
      <c r="AB78" s="281">
        <f t="shared" si="72"/>
        <v>45.491587194405646</v>
      </c>
      <c r="AC78" s="281" t="e">
        <f t="shared" si="72"/>
        <v>#DIV/0!</v>
      </c>
      <c r="AD78" s="281" t="e">
        <f t="shared" si="72"/>
        <v>#DIV/0!</v>
      </c>
      <c r="AE78" s="281" t="e">
        <f t="shared" si="72"/>
        <v>#DIV/0!</v>
      </c>
      <c r="AF78" s="281" t="e">
        <f t="shared" si="72"/>
        <v>#DIV/0!</v>
      </c>
      <c r="AG78" s="281" t="e">
        <f t="shared" si="72"/>
        <v>#DIV/0!</v>
      </c>
      <c r="AH78" s="281" t="e">
        <f t="shared" si="72"/>
        <v>#DIV/0!</v>
      </c>
      <c r="AI78" s="281" t="e">
        <f t="shared" si="72"/>
        <v>#DIV/0!</v>
      </c>
      <c r="AJ78" s="281" t="e">
        <f t="shared" si="72"/>
        <v>#DIV/0!</v>
      </c>
      <c r="AL78" s="305">
        <f>((SUM(AL18:AL19))-(SUM(AL9)))/(SUM(AL9))*100</f>
        <v>2.2143867366658521</v>
      </c>
      <c r="AQ78" s="1627"/>
      <c r="CM78" s="148"/>
    </row>
    <row r="79" spans="3:91 15057:15070" s="138" customFormat="1" x14ac:dyDescent="0.25">
      <c r="C79" s="139"/>
      <c r="D79" s="311"/>
      <c r="E79" s="312"/>
      <c r="F79" s="313" t="s">
        <v>14</v>
      </c>
      <c r="G79" s="314">
        <f t="shared" ref="G79" si="73">G78%*G9</f>
        <v>7304.9999999999991</v>
      </c>
      <c r="H79" s="314">
        <f t="shared" ref="H79" si="74">H78%*H9</f>
        <v>-9148</v>
      </c>
      <c r="I79" s="314">
        <f t="shared" ref="I79:AJ79" si="75">I78%*I9</f>
        <v>12040</v>
      </c>
      <c r="J79" s="314">
        <f t="shared" si="75"/>
        <v>-796</v>
      </c>
      <c r="K79" s="314">
        <v>-8093.9999999999991</v>
      </c>
      <c r="L79" s="314">
        <f t="shared" si="75"/>
        <v>-6329.9999999999991</v>
      </c>
      <c r="M79" s="314">
        <f t="shared" si="75"/>
        <v>-6426.9999999999991</v>
      </c>
      <c r="N79" s="314">
        <f t="shared" si="75"/>
        <v>-35266</v>
      </c>
      <c r="O79" s="314">
        <f t="shared" si="75"/>
        <v>-36206</v>
      </c>
      <c r="P79" s="314">
        <f t="shared" si="75"/>
        <v>6745</v>
      </c>
      <c r="Q79" s="314">
        <f t="shared" si="75"/>
        <v>-9116</v>
      </c>
      <c r="R79" s="314">
        <f t="shared" si="75"/>
        <v>-15535</v>
      </c>
      <c r="S79" s="314">
        <f t="shared" si="75"/>
        <v>-3678</v>
      </c>
      <c r="T79" s="314">
        <f t="shared" si="75"/>
        <v>-39074</v>
      </c>
      <c r="U79" s="314">
        <f t="shared" si="75"/>
        <v>-8017</v>
      </c>
      <c r="V79" s="314">
        <f t="shared" si="75"/>
        <v>-6011</v>
      </c>
      <c r="W79" s="314">
        <f t="shared" si="75"/>
        <v>52818.000000000007</v>
      </c>
      <c r="X79" s="314">
        <f t="shared" si="75"/>
        <v>-8148</v>
      </c>
      <c r="Y79" s="314">
        <f t="shared" si="75"/>
        <v>-5968</v>
      </c>
      <c r="Z79" s="314">
        <f t="shared" si="75"/>
        <v>-11325</v>
      </c>
      <c r="AA79" s="314">
        <f t="shared" si="75"/>
        <v>26693</v>
      </c>
      <c r="AB79" s="314">
        <f t="shared" si="75"/>
        <v>196722</v>
      </c>
      <c r="AC79" s="314" t="e">
        <f t="shared" si="75"/>
        <v>#DIV/0!</v>
      </c>
      <c r="AD79" s="314" t="e">
        <f t="shared" si="75"/>
        <v>#DIV/0!</v>
      </c>
      <c r="AE79" s="314" t="e">
        <f t="shared" si="75"/>
        <v>#DIV/0!</v>
      </c>
      <c r="AF79" s="314" t="e">
        <f t="shared" si="75"/>
        <v>#DIV/0!</v>
      </c>
      <c r="AG79" s="314" t="e">
        <f t="shared" si="75"/>
        <v>#DIV/0!</v>
      </c>
      <c r="AH79" s="314" t="e">
        <f t="shared" si="75"/>
        <v>#DIV/0!</v>
      </c>
      <c r="AI79" s="314" t="e">
        <f t="shared" si="75"/>
        <v>#DIV/0!</v>
      </c>
      <c r="AJ79" s="314" t="e">
        <f t="shared" si="75"/>
        <v>#DIV/0!</v>
      </c>
      <c r="AL79" s="315">
        <f>AL78%*AL9</f>
        <v>451234</v>
      </c>
      <c r="AQ79" s="1627"/>
      <c r="CM79" s="148"/>
    </row>
    <row r="80" spans="3:91 15057:15070" s="63" customFormat="1" x14ac:dyDescent="0.25">
      <c r="C80" s="69"/>
      <c r="D80" s="236" t="s">
        <v>54</v>
      </c>
      <c r="E80" s="260">
        <v>22</v>
      </c>
      <c r="F80" s="237" t="s">
        <v>25</v>
      </c>
      <c r="G80" s="282">
        <v>21.89</v>
      </c>
      <c r="H80" s="282">
        <v>21.93</v>
      </c>
      <c r="I80" s="282">
        <v>21.99</v>
      </c>
      <c r="J80" s="282">
        <v>22.06</v>
      </c>
      <c r="K80" s="282">
        <v>22.07</v>
      </c>
      <c r="L80" s="282">
        <v>21.86</v>
      </c>
      <c r="M80" s="282">
        <v>21.84</v>
      </c>
      <c r="N80" s="282">
        <v>21.75</v>
      </c>
      <c r="O80" s="282">
        <v>21.88</v>
      </c>
      <c r="P80" s="282">
        <v>21.75</v>
      </c>
      <c r="Q80" s="282">
        <v>21.89</v>
      </c>
      <c r="R80" s="282">
        <v>21.85</v>
      </c>
      <c r="S80" s="282">
        <v>21.9</v>
      </c>
      <c r="T80" s="282">
        <v>21.93</v>
      </c>
      <c r="U80" s="282">
        <v>21.9</v>
      </c>
      <c r="V80" s="282">
        <v>21.95</v>
      </c>
      <c r="W80" s="282">
        <v>21.98</v>
      </c>
      <c r="X80" s="282">
        <v>22.03</v>
      </c>
      <c r="Y80" s="282">
        <v>21.99</v>
      </c>
      <c r="Z80" s="282">
        <v>21.96</v>
      </c>
      <c r="AA80" s="282">
        <v>21.97</v>
      </c>
      <c r="AB80" s="282">
        <v>21.8</v>
      </c>
      <c r="AC80" s="276">
        <v>0</v>
      </c>
      <c r="AD80" s="276">
        <v>0</v>
      </c>
      <c r="AE80" s="276">
        <v>0</v>
      </c>
      <c r="AF80" s="276">
        <v>0</v>
      </c>
      <c r="AG80" s="276">
        <v>0</v>
      </c>
      <c r="AH80" s="276">
        <v>0</v>
      </c>
      <c r="AI80" s="282">
        <v>0</v>
      </c>
      <c r="AJ80" s="282">
        <v>0</v>
      </c>
      <c r="AL80" s="308">
        <f>SUM(G80:AJ80)/AL6</f>
        <v>21.916818181818183</v>
      </c>
      <c r="AQ80" s="809"/>
      <c r="CM80" s="144"/>
    </row>
    <row r="81" spans="3:91 15057:15449" s="63" customFormat="1" ht="15.75" thickBot="1" x14ac:dyDescent="0.3">
      <c r="C81" s="86"/>
      <c r="D81" s="87" t="s">
        <v>53</v>
      </c>
      <c r="E81" s="255"/>
      <c r="F81" s="88" t="s">
        <v>14</v>
      </c>
      <c r="G81" s="277">
        <f t="shared" ref="G81" si="76">SUM(G72,G74)+(G80%*SUM(G72,G74))</f>
        <v>7351.1859000000004</v>
      </c>
      <c r="H81" s="277">
        <f t="shared" ref="H81" si="77">SUM(H72,H74)+(H80%*SUM(H72,H74))</f>
        <v>4324.8571000000002</v>
      </c>
      <c r="I81" s="277">
        <f>SUM(I72,I74)+(I80%*SUM(I72,I74))</f>
        <v>6098.2800999999999</v>
      </c>
      <c r="J81" s="277">
        <f t="shared" ref="J81:AJ81" si="78">SUM(J72,J74)+(J80%*SUM(J72,J74))</f>
        <v>7300.4085999999998</v>
      </c>
      <c r="K81" s="277">
        <v>6678.4497000000001</v>
      </c>
      <c r="L81" s="277">
        <f t="shared" si="78"/>
        <v>6061.3163999999997</v>
      </c>
      <c r="M81" s="277">
        <f t="shared" si="78"/>
        <v>5639.9736000000003</v>
      </c>
      <c r="N81" s="277">
        <f t="shared" si="78"/>
        <v>5357</v>
      </c>
      <c r="O81" s="277">
        <f t="shared" si="78"/>
        <v>5717.3908000000001</v>
      </c>
      <c r="P81" s="277">
        <f t="shared" si="78"/>
        <v>8437.2749999999996</v>
      </c>
      <c r="Q81" s="277">
        <f t="shared" si="78"/>
        <v>6969.6702000000005</v>
      </c>
      <c r="R81" s="277">
        <f t="shared" si="78"/>
        <v>6071.7855</v>
      </c>
      <c r="S81" s="277">
        <f t="shared" si="78"/>
        <v>5852.4189999999999</v>
      </c>
      <c r="T81" s="277">
        <f t="shared" si="78"/>
        <v>6880.5099</v>
      </c>
      <c r="U81" s="277">
        <f t="shared" si="78"/>
        <v>7160.4059999999999</v>
      </c>
      <c r="V81" s="277">
        <f t="shared" si="78"/>
        <v>6982.857</v>
      </c>
      <c r="W81" s="277">
        <f t="shared" si="78"/>
        <v>5857.4795999999997</v>
      </c>
      <c r="X81" s="277">
        <f t="shared" si="78"/>
        <v>9824.6352999999999</v>
      </c>
      <c r="Y81" s="277">
        <f t="shared" si="78"/>
        <v>12057.491599999999</v>
      </c>
      <c r="Z81" s="277">
        <f t="shared" si="78"/>
        <v>13039.9632</v>
      </c>
      <c r="AA81" s="277">
        <f t="shared" si="78"/>
        <v>17760.0517</v>
      </c>
      <c r="AB81" s="277">
        <f t="shared" si="78"/>
        <v>6310.4580000000005</v>
      </c>
      <c r="AC81" s="277">
        <f t="shared" si="78"/>
        <v>0</v>
      </c>
      <c r="AD81" s="277">
        <f t="shared" si="78"/>
        <v>0</v>
      </c>
      <c r="AE81" s="277">
        <f t="shared" si="78"/>
        <v>0</v>
      </c>
      <c r="AF81" s="277">
        <f t="shared" si="78"/>
        <v>0</v>
      </c>
      <c r="AG81" s="277">
        <f t="shared" si="78"/>
        <v>0</v>
      </c>
      <c r="AH81" s="277">
        <f t="shared" si="78"/>
        <v>0</v>
      </c>
      <c r="AI81" s="277">
        <f t="shared" si="78"/>
        <v>0</v>
      </c>
      <c r="AJ81" s="277">
        <f t="shared" si="78"/>
        <v>0</v>
      </c>
      <c r="AL81" s="968">
        <f>SUM(AL72,AL74)+(AL80%*SUM(AL72,AL74))/AL6</f>
        <v>138939.48852747935</v>
      </c>
      <c r="AQ81" s="809"/>
      <c r="CM81" s="144"/>
    </row>
    <row r="82" spans="3:91 15057:15449" hidden="1" x14ac:dyDescent="0.25">
      <c r="C82" s="8">
        <v>4</v>
      </c>
      <c r="D82" s="47" t="s">
        <v>52</v>
      </c>
      <c r="E82" s="48"/>
      <c r="F82" s="49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3"/>
      <c r="AL82" s="79" t="s">
        <v>131</v>
      </c>
    </row>
    <row r="83" spans="3:91 15057:15449" s="2" customFormat="1" hidden="1" x14ac:dyDescent="0.25">
      <c r="C83" s="8"/>
      <c r="D83" s="26" t="s">
        <v>51</v>
      </c>
      <c r="E83" s="89"/>
      <c r="F83" s="12" t="s">
        <v>14</v>
      </c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7"/>
      <c r="AL83" s="90">
        <v>0</v>
      </c>
      <c r="AS83" s="27"/>
      <c r="CM83" s="147"/>
    </row>
    <row r="84" spans="3:91 15057:15449" s="1" customFormat="1" hidden="1" x14ac:dyDescent="0.25">
      <c r="C84" s="15"/>
      <c r="D84" s="28" t="s">
        <v>46</v>
      </c>
      <c r="E84" s="91"/>
      <c r="F84" s="20" t="s">
        <v>14</v>
      </c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  <c r="AI84" s="284"/>
      <c r="AJ84" s="284"/>
      <c r="AK84" s="2"/>
      <c r="AL84" s="90">
        <v>0</v>
      </c>
      <c r="CM84" s="143"/>
    </row>
    <row r="85" spans="3:91 15057:15449" s="1" customFormat="1" hidden="1" x14ac:dyDescent="0.25">
      <c r="C85" s="15"/>
      <c r="D85" s="30" t="s">
        <v>39</v>
      </c>
      <c r="E85" s="61"/>
      <c r="F85" s="20" t="s">
        <v>14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L85" s="59">
        <v>0</v>
      </c>
      <c r="CM85" s="143"/>
    </row>
    <row r="86" spans="3:91 15057:15449" s="1" customFormat="1" hidden="1" x14ac:dyDescent="0.25">
      <c r="C86" s="15"/>
      <c r="D86" s="30" t="s">
        <v>38</v>
      </c>
      <c r="E86" s="61"/>
      <c r="F86" s="20" t="s">
        <v>14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I86" s="34">
        <v>0</v>
      </c>
      <c r="AJ86" s="34">
        <v>0</v>
      </c>
      <c r="AL86" s="59">
        <v>0</v>
      </c>
      <c r="CM86" s="143"/>
    </row>
    <row r="87" spans="3:91 15057:15449" s="1" customFormat="1" hidden="1" x14ac:dyDescent="0.25">
      <c r="C87" s="15"/>
      <c r="D87" s="30" t="s">
        <v>50</v>
      </c>
      <c r="E87" s="61"/>
      <c r="F87" s="13" t="s">
        <v>14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I87" s="34">
        <v>0</v>
      </c>
      <c r="AJ87" s="34">
        <v>0</v>
      </c>
      <c r="AL87" s="59">
        <v>0</v>
      </c>
      <c r="CM87" s="143"/>
    </row>
    <row r="88" spans="3:91 15057:15449" s="1" customFormat="1" hidden="1" x14ac:dyDescent="0.25">
      <c r="C88" s="15"/>
      <c r="D88" s="30" t="s">
        <v>29</v>
      </c>
      <c r="E88" s="61"/>
      <c r="F88" s="1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L88" s="64" t="s">
        <v>29</v>
      </c>
      <c r="CM88" s="143"/>
    </row>
    <row r="89" spans="3:91 15057:15449" s="16" customFormat="1" hidden="1" x14ac:dyDescent="0.2">
      <c r="C89" s="17"/>
      <c r="D89" s="31" t="s">
        <v>49</v>
      </c>
      <c r="E89" s="54"/>
      <c r="F89" s="32" t="s">
        <v>31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L89" s="55">
        <v>0</v>
      </c>
      <c r="CM89" s="149"/>
    </row>
    <row r="90" spans="3:91 15057:15449" s="16" customFormat="1" hidden="1" x14ac:dyDescent="0.2">
      <c r="C90" s="17"/>
      <c r="D90" s="31" t="s">
        <v>48</v>
      </c>
      <c r="E90" s="54"/>
      <c r="F90" s="32" t="s">
        <v>31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L90" s="55">
        <v>0</v>
      </c>
      <c r="CM90" s="149"/>
    </row>
    <row r="91" spans="3:91 15057:15449" s="1" customFormat="1" hidden="1" x14ac:dyDescent="0.25">
      <c r="C91" s="15"/>
      <c r="D91" s="30" t="s">
        <v>28</v>
      </c>
      <c r="E91" s="61"/>
      <c r="F91" s="1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L91" s="64" t="s">
        <v>28</v>
      </c>
      <c r="CM91" s="143"/>
    </row>
    <row r="92" spans="3:91 15057:15449" s="1" customFormat="1" hidden="1" x14ac:dyDescent="0.25">
      <c r="C92" s="15"/>
      <c r="D92" s="14" t="s">
        <v>49</v>
      </c>
      <c r="E92" s="61"/>
      <c r="F92" s="20" t="s">
        <v>28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33">
        <v>0</v>
      </c>
      <c r="AG92" s="33">
        <v>0</v>
      </c>
      <c r="AH92" s="33">
        <v>0</v>
      </c>
      <c r="AI92" s="33">
        <v>0</v>
      </c>
      <c r="AJ92" s="33">
        <v>0</v>
      </c>
      <c r="AL92" s="55">
        <v>0</v>
      </c>
      <c r="CM92" s="143"/>
    </row>
    <row r="93" spans="3:91 15057:15449" s="1" customFormat="1" hidden="1" x14ac:dyDescent="0.25">
      <c r="C93" s="15"/>
      <c r="D93" s="14" t="s">
        <v>48</v>
      </c>
      <c r="E93" s="61"/>
      <c r="F93" s="20" t="s">
        <v>28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  <c r="AC93" s="33">
        <v>0</v>
      </c>
      <c r="AD93" s="33">
        <v>0</v>
      </c>
      <c r="AE93" s="33">
        <v>0</v>
      </c>
      <c r="AF93" s="33">
        <v>0</v>
      </c>
      <c r="AG93" s="33">
        <v>0</v>
      </c>
      <c r="AH93" s="33">
        <v>0</v>
      </c>
      <c r="AI93" s="33">
        <v>0</v>
      </c>
      <c r="AJ93" s="33">
        <v>0</v>
      </c>
      <c r="AL93" s="55">
        <v>0</v>
      </c>
      <c r="CM93" s="143"/>
    </row>
    <row r="94" spans="3:91 15057:15449" s="1" customFormat="1" hidden="1" x14ac:dyDescent="0.25">
      <c r="C94" s="15"/>
      <c r="D94" s="30" t="s">
        <v>36</v>
      </c>
      <c r="E94" s="61"/>
      <c r="F94" s="20" t="s">
        <v>35</v>
      </c>
      <c r="G94" s="285">
        <v>0</v>
      </c>
      <c r="H94" s="285">
        <v>0</v>
      </c>
      <c r="I94" s="285">
        <v>0</v>
      </c>
      <c r="J94" s="285">
        <v>0</v>
      </c>
      <c r="K94" s="285">
        <v>0</v>
      </c>
      <c r="L94" s="285">
        <v>0</v>
      </c>
      <c r="M94" s="285">
        <v>0</v>
      </c>
      <c r="N94" s="285">
        <v>0</v>
      </c>
      <c r="O94" s="285">
        <v>0</v>
      </c>
      <c r="P94" s="285">
        <v>0</v>
      </c>
      <c r="Q94" s="285">
        <v>0</v>
      </c>
      <c r="R94" s="285">
        <v>0</v>
      </c>
      <c r="S94" s="285">
        <v>0</v>
      </c>
      <c r="T94" s="285">
        <v>0</v>
      </c>
      <c r="U94" s="285">
        <v>0</v>
      </c>
      <c r="V94" s="285">
        <v>0</v>
      </c>
      <c r="W94" s="285">
        <v>0</v>
      </c>
      <c r="X94" s="285">
        <v>0</v>
      </c>
      <c r="Y94" s="285">
        <v>0</v>
      </c>
      <c r="Z94" s="285">
        <v>0</v>
      </c>
      <c r="AA94" s="285">
        <v>0</v>
      </c>
      <c r="AB94" s="285">
        <v>0</v>
      </c>
      <c r="AC94" s="285">
        <v>0</v>
      </c>
      <c r="AD94" s="285">
        <v>0</v>
      </c>
      <c r="AE94" s="285">
        <v>0</v>
      </c>
      <c r="AF94" s="285">
        <v>0</v>
      </c>
      <c r="AG94" s="285">
        <v>0</v>
      </c>
      <c r="AH94" s="285">
        <v>0</v>
      </c>
      <c r="AI94" s="285">
        <v>0</v>
      </c>
      <c r="AJ94" s="285">
        <v>0</v>
      </c>
      <c r="AL94" s="55">
        <v>0</v>
      </c>
      <c r="CM94" s="143"/>
    </row>
    <row r="95" spans="3:91 15057:15449" s="1" customFormat="1" hidden="1" x14ac:dyDescent="0.25">
      <c r="C95" s="15"/>
      <c r="D95" s="30" t="s">
        <v>34</v>
      </c>
      <c r="E95" s="61"/>
      <c r="F95" s="20" t="s">
        <v>33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  <c r="AJ95" s="33">
        <v>0</v>
      </c>
      <c r="AL95" s="55">
        <v>0</v>
      </c>
      <c r="CM95" s="143"/>
    </row>
    <row r="96" spans="3:91 15057:15449" s="1" customFormat="1" hidden="1" x14ac:dyDescent="0.25">
      <c r="C96" s="8"/>
      <c r="D96" s="47" t="s">
        <v>32</v>
      </c>
      <c r="E96" s="48"/>
      <c r="F96" s="49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3"/>
      <c r="AL96" s="79" t="s">
        <v>132</v>
      </c>
      <c r="CM96" s="142"/>
      <c r="VGC96" s="46"/>
      <c r="VGD96" s="46"/>
      <c r="VGE96" s="46"/>
      <c r="VGF96" s="46"/>
      <c r="VGG96" s="46"/>
      <c r="VGH96" s="46"/>
      <c r="VGI96" s="46"/>
      <c r="VGJ96" s="46"/>
      <c r="VGK96" s="46"/>
      <c r="VGL96" s="46"/>
      <c r="VGM96" s="46"/>
      <c r="VGN96" s="46"/>
      <c r="VGO96" s="46"/>
      <c r="VGP96" s="46"/>
      <c r="VGQ96" s="46"/>
      <c r="VGR96" s="46"/>
      <c r="VGS96" s="46"/>
      <c r="VGT96" s="46"/>
      <c r="VGU96" s="46"/>
      <c r="VGV96" s="46"/>
      <c r="VGW96" s="46"/>
      <c r="VGX96" s="46"/>
      <c r="VGY96" s="46"/>
      <c r="VGZ96" s="46"/>
      <c r="VHA96" s="46"/>
      <c r="VHB96" s="46"/>
      <c r="VHC96" s="46"/>
      <c r="VHD96" s="46"/>
      <c r="VHE96" s="46"/>
      <c r="VHF96" s="46"/>
      <c r="VHG96" s="46"/>
      <c r="VHH96" s="46"/>
      <c r="VHI96" s="46"/>
      <c r="VHJ96" s="46"/>
      <c r="VHK96" s="46"/>
      <c r="VHL96" s="46"/>
      <c r="VHM96" s="46"/>
      <c r="VHN96" s="46"/>
      <c r="VHO96" s="46"/>
      <c r="VHP96" s="46"/>
      <c r="VHQ96" s="46"/>
      <c r="VHR96" s="46"/>
      <c r="VHS96" s="46"/>
      <c r="VHT96" s="46"/>
      <c r="VHU96" s="46"/>
      <c r="VHV96" s="46"/>
      <c r="VHW96" s="46"/>
      <c r="VHX96" s="46"/>
      <c r="VHY96" s="46"/>
      <c r="VHZ96" s="46"/>
      <c r="VIA96" s="46"/>
      <c r="VIB96" s="46"/>
      <c r="VIC96" s="46"/>
      <c r="VID96" s="46"/>
      <c r="VIE96" s="46"/>
      <c r="VIF96" s="46"/>
      <c r="VIG96" s="46"/>
      <c r="VIH96" s="46"/>
      <c r="VII96" s="46"/>
      <c r="VIJ96" s="46"/>
      <c r="VIK96" s="46"/>
      <c r="VIL96" s="46"/>
      <c r="VIM96" s="46"/>
      <c r="VIN96" s="46"/>
      <c r="VIO96" s="46"/>
      <c r="VIP96" s="46"/>
      <c r="VIQ96" s="46"/>
      <c r="VIR96" s="46"/>
      <c r="VIS96" s="46"/>
      <c r="VIT96" s="46"/>
      <c r="VIU96" s="46"/>
      <c r="VIV96" s="46"/>
      <c r="VIW96" s="46"/>
      <c r="VIX96" s="46"/>
      <c r="VIY96" s="46"/>
      <c r="VIZ96" s="46"/>
      <c r="VJA96" s="46"/>
      <c r="VJB96" s="46"/>
      <c r="VJC96" s="46"/>
      <c r="VJD96" s="46"/>
      <c r="VJE96" s="46"/>
      <c r="VJF96" s="46"/>
      <c r="VJG96" s="46"/>
      <c r="VJH96" s="46"/>
      <c r="VJI96" s="46"/>
      <c r="VJJ96" s="46"/>
      <c r="VJK96" s="46"/>
      <c r="VJL96" s="46"/>
      <c r="VJM96" s="46"/>
      <c r="VJN96" s="46"/>
      <c r="VJO96" s="46"/>
      <c r="VJP96" s="46"/>
      <c r="VJQ96" s="46"/>
      <c r="VJR96" s="46"/>
      <c r="VJS96" s="46"/>
      <c r="VJT96" s="46"/>
      <c r="VJU96" s="46"/>
      <c r="VJV96" s="46"/>
      <c r="VJW96" s="46"/>
      <c r="VJX96" s="46"/>
      <c r="VJY96" s="46"/>
      <c r="VJZ96" s="46"/>
      <c r="VKA96" s="46"/>
      <c r="VKB96" s="46"/>
      <c r="VKC96" s="46"/>
      <c r="VKD96" s="46"/>
      <c r="VKE96" s="46"/>
      <c r="VKF96" s="46"/>
      <c r="VKG96" s="46"/>
      <c r="VKH96" s="46"/>
      <c r="VKI96" s="46"/>
      <c r="VKJ96" s="46"/>
      <c r="VKK96" s="46"/>
      <c r="VKL96" s="46"/>
      <c r="VKM96" s="46"/>
      <c r="VKN96" s="46"/>
      <c r="VKO96" s="46"/>
      <c r="VKP96" s="46"/>
      <c r="VKQ96" s="46"/>
      <c r="VKR96" s="46"/>
      <c r="VKS96" s="46"/>
      <c r="VKT96" s="46"/>
      <c r="VKU96" s="46"/>
      <c r="VKV96" s="46"/>
      <c r="VKW96" s="46"/>
      <c r="VKX96" s="46"/>
      <c r="VKY96" s="46"/>
      <c r="VKZ96" s="46"/>
      <c r="VLA96" s="46"/>
      <c r="VLB96" s="46"/>
      <c r="VLC96" s="46"/>
      <c r="VLD96" s="46"/>
      <c r="VLE96" s="46"/>
      <c r="VLF96" s="46"/>
      <c r="VLG96" s="46"/>
      <c r="VLH96" s="46"/>
      <c r="VLI96" s="46"/>
      <c r="VLJ96" s="46"/>
      <c r="VLK96" s="46"/>
      <c r="VLL96" s="46"/>
      <c r="VLM96" s="46"/>
      <c r="VLN96" s="46"/>
      <c r="VLO96" s="46"/>
      <c r="VLP96" s="46"/>
      <c r="VLQ96" s="46"/>
      <c r="VLR96" s="46"/>
      <c r="VLS96" s="46"/>
      <c r="VLT96" s="46"/>
      <c r="VLU96" s="46"/>
      <c r="VLV96" s="46"/>
      <c r="VLW96" s="46"/>
      <c r="VLX96" s="46"/>
      <c r="VLY96" s="46"/>
      <c r="VLZ96" s="46"/>
      <c r="VMA96" s="46"/>
      <c r="VMB96" s="46"/>
      <c r="VMC96" s="46"/>
      <c r="VMD96" s="46"/>
      <c r="VME96" s="46"/>
      <c r="VMF96" s="46"/>
      <c r="VMG96" s="46"/>
      <c r="VMH96" s="46"/>
      <c r="VMI96" s="46"/>
      <c r="VMJ96" s="46"/>
      <c r="VMK96" s="46"/>
      <c r="VML96" s="46"/>
      <c r="VMM96" s="46"/>
      <c r="VMN96" s="46"/>
      <c r="VMO96" s="46"/>
      <c r="VMP96" s="46"/>
      <c r="VMQ96" s="46"/>
      <c r="VMR96" s="46"/>
      <c r="VMS96" s="46"/>
      <c r="VMT96" s="46"/>
      <c r="VMU96" s="46"/>
      <c r="VMV96" s="46"/>
      <c r="VMW96" s="46"/>
      <c r="VMX96" s="46"/>
      <c r="VMY96" s="46"/>
      <c r="VMZ96" s="46"/>
      <c r="VNA96" s="46"/>
      <c r="VNB96" s="46"/>
      <c r="VNC96" s="46"/>
      <c r="VND96" s="46"/>
      <c r="VNE96" s="46"/>
      <c r="VNF96" s="46"/>
      <c r="VNG96" s="46"/>
      <c r="VNH96" s="46"/>
      <c r="VNI96" s="46"/>
      <c r="VNJ96" s="46"/>
      <c r="VNK96" s="46"/>
      <c r="VNL96" s="46"/>
      <c r="VNM96" s="46"/>
      <c r="VNN96" s="46"/>
      <c r="VNO96" s="46"/>
      <c r="VNP96" s="46"/>
      <c r="VNQ96" s="46"/>
      <c r="VNR96" s="46"/>
      <c r="VNS96" s="46"/>
      <c r="VNT96" s="46"/>
      <c r="VNU96" s="46"/>
      <c r="VNV96" s="46"/>
      <c r="VNW96" s="46"/>
      <c r="VNX96" s="46"/>
      <c r="VNY96" s="46"/>
      <c r="VNZ96" s="46"/>
      <c r="VOA96" s="46"/>
      <c r="VOB96" s="46"/>
      <c r="VOC96" s="46"/>
      <c r="VOD96" s="46"/>
      <c r="VOE96" s="46"/>
      <c r="VOF96" s="46"/>
      <c r="VOG96" s="46"/>
      <c r="VOH96" s="46"/>
      <c r="VOI96" s="46"/>
      <c r="VOJ96" s="46"/>
      <c r="VOK96" s="46"/>
      <c r="VOL96" s="46"/>
      <c r="VOM96" s="46"/>
      <c r="VON96" s="46"/>
      <c r="VOO96" s="46"/>
      <c r="VOP96" s="46"/>
      <c r="VOQ96" s="46"/>
      <c r="VOR96" s="46"/>
      <c r="VOS96" s="46"/>
      <c r="VOT96" s="46"/>
      <c r="VOU96" s="46"/>
      <c r="VOV96" s="46"/>
      <c r="VOW96" s="46"/>
      <c r="VOX96" s="46"/>
      <c r="VOY96" s="46"/>
      <c r="VOZ96" s="46"/>
      <c r="VPA96" s="46"/>
      <c r="VPB96" s="46"/>
      <c r="VPC96" s="46"/>
      <c r="VPD96" s="46"/>
      <c r="VPE96" s="46"/>
      <c r="VPF96" s="46"/>
      <c r="VPG96" s="46"/>
      <c r="VPH96" s="46"/>
      <c r="VPI96" s="46"/>
      <c r="VPJ96" s="46"/>
      <c r="VPK96" s="46"/>
      <c r="VPL96" s="46"/>
      <c r="VPM96" s="46"/>
      <c r="VPN96" s="46"/>
      <c r="VPO96" s="46"/>
      <c r="VPP96" s="46"/>
      <c r="VPQ96" s="46"/>
      <c r="VPR96" s="46"/>
      <c r="VPS96" s="46"/>
      <c r="VPT96" s="46"/>
      <c r="VPU96" s="46"/>
      <c r="VPV96" s="46"/>
      <c r="VPW96" s="46"/>
      <c r="VPX96" s="46"/>
      <c r="VPY96" s="46"/>
      <c r="VPZ96" s="46"/>
      <c r="VQA96" s="46"/>
      <c r="VQB96" s="46"/>
      <c r="VQC96" s="46"/>
      <c r="VQD96" s="46"/>
      <c r="VQE96" s="46"/>
      <c r="VQF96" s="46"/>
      <c r="VQG96" s="46"/>
      <c r="VQH96" s="46"/>
      <c r="VQI96" s="46"/>
      <c r="VQJ96" s="46"/>
      <c r="VQK96" s="46"/>
      <c r="VQL96" s="46"/>
      <c r="VQM96" s="46"/>
      <c r="VQN96" s="46"/>
      <c r="VQO96" s="46"/>
      <c r="VQP96" s="46"/>
      <c r="VQQ96" s="46"/>
      <c r="VQR96" s="46"/>
      <c r="VQS96" s="46"/>
      <c r="VQT96" s="46"/>
      <c r="VQU96" s="46"/>
      <c r="VQV96" s="46"/>
      <c r="VQW96" s="46"/>
      <c r="VQX96" s="46"/>
      <c r="VQY96" s="46"/>
      <c r="VQZ96" s="46"/>
      <c r="VRA96" s="46"/>
      <c r="VRB96" s="46"/>
      <c r="VRC96" s="46"/>
      <c r="VRD96" s="46"/>
      <c r="VRE96" s="46"/>
      <c r="VRF96" s="46"/>
      <c r="VRG96" s="46"/>
      <c r="VRH96" s="46"/>
      <c r="VRI96" s="46"/>
      <c r="VRJ96" s="46"/>
      <c r="VRK96" s="46"/>
      <c r="VRL96" s="46"/>
      <c r="VRM96" s="46"/>
      <c r="VRN96" s="46"/>
      <c r="VRO96" s="46"/>
      <c r="VRP96" s="46"/>
      <c r="VRQ96" s="46"/>
      <c r="VRR96" s="46"/>
      <c r="VRS96" s="46"/>
      <c r="VRT96" s="46"/>
      <c r="VRU96" s="46"/>
      <c r="VRV96" s="46"/>
      <c r="VRW96" s="46"/>
      <c r="VRX96" s="46"/>
      <c r="VRY96" s="46"/>
      <c r="VRZ96" s="46"/>
      <c r="VSA96" s="46"/>
      <c r="VSB96" s="46"/>
      <c r="VSC96" s="46"/>
      <c r="VSD96" s="46"/>
      <c r="VSE96" s="46"/>
      <c r="VSF96" s="46"/>
      <c r="VSG96" s="46"/>
      <c r="VSH96" s="46"/>
      <c r="VSI96" s="46"/>
      <c r="VSJ96" s="46"/>
      <c r="VSK96" s="46"/>
      <c r="VSL96" s="46"/>
      <c r="VSM96" s="46"/>
      <c r="VSN96" s="46"/>
      <c r="VSO96" s="46"/>
      <c r="VSP96" s="46"/>
      <c r="VSQ96" s="46"/>
      <c r="VSR96" s="46"/>
      <c r="VSS96" s="46"/>
      <c r="VST96" s="46"/>
      <c r="VSU96" s="46"/>
      <c r="VSV96" s="46"/>
      <c r="VSW96" s="46"/>
      <c r="VSX96" s="46"/>
      <c r="VSY96" s="46"/>
      <c r="VSZ96" s="46"/>
      <c r="VTA96" s="46"/>
      <c r="VTB96" s="46"/>
      <c r="VTC96" s="46"/>
      <c r="VTD96" s="46"/>
      <c r="VTE96" s="46"/>
      <c r="VTF96" s="46"/>
      <c r="VTG96" s="46"/>
      <c r="VTH96" s="46"/>
      <c r="VTI96" s="46"/>
      <c r="VTJ96" s="46"/>
      <c r="VTK96" s="46"/>
      <c r="VTL96" s="46"/>
      <c r="VTM96" s="46"/>
      <c r="VTN96" s="46"/>
      <c r="VTO96" s="46"/>
      <c r="VTP96" s="46"/>
      <c r="VTQ96" s="46"/>
      <c r="VTR96" s="46"/>
      <c r="VTS96" s="46"/>
      <c r="VTT96" s="46"/>
      <c r="VTU96" s="46"/>
      <c r="VTV96" s="46"/>
      <c r="VTW96" s="46"/>
      <c r="VTX96" s="46"/>
      <c r="VTY96" s="46"/>
      <c r="VTZ96" s="46"/>
      <c r="VUA96" s="46"/>
      <c r="VUB96" s="46"/>
      <c r="VUC96" s="46"/>
      <c r="VUD96" s="46"/>
      <c r="VUE96" s="46"/>
      <c r="VUF96" s="46"/>
      <c r="VUG96" s="46"/>
      <c r="VUH96" s="46"/>
      <c r="VUI96" s="46"/>
      <c r="VUJ96" s="46"/>
      <c r="VUK96" s="46"/>
      <c r="VUL96" s="46"/>
      <c r="VUM96" s="46"/>
      <c r="VUN96" s="46"/>
      <c r="VUO96" s="46"/>
      <c r="VUP96" s="46"/>
      <c r="VUQ96" s="46"/>
      <c r="VUR96" s="46"/>
      <c r="VUS96" s="46"/>
      <c r="VUT96" s="46"/>
      <c r="VUU96" s="46"/>
      <c r="VUV96" s="46"/>
      <c r="VUW96" s="46"/>
      <c r="VUX96" s="46"/>
      <c r="VUY96" s="46"/>
      <c r="VUZ96" s="46"/>
      <c r="VVA96" s="46"/>
      <c r="VVB96" s="46"/>
      <c r="VVC96" s="46"/>
      <c r="VVD96" s="46"/>
      <c r="VVE96" s="46"/>
    </row>
    <row r="97" spans="3:91 15057:15449" s="1" customFormat="1" hidden="1" x14ac:dyDescent="0.25">
      <c r="C97" s="15"/>
      <c r="D97" s="30" t="s">
        <v>29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L97" s="64" t="s">
        <v>29</v>
      </c>
      <c r="CM97" s="143"/>
    </row>
    <row r="98" spans="3:91 15057:15449" s="1" customFormat="1" hidden="1" x14ac:dyDescent="0.25">
      <c r="C98" s="15"/>
      <c r="D98" s="14" t="s">
        <v>49</v>
      </c>
      <c r="E98" s="61"/>
      <c r="F98" s="20" t="s">
        <v>31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L98" s="55">
        <v>0</v>
      </c>
      <c r="CM98" s="143"/>
    </row>
    <row r="99" spans="3:91 15057:15449" s="1" customFormat="1" hidden="1" x14ac:dyDescent="0.25">
      <c r="C99" s="15"/>
      <c r="D99" s="14" t="s">
        <v>48</v>
      </c>
      <c r="E99" s="61"/>
      <c r="F99" s="20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55">
        <v>0</v>
      </c>
      <c r="CM99" s="143"/>
    </row>
    <row r="100" spans="3:91 15057:15449" s="1" customFormat="1" hidden="1" x14ac:dyDescent="0.25">
      <c r="C100" s="15"/>
      <c r="D100" s="30" t="s">
        <v>28</v>
      </c>
      <c r="E100" s="61"/>
      <c r="F100" s="1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64" t="s">
        <v>28</v>
      </c>
      <c r="BU100" s="143"/>
      <c r="BV100" s="143"/>
      <c r="BW100" s="143"/>
      <c r="BX100" s="143"/>
      <c r="BY100" s="143"/>
      <c r="BZ100" s="143"/>
      <c r="CA100" s="143"/>
      <c r="CB100" s="143"/>
      <c r="CC100" s="143"/>
      <c r="CD100" s="143"/>
      <c r="CM100" s="143"/>
    </row>
    <row r="101" spans="3:91 15057:15449" s="1" customFormat="1" hidden="1" x14ac:dyDescent="0.25">
      <c r="C101" s="15"/>
      <c r="D101" s="14" t="s">
        <v>49</v>
      </c>
      <c r="E101" s="61"/>
      <c r="F101" s="20" t="s">
        <v>28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>
        <v>0</v>
      </c>
      <c r="AJ101" s="33">
        <v>0</v>
      </c>
      <c r="AL101" s="55">
        <v>0</v>
      </c>
      <c r="BU101" s="147"/>
      <c r="BV101" s="143"/>
      <c r="BW101" s="143"/>
      <c r="BX101" s="143"/>
      <c r="BY101" s="150"/>
      <c r="BZ101" s="143"/>
      <c r="CA101" s="143"/>
      <c r="CB101" s="143"/>
      <c r="CC101" s="143"/>
      <c r="CD101" s="143"/>
      <c r="CM101" s="143"/>
    </row>
    <row r="102" spans="3:91 15057:15449" s="1" customFormat="1" hidden="1" x14ac:dyDescent="0.25">
      <c r="C102" s="15"/>
      <c r="D102" s="14" t="s">
        <v>48</v>
      </c>
      <c r="E102" s="61"/>
      <c r="F102" s="20" t="s">
        <v>28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>
        <v>0</v>
      </c>
      <c r="AJ102" s="33">
        <v>0</v>
      </c>
      <c r="AL102" s="55">
        <v>0</v>
      </c>
      <c r="BU102" s="142"/>
      <c r="BV102" s="143"/>
      <c r="BW102" s="143"/>
      <c r="BX102" s="143"/>
      <c r="BY102" s="143"/>
      <c r="BZ102" s="143"/>
      <c r="CA102" s="143"/>
      <c r="CB102" s="143"/>
      <c r="CC102" s="143"/>
      <c r="CD102" s="143"/>
      <c r="CM102" s="143"/>
    </row>
    <row r="103" spans="3:91 15057:15449" hidden="1" x14ac:dyDescent="0.25">
      <c r="C103" s="8"/>
      <c r="D103" s="47" t="s">
        <v>30</v>
      </c>
      <c r="E103" s="48"/>
      <c r="F103" s="49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3"/>
      <c r="AL103" s="79" t="s">
        <v>132</v>
      </c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</row>
    <row r="104" spans="3:91 15057:15449" s="1" customFormat="1" hidden="1" x14ac:dyDescent="0.25">
      <c r="C104" s="15"/>
      <c r="D104" s="30" t="s">
        <v>29</v>
      </c>
      <c r="E104" s="61"/>
      <c r="F104" s="1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L104" s="64" t="s">
        <v>29</v>
      </c>
      <c r="BU104" s="143"/>
      <c r="BV104" s="143"/>
      <c r="BW104" s="143"/>
      <c r="BX104" s="143"/>
      <c r="BY104" s="143"/>
      <c r="BZ104" s="143"/>
      <c r="CA104" s="143"/>
      <c r="CB104" s="143"/>
      <c r="CC104" s="143"/>
      <c r="CD104" s="143"/>
      <c r="CM104" s="143"/>
    </row>
    <row r="105" spans="3:91 15057:15449" s="1" customFormat="1" hidden="1" x14ac:dyDescent="0.25">
      <c r="C105" s="15"/>
      <c r="D105" s="14" t="s">
        <v>49</v>
      </c>
      <c r="E105" s="127">
        <v>0.3</v>
      </c>
      <c r="F105" s="20" t="s">
        <v>25</v>
      </c>
      <c r="G105" s="34" t="e">
        <v>#DIV/0!</v>
      </c>
      <c r="H105" s="34" t="e">
        <v>#DIV/0!</v>
      </c>
      <c r="I105" s="34" t="e">
        <v>#DIV/0!</v>
      </c>
      <c r="J105" s="34" t="e">
        <v>#DIV/0!</v>
      </c>
      <c r="K105" s="34" t="e">
        <v>#DIV/0!</v>
      </c>
      <c r="L105" s="34" t="e">
        <v>#DIV/0!</v>
      </c>
      <c r="M105" s="34" t="e">
        <v>#DIV/0!</v>
      </c>
      <c r="N105" s="34" t="e">
        <v>#DIV/0!</v>
      </c>
      <c r="O105" s="34" t="e">
        <v>#DIV/0!</v>
      </c>
      <c r="P105" s="34" t="e">
        <v>#DIV/0!</v>
      </c>
      <c r="Q105" s="34" t="e">
        <v>#DIV/0!</v>
      </c>
      <c r="R105" s="34" t="e">
        <v>#DIV/0!</v>
      </c>
      <c r="S105" s="34" t="e">
        <v>#DIV/0!</v>
      </c>
      <c r="T105" s="34" t="e">
        <v>#DIV/0!</v>
      </c>
      <c r="U105" s="34" t="e">
        <v>#DIV/0!</v>
      </c>
      <c r="V105" s="34" t="e">
        <v>#DIV/0!</v>
      </c>
      <c r="W105" s="34" t="e">
        <v>#DIV/0!</v>
      </c>
      <c r="X105" s="34" t="e">
        <v>#DIV/0!</v>
      </c>
      <c r="Y105" s="34" t="e">
        <v>#DIV/0!</v>
      </c>
      <c r="Z105" s="34" t="e">
        <v>#DIV/0!</v>
      </c>
      <c r="AA105" s="34" t="e">
        <v>#DIV/0!</v>
      </c>
      <c r="AB105" s="34" t="e">
        <v>#DIV/0!</v>
      </c>
      <c r="AC105" s="34" t="e">
        <v>#DIV/0!</v>
      </c>
      <c r="AD105" s="34" t="e">
        <v>#DIV/0!</v>
      </c>
      <c r="AE105" s="34" t="e">
        <v>#DIV/0!</v>
      </c>
      <c r="AF105" s="34" t="e">
        <v>#DIV/0!</v>
      </c>
      <c r="AG105" s="34" t="e">
        <v>#DIV/0!</v>
      </c>
      <c r="AH105" s="34" t="e">
        <v>#DIV/0!</v>
      </c>
      <c r="AI105" s="34" t="e">
        <v>#DIV/0!</v>
      </c>
      <c r="AJ105" s="34" t="e">
        <v>#DIV/0!</v>
      </c>
      <c r="AL105" s="59" t="e">
        <v>#DIV/0!</v>
      </c>
      <c r="BU105" s="143"/>
      <c r="BV105" s="143"/>
      <c r="BW105" s="143"/>
      <c r="BX105" s="143"/>
      <c r="BY105" s="143"/>
      <c r="BZ105" s="143"/>
      <c r="CA105" s="143"/>
      <c r="CB105" s="143"/>
      <c r="CC105" s="143"/>
      <c r="CD105" s="143"/>
      <c r="CM105" s="143"/>
    </row>
    <row r="106" spans="3:91 15057:15449" s="1" customFormat="1" hidden="1" x14ac:dyDescent="0.25">
      <c r="C106" s="15"/>
      <c r="D106" s="14" t="s">
        <v>48</v>
      </c>
      <c r="E106" s="127">
        <v>0.3</v>
      </c>
      <c r="F106" s="20" t="s">
        <v>25</v>
      </c>
      <c r="G106" s="34" t="e">
        <v>#DIV/0!</v>
      </c>
      <c r="H106" s="34" t="e">
        <v>#DIV/0!</v>
      </c>
      <c r="I106" s="34" t="e">
        <v>#DIV/0!</v>
      </c>
      <c r="J106" s="34" t="e">
        <v>#DIV/0!</v>
      </c>
      <c r="K106" s="34" t="e">
        <v>#DIV/0!</v>
      </c>
      <c r="L106" s="34" t="e">
        <v>#DIV/0!</v>
      </c>
      <c r="M106" s="34" t="e">
        <v>#DIV/0!</v>
      </c>
      <c r="N106" s="34" t="e">
        <v>#DIV/0!</v>
      </c>
      <c r="O106" s="34" t="e">
        <v>#DIV/0!</v>
      </c>
      <c r="P106" s="34" t="e">
        <v>#DIV/0!</v>
      </c>
      <c r="Q106" s="34" t="e">
        <v>#DIV/0!</v>
      </c>
      <c r="R106" s="34" t="e">
        <v>#DIV/0!</v>
      </c>
      <c r="S106" s="34" t="e">
        <v>#DIV/0!</v>
      </c>
      <c r="T106" s="34" t="e">
        <v>#DIV/0!</v>
      </c>
      <c r="U106" s="34" t="e">
        <v>#DIV/0!</v>
      </c>
      <c r="V106" s="34" t="e">
        <v>#DIV/0!</v>
      </c>
      <c r="W106" s="34" t="e">
        <v>#DIV/0!</v>
      </c>
      <c r="X106" s="34" t="e">
        <v>#DIV/0!</v>
      </c>
      <c r="Y106" s="34" t="e">
        <v>#DIV/0!</v>
      </c>
      <c r="Z106" s="34" t="e">
        <v>#DIV/0!</v>
      </c>
      <c r="AA106" s="34" t="e">
        <v>#DIV/0!</v>
      </c>
      <c r="AB106" s="34" t="e">
        <v>#DIV/0!</v>
      </c>
      <c r="AC106" s="34" t="e">
        <v>#DIV/0!</v>
      </c>
      <c r="AD106" s="34" t="e">
        <v>#DIV/0!</v>
      </c>
      <c r="AE106" s="34" t="e">
        <v>#DIV/0!</v>
      </c>
      <c r="AF106" s="34" t="e">
        <v>#DIV/0!</v>
      </c>
      <c r="AG106" s="34" t="e">
        <v>#DIV/0!</v>
      </c>
      <c r="AH106" s="34" t="e">
        <v>#DIV/0!</v>
      </c>
      <c r="AI106" s="34" t="e">
        <v>#DIV/0!</v>
      </c>
      <c r="AJ106" s="34" t="e">
        <v>#DIV/0!</v>
      </c>
      <c r="AL106" s="59" t="e">
        <v>#DIV/0!</v>
      </c>
      <c r="BU106" s="143"/>
      <c r="BV106" s="143"/>
      <c r="BW106" s="143"/>
      <c r="BX106" s="143"/>
      <c r="BY106" s="143"/>
      <c r="BZ106" s="143"/>
      <c r="CA106" s="143"/>
      <c r="CB106" s="143"/>
      <c r="CC106" s="143"/>
      <c r="CD106" s="143"/>
      <c r="CM106" s="143"/>
    </row>
    <row r="107" spans="3:91 15057:15449" s="1" customFormat="1" hidden="1" x14ac:dyDescent="0.25">
      <c r="C107" s="15"/>
      <c r="D107" s="30" t="s">
        <v>28</v>
      </c>
      <c r="E107" s="127"/>
      <c r="F107" s="13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L107" s="64" t="s">
        <v>28</v>
      </c>
      <c r="BU107" s="143"/>
      <c r="BV107" s="143"/>
      <c r="BW107" s="143"/>
      <c r="BX107" s="143"/>
      <c r="BY107" s="143"/>
      <c r="BZ107" s="143"/>
      <c r="CA107" s="143"/>
      <c r="CB107" s="143"/>
      <c r="CC107" s="143"/>
      <c r="CD107" s="143"/>
      <c r="CM107" s="143"/>
    </row>
    <row r="108" spans="3:91 15057:15449" s="1" customFormat="1" hidden="1" x14ac:dyDescent="0.25">
      <c r="C108" s="15"/>
      <c r="D108" s="14" t="s">
        <v>49</v>
      </c>
      <c r="E108" s="127">
        <v>0.5</v>
      </c>
      <c r="F108" s="20" t="s">
        <v>25</v>
      </c>
      <c r="G108" s="34" t="e">
        <v>#DIV/0!</v>
      </c>
      <c r="H108" s="34" t="e">
        <v>#DIV/0!</v>
      </c>
      <c r="I108" s="34" t="e">
        <v>#DIV/0!</v>
      </c>
      <c r="J108" s="34" t="e">
        <v>#DIV/0!</v>
      </c>
      <c r="K108" s="34" t="e">
        <v>#DIV/0!</v>
      </c>
      <c r="L108" s="34" t="e">
        <v>#DIV/0!</v>
      </c>
      <c r="M108" s="34" t="e">
        <v>#DIV/0!</v>
      </c>
      <c r="N108" s="34" t="e">
        <v>#DIV/0!</v>
      </c>
      <c r="O108" s="34" t="e">
        <v>#DIV/0!</v>
      </c>
      <c r="P108" s="34" t="e">
        <v>#DIV/0!</v>
      </c>
      <c r="Q108" s="34" t="e">
        <v>#DIV/0!</v>
      </c>
      <c r="R108" s="34" t="e">
        <v>#DIV/0!</v>
      </c>
      <c r="S108" s="34" t="e">
        <v>#DIV/0!</v>
      </c>
      <c r="T108" s="34" t="e">
        <v>#DIV/0!</v>
      </c>
      <c r="U108" s="34" t="e">
        <v>#DIV/0!</v>
      </c>
      <c r="V108" s="34" t="e">
        <v>#DIV/0!</v>
      </c>
      <c r="W108" s="34" t="e">
        <v>#DIV/0!</v>
      </c>
      <c r="X108" s="34" t="e">
        <v>#DIV/0!</v>
      </c>
      <c r="Y108" s="34" t="e">
        <v>#DIV/0!</v>
      </c>
      <c r="Z108" s="34" t="e">
        <v>#DIV/0!</v>
      </c>
      <c r="AA108" s="34" t="e">
        <v>#DIV/0!</v>
      </c>
      <c r="AB108" s="34" t="e">
        <v>#DIV/0!</v>
      </c>
      <c r="AC108" s="34" t="e">
        <v>#DIV/0!</v>
      </c>
      <c r="AD108" s="34" t="e">
        <v>#DIV/0!</v>
      </c>
      <c r="AE108" s="34" t="e">
        <v>#DIV/0!</v>
      </c>
      <c r="AF108" s="34" t="e">
        <v>#DIV/0!</v>
      </c>
      <c r="AG108" s="34" t="e">
        <v>#DIV/0!</v>
      </c>
      <c r="AH108" s="34" t="e">
        <v>#DIV/0!</v>
      </c>
      <c r="AI108" s="34" t="e">
        <v>#DIV/0!</v>
      </c>
      <c r="AJ108" s="34" t="e">
        <v>#DIV/0!</v>
      </c>
      <c r="AL108" s="59" t="e">
        <v>#DIV/0!</v>
      </c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M108" s="143"/>
    </row>
    <row r="109" spans="3:91 15057:15449" s="1" customFormat="1" ht="15.75" hidden="1" thickBot="1" x14ac:dyDescent="0.3">
      <c r="C109" s="19"/>
      <c r="D109" s="14" t="s">
        <v>48</v>
      </c>
      <c r="E109" s="127">
        <v>0.5</v>
      </c>
      <c r="F109" s="20" t="s">
        <v>25</v>
      </c>
      <c r="G109" s="34" t="e">
        <v>#DIV/0!</v>
      </c>
      <c r="H109" s="34" t="e">
        <v>#DIV/0!</v>
      </c>
      <c r="I109" s="34" t="e">
        <v>#DIV/0!</v>
      </c>
      <c r="J109" s="34" t="e">
        <v>#DIV/0!</v>
      </c>
      <c r="K109" s="34" t="e">
        <v>#DIV/0!</v>
      </c>
      <c r="L109" s="34" t="e">
        <v>#DIV/0!</v>
      </c>
      <c r="M109" s="34" t="e">
        <v>#DIV/0!</v>
      </c>
      <c r="N109" s="34" t="e">
        <v>#DIV/0!</v>
      </c>
      <c r="O109" s="34" t="e">
        <v>#DIV/0!</v>
      </c>
      <c r="P109" s="34" t="e">
        <v>#DIV/0!</v>
      </c>
      <c r="Q109" s="34" t="e">
        <v>#DIV/0!</v>
      </c>
      <c r="R109" s="34" t="e">
        <v>#DIV/0!</v>
      </c>
      <c r="S109" s="34" t="e">
        <v>#DIV/0!</v>
      </c>
      <c r="T109" s="34" t="e">
        <v>#DIV/0!</v>
      </c>
      <c r="U109" s="34" t="e">
        <v>#DIV/0!</v>
      </c>
      <c r="V109" s="34" t="e">
        <v>#DIV/0!</v>
      </c>
      <c r="W109" s="34" t="e">
        <v>#DIV/0!</v>
      </c>
      <c r="X109" s="34" t="e">
        <v>#DIV/0!</v>
      </c>
      <c r="Y109" s="34" t="e">
        <v>#DIV/0!</v>
      </c>
      <c r="Z109" s="34" t="e">
        <v>#DIV/0!</v>
      </c>
      <c r="AA109" s="34" t="e">
        <v>#DIV/0!</v>
      </c>
      <c r="AB109" s="34" t="e">
        <v>#DIV/0!</v>
      </c>
      <c r="AC109" s="34" t="e">
        <v>#DIV/0!</v>
      </c>
      <c r="AD109" s="34" t="e">
        <v>#DIV/0!</v>
      </c>
      <c r="AE109" s="34" t="e">
        <v>#DIV/0!</v>
      </c>
      <c r="AF109" s="34" t="e">
        <v>#DIV/0!</v>
      </c>
      <c r="AG109" s="34" t="e">
        <v>#DIV/0!</v>
      </c>
      <c r="AH109" s="34" t="e">
        <v>#DIV/0!</v>
      </c>
      <c r="AI109" s="34" t="e">
        <v>#DIV/0!</v>
      </c>
      <c r="AJ109" s="34" t="e">
        <v>#DIV/0!</v>
      </c>
      <c r="AL109" s="59" t="e">
        <v>#DIV/0!</v>
      </c>
      <c r="BU109" s="143"/>
      <c r="BV109" s="143"/>
      <c r="BW109" s="143"/>
      <c r="BX109" s="143"/>
      <c r="BY109" s="143"/>
      <c r="BZ109" s="143"/>
      <c r="CA109" s="143"/>
      <c r="CB109" s="143"/>
      <c r="CC109" s="143"/>
      <c r="CD109" s="143"/>
      <c r="CM109" s="143"/>
    </row>
    <row r="110" spans="3:91 15057:15449" s="1" customFormat="1" hidden="1" x14ac:dyDescent="0.25">
      <c r="C110" s="8">
        <v>5</v>
      </c>
      <c r="D110" s="47" t="s">
        <v>47</v>
      </c>
      <c r="E110" s="48"/>
      <c r="F110" s="49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3"/>
      <c r="AL110" s="79" t="s">
        <v>131</v>
      </c>
      <c r="BU110" s="142"/>
      <c r="BV110" s="142"/>
      <c r="BW110" s="143"/>
      <c r="BX110" s="143"/>
      <c r="BY110" s="142"/>
      <c r="BZ110" s="143"/>
      <c r="CA110" s="142"/>
      <c r="CB110" s="142"/>
      <c r="CC110" s="142"/>
      <c r="CD110" s="142"/>
      <c r="CM110" s="142"/>
      <c r="VGC110" s="46"/>
      <c r="VGD110" s="46"/>
      <c r="VGE110" s="46"/>
      <c r="VGF110" s="46"/>
      <c r="VGG110" s="46"/>
      <c r="VGH110" s="46"/>
      <c r="VGI110" s="46"/>
      <c r="VGJ110" s="46"/>
      <c r="VGK110" s="46"/>
      <c r="VGL110" s="46"/>
      <c r="VGM110" s="46"/>
      <c r="VGN110" s="46"/>
      <c r="VGO110" s="46"/>
      <c r="VGP110" s="46"/>
      <c r="VGQ110" s="46"/>
      <c r="VGR110" s="46"/>
      <c r="VGS110" s="46"/>
      <c r="VGT110" s="46"/>
      <c r="VGU110" s="46"/>
      <c r="VGV110" s="46"/>
      <c r="VGW110" s="46"/>
      <c r="VGX110" s="46"/>
      <c r="VGY110" s="46"/>
      <c r="VGZ110" s="46"/>
      <c r="VHA110" s="46"/>
      <c r="VHB110" s="46"/>
      <c r="VHC110" s="46"/>
      <c r="VHD110" s="46"/>
      <c r="VHE110" s="46"/>
      <c r="VHF110" s="46"/>
      <c r="VHG110" s="46"/>
      <c r="VHH110" s="46"/>
      <c r="VHI110" s="46"/>
      <c r="VHJ110" s="46"/>
      <c r="VHK110" s="46"/>
      <c r="VHL110" s="46"/>
      <c r="VHM110" s="46"/>
      <c r="VHN110" s="46"/>
      <c r="VHO110" s="46"/>
      <c r="VHP110" s="46"/>
      <c r="VHQ110" s="46"/>
      <c r="VHR110" s="46"/>
      <c r="VHS110" s="46"/>
      <c r="VHT110" s="46"/>
      <c r="VHU110" s="46"/>
      <c r="VHV110" s="46"/>
      <c r="VHW110" s="46"/>
      <c r="VHX110" s="46"/>
      <c r="VHY110" s="46"/>
      <c r="VHZ110" s="46"/>
      <c r="VIA110" s="46"/>
      <c r="VIB110" s="46"/>
      <c r="VIC110" s="46"/>
      <c r="VID110" s="46"/>
      <c r="VIE110" s="46"/>
      <c r="VIF110" s="46"/>
      <c r="VIG110" s="46"/>
      <c r="VIH110" s="46"/>
      <c r="VII110" s="46"/>
      <c r="VIJ110" s="46"/>
      <c r="VIK110" s="46"/>
      <c r="VIL110" s="46"/>
      <c r="VIM110" s="46"/>
      <c r="VIN110" s="46"/>
      <c r="VIO110" s="46"/>
      <c r="VIP110" s="46"/>
      <c r="VIQ110" s="46"/>
      <c r="VIR110" s="46"/>
      <c r="VIS110" s="46"/>
      <c r="VIT110" s="46"/>
      <c r="VIU110" s="46"/>
      <c r="VIV110" s="46"/>
      <c r="VIW110" s="46"/>
      <c r="VIX110" s="46"/>
      <c r="VIY110" s="46"/>
      <c r="VIZ110" s="46"/>
      <c r="VJA110" s="46"/>
      <c r="VJB110" s="46"/>
      <c r="VJC110" s="46"/>
      <c r="VJD110" s="46"/>
      <c r="VJE110" s="46"/>
      <c r="VJF110" s="46"/>
      <c r="VJG110" s="46"/>
      <c r="VJH110" s="46"/>
      <c r="VJI110" s="46"/>
      <c r="VJJ110" s="46"/>
      <c r="VJK110" s="46"/>
      <c r="VJL110" s="46"/>
      <c r="VJM110" s="46"/>
      <c r="VJN110" s="46"/>
      <c r="VJO110" s="46"/>
      <c r="VJP110" s="46"/>
      <c r="VJQ110" s="46"/>
      <c r="VJR110" s="46"/>
      <c r="VJS110" s="46"/>
      <c r="VJT110" s="46"/>
      <c r="VJU110" s="46"/>
      <c r="VJV110" s="46"/>
      <c r="VJW110" s="46"/>
      <c r="VJX110" s="46"/>
      <c r="VJY110" s="46"/>
      <c r="VJZ110" s="46"/>
      <c r="VKA110" s="46"/>
      <c r="VKB110" s="46"/>
      <c r="VKC110" s="46"/>
      <c r="VKD110" s="46"/>
      <c r="VKE110" s="46"/>
      <c r="VKF110" s="46"/>
      <c r="VKG110" s="46"/>
      <c r="VKH110" s="46"/>
      <c r="VKI110" s="46"/>
      <c r="VKJ110" s="46"/>
      <c r="VKK110" s="46"/>
      <c r="VKL110" s="46"/>
      <c r="VKM110" s="46"/>
      <c r="VKN110" s="46"/>
      <c r="VKO110" s="46"/>
      <c r="VKP110" s="46"/>
      <c r="VKQ110" s="46"/>
      <c r="VKR110" s="46"/>
      <c r="VKS110" s="46"/>
      <c r="VKT110" s="46"/>
      <c r="VKU110" s="46"/>
      <c r="VKV110" s="46"/>
      <c r="VKW110" s="46"/>
      <c r="VKX110" s="46"/>
      <c r="VKY110" s="46"/>
      <c r="VKZ110" s="46"/>
      <c r="VLA110" s="46"/>
      <c r="VLB110" s="46"/>
      <c r="VLC110" s="46"/>
      <c r="VLD110" s="46"/>
      <c r="VLE110" s="46"/>
      <c r="VLF110" s="46"/>
      <c r="VLG110" s="46"/>
      <c r="VLH110" s="46"/>
      <c r="VLI110" s="46"/>
      <c r="VLJ110" s="46"/>
      <c r="VLK110" s="46"/>
      <c r="VLL110" s="46"/>
      <c r="VLM110" s="46"/>
      <c r="VLN110" s="46"/>
      <c r="VLO110" s="46"/>
      <c r="VLP110" s="46"/>
      <c r="VLQ110" s="46"/>
      <c r="VLR110" s="46"/>
      <c r="VLS110" s="46"/>
      <c r="VLT110" s="46"/>
      <c r="VLU110" s="46"/>
      <c r="VLV110" s="46"/>
      <c r="VLW110" s="46"/>
      <c r="VLX110" s="46"/>
      <c r="VLY110" s="46"/>
      <c r="VLZ110" s="46"/>
      <c r="VMA110" s="46"/>
      <c r="VMB110" s="46"/>
      <c r="VMC110" s="46"/>
      <c r="VMD110" s="46"/>
      <c r="VME110" s="46"/>
      <c r="VMF110" s="46"/>
      <c r="VMG110" s="46"/>
      <c r="VMH110" s="46"/>
      <c r="VMI110" s="46"/>
      <c r="VMJ110" s="46"/>
      <c r="VMK110" s="46"/>
      <c r="VML110" s="46"/>
      <c r="VMM110" s="46"/>
      <c r="VMN110" s="46"/>
      <c r="VMO110" s="46"/>
      <c r="VMP110" s="46"/>
      <c r="VMQ110" s="46"/>
      <c r="VMR110" s="46"/>
      <c r="VMS110" s="46"/>
      <c r="VMT110" s="46"/>
      <c r="VMU110" s="46"/>
      <c r="VMV110" s="46"/>
      <c r="VMW110" s="46"/>
      <c r="VMX110" s="46"/>
      <c r="VMY110" s="46"/>
      <c r="VMZ110" s="46"/>
      <c r="VNA110" s="46"/>
      <c r="VNB110" s="46"/>
      <c r="VNC110" s="46"/>
      <c r="VND110" s="46"/>
      <c r="VNE110" s="46"/>
      <c r="VNF110" s="46"/>
      <c r="VNG110" s="46"/>
      <c r="VNH110" s="46"/>
      <c r="VNI110" s="46"/>
      <c r="VNJ110" s="46"/>
      <c r="VNK110" s="46"/>
      <c r="VNL110" s="46"/>
      <c r="VNM110" s="46"/>
      <c r="VNN110" s="46"/>
      <c r="VNO110" s="46"/>
      <c r="VNP110" s="46"/>
      <c r="VNQ110" s="46"/>
      <c r="VNR110" s="46"/>
      <c r="VNS110" s="46"/>
      <c r="VNT110" s="46"/>
      <c r="VNU110" s="46"/>
      <c r="VNV110" s="46"/>
      <c r="VNW110" s="46"/>
      <c r="VNX110" s="46"/>
      <c r="VNY110" s="46"/>
      <c r="VNZ110" s="46"/>
      <c r="VOA110" s="46"/>
      <c r="VOB110" s="46"/>
      <c r="VOC110" s="46"/>
      <c r="VOD110" s="46"/>
      <c r="VOE110" s="46"/>
      <c r="VOF110" s="46"/>
      <c r="VOG110" s="46"/>
      <c r="VOH110" s="46"/>
      <c r="VOI110" s="46"/>
      <c r="VOJ110" s="46"/>
      <c r="VOK110" s="46"/>
      <c r="VOL110" s="46"/>
      <c r="VOM110" s="46"/>
      <c r="VON110" s="46"/>
      <c r="VOO110" s="46"/>
      <c r="VOP110" s="46"/>
      <c r="VOQ110" s="46"/>
      <c r="VOR110" s="46"/>
      <c r="VOS110" s="46"/>
      <c r="VOT110" s="46"/>
      <c r="VOU110" s="46"/>
      <c r="VOV110" s="46"/>
      <c r="VOW110" s="46"/>
      <c r="VOX110" s="46"/>
      <c r="VOY110" s="46"/>
      <c r="VOZ110" s="46"/>
      <c r="VPA110" s="46"/>
      <c r="VPB110" s="46"/>
      <c r="VPC110" s="46"/>
      <c r="VPD110" s="46"/>
      <c r="VPE110" s="46"/>
      <c r="VPF110" s="46"/>
      <c r="VPG110" s="46"/>
      <c r="VPH110" s="46"/>
      <c r="VPI110" s="46"/>
      <c r="VPJ110" s="46"/>
      <c r="VPK110" s="46"/>
      <c r="VPL110" s="46"/>
      <c r="VPM110" s="46"/>
      <c r="VPN110" s="46"/>
      <c r="VPO110" s="46"/>
      <c r="VPP110" s="46"/>
      <c r="VPQ110" s="46"/>
      <c r="VPR110" s="46"/>
      <c r="VPS110" s="46"/>
      <c r="VPT110" s="46"/>
      <c r="VPU110" s="46"/>
      <c r="VPV110" s="46"/>
      <c r="VPW110" s="46"/>
      <c r="VPX110" s="46"/>
      <c r="VPY110" s="46"/>
      <c r="VPZ110" s="46"/>
      <c r="VQA110" s="46"/>
      <c r="VQB110" s="46"/>
      <c r="VQC110" s="46"/>
      <c r="VQD110" s="46"/>
      <c r="VQE110" s="46"/>
      <c r="VQF110" s="46"/>
      <c r="VQG110" s="46"/>
      <c r="VQH110" s="46"/>
      <c r="VQI110" s="46"/>
      <c r="VQJ110" s="46"/>
      <c r="VQK110" s="46"/>
      <c r="VQL110" s="46"/>
      <c r="VQM110" s="46"/>
      <c r="VQN110" s="46"/>
      <c r="VQO110" s="46"/>
      <c r="VQP110" s="46"/>
      <c r="VQQ110" s="46"/>
      <c r="VQR110" s="46"/>
      <c r="VQS110" s="46"/>
      <c r="VQT110" s="46"/>
      <c r="VQU110" s="46"/>
      <c r="VQV110" s="46"/>
      <c r="VQW110" s="46"/>
      <c r="VQX110" s="46"/>
      <c r="VQY110" s="46"/>
      <c r="VQZ110" s="46"/>
      <c r="VRA110" s="46"/>
      <c r="VRB110" s="46"/>
      <c r="VRC110" s="46"/>
      <c r="VRD110" s="46"/>
      <c r="VRE110" s="46"/>
      <c r="VRF110" s="46"/>
      <c r="VRG110" s="46"/>
      <c r="VRH110" s="46"/>
      <c r="VRI110" s="46"/>
      <c r="VRJ110" s="46"/>
      <c r="VRK110" s="46"/>
      <c r="VRL110" s="46"/>
      <c r="VRM110" s="46"/>
      <c r="VRN110" s="46"/>
      <c r="VRO110" s="46"/>
      <c r="VRP110" s="46"/>
      <c r="VRQ110" s="46"/>
      <c r="VRR110" s="46"/>
      <c r="VRS110" s="46"/>
      <c r="VRT110" s="46"/>
      <c r="VRU110" s="46"/>
      <c r="VRV110" s="46"/>
      <c r="VRW110" s="46"/>
      <c r="VRX110" s="46"/>
      <c r="VRY110" s="46"/>
      <c r="VRZ110" s="46"/>
      <c r="VSA110" s="46"/>
      <c r="VSB110" s="46"/>
      <c r="VSC110" s="46"/>
      <c r="VSD110" s="46"/>
      <c r="VSE110" s="46"/>
      <c r="VSF110" s="46"/>
      <c r="VSG110" s="46"/>
      <c r="VSH110" s="46"/>
      <c r="VSI110" s="46"/>
      <c r="VSJ110" s="46"/>
      <c r="VSK110" s="46"/>
      <c r="VSL110" s="46"/>
      <c r="VSM110" s="46"/>
      <c r="VSN110" s="46"/>
      <c r="VSO110" s="46"/>
      <c r="VSP110" s="46"/>
      <c r="VSQ110" s="46"/>
      <c r="VSR110" s="46"/>
      <c r="VSS110" s="46"/>
      <c r="VST110" s="46"/>
      <c r="VSU110" s="46"/>
      <c r="VSV110" s="46"/>
      <c r="VSW110" s="46"/>
      <c r="VSX110" s="46"/>
      <c r="VSY110" s="46"/>
      <c r="VSZ110" s="46"/>
      <c r="VTA110" s="46"/>
      <c r="VTB110" s="46"/>
      <c r="VTC110" s="46"/>
      <c r="VTD110" s="46"/>
      <c r="VTE110" s="46"/>
      <c r="VTF110" s="46"/>
      <c r="VTG110" s="46"/>
      <c r="VTH110" s="46"/>
      <c r="VTI110" s="46"/>
      <c r="VTJ110" s="46"/>
      <c r="VTK110" s="46"/>
      <c r="VTL110" s="46"/>
      <c r="VTM110" s="46"/>
      <c r="VTN110" s="46"/>
      <c r="VTO110" s="46"/>
      <c r="VTP110" s="46"/>
      <c r="VTQ110" s="46"/>
      <c r="VTR110" s="46"/>
      <c r="VTS110" s="46"/>
      <c r="VTT110" s="46"/>
      <c r="VTU110" s="46"/>
      <c r="VTV110" s="46"/>
      <c r="VTW110" s="46"/>
      <c r="VTX110" s="46"/>
      <c r="VTY110" s="46"/>
      <c r="VTZ110" s="46"/>
      <c r="VUA110" s="46"/>
      <c r="VUB110" s="46"/>
      <c r="VUC110" s="46"/>
      <c r="VUD110" s="46"/>
      <c r="VUE110" s="46"/>
      <c r="VUF110" s="46"/>
      <c r="VUG110" s="46"/>
      <c r="VUH110" s="46"/>
      <c r="VUI110" s="46"/>
      <c r="VUJ110" s="46"/>
      <c r="VUK110" s="46"/>
      <c r="VUL110" s="46"/>
      <c r="VUM110" s="46"/>
      <c r="VUN110" s="46"/>
      <c r="VUO110" s="46"/>
      <c r="VUP110" s="46"/>
      <c r="VUQ110" s="46"/>
      <c r="VUR110" s="46"/>
      <c r="VUS110" s="46"/>
      <c r="VUT110" s="46"/>
      <c r="VUU110" s="46"/>
      <c r="VUV110" s="46"/>
      <c r="VUW110" s="46"/>
      <c r="VUX110" s="46"/>
      <c r="VUY110" s="46"/>
      <c r="VUZ110" s="46"/>
      <c r="VVA110" s="46"/>
      <c r="VVB110" s="46"/>
      <c r="VVC110" s="46"/>
      <c r="VVD110" s="46"/>
      <c r="VVE110" s="46"/>
    </row>
    <row r="111" spans="3:91 15057:15449" s="1" customFormat="1" hidden="1" x14ac:dyDescent="0.25">
      <c r="C111" s="15"/>
      <c r="D111" s="28" t="s">
        <v>46</v>
      </c>
      <c r="E111" s="91"/>
      <c r="F111" s="20" t="s">
        <v>14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2"/>
      <c r="AL111" s="90">
        <v>0</v>
      </c>
      <c r="BU111" s="142"/>
      <c r="BV111" s="143"/>
      <c r="BW111" s="143"/>
      <c r="BX111" s="143"/>
      <c r="BY111" s="142"/>
      <c r="BZ111" s="143"/>
      <c r="CA111" s="143"/>
      <c r="CB111" s="143"/>
      <c r="CC111" s="143"/>
      <c r="CD111" s="143"/>
      <c r="CM111" s="143"/>
    </row>
    <row r="112" spans="3:91 15057:15449" s="1" customFormat="1" hidden="1" x14ac:dyDescent="0.25">
      <c r="C112" s="15"/>
      <c r="D112" s="30" t="s">
        <v>39</v>
      </c>
      <c r="E112" s="61"/>
      <c r="F112" s="20" t="s">
        <v>14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4">
        <v>0</v>
      </c>
      <c r="AL112" s="59">
        <v>0</v>
      </c>
      <c r="BU112" s="151"/>
      <c r="BV112" s="147"/>
      <c r="BW112" s="147"/>
      <c r="BX112" s="147"/>
      <c r="BY112" s="147"/>
      <c r="BZ112" s="147"/>
      <c r="CA112" s="143"/>
      <c r="CB112" s="143"/>
      <c r="CC112" s="143"/>
      <c r="CD112" s="143"/>
      <c r="CM112" s="143"/>
    </row>
    <row r="113" spans="3:91 15057:15449" s="1" customFormat="1" hidden="1" x14ac:dyDescent="0.25">
      <c r="C113" s="15"/>
      <c r="D113" s="30" t="s">
        <v>38</v>
      </c>
      <c r="E113" s="61"/>
      <c r="F113" s="20" t="s">
        <v>14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4">
        <v>0</v>
      </c>
      <c r="AL113" s="59">
        <v>0</v>
      </c>
      <c r="BU113" s="143"/>
      <c r="BV113" s="143"/>
      <c r="BW113" s="143"/>
      <c r="BX113" s="143"/>
      <c r="BY113" s="143"/>
      <c r="BZ113" s="143"/>
      <c r="CA113" s="143"/>
      <c r="CB113" s="143"/>
      <c r="CC113" s="143"/>
      <c r="CD113" s="143"/>
      <c r="CM113" s="143"/>
    </row>
    <row r="114" spans="3:91 15057:15449" s="1" customFormat="1" hidden="1" x14ac:dyDescent="0.25">
      <c r="C114" s="15"/>
      <c r="D114" s="30" t="s">
        <v>50</v>
      </c>
      <c r="E114" s="61"/>
      <c r="F114" s="13" t="s">
        <v>14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L114" s="59">
        <v>0</v>
      </c>
      <c r="CM114" s="143"/>
    </row>
    <row r="115" spans="3:91 15057:15449" s="1" customFormat="1" hidden="1" x14ac:dyDescent="0.25">
      <c r="C115" s="15"/>
      <c r="D115" s="30" t="s">
        <v>29</v>
      </c>
      <c r="E115" s="61"/>
      <c r="F115" s="1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L115" s="64" t="s">
        <v>29</v>
      </c>
      <c r="BU115" s="143"/>
      <c r="BV115" s="143"/>
      <c r="BW115" s="143"/>
      <c r="BX115" s="143"/>
      <c r="BY115" s="143"/>
      <c r="BZ115" s="143"/>
      <c r="CA115" s="143"/>
      <c r="CB115" s="143"/>
      <c r="CC115" s="143"/>
      <c r="CD115" s="143"/>
      <c r="CM115" s="143"/>
    </row>
    <row r="116" spans="3:91 15057:15449" s="16" customFormat="1" hidden="1" x14ac:dyDescent="0.25">
      <c r="C116" s="17"/>
      <c r="D116" s="11" t="s">
        <v>45</v>
      </c>
      <c r="E116" s="54"/>
      <c r="F116" s="32" t="s">
        <v>31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L116" s="92">
        <v>0</v>
      </c>
      <c r="BU116" s="149"/>
      <c r="BV116" s="149"/>
      <c r="BW116" s="149"/>
      <c r="BX116" s="149"/>
      <c r="BY116" s="149"/>
      <c r="BZ116" s="149"/>
      <c r="CA116" s="149"/>
      <c r="CB116" s="149"/>
      <c r="CC116" s="149"/>
      <c r="CD116" s="149"/>
      <c r="CM116" s="149"/>
    </row>
    <row r="117" spans="3:91 15057:15449" s="16" customFormat="1" hidden="1" x14ac:dyDescent="0.25">
      <c r="C117" s="17"/>
      <c r="D117" s="11" t="s">
        <v>44</v>
      </c>
      <c r="E117" s="54"/>
      <c r="F117" s="32" t="s">
        <v>31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L117" s="92">
        <v>0</v>
      </c>
      <c r="BU117" s="149"/>
      <c r="BV117" s="149"/>
      <c r="BW117" s="149"/>
      <c r="BX117" s="149"/>
      <c r="BY117" s="149"/>
      <c r="BZ117" s="149"/>
      <c r="CA117" s="149"/>
      <c r="CB117" s="149"/>
      <c r="CC117" s="149"/>
      <c r="CD117" s="149"/>
      <c r="CM117" s="149"/>
    </row>
    <row r="118" spans="3:91 15057:15449" s="1" customFormat="1" hidden="1" x14ac:dyDescent="0.25">
      <c r="C118" s="15"/>
      <c r="D118" s="30" t="s">
        <v>28</v>
      </c>
      <c r="E118" s="61"/>
      <c r="F118" s="1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L118" s="64" t="s">
        <v>28</v>
      </c>
      <c r="BU118" s="143"/>
      <c r="BV118" s="143"/>
      <c r="BW118" s="143"/>
      <c r="BX118" s="143"/>
      <c r="BY118" s="143"/>
      <c r="BZ118" s="143"/>
      <c r="CA118" s="143"/>
      <c r="CB118" s="143"/>
      <c r="CC118" s="143"/>
      <c r="CD118" s="143"/>
      <c r="CM118" s="143"/>
    </row>
    <row r="119" spans="3:91 15057:15449" s="1" customFormat="1" hidden="1" x14ac:dyDescent="0.25">
      <c r="C119" s="15"/>
      <c r="D119" s="11" t="s">
        <v>45</v>
      </c>
      <c r="E119" s="61"/>
      <c r="F119" s="20" t="s">
        <v>28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0</v>
      </c>
      <c r="AG119" s="33">
        <v>0</v>
      </c>
      <c r="AH119" s="33">
        <v>0</v>
      </c>
      <c r="AI119" s="33">
        <v>0</v>
      </c>
      <c r="AJ119" s="33">
        <v>0</v>
      </c>
      <c r="AL119" s="55">
        <v>0</v>
      </c>
      <c r="BU119" s="143"/>
      <c r="BV119" s="143"/>
      <c r="BW119" s="143"/>
      <c r="BX119" s="143"/>
      <c r="BY119" s="143"/>
      <c r="BZ119" s="143"/>
      <c r="CA119" s="143"/>
      <c r="CB119" s="143"/>
      <c r="CC119" s="143"/>
      <c r="CD119" s="143"/>
      <c r="CM119" s="143"/>
    </row>
    <row r="120" spans="3:91 15057:15449" s="1" customFormat="1" hidden="1" x14ac:dyDescent="0.25">
      <c r="C120" s="15"/>
      <c r="D120" s="11" t="s">
        <v>44</v>
      </c>
      <c r="E120" s="61"/>
      <c r="F120" s="20" t="s">
        <v>28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0</v>
      </c>
      <c r="AC120" s="33">
        <v>0</v>
      </c>
      <c r="AD120" s="33">
        <v>0</v>
      </c>
      <c r="AE120" s="33">
        <v>0</v>
      </c>
      <c r="AF120" s="33">
        <v>0</v>
      </c>
      <c r="AG120" s="33">
        <v>0</v>
      </c>
      <c r="AH120" s="33">
        <v>0</v>
      </c>
      <c r="AI120" s="33">
        <v>0</v>
      </c>
      <c r="AJ120" s="33">
        <v>0</v>
      </c>
      <c r="AL120" s="55">
        <v>0</v>
      </c>
      <c r="BU120" s="143"/>
      <c r="BV120" s="143"/>
      <c r="BW120" s="143"/>
      <c r="BX120" s="143"/>
      <c r="BY120" s="143"/>
      <c r="BZ120" s="143"/>
      <c r="CA120" s="143"/>
      <c r="CB120" s="143"/>
      <c r="CC120" s="143"/>
      <c r="CD120" s="143"/>
      <c r="CM120" s="143"/>
    </row>
    <row r="121" spans="3:91 15057:15449" s="1" customFormat="1" hidden="1" x14ac:dyDescent="0.25">
      <c r="C121" s="15"/>
      <c r="D121" s="30" t="s">
        <v>36</v>
      </c>
      <c r="E121" s="61"/>
      <c r="F121" s="20" t="s">
        <v>35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0</v>
      </c>
      <c r="AC121" s="33">
        <v>0</v>
      </c>
      <c r="AD121" s="33">
        <v>0</v>
      </c>
      <c r="AE121" s="33">
        <v>0</v>
      </c>
      <c r="AF121" s="33">
        <v>0</v>
      </c>
      <c r="AG121" s="33">
        <v>0</v>
      </c>
      <c r="AH121" s="33">
        <v>0</v>
      </c>
      <c r="AI121" s="33">
        <v>0</v>
      </c>
      <c r="AJ121" s="33">
        <v>0</v>
      </c>
      <c r="AL121" s="55">
        <v>0</v>
      </c>
      <c r="BU121" s="143"/>
      <c r="BV121" s="143"/>
      <c r="BW121" s="143"/>
      <c r="BX121" s="143"/>
      <c r="BY121" s="143"/>
      <c r="BZ121" s="143"/>
      <c r="CA121" s="143"/>
      <c r="CB121" s="143"/>
      <c r="CC121" s="143"/>
      <c r="CD121" s="143"/>
      <c r="CM121" s="143"/>
    </row>
    <row r="122" spans="3:91 15057:15449" s="1" customFormat="1" hidden="1" x14ac:dyDescent="0.25">
      <c r="C122" s="15"/>
      <c r="D122" s="30" t="s">
        <v>34</v>
      </c>
      <c r="E122" s="61"/>
      <c r="F122" s="20" t="s">
        <v>33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Z122" s="33">
        <v>0</v>
      </c>
      <c r="AA122" s="33">
        <v>0</v>
      </c>
      <c r="AB122" s="33">
        <v>0</v>
      </c>
      <c r="AC122" s="33">
        <v>0</v>
      </c>
      <c r="AD122" s="33">
        <v>0</v>
      </c>
      <c r="AE122" s="33">
        <v>0</v>
      </c>
      <c r="AF122" s="33">
        <v>0</v>
      </c>
      <c r="AG122" s="33">
        <v>0</v>
      </c>
      <c r="AH122" s="33">
        <v>0</v>
      </c>
      <c r="AI122" s="33">
        <v>0</v>
      </c>
      <c r="AJ122" s="33">
        <v>0</v>
      </c>
      <c r="AL122" s="55">
        <v>0</v>
      </c>
      <c r="BU122" s="143"/>
      <c r="BV122" s="143"/>
      <c r="BW122" s="143"/>
      <c r="BX122" s="143"/>
      <c r="BY122" s="143"/>
      <c r="BZ122" s="143"/>
      <c r="CA122" s="143"/>
      <c r="CB122" s="143"/>
      <c r="CC122" s="143"/>
      <c r="CD122" s="143"/>
      <c r="CM122" s="143"/>
    </row>
    <row r="123" spans="3:91 15057:15449" s="1" customFormat="1" hidden="1" x14ac:dyDescent="0.25">
      <c r="C123" s="8"/>
      <c r="D123" s="47" t="s">
        <v>32</v>
      </c>
      <c r="E123" s="48"/>
      <c r="F123" s="49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3"/>
      <c r="AL123" s="79" t="s">
        <v>132</v>
      </c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M123" s="142"/>
      <c r="VGC123" s="46"/>
      <c r="VGD123" s="46"/>
      <c r="VGE123" s="46"/>
      <c r="VGF123" s="46"/>
      <c r="VGG123" s="46"/>
      <c r="VGH123" s="46"/>
      <c r="VGI123" s="46"/>
      <c r="VGJ123" s="46"/>
      <c r="VGK123" s="46"/>
      <c r="VGL123" s="46"/>
      <c r="VGM123" s="46"/>
      <c r="VGN123" s="46"/>
      <c r="VGO123" s="46"/>
      <c r="VGP123" s="46"/>
      <c r="VGQ123" s="46"/>
      <c r="VGR123" s="46"/>
      <c r="VGS123" s="46"/>
      <c r="VGT123" s="46"/>
      <c r="VGU123" s="46"/>
      <c r="VGV123" s="46"/>
      <c r="VGW123" s="46"/>
      <c r="VGX123" s="46"/>
      <c r="VGY123" s="46"/>
      <c r="VGZ123" s="46"/>
      <c r="VHA123" s="46"/>
      <c r="VHB123" s="46"/>
      <c r="VHC123" s="46"/>
      <c r="VHD123" s="46"/>
      <c r="VHE123" s="46"/>
      <c r="VHF123" s="46"/>
      <c r="VHG123" s="46"/>
      <c r="VHH123" s="46"/>
      <c r="VHI123" s="46"/>
      <c r="VHJ123" s="46"/>
      <c r="VHK123" s="46"/>
      <c r="VHL123" s="46"/>
      <c r="VHM123" s="46"/>
      <c r="VHN123" s="46"/>
      <c r="VHO123" s="46"/>
      <c r="VHP123" s="46"/>
      <c r="VHQ123" s="46"/>
      <c r="VHR123" s="46"/>
      <c r="VHS123" s="46"/>
      <c r="VHT123" s="46"/>
      <c r="VHU123" s="46"/>
      <c r="VHV123" s="46"/>
      <c r="VHW123" s="46"/>
      <c r="VHX123" s="46"/>
      <c r="VHY123" s="46"/>
      <c r="VHZ123" s="46"/>
      <c r="VIA123" s="46"/>
      <c r="VIB123" s="46"/>
      <c r="VIC123" s="46"/>
      <c r="VID123" s="46"/>
      <c r="VIE123" s="46"/>
      <c r="VIF123" s="46"/>
      <c r="VIG123" s="46"/>
      <c r="VIH123" s="46"/>
      <c r="VII123" s="46"/>
      <c r="VIJ123" s="46"/>
      <c r="VIK123" s="46"/>
      <c r="VIL123" s="46"/>
      <c r="VIM123" s="46"/>
      <c r="VIN123" s="46"/>
      <c r="VIO123" s="46"/>
      <c r="VIP123" s="46"/>
      <c r="VIQ123" s="46"/>
      <c r="VIR123" s="46"/>
      <c r="VIS123" s="46"/>
      <c r="VIT123" s="46"/>
      <c r="VIU123" s="46"/>
      <c r="VIV123" s="46"/>
      <c r="VIW123" s="46"/>
      <c r="VIX123" s="46"/>
      <c r="VIY123" s="46"/>
      <c r="VIZ123" s="46"/>
      <c r="VJA123" s="46"/>
      <c r="VJB123" s="46"/>
      <c r="VJC123" s="46"/>
      <c r="VJD123" s="46"/>
      <c r="VJE123" s="46"/>
      <c r="VJF123" s="46"/>
      <c r="VJG123" s="46"/>
      <c r="VJH123" s="46"/>
      <c r="VJI123" s="46"/>
      <c r="VJJ123" s="46"/>
      <c r="VJK123" s="46"/>
      <c r="VJL123" s="46"/>
      <c r="VJM123" s="46"/>
      <c r="VJN123" s="46"/>
      <c r="VJO123" s="46"/>
      <c r="VJP123" s="46"/>
      <c r="VJQ123" s="46"/>
      <c r="VJR123" s="46"/>
      <c r="VJS123" s="46"/>
      <c r="VJT123" s="46"/>
      <c r="VJU123" s="46"/>
      <c r="VJV123" s="46"/>
      <c r="VJW123" s="46"/>
      <c r="VJX123" s="46"/>
      <c r="VJY123" s="46"/>
      <c r="VJZ123" s="46"/>
      <c r="VKA123" s="46"/>
      <c r="VKB123" s="46"/>
      <c r="VKC123" s="46"/>
      <c r="VKD123" s="46"/>
      <c r="VKE123" s="46"/>
      <c r="VKF123" s="46"/>
      <c r="VKG123" s="46"/>
      <c r="VKH123" s="46"/>
      <c r="VKI123" s="46"/>
      <c r="VKJ123" s="46"/>
      <c r="VKK123" s="46"/>
      <c r="VKL123" s="46"/>
      <c r="VKM123" s="46"/>
      <c r="VKN123" s="46"/>
      <c r="VKO123" s="46"/>
      <c r="VKP123" s="46"/>
      <c r="VKQ123" s="46"/>
      <c r="VKR123" s="46"/>
      <c r="VKS123" s="46"/>
      <c r="VKT123" s="46"/>
      <c r="VKU123" s="46"/>
      <c r="VKV123" s="46"/>
      <c r="VKW123" s="46"/>
      <c r="VKX123" s="46"/>
      <c r="VKY123" s="46"/>
      <c r="VKZ123" s="46"/>
      <c r="VLA123" s="46"/>
      <c r="VLB123" s="46"/>
      <c r="VLC123" s="46"/>
      <c r="VLD123" s="46"/>
      <c r="VLE123" s="46"/>
      <c r="VLF123" s="46"/>
      <c r="VLG123" s="46"/>
      <c r="VLH123" s="46"/>
      <c r="VLI123" s="46"/>
      <c r="VLJ123" s="46"/>
      <c r="VLK123" s="46"/>
      <c r="VLL123" s="46"/>
      <c r="VLM123" s="46"/>
      <c r="VLN123" s="46"/>
      <c r="VLO123" s="46"/>
      <c r="VLP123" s="46"/>
      <c r="VLQ123" s="46"/>
      <c r="VLR123" s="46"/>
      <c r="VLS123" s="46"/>
      <c r="VLT123" s="46"/>
      <c r="VLU123" s="46"/>
      <c r="VLV123" s="46"/>
      <c r="VLW123" s="46"/>
      <c r="VLX123" s="46"/>
      <c r="VLY123" s="46"/>
      <c r="VLZ123" s="46"/>
      <c r="VMA123" s="46"/>
      <c r="VMB123" s="46"/>
      <c r="VMC123" s="46"/>
      <c r="VMD123" s="46"/>
      <c r="VME123" s="46"/>
      <c r="VMF123" s="46"/>
      <c r="VMG123" s="46"/>
      <c r="VMH123" s="46"/>
      <c r="VMI123" s="46"/>
      <c r="VMJ123" s="46"/>
      <c r="VMK123" s="46"/>
      <c r="VML123" s="46"/>
      <c r="VMM123" s="46"/>
      <c r="VMN123" s="46"/>
      <c r="VMO123" s="46"/>
      <c r="VMP123" s="46"/>
      <c r="VMQ123" s="46"/>
      <c r="VMR123" s="46"/>
      <c r="VMS123" s="46"/>
      <c r="VMT123" s="46"/>
      <c r="VMU123" s="46"/>
      <c r="VMV123" s="46"/>
      <c r="VMW123" s="46"/>
      <c r="VMX123" s="46"/>
      <c r="VMY123" s="46"/>
      <c r="VMZ123" s="46"/>
      <c r="VNA123" s="46"/>
      <c r="VNB123" s="46"/>
      <c r="VNC123" s="46"/>
      <c r="VND123" s="46"/>
      <c r="VNE123" s="46"/>
      <c r="VNF123" s="46"/>
      <c r="VNG123" s="46"/>
      <c r="VNH123" s="46"/>
      <c r="VNI123" s="46"/>
      <c r="VNJ123" s="46"/>
      <c r="VNK123" s="46"/>
      <c r="VNL123" s="46"/>
      <c r="VNM123" s="46"/>
      <c r="VNN123" s="46"/>
      <c r="VNO123" s="46"/>
      <c r="VNP123" s="46"/>
      <c r="VNQ123" s="46"/>
      <c r="VNR123" s="46"/>
      <c r="VNS123" s="46"/>
      <c r="VNT123" s="46"/>
      <c r="VNU123" s="46"/>
      <c r="VNV123" s="46"/>
      <c r="VNW123" s="46"/>
      <c r="VNX123" s="46"/>
      <c r="VNY123" s="46"/>
      <c r="VNZ123" s="46"/>
      <c r="VOA123" s="46"/>
      <c r="VOB123" s="46"/>
      <c r="VOC123" s="46"/>
      <c r="VOD123" s="46"/>
      <c r="VOE123" s="46"/>
      <c r="VOF123" s="46"/>
      <c r="VOG123" s="46"/>
      <c r="VOH123" s="46"/>
      <c r="VOI123" s="46"/>
      <c r="VOJ123" s="46"/>
      <c r="VOK123" s="46"/>
      <c r="VOL123" s="46"/>
      <c r="VOM123" s="46"/>
      <c r="VON123" s="46"/>
      <c r="VOO123" s="46"/>
      <c r="VOP123" s="46"/>
      <c r="VOQ123" s="46"/>
      <c r="VOR123" s="46"/>
      <c r="VOS123" s="46"/>
      <c r="VOT123" s="46"/>
      <c r="VOU123" s="46"/>
      <c r="VOV123" s="46"/>
      <c r="VOW123" s="46"/>
      <c r="VOX123" s="46"/>
      <c r="VOY123" s="46"/>
      <c r="VOZ123" s="46"/>
      <c r="VPA123" s="46"/>
      <c r="VPB123" s="46"/>
      <c r="VPC123" s="46"/>
      <c r="VPD123" s="46"/>
      <c r="VPE123" s="46"/>
      <c r="VPF123" s="46"/>
      <c r="VPG123" s="46"/>
      <c r="VPH123" s="46"/>
      <c r="VPI123" s="46"/>
      <c r="VPJ123" s="46"/>
      <c r="VPK123" s="46"/>
      <c r="VPL123" s="46"/>
      <c r="VPM123" s="46"/>
      <c r="VPN123" s="46"/>
      <c r="VPO123" s="46"/>
      <c r="VPP123" s="46"/>
      <c r="VPQ123" s="46"/>
      <c r="VPR123" s="46"/>
      <c r="VPS123" s="46"/>
      <c r="VPT123" s="46"/>
      <c r="VPU123" s="46"/>
      <c r="VPV123" s="46"/>
      <c r="VPW123" s="46"/>
      <c r="VPX123" s="46"/>
      <c r="VPY123" s="46"/>
      <c r="VPZ123" s="46"/>
      <c r="VQA123" s="46"/>
      <c r="VQB123" s="46"/>
      <c r="VQC123" s="46"/>
      <c r="VQD123" s="46"/>
      <c r="VQE123" s="46"/>
      <c r="VQF123" s="46"/>
      <c r="VQG123" s="46"/>
      <c r="VQH123" s="46"/>
      <c r="VQI123" s="46"/>
      <c r="VQJ123" s="46"/>
      <c r="VQK123" s="46"/>
      <c r="VQL123" s="46"/>
      <c r="VQM123" s="46"/>
      <c r="VQN123" s="46"/>
      <c r="VQO123" s="46"/>
      <c r="VQP123" s="46"/>
      <c r="VQQ123" s="46"/>
      <c r="VQR123" s="46"/>
      <c r="VQS123" s="46"/>
      <c r="VQT123" s="46"/>
      <c r="VQU123" s="46"/>
      <c r="VQV123" s="46"/>
      <c r="VQW123" s="46"/>
      <c r="VQX123" s="46"/>
      <c r="VQY123" s="46"/>
      <c r="VQZ123" s="46"/>
      <c r="VRA123" s="46"/>
      <c r="VRB123" s="46"/>
      <c r="VRC123" s="46"/>
      <c r="VRD123" s="46"/>
      <c r="VRE123" s="46"/>
      <c r="VRF123" s="46"/>
      <c r="VRG123" s="46"/>
      <c r="VRH123" s="46"/>
      <c r="VRI123" s="46"/>
      <c r="VRJ123" s="46"/>
      <c r="VRK123" s="46"/>
      <c r="VRL123" s="46"/>
      <c r="VRM123" s="46"/>
      <c r="VRN123" s="46"/>
      <c r="VRO123" s="46"/>
      <c r="VRP123" s="46"/>
      <c r="VRQ123" s="46"/>
      <c r="VRR123" s="46"/>
      <c r="VRS123" s="46"/>
      <c r="VRT123" s="46"/>
      <c r="VRU123" s="46"/>
      <c r="VRV123" s="46"/>
      <c r="VRW123" s="46"/>
      <c r="VRX123" s="46"/>
      <c r="VRY123" s="46"/>
      <c r="VRZ123" s="46"/>
      <c r="VSA123" s="46"/>
      <c r="VSB123" s="46"/>
      <c r="VSC123" s="46"/>
      <c r="VSD123" s="46"/>
      <c r="VSE123" s="46"/>
      <c r="VSF123" s="46"/>
      <c r="VSG123" s="46"/>
      <c r="VSH123" s="46"/>
      <c r="VSI123" s="46"/>
      <c r="VSJ123" s="46"/>
      <c r="VSK123" s="46"/>
      <c r="VSL123" s="46"/>
      <c r="VSM123" s="46"/>
      <c r="VSN123" s="46"/>
      <c r="VSO123" s="46"/>
      <c r="VSP123" s="46"/>
      <c r="VSQ123" s="46"/>
      <c r="VSR123" s="46"/>
      <c r="VSS123" s="46"/>
      <c r="VST123" s="46"/>
      <c r="VSU123" s="46"/>
      <c r="VSV123" s="46"/>
      <c r="VSW123" s="46"/>
      <c r="VSX123" s="46"/>
      <c r="VSY123" s="46"/>
      <c r="VSZ123" s="46"/>
      <c r="VTA123" s="46"/>
      <c r="VTB123" s="46"/>
      <c r="VTC123" s="46"/>
      <c r="VTD123" s="46"/>
      <c r="VTE123" s="46"/>
      <c r="VTF123" s="46"/>
      <c r="VTG123" s="46"/>
      <c r="VTH123" s="46"/>
      <c r="VTI123" s="46"/>
      <c r="VTJ123" s="46"/>
      <c r="VTK123" s="46"/>
      <c r="VTL123" s="46"/>
      <c r="VTM123" s="46"/>
      <c r="VTN123" s="46"/>
      <c r="VTO123" s="46"/>
      <c r="VTP123" s="46"/>
      <c r="VTQ123" s="46"/>
      <c r="VTR123" s="46"/>
      <c r="VTS123" s="46"/>
      <c r="VTT123" s="46"/>
      <c r="VTU123" s="46"/>
      <c r="VTV123" s="46"/>
      <c r="VTW123" s="46"/>
      <c r="VTX123" s="46"/>
      <c r="VTY123" s="46"/>
      <c r="VTZ123" s="46"/>
      <c r="VUA123" s="46"/>
      <c r="VUB123" s="46"/>
      <c r="VUC123" s="46"/>
      <c r="VUD123" s="46"/>
      <c r="VUE123" s="46"/>
      <c r="VUF123" s="46"/>
      <c r="VUG123" s="46"/>
      <c r="VUH123" s="46"/>
      <c r="VUI123" s="46"/>
      <c r="VUJ123" s="46"/>
      <c r="VUK123" s="46"/>
      <c r="VUL123" s="46"/>
      <c r="VUM123" s="46"/>
      <c r="VUN123" s="46"/>
      <c r="VUO123" s="46"/>
      <c r="VUP123" s="46"/>
      <c r="VUQ123" s="46"/>
      <c r="VUR123" s="46"/>
      <c r="VUS123" s="46"/>
      <c r="VUT123" s="46"/>
      <c r="VUU123" s="46"/>
      <c r="VUV123" s="46"/>
      <c r="VUW123" s="46"/>
      <c r="VUX123" s="46"/>
      <c r="VUY123" s="46"/>
      <c r="VUZ123" s="46"/>
      <c r="VVA123" s="46"/>
      <c r="VVB123" s="46"/>
      <c r="VVC123" s="46"/>
      <c r="VVD123" s="46"/>
      <c r="VVE123" s="46"/>
    </row>
    <row r="124" spans="3:91 15057:15449" s="1" customFormat="1" hidden="1" x14ac:dyDescent="0.25">
      <c r="C124" s="15"/>
      <c r="D124" s="30" t="s">
        <v>29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L124" s="64" t="s">
        <v>29</v>
      </c>
      <c r="CM124" s="143"/>
    </row>
    <row r="125" spans="3:91 15057:15449" s="1" customFormat="1" hidden="1" x14ac:dyDescent="0.25">
      <c r="C125" s="15"/>
      <c r="D125" s="11" t="s">
        <v>45</v>
      </c>
      <c r="E125" s="61"/>
      <c r="F125" s="20" t="s">
        <v>31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L125" s="55">
        <v>0</v>
      </c>
      <c r="CM125" s="143"/>
    </row>
    <row r="126" spans="3:91 15057:15449" s="1" customFormat="1" hidden="1" x14ac:dyDescent="0.25">
      <c r="C126" s="15"/>
      <c r="D126" s="11" t="s">
        <v>44</v>
      </c>
      <c r="E126" s="61"/>
      <c r="F126" s="20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L126" s="55">
        <v>0</v>
      </c>
      <c r="CM126" s="143"/>
    </row>
    <row r="127" spans="3:91 15057:15449" s="1" customFormat="1" hidden="1" x14ac:dyDescent="0.25">
      <c r="C127" s="15"/>
      <c r="D127" s="30" t="s">
        <v>28</v>
      </c>
      <c r="E127" s="61"/>
      <c r="F127" s="1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L127" s="64" t="s">
        <v>28</v>
      </c>
      <c r="CM127" s="143"/>
    </row>
    <row r="128" spans="3:91 15057:15449" s="1" customFormat="1" hidden="1" x14ac:dyDescent="0.25">
      <c r="C128" s="15"/>
      <c r="D128" s="11" t="s">
        <v>45</v>
      </c>
      <c r="E128" s="61"/>
      <c r="F128" s="20" t="s">
        <v>28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>
        <v>0</v>
      </c>
      <c r="AJ128" s="33">
        <v>0</v>
      </c>
      <c r="AL128" s="55">
        <v>0</v>
      </c>
      <c r="CM128" s="143"/>
    </row>
    <row r="129" spans="3:91 15057:15449" s="1" customFormat="1" hidden="1" x14ac:dyDescent="0.25">
      <c r="C129" s="15"/>
      <c r="D129" s="11" t="s">
        <v>44</v>
      </c>
      <c r="E129" s="61"/>
      <c r="F129" s="20" t="s">
        <v>28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>
        <v>0</v>
      </c>
      <c r="AJ129" s="33">
        <v>0</v>
      </c>
      <c r="AL129" s="55">
        <v>0</v>
      </c>
      <c r="CM129" s="143"/>
    </row>
    <row r="130" spans="3:91 15057:15449" s="1" customFormat="1" hidden="1" x14ac:dyDescent="0.25">
      <c r="C130" s="8"/>
      <c r="D130" s="47" t="s">
        <v>30</v>
      </c>
      <c r="E130" s="48"/>
      <c r="F130" s="49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3"/>
      <c r="AL130" s="79" t="s">
        <v>132</v>
      </c>
      <c r="CM130" s="142"/>
      <c r="VGC130" s="46"/>
      <c r="VGD130" s="46"/>
      <c r="VGE130" s="46"/>
      <c r="VGF130" s="46"/>
      <c r="VGG130" s="46"/>
      <c r="VGH130" s="46"/>
      <c r="VGI130" s="46"/>
      <c r="VGJ130" s="46"/>
      <c r="VGK130" s="46"/>
      <c r="VGL130" s="46"/>
      <c r="VGM130" s="46"/>
      <c r="VGN130" s="46"/>
      <c r="VGO130" s="46"/>
      <c r="VGP130" s="46"/>
      <c r="VGQ130" s="46"/>
      <c r="VGR130" s="46"/>
      <c r="VGS130" s="46"/>
      <c r="VGT130" s="46"/>
      <c r="VGU130" s="46"/>
      <c r="VGV130" s="46"/>
      <c r="VGW130" s="46"/>
      <c r="VGX130" s="46"/>
      <c r="VGY130" s="46"/>
      <c r="VGZ130" s="46"/>
      <c r="VHA130" s="46"/>
      <c r="VHB130" s="46"/>
      <c r="VHC130" s="46"/>
      <c r="VHD130" s="46"/>
      <c r="VHE130" s="46"/>
      <c r="VHF130" s="46"/>
      <c r="VHG130" s="46"/>
      <c r="VHH130" s="46"/>
      <c r="VHI130" s="46"/>
      <c r="VHJ130" s="46"/>
      <c r="VHK130" s="46"/>
      <c r="VHL130" s="46"/>
      <c r="VHM130" s="46"/>
      <c r="VHN130" s="46"/>
      <c r="VHO130" s="46"/>
      <c r="VHP130" s="46"/>
      <c r="VHQ130" s="46"/>
      <c r="VHR130" s="46"/>
      <c r="VHS130" s="46"/>
      <c r="VHT130" s="46"/>
      <c r="VHU130" s="46"/>
      <c r="VHV130" s="46"/>
      <c r="VHW130" s="46"/>
      <c r="VHX130" s="46"/>
      <c r="VHY130" s="46"/>
      <c r="VHZ130" s="46"/>
      <c r="VIA130" s="46"/>
      <c r="VIB130" s="46"/>
      <c r="VIC130" s="46"/>
      <c r="VID130" s="46"/>
      <c r="VIE130" s="46"/>
      <c r="VIF130" s="46"/>
      <c r="VIG130" s="46"/>
      <c r="VIH130" s="46"/>
      <c r="VII130" s="46"/>
      <c r="VIJ130" s="46"/>
      <c r="VIK130" s="46"/>
      <c r="VIL130" s="46"/>
      <c r="VIM130" s="46"/>
      <c r="VIN130" s="46"/>
      <c r="VIO130" s="46"/>
      <c r="VIP130" s="46"/>
      <c r="VIQ130" s="46"/>
      <c r="VIR130" s="46"/>
      <c r="VIS130" s="46"/>
      <c r="VIT130" s="46"/>
      <c r="VIU130" s="46"/>
      <c r="VIV130" s="46"/>
      <c r="VIW130" s="46"/>
      <c r="VIX130" s="46"/>
      <c r="VIY130" s="46"/>
      <c r="VIZ130" s="46"/>
      <c r="VJA130" s="46"/>
      <c r="VJB130" s="46"/>
      <c r="VJC130" s="46"/>
      <c r="VJD130" s="46"/>
      <c r="VJE130" s="46"/>
      <c r="VJF130" s="46"/>
      <c r="VJG130" s="46"/>
      <c r="VJH130" s="46"/>
      <c r="VJI130" s="46"/>
      <c r="VJJ130" s="46"/>
      <c r="VJK130" s="46"/>
      <c r="VJL130" s="46"/>
      <c r="VJM130" s="46"/>
      <c r="VJN130" s="46"/>
      <c r="VJO130" s="46"/>
      <c r="VJP130" s="46"/>
      <c r="VJQ130" s="46"/>
      <c r="VJR130" s="46"/>
      <c r="VJS130" s="46"/>
      <c r="VJT130" s="46"/>
      <c r="VJU130" s="46"/>
      <c r="VJV130" s="46"/>
      <c r="VJW130" s="46"/>
      <c r="VJX130" s="46"/>
      <c r="VJY130" s="46"/>
      <c r="VJZ130" s="46"/>
      <c r="VKA130" s="46"/>
      <c r="VKB130" s="46"/>
      <c r="VKC130" s="46"/>
      <c r="VKD130" s="46"/>
      <c r="VKE130" s="46"/>
      <c r="VKF130" s="46"/>
      <c r="VKG130" s="46"/>
      <c r="VKH130" s="46"/>
      <c r="VKI130" s="46"/>
      <c r="VKJ130" s="46"/>
      <c r="VKK130" s="46"/>
      <c r="VKL130" s="46"/>
      <c r="VKM130" s="46"/>
      <c r="VKN130" s="46"/>
      <c r="VKO130" s="46"/>
      <c r="VKP130" s="46"/>
      <c r="VKQ130" s="46"/>
      <c r="VKR130" s="46"/>
      <c r="VKS130" s="46"/>
      <c r="VKT130" s="46"/>
      <c r="VKU130" s="46"/>
      <c r="VKV130" s="46"/>
      <c r="VKW130" s="46"/>
      <c r="VKX130" s="46"/>
      <c r="VKY130" s="46"/>
      <c r="VKZ130" s="46"/>
      <c r="VLA130" s="46"/>
      <c r="VLB130" s="46"/>
      <c r="VLC130" s="46"/>
      <c r="VLD130" s="46"/>
      <c r="VLE130" s="46"/>
      <c r="VLF130" s="46"/>
      <c r="VLG130" s="46"/>
      <c r="VLH130" s="46"/>
      <c r="VLI130" s="46"/>
      <c r="VLJ130" s="46"/>
      <c r="VLK130" s="46"/>
      <c r="VLL130" s="46"/>
      <c r="VLM130" s="46"/>
      <c r="VLN130" s="46"/>
      <c r="VLO130" s="46"/>
      <c r="VLP130" s="46"/>
      <c r="VLQ130" s="46"/>
      <c r="VLR130" s="46"/>
      <c r="VLS130" s="46"/>
      <c r="VLT130" s="46"/>
      <c r="VLU130" s="46"/>
      <c r="VLV130" s="46"/>
      <c r="VLW130" s="46"/>
      <c r="VLX130" s="46"/>
      <c r="VLY130" s="46"/>
      <c r="VLZ130" s="46"/>
      <c r="VMA130" s="46"/>
      <c r="VMB130" s="46"/>
      <c r="VMC130" s="46"/>
      <c r="VMD130" s="46"/>
      <c r="VME130" s="46"/>
      <c r="VMF130" s="46"/>
      <c r="VMG130" s="46"/>
      <c r="VMH130" s="46"/>
      <c r="VMI130" s="46"/>
      <c r="VMJ130" s="46"/>
      <c r="VMK130" s="46"/>
      <c r="VML130" s="46"/>
      <c r="VMM130" s="46"/>
      <c r="VMN130" s="46"/>
      <c r="VMO130" s="46"/>
      <c r="VMP130" s="46"/>
      <c r="VMQ130" s="46"/>
      <c r="VMR130" s="46"/>
      <c r="VMS130" s="46"/>
      <c r="VMT130" s="46"/>
      <c r="VMU130" s="46"/>
      <c r="VMV130" s="46"/>
      <c r="VMW130" s="46"/>
      <c r="VMX130" s="46"/>
      <c r="VMY130" s="46"/>
      <c r="VMZ130" s="46"/>
      <c r="VNA130" s="46"/>
      <c r="VNB130" s="46"/>
      <c r="VNC130" s="46"/>
      <c r="VND130" s="46"/>
      <c r="VNE130" s="46"/>
      <c r="VNF130" s="46"/>
      <c r="VNG130" s="46"/>
      <c r="VNH130" s="46"/>
      <c r="VNI130" s="46"/>
      <c r="VNJ130" s="46"/>
      <c r="VNK130" s="46"/>
      <c r="VNL130" s="46"/>
      <c r="VNM130" s="46"/>
      <c r="VNN130" s="46"/>
      <c r="VNO130" s="46"/>
      <c r="VNP130" s="46"/>
      <c r="VNQ130" s="46"/>
      <c r="VNR130" s="46"/>
      <c r="VNS130" s="46"/>
      <c r="VNT130" s="46"/>
      <c r="VNU130" s="46"/>
      <c r="VNV130" s="46"/>
      <c r="VNW130" s="46"/>
      <c r="VNX130" s="46"/>
      <c r="VNY130" s="46"/>
      <c r="VNZ130" s="46"/>
      <c r="VOA130" s="46"/>
      <c r="VOB130" s="46"/>
      <c r="VOC130" s="46"/>
      <c r="VOD130" s="46"/>
      <c r="VOE130" s="46"/>
      <c r="VOF130" s="46"/>
      <c r="VOG130" s="46"/>
      <c r="VOH130" s="46"/>
      <c r="VOI130" s="46"/>
      <c r="VOJ130" s="46"/>
      <c r="VOK130" s="46"/>
      <c r="VOL130" s="46"/>
      <c r="VOM130" s="46"/>
      <c r="VON130" s="46"/>
      <c r="VOO130" s="46"/>
      <c r="VOP130" s="46"/>
      <c r="VOQ130" s="46"/>
      <c r="VOR130" s="46"/>
      <c r="VOS130" s="46"/>
      <c r="VOT130" s="46"/>
      <c r="VOU130" s="46"/>
      <c r="VOV130" s="46"/>
      <c r="VOW130" s="46"/>
      <c r="VOX130" s="46"/>
      <c r="VOY130" s="46"/>
      <c r="VOZ130" s="46"/>
      <c r="VPA130" s="46"/>
      <c r="VPB130" s="46"/>
      <c r="VPC130" s="46"/>
      <c r="VPD130" s="46"/>
      <c r="VPE130" s="46"/>
      <c r="VPF130" s="46"/>
      <c r="VPG130" s="46"/>
      <c r="VPH130" s="46"/>
      <c r="VPI130" s="46"/>
      <c r="VPJ130" s="46"/>
      <c r="VPK130" s="46"/>
      <c r="VPL130" s="46"/>
      <c r="VPM130" s="46"/>
      <c r="VPN130" s="46"/>
      <c r="VPO130" s="46"/>
      <c r="VPP130" s="46"/>
      <c r="VPQ130" s="46"/>
      <c r="VPR130" s="46"/>
      <c r="VPS130" s="46"/>
      <c r="VPT130" s="46"/>
      <c r="VPU130" s="46"/>
      <c r="VPV130" s="46"/>
      <c r="VPW130" s="46"/>
      <c r="VPX130" s="46"/>
      <c r="VPY130" s="46"/>
      <c r="VPZ130" s="46"/>
      <c r="VQA130" s="46"/>
      <c r="VQB130" s="46"/>
      <c r="VQC130" s="46"/>
      <c r="VQD130" s="46"/>
      <c r="VQE130" s="46"/>
      <c r="VQF130" s="46"/>
      <c r="VQG130" s="46"/>
      <c r="VQH130" s="46"/>
      <c r="VQI130" s="46"/>
      <c r="VQJ130" s="46"/>
      <c r="VQK130" s="46"/>
      <c r="VQL130" s="46"/>
      <c r="VQM130" s="46"/>
      <c r="VQN130" s="46"/>
      <c r="VQO130" s="46"/>
      <c r="VQP130" s="46"/>
      <c r="VQQ130" s="46"/>
      <c r="VQR130" s="46"/>
      <c r="VQS130" s="46"/>
      <c r="VQT130" s="46"/>
      <c r="VQU130" s="46"/>
      <c r="VQV130" s="46"/>
      <c r="VQW130" s="46"/>
      <c r="VQX130" s="46"/>
      <c r="VQY130" s="46"/>
      <c r="VQZ130" s="46"/>
      <c r="VRA130" s="46"/>
      <c r="VRB130" s="46"/>
      <c r="VRC130" s="46"/>
      <c r="VRD130" s="46"/>
      <c r="VRE130" s="46"/>
      <c r="VRF130" s="46"/>
      <c r="VRG130" s="46"/>
      <c r="VRH130" s="46"/>
      <c r="VRI130" s="46"/>
      <c r="VRJ130" s="46"/>
      <c r="VRK130" s="46"/>
      <c r="VRL130" s="46"/>
      <c r="VRM130" s="46"/>
      <c r="VRN130" s="46"/>
      <c r="VRO130" s="46"/>
      <c r="VRP130" s="46"/>
      <c r="VRQ130" s="46"/>
      <c r="VRR130" s="46"/>
      <c r="VRS130" s="46"/>
      <c r="VRT130" s="46"/>
      <c r="VRU130" s="46"/>
      <c r="VRV130" s="46"/>
      <c r="VRW130" s="46"/>
      <c r="VRX130" s="46"/>
      <c r="VRY130" s="46"/>
      <c r="VRZ130" s="46"/>
      <c r="VSA130" s="46"/>
      <c r="VSB130" s="46"/>
      <c r="VSC130" s="46"/>
      <c r="VSD130" s="46"/>
      <c r="VSE130" s="46"/>
      <c r="VSF130" s="46"/>
      <c r="VSG130" s="46"/>
      <c r="VSH130" s="46"/>
      <c r="VSI130" s="46"/>
      <c r="VSJ130" s="46"/>
      <c r="VSK130" s="46"/>
      <c r="VSL130" s="46"/>
      <c r="VSM130" s="46"/>
      <c r="VSN130" s="46"/>
      <c r="VSO130" s="46"/>
      <c r="VSP130" s="46"/>
      <c r="VSQ130" s="46"/>
      <c r="VSR130" s="46"/>
      <c r="VSS130" s="46"/>
      <c r="VST130" s="46"/>
      <c r="VSU130" s="46"/>
      <c r="VSV130" s="46"/>
      <c r="VSW130" s="46"/>
      <c r="VSX130" s="46"/>
      <c r="VSY130" s="46"/>
      <c r="VSZ130" s="46"/>
      <c r="VTA130" s="46"/>
      <c r="VTB130" s="46"/>
      <c r="VTC130" s="46"/>
      <c r="VTD130" s="46"/>
      <c r="VTE130" s="46"/>
      <c r="VTF130" s="46"/>
      <c r="VTG130" s="46"/>
      <c r="VTH130" s="46"/>
      <c r="VTI130" s="46"/>
      <c r="VTJ130" s="46"/>
      <c r="VTK130" s="46"/>
      <c r="VTL130" s="46"/>
      <c r="VTM130" s="46"/>
      <c r="VTN130" s="46"/>
      <c r="VTO130" s="46"/>
      <c r="VTP130" s="46"/>
      <c r="VTQ130" s="46"/>
      <c r="VTR130" s="46"/>
      <c r="VTS130" s="46"/>
      <c r="VTT130" s="46"/>
      <c r="VTU130" s="46"/>
      <c r="VTV130" s="46"/>
      <c r="VTW130" s="46"/>
      <c r="VTX130" s="46"/>
      <c r="VTY130" s="46"/>
      <c r="VTZ130" s="46"/>
      <c r="VUA130" s="46"/>
      <c r="VUB130" s="46"/>
      <c r="VUC130" s="46"/>
      <c r="VUD130" s="46"/>
      <c r="VUE130" s="46"/>
      <c r="VUF130" s="46"/>
      <c r="VUG130" s="46"/>
      <c r="VUH130" s="46"/>
      <c r="VUI130" s="46"/>
      <c r="VUJ130" s="46"/>
      <c r="VUK130" s="46"/>
      <c r="VUL130" s="46"/>
      <c r="VUM130" s="46"/>
      <c r="VUN130" s="46"/>
      <c r="VUO130" s="46"/>
      <c r="VUP130" s="46"/>
      <c r="VUQ130" s="46"/>
      <c r="VUR130" s="46"/>
      <c r="VUS130" s="46"/>
      <c r="VUT130" s="46"/>
      <c r="VUU130" s="46"/>
      <c r="VUV130" s="46"/>
      <c r="VUW130" s="46"/>
      <c r="VUX130" s="46"/>
      <c r="VUY130" s="46"/>
      <c r="VUZ130" s="46"/>
      <c r="VVA130" s="46"/>
      <c r="VVB130" s="46"/>
      <c r="VVC130" s="46"/>
      <c r="VVD130" s="46"/>
      <c r="VVE130" s="46"/>
    </row>
    <row r="131" spans="3:91 15057:15449" s="1" customFormat="1" hidden="1" x14ac:dyDescent="0.25">
      <c r="C131" s="15"/>
      <c r="D131" s="30" t="s">
        <v>29</v>
      </c>
      <c r="E131" s="61"/>
      <c r="F131" s="1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L131" s="64" t="s">
        <v>29</v>
      </c>
      <c r="CM131" s="143"/>
    </row>
    <row r="132" spans="3:91 15057:15449" s="1" customFormat="1" hidden="1" x14ac:dyDescent="0.25">
      <c r="C132" s="15"/>
      <c r="D132" s="11" t="s">
        <v>45</v>
      </c>
      <c r="E132" s="127">
        <v>0.3</v>
      </c>
      <c r="F132" s="20" t="s">
        <v>25</v>
      </c>
      <c r="G132" s="34" t="e">
        <v>#DIV/0!</v>
      </c>
      <c r="H132" s="34" t="e">
        <v>#DIV/0!</v>
      </c>
      <c r="I132" s="34" t="e">
        <v>#DIV/0!</v>
      </c>
      <c r="J132" s="34" t="e">
        <v>#DIV/0!</v>
      </c>
      <c r="K132" s="34" t="e">
        <v>#DIV/0!</v>
      </c>
      <c r="L132" s="34" t="e">
        <v>#DIV/0!</v>
      </c>
      <c r="M132" s="34" t="e">
        <v>#DIV/0!</v>
      </c>
      <c r="N132" s="34" t="e">
        <v>#DIV/0!</v>
      </c>
      <c r="O132" s="34" t="e">
        <v>#DIV/0!</v>
      </c>
      <c r="P132" s="34" t="e">
        <v>#DIV/0!</v>
      </c>
      <c r="Q132" s="34" t="e">
        <v>#DIV/0!</v>
      </c>
      <c r="R132" s="34" t="e">
        <v>#DIV/0!</v>
      </c>
      <c r="S132" s="34" t="e">
        <v>#DIV/0!</v>
      </c>
      <c r="T132" s="34" t="e">
        <v>#DIV/0!</v>
      </c>
      <c r="U132" s="34" t="e">
        <v>#DIV/0!</v>
      </c>
      <c r="V132" s="34" t="e">
        <v>#DIV/0!</v>
      </c>
      <c r="W132" s="34" t="e">
        <v>#DIV/0!</v>
      </c>
      <c r="X132" s="34" t="e">
        <v>#DIV/0!</v>
      </c>
      <c r="Y132" s="34" t="e">
        <v>#DIV/0!</v>
      </c>
      <c r="Z132" s="34" t="e">
        <v>#DIV/0!</v>
      </c>
      <c r="AA132" s="34" t="e">
        <v>#DIV/0!</v>
      </c>
      <c r="AB132" s="34" t="e">
        <v>#DIV/0!</v>
      </c>
      <c r="AC132" s="34" t="e">
        <v>#DIV/0!</v>
      </c>
      <c r="AD132" s="34" t="e">
        <v>#DIV/0!</v>
      </c>
      <c r="AE132" s="34" t="e">
        <v>#DIV/0!</v>
      </c>
      <c r="AF132" s="34" t="e">
        <v>#DIV/0!</v>
      </c>
      <c r="AG132" s="34" t="e">
        <v>#DIV/0!</v>
      </c>
      <c r="AH132" s="34" t="e">
        <v>#DIV/0!</v>
      </c>
      <c r="AI132" s="34" t="e">
        <v>#DIV/0!</v>
      </c>
      <c r="AJ132" s="34" t="e">
        <v>#DIV/0!</v>
      </c>
      <c r="AL132" s="59" t="e">
        <v>#DIV/0!</v>
      </c>
      <c r="CM132" s="143"/>
    </row>
    <row r="133" spans="3:91 15057:15449" s="1" customFormat="1" hidden="1" x14ac:dyDescent="0.25">
      <c r="C133" s="15"/>
      <c r="D133" s="11" t="s">
        <v>44</v>
      </c>
      <c r="E133" s="127">
        <v>0.3</v>
      </c>
      <c r="F133" s="20" t="s">
        <v>25</v>
      </c>
      <c r="G133" s="34" t="e">
        <v>#DIV/0!</v>
      </c>
      <c r="H133" s="34" t="e">
        <v>#DIV/0!</v>
      </c>
      <c r="I133" s="34" t="e">
        <v>#DIV/0!</v>
      </c>
      <c r="J133" s="34" t="e">
        <v>#DIV/0!</v>
      </c>
      <c r="K133" s="34" t="e">
        <v>#DIV/0!</v>
      </c>
      <c r="L133" s="34" t="e">
        <v>#DIV/0!</v>
      </c>
      <c r="M133" s="34" t="e">
        <v>#DIV/0!</v>
      </c>
      <c r="N133" s="34" t="e">
        <v>#DIV/0!</v>
      </c>
      <c r="O133" s="34" t="e">
        <v>#DIV/0!</v>
      </c>
      <c r="P133" s="34" t="e">
        <v>#DIV/0!</v>
      </c>
      <c r="Q133" s="34" t="e">
        <v>#DIV/0!</v>
      </c>
      <c r="R133" s="34" t="e">
        <v>#DIV/0!</v>
      </c>
      <c r="S133" s="34" t="e">
        <v>#DIV/0!</v>
      </c>
      <c r="T133" s="34" t="e">
        <v>#DIV/0!</v>
      </c>
      <c r="U133" s="34" t="e">
        <v>#DIV/0!</v>
      </c>
      <c r="V133" s="34" t="e">
        <v>#DIV/0!</v>
      </c>
      <c r="W133" s="34" t="e">
        <v>#DIV/0!</v>
      </c>
      <c r="X133" s="34" t="e">
        <v>#DIV/0!</v>
      </c>
      <c r="Y133" s="34" t="e">
        <v>#DIV/0!</v>
      </c>
      <c r="Z133" s="34" t="e">
        <v>#DIV/0!</v>
      </c>
      <c r="AA133" s="34" t="e">
        <v>#DIV/0!</v>
      </c>
      <c r="AB133" s="34" t="e">
        <v>#DIV/0!</v>
      </c>
      <c r="AC133" s="34" t="e">
        <v>#DIV/0!</v>
      </c>
      <c r="AD133" s="34" t="e">
        <v>#DIV/0!</v>
      </c>
      <c r="AE133" s="34" t="e">
        <v>#DIV/0!</v>
      </c>
      <c r="AF133" s="34" t="e">
        <v>#DIV/0!</v>
      </c>
      <c r="AG133" s="34" t="e">
        <v>#DIV/0!</v>
      </c>
      <c r="AH133" s="34" t="e">
        <v>#DIV/0!</v>
      </c>
      <c r="AI133" s="34" t="e">
        <v>#DIV/0!</v>
      </c>
      <c r="AJ133" s="34" t="e">
        <v>#DIV/0!</v>
      </c>
      <c r="AL133" s="59" t="e">
        <v>#DIV/0!</v>
      </c>
      <c r="CM133" s="143"/>
    </row>
    <row r="134" spans="3:91 15057:15449" s="1" customFormat="1" hidden="1" x14ac:dyDescent="0.25">
      <c r="C134" s="15"/>
      <c r="D134" s="30" t="s">
        <v>28</v>
      </c>
      <c r="E134" s="127"/>
      <c r="F134" s="13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L134" s="64" t="s">
        <v>28</v>
      </c>
      <c r="CM134" s="143"/>
    </row>
    <row r="135" spans="3:91 15057:15449" s="1" customFormat="1" hidden="1" x14ac:dyDescent="0.25">
      <c r="C135" s="15"/>
      <c r="D135" s="11" t="s">
        <v>45</v>
      </c>
      <c r="E135" s="127">
        <v>0.5</v>
      </c>
      <c r="F135" s="20" t="s">
        <v>25</v>
      </c>
      <c r="G135" s="34" t="e">
        <v>#DIV/0!</v>
      </c>
      <c r="H135" s="34" t="e">
        <v>#DIV/0!</v>
      </c>
      <c r="I135" s="34" t="e">
        <v>#DIV/0!</v>
      </c>
      <c r="J135" s="34" t="e">
        <v>#DIV/0!</v>
      </c>
      <c r="K135" s="34" t="e">
        <v>#DIV/0!</v>
      </c>
      <c r="L135" s="34" t="e">
        <v>#DIV/0!</v>
      </c>
      <c r="M135" s="34" t="e">
        <v>#DIV/0!</v>
      </c>
      <c r="N135" s="34" t="e">
        <v>#DIV/0!</v>
      </c>
      <c r="O135" s="34" t="e">
        <v>#DIV/0!</v>
      </c>
      <c r="P135" s="34" t="e">
        <v>#DIV/0!</v>
      </c>
      <c r="Q135" s="34" t="e">
        <v>#DIV/0!</v>
      </c>
      <c r="R135" s="34" t="e">
        <v>#DIV/0!</v>
      </c>
      <c r="S135" s="34" t="e">
        <v>#DIV/0!</v>
      </c>
      <c r="T135" s="34" t="e">
        <v>#DIV/0!</v>
      </c>
      <c r="U135" s="34" t="e">
        <v>#DIV/0!</v>
      </c>
      <c r="V135" s="34" t="e">
        <v>#DIV/0!</v>
      </c>
      <c r="W135" s="34" t="e">
        <v>#DIV/0!</v>
      </c>
      <c r="X135" s="34" t="e">
        <v>#DIV/0!</v>
      </c>
      <c r="Y135" s="34" t="e">
        <v>#DIV/0!</v>
      </c>
      <c r="Z135" s="34" t="e">
        <v>#DIV/0!</v>
      </c>
      <c r="AA135" s="34" t="e">
        <v>#DIV/0!</v>
      </c>
      <c r="AB135" s="34" t="e">
        <v>#DIV/0!</v>
      </c>
      <c r="AC135" s="34" t="e">
        <v>#DIV/0!</v>
      </c>
      <c r="AD135" s="34" t="e">
        <v>#DIV/0!</v>
      </c>
      <c r="AE135" s="34" t="e">
        <v>#DIV/0!</v>
      </c>
      <c r="AF135" s="34" t="e">
        <v>#DIV/0!</v>
      </c>
      <c r="AG135" s="34" t="e">
        <v>#DIV/0!</v>
      </c>
      <c r="AH135" s="34" t="e">
        <v>#DIV/0!</v>
      </c>
      <c r="AI135" s="34" t="e">
        <v>#DIV/0!</v>
      </c>
      <c r="AJ135" s="34" t="e">
        <v>#DIV/0!</v>
      </c>
      <c r="AL135" s="59" t="e">
        <v>#DIV/0!</v>
      </c>
      <c r="CM135" s="143"/>
    </row>
    <row r="136" spans="3:91 15057:15449" s="1" customFormat="1" hidden="1" x14ac:dyDescent="0.25">
      <c r="C136" s="15"/>
      <c r="D136" s="11" t="s">
        <v>44</v>
      </c>
      <c r="E136" s="127">
        <v>0.5</v>
      </c>
      <c r="F136" s="20" t="s">
        <v>25</v>
      </c>
      <c r="G136" s="34" t="e">
        <v>#DIV/0!</v>
      </c>
      <c r="H136" s="34" t="e">
        <v>#DIV/0!</v>
      </c>
      <c r="I136" s="34" t="e">
        <v>#DIV/0!</v>
      </c>
      <c r="J136" s="34" t="e">
        <v>#DIV/0!</v>
      </c>
      <c r="K136" s="34" t="e">
        <v>#DIV/0!</v>
      </c>
      <c r="L136" s="34" t="e">
        <v>#DIV/0!</v>
      </c>
      <c r="M136" s="34" t="e">
        <v>#DIV/0!</v>
      </c>
      <c r="N136" s="34" t="e">
        <v>#DIV/0!</v>
      </c>
      <c r="O136" s="34" t="e">
        <v>#DIV/0!</v>
      </c>
      <c r="P136" s="34" t="e">
        <v>#DIV/0!</v>
      </c>
      <c r="Q136" s="34" t="e">
        <v>#DIV/0!</v>
      </c>
      <c r="R136" s="34" t="e">
        <v>#DIV/0!</v>
      </c>
      <c r="S136" s="34" t="e">
        <v>#DIV/0!</v>
      </c>
      <c r="T136" s="34" t="e">
        <v>#DIV/0!</v>
      </c>
      <c r="U136" s="34" t="e">
        <v>#DIV/0!</v>
      </c>
      <c r="V136" s="34" t="e">
        <v>#DIV/0!</v>
      </c>
      <c r="W136" s="34" t="e">
        <v>#DIV/0!</v>
      </c>
      <c r="X136" s="34" t="e">
        <v>#DIV/0!</v>
      </c>
      <c r="Y136" s="34" t="e">
        <v>#DIV/0!</v>
      </c>
      <c r="Z136" s="34" t="e">
        <v>#DIV/0!</v>
      </c>
      <c r="AA136" s="34" t="e">
        <v>#DIV/0!</v>
      </c>
      <c r="AB136" s="34" t="e">
        <v>#DIV/0!</v>
      </c>
      <c r="AC136" s="34" t="e">
        <v>#DIV/0!</v>
      </c>
      <c r="AD136" s="34" t="e">
        <v>#DIV/0!</v>
      </c>
      <c r="AE136" s="34" t="e">
        <v>#DIV/0!</v>
      </c>
      <c r="AF136" s="34" t="e">
        <v>#DIV/0!</v>
      </c>
      <c r="AG136" s="34" t="e">
        <v>#DIV/0!</v>
      </c>
      <c r="AH136" s="34" t="e">
        <v>#DIV/0!</v>
      </c>
      <c r="AI136" s="34" t="e">
        <v>#DIV/0!</v>
      </c>
      <c r="AJ136" s="34" t="e">
        <v>#DIV/0!</v>
      </c>
      <c r="AL136" s="59" t="e">
        <v>#DIV/0!</v>
      </c>
      <c r="CM136" s="143"/>
    </row>
    <row r="137" spans="3:91 15057:15449" s="1" customFormat="1" hidden="1" x14ac:dyDescent="0.25">
      <c r="C137" s="15"/>
      <c r="D137" s="47" t="s">
        <v>43</v>
      </c>
      <c r="E137" s="128"/>
      <c r="F137" s="93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  <c r="AK137" s="18"/>
      <c r="AL137" s="79" t="s">
        <v>131</v>
      </c>
    </row>
    <row r="138" spans="3:91 15057:15449" s="1" customFormat="1" hidden="1" x14ac:dyDescent="0.25">
      <c r="C138" s="15"/>
      <c r="D138" s="28" t="s">
        <v>115</v>
      </c>
      <c r="E138" s="127"/>
      <c r="F138" s="20" t="s">
        <v>14</v>
      </c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35"/>
      <c r="AL138" s="90">
        <v>0</v>
      </c>
    </row>
    <row r="139" spans="3:91 15057:15449" s="1" customFormat="1" hidden="1" x14ac:dyDescent="0.25">
      <c r="C139" s="15"/>
      <c r="D139" s="28" t="s">
        <v>116</v>
      </c>
      <c r="E139" s="127"/>
      <c r="F139" s="20" t="s">
        <v>14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6"/>
      <c r="AL139" s="94">
        <v>0</v>
      </c>
    </row>
    <row r="140" spans="3:91 15057:15449" s="1" customFormat="1" hidden="1" x14ac:dyDescent="0.25">
      <c r="C140" s="15"/>
      <c r="D140" s="30" t="s">
        <v>39</v>
      </c>
      <c r="E140" s="127"/>
      <c r="F140" s="20" t="s">
        <v>14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  <c r="X140" s="34">
        <v>0</v>
      </c>
      <c r="Y140" s="34">
        <v>0</v>
      </c>
      <c r="Z140" s="34">
        <v>0</v>
      </c>
      <c r="AA140" s="34">
        <v>0</v>
      </c>
      <c r="AB140" s="34">
        <v>0</v>
      </c>
      <c r="AC140" s="34">
        <v>0</v>
      </c>
      <c r="AD140" s="34">
        <v>0</v>
      </c>
      <c r="AE140" s="34">
        <v>0</v>
      </c>
      <c r="AF140" s="34">
        <v>0</v>
      </c>
      <c r="AG140" s="34">
        <v>0</v>
      </c>
      <c r="AH140" s="34">
        <v>0</v>
      </c>
      <c r="AI140" s="34">
        <v>0</v>
      </c>
      <c r="AJ140" s="34">
        <v>0</v>
      </c>
      <c r="AK140" s="18"/>
      <c r="AL140" s="59">
        <v>0</v>
      </c>
    </row>
    <row r="141" spans="3:91 15057:15449" s="1" customFormat="1" hidden="1" x14ac:dyDescent="0.25">
      <c r="C141" s="15"/>
      <c r="D141" s="30" t="s">
        <v>38</v>
      </c>
      <c r="E141" s="127"/>
      <c r="F141" s="20" t="s">
        <v>14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v>0</v>
      </c>
      <c r="U141" s="34">
        <v>0</v>
      </c>
      <c r="V141" s="34">
        <v>0</v>
      </c>
      <c r="W141" s="34">
        <v>0</v>
      </c>
      <c r="X141" s="34">
        <v>0</v>
      </c>
      <c r="Y141" s="34">
        <v>0</v>
      </c>
      <c r="Z141" s="34">
        <v>0</v>
      </c>
      <c r="AA141" s="34">
        <v>0</v>
      </c>
      <c r="AB141" s="34">
        <v>0</v>
      </c>
      <c r="AC141" s="34">
        <v>0</v>
      </c>
      <c r="AD141" s="34">
        <v>0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34">
        <v>0</v>
      </c>
      <c r="AK141" s="18"/>
      <c r="AL141" s="59">
        <v>0</v>
      </c>
    </row>
    <row r="142" spans="3:91 15057:15449" s="1" customFormat="1" hidden="1" x14ac:dyDescent="0.25">
      <c r="C142" s="15"/>
      <c r="D142" s="30" t="s">
        <v>29</v>
      </c>
      <c r="E142" s="127"/>
      <c r="F142" s="1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6"/>
      <c r="AL142" s="64" t="s">
        <v>29</v>
      </c>
    </row>
    <row r="143" spans="3:91 15057:15449" s="1" customFormat="1" hidden="1" x14ac:dyDescent="0.2">
      <c r="C143" s="15"/>
      <c r="D143" s="11" t="s">
        <v>42</v>
      </c>
      <c r="E143" s="127"/>
      <c r="F143" s="32" t="s">
        <v>31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7"/>
      <c r="AL143" s="92">
        <v>0</v>
      </c>
    </row>
    <row r="144" spans="3:91 15057:15449" s="1" customFormat="1" hidden="1" x14ac:dyDescent="0.2">
      <c r="C144" s="15"/>
      <c r="D144" s="11" t="s">
        <v>41</v>
      </c>
      <c r="E144" s="127"/>
      <c r="F144" s="32" t="s">
        <v>31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7"/>
      <c r="AL144" s="92">
        <v>0</v>
      </c>
    </row>
    <row r="145" spans="3:38" s="1" customFormat="1" hidden="1" x14ac:dyDescent="0.25">
      <c r="C145" s="15"/>
      <c r="D145" s="30" t="s">
        <v>28</v>
      </c>
      <c r="E145" s="127"/>
      <c r="F145" s="1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6"/>
      <c r="AL145" s="64" t="s">
        <v>28</v>
      </c>
    </row>
    <row r="146" spans="3:38" s="1" customFormat="1" hidden="1" x14ac:dyDescent="0.25">
      <c r="C146" s="15"/>
      <c r="D146" s="11" t="s">
        <v>42</v>
      </c>
      <c r="E146" s="127"/>
      <c r="F146" s="20" t="s">
        <v>28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33">
        <v>0</v>
      </c>
      <c r="AG146" s="33">
        <v>0</v>
      </c>
      <c r="AH146" s="33">
        <v>0</v>
      </c>
      <c r="AI146" s="33">
        <v>0</v>
      </c>
      <c r="AJ146" s="33">
        <v>0</v>
      </c>
      <c r="AK146" s="6"/>
      <c r="AL146" s="55">
        <v>0</v>
      </c>
    </row>
    <row r="147" spans="3:38" s="1" customFormat="1" hidden="1" x14ac:dyDescent="0.25">
      <c r="C147" s="15"/>
      <c r="D147" s="11" t="s">
        <v>41</v>
      </c>
      <c r="E147" s="127"/>
      <c r="F147" s="20" t="s">
        <v>28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0</v>
      </c>
      <c r="Z147" s="33">
        <v>0</v>
      </c>
      <c r="AA147" s="33">
        <v>0</v>
      </c>
      <c r="AB147" s="33">
        <v>0</v>
      </c>
      <c r="AC147" s="33">
        <v>0</v>
      </c>
      <c r="AD147" s="33">
        <v>0</v>
      </c>
      <c r="AE147" s="33">
        <v>0</v>
      </c>
      <c r="AF147" s="33">
        <v>0</v>
      </c>
      <c r="AG147" s="33">
        <v>0</v>
      </c>
      <c r="AH147" s="33">
        <v>0</v>
      </c>
      <c r="AI147" s="33">
        <v>0</v>
      </c>
      <c r="AJ147" s="33">
        <v>0</v>
      </c>
      <c r="AK147" s="6"/>
      <c r="AL147" s="55">
        <v>0</v>
      </c>
    </row>
    <row r="148" spans="3:38" s="1" customFormat="1" hidden="1" x14ac:dyDescent="0.25">
      <c r="C148" s="15"/>
      <c r="D148" s="30" t="s">
        <v>36</v>
      </c>
      <c r="E148" s="127"/>
      <c r="F148" s="20" t="s">
        <v>35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0</v>
      </c>
      <c r="W148" s="33">
        <v>0</v>
      </c>
      <c r="X148" s="33">
        <v>0</v>
      </c>
      <c r="Y148" s="33">
        <v>0</v>
      </c>
      <c r="Z148" s="33">
        <v>0</v>
      </c>
      <c r="AA148" s="33">
        <v>0</v>
      </c>
      <c r="AB148" s="33">
        <v>0</v>
      </c>
      <c r="AC148" s="33">
        <v>0</v>
      </c>
      <c r="AD148" s="33">
        <v>0</v>
      </c>
      <c r="AE148" s="33">
        <v>0</v>
      </c>
      <c r="AF148" s="33">
        <v>0</v>
      </c>
      <c r="AG148" s="33">
        <v>0</v>
      </c>
      <c r="AH148" s="33">
        <v>0</v>
      </c>
      <c r="AI148" s="33">
        <v>0</v>
      </c>
      <c r="AJ148" s="33">
        <v>0</v>
      </c>
      <c r="AK148" s="6"/>
      <c r="AL148" s="55">
        <v>0</v>
      </c>
    </row>
    <row r="149" spans="3:38" s="1" customFormat="1" hidden="1" x14ac:dyDescent="0.25">
      <c r="C149" s="15"/>
      <c r="D149" s="30" t="s">
        <v>34</v>
      </c>
      <c r="E149" s="127"/>
      <c r="F149" s="20" t="s">
        <v>33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3">
        <v>0</v>
      </c>
      <c r="AH149" s="33">
        <v>0</v>
      </c>
      <c r="AI149" s="33">
        <v>0</v>
      </c>
      <c r="AJ149" s="33">
        <v>0</v>
      </c>
      <c r="AK149" s="6"/>
      <c r="AL149" s="55">
        <v>0</v>
      </c>
    </row>
    <row r="150" spans="3:38" s="1" customFormat="1" hidden="1" x14ac:dyDescent="0.25">
      <c r="C150" s="15"/>
      <c r="D150" s="47" t="s">
        <v>32</v>
      </c>
      <c r="E150" s="128"/>
      <c r="F150" s="49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18"/>
      <c r="AL150" s="79" t="s">
        <v>132</v>
      </c>
    </row>
    <row r="151" spans="3:38" s="1" customFormat="1" hidden="1" x14ac:dyDescent="0.25">
      <c r="C151" s="15"/>
      <c r="D151" s="30" t="s">
        <v>29</v>
      </c>
      <c r="E151" s="127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18"/>
      <c r="AL151" s="64" t="s">
        <v>29</v>
      </c>
    </row>
    <row r="152" spans="3:38" s="1" customFormat="1" hidden="1" x14ac:dyDescent="0.25">
      <c r="C152" s="15"/>
      <c r="D152" s="11" t="s">
        <v>42</v>
      </c>
      <c r="E152" s="127"/>
      <c r="F152" s="20" t="s">
        <v>31</v>
      </c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18"/>
      <c r="AL152" s="55">
        <v>0</v>
      </c>
    </row>
    <row r="153" spans="3:38" s="1" customFormat="1" hidden="1" x14ac:dyDescent="0.25">
      <c r="C153" s="15"/>
      <c r="D153" s="11" t="s">
        <v>41</v>
      </c>
      <c r="E153" s="127"/>
      <c r="F153" s="20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18"/>
      <c r="AL153" s="55">
        <v>0</v>
      </c>
    </row>
    <row r="154" spans="3:38" s="1" customFormat="1" hidden="1" x14ac:dyDescent="0.25">
      <c r="C154" s="15"/>
      <c r="D154" s="30" t="s">
        <v>28</v>
      </c>
      <c r="E154" s="127"/>
      <c r="F154" s="1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18"/>
      <c r="AL154" s="64" t="s">
        <v>28</v>
      </c>
    </row>
    <row r="155" spans="3:38" s="1" customFormat="1" hidden="1" x14ac:dyDescent="0.25">
      <c r="C155" s="15"/>
      <c r="D155" s="11" t="s">
        <v>42</v>
      </c>
      <c r="E155" s="127"/>
      <c r="F155" s="20" t="s">
        <v>28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>
        <v>0</v>
      </c>
      <c r="AJ155" s="33">
        <v>0</v>
      </c>
      <c r="AK155" s="18"/>
      <c r="AL155" s="55">
        <v>0</v>
      </c>
    </row>
    <row r="156" spans="3:38" s="1" customFormat="1" hidden="1" x14ac:dyDescent="0.25">
      <c r="C156" s="15"/>
      <c r="D156" s="11" t="s">
        <v>41</v>
      </c>
      <c r="E156" s="127"/>
      <c r="F156" s="20" t="s">
        <v>28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33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>
        <v>0</v>
      </c>
      <c r="AJ156" s="33">
        <v>0</v>
      </c>
      <c r="AK156" s="18"/>
      <c r="AL156" s="55">
        <v>0</v>
      </c>
    </row>
    <row r="157" spans="3:38" s="1" customFormat="1" hidden="1" x14ac:dyDescent="0.25">
      <c r="C157" s="15"/>
      <c r="D157" s="47" t="s">
        <v>30</v>
      </c>
      <c r="E157" s="128"/>
      <c r="F157" s="9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18"/>
      <c r="AL157" s="96"/>
    </row>
    <row r="158" spans="3:38" s="1" customFormat="1" hidden="1" x14ac:dyDescent="0.25">
      <c r="C158" s="15"/>
      <c r="D158" s="30" t="s">
        <v>29</v>
      </c>
      <c r="E158" s="127"/>
      <c r="F158" s="20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18"/>
      <c r="AL158" s="55"/>
    </row>
    <row r="159" spans="3:38" s="1" customFormat="1" hidden="1" x14ac:dyDescent="0.25">
      <c r="C159" s="15"/>
      <c r="D159" s="11" t="s">
        <v>42</v>
      </c>
      <c r="E159" s="127"/>
      <c r="F159" s="20" t="s">
        <v>25</v>
      </c>
      <c r="G159" s="33" t="e">
        <v>#DIV/0!</v>
      </c>
      <c r="H159" s="33" t="e">
        <v>#DIV/0!</v>
      </c>
      <c r="I159" s="33" t="e">
        <v>#DIV/0!</v>
      </c>
      <c r="J159" s="33" t="e">
        <v>#DIV/0!</v>
      </c>
      <c r="K159" s="33" t="e">
        <v>#DIV/0!</v>
      </c>
      <c r="L159" s="33" t="e">
        <v>#DIV/0!</v>
      </c>
      <c r="M159" s="33" t="e">
        <v>#DIV/0!</v>
      </c>
      <c r="N159" s="33" t="e">
        <v>#DIV/0!</v>
      </c>
      <c r="O159" s="33" t="e">
        <v>#DIV/0!</v>
      </c>
      <c r="P159" s="33" t="e">
        <v>#DIV/0!</v>
      </c>
      <c r="Q159" s="33" t="e">
        <v>#DIV/0!</v>
      </c>
      <c r="R159" s="33" t="e">
        <v>#DIV/0!</v>
      </c>
      <c r="S159" s="33" t="e">
        <v>#DIV/0!</v>
      </c>
      <c r="T159" s="33" t="e">
        <v>#DIV/0!</v>
      </c>
      <c r="U159" s="33" t="e">
        <v>#DIV/0!</v>
      </c>
      <c r="V159" s="33" t="e">
        <v>#DIV/0!</v>
      </c>
      <c r="W159" s="33" t="e">
        <v>#DIV/0!</v>
      </c>
      <c r="X159" s="33" t="e">
        <v>#DIV/0!</v>
      </c>
      <c r="Y159" s="33" t="e">
        <v>#DIV/0!</v>
      </c>
      <c r="Z159" s="33" t="e">
        <v>#DIV/0!</v>
      </c>
      <c r="AA159" s="33" t="e">
        <v>#DIV/0!</v>
      </c>
      <c r="AB159" s="33" t="e">
        <v>#DIV/0!</v>
      </c>
      <c r="AC159" s="33" t="e">
        <v>#DIV/0!</v>
      </c>
      <c r="AD159" s="33" t="e">
        <v>#DIV/0!</v>
      </c>
      <c r="AE159" s="33" t="e">
        <v>#DIV/0!</v>
      </c>
      <c r="AF159" s="33" t="e">
        <v>#DIV/0!</v>
      </c>
      <c r="AG159" s="33" t="e">
        <v>#DIV/0!</v>
      </c>
      <c r="AH159" s="33" t="e">
        <v>#DIV/0!</v>
      </c>
      <c r="AI159" s="33" t="e">
        <v>#DIV/0!</v>
      </c>
      <c r="AJ159" s="33" t="e">
        <v>#DIV/0!</v>
      </c>
      <c r="AK159" s="37"/>
      <c r="AL159" s="55" t="e">
        <v>#DIV/0!</v>
      </c>
    </row>
    <row r="160" spans="3:38" s="1" customFormat="1" hidden="1" x14ac:dyDescent="0.25">
      <c r="C160" s="15"/>
      <c r="D160" s="11" t="s">
        <v>92</v>
      </c>
      <c r="E160" s="127"/>
      <c r="F160" s="20" t="s">
        <v>25</v>
      </c>
      <c r="G160" s="33" t="e">
        <v>#DIV/0!</v>
      </c>
      <c r="H160" s="33" t="e">
        <v>#DIV/0!</v>
      </c>
      <c r="I160" s="33" t="e">
        <v>#DIV/0!</v>
      </c>
      <c r="J160" s="33" t="e">
        <v>#DIV/0!</v>
      </c>
      <c r="K160" s="33" t="e">
        <v>#DIV/0!</v>
      </c>
      <c r="L160" s="33" t="e">
        <v>#DIV/0!</v>
      </c>
      <c r="M160" s="33" t="e">
        <v>#DIV/0!</v>
      </c>
      <c r="N160" s="33" t="e">
        <v>#DIV/0!</v>
      </c>
      <c r="O160" s="33" t="e">
        <v>#DIV/0!</v>
      </c>
      <c r="P160" s="33" t="e">
        <v>#DIV/0!</v>
      </c>
      <c r="Q160" s="33" t="e">
        <v>#DIV/0!</v>
      </c>
      <c r="R160" s="33" t="e">
        <v>#DIV/0!</v>
      </c>
      <c r="S160" s="33" t="e">
        <v>#DIV/0!</v>
      </c>
      <c r="T160" s="33" t="e">
        <v>#DIV/0!</v>
      </c>
      <c r="U160" s="33" t="e">
        <v>#DIV/0!</v>
      </c>
      <c r="V160" s="33" t="e">
        <v>#DIV/0!</v>
      </c>
      <c r="W160" s="33" t="e">
        <v>#DIV/0!</v>
      </c>
      <c r="X160" s="33" t="e">
        <v>#DIV/0!</v>
      </c>
      <c r="Y160" s="33" t="e">
        <v>#DIV/0!</v>
      </c>
      <c r="Z160" s="33" t="e">
        <v>#DIV/0!</v>
      </c>
      <c r="AA160" s="33" t="e">
        <v>#DIV/0!</v>
      </c>
      <c r="AB160" s="33" t="e">
        <v>#DIV/0!</v>
      </c>
      <c r="AC160" s="33" t="e">
        <v>#DIV/0!</v>
      </c>
      <c r="AD160" s="33" t="e">
        <v>#DIV/0!</v>
      </c>
      <c r="AE160" s="33" t="e">
        <v>#DIV/0!</v>
      </c>
      <c r="AF160" s="33" t="e">
        <v>#DIV/0!</v>
      </c>
      <c r="AG160" s="33" t="e">
        <v>#DIV/0!</v>
      </c>
      <c r="AH160" s="33" t="e">
        <v>#DIV/0!</v>
      </c>
      <c r="AI160" s="33" t="e">
        <v>#DIV/0!</v>
      </c>
      <c r="AJ160" s="33" t="e">
        <v>#DIV/0!</v>
      </c>
      <c r="AK160" s="37"/>
      <c r="AL160" s="55" t="e">
        <v>#DIV/0!</v>
      </c>
    </row>
    <row r="161" spans="3:91 15057:15449" s="1" customFormat="1" hidden="1" x14ac:dyDescent="0.25">
      <c r="C161" s="15"/>
      <c r="D161" s="30" t="s">
        <v>28</v>
      </c>
      <c r="E161" s="127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7"/>
      <c r="AL161" s="55"/>
    </row>
    <row r="162" spans="3:91 15057:15449" s="1" customFormat="1" hidden="1" x14ac:dyDescent="0.25">
      <c r="C162" s="15"/>
      <c r="D162" s="11" t="s">
        <v>42</v>
      </c>
      <c r="E162" s="127"/>
      <c r="F162" s="20" t="s">
        <v>25</v>
      </c>
      <c r="G162" s="33" t="e">
        <v>#DIV/0!</v>
      </c>
      <c r="H162" s="33" t="e">
        <v>#DIV/0!</v>
      </c>
      <c r="I162" s="33" t="e">
        <v>#DIV/0!</v>
      </c>
      <c r="J162" s="33" t="e">
        <v>#DIV/0!</v>
      </c>
      <c r="K162" s="33" t="e">
        <v>#DIV/0!</v>
      </c>
      <c r="L162" s="33" t="e">
        <v>#DIV/0!</v>
      </c>
      <c r="M162" s="33" t="e">
        <v>#DIV/0!</v>
      </c>
      <c r="N162" s="33" t="e">
        <v>#DIV/0!</v>
      </c>
      <c r="O162" s="33" t="e">
        <v>#DIV/0!</v>
      </c>
      <c r="P162" s="33" t="e">
        <v>#DIV/0!</v>
      </c>
      <c r="Q162" s="33" t="e">
        <v>#DIV/0!</v>
      </c>
      <c r="R162" s="33" t="e">
        <v>#DIV/0!</v>
      </c>
      <c r="S162" s="33" t="e">
        <v>#DIV/0!</v>
      </c>
      <c r="T162" s="33" t="e">
        <v>#DIV/0!</v>
      </c>
      <c r="U162" s="33" t="e">
        <v>#DIV/0!</v>
      </c>
      <c r="V162" s="33" t="e">
        <v>#DIV/0!</v>
      </c>
      <c r="W162" s="33" t="e">
        <v>#DIV/0!</v>
      </c>
      <c r="X162" s="33" t="e">
        <v>#DIV/0!</v>
      </c>
      <c r="Y162" s="33" t="e">
        <v>#DIV/0!</v>
      </c>
      <c r="Z162" s="33" t="e">
        <v>#DIV/0!</v>
      </c>
      <c r="AA162" s="33" t="e">
        <v>#DIV/0!</v>
      </c>
      <c r="AB162" s="33" t="e">
        <v>#DIV/0!</v>
      </c>
      <c r="AC162" s="33" t="e">
        <v>#DIV/0!</v>
      </c>
      <c r="AD162" s="33" t="e">
        <v>#DIV/0!</v>
      </c>
      <c r="AE162" s="33" t="e">
        <v>#DIV/0!</v>
      </c>
      <c r="AF162" s="33" t="e">
        <v>#DIV/0!</v>
      </c>
      <c r="AG162" s="33" t="e">
        <v>#DIV/0!</v>
      </c>
      <c r="AH162" s="33" t="e">
        <v>#DIV/0!</v>
      </c>
      <c r="AI162" s="33" t="e">
        <v>#DIV/0!</v>
      </c>
      <c r="AJ162" s="33" t="e">
        <v>#DIV/0!</v>
      </c>
      <c r="AK162" s="37"/>
      <c r="AL162" s="55" t="e">
        <v>#DIV/0!</v>
      </c>
    </row>
    <row r="163" spans="3:91 15057:15449" s="1" customFormat="1" ht="15.75" hidden="1" thickBot="1" x14ac:dyDescent="0.3">
      <c r="C163" s="19"/>
      <c r="D163" s="11" t="s">
        <v>92</v>
      </c>
      <c r="E163" s="127"/>
      <c r="F163" s="20" t="s">
        <v>25</v>
      </c>
      <c r="G163" s="33" t="e">
        <v>#DIV/0!</v>
      </c>
      <c r="H163" s="33" t="e">
        <v>#DIV/0!</v>
      </c>
      <c r="I163" s="33" t="e">
        <v>#DIV/0!</v>
      </c>
      <c r="J163" s="33" t="e">
        <v>#DIV/0!</v>
      </c>
      <c r="K163" s="33" t="e">
        <v>#DIV/0!</v>
      </c>
      <c r="L163" s="33" t="e">
        <v>#DIV/0!</v>
      </c>
      <c r="M163" s="33" t="e">
        <v>#DIV/0!</v>
      </c>
      <c r="N163" s="33" t="e">
        <v>#DIV/0!</v>
      </c>
      <c r="O163" s="33" t="e">
        <v>#DIV/0!</v>
      </c>
      <c r="P163" s="33" t="e">
        <v>#DIV/0!</v>
      </c>
      <c r="Q163" s="33" t="e">
        <v>#DIV/0!</v>
      </c>
      <c r="R163" s="33" t="e">
        <v>#DIV/0!</v>
      </c>
      <c r="S163" s="33" t="e">
        <v>#DIV/0!</v>
      </c>
      <c r="T163" s="33" t="e">
        <v>#DIV/0!</v>
      </c>
      <c r="U163" s="33" t="e">
        <v>#DIV/0!</v>
      </c>
      <c r="V163" s="33" t="e">
        <v>#DIV/0!</v>
      </c>
      <c r="W163" s="33" t="e">
        <v>#DIV/0!</v>
      </c>
      <c r="X163" s="33" t="e">
        <v>#DIV/0!</v>
      </c>
      <c r="Y163" s="33" t="e">
        <v>#DIV/0!</v>
      </c>
      <c r="Z163" s="33" t="e">
        <v>#DIV/0!</v>
      </c>
      <c r="AA163" s="33" t="e">
        <v>#DIV/0!</v>
      </c>
      <c r="AB163" s="33" t="e">
        <v>#DIV/0!</v>
      </c>
      <c r="AC163" s="33" t="e">
        <v>#DIV/0!</v>
      </c>
      <c r="AD163" s="33" t="e">
        <v>#DIV/0!</v>
      </c>
      <c r="AE163" s="33" t="e">
        <v>#DIV/0!</v>
      </c>
      <c r="AF163" s="33" t="e">
        <v>#DIV/0!</v>
      </c>
      <c r="AG163" s="33" t="e">
        <v>#DIV/0!</v>
      </c>
      <c r="AH163" s="33" t="e">
        <v>#DIV/0!</v>
      </c>
      <c r="AI163" s="33" t="e">
        <v>#DIV/0!</v>
      </c>
      <c r="AJ163" s="33" t="e">
        <v>#DIV/0!</v>
      </c>
      <c r="AK163" s="37"/>
      <c r="AL163" s="55" t="e">
        <v>#DIV/0!</v>
      </c>
    </row>
    <row r="164" spans="3:91 15057:15449" s="1" customFormat="1" hidden="1" x14ac:dyDescent="0.25">
      <c r="C164" s="8">
        <v>6</v>
      </c>
      <c r="D164" s="47" t="s">
        <v>40</v>
      </c>
      <c r="E164" s="48"/>
      <c r="F164" s="49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3"/>
      <c r="AL164" s="79" t="s">
        <v>131</v>
      </c>
      <c r="CM164" s="142"/>
      <c r="VGC164" s="46"/>
      <c r="VGD164" s="46"/>
      <c r="VGE164" s="46"/>
      <c r="VGF164" s="46"/>
      <c r="VGG164" s="46"/>
      <c r="VGH164" s="46"/>
      <c r="VGI164" s="46"/>
      <c r="VGJ164" s="46"/>
      <c r="VGK164" s="46"/>
      <c r="VGL164" s="46"/>
      <c r="VGM164" s="46"/>
      <c r="VGN164" s="46"/>
      <c r="VGO164" s="46"/>
      <c r="VGP164" s="46"/>
      <c r="VGQ164" s="46"/>
      <c r="VGR164" s="46"/>
      <c r="VGS164" s="46"/>
      <c r="VGT164" s="46"/>
      <c r="VGU164" s="46"/>
      <c r="VGV164" s="46"/>
      <c r="VGW164" s="46"/>
      <c r="VGX164" s="46"/>
      <c r="VGY164" s="46"/>
      <c r="VGZ164" s="46"/>
      <c r="VHA164" s="46"/>
      <c r="VHB164" s="46"/>
      <c r="VHC164" s="46"/>
      <c r="VHD164" s="46"/>
      <c r="VHE164" s="46"/>
      <c r="VHF164" s="46"/>
      <c r="VHG164" s="46"/>
      <c r="VHH164" s="46"/>
      <c r="VHI164" s="46"/>
      <c r="VHJ164" s="46"/>
      <c r="VHK164" s="46"/>
      <c r="VHL164" s="46"/>
      <c r="VHM164" s="46"/>
      <c r="VHN164" s="46"/>
      <c r="VHO164" s="46"/>
      <c r="VHP164" s="46"/>
      <c r="VHQ164" s="46"/>
      <c r="VHR164" s="46"/>
      <c r="VHS164" s="46"/>
      <c r="VHT164" s="46"/>
      <c r="VHU164" s="46"/>
      <c r="VHV164" s="46"/>
      <c r="VHW164" s="46"/>
      <c r="VHX164" s="46"/>
      <c r="VHY164" s="46"/>
      <c r="VHZ164" s="46"/>
      <c r="VIA164" s="46"/>
      <c r="VIB164" s="46"/>
      <c r="VIC164" s="46"/>
      <c r="VID164" s="46"/>
      <c r="VIE164" s="46"/>
      <c r="VIF164" s="46"/>
      <c r="VIG164" s="46"/>
      <c r="VIH164" s="46"/>
      <c r="VII164" s="46"/>
      <c r="VIJ164" s="46"/>
      <c r="VIK164" s="46"/>
      <c r="VIL164" s="46"/>
      <c r="VIM164" s="46"/>
      <c r="VIN164" s="46"/>
      <c r="VIO164" s="46"/>
      <c r="VIP164" s="46"/>
      <c r="VIQ164" s="46"/>
      <c r="VIR164" s="46"/>
      <c r="VIS164" s="46"/>
      <c r="VIT164" s="46"/>
      <c r="VIU164" s="46"/>
      <c r="VIV164" s="46"/>
      <c r="VIW164" s="46"/>
      <c r="VIX164" s="46"/>
      <c r="VIY164" s="46"/>
      <c r="VIZ164" s="46"/>
      <c r="VJA164" s="46"/>
      <c r="VJB164" s="46"/>
      <c r="VJC164" s="46"/>
      <c r="VJD164" s="46"/>
      <c r="VJE164" s="46"/>
      <c r="VJF164" s="46"/>
      <c r="VJG164" s="46"/>
      <c r="VJH164" s="46"/>
      <c r="VJI164" s="46"/>
      <c r="VJJ164" s="46"/>
      <c r="VJK164" s="46"/>
      <c r="VJL164" s="46"/>
      <c r="VJM164" s="46"/>
      <c r="VJN164" s="46"/>
      <c r="VJO164" s="46"/>
      <c r="VJP164" s="46"/>
      <c r="VJQ164" s="46"/>
      <c r="VJR164" s="46"/>
      <c r="VJS164" s="46"/>
      <c r="VJT164" s="46"/>
      <c r="VJU164" s="46"/>
      <c r="VJV164" s="46"/>
      <c r="VJW164" s="46"/>
      <c r="VJX164" s="46"/>
      <c r="VJY164" s="46"/>
      <c r="VJZ164" s="46"/>
      <c r="VKA164" s="46"/>
      <c r="VKB164" s="46"/>
      <c r="VKC164" s="46"/>
      <c r="VKD164" s="46"/>
      <c r="VKE164" s="46"/>
      <c r="VKF164" s="46"/>
      <c r="VKG164" s="46"/>
      <c r="VKH164" s="46"/>
      <c r="VKI164" s="46"/>
      <c r="VKJ164" s="46"/>
      <c r="VKK164" s="46"/>
      <c r="VKL164" s="46"/>
      <c r="VKM164" s="46"/>
      <c r="VKN164" s="46"/>
      <c r="VKO164" s="46"/>
      <c r="VKP164" s="46"/>
      <c r="VKQ164" s="46"/>
      <c r="VKR164" s="46"/>
      <c r="VKS164" s="46"/>
      <c r="VKT164" s="46"/>
      <c r="VKU164" s="46"/>
      <c r="VKV164" s="46"/>
      <c r="VKW164" s="46"/>
      <c r="VKX164" s="46"/>
      <c r="VKY164" s="46"/>
      <c r="VKZ164" s="46"/>
      <c r="VLA164" s="46"/>
      <c r="VLB164" s="46"/>
      <c r="VLC164" s="46"/>
      <c r="VLD164" s="46"/>
      <c r="VLE164" s="46"/>
      <c r="VLF164" s="46"/>
      <c r="VLG164" s="46"/>
      <c r="VLH164" s="46"/>
      <c r="VLI164" s="46"/>
      <c r="VLJ164" s="46"/>
      <c r="VLK164" s="46"/>
      <c r="VLL164" s="46"/>
      <c r="VLM164" s="46"/>
      <c r="VLN164" s="46"/>
      <c r="VLO164" s="46"/>
      <c r="VLP164" s="46"/>
      <c r="VLQ164" s="46"/>
      <c r="VLR164" s="46"/>
      <c r="VLS164" s="46"/>
      <c r="VLT164" s="46"/>
      <c r="VLU164" s="46"/>
      <c r="VLV164" s="46"/>
      <c r="VLW164" s="46"/>
      <c r="VLX164" s="46"/>
      <c r="VLY164" s="46"/>
      <c r="VLZ164" s="46"/>
      <c r="VMA164" s="46"/>
      <c r="VMB164" s="46"/>
      <c r="VMC164" s="46"/>
      <c r="VMD164" s="46"/>
      <c r="VME164" s="46"/>
      <c r="VMF164" s="46"/>
      <c r="VMG164" s="46"/>
      <c r="VMH164" s="46"/>
      <c r="VMI164" s="46"/>
      <c r="VMJ164" s="46"/>
      <c r="VMK164" s="46"/>
      <c r="VML164" s="46"/>
      <c r="VMM164" s="46"/>
      <c r="VMN164" s="46"/>
      <c r="VMO164" s="46"/>
      <c r="VMP164" s="46"/>
      <c r="VMQ164" s="46"/>
      <c r="VMR164" s="46"/>
      <c r="VMS164" s="46"/>
      <c r="VMT164" s="46"/>
      <c r="VMU164" s="46"/>
      <c r="VMV164" s="46"/>
      <c r="VMW164" s="46"/>
      <c r="VMX164" s="46"/>
      <c r="VMY164" s="46"/>
      <c r="VMZ164" s="46"/>
      <c r="VNA164" s="46"/>
      <c r="VNB164" s="46"/>
      <c r="VNC164" s="46"/>
      <c r="VND164" s="46"/>
      <c r="VNE164" s="46"/>
      <c r="VNF164" s="46"/>
      <c r="VNG164" s="46"/>
      <c r="VNH164" s="46"/>
      <c r="VNI164" s="46"/>
      <c r="VNJ164" s="46"/>
      <c r="VNK164" s="46"/>
      <c r="VNL164" s="46"/>
      <c r="VNM164" s="46"/>
      <c r="VNN164" s="46"/>
      <c r="VNO164" s="46"/>
      <c r="VNP164" s="46"/>
      <c r="VNQ164" s="46"/>
      <c r="VNR164" s="46"/>
      <c r="VNS164" s="46"/>
      <c r="VNT164" s="46"/>
      <c r="VNU164" s="46"/>
      <c r="VNV164" s="46"/>
      <c r="VNW164" s="46"/>
      <c r="VNX164" s="46"/>
      <c r="VNY164" s="46"/>
      <c r="VNZ164" s="46"/>
      <c r="VOA164" s="46"/>
      <c r="VOB164" s="46"/>
      <c r="VOC164" s="46"/>
      <c r="VOD164" s="46"/>
      <c r="VOE164" s="46"/>
      <c r="VOF164" s="46"/>
      <c r="VOG164" s="46"/>
      <c r="VOH164" s="46"/>
      <c r="VOI164" s="46"/>
      <c r="VOJ164" s="46"/>
      <c r="VOK164" s="46"/>
      <c r="VOL164" s="46"/>
      <c r="VOM164" s="46"/>
      <c r="VON164" s="46"/>
      <c r="VOO164" s="46"/>
      <c r="VOP164" s="46"/>
      <c r="VOQ164" s="46"/>
      <c r="VOR164" s="46"/>
      <c r="VOS164" s="46"/>
      <c r="VOT164" s="46"/>
      <c r="VOU164" s="46"/>
      <c r="VOV164" s="46"/>
      <c r="VOW164" s="46"/>
      <c r="VOX164" s="46"/>
      <c r="VOY164" s="46"/>
      <c r="VOZ164" s="46"/>
      <c r="VPA164" s="46"/>
      <c r="VPB164" s="46"/>
      <c r="VPC164" s="46"/>
      <c r="VPD164" s="46"/>
      <c r="VPE164" s="46"/>
      <c r="VPF164" s="46"/>
      <c r="VPG164" s="46"/>
      <c r="VPH164" s="46"/>
      <c r="VPI164" s="46"/>
      <c r="VPJ164" s="46"/>
      <c r="VPK164" s="46"/>
      <c r="VPL164" s="46"/>
      <c r="VPM164" s="46"/>
      <c r="VPN164" s="46"/>
      <c r="VPO164" s="46"/>
      <c r="VPP164" s="46"/>
      <c r="VPQ164" s="46"/>
      <c r="VPR164" s="46"/>
      <c r="VPS164" s="46"/>
      <c r="VPT164" s="46"/>
      <c r="VPU164" s="46"/>
      <c r="VPV164" s="46"/>
      <c r="VPW164" s="46"/>
      <c r="VPX164" s="46"/>
      <c r="VPY164" s="46"/>
      <c r="VPZ164" s="46"/>
      <c r="VQA164" s="46"/>
      <c r="VQB164" s="46"/>
      <c r="VQC164" s="46"/>
      <c r="VQD164" s="46"/>
      <c r="VQE164" s="46"/>
      <c r="VQF164" s="46"/>
      <c r="VQG164" s="46"/>
      <c r="VQH164" s="46"/>
      <c r="VQI164" s="46"/>
      <c r="VQJ164" s="46"/>
      <c r="VQK164" s="46"/>
      <c r="VQL164" s="46"/>
      <c r="VQM164" s="46"/>
      <c r="VQN164" s="46"/>
      <c r="VQO164" s="46"/>
      <c r="VQP164" s="46"/>
      <c r="VQQ164" s="46"/>
      <c r="VQR164" s="46"/>
      <c r="VQS164" s="46"/>
      <c r="VQT164" s="46"/>
      <c r="VQU164" s="46"/>
      <c r="VQV164" s="46"/>
      <c r="VQW164" s="46"/>
      <c r="VQX164" s="46"/>
      <c r="VQY164" s="46"/>
      <c r="VQZ164" s="46"/>
      <c r="VRA164" s="46"/>
      <c r="VRB164" s="46"/>
      <c r="VRC164" s="46"/>
      <c r="VRD164" s="46"/>
      <c r="VRE164" s="46"/>
      <c r="VRF164" s="46"/>
      <c r="VRG164" s="46"/>
      <c r="VRH164" s="46"/>
      <c r="VRI164" s="46"/>
      <c r="VRJ164" s="46"/>
      <c r="VRK164" s="46"/>
      <c r="VRL164" s="46"/>
      <c r="VRM164" s="46"/>
      <c r="VRN164" s="46"/>
      <c r="VRO164" s="46"/>
      <c r="VRP164" s="46"/>
      <c r="VRQ164" s="46"/>
      <c r="VRR164" s="46"/>
      <c r="VRS164" s="46"/>
      <c r="VRT164" s="46"/>
      <c r="VRU164" s="46"/>
      <c r="VRV164" s="46"/>
      <c r="VRW164" s="46"/>
      <c r="VRX164" s="46"/>
      <c r="VRY164" s="46"/>
      <c r="VRZ164" s="46"/>
      <c r="VSA164" s="46"/>
      <c r="VSB164" s="46"/>
      <c r="VSC164" s="46"/>
      <c r="VSD164" s="46"/>
      <c r="VSE164" s="46"/>
      <c r="VSF164" s="46"/>
      <c r="VSG164" s="46"/>
      <c r="VSH164" s="46"/>
      <c r="VSI164" s="46"/>
      <c r="VSJ164" s="46"/>
      <c r="VSK164" s="46"/>
      <c r="VSL164" s="46"/>
      <c r="VSM164" s="46"/>
      <c r="VSN164" s="46"/>
      <c r="VSO164" s="46"/>
      <c r="VSP164" s="46"/>
      <c r="VSQ164" s="46"/>
      <c r="VSR164" s="46"/>
      <c r="VSS164" s="46"/>
      <c r="VST164" s="46"/>
      <c r="VSU164" s="46"/>
      <c r="VSV164" s="46"/>
      <c r="VSW164" s="46"/>
      <c r="VSX164" s="46"/>
      <c r="VSY164" s="46"/>
      <c r="VSZ164" s="46"/>
      <c r="VTA164" s="46"/>
      <c r="VTB164" s="46"/>
      <c r="VTC164" s="46"/>
      <c r="VTD164" s="46"/>
      <c r="VTE164" s="46"/>
      <c r="VTF164" s="46"/>
      <c r="VTG164" s="46"/>
      <c r="VTH164" s="46"/>
      <c r="VTI164" s="46"/>
      <c r="VTJ164" s="46"/>
      <c r="VTK164" s="46"/>
      <c r="VTL164" s="46"/>
      <c r="VTM164" s="46"/>
      <c r="VTN164" s="46"/>
      <c r="VTO164" s="46"/>
      <c r="VTP164" s="46"/>
      <c r="VTQ164" s="46"/>
      <c r="VTR164" s="46"/>
      <c r="VTS164" s="46"/>
      <c r="VTT164" s="46"/>
      <c r="VTU164" s="46"/>
      <c r="VTV164" s="46"/>
      <c r="VTW164" s="46"/>
      <c r="VTX164" s="46"/>
      <c r="VTY164" s="46"/>
      <c r="VTZ164" s="46"/>
      <c r="VUA164" s="46"/>
      <c r="VUB164" s="46"/>
      <c r="VUC164" s="46"/>
      <c r="VUD164" s="46"/>
      <c r="VUE164" s="46"/>
      <c r="VUF164" s="46"/>
      <c r="VUG164" s="46"/>
      <c r="VUH164" s="46"/>
      <c r="VUI164" s="46"/>
      <c r="VUJ164" s="46"/>
      <c r="VUK164" s="46"/>
      <c r="VUL164" s="46"/>
      <c r="VUM164" s="46"/>
      <c r="VUN164" s="46"/>
      <c r="VUO164" s="46"/>
      <c r="VUP164" s="46"/>
      <c r="VUQ164" s="46"/>
      <c r="VUR164" s="46"/>
      <c r="VUS164" s="46"/>
      <c r="VUT164" s="46"/>
      <c r="VUU164" s="46"/>
      <c r="VUV164" s="46"/>
      <c r="VUW164" s="46"/>
      <c r="VUX164" s="46"/>
      <c r="VUY164" s="46"/>
      <c r="VUZ164" s="46"/>
      <c r="VVA164" s="46"/>
      <c r="VVB164" s="46"/>
      <c r="VVC164" s="46"/>
      <c r="VVD164" s="46"/>
      <c r="VVE164" s="46"/>
    </row>
    <row r="165" spans="3:91 15057:15449" s="1" customFormat="1" hidden="1" x14ac:dyDescent="0.25">
      <c r="C165" s="15"/>
      <c r="D165" s="28" t="s">
        <v>116</v>
      </c>
      <c r="E165" s="91"/>
      <c r="F165" s="20" t="s">
        <v>14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2"/>
      <c r="AL165" s="90">
        <v>0</v>
      </c>
      <c r="CM165" s="143"/>
    </row>
    <row r="166" spans="3:91 15057:15449" s="1" customFormat="1" hidden="1" x14ac:dyDescent="0.25">
      <c r="C166" s="15"/>
      <c r="D166" s="30" t="s">
        <v>39</v>
      </c>
      <c r="E166" s="61"/>
      <c r="F166" s="20" t="s">
        <v>14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v>0</v>
      </c>
      <c r="U166" s="34">
        <v>0</v>
      </c>
      <c r="V166" s="34">
        <v>0</v>
      </c>
      <c r="W166" s="34">
        <v>0</v>
      </c>
      <c r="X166" s="34">
        <v>0</v>
      </c>
      <c r="Y166" s="34">
        <v>0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L166" s="59">
        <v>0</v>
      </c>
      <c r="CM166" s="143"/>
    </row>
    <row r="167" spans="3:91 15057:15449" s="1" customFormat="1" hidden="1" x14ac:dyDescent="0.25">
      <c r="C167" s="15"/>
      <c r="D167" s="30" t="s">
        <v>38</v>
      </c>
      <c r="E167" s="61"/>
      <c r="F167" s="20" t="s">
        <v>14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4">
        <v>0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34">
        <v>0</v>
      </c>
      <c r="AH167" s="34">
        <v>0</v>
      </c>
      <c r="AI167" s="34">
        <v>0</v>
      </c>
      <c r="AJ167" s="34">
        <v>0</v>
      </c>
      <c r="AL167" s="59">
        <v>0</v>
      </c>
      <c r="CM167" s="143"/>
    </row>
    <row r="168" spans="3:91 15057:15449" s="1" customFormat="1" hidden="1" x14ac:dyDescent="0.25">
      <c r="C168" s="15"/>
      <c r="D168" s="30" t="s">
        <v>29</v>
      </c>
      <c r="E168" s="61"/>
      <c r="F168" s="1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L168" s="64" t="s">
        <v>29</v>
      </c>
      <c r="CM168" s="143"/>
    </row>
    <row r="169" spans="3:91 15057:15449" s="1" customFormat="1" hidden="1" x14ac:dyDescent="0.2">
      <c r="C169" s="15"/>
      <c r="D169" s="11" t="s">
        <v>117</v>
      </c>
      <c r="E169" s="61"/>
      <c r="F169" s="32" t="s">
        <v>31</v>
      </c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L169" s="92">
        <v>0</v>
      </c>
      <c r="CM169" s="143"/>
    </row>
    <row r="170" spans="3:91 15057:15449" s="16" customFormat="1" hidden="1" x14ac:dyDescent="0.25">
      <c r="C170" s="17"/>
      <c r="D170" s="11" t="s">
        <v>27</v>
      </c>
      <c r="E170" s="54"/>
      <c r="F170" s="32" t="s">
        <v>31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L170" s="92">
        <v>0</v>
      </c>
      <c r="CM170" s="149"/>
    </row>
    <row r="171" spans="3:91 15057:15449" s="16" customFormat="1" hidden="1" x14ac:dyDescent="0.25">
      <c r="C171" s="17"/>
      <c r="D171" s="11" t="s">
        <v>26</v>
      </c>
      <c r="E171" s="54"/>
      <c r="F171" s="32" t="s">
        <v>31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L171" s="92">
        <v>0</v>
      </c>
      <c r="CM171" s="149"/>
    </row>
    <row r="172" spans="3:91 15057:15449" s="16" customFormat="1" hidden="1" x14ac:dyDescent="0.25">
      <c r="C172" s="17"/>
      <c r="D172" s="11" t="s">
        <v>37</v>
      </c>
      <c r="E172" s="54"/>
      <c r="F172" s="32" t="s">
        <v>31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L172" s="92">
        <v>0</v>
      </c>
      <c r="CM172" s="149"/>
    </row>
    <row r="173" spans="3:91 15057:15449" s="1" customFormat="1" hidden="1" x14ac:dyDescent="0.25">
      <c r="C173" s="15"/>
      <c r="D173" s="30" t="s">
        <v>28</v>
      </c>
      <c r="E173" s="61"/>
      <c r="F173" s="1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L173" s="64" t="s">
        <v>28</v>
      </c>
      <c r="CM173" s="143"/>
    </row>
    <row r="174" spans="3:91 15057:15449" s="1" customFormat="1" hidden="1" x14ac:dyDescent="0.25">
      <c r="C174" s="15"/>
      <c r="D174" s="11" t="s">
        <v>117</v>
      </c>
      <c r="E174" s="61"/>
      <c r="F174" s="20" t="s">
        <v>28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Z174" s="33">
        <v>0</v>
      </c>
      <c r="AA174" s="33">
        <v>0</v>
      </c>
      <c r="AB174" s="33">
        <v>0</v>
      </c>
      <c r="AC174" s="33">
        <v>0</v>
      </c>
      <c r="AD174" s="33">
        <v>0</v>
      </c>
      <c r="AE174" s="33">
        <v>0</v>
      </c>
      <c r="AF174" s="33">
        <v>0</v>
      </c>
      <c r="AG174" s="33">
        <v>0</v>
      </c>
      <c r="AH174" s="33">
        <v>0</v>
      </c>
      <c r="AI174" s="33">
        <v>0</v>
      </c>
      <c r="AJ174" s="33">
        <v>0</v>
      </c>
      <c r="AL174" s="64"/>
      <c r="CM174" s="143"/>
    </row>
    <row r="175" spans="3:91 15057:15449" s="1" customFormat="1" hidden="1" x14ac:dyDescent="0.25">
      <c r="C175" s="15"/>
      <c r="D175" s="11" t="s">
        <v>27</v>
      </c>
      <c r="E175" s="61"/>
      <c r="F175" s="20" t="s">
        <v>28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0</v>
      </c>
      <c r="AG175" s="33">
        <v>0</v>
      </c>
      <c r="AH175" s="33">
        <v>0</v>
      </c>
      <c r="AI175" s="33">
        <v>0</v>
      </c>
      <c r="AJ175" s="33">
        <v>0</v>
      </c>
      <c r="AL175" s="55">
        <v>0</v>
      </c>
      <c r="CM175" s="143"/>
    </row>
    <row r="176" spans="3:91 15057:15449" s="1" customFormat="1" hidden="1" x14ac:dyDescent="0.25">
      <c r="C176" s="15"/>
      <c r="D176" s="11" t="s">
        <v>26</v>
      </c>
      <c r="E176" s="61"/>
      <c r="F176" s="20" t="s">
        <v>28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0</v>
      </c>
      <c r="AC176" s="33">
        <v>0</v>
      </c>
      <c r="AD176" s="33">
        <v>0</v>
      </c>
      <c r="AE176" s="33">
        <v>0</v>
      </c>
      <c r="AF176" s="33">
        <v>0</v>
      </c>
      <c r="AG176" s="33">
        <v>0</v>
      </c>
      <c r="AH176" s="33">
        <v>0</v>
      </c>
      <c r="AI176" s="33">
        <v>0</v>
      </c>
      <c r="AJ176" s="33">
        <v>0</v>
      </c>
      <c r="AL176" s="55">
        <v>0</v>
      </c>
      <c r="CM176" s="143"/>
    </row>
    <row r="177" spans="3:91 15057:15449" s="1" customFormat="1" hidden="1" x14ac:dyDescent="0.25">
      <c r="C177" s="15"/>
      <c r="D177" s="11" t="s">
        <v>37</v>
      </c>
      <c r="E177" s="61"/>
      <c r="F177" s="20" t="s">
        <v>28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0</v>
      </c>
      <c r="AG177" s="33">
        <v>0</v>
      </c>
      <c r="AH177" s="33">
        <v>0</v>
      </c>
      <c r="AI177" s="33">
        <v>0</v>
      </c>
      <c r="AJ177" s="33">
        <v>0</v>
      </c>
      <c r="AL177" s="55">
        <v>0</v>
      </c>
      <c r="CM177" s="143"/>
    </row>
    <row r="178" spans="3:91 15057:15449" s="1" customFormat="1" hidden="1" x14ac:dyDescent="0.25">
      <c r="C178" s="15"/>
      <c r="D178" s="30" t="s">
        <v>36</v>
      </c>
      <c r="E178" s="61"/>
      <c r="F178" s="20" t="s">
        <v>35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0</v>
      </c>
      <c r="AC178" s="33">
        <v>0</v>
      </c>
      <c r="AD178" s="33">
        <v>0</v>
      </c>
      <c r="AE178" s="33">
        <v>0</v>
      </c>
      <c r="AF178" s="33">
        <v>0</v>
      </c>
      <c r="AG178" s="33">
        <v>0</v>
      </c>
      <c r="AH178" s="33">
        <v>0</v>
      </c>
      <c r="AI178" s="33">
        <v>0</v>
      </c>
      <c r="AJ178" s="33">
        <v>0</v>
      </c>
      <c r="AL178" s="55">
        <v>0</v>
      </c>
      <c r="CM178" s="143"/>
    </row>
    <row r="179" spans="3:91 15057:15449" s="1" customFormat="1" hidden="1" x14ac:dyDescent="0.25">
      <c r="C179" s="15"/>
      <c r="D179" s="30" t="s">
        <v>34</v>
      </c>
      <c r="E179" s="61"/>
      <c r="F179" s="20" t="s">
        <v>33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  <c r="AC179" s="33">
        <v>0</v>
      </c>
      <c r="AD179" s="33">
        <v>0</v>
      </c>
      <c r="AE179" s="33">
        <v>0</v>
      </c>
      <c r="AF179" s="33">
        <v>0</v>
      </c>
      <c r="AG179" s="33">
        <v>0</v>
      </c>
      <c r="AH179" s="33">
        <v>0</v>
      </c>
      <c r="AI179" s="33">
        <v>0</v>
      </c>
      <c r="AJ179" s="33">
        <v>0</v>
      </c>
      <c r="AL179" s="55">
        <v>0</v>
      </c>
      <c r="CM179" s="143"/>
    </row>
    <row r="180" spans="3:91 15057:15449" s="1" customFormat="1" hidden="1" x14ac:dyDescent="0.25">
      <c r="C180" s="8"/>
      <c r="D180" s="47" t="s">
        <v>32</v>
      </c>
      <c r="E180" s="48"/>
      <c r="F180" s="49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3"/>
      <c r="AL180" s="79" t="s">
        <v>132</v>
      </c>
      <c r="CM180" s="142"/>
      <c r="VGC180" s="46"/>
      <c r="VGD180" s="46"/>
      <c r="VGE180" s="46"/>
      <c r="VGF180" s="46"/>
      <c r="VGG180" s="46"/>
      <c r="VGH180" s="46"/>
      <c r="VGI180" s="46"/>
      <c r="VGJ180" s="46"/>
      <c r="VGK180" s="46"/>
      <c r="VGL180" s="46"/>
      <c r="VGM180" s="46"/>
      <c r="VGN180" s="46"/>
      <c r="VGO180" s="46"/>
      <c r="VGP180" s="46"/>
      <c r="VGQ180" s="46"/>
      <c r="VGR180" s="46"/>
      <c r="VGS180" s="46"/>
      <c r="VGT180" s="46"/>
      <c r="VGU180" s="46"/>
      <c r="VGV180" s="46"/>
      <c r="VGW180" s="46"/>
      <c r="VGX180" s="46"/>
      <c r="VGY180" s="46"/>
      <c r="VGZ180" s="46"/>
      <c r="VHA180" s="46"/>
      <c r="VHB180" s="46"/>
      <c r="VHC180" s="46"/>
      <c r="VHD180" s="46"/>
      <c r="VHE180" s="46"/>
      <c r="VHF180" s="46"/>
      <c r="VHG180" s="46"/>
      <c r="VHH180" s="46"/>
      <c r="VHI180" s="46"/>
      <c r="VHJ180" s="46"/>
      <c r="VHK180" s="46"/>
      <c r="VHL180" s="46"/>
      <c r="VHM180" s="46"/>
      <c r="VHN180" s="46"/>
      <c r="VHO180" s="46"/>
      <c r="VHP180" s="46"/>
      <c r="VHQ180" s="46"/>
      <c r="VHR180" s="46"/>
      <c r="VHS180" s="46"/>
      <c r="VHT180" s="46"/>
      <c r="VHU180" s="46"/>
      <c r="VHV180" s="46"/>
      <c r="VHW180" s="46"/>
      <c r="VHX180" s="46"/>
      <c r="VHY180" s="46"/>
      <c r="VHZ180" s="46"/>
      <c r="VIA180" s="46"/>
      <c r="VIB180" s="46"/>
      <c r="VIC180" s="46"/>
      <c r="VID180" s="46"/>
      <c r="VIE180" s="46"/>
      <c r="VIF180" s="46"/>
      <c r="VIG180" s="46"/>
      <c r="VIH180" s="46"/>
      <c r="VII180" s="46"/>
      <c r="VIJ180" s="46"/>
      <c r="VIK180" s="46"/>
      <c r="VIL180" s="46"/>
      <c r="VIM180" s="46"/>
      <c r="VIN180" s="46"/>
      <c r="VIO180" s="46"/>
      <c r="VIP180" s="46"/>
      <c r="VIQ180" s="46"/>
      <c r="VIR180" s="46"/>
      <c r="VIS180" s="46"/>
      <c r="VIT180" s="46"/>
      <c r="VIU180" s="46"/>
      <c r="VIV180" s="46"/>
      <c r="VIW180" s="46"/>
      <c r="VIX180" s="46"/>
      <c r="VIY180" s="46"/>
      <c r="VIZ180" s="46"/>
      <c r="VJA180" s="46"/>
      <c r="VJB180" s="46"/>
      <c r="VJC180" s="46"/>
      <c r="VJD180" s="46"/>
      <c r="VJE180" s="46"/>
      <c r="VJF180" s="46"/>
      <c r="VJG180" s="46"/>
      <c r="VJH180" s="46"/>
      <c r="VJI180" s="46"/>
      <c r="VJJ180" s="46"/>
      <c r="VJK180" s="46"/>
      <c r="VJL180" s="46"/>
      <c r="VJM180" s="46"/>
      <c r="VJN180" s="46"/>
      <c r="VJO180" s="46"/>
      <c r="VJP180" s="46"/>
      <c r="VJQ180" s="46"/>
      <c r="VJR180" s="46"/>
      <c r="VJS180" s="46"/>
      <c r="VJT180" s="46"/>
      <c r="VJU180" s="46"/>
      <c r="VJV180" s="46"/>
      <c r="VJW180" s="46"/>
      <c r="VJX180" s="46"/>
      <c r="VJY180" s="46"/>
      <c r="VJZ180" s="46"/>
      <c r="VKA180" s="46"/>
      <c r="VKB180" s="46"/>
      <c r="VKC180" s="46"/>
      <c r="VKD180" s="46"/>
      <c r="VKE180" s="46"/>
      <c r="VKF180" s="46"/>
      <c r="VKG180" s="46"/>
      <c r="VKH180" s="46"/>
      <c r="VKI180" s="46"/>
      <c r="VKJ180" s="46"/>
      <c r="VKK180" s="46"/>
      <c r="VKL180" s="46"/>
      <c r="VKM180" s="46"/>
      <c r="VKN180" s="46"/>
      <c r="VKO180" s="46"/>
      <c r="VKP180" s="46"/>
      <c r="VKQ180" s="46"/>
      <c r="VKR180" s="46"/>
      <c r="VKS180" s="46"/>
      <c r="VKT180" s="46"/>
      <c r="VKU180" s="46"/>
      <c r="VKV180" s="46"/>
      <c r="VKW180" s="46"/>
      <c r="VKX180" s="46"/>
      <c r="VKY180" s="46"/>
      <c r="VKZ180" s="46"/>
      <c r="VLA180" s="46"/>
      <c r="VLB180" s="46"/>
      <c r="VLC180" s="46"/>
      <c r="VLD180" s="46"/>
      <c r="VLE180" s="46"/>
      <c r="VLF180" s="46"/>
      <c r="VLG180" s="46"/>
      <c r="VLH180" s="46"/>
      <c r="VLI180" s="46"/>
      <c r="VLJ180" s="46"/>
      <c r="VLK180" s="46"/>
      <c r="VLL180" s="46"/>
      <c r="VLM180" s="46"/>
      <c r="VLN180" s="46"/>
      <c r="VLO180" s="46"/>
      <c r="VLP180" s="46"/>
      <c r="VLQ180" s="46"/>
      <c r="VLR180" s="46"/>
      <c r="VLS180" s="46"/>
      <c r="VLT180" s="46"/>
      <c r="VLU180" s="46"/>
      <c r="VLV180" s="46"/>
      <c r="VLW180" s="46"/>
      <c r="VLX180" s="46"/>
      <c r="VLY180" s="46"/>
      <c r="VLZ180" s="46"/>
      <c r="VMA180" s="46"/>
      <c r="VMB180" s="46"/>
      <c r="VMC180" s="46"/>
      <c r="VMD180" s="46"/>
      <c r="VME180" s="46"/>
      <c r="VMF180" s="46"/>
      <c r="VMG180" s="46"/>
      <c r="VMH180" s="46"/>
      <c r="VMI180" s="46"/>
      <c r="VMJ180" s="46"/>
      <c r="VMK180" s="46"/>
      <c r="VML180" s="46"/>
      <c r="VMM180" s="46"/>
      <c r="VMN180" s="46"/>
      <c r="VMO180" s="46"/>
      <c r="VMP180" s="46"/>
      <c r="VMQ180" s="46"/>
      <c r="VMR180" s="46"/>
      <c r="VMS180" s="46"/>
      <c r="VMT180" s="46"/>
      <c r="VMU180" s="46"/>
      <c r="VMV180" s="46"/>
      <c r="VMW180" s="46"/>
      <c r="VMX180" s="46"/>
      <c r="VMY180" s="46"/>
      <c r="VMZ180" s="46"/>
      <c r="VNA180" s="46"/>
      <c r="VNB180" s="46"/>
      <c r="VNC180" s="46"/>
      <c r="VND180" s="46"/>
      <c r="VNE180" s="46"/>
      <c r="VNF180" s="46"/>
      <c r="VNG180" s="46"/>
      <c r="VNH180" s="46"/>
      <c r="VNI180" s="46"/>
      <c r="VNJ180" s="46"/>
      <c r="VNK180" s="46"/>
      <c r="VNL180" s="46"/>
      <c r="VNM180" s="46"/>
      <c r="VNN180" s="46"/>
      <c r="VNO180" s="46"/>
      <c r="VNP180" s="46"/>
      <c r="VNQ180" s="46"/>
      <c r="VNR180" s="46"/>
      <c r="VNS180" s="46"/>
      <c r="VNT180" s="46"/>
      <c r="VNU180" s="46"/>
      <c r="VNV180" s="46"/>
      <c r="VNW180" s="46"/>
      <c r="VNX180" s="46"/>
      <c r="VNY180" s="46"/>
      <c r="VNZ180" s="46"/>
      <c r="VOA180" s="46"/>
      <c r="VOB180" s="46"/>
      <c r="VOC180" s="46"/>
      <c r="VOD180" s="46"/>
      <c r="VOE180" s="46"/>
      <c r="VOF180" s="46"/>
      <c r="VOG180" s="46"/>
      <c r="VOH180" s="46"/>
      <c r="VOI180" s="46"/>
      <c r="VOJ180" s="46"/>
      <c r="VOK180" s="46"/>
      <c r="VOL180" s="46"/>
      <c r="VOM180" s="46"/>
      <c r="VON180" s="46"/>
      <c r="VOO180" s="46"/>
      <c r="VOP180" s="46"/>
      <c r="VOQ180" s="46"/>
      <c r="VOR180" s="46"/>
      <c r="VOS180" s="46"/>
      <c r="VOT180" s="46"/>
      <c r="VOU180" s="46"/>
      <c r="VOV180" s="46"/>
      <c r="VOW180" s="46"/>
      <c r="VOX180" s="46"/>
      <c r="VOY180" s="46"/>
      <c r="VOZ180" s="46"/>
      <c r="VPA180" s="46"/>
      <c r="VPB180" s="46"/>
      <c r="VPC180" s="46"/>
      <c r="VPD180" s="46"/>
      <c r="VPE180" s="46"/>
      <c r="VPF180" s="46"/>
      <c r="VPG180" s="46"/>
      <c r="VPH180" s="46"/>
      <c r="VPI180" s="46"/>
      <c r="VPJ180" s="46"/>
      <c r="VPK180" s="46"/>
      <c r="VPL180" s="46"/>
      <c r="VPM180" s="46"/>
      <c r="VPN180" s="46"/>
      <c r="VPO180" s="46"/>
      <c r="VPP180" s="46"/>
      <c r="VPQ180" s="46"/>
      <c r="VPR180" s="46"/>
      <c r="VPS180" s="46"/>
      <c r="VPT180" s="46"/>
      <c r="VPU180" s="46"/>
      <c r="VPV180" s="46"/>
      <c r="VPW180" s="46"/>
      <c r="VPX180" s="46"/>
      <c r="VPY180" s="46"/>
      <c r="VPZ180" s="46"/>
      <c r="VQA180" s="46"/>
      <c r="VQB180" s="46"/>
      <c r="VQC180" s="46"/>
      <c r="VQD180" s="46"/>
      <c r="VQE180" s="46"/>
      <c r="VQF180" s="46"/>
      <c r="VQG180" s="46"/>
      <c r="VQH180" s="46"/>
      <c r="VQI180" s="46"/>
      <c r="VQJ180" s="46"/>
      <c r="VQK180" s="46"/>
      <c r="VQL180" s="46"/>
      <c r="VQM180" s="46"/>
      <c r="VQN180" s="46"/>
      <c r="VQO180" s="46"/>
      <c r="VQP180" s="46"/>
      <c r="VQQ180" s="46"/>
      <c r="VQR180" s="46"/>
      <c r="VQS180" s="46"/>
      <c r="VQT180" s="46"/>
      <c r="VQU180" s="46"/>
      <c r="VQV180" s="46"/>
      <c r="VQW180" s="46"/>
      <c r="VQX180" s="46"/>
      <c r="VQY180" s="46"/>
      <c r="VQZ180" s="46"/>
      <c r="VRA180" s="46"/>
      <c r="VRB180" s="46"/>
      <c r="VRC180" s="46"/>
      <c r="VRD180" s="46"/>
      <c r="VRE180" s="46"/>
      <c r="VRF180" s="46"/>
      <c r="VRG180" s="46"/>
      <c r="VRH180" s="46"/>
      <c r="VRI180" s="46"/>
      <c r="VRJ180" s="46"/>
      <c r="VRK180" s="46"/>
      <c r="VRL180" s="46"/>
      <c r="VRM180" s="46"/>
      <c r="VRN180" s="46"/>
      <c r="VRO180" s="46"/>
      <c r="VRP180" s="46"/>
      <c r="VRQ180" s="46"/>
      <c r="VRR180" s="46"/>
      <c r="VRS180" s="46"/>
      <c r="VRT180" s="46"/>
      <c r="VRU180" s="46"/>
      <c r="VRV180" s="46"/>
      <c r="VRW180" s="46"/>
      <c r="VRX180" s="46"/>
      <c r="VRY180" s="46"/>
      <c r="VRZ180" s="46"/>
      <c r="VSA180" s="46"/>
      <c r="VSB180" s="46"/>
      <c r="VSC180" s="46"/>
      <c r="VSD180" s="46"/>
      <c r="VSE180" s="46"/>
      <c r="VSF180" s="46"/>
      <c r="VSG180" s="46"/>
      <c r="VSH180" s="46"/>
      <c r="VSI180" s="46"/>
      <c r="VSJ180" s="46"/>
      <c r="VSK180" s="46"/>
      <c r="VSL180" s="46"/>
      <c r="VSM180" s="46"/>
      <c r="VSN180" s="46"/>
      <c r="VSO180" s="46"/>
      <c r="VSP180" s="46"/>
      <c r="VSQ180" s="46"/>
      <c r="VSR180" s="46"/>
      <c r="VSS180" s="46"/>
      <c r="VST180" s="46"/>
      <c r="VSU180" s="46"/>
      <c r="VSV180" s="46"/>
      <c r="VSW180" s="46"/>
      <c r="VSX180" s="46"/>
      <c r="VSY180" s="46"/>
      <c r="VSZ180" s="46"/>
      <c r="VTA180" s="46"/>
      <c r="VTB180" s="46"/>
      <c r="VTC180" s="46"/>
      <c r="VTD180" s="46"/>
      <c r="VTE180" s="46"/>
      <c r="VTF180" s="46"/>
      <c r="VTG180" s="46"/>
      <c r="VTH180" s="46"/>
      <c r="VTI180" s="46"/>
      <c r="VTJ180" s="46"/>
      <c r="VTK180" s="46"/>
      <c r="VTL180" s="46"/>
      <c r="VTM180" s="46"/>
      <c r="VTN180" s="46"/>
      <c r="VTO180" s="46"/>
      <c r="VTP180" s="46"/>
      <c r="VTQ180" s="46"/>
      <c r="VTR180" s="46"/>
      <c r="VTS180" s="46"/>
      <c r="VTT180" s="46"/>
      <c r="VTU180" s="46"/>
      <c r="VTV180" s="46"/>
      <c r="VTW180" s="46"/>
      <c r="VTX180" s="46"/>
      <c r="VTY180" s="46"/>
      <c r="VTZ180" s="46"/>
      <c r="VUA180" s="46"/>
      <c r="VUB180" s="46"/>
      <c r="VUC180" s="46"/>
      <c r="VUD180" s="46"/>
      <c r="VUE180" s="46"/>
      <c r="VUF180" s="46"/>
      <c r="VUG180" s="46"/>
      <c r="VUH180" s="46"/>
      <c r="VUI180" s="46"/>
      <c r="VUJ180" s="46"/>
      <c r="VUK180" s="46"/>
      <c r="VUL180" s="46"/>
      <c r="VUM180" s="46"/>
      <c r="VUN180" s="46"/>
      <c r="VUO180" s="46"/>
      <c r="VUP180" s="46"/>
      <c r="VUQ180" s="46"/>
      <c r="VUR180" s="46"/>
      <c r="VUS180" s="46"/>
      <c r="VUT180" s="46"/>
      <c r="VUU180" s="46"/>
      <c r="VUV180" s="46"/>
      <c r="VUW180" s="46"/>
      <c r="VUX180" s="46"/>
      <c r="VUY180" s="46"/>
      <c r="VUZ180" s="46"/>
      <c r="VVA180" s="46"/>
      <c r="VVB180" s="46"/>
      <c r="VVC180" s="46"/>
      <c r="VVD180" s="46"/>
      <c r="VVE180" s="46"/>
    </row>
    <row r="181" spans="3:91 15057:15449" s="1" customFormat="1" hidden="1" x14ac:dyDescent="0.25">
      <c r="C181" s="15"/>
      <c r="D181" s="30" t="s">
        <v>29</v>
      </c>
      <c r="E181" s="61"/>
      <c r="F181" s="1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L181" s="64" t="s">
        <v>29</v>
      </c>
      <c r="CM181" s="143"/>
    </row>
    <row r="182" spans="3:91 15057:15449" s="1" customFormat="1" hidden="1" x14ac:dyDescent="0.25">
      <c r="C182" s="15"/>
      <c r="D182" s="11" t="s">
        <v>117</v>
      </c>
      <c r="E182" s="61"/>
      <c r="F182" s="20" t="s">
        <v>31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>
        <v>0</v>
      </c>
      <c r="AJ182" s="33">
        <v>0</v>
      </c>
      <c r="AL182" s="64"/>
      <c r="CM182" s="143"/>
    </row>
    <row r="183" spans="3:91 15057:15449" s="1" customFormat="1" hidden="1" x14ac:dyDescent="0.25">
      <c r="C183" s="15"/>
      <c r="D183" s="11" t="s">
        <v>27</v>
      </c>
      <c r="E183" s="61"/>
      <c r="F183" s="20" t="s">
        <v>31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>
        <v>0</v>
      </c>
      <c r="AJ183" s="33">
        <v>0</v>
      </c>
      <c r="AL183" s="55">
        <v>0</v>
      </c>
      <c r="CM183" s="143"/>
    </row>
    <row r="184" spans="3:91 15057:15449" s="1" customFormat="1" hidden="1" x14ac:dyDescent="0.25">
      <c r="C184" s="15"/>
      <c r="D184" s="11" t="s">
        <v>26</v>
      </c>
      <c r="E184" s="61"/>
      <c r="F184" s="20" t="s">
        <v>31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>
        <v>0</v>
      </c>
      <c r="AJ184" s="33">
        <v>0</v>
      </c>
      <c r="AL184" s="55">
        <v>0</v>
      </c>
      <c r="CM184" s="143"/>
    </row>
    <row r="185" spans="3:91 15057:15449" s="1" customFormat="1" hidden="1" x14ac:dyDescent="0.25">
      <c r="C185" s="15"/>
      <c r="D185" s="30" t="s">
        <v>28</v>
      </c>
      <c r="E185" s="61"/>
      <c r="F185" s="1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L185" s="64" t="s">
        <v>28</v>
      </c>
      <c r="CM185" s="143"/>
    </row>
    <row r="186" spans="3:91 15057:15449" s="1" customFormat="1" hidden="1" x14ac:dyDescent="0.25">
      <c r="C186" s="15"/>
      <c r="D186" s="11" t="s">
        <v>117</v>
      </c>
      <c r="E186" s="61"/>
      <c r="F186" s="20" t="s">
        <v>28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>
        <v>0</v>
      </c>
      <c r="AJ186" s="33">
        <v>0</v>
      </c>
      <c r="AL186" s="64"/>
      <c r="CM186" s="143"/>
    </row>
    <row r="187" spans="3:91 15057:15449" s="1" customFormat="1" hidden="1" x14ac:dyDescent="0.25">
      <c r="C187" s="15"/>
      <c r="D187" s="11" t="s">
        <v>27</v>
      </c>
      <c r="E187" s="61"/>
      <c r="F187" s="20" t="s">
        <v>28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>
        <v>0</v>
      </c>
      <c r="AJ187" s="33">
        <v>0</v>
      </c>
      <c r="AL187" s="55">
        <v>0</v>
      </c>
      <c r="CM187" s="143"/>
    </row>
    <row r="188" spans="3:91 15057:15449" s="1" customFormat="1" hidden="1" x14ac:dyDescent="0.25">
      <c r="C188" s="15"/>
      <c r="D188" s="11" t="s">
        <v>26</v>
      </c>
      <c r="E188" s="61"/>
      <c r="F188" s="20" t="s">
        <v>28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>
        <v>0</v>
      </c>
      <c r="AJ188" s="33">
        <v>0</v>
      </c>
      <c r="AL188" s="55">
        <v>0</v>
      </c>
      <c r="CM188" s="143"/>
    </row>
    <row r="189" spans="3:91 15057:15449" s="1" customFormat="1" hidden="1" x14ac:dyDescent="0.25">
      <c r="C189" s="8"/>
      <c r="D189" s="47" t="s">
        <v>30</v>
      </c>
      <c r="E189" s="48"/>
      <c r="F189" s="49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3"/>
      <c r="AL189" s="79" t="s">
        <v>132</v>
      </c>
      <c r="CM189" s="142"/>
      <c r="VGC189" s="46"/>
      <c r="VGD189" s="46"/>
      <c r="VGE189" s="46"/>
      <c r="VGF189" s="46"/>
      <c r="VGG189" s="46"/>
      <c r="VGH189" s="46"/>
      <c r="VGI189" s="46"/>
      <c r="VGJ189" s="46"/>
      <c r="VGK189" s="46"/>
      <c r="VGL189" s="46"/>
      <c r="VGM189" s="46"/>
      <c r="VGN189" s="46"/>
      <c r="VGO189" s="46"/>
      <c r="VGP189" s="46"/>
      <c r="VGQ189" s="46"/>
      <c r="VGR189" s="46"/>
      <c r="VGS189" s="46"/>
      <c r="VGT189" s="46"/>
      <c r="VGU189" s="46"/>
      <c r="VGV189" s="46"/>
      <c r="VGW189" s="46"/>
      <c r="VGX189" s="46"/>
      <c r="VGY189" s="46"/>
      <c r="VGZ189" s="46"/>
      <c r="VHA189" s="46"/>
      <c r="VHB189" s="46"/>
      <c r="VHC189" s="46"/>
      <c r="VHD189" s="46"/>
      <c r="VHE189" s="46"/>
      <c r="VHF189" s="46"/>
      <c r="VHG189" s="46"/>
      <c r="VHH189" s="46"/>
      <c r="VHI189" s="46"/>
      <c r="VHJ189" s="46"/>
      <c r="VHK189" s="46"/>
      <c r="VHL189" s="46"/>
      <c r="VHM189" s="46"/>
      <c r="VHN189" s="46"/>
      <c r="VHO189" s="46"/>
      <c r="VHP189" s="46"/>
      <c r="VHQ189" s="46"/>
      <c r="VHR189" s="46"/>
      <c r="VHS189" s="46"/>
      <c r="VHT189" s="46"/>
      <c r="VHU189" s="46"/>
      <c r="VHV189" s="46"/>
      <c r="VHW189" s="46"/>
      <c r="VHX189" s="46"/>
      <c r="VHY189" s="46"/>
      <c r="VHZ189" s="46"/>
      <c r="VIA189" s="46"/>
      <c r="VIB189" s="46"/>
      <c r="VIC189" s="46"/>
      <c r="VID189" s="46"/>
      <c r="VIE189" s="46"/>
      <c r="VIF189" s="46"/>
      <c r="VIG189" s="46"/>
      <c r="VIH189" s="46"/>
      <c r="VII189" s="46"/>
      <c r="VIJ189" s="46"/>
      <c r="VIK189" s="46"/>
      <c r="VIL189" s="46"/>
      <c r="VIM189" s="46"/>
      <c r="VIN189" s="46"/>
      <c r="VIO189" s="46"/>
      <c r="VIP189" s="46"/>
      <c r="VIQ189" s="46"/>
      <c r="VIR189" s="46"/>
      <c r="VIS189" s="46"/>
      <c r="VIT189" s="46"/>
      <c r="VIU189" s="46"/>
      <c r="VIV189" s="46"/>
      <c r="VIW189" s="46"/>
      <c r="VIX189" s="46"/>
      <c r="VIY189" s="46"/>
      <c r="VIZ189" s="46"/>
      <c r="VJA189" s="46"/>
      <c r="VJB189" s="46"/>
      <c r="VJC189" s="46"/>
      <c r="VJD189" s="46"/>
      <c r="VJE189" s="46"/>
      <c r="VJF189" s="46"/>
      <c r="VJG189" s="46"/>
      <c r="VJH189" s="46"/>
      <c r="VJI189" s="46"/>
      <c r="VJJ189" s="46"/>
      <c r="VJK189" s="46"/>
      <c r="VJL189" s="46"/>
      <c r="VJM189" s="46"/>
      <c r="VJN189" s="46"/>
      <c r="VJO189" s="46"/>
      <c r="VJP189" s="46"/>
      <c r="VJQ189" s="46"/>
      <c r="VJR189" s="46"/>
      <c r="VJS189" s="46"/>
      <c r="VJT189" s="46"/>
      <c r="VJU189" s="46"/>
      <c r="VJV189" s="46"/>
      <c r="VJW189" s="46"/>
      <c r="VJX189" s="46"/>
      <c r="VJY189" s="46"/>
      <c r="VJZ189" s="46"/>
      <c r="VKA189" s="46"/>
      <c r="VKB189" s="46"/>
      <c r="VKC189" s="46"/>
      <c r="VKD189" s="46"/>
      <c r="VKE189" s="46"/>
      <c r="VKF189" s="46"/>
      <c r="VKG189" s="46"/>
      <c r="VKH189" s="46"/>
      <c r="VKI189" s="46"/>
      <c r="VKJ189" s="46"/>
      <c r="VKK189" s="46"/>
      <c r="VKL189" s="46"/>
      <c r="VKM189" s="46"/>
      <c r="VKN189" s="46"/>
      <c r="VKO189" s="46"/>
      <c r="VKP189" s="46"/>
      <c r="VKQ189" s="46"/>
      <c r="VKR189" s="46"/>
      <c r="VKS189" s="46"/>
      <c r="VKT189" s="46"/>
      <c r="VKU189" s="46"/>
      <c r="VKV189" s="46"/>
      <c r="VKW189" s="46"/>
      <c r="VKX189" s="46"/>
      <c r="VKY189" s="46"/>
      <c r="VKZ189" s="46"/>
      <c r="VLA189" s="46"/>
      <c r="VLB189" s="46"/>
      <c r="VLC189" s="46"/>
      <c r="VLD189" s="46"/>
      <c r="VLE189" s="46"/>
      <c r="VLF189" s="46"/>
      <c r="VLG189" s="46"/>
      <c r="VLH189" s="46"/>
      <c r="VLI189" s="46"/>
      <c r="VLJ189" s="46"/>
      <c r="VLK189" s="46"/>
      <c r="VLL189" s="46"/>
      <c r="VLM189" s="46"/>
      <c r="VLN189" s="46"/>
      <c r="VLO189" s="46"/>
      <c r="VLP189" s="46"/>
      <c r="VLQ189" s="46"/>
      <c r="VLR189" s="46"/>
      <c r="VLS189" s="46"/>
      <c r="VLT189" s="46"/>
      <c r="VLU189" s="46"/>
      <c r="VLV189" s="46"/>
      <c r="VLW189" s="46"/>
      <c r="VLX189" s="46"/>
      <c r="VLY189" s="46"/>
      <c r="VLZ189" s="46"/>
      <c r="VMA189" s="46"/>
      <c r="VMB189" s="46"/>
      <c r="VMC189" s="46"/>
      <c r="VMD189" s="46"/>
      <c r="VME189" s="46"/>
      <c r="VMF189" s="46"/>
      <c r="VMG189" s="46"/>
      <c r="VMH189" s="46"/>
      <c r="VMI189" s="46"/>
      <c r="VMJ189" s="46"/>
      <c r="VMK189" s="46"/>
      <c r="VML189" s="46"/>
      <c r="VMM189" s="46"/>
      <c r="VMN189" s="46"/>
      <c r="VMO189" s="46"/>
      <c r="VMP189" s="46"/>
      <c r="VMQ189" s="46"/>
      <c r="VMR189" s="46"/>
      <c r="VMS189" s="46"/>
      <c r="VMT189" s="46"/>
      <c r="VMU189" s="46"/>
      <c r="VMV189" s="46"/>
      <c r="VMW189" s="46"/>
      <c r="VMX189" s="46"/>
      <c r="VMY189" s="46"/>
      <c r="VMZ189" s="46"/>
      <c r="VNA189" s="46"/>
      <c r="VNB189" s="46"/>
      <c r="VNC189" s="46"/>
      <c r="VND189" s="46"/>
      <c r="VNE189" s="46"/>
      <c r="VNF189" s="46"/>
      <c r="VNG189" s="46"/>
      <c r="VNH189" s="46"/>
      <c r="VNI189" s="46"/>
      <c r="VNJ189" s="46"/>
      <c r="VNK189" s="46"/>
      <c r="VNL189" s="46"/>
      <c r="VNM189" s="46"/>
      <c r="VNN189" s="46"/>
      <c r="VNO189" s="46"/>
      <c r="VNP189" s="46"/>
      <c r="VNQ189" s="46"/>
      <c r="VNR189" s="46"/>
      <c r="VNS189" s="46"/>
      <c r="VNT189" s="46"/>
      <c r="VNU189" s="46"/>
      <c r="VNV189" s="46"/>
      <c r="VNW189" s="46"/>
      <c r="VNX189" s="46"/>
      <c r="VNY189" s="46"/>
      <c r="VNZ189" s="46"/>
      <c r="VOA189" s="46"/>
      <c r="VOB189" s="46"/>
      <c r="VOC189" s="46"/>
      <c r="VOD189" s="46"/>
      <c r="VOE189" s="46"/>
      <c r="VOF189" s="46"/>
      <c r="VOG189" s="46"/>
      <c r="VOH189" s="46"/>
      <c r="VOI189" s="46"/>
      <c r="VOJ189" s="46"/>
      <c r="VOK189" s="46"/>
      <c r="VOL189" s="46"/>
      <c r="VOM189" s="46"/>
      <c r="VON189" s="46"/>
      <c r="VOO189" s="46"/>
      <c r="VOP189" s="46"/>
      <c r="VOQ189" s="46"/>
      <c r="VOR189" s="46"/>
      <c r="VOS189" s="46"/>
      <c r="VOT189" s="46"/>
      <c r="VOU189" s="46"/>
      <c r="VOV189" s="46"/>
      <c r="VOW189" s="46"/>
      <c r="VOX189" s="46"/>
      <c r="VOY189" s="46"/>
      <c r="VOZ189" s="46"/>
      <c r="VPA189" s="46"/>
      <c r="VPB189" s="46"/>
      <c r="VPC189" s="46"/>
      <c r="VPD189" s="46"/>
      <c r="VPE189" s="46"/>
      <c r="VPF189" s="46"/>
      <c r="VPG189" s="46"/>
      <c r="VPH189" s="46"/>
      <c r="VPI189" s="46"/>
      <c r="VPJ189" s="46"/>
      <c r="VPK189" s="46"/>
      <c r="VPL189" s="46"/>
      <c r="VPM189" s="46"/>
      <c r="VPN189" s="46"/>
      <c r="VPO189" s="46"/>
      <c r="VPP189" s="46"/>
      <c r="VPQ189" s="46"/>
      <c r="VPR189" s="46"/>
      <c r="VPS189" s="46"/>
      <c r="VPT189" s="46"/>
      <c r="VPU189" s="46"/>
      <c r="VPV189" s="46"/>
      <c r="VPW189" s="46"/>
      <c r="VPX189" s="46"/>
      <c r="VPY189" s="46"/>
      <c r="VPZ189" s="46"/>
      <c r="VQA189" s="46"/>
      <c r="VQB189" s="46"/>
      <c r="VQC189" s="46"/>
      <c r="VQD189" s="46"/>
      <c r="VQE189" s="46"/>
      <c r="VQF189" s="46"/>
      <c r="VQG189" s="46"/>
      <c r="VQH189" s="46"/>
      <c r="VQI189" s="46"/>
      <c r="VQJ189" s="46"/>
      <c r="VQK189" s="46"/>
      <c r="VQL189" s="46"/>
      <c r="VQM189" s="46"/>
      <c r="VQN189" s="46"/>
      <c r="VQO189" s="46"/>
      <c r="VQP189" s="46"/>
      <c r="VQQ189" s="46"/>
      <c r="VQR189" s="46"/>
      <c r="VQS189" s="46"/>
      <c r="VQT189" s="46"/>
      <c r="VQU189" s="46"/>
      <c r="VQV189" s="46"/>
      <c r="VQW189" s="46"/>
      <c r="VQX189" s="46"/>
      <c r="VQY189" s="46"/>
      <c r="VQZ189" s="46"/>
      <c r="VRA189" s="46"/>
      <c r="VRB189" s="46"/>
      <c r="VRC189" s="46"/>
      <c r="VRD189" s="46"/>
      <c r="VRE189" s="46"/>
      <c r="VRF189" s="46"/>
      <c r="VRG189" s="46"/>
      <c r="VRH189" s="46"/>
      <c r="VRI189" s="46"/>
      <c r="VRJ189" s="46"/>
      <c r="VRK189" s="46"/>
      <c r="VRL189" s="46"/>
      <c r="VRM189" s="46"/>
      <c r="VRN189" s="46"/>
      <c r="VRO189" s="46"/>
      <c r="VRP189" s="46"/>
      <c r="VRQ189" s="46"/>
      <c r="VRR189" s="46"/>
      <c r="VRS189" s="46"/>
      <c r="VRT189" s="46"/>
      <c r="VRU189" s="46"/>
      <c r="VRV189" s="46"/>
      <c r="VRW189" s="46"/>
      <c r="VRX189" s="46"/>
      <c r="VRY189" s="46"/>
      <c r="VRZ189" s="46"/>
      <c r="VSA189" s="46"/>
      <c r="VSB189" s="46"/>
      <c r="VSC189" s="46"/>
      <c r="VSD189" s="46"/>
      <c r="VSE189" s="46"/>
      <c r="VSF189" s="46"/>
      <c r="VSG189" s="46"/>
      <c r="VSH189" s="46"/>
      <c r="VSI189" s="46"/>
      <c r="VSJ189" s="46"/>
      <c r="VSK189" s="46"/>
      <c r="VSL189" s="46"/>
      <c r="VSM189" s="46"/>
      <c r="VSN189" s="46"/>
      <c r="VSO189" s="46"/>
      <c r="VSP189" s="46"/>
      <c r="VSQ189" s="46"/>
      <c r="VSR189" s="46"/>
      <c r="VSS189" s="46"/>
      <c r="VST189" s="46"/>
      <c r="VSU189" s="46"/>
      <c r="VSV189" s="46"/>
      <c r="VSW189" s="46"/>
      <c r="VSX189" s="46"/>
      <c r="VSY189" s="46"/>
      <c r="VSZ189" s="46"/>
      <c r="VTA189" s="46"/>
      <c r="VTB189" s="46"/>
      <c r="VTC189" s="46"/>
      <c r="VTD189" s="46"/>
      <c r="VTE189" s="46"/>
      <c r="VTF189" s="46"/>
      <c r="VTG189" s="46"/>
      <c r="VTH189" s="46"/>
      <c r="VTI189" s="46"/>
      <c r="VTJ189" s="46"/>
      <c r="VTK189" s="46"/>
      <c r="VTL189" s="46"/>
      <c r="VTM189" s="46"/>
      <c r="VTN189" s="46"/>
      <c r="VTO189" s="46"/>
      <c r="VTP189" s="46"/>
      <c r="VTQ189" s="46"/>
      <c r="VTR189" s="46"/>
      <c r="VTS189" s="46"/>
      <c r="VTT189" s="46"/>
      <c r="VTU189" s="46"/>
      <c r="VTV189" s="46"/>
      <c r="VTW189" s="46"/>
      <c r="VTX189" s="46"/>
      <c r="VTY189" s="46"/>
      <c r="VTZ189" s="46"/>
      <c r="VUA189" s="46"/>
      <c r="VUB189" s="46"/>
      <c r="VUC189" s="46"/>
      <c r="VUD189" s="46"/>
      <c r="VUE189" s="46"/>
      <c r="VUF189" s="46"/>
      <c r="VUG189" s="46"/>
      <c r="VUH189" s="46"/>
      <c r="VUI189" s="46"/>
      <c r="VUJ189" s="46"/>
      <c r="VUK189" s="46"/>
      <c r="VUL189" s="46"/>
      <c r="VUM189" s="46"/>
      <c r="VUN189" s="46"/>
      <c r="VUO189" s="46"/>
      <c r="VUP189" s="46"/>
      <c r="VUQ189" s="46"/>
      <c r="VUR189" s="46"/>
      <c r="VUS189" s="46"/>
      <c r="VUT189" s="46"/>
      <c r="VUU189" s="46"/>
      <c r="VUV189" s="46"/>
      <c r="VUW189" s="46"/>
      <c r="VUX189" s="46"/>
      <c r="VUY189" s="46"/>
      <c r="VUZ189" s="46"/>
      <c r="VVA189" s="46"/>
      <c r="VVB189" s="46"/>
      <c r="VVC189" s="46"/>
      <c r="VVD189" s="46"/>
      <c r="VVE189" s="46"/>
    </row>
    <row r="190" spans="3:91 15057:15449" s="1" customFormat="1" hidden="1" x14ac:dyDescent="0.25">
      <c r="C190" s="15"/>
      <c r="D190" s="30" t="s">
        <v>29</v>
      </c>
      <c r="E190" s="61"/>
      <c r="F190" s="1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L190" s="64" t="s">
        <v>29</v>
      </c>
      <c r="CM190" s="143"/>
    </row>
    <row r="191" spans="3:91 15057:15449" s="1" customFormat="1" hidden="1" x14ac:dyDescent="0.25">
      <c r="C191" s="15"/>
      <c r="D191" s="11" t="s">
        <v>117</v>
      </c>
      <c r="E191" s="127">
        <v>0.3</v>
      </c>
      <c r="F191" s="20" t="s">
        <v>25</v>
      </c>
      <c r="G191" s="34" t="e">
        <v>#DIV/0!</v>
      </c>
      <c r="H191" s="34" t="e">
        <v>#DIV/0!</v>
      </c>
      <c r="I191" s="34" t="e">
        <v>#DIV/0!</v>
      </c>
      <c r="J191" s="34" t="e">
        <v>#DIV/0!</v>
      </c>
      <c r="K191" s="34" t="e">
        <v>#DIV/0!</v>
      </c>
      <c r="L191" s="34" t="e">
        <v>#DIV/0!</v>
      </c>
      <c r="M191" s="34" t="e">
        <v>#DIV/0!</v>
      </c>
      <c r="N191" s="34" t="e">
        <v>#DIV/0!</v>
      </c>
      <c r="O191" s="34" t="e">
        <v>#DIV/0!</v>
      </c>
      <c r="P191" s="34" t="e">
        <v>#DIV/0!</v>
      </c>
      <c r="Q191" s="34" t="e">
        <v>#DIV/0!</v>
      </c>
      <c r="R191" s="34" t="e">
        <v>#DIV/0!</v>
      </c>
      <c r="S191" s="34" t="e">
        <v>#DIV/0!</v>
      </c>
      <c r="T191" s="34" t="e">
        <v>#DIV/0!</v>
      </c>
      <c r="U191" s="34" t="e">
        <v>#DIV/0!</v>
      </c>
      <c r="V191" s="34" t="e">
        <v>#DIV/0!</v>
      </c>
      <c r="W191" s="34" t="e">
        <v>#DIV/0!</v>
      </c>
      <c r="X191" s="34" t="e">
        <v>#DIV/0!</v>
      </c>
      <c r="Y191" s="34" t="e">
        <v>#DIV/0!</v>
      </c>
      <c r="Z191" s="34" t="e">
        <v>#DIV/0!</v>
      </c>
      <c r="AA191" s="34" t="e">
        <v>#DIV/0!</v>
      </c>
      <c r="AB191" s="34" t="e">
        <v>#DIV/0!</v>
      </c>
      <c r="AC191" s="34" t="e">
        <v>#DIV/0!</v>
      </c>
      <c r="AD191" s="34" t="e">
        <v>#DIV/0!</v>
      </c>
      <c r="AE191" s="34" t="e">
        <v>#DIV/0!</v>
      </c>
      <c r="AF191" s="34" t="e">
        <v>#DIV/0!</v>
      </c>
      <c r="AG191" s="34" t="e">
        <v>#DIV/0!</v>
      </c>
      <c r="AH191" s="34" t="e">
        <v>#DIV/0!</v>
      </c>
      <c r="AI191" s="34" t="e">
        <v>#DIV/0!</v>
      </c>
      <c r="AJ191" s="34" t="e">
        <v>#DIV/0!</v>
      </c>
      <c r="AL191" s="64"/>
      <c r="CM191" s="143"/>
    </row>
    <row r="192" spans="3:91 15057:15449" s="1" customFormat="1" hidden="1" x14ac:dyDescent="0.25">
      <c r="C192" s="15"/>
      <c r="D192" s="11" t="s">
        <v>27</v>
      </c>
      <c r="E192" s="127">
        <v>0.3</v>
      </c>
      <c r="F192" s="20" t="s">
        <v>25</v>
      </c>
      <c r="G192" s="34" t="e">
        <v>#DIV/0!</v>
      </c>
      <c r="H192" s="34" t="e">
        <v>#DIV/0!</v>
      </c>
      <c r="I192" s="34" t="e">
        <v>#DIV/0!</v>
      </c>
      <c r="J192" s="34" t="e">
        <v>#DIV/0!</v>
      </c>
      <c r="K192" s="34" t="e">
        <v>#DIV/0!</v>
      </c>
      <c r="L192" s="34" t="e">
        <v>#DIV/0!</v>
      </c>
      <c r="M192" s="34" t="e">
        <v>#DIV/0!</v>
      </c>
      <c r="N192" s="34" t="e">
        <v>#DIV/0!</v>
      </c>
      <c r="O192" s="34" t="e">
        <v>#DIV/0!</v>
      </c>
      <c r="P192" s="34" t="e">
        <v>#DIV/0!</v>
      </c>
      <c r="Q192" s="34" t="e">
        <v>#DIV/0!</v>
      </c>
      <c r="R192" s="34" t="e">
        <v>#DIV/0!</v>
      </c>
      <c r="S192" s="34" t="e">
        <v>#DIV/0!</v>
      </c>
      <c r="T192" s="34" t="e">
        <v>#DIV/0!</v>
      </c>
      <c r="U192" s="34" t="e">
        <v>#DIV/0!</v>
      </c>
      <c r="V192" s="34" t="e">
        <v>#DIV/0!</v>
      </c>
      <c r="W192" s="34" t="e">
        <v>#DIV/0!</v>
      </c>
      <c r="X192" s="34" t="e">
        <v>#DIV/0!</v>
      </c>
      <c r="Y192" s="34" t="e">
        <v>#DIV/0!</v>
      </c>
      <c r="Z192" s="34" t="e">
        <v>#DIV/0!</v>
      </c>
      <c r="AA192" s="34" t="e">
        <v>#DIV/0!</v>
      </c>
      <c r="AB192" s="34" t="e">
        <v>#DIV/0!</v>
      </c>
      <c r="AC192" s="34" t="e">
        <v>#DIV/0!</v>
      </c>
      <c r="AD192" s="34" t="e">
        <v>#DIV/0!</v>
      </c>
      <c r="AE192" s="34" t="e">
        <v>#DIV/0!</v>
      </c>
      <c r="AF192" s="34" t="e">
        <v>#DIV/0!</v>
      </c>
      <c r="AG192" s="34" t="e">
        <v>#DIV/0!</v>
      </c>
      <c r="AH192" s="34" t="e">
        <v>#DIV/0!</v>
      </c>
      <c r="AI192" s="34" t="e">
        <v>#DIV/0!</v>
      </c>
      <c r="AJ192" s="34" t="e">
        <v>#DIV/0!</v>
      </c>
      <c r="AL192" s="59" t="e">
        <v>#DIV/0!</v>
      </c>
      <c r="CM192" s="143"/>
    </row>
    <row r="193" spans="3:91" s="1" customFormat="1" hidden="1" x14ac:dyDescent="0.25">
      <c r="C193" s="15"/>
      <c r="D193" s="11" t="s">
        <v>26</v>
      </c>
      <c r="E193" s="127">
        <v>0.3</v>
      </c>
      <c r="F193" s="20" t="s">
        <v>25</v>
      </c>
      <c r="G193" s="34" t="e">
        <v>#DIV/0!</v>
      </c>
      <c r="H193" s="34" t="e">
        <v>#DIV/0!</v>
      </c>
      <c r="I193" s="34" t="e">
        <v>#DIV/0!</v>
      </c>
      <c r="J193" s="34" t="e">
        <v>#DIV/0!</v>
      </c>
      <c r="K193" s="34" t="e">
        <v>#DIV/0!</v>
      </c>
      <c r="L193" s="34" t="e">
        <v>#DIV/0!</v>
      </c>
      <c r="M193" s="34" t="e">
        <v>#DIV/0!</v>
      </c>
      <c r="N193" s="34" t="e">
        <v>#DIV/0!</v>
      </c>
      <c r="O193" s="34" t="e">
        <v>#DIV/0!</v>
      </c>
      <c r="P193" s="34" t="e">
        <v>#DIV/0!</v>
      </c>
      <c r="Q193" s="34" t="e">
        <v>#DIV/0!</v>
      </c>
      <c r="R193" s="34" t="e">
        <v>#DIV/0!</v>
      </c>
      <c r="S193" s="34" t="e">
        <v>#DIV/0!</v>
      </c>
      <c r="T193" s="34" t="e">
        <v>#DIV/0!</v>
      </c>
      <c r="U193" s="34" t="e">
        <v>#DIV/0!</v>
      </c>
      <c r="V193" s="34" t="e">
        <v>#DIV/0!</v>
      </c>
      <c r="W193" s="34" t="e">
        <v>#DIV/0!</v>
      </c>
      <c r="X193" s="34" t="e">
        <v>#DIV/0!</v>
      </c>
      <c r="Y193" s="34" t="e">
        <v>#DIV/0!</v>
      </c>
      <c r="Z193" s="34" t="e">
        <v>#DIV/0!</v>
      </c>
      <c r="AA193" s="34" t="e">
        <v>#DIV/0!</v>
      </c>
      <c r="AB193" s="34" t="e">
        <v>#DIV/0!</v>
      </c>
      <c r="AC193" s="34" t="e">
        <v>#DIV/0!</v>
      </c>
      <c r="AD193" s="34" t="e">
        <v>#DIV/0!</v>
      </c>
      <c r="AE193" s="34" t="e">
        <v>#DIV/0!</v>
      </c>
      <c r="AF193" s="34" t="e">
        <v>#DIV/0!</v>
      </c>
      <c r="AG193" s="34" t="e">
        <v>#DIV/0!</v>
      </c>
      <c r="AH193" s="34" t="e">
        <v>#DIV/0!</v>
      </c>
      <c r="AI193" s="34" t="e">
        <v>#DIV/0!</v>
      </c>
      <c r="AJ193" s="34" t="e">
        <v>#DIV/0!</v>
      </c>
      <c r="AL193" s="59" t="e">
        <v>#DIV/0!</v>
      </c>
      <c r="CM193" s="143"/>
    </row>
    <row r="194" spans="3:91" s="1" customFormat="1" hidden="1" x14ac:dyDescent="0.25">
      <c r="C194" s="15"/>
      <c r="D194" s="30" t="s">
        <v>28</v>
      </c>
      <c r="E194" s="127"/>
      <c r="F194" s="13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L194" s="64" t="s">
        <v>28</v>
      </c>
      <c r="CM194" s="143"/>
    </row>
    <row r="195" spans="3:91" s="1" customFormat="1" hidden="1" x14ac:dyDescent="0.25">
      <c r="C195" s="15"/>
      <c r="D195" s="11" t="s">
        <v>117</v>
      </c>
      <c r="E195" s="127">
        <v>0.5</v>
      </c>
      <c r="F195" s="20" t="s">
        <v>25</v>
      </c>
      <c r="G195" s="34" t="e">
        <v>#DIV/0!</v>
      </c>
      <c r="H195" s="34" t="e">
        <v>#DIV/0!</v>
      </c>
      <c r="I195" s="34" t="e">
        <v>#DIV/0!</v>
      </c>
      <c r="J195" s="34" t="e">
        <v>#DIV/0!</v>
      </c>
      <c r="K195" s="34" t="e">
        <v>#DIV/0!</v>
      </c>
      <c r="L195" s="34" t="e">
        <v>#DIV/0!</v>
      </c>
      <c r="M195" s="34" t="e">
        <v>#DIV/0!</v>
      </c>
      <c r="N195" s="34" t="e">
        <v>#DIV/0!</v>
      </c>
      <c r="O195" s="34" t="e">
        <v>#DIV/0!</v>
      </c>
      <c r="P195" s="34" t="e">
        <v>#DIV/0!</v>
      </c>
      <c r="Q195" s="34" t="e">
        <v>#DIV/0!</v>
      </c>
      <c r="R195" s="34" t="e">
        <v>#DIV/0!</v>
      </c>
      <c r="S195" s="34" t="e">
        <v>#DIV/0!</v>
      </c>
      <c r="T195" s="34" t="e">
        <v>#DIV/0!</v>
      </c>
      <c r="U195" s="34" t="e">
        <v>#DIV/0!</v>
      </c>
      <c r="V195" s="34" t="e">
        <v>#DIV/0!</v>
      </c>
      <c r="W195" s="34" t="e">
        <v>#DIV/0!</v>
      </c>
      <c r="X195" s="34" t="e">
        <v>#DIV/0!</v>
      </c>
      <c r="Y195" s="34" t="e">
        <v>#DIV/0!</v>
      </c>
      <c r="Z195" s="34" t="e">
        <v>#DIV/0!</v>
      </c>
      <c r="AA195" s="34" t="e">
        <v>#DIV/0!</v>
      </c>
      <c r="AB195" s="34" t="e">
        <v>#DIV/0!</v>
      </c>
      <c r="AC195" s="34" t="e">
        <v>#DIV/0!</v>
      </c>
      <c r="AD195" s="34" t="e">
        <v>#DIV/0!</v>
      </c>
      <c r="AE195" s="34" t="e">
        <v>#DIV/0!</v>
      </c>
      <c r="AF195" s="34" t="e">
        <v>#DIV/0!</v>
      </c>
      <c r="AG195" s="34" t="e">
        <v>#DIV/0!</v>
      </c>
      <c r="AH195" s="34" t="e">
        <v>#DIV/0!</v>
      </c>
      <c r="AI195" s="34" t="e">
        <v>#DIV/0!</v>
      </c>
      <c r="AJ195" s="34" t="e">
        <v>#DIV/0!</v>
      </c>
      <c r="AL195" s="64"/>
      <c r="CM195" s="143"/>
    </row>
    <row r="196" spans="3:91" s="1" customFormat="1" hidden="1" x14ac:dyDescent="0.25">
      <c r="C196" s="15"/>
      <c r="D196" s="11" t="s">
        <v>27</v>
      </c>
      <c r="E196" s="127">
        <v>0.5</v>
      </c>
      <c r="F196" s="20" t="s">
        <v>25</v>
      </c>
      <c r="G196" s="34" t="e">
        <v>#DIV/0!</v>
      </c>
      <c r="H196" s="34" t="e">
        <v>#DIV/0!</v>
      </c>
      <c r="I196" s="34" t="e">
        <v>#DIV/0!</v>
      </c>
      <c r="J196" s="34" t="e">
        <v>#DIV/0!</v>
      </c>
      <c r="K196" s="34" t="e">
        <v>#DIV/0!</v>
      </c>
      <c r="L196" s="34" t="e">
        <v>#DIV/0!</v>
      </c>
      <c r="M196" s="34" t="e">
        <v>#DIV/0!</v>
      </c>
      <c r="N196" s="34" t="e">
        <v>#DIV/0!</v>
      </c>
      <c r="O196" s="34" t="e">
        <v>#DIV/0!</v>
      </c>
      <c r="P196" s="34" t="e">
        <v>#DIV/0!</v>
      </c>
      <c r="Q196" s="34" t="e">
        <v>#DIV/0!</v>
      </c>
      <c r="R196" s="34" t="e">
        <v>#DIV/0!</v>
      </c>
      <c r="S196" s="34" t="e">
        <v>#DIV/0!</v>
      </c>
      <c r="T196" s="34" t="e">
        <v>#DIV/0!</v>
      </c>
      <c r="U196" s="34" t="e">
        <v>#DIV/0!</v>
      </c>
      <c r="V196" s="34" t="e">
        <v>#DIV/0!</v>
      </c>
      <c r="W196" s="34" t="e">
        <v>#DIV/0!</v>
      </c>
      <c r="X196" s="34" t="e">
        <v>#DIV/0!</v>
      </c>
      <c r="Y196" s="34" t="e">
        <v>#DIV/0!</v>
      </c>
      <c r="Z196" s="34" t="e">
        <v>#DIV/0!</v>
      </c>
      <c r="AA196" s="34" t="e">
        <v>#DIV/0!</v>
      </c>
      <c r="AB196" s="34" t="e">
        <v>#DIV/0!</v>
      </c>
      <c r="AC196" s="34" t="e">
        <v>#DIV/0!</v>
      </c>
      <c r="AD196" s="34" t="e">
        <v>#DIV/0!</v>
      </c>
      <c r="AE196" s="34" t="e">
        <v>#DIV/0!</v>
      </c>
      <c r="AF196" s="34" t="e">
        <v>#DIV/0!</v>
      </c>
      <c r="AG196" s="34" t="e">
        <v>#DIV/0!</v>
      </c>
      <c r="AH196" s="34" t="e">
        <v>#DIV/0!</v>
      </c>
      <c r="AI196" s="34" t="e">
        <v>#DIV/0!</v>
      </c>
      <c r="AJ196" s="34" t="e">
        <v>#DIV/0!</v>
      </c>
      <c r="AL196" s="59" t="e">
        <v>#DIV/0!</v>
      </c>
      <c r="CM196" s="143"/>
    </row>
    <row r="197" spans="3:91" s="1" customFormat="1" ht="15.75" hidden="1" thickBot="1" x14ac:dyDescent="0.3">
      <c r="C197" s="19"/>
      <c r="D197" s="11" t="s">
        <v>26</v>
      </c>
      <c r="E197" s="127">
        <v>0.5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34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 t="e">
        <v>#DIV/0!</v>
      </c>
      <c r="AJ197" s="34" t="e">
        <v>#DIV/0!</v>
      </c>
      <c r="AL197" s="59" t="e">
        <v>#DIV/0!</v>
      </c>
      <c r="CM197" s="143"/>
    </row>
    <row r="198" spans="3:91" s="1" customFormat="1" hidden="1" x14ac:dyDescent="0.25">
      <c r="C198" s="8">
        <v>7</v>
      </c>
      <c r="D198" s="47" t="s">
        <v>88</v>
      </c>
      <c r="E198" s="128"/>
      <c r="F198" s="129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287"/>
      <c r="AG198" s="287"/>
      <c r="AH198" s="287"/>
      <c r="AI198" s="287"/>
      <c r="AJ198" s="287"/>
      <c r="AK198" s="130"/>
      <c r="AL198" s="79" t="s">
        <v>131</v>
      </c>
    </row>
    <row r="199" spans="3:91" s="1" customFormat="1" hidden="1" x14ac:dyDescent="0.25">
      <c r="C199" s="15"/>
      <c r="D199" s="26" t="s">
        <v>93</v>
      </c>
      <c r="E199" s="127"/>
      <c r="F199" s="20" t="s">
        <v>14</v>
      </c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18"/>
      <c r="AL199" s="90">
        <v>0</v>
      </c>
    </row>
    <row r="200" spans="3:91" s="1" customFormat="1" hidden="1" x14ac:dyDescent="0.25">
      <c r="C200" s="15"/>
      <c r="D200" s="11" t="s">
        <v>94</v>
      </c>
      <c r="E200" s="127"/>
      <c r="F200" s="20" t="s">
        <v>14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18"/>
      <c r="AL200" s="90">
        <v>0</v>
      </c>
    </row>
    <row r="201" spans="3:91" s="1" customFormat="1" hidden="1" x14ac:dyDescent="0.25">
      <c r="C201" s="15"/>
      <c r="D201" s="11" t="s">
        <v>39</v>
      </c>
      <c r="E201" s="127"/>
      <c r="F201" s="20" t="s">
        <v>14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v>0</v>
      </c>
      <c r="AH201" s="34">
        <v>0</v>
      </c>
      <c r="AI201" s="34">
        <v>0</v>
      </c>
      <c r="AJ201" s="34">
        <v>0</v>
      </c>
      <c r="AK201" s="18"/>
      <c r="AL201" s="90">
        <v>0</v>
      </c>
    </row>
    <row r="202" spans="3:91" s="1" customFormat="1" hidden="1" x14ac:dyDescent="0.25">
      <c r="C202" s="15"/>
      <c r="D202" s="11" t="s">
        <v>38</v>
      </c>
      <c r="E202" s="127"/>
      <c r="F202" s="20" t="s">
        <v>14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v>0</v>
      </c>
      <c r="U202" s="34">
        <v>0</v>
      </c>
      <c r="V202" s="34">
        <v>0</v>
      </c>
      <c r="W202" s="34">
        <v>0</v>
      </c>
      <c r="X202" s="34">
        <v>0</v>
      </c>
      <c r="Y202" s="34">
        <v>0</v>
      </c>
      <c r="Z202" s="34">
        <v>0</v>
      </c>
      <c r="AA202" s="34">
        <v>0</v>
      </c>
      <c r="AB202" s="34">
        <v>0</v>
      </c>
      <c r="AC202" s="34">
        <v>0</v>
      </c>
      <c r="AD202" s="34">
        <v>0</v>
      </c>
      <c r="AE202" s="34">
        <v>0</v>
      </c>
      <c r="AF202" s="34">
        <v>0</v>
      </c>
      <c r="AG202" s="34">
        <v>0</v>
      </c>
      <c r="AH202" s="34">
        <v>0</v>
      </c>
      <c r="AI202" s="34">
        <v>0</v>
      </c>
      <c r="AJ202" s="34">
        <v>0</v>
      </c>
      <c r="AK202" s="18"/>
      <c r="AL202" s="90">
        <v>0</v>
      </c>
    </row>
    <row r="203" spans="3:91" s="1" customFormat="1" hidden="1" x14ac:dyDescent="0.25">
      <c r="C203" s="15"/>
      <c r="D203" s="30" t="s">
        <v>50</v>
      </c>
      <c r="E203" s="127"/>
      <c r="F203" s="13" t="s">
        <v>14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4">
        <v>0</v>
      </c>
      <c r="U203" s="34">
        <v>0</v>
      </c>
      <c r="V203" s="34">
        <v>0</v>
      </c>
      <c r="W203" s="34">
        <v>0</v>
      </c>
      <c r="X203" s="34">
        <v>0</v>
      </c>
      <c r="Y203" s="34">
        <v>0</v>
      </c>
      <c r="Z203" s="34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v>0</v>
      </c>
      <c r="AF203" s="34">
        <v>0</v>
      </c>
      <c r="AG203" s="34">
        <v>0</v>
      </c>
      <c r="AH203" s="34">
        <v>0</v>
      </c>
      <c r="AI203" s="34">
        <v>0</v>
      </c>
      <c r="AJ203" s="34">
        <v>0</v>
      </c>
      <c r="AK203" s="18"/>
      <c r="AL203" s="59">
        <v>0</v>
      </c>
    </row>
    <row r="204" spans="3:91" s="1" customFormat="1" hidden="1" x14ac:dyDescent="0.25">
      <c r="C204" s="15"/>
      <c r="D204" s="11" t="s">
        <v>29</v>
      </c>
      <c r="E204" s="127"/>
      <c r="F204" s="20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18"/>
      <c r="AL204" s="59" t="s">
        <v>29</v>
      </c>
    </row>
    <row r="205" spans="3:91" s="1" customFormat="1" hidden="1" x14ac:dyDescent="0.25">
      <c r="C205" s="15"/>
      <c r="D205" s="11" t="s">
        <v>89</v>
      </c>
      <c r="E205" s="127"/>
      <c r="F205" s="20" t="s">
        <v>31</v>
      </c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18"/>
      <c r="AL205" s="92">
        <v>0</v>
      </c>
    </row>
    <row r="206" spans="3:91" s="1" customFormat="1" hidden="1" x14ac:dyDescent="0.25">
      <c r="C206" s="15"/>
      <c r="D206" s="11" t="s">
        <v>118</v>
      </c>
      <c r="E206" s="127"/>
      <c r="F206" s="20" t="s">
        <v>31</v>
      </c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18"/>
      <c r="AL206" s="92">
        <v>0</v>
      </c>
    </row>
    <row r="207" spans="3:91" s="1" customFormat="1" hidden="1" x14ac:dyDescent="0.25">
      <c r="C207" s="15"/>
      <c r="D207" s="38" t="s">
        <v>28</v>
      </c>
      <c r="E207" s="127"/>
      <c r="F207" s="20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18"/>
      <c r="AL207" s="59" t="s">
        <v>28</v>
      </c>
    </row>
    <row r="208" spans="3:91" s="1" customFormat="1" hidden="1" x14ac:dyDescent="0.25">
      <c r="C208" s="15"/>
      <c r="D208" s="11" t="s">
        <v>89</v>
      </c>
      <c r="E208" s="127"/>
      <c r="F208" s="20" t="s">
        <v>28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33">
        <v>0</v>
      </c>
      <c r="U208" s="33">
        <v>0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0</v>
      </c>
      <c r="AB208" s="33">
        <v>0</v>
      </c>
      <c r="AC208" s="33">
        <v>0</v>
      </c>
      <c r="AD208" s="33">
        <v>0</v>
      </c>
      <c r="AE208" s="33">
        <v>0</v>
      </c>
      <c r="AF208" s="33">
        <v>0</v>
      </c>
      <c r="AG208" s="33">
        <v>0</v>
      </c>
      <c r="AH208" s="33">
        <v>0</v>
      </c>
      <c r="AI208" s="33">
        <v>0</v>
      </c>
      <c r="AJ208" s="33">
        <v>0</v>
      </c>
      <c r="AK208" s="6"/>
      <c r="AL208" s="55">
        <v>0</v>
      </c>
    </row>
    <row r="209" spans="3:38" s="1" customFormat="1" hidden="1" x14ac:dyDescent="0.25">
      <c r="C209" s="15"/>
      <c r="D209" s="11" t="s">
        <v>118</v>
      </c>
      <c r="E209" s="127"/>
      <c r="F209" s="20" t="s">
        <v>28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0</v>
      </c>
      <c r="R209" s="33">
        <v>0</v>
      </c>
      <c r="S209" s="33">
        <v>0</v>
      </c>
      <c r="T209" s="33">
        <v>0</v>
      </c>
      <c r="U209" s="33">
        <v>0</v>
      </c>
      <c r="V209" s="33">
        <v>0</v>
      </c>
      <c r="W209" s="33">
        <v>0</v>
      </c>
      <c r="X209" s="33">
        <v>0</v>
      </c>
      <c r="Y209" s="33">
        <v>0</v>
      </c>
      <c r="Z209" s="33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0</v>
      </c>
      <c r="AF209" s="33">
        <v>0</v>
      </c>
      <c r="AG209" s="33">
        <v>0</v>
      </c>
      <c r="AH209" s="33">
        <v>0</v>
      </c>
      <c r="AI209" s="33">
        <v>0</v>
      </c>
      <c r="AJ209" s="33">
        <v>0</v>
      </c>
      <c r="AK209" s="6"/>
      <c r="AL209" s="55"/>
    </row>
    <row r="210" spans="3:38" s="1" customFormat="1" hidden="1" x14ac:dyDescent="0.25">
      <c r="C210" s="15"/>
      <c r="D210" s="11" t="s">
        <v>36</v>
      </c>
      <c r="E210" s="127"/>
      <c r="F210" s="20" t="s">
        <v>35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0</v>
      </c>
      <c r="AB210" s="33">
        <v>0</v>
      </c>
      <c r="AC210" s="33">
        <v>0</v>
      </c>
      <c r="AD210" s="33">
        <v>0</v>
      </c>
      <c r="AE210" s="33">
        <v>0</v>
      </c>
      <c r="AF210" s="33">
        <v>0</v>
      </c>
      <c r="AG210" s="33">
        <v>0</v>
      </c>
      <c r="AH210" s="33">
        <v>0</v>
      </c>
      <c r="AI210" s="33">
        <v>0</v>
      </c>
      <c r="AJ210" s="33">
        <v>0</v>
      </c>
      <c r="AK210" s="6"/>
      <c r="AL210" s="55">
        <v>0</v>
      </c>
    </row>
    <row r="211" spans="3:38" s="1" customFormat="1" hidden="1" x14ac:dyDescent="0.25">
      <c r="C211" s="15"/>
      <c r="D211" s="11" t="s">
        <v>34</v>
      </c>
      <c r="E211" s="127"/>
      <c r="F211" s="20" t="s">
        <v>33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33">
        <v>0</v>
      </c>
      <c r="U211" s="33">
        <v>0</v>
      </c>
      <c r="V211" s="33">
        <v>0</v>
      </c>
      <c r="W211" s="33">
        <v>0</v>
      </c>
      <c r="X211" s="33">
        <v>0</v>
      </c>
      <c r="Y211" s="33">
        <v>0</v>
      </c>
      <c r="Z211" s="33">
        <v>0</v>
      </c>
      <c r="AA211" s="33">
        <v>0</v>
      </c>
      <c r="AB211" s="33">
        <v>0</v>
      </c>
      <c r="AC211" s="33">
        <v>0</v>
      </c>
      <c r="AD211" s="33">
        <v>0</v>
      </c>
      <c r="AE211" s="33">
        <v>0</v>
      </c>
      <c r="AF211" s="33">
        <v>0</v>
      </c>
      <c r="AG211" s="33">
        <v>0</v>
      </c>
      <c r="AH211" s="33">
        <v>0</v>
      </c>
      <c r="AI211" s="33">
        <v>0</v>
      </c>
      <c r="AJ211" s="33">
        <v>0</v>
      </c>
      <c r="AK211" s="6"/>
      <c r="AL211" s="97">
        <v>0</v>
      </c>
    </row>
    <row r="212" spans="3:38" s="1" customFormat="1" hidden="1" x14ac:dyDescent="0.25">
      <c r="C212" s="15"/>
      <c r="D212" s="47" t="s">
        <v>32</v>
      </c>
      <c r="E212" s="128"/>
      <c r="F212" s="93"/>
      <c r="G212" s="288"/>
      <c r="H212" s="288"/>
      <c r="I212" s="288"/>
      <c r="J212" s="288"/>
      <c r="K212" s="288"/>
      <c r="L212" s="288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  <c r="AA212" s="288"/>
      <c r="AB212" s="288"/>
      <c r="AC212" s="288"/>
      <c r="AD212" s="288"/>
      <c r="AE212" s="288"/>
      <c r="AF212" s="288"/>
      <c r="AG212" s="288"/>
      <c r="AH212" s="288"/>
      <c r="AI212" s="288"/>
      <c r="AJ212" s="288"/>
      <c r="AK212" s="98"/>
      <c r="AL212" s="99" t="s">
        <v>132</v>
      </c>
    </row>
    <row r="213" spans="3:38" s="1" customFormat="1" hidden="1" x14ac:dyDescent="0.25">
      <c r="C213" s="15"/>
      <c r="D213" s="11" t="s">
        <v>29</v>
      </c>
      <c r="E213" s="127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18"/>
      <c r="AL213" s="59"/>
    </row>
    <row r="214" spans="3:38" s="1" customFormat="1" hidden="1" x14ac:dyDescent="0.25">
      <c r="C214" s="15"/>
      <c r="D214" s="11" t="s">
        <v>89</v>
      </c>
      <c r="E214" s="127"/>
      <c r="F214" s="20" t="s">
        <v>31</v>
      </c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18"/>
      <c r="AL214" s="92">
        <v>0</v>
      </c>
    </row>
    <row r="215" spans="3:38" s="1" customFormat="1" hidden="1" x14ac:dyDescent="0.25">
      <c r="C215" s="15"/>
      <c r="D215" s="11" t="s">
        <v>118</v>
      </c>
      <c r="E215" s="127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18"/>
      <c r="AL215" s="92">
        <v>0</v>
      </c>
    </row>
    <row r="216" spans="3:38" s="1" customFormat="1" hidden="1" x14ac:dyDescent="0.25">
      <c r="C216" s="15"/>
      <c r="D216" s="11" t="s">
        <v>28</v>
      </c>
      <c r="E216" s="127"/>
      <c r="F216" s="20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18"/>
      <c r="AL216" s="59"/>
    </row>
    <row r="217" spans="3:38" s="1" customFormat="1" hidden="1" x14ac:dyDescent="0.25">
      <c r="C217" s="15"/>
      <c r="D217" s="11" t="s">
        <v>89</v>
      </c>
      <c r="E217" s="127"/>
      <c r="F217" s="20" t="s">
        <v>28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>
        <v>0</v>
      </c>
      <c r="AJ217" s="33">
        <v>0</v>
      </c>
      <c r="AK217" s="18"/>
      <c r="AL217" s="92">
        <v>0</v>
      </c>
    </row>
    <row r="218" spans="3:38" s="1" customFormat="1" hidden="1" x14ac:dyDescent="0.25">
      <c r="C218" s="15"/>
      <c r="D218" s="11" t="s">
        <v>118</v>
      </c>
      <c r="E218" s="127"/>
      <c r="F218" s="20" t="s">
        <v>28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>
        <v>0</v>
      </c>
      <c r="AJ218" s="33">
        <v>0</v>
      </c>
      <c r="AK218" s="18"/>
      <c r="AL218" s="92">
        <v>0</v>
      </c>
    </row>
    <row r="219" spans="3:38" s="1" customFormat="1" hidden="1" x14ac:dyDescent="0.25">
      <c r="C219" s="15"/>
      <c r="D219" s="47" t="s">
        <v>30</v>
      </c>
      <c r="E219" s="131"/>
      <c r="F219" s="100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  <c r="AJ219" s="273"/>
      <c r="AK219" s="18"/>
      <c r="AL219" s="79" t="s">
        <v>132</v>
      </c>
    </row>
    <row r="220" spans="3:38" s="1" customFormat="1" hidden="1" x14ac:dyDescent="0.25">
      <c r="C220" s="15"/>
      <c r="D220" s="30" t="s">
        <v>29</v>
      </c>
      <c r="E220" s="127"/>
      <c r="F220" s="20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18"/>
      <c r="AL220" s="92"/>
    </row>
    <row r="221" spans="3:38" s="1" customFormat="1" hidden="1" x14ac:dyDescent="0.25">
      <c r="C221" s="15"/>
      <c r="D221" s="11" t="s">
        <v>89</v>
      </c>
      <c r="E221" s="127">
        <v>0.3</v>
      </c>
      <c r="F221" s="20" t="s">
        <v>25</v>
      </c>
      <c r="G221" s="33" t="e">
        <v>#DIV/0!</v>
      </c>
      <c r="H221" s="33" t="e">
        <v>#DIV/0!</v>
      </c>
      <c r="I221" s="33" t="e">
        <v>#DIV/0!</v>
      </c>
      <c r="J221" s="33" t="e">
        <v>#DIV/0!</v>
      </c>
      <c r="K221" s="33" t="e">
        <v>#DIV/0!</v>
      </c>
      <c r="L221" s="33" t="e">
        <v>#DIV/0!</v>
      </c>
      <c r="M221" s="33" t="e">
        <v>#DIV/0!</v>
      </c>
      <c r="N221" s="33" t="e">
        <v>#DIV/0!</v>
      </c>
      <c r="O221" s="33" t="e">
        <v>#DIV/0!</v>
      </c>
      <c r="P221" s="33" t="e">
        <v>#DIV/0!</v>
      </c>
      <c r="Q221" s="33" t="e">
        <v>#DIV/0!</v>
      </c>
      <c r="R221" s="33" t="e">
        <v>#DIV/0!</v>
      </c>
      <c r="S221" s="33" t="e">
        <v>#DIV/0!</v>
      </c>
      <c r="T221" s="33" t="e">
        <v>#DIV/0!</v>
      </c>
      <c r="U221" s="33" t="e">
        <v>#DIV/0!</v>
      </c>
      <c r="V221" s="33" t="e">
        <v>#DIV/0!</v>
      </c>
      <c r="W221" s="33" t="e">
        <v>#DIV/0!</v>
      </c>
      <c r="X221" s="33" t="e">
        <v>#DIV/0!</v>
      </c>
      <c r="Y221" s="33" t="e">
        <v>#DIV/0!</v>
      </c>
      <c r="Z221" s="33" t="e">
        <v>#DIV/0!</v>
      </c>
      <c r="AA221" s="33" t="e">
        <v>#DIV/0!</v>
      </c>
      <c r="AB221" s="33" t="e">
        <v>#DIV/0!</v>
      </c>
      <c r="AC221" s="33" t="e">
        <v>#DIV/0!</v>
      </c>
      <c r="AD221" s="33" t="e">
        <v>#DIV/0!</v>
      </c>
      <c r="AE221" s="33" t="e">
        <v>#DIV/0!</v>
      </c>
      <c r="AF221" s="33" t="e">
        <v>#DIV/0!</v>
      </c>
      <c r="AG221" s="33" t="e">
        <v>#DIV/0!</v>
      </c>
      <c r="AH221" s="33" t="e">
        <v>#DIV/0!</v>
      </c>
      <c r="AI221" s="33" t="e">
        <v>#DIV/0!</v>
      </c>
      <c r="AJ221" s="33" t="e">
        <v>#DIV/0!</v>
      </c>
      <c r="AK221" s="18"/>
      <c r="AL221" s="101" t="e">
        <v>#DIV/0!</v>
      </c>
    </row>
    <row r="222" spans="3:38" s="1" customFormat="1" hidden="1" x14ac:dyDescent="0.25">
      <c r="C222" s="15"/>
      <c r="D222" s="11" t="s">
        <v>118</v>
      </c>
      <c r="E222" s="127">
        <v>0.3</v>
      </c>
      <c r="F222" s="20" t="s">
        <v>25</v>
      </c>
      <c r="G222" s="33" t="e">
        <v>#DIV/0!</v>
      </c>
      <c r="H222" s="33" t="e">
        <v>#DIV/0!</v>
      </c>
      <c r="I222" s="33" t="e">
        <v>#DIV/0!</v>
      </c>
      <c r="J222" s="33" t="e">
        <v>#DIV/0!</v>
      </c>
      <c r="K222" s="33" t="e">
        <v>#DIV/0!</v>
      </c>
      <c r="L222" s="33" t="e">
        <v>#DIV/0!</v>
      </c>
      <c r="M222" s="33" t="e">
        <v>#DIV/0!</v>
      </c>
      <c r="N222" s="33" t="e">
        <v>#DIV/0!</v>
      </c>
      <c r="O222" s="33" t="e">
        <v>#DIV/0!</v>
      </c>
      <c r="P222" s="33" t="e">
        <v>#DIV/0!</v>
      </c>
      <c r="Q222" s="33" t="e">
        <v>#DIV/0!</v>
      </c>
      <c r="R222" s="33" t="e">
        <v>#DIV/0!</v>
      </c>
      <c r="S222" s="33" t="e">
        <v>#DIV/0!</v>
      </c>
      <c r="T222" s="33" t="e">
        <v>#DIV/0!</v>
      </c>
      <c r="U222" s="33" t="e">
        <v>#DIV/0!</v>
      </c>
      <c r="V222" s="33" t="e">
        <v>#DIV/0!</v>
      </c>
      <c r="W222" s="33" t="e">
        <v>#DIV/0!</v>
      </c>
      <c r="X222" s="33" t="e">
        <v>#DIV/0!</v>
      </c>
      <c r="Y222" s="33" t="e">
        <v>#DIV/0!</v>
      </c>
      <c r="Z222" s="33" t="e">
        <v>#DIV/0!</v>
      </c>
      <c r="AA222" s="33" t="e">
        <v>#DIV/0!</v>
      </c>
      <c r="AB222" s="33" t="e">
        <v>#DIV/0!</v>
      </c>
      <c r="AC222" s="33" t="e">
        <v>#DIV/0!</v>
      </c>
      <c r="AD222" s="33" t="e">
        <v>#DIV/0!</v>
      </c>
      <c r="AE222" s="33" t="e">
        <v>#DIV/0!</v>
      </c>
      <c r="AF222" s="33" t="e">
        <v>#DIV/0!</v>
      </c>
      <c r="AG222" s="33" t="e">
        <v>#DIV/0!</v>
      </c>
      <c r="AH222" s="33" t="e">
        <v>#DIV/0!</v>
      </c>
      <c r="AI222" s="33" t="e">
        <v>#DIV/0!</v>
      </c>
      <c r="AJ222" s="33" t="e">
        <v>#DIV/0!</v>
      </c>
      <c r="AK222" s="18"/>
      <c r="AL222" s="101" t="e">
        <v>#DIV/0!</v>
      </c>
    </row>
    <row r="223" spans="3:38" s="1" customFormat="1" hidden="1" x14ac:dyDescent="0.25">
      <c r="C223" s="15"/>
      <c r="D223" s="30" t="s">
        <v>28</v>
      </c>
      <c r="E223" s="127"/>
      <c r="F223" s="20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18"/>
      <c r="AL223" s="92"/>
    </row>
    <row r="224" spans="3:38" s="1" customFormat="1" hidden="1" x14ac:dyDescent="0.25">
      <c r="C224" s="15"/>
      <c r="D224" s="11" t="s">
        <v>89</v>
      </c>
      <c r="E224" s="127">
        <v>0.5</v>
      </c>
      <c r="F224" s="20" t="s">
        <v>25</v>
      </c>
      <c r="G224" s="33" t="e">
        <v>#DIV/0!</v>
      </c>
      <c r="H224" s="33" t="e">
        <v>#DIV/0!</v>
      </c>
      <c r="I224" s="33" t="e">
        <v>#DIV/0!</v>
      </c>
      <c r="J224" s="33" t="e">
        <v>#DIV/0!</v>
      </c>
      <c r="K224" s="33" t="e">
        <v>#DIV/0!</v>
      </c>
      <c r="L224" s="33" t="e">
        <v>#DIV/0!</v>
      </c>
      <c r="M224" s="33" t="e">
        <v>#DIV/0!</v>
      </c>
      <c r="N224" s="33" t="e">
        <v>#DIV/0!</v>
      </c>
      <c r="O224" s="33" t="e">
        <v>#DIV/0!</v>
      </c>
      <c r="P224" s="33" t="e">
        <v>#DIV/0!</v>
      </c>
      <c r="Q224" s="33" t="e">
        <v>#DIV/0!</v>
      </c>
      <c r="R224" s="33" t="e">
        <v>#DIV/0!</v>
      </c>
      <c r="S224" s="33" t="e">
        <v>#DIV/0!</v>
      </c>
      <c r="T224" s="33" t="e">
        <v>#DIV/0!</v>
      </c>
      <c r="U224" s="33" t="e">
        <v>#DIV/0!</v>
      </c>
      <c r="V224" s="33" t="e">
        <v>#DIV/0!</v>
      </c>
      <c r="W224" s="33" t="e">
        <v>#DIV/0!</v>
      </c>
      <c r="X224" s="33" t="e">
        <v>#DIV/0!</v>
      </c>
      <c r="Y224" s="33" t="e">
        <v>#DIV/0!</v>
      </c>
      <c r="Z224" s="33" t="e">
        <v>#DIV/0!</v>
      </c>
      <c r="AA224" s="33" t="e">
        <v>#DIV/0!</v>
      </c>
      <c r="AB224" s="33" t="e">
        <v>#DIV/0!</v>
      </c>
      <c r="AC224" s="33" t="e">
        <v>#DIV/0!</v>
      </c>
      <c r="AD224" s="33" t="e">
        <v>#DIV/0!</v>
      </c>
      <c r="AE224" s="33" t="e">
        <v>#DIV/0!</v>
      </c>
      <c r="AF224" s="33" t="e">
        <v>#DIV/0!</v>
      </c>
      <c r="AG224" s="33" t="e">
        <v>#DIV/0!</v>
      </c>
      <c r="AH224" s="33" t="e">
        <v>#DIV/0!</v>
      </c>
      <c r="AI224" s="33" t="e">
        <v>#DIV/0!</v>
      </c>
      <c r="AJ224" s="33" t="e">
        <v>#DIV/0!</v>
      </c>
      <c r="AK224" s="18"/>
      <c r="AL224" s="59" t="e">
        <v>#DIV/0!</v>
      </c>
    </row>
    <row r="225" spans="3:91 15057:15449" s="1" customFormat="1" hidden="1" x14ac:dyDescent="0.25">
      <c r="C225" s="15"/>
      <c r="D225" s="11" t="s">
        <v>118</v>
      </c>
      <c r="E225" s="127">
        <v>0.5</v>
      </c>
      <c r="F225" s="20" t="s">
        <v>25</v>
      </c>
      <c r="G225" s="33" t="e">
        <v>#DIV/0!</v>
      </c>
      <c r="H225" s="33" t="e">
        <v>#DIV/0!</v>
      </c>
      <c r="I225" s="33" t="e">
        <v>#DIV/0!</v>
      </c>
      <c r="J225" s="33" t="e">
        <v>#DIV/0!</v>
      </c>
      <c r="K225" s="33" t="e">
        <v>#DIV/0!</v>
      </c>
      <c r="L225" s="33" t="e">
        <v>#DIV/0!</v>
      </c>
      <c r="M225" s="33" t="e">
        <v>#DIV/0!</v>
      </c>
      <c r="N225" s="33" t="e">
        <v>#DIV/0!</v>
      </c>
      <c r="O225" s="33" t="e">
        <v>#DIV/0!</v>
      </c>
      <c r="P225" s="33" t="e">
        <v>#DIV/0!</v>
      </c>
      <c r="Q225" s="33" t="e">
        <v>#DIV/0!</v>
      </c>
      <c r="R225" s="33" t="e">
        <v>#DIV/0!</v>
      </c>
      <c r="S225" s="33" t="e">
        <v>#DIV/0!</v>
      </c>
      <c r="T225" s="33" t="e">
        <v>#DIV/0!</v>
      </c>
      <c r="U225" s="33" t="e">
        <v>#DIV/0!</v>
      </c>
      <c r="V225" s="33" t="e">
        <v>#DIV/0!</v>
      </c>
      <c r="W225" s="33" t="e">
        <v>#DIV/0!</v>
      </c>
      <c r="X225" s="33" t="e">
        <v>#DIV/0!</v>
      </c>
      <c r="Y225" s="33" t="e">
        <v>#DIV/0!</v>
      </c>
      <c r="Z225" s="33" t="e">
        <v>#DIV/0!</v>
      </c>
      <c r="AA225" s="33" t="e">
        <v>#DIV/0!</v>
      </c>
      <c r="AB225" s="33" t="e">
        <v>#DIV/0!</v>
      </c>
      <c r="AC225" s="33" t="e">
        <v>#DIV/0!</v>
      </c>
      <c r="AD225" s="33" t="e">
        <v>#DIV/0!</v>
      </c>
      <c r="AE225" s="33" t="e">
        <v>#DIV/0!</v>
      </c>
      <c r="AF225" s="33" t="e">
        <v>#DIV/0!</v>
      </c>
      <c r="AG225" s="33" t="e">
        <v>#DIV/0!</v>
      </c>
      <c r="AH225" s="33" t="e">
        <v>#DIV/0!</v>
      </c>
      <c r="AI225" s="33" t="e">
        <v>#DIV/0!</v>
      </c>
      <c r="AJ225" s="33" t="e">
        <v>#DIV/0!</v>
      </c>
      <c r="AK225" s="18"/>
      <c r="AL225" s="59" t="e">
        <v>#DIV/0!</v>
      </c>
    </row>
    <row r="226" spans="3:91 15057:15449" s="1" customFormat="1" hidden="1" x14ac:dyDescent="0.25">
      <c r="C226" s="15"/>
      <c r="D226" s="102" t="s">
        <v>95</v>
      </c>
      <c r="E226" s="132"/>
      <c r="F226" s="103" t="s">
        <v>14</v>
      </c>
      <c r="G226" s="289">
        <v>0</v>
      </c>
      <c r="H226" s="289">
        <v>0</v>
      </c>
      <c r="I226" s="289">
        <v>0</v>
      </c>
      <c r="J226" s="289">
        <v>0</v>
      </c>
      <c r="K226" s="289">
        <v>0</v>
      </c>
      <c r="L226" s="289">
        <v>0</v>
      </c>
      <c r="M226" s="289">
        <v>0</v>
      </c>
      <c r="N226" s="289">
        <v>0</v>
      </c>
      <c r="O226" s="289">
        <v>0</v>
      </c>
      <c r="P226" s="289">
        <v>0</v>
      </c>
      <c r="Q226" s="289">
        <v>0</v>
      </c>
      <c r="R226" s="289">
        <v>0</v>
      </c>
      <c r="S226" s="289">
        <v>0</v>
      </c>
      <c r="T226" s="289">
        <v>0</v>
      </c>
      <c r="U226" s="289">
        <v>0</v>
      </c>
      <c r="V226" s="289">
        <v>0</v>
      </c>
      <c r="W226" s="289">
        <v>0</v>
      </c>
      <c r="X226" s="289">
        <v>0</v>
      </c>
      <c r="Y226" s="289">
        <v>0</v>
      </c>
      <c r="Z226" s="289">
        <v>0</v>
      </c>
      <c r="AA226" s="289">
        <v>0</v>
      </c>
      <c r="AB226" s="289">
        <v>0</v>
      </c>
      <c r="AC226" s="289">
        <v>0</v>
      </c>
      <c r="AD226" s="289">
        <v>0</v>
      </c>
      <c r="AE226" s="289">
        <v>0</v>
      </c>
      <c r="AF226" s="289">
        <v>0</v>
      </c>
      <c r="AG226" s="289">
        <v>0</v>
      </c>
      <c r="AH226" s="289">
        <v>0</v>
      </c>
      <c r="AI226" s="289">
        <v>0</v>
      </c>
      <c r="AJ226" s="289">
        <v>0</v>
      </c>
      <c r="AK226" s="133"/>
      <c r="AL226" s="104">
        <v>0</v>
      </c>
    </row>
    <row r="227" spans="3:91 15057:15449" s="1" customFormat="1" hidden="1" x14ac:dyDescent="0.25">
      <c r="C227" s="15"/>
      <c r="D227" s="72" t="s">
        <v>119</v>
      </c>
      <c r="E227" s="134"/>
      <c r="F227" s="66" t="s">
        <v>14</v>
      </c>
      <c r="G227" s="290">
        <v>0</v>
      </c>
      <c r="H227" s="290">
        <v>0</v>
      </c>
      <c r="I227" s="290">
        <v>0</v>
      </c>
      <c r="J227" s="290">
        <v>0</v>
      </c>
      <c r="K227" s="290">
        <v>0</v>
      </c>
      <c r="L227" s="290">
        <v>0</v>
      </c>
      <c r="M227" s="290">
        <v>0</v>
      </c>
      <c r="N227" s="290">
        <v>0</v>
      </c>
      <c r="O227" s="290">
        <v>0</v>
      </c>
      <c r="P227" s="290">
        <v>0</v>
      </c>
      <c r="Q227" s="290">
        <v>0</v>
      </c>
      <c r="R227" s="290">
        <v>0</v>
      </c>
      <c r="S227" s="290">
        <v>0</v>
      </c>
      <c r="T227" s="290">
        <v>0</v>
      </c>
      <c r="U227" s="290">
        <v>0</v>
      </c>
      <c r="V227" s="290">
        <v>0</v>
      </c>
      <c r="W227" s="290">
        <v>0</v>
      </c>
      <c r="X227" s="290">
        <v>0</v>
      </c>
      <c r="Y227" s="290">
        <v>0</v>
      </c>
      <c r="Z227" s="290">
        <v>0</v>
      </c>
      <c r="AA227" s="290">
        <v>0</v>
      </c>
      <c r="AB227" s="290">
        <v>0</v>
      </c>
      <c r="AC227" s="290">
        <v>0</v>
      </c>
      <c r="AD227" s="290">
        <v>0</v>
      </c>
      <c r="AE227" s="290">
        <v>0</v>
      </c>
      <c r="AF227" s="290">
        <v>0</v>
      </c>
      <c r="AG227" s="290">
        <v>0</v>
      </c>
      <c r="AH227" s="290">
        <v>0</v>
      </c>
      <c r="AI227" s="290">
        <v>0</v>
      </c>
      <c r="AJ227" s="290">
        <v>0</v>
      </c>
      <c r="AK227" s="133"/>
      <c r="AL227" s="58">
        <v>0</v>
      </c>
    </row>
    <row r="228" spans="3:91 15057:15449" s="1" customFormat="1" hidden="1" x14ac:dyDescent="0.25">
      <c r="C228" s="15"/>
      <c r="D228" s="105" t="s">
        <v>90</v>
      </c>
      <c r="E228" s="135"/>
      <c r="F228" s="106" t="s">
        <v>14</v>
      </c>
      <c r="G228" s="291">
        <v>0</v>
      </c>
      <c r="H228" s="291">
        <v>0</v>
      </c>
      <c r="I228" s="291">
        <v>0</v>
      </c>
      <c r="J228" s="291">
        <v>0</v>
      </c>
      <c r="K228" s="291">
        <v>0</v>
      </c>
      <c r="L228" s="291">
        <v>0</v>
      </c>
      <c r="M228" s="291">
        <v>0</v>
      </c>
      <c r="N228" s="291">
        <v>0</v>
      </c>
      <c r="O228" s="291">
        <v>0</v>
      </c>
      <c r="P228" s="291">
        <v>0</v>
      </c>
      <c r="Q228" s="291">
        <v>0</v>
      </c>
      <c r="R228" s="291">
        <v>0</v>
      </c>
      <c r="S228" s="291">
        <v>0</v>
      </c>
      <c r="T228" s="291">
        <v>0</v>
      </c>
      <c r="U228" s="291">
        <v>0</v>
      </c>
      <c r="V228" s="291">
        <v>0</v>
      </c>
      <c r="W228" s="291">
        <v>0</v>
      </c>
      <c r="X228" s="291">
        <v>0</v>
      </c>
      <c r="Y228" s="291">
        <v>0</v>
      </c>
      <c r="Z228" s="291">
        <v>0</v>
      </c>
      <c r="AA228" s="291">
        <v>0</v>
      </c>
      <c r="AB228" s="291">
        <v>0</v>
      </c>
      <c r="AC228" s="291">
        <v>0</v>
      </c>
      <c r="AD228" s="291">
        <v>0</v>
      </c>
      <c r="AE228" s="291">
        <v>0</v>
      </c>
      <c r="AF228" s="291">
        <v>0</v>
      </c>
      <c r="AG228" s="291">
        <v>0</v>
      </c>
      <c r="AH228" s="291">
        <v>0</v>
      </c>
      <c r="AI228" s="291">
        <v>0</v>
      </c>
      <c r="AJ228" s="291">
        <v>0</v>
      </c>
      <c r="AK228" s="133"/>
      <c r="AL228" s="107">
        <v>0</v>
      </c>
    </row>
    <row r="229" spans="3:91 15057:15449" s="1" customFormat="1" hidden="1" x14ac:dyDescent="0.25">
      <c r="C229" s="15"/>
      <c r="D229" s="108" t="s">
        <v>91</v>
      </c>
      <c r="E229" s="136"/>
      <c r="F229" s="109" t="s">
        <v>87</v>
      </c>
      <c r="G229" s="292">
        <v>0</v>
      </c>
      <c r="H229" s="292">
        <v>0</v>
      </c>
      <c r="I229" s="292">
        <v>0</v>
      </c>
      <c r="J229" s="292">
        <v>0</v>
      </c>
      <c r="K229" s="292">
        <v>0</v>
      </c>
      <c r="L229" s="292">
        <v>0</v>
      </c>
      <c r="M229" s="292">
        <v>0</v>
      </c>
      <c r="N229" s="292">
        <v>0</v>
      </c>
      <c r="O229" s="292">
        <v>0</v>
      </c>
      <c r="P229" s="292">
        <v>0</v>
      </c>
      <c r="Q229" s="292">
        <v>0</v>
      </c>
      <c r="R229" s="292">
        <v>0</v>
      </c>
      <c r="S229" s="292">
        <v>0</v>
      </c>
      <c r="T229" s="292">
        <v>0</v>
      </c>
      <c r="U229" s="292">
        <v>0</v>
      </c>
      <c r="V229" s="292">
        <v>0</v>
      </c>
      <c r="W229" s="292">
        <v>0</v>
      </c>
      <c r="X229" s="292">
        <v>0</v>
      </c>
      <c r="Y229" s="292">
        <v>0</v>
      </c>
      <c r="Z229" s="292">
        <v>0</v>
      </c>
      <c r="AA229" s="292">
        <v>0</v>
      </c>
      <c r="AB229" s="292">
        <v>0</v>
      </c>
      <c r="AC229" s="292">
        <v>0</v>
      </c>
      <c r="AD229" s="292">
        <v>0</v>
      </c>
      <c r="AE229" s="292">
        <v>0</v>
      </c>
      <c r="AF229" s="292">
        <v>0</v>
      </c>
      <c r="AG229" s="292">
        <v>0</v>
      </c>
      <c r="AH229" s="292">
        <v>0</v>
      </c>
      <c r="AI229" s="292">
        <v>0</v>
      </c>
      <c r="AJ229" s="292">
        <v>0</v>
      </c>
      <c r="AK229" s="133"/>
      <c r="AL229" s="110">
        <v>0</v>
      </c>
    </row>
    <row r="230" spans="3:91 15057:15449" s="1" customFormat="1" hidden="1" x14ac:dyDescent="0.25">
      <c r="C230" s="15"/>
      <c r="D230" s="111" t="s">
        <v>96</v>
      </c>
      <c r="E230" s="136"/>
      <c r="F230" s="112" t="s">
        <v>14</v>
      </c>
      <c r="G230" s="293">
        <v>0</v>
      </c>
      <c r="H230" s="293">
        <v>0</v>
      </c>
      <c r="I230" s="293">
        <v>0</v>
      </c>
      <c r="J230" s="293">
        <v>0</v>
      </c>
      <c r="K230" s="293">
        <v>0</v>
      </c>
      <c r="L230" s="293">
        <v>0</v>
      </c>
      <c r="M230" s="293">
        <v>0</v>
      </c>
      <c r="N230" s="293">
        <v>0</v>
      </c>
      <c r="O230" s="293">
        <v>0</v>
      </c>
      <c r="P230" s="293">
        <v>0</v>
      </c>
      <c r="Q230" s="293">
        <v>0</v>
      </c>
      <c r="R230" s="293">
        <v>0</v>
      </c>
      <c r="S230" s="293">
        <v>0</v>
      </c>
      <c r="T230" s="293">
        <v>0</v>
      </c>
      <c r="U230" s="293">
        <v>0</v>
      </c>
      <c r="V230" s="293">
        <v>0</v>
      </c>
      <c r="W230" s="293">
        <v>0</v>
      </c>
      <c r="X230" s="293">
        <v>0</v>
      </c>
      <c r="Y230" s="293">
        <v>0</v>
      </c>
      <c r="Z230" s="293">
        <v>0</v>
      </c>
      <c r="AA230" s="293">
        <v>0</v>
      </c>
      <c r="AB230" s="293">
        <v>0</v>
      </c>
      <c r="AC230" s="293">
        <v>0</v>
      </c>
      <c r="AD230" s="293">
        <v>0</v>
      </c>
      <c r="AE230" s="293">
        <v>0</v>
      </c>
      <c r="AF230" s="293">
        <v>0</v>
      </c>
      <c r="AG230" s="293">
        <v>0</v>
      </c>
      <c r="AH230" s="293">
        <v>0</v>
      </c>
      <c r="AI230" s="293">
        <v>0</v>
      </c>
      <c r="AJ230" s="293">
        <v>0</v>
      </c>
      <c r="AK230" s="114"/>
      <c r="AL230" s="115">
        <v>0</v>
      </c>
    </row>
    <row r="231" spans="3:91 15057:15449" s="1" customFormat="1" x14ac:dyDescent="0.25">
      <c r="C231" s="8">
        <v>4</v>
      </c>
      <c r="D231" s="76" t="s">
        <v>24</v>
      </c>
      <c r="E231" s="48"/>
      <c r="F231" s="78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L231" s="82" t="s">
        <v>133</v>
      </c>
      <c r="CM231" s="142"/>
      <c r="VGC231" s="46"/>
      <c r="VGD231" s="46"/>
      <c r="VGE231" s="46"/>
      <c r="VGF231" s="46"/>
      <c r="VGG231" s="46"/>
      <c r="VGH231" s="46"/>
      <c r="VGI231" s="46"/>
      <c r="VGJ231" s="46"/>
      <c r="VGK231" s="46"/>
      <c r="VGL231" s="46"/>
      <c r="VGM231" s="46"/>
      <c r="VGN231" s="46"/>
      <c r="VGO231" s="46"/>
      <c r="VGP231" s="46"/>
      <c r="VGQ231" s="46"/>
      <c r="VGR231" s="46"/>
      <c r="VGS231" s="46"/>
      <c r="VGT231" s="46"/>
      <c r="VGU231" s="46"/>
      <c r="VGV231" s="46"/>
      <c r="VGW231" s="46"/>
      <c r="VGX231" s="46"/>
      <c r="VGY231" s="46"/>
      <c r="VGZ231" s="46"/>
      <c r="VHA231" s="46"/>
      <c r="VHB231" s="46"/>
      <c r="VHC231" s="46"/>
      <c r="VHD231" s="46"/>
      <c r="VHE231" s="46"/>
      <c r="VHF231" s="46"/>
      <c r="VHG231" s="46"/>
      <c r="VHH231" s="46"/>
      <c r="VHI231" s="46"/>
      <c r="VHJ231" s="46"/>
      <c r="VHK231" s="46"/>
      <c r="VHL231" s="46"/>
      <c r="VHM231" s="46"/>
      <c r="VHN231" s="46"/>
      <c r="VHO231" s="46"/>
      <c r="VHP231" s="46"/>
      <c r="VHQ231" s="46"/>
      <c r="VHR231" s="46"/>
      <c r="VHS231" s="46"/>
      <c r="VHT231" s="46"/>
      <c r="VHU231" s="46"/>
      <c r="VHV231" s="46"/>
      <c r="VHW231" s="46"/>
      <c r="VHX231" s="46"/>
      <c r="VHY231" s="46"/>
      <c r="VHZ231" s="46"/>
      <c r="VIA231" s="46"/>
      <c r="VIB231" s="46"/>
      <c r="VIC231" s="46"/>
      <c r="VID231" s="46"/>
      <c r="VIE231" s="46"/>
      <c r="VIF231" s="46"/>
      <c r="VIG231" s="46"/>
      <c r="VIH231" s="46"/>
      <c r="VII231" s="46"/>
      <c r="VIJ231" s="46"/>
      <c r="VIK231" s="46"/>
      <c r="VIL231" s="46"/>
      <c r="VIM231" s="46"/>
      <c r="VIN231" s="46"/>
      <c r="VIO231" s="46"/>
      <c r="VIP231" s="46"/>
      <c r="VIQ231" s="46"/>
      <c r="VIR231" s="46"/>
      <c r="VIS231" s="46"/>
      <c r="VIT231" s="46"/>
      <c r="VIU231" s="46"/>
      <c r="VIV231" s="46"/>
      <c r="VIW231" s="46"/>
      <c r="VIX231" s="46"/>
      <c r="VIY231" s="46"/>
      <c r="VIZ231" s="46"/>
      <c r="VJA231" s="46"/>
      <c r="VJB231" s="46"/>
      <c r="VJC231" s="46"/>
      <c r="VJD231" s="46"/>
      <c r="VJE231" s="46"/>
      <c r="VJF231" s="46"/>
      <c r="VJG231" s="46"/>
      <c r="VJH231" s="46"/>
      <c r="VJI231" s="46"/>
      <c r="VJJ231" s="46"/>
      <c r="VJK231" s="46"/>
      <c r="VJL231" s="46"/>
      <c r="VJM231" s="46"/>
      <c r="VJN231" s="46"/>
      <c r="VJO231" s="46"/>
      <c r="VJP231" s="46"/>
      <c r="VJQ231" s="46"/>
      <c r="VJR231" s="46"/>
      <c r="VJS231" s="46"/>
      <c r="VJT231" s="46"/>
      <c r="VJU231" s="46"/>
      <c r="VJV231" s="46"/>
      <c r="VJW231" s="46"/>
      <c r="VJX231" s="46"/>
      <c r="VJY231" s="46"/>
      <c r="VJZ231" s="46"/>
      <c r="VKA231" s="46"/>
      <c r="VKB231" s="46"/>
      <c r="VKC231" s="46"/>
      <c r="VKD231" s="46"/>
      <c r="VKE231" s="46"/>
      <c r="VKF231" s="46"/>
      <c r="VKG231" s="46"/>
      <c r="VKH231" s="46"/>
      <c r="VKI231" s="46"/>
      <c r="VKJ231" s="46"/>
      <c r="VKK231" s="46"/>
      <c r="VKL231" s="46"/>
      <c r="VKM231" s="46"/>
      <c r="VKN231" s="46"/>
      <c r="VKO231" s="46"/>
      <c r="VKP231" s="46"/>
      <c r="VKQ231" s="46"/>
      <c r="VKR231" s="46"/>
      <c r="VKS231" s="46"/>
      <c r="VKT231" s="46"/>
      <c r="VKU231" s="46"/>
      <c r="VKV231" s="46"/>
      <c r="VKW231" s="46"/>
      <c r="VKX231" s="46"/>
      <c r="VKY231" s="46"/>
      <c r="VKZ231" s="46"/>
      <c r="VLA231" s="46"/>
      <c r="VLB231" s="46"/>
      <c r="VLC231" s="46"/>
      <c r="VLD231" s="46"/>
      <c r="VLE231" s="46"/>
      <c r="VLF231" s="46"/>
      <c r="VLG231" s="46"/>
      <c r="VLH231" s="46"/>
      <c r="VLI231" s="46"/>
      <c r="VLJ231" s="46"/>
      <c r="VLK231" s="46"/>
      <c r="VLL231" s="46"/>
      <c r="VLM231" s="46"/>
      <c r="VLN231" s="46"/>
      <c r="VLO231" s="46"/>
      <c r="VLP231" s="46"/>
      <c r="VLQ231" s="46"/>
      <c r="VLR231" s="46"/>
      <c r="VLS231" s="46"/>
      <c r="VLT231" s="46"/>
      <c r="VLU231" s="46"/>
      <c r="VLV231" s="46"/>
      <c r="VLW231" s="46"/>
      <c r="VLX231" s="46"/>
      <c r="VLY231" s="46"/>
      <c r="VLZ231" s="46"/>
      <c r="VMA231" s="46"/>
      <c r="VMB231" s="46"/>
      <c r="VMC231" s="46"/>
      <c r="VMD231" s="46"/>
      <c r="VME231" s="46"/>
      <c r="VMF231" s="46"/>
      <c r="VMG231" s="46"/>
      <c r="VMH231" s="46"/>
      <c r="VMI231" s="46"/>
      <c r="VMJ231" s="46"/>
      <c r="VMK231" s="46"/>
      <c r="VML231" s="46"/>
      <c r="VMM231" s="46"/>
      <c r="VMN231" s="46"/>
      <c r="VMO231" s="46"/>
      <c r="VMP231" s="46"/>
      <c r="VMQ231" s="46"/>
      <c r="VMR231" s="46"/>
      <c r="VMS231" s="46"/>
      <c r="VMT231" s="46"/>
      <c r="VMU231" s="46"/>
      <c r="VMV231" s="46"/>
      <c r="VMW231" s="46"/>
      <c r="VMX231" s="46"/>
      <c r="VMY231" s="46"/>
      <c r="VMZ231" s="46"/>
      <c r="VNA231" s="46"/>
      <c r="VNB231" s="46"/>
      <c r="VNC231" s="46"/>
      <c r="VND231" s="46"/>
      <c r="VNE231" s="46"/>
      <c r="VNF231" s="46"/>
      <c r="VNG231" s="46"/>
      <c r="VNH231" s="46"/>
      <c r="VNI231" s="46"/>
      <c r="VNJ231" s="46"/>
      <c r="VNK231" s="46"/>
      <c r="VNL231" s="46"/>
      <c r="VNM231" s="46"/>
      <c r="VNN231" s="46"/>
      <c r="VNO231" s="46"/>
      <c r="VNP231" s="46"/>
      <c r="VNQ231" s="46"/>
      <c r="VNR231" s="46"/>
      <c r="VNS231" s="46"/>
      <c r="VNT231" s="46"/>
      <c r="VNU231" s="46"/>
      <c r="VNV231" s="46"/>
      <c r="VNW231" s="46"/>
      <c r="VNX231" s="46"/>
      <c r="VNY231" s="46"/>
      <c r="VNZ231" s="46"/>
      <c r="VOA231" s="46"/>
      <c r="VOB231" s="46"/>
      <c r="VOC231" s="46"/>
      <c r="VOD231" s="46"/>
      <c r="VOE231" s="46"/>
      <c r="VOF231" s="46"/>
      <c r="VOG231" s="46"/>
      <c r="VOH231" s="46"/>
      <c r="VOI231" s="46"/>
      <c r="VOJ231" s="46"/>
      <c r="VOK231" s="46"/>
      <c r="VOL231" s="46"/>
      <c r="VOM231" s="46"/>
      <c r="VON231" s="46"/>
      <c r="VOO231" s="46"/>
      <c r="VOP231" s="46"/>
      <c r="VOQ231" s="46"/>
      <c r="VOR231" s="46"/>
      <c r="VOS231" s="46"/>
      <c r="VOT231" s="46"/>
      <c r="VOU231" s="46"/>
      <c r="VOV231" s="46"/>
      <c r="VOW231" s="46"/>
      <c r="VOX231" s="46"/>
      <c r="VOY231" s="46"/>
      <c r="VOZ231" s="46"/>
      <c r="VPA231" s="46"/>
      <c r="VPB231" s="46"/>
      <c r="VPC231" s="46"/>
      <c r="VPD231" s="46"/>
      <c r="VPE231" s="46"/>
      <c r="VPF231" s="46"/>
      <c r="VPG231" s="46"/>
      <c r="VPH231" s="46"/>
      <c r="VPI231" s="46"/>
      <c r="VPJ231" s="46"/>
      <c r="VPK231" s="46"/>
      <c r="VPL231" s="46"/>
      <c r="VPM231" s="46"/>
      <c r="VPN231" s="46"/>
      <c r="VPO231" s="46"/>
      <c r="VPP231" s="46"/>
      <c r="VPQ231" s="46"/>
      <c r="VPR231" s="46"/>
      <c r="VPS231" s="46"/>
      <c r="VPT231" s="46"/>
      <c r="VPU231" s="46"/>
      <c r="VPV231" s="46"/>
      <c r="VPW231" s="46"/>
      <c r="VPX231" s="46"/>
      <c r="VPY231" s="46"/>
      <c r="VPZ231" s="46"/>
      <c r="VQA231" s="46"/>
      <c r="VQB231" s="46"/>
      <c r="VQC231" s="46"/>
      <c r="VQD231" s="46"/>
      <c r="VQE231" s="46"/>
      <c r="VQF231" s="46"/>
      <c r="VQG231" s="46"/>
      <c r="VQH231" s="46"/>
      <c r="VQI231" s="46"/>
      <c r="VQJ231" s="46"/>
      <c r="VQK231" s="46"/>
      <c r="VQL231" s="46"/>
      <c r="VQM231" s="46"/>
      <c r="VQN231" s="46"/>
      <c r="VQO231" s="46"/>
      <c r="VQP231" s="46"/>
      <c r="VQQ231" s="46"/>
      <c r="VQR231" s="46"/>
      <c r="VQS231" s="46"/>
      <c r="VQT231" s="46"/>
      <c r="VQU231" s="46"/>
      <c r="VQV231" s="46"/>
      <c r="VQW231" s="46"/>
      <c r="VQX231" s="46"/>
      <c r="VQY231" s="46"/>
      <c r="VQZ231" s="46"/>
      <c r="VRA231" s="46"/>
      <c r="VRB231" s="46"/>
      <c r="VRC231" s="46"/>
      <c r="VRD231" s="46"/>
      <c r="VRE231" s="46"/>
      <c r="VRF231" s="46"/>
      <c r="VRG231" s="46"/>
      <c r="VRH231" s="46"/>
      <c r="VRI231" s="46"/>
      <c r="VRJ231" s="46"/>
      <c r="VRK231" s="46"/>
      <c r="VRL231" s="46"/>
      <c r="VRM231" s="46"/>
      <c r="VRN231" s="46"/>
      <c r="VRO231" s="46"/>
      <c r="VRP231" s="46"/>
      <c r="VRQ231" s="46"/>
      <c r="VRR231" s="46"/>
      <c r="VRS231" s="46"/>
      <c r="VRT231" s="46"/>
      <c r="VRU231" s="46"/>
      <c r="VRV231" s="46"/>
      <c r="VRW231" s="46"/>
      <c r="VRX231" s="46"/>
      <c r="VRY231" s="46"/>
      <c r="VRZ231" s="46"/>
      <c r="VSA231" s="46"/>
      <c r="VSB231" s="46"/>
      <c r="VSC231" s="46"/>
      <c r="VSD231" s="46"/>
      <c r="VSE231" s="46"/>
      <c r="VSF231" s="46"/>
      <c r="VSG231" s="46"/>
      <c r="VSH231" s="46"/>
      <c r="VSI231" s="46"/>
      <c r="VSJ231" s="46"/>
      <c r="VSK231" s="46"/>
      <c r="VSL231" s="46"/>
      <c r="VSM231" s="46"/>
      <c r="VSN231" s="46"/>
      <c r="VSO231" s="46"/>
      <c r="VSP231" s="46"/>
      <c r="VSQ231" s="46"/>
      <c r="VSR231" s="46"/>
      <c r="VSS231" s="46"/>
      <c r="VST231" s="46"/>
      <c r="VSU231" s="46"/>
      <c r="VSV231" s="46"/>
      <c r="VSW231" s="46"/>
      <c r="VSX231" s="46"/>
      <c r="VSY231" s="46"/>
      <c r="VSZ231" s="46"/>
      <c r="VTA231" s="46"/>
      <c r="VTB231" s="46"/>
      <c r="VTC231" s="46"/>
      <c r="VTD231" s="46"/>
      <c r="VTE231" s="46"/>
      <c r="VTF231" s="46"/>
      <c r="VTG231" s="46"/>
      <c r="VTH231" s="46"/>
      <c r="VTI231" s="46"/>
      <c r="VTJ231" s="46"/>
      <c r="VTK231" s="46"/>
      <c r="VTL231" s="46"/>
      <c r="VTM231" s="46"/>
      <c r="VTN231" s="46"/>
      <c r="VTO231" s="46"/>
      <c r="VTP231" s="46"/>
      <c r="VTQ231" s="46"/>
      <c r="VTR231" s="46"/>
      <c r="VTS231" s="46"/>
      <c r="VTT231" s="46"/>
      <c r="VTU231" s="46"/>
      <c r="VTV231" s="46"/>
      <c r="VTW231" s="46"/>
      <c r="VTX231" s="46"/>
      <c r="VTY231" s="46"/>
      <c r="VTZ231" s="46"/>
      <c r="VUA231" s="46"/>
      <c r="VUB231" s="46"/>
      <c r="VUC231" s="46"/>
      <c r="VUD231" s="46"/>
      <c r="VUE231" s="46"/>
      <c r="VUF231" s="46"/>
      <c r="VUG231" s="46"/>
      <c r="VUH231" s="46"/>
      <c r="VUI231" s="46"/>
      <c r="VUJ231" s="46"/>
      <c r="VUK231" s="46"/>
      <c r="VUL231" s="46"/>
      <c r="VUM231" s="46"/>
      <c r="VUN231" s="46"/>
      <c r="VUO231" s="46"/>
      <c r="VUP231" s="46"/>
      <c r="VUQ231" s="46"/>
      <c r="VUR231" s="46"/>
      <c r="VUS231" s="46"/>
      <c r="VUT231" s="46"/>
      <c r="VUU231" s="46"/>
      <c r="VUV231" s="46"/>
      <c r="VUW231" s="46"/>
      <c r="VUX231" s="46"/>
      <c r="VUY231" s="46"/>
      <c r="VUZ231" s="46"/>
      <c r="VVA231" s="46"/>
      <c r="VVB231" s="46"/>
      <c r="VVC231" s="46"/>
      <c r="VVD231" s="46"/>
      <c r="VVE231" s="46"/>
    </row>
    <row r="232" spans="3:91 15057:15449" s="63" customFormat="1" x14ac:dyDescent="0.25">
      <c r="C232" s="69"/>
      <c r="D232" s="236" t="s">
        <v>22</v>
      </c>
      <c r="E232" s="261">
        <v>1460.001</v>
      </c>
      <c r="F232" s="237" t="s">
        <v>19</v>
      </c>
      <c r="G232" s="294">
        <v>1177.8932</v>
      </c>
      <c r="H232" s="294">
        <v>1088.1561999999999</v>
      </c>
      <c r="I232" s="294">
        <v>1115.2782999999999</v>
      </c>
      <c r="J232" s="294">
        <v>1135.7344000000001</v>
      </c>
      <c r="K232" s="294">
        <v>1131.5059000000001</v>
      </c>
      <c r="L232" s="294">
        <v>1165.3072999999999</v>
      </c>
      <c r="M232" s="294">
        <v>1191.3056999999999</v>
      </c>
      <c r="N232" s="294">
        <v>1170.8756000000001</v>
      </c>
      <c r="O232" s="294">
        <v>1200.3579999999999</v>
      </c>
      <c r="P232" s="294">
        <v>1306.1232</v>
      </c>
      <c r="Q232" s="294">
        <v>1120.0402999999999</v>
      </c>
      <c r="R232" s="294">
        <v>1176.2539999999999</v>
      </c>
      <c r="S232" s="1628">
        <v>1084.3714</v>
      </c>
      <c r="T232" s="1628">
        <v>1145.9825000000001</v>
      </c>
      <c r="U232" s="1628">
        <v>1129.9965</v>
      </c>
      <c r="V232" s="1628">
        <v>1192.6971000000001</v>
      </c>
      <c r="W232" s="1628">
        <v>1106.3289</v>
      </c>
      <c r="X232" s="1628">
        <v>1278.2315000000001</v>
      </c>
      <c r="Y232" s="1628">
        <v>1220.6724999999999</v>
      </c>
      <c r="Z232" s="1628">
        <v>1345.6305</v>
      </c>
      <c r="AA232" s="294">
        <v>1245.7234000000001</v>
      </c>
      <c r="AB232" s="294">
        <v>1354.6271999999999</v>
      </c>
      <c r="AC232" s="294">
        <v>829.29650000000004</v>
      </c>
      <c r="AD232" s="294">
        <v>517.11310000000003</v>
      </c>
      <c r="AE232" s="294">
        <v>547.40689999999995</v>
      </c>
      <c r="AF232" s="294">
        <v>754.35929999999996</v>
      </c>
      <c r="AG232" s="294">
        <v>45.368400000000001</v>
      </c>
      <c r="AH232" s="294">
        <v>0</v>
      </c>
      <c r="AI232" s="294">
        <v>3.8243999999999998</v>
      </c>
      <c r="AJ232" s="294">
        <v>0</v>
      </c>
      <c r="AL232" s="116">
        <f>SUM(G232:AJ232)</f>
        <v>28780.462200000002</v>
      </c>
      <c r="AP232" s="1"/>
      <c r="CM232" s="144"/>
    </row>
    <row r="233" spans="3:91 15057:15449" s="63" customFormat="1" x14ac:dyDescent="0.25">
      <c r="C233" s="69"/>
      <c r="D233" s="236"/>
      <c r="E233" s="261"/>
      <c r="F233" s="237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4"/>
      <c r="AL233" s="55">
        <f>AL232/AL6</f>
        <v>1308.2028272727273</v>
      </c>
      <c r="CM233" s="144"/>
    </row>
    <row r="234" spans="3:91 15057:15449" s="1" customFormat="1" x14ac:dyDescent="0.25">
      <c r="C234" s="8"/>
      <c r="D234" s="236" t="s">
        <v>23</v>
      </c>
      <c r="E234" s="255"/>
      <c r="F234" s="237" t="s">
        <v>19</v>
      </c>
      <c r="G234" s="294">
        <v>1151.5018</v>
      </c>
      <c r="H234" s="294">
        <v>1226.7402</v>
      </c>
      <c r="I234" s="294">
        <v>1113.3566000000001</v>
      </c>
      <c r="J234" s="294">
        <v>1152.9879000000001</v>
      </c>
      <c r="K234" s="294">
        <v>1161.8597</v>
      </c>
      <c r="L234" s="294">
        <v>1156.3794</v>
      </c>
      <c r="M234" s="294">
        <v>1198.9792</v>
      </c>
      <c r="N234" s="294">
        <v>1211.2651000000001</v>
      </c>
      <c r="O234" s="294">
        <v>1198.6648</v>
      </c>
      <c r="P234" s="294">
        <v>1228.7392</v>
      </c>
      <c r="Q234" s="294">
        <v>1327.5499</v>
      </c>
      <c r="R234" s="294">
        <v>1146.0327</v>
      </c>
      <c r="S234" s="294">
        <v>1203.8606</v>
      </c>
      <c r="T234" s="294">
        <v>1110.7624000000001</v>
      </c>
      <c r="U234" s="294">
        <v>1172.7529999999999</v>
      </c>
      <c r="V234" s="294">
        <v>1151.9060999999999</v>
      </c>
      <c r="W234" s="294">
        <v>1205.0435</v>
      </c>
      <c r="X234" s="294">
        <v>1127.1472000000001</v>
      </c>
      <c r="Y234" s="294">
        <v>1319.0672999999999</v>
      </c>
      <c r="Z234" s="294">
        <v>1278.9830999999999</v>
      </c>
      <c r="AA234" s="294">
        <v>1392.5951</v>
      </c>
      <c r="AB234" s="294">
        <v>1275.0001</v>
      </c>
      <c r="AC234" s="294">
        <v>1387.2083</v>
      </c>
      <c r="AD234" s="294">
        <v>830.30359999999996</v>
      </c>
      <c r="AE234" s="294">
        <v>532.70749999999998</v>
      </c>
      <c r="AF234" s="294">
        <v>571.56759999999997</v>
      </c>
      <c r="AG234" s="294">
        <v>776.40620000000001</v>
      </c>
      <c r="AH234" s="294">
        <v>135.27500000000001</v>
      </c>
      <c r="AI234" s="294">
        <v>103.0294</v>
      </c>
      <c r="AJ234" s="294">
        <v>100.7385</v>
      </c>
      <c r="AL234" s="116">
        <f>SUM(G234:AJ234)</f>
        <v>30948.411</v>
      </c>
      <c r="CM234" s="143"/>
    </row>
    <row r="235" spans="3:91 15057:15449" s="1" customFormat="1" x14ac:dyDescent="0.25">
      <c r="C235" s="15"/>
      <c r="D235" s="28" t="s">
        <v>11</v>
      </c>
      <c r="E235" s="255"/>
      <c r="F235" s="13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  <c r="AD235" s="296"/>
      <c r="AE235" s="296"/>
      <c r="AF235" s="296"/>
      <c r="AG235" s="296"/>
      <c r="AH235" s="296"/>
      <c r="AI235" s="296"/>
      <c r="AJ235" s="296"/>
      <c r="AL235" s="117" t="s">
        <v>11</v>
      </c>
      <c r="CM235" s="142"/>
      <c r="VGC235" s="46"/>
      <c r="VGD235" s="46"/>
      <c r="VGE235" s="46"/>
      <c r="VGF235" s="46"/>
      <c r="VGG235" s="46"/>
      <c r="VGH235" s="46"/>
      <c r="VGI235" s="46"/>
      <c r="VGJ235" s="46"/>
      <c r="VGK235" s="46"/>
      <c r="VGL235" s="46"/>
      <c r="VGM235" s="46"/>
      <c r="VGN235" s="46"/>
      <c r="VGO235" s="46"/>
      <c r="VGP235" s="46"/>
      <c r="VGQ235" s="46"/>
      <c r="VGR235" s="46"/>
      <c r="VGS235" s="46"/>
      <c r="VGT235" s="46"/>
      <c r="VGU235" s="46"/>
      <c r="VGV235" s="46"/>
      <c r="VGW235" s="46"/>
      <c r="VGX235" s="46"/>
      <c r="VGY235" s="46"/>
      <c r="VGZ235" s="46"/>
      <c r="VHA235" s="46"/>
      <c r="VHB235" s="46"/>
      <c r="VHC235" s="46"/>
      <c r="VHD235" s="46"/>
      <c r="VHE235" s="46"/>
      <c r="VHF235" s="46"/>
      <c r="VHG235" s="46"/>
      <c r="VHH235" s="46"/>
      <c r="VHI235" s="46"/>
      <c r="VHJ235" s="46"/>
      <c r="VHK235" s="46"/>
      <c r="VHL235" s="46"/>
      <c r="VHM235" s="46"/>
      <c r="VHN235" s="46"/>
      <c r="VHO235" s="46"/>
      <c r="VHP235" s="46"/>
      <c r="VHQ235" s="46"/>
      <c r="VHR235" s="46"/>
      <c r="VHS235" s="46"/>
      <c r="VHT235" s="46"/>
      <c r="VHU235" s="46"/>
      <c r="VHV235" s="46"/>
      <c r="VHW235" s="46"/>
      <c r="VHX235" s="46"/>
      <c r="VHY235" s="46"/>
      <c r="VHZ235" s="46"/>
      <c r="VIA235" s="46"/>
      <c r="VIB235" s="46"/>
      <c r="VIC235" s="46"/>
      <c r="VID235" s="46"/>
      <c r="VIE235" s="46"/>
      <c r="VIF235" s="46"/>
      <c r="VIG235" s="46"/>
      <c r="VIH235" s="46"/>
      <c r="VII235" s="46"/>
      <c r="VIJ235" s="46"/>
      <c r="VIK235" s="46"/>
      <c r="VIL235" s="46"/>
      <c r="VIM235" s="46"/>
      <c r="VIN235" s="46"/>
      <c r="VIO235" s="46"/>
      <c r="VIP235" s="46"/>
      <c r="VIQ235" s="46"/>
      <c r="VIR235" s="46"/>
      <c r="VIS235" s="46"/>
      <c r="VIT235" s="46"/>
      <c r="VIU235" s="46"/>
      <c r="VIV235" s="46"/>
      <c r="VIW235" s="46"/>
      <c r="VIX235" s="46"/>
      <c r="VIY235" s="46"/>
      <c r="VIZ235" s="46"/>
      <c r="VJA235" s="46"/>
      <c r="VJB235" s="46"/>
      <c r="VJC235" s="46"/>
      <c r="VJD235" s="46"/>
      <c r="VJE235" s="46"/>
      <c r="VJF235" s="46"/>
      <c r="VJG235" s="46"/>
      <c r="VJH235" s="46"/>
      <c r="VJI235" s="46"/>
      <c r="VJJ235" s="46"/>
      <c r="VJK235" s="46"/>
      <c r="VJL235" s="46"/>
      <c r="VJM235" s="46"/>
      <c r="VJN235" s="46"/>
      <c r="VJO235" s="46"/>
      <c r="VJP235" s="46"/>
      <c r="VJQ235" s="46"/>
      <c r="VJR235" s="46"/>
      <c r="VJS235" s="46"/>
      <c r="VJT235" s="46"/>
      <c r="VJU235" s="46"/>
      <c r="VJV235" s="46"/>
      <c r="VJW235" s="46"/>
      <c r="VJX235" s="46"/>
      <c r="VJY235" s="46"/>
      <c r="VJZ235" s="46"/>
      <c r="VKA235" s="46"/>
      <c r="VKB235" s="46"/>
      <c r="VKC235" s="46"/>
      <c r="VKD235" s="46"/>
      <c r="VKE235" s="46"/>
      <c r="VKF235" s="46"/>
      <c r="VKG235" s="46"/>
      <c r="VKH235" s="46"/>
      <c r="VKI235" s="46"/>
      <c r="VKJ235" s="46"/>
      <c r="VKK235" s="46"/>
      <c r="VKL235" s="46"/>
      <c r="VKM235" s="46"/>
      <c r="VKN235" s="46"/>
      <c r="VKO235" s="46"/>
      <c r="VKP235" s="46"/>
      <c r="VKQ235" s="46"/>
      <c r="VKR235" s="46"/>
      <c r="VKS235" s="46"/>
      <c r="VKT235" s="46"/>
      <c r="VKU235" s="46"/>
      <c r="VKV235" s="46"/>
      <c r="VKW235" s="46"/>
      <c r="VKX235" s="46"/>
      <c r="VKY235" s="46"/>
      <c r="VKZ235" s="46"/>
      <c r="VLA235" s="46"/>
      <c r="VLB235" s="46"/>
      <c r="VLC235" s="46"/>
      <c r="VLD235" s="46"/>
      <c r="VLE235" s="46"/>
      <c r="VLF235" s="46"/>
      <c r="VLG235" s="46"/>
      <c r="VLH235" s="46"/>
      <c r="VLI235" s="46"/>
      <c r="VLJ235" s="46"/>
      <c r="VLK235" s="46"/>
      <c r="VLL235" s="46"/>
      <c r="VLM235" s="46"/>
      <c r="VLN235" s="46"/>
      <c r="VLO235" s="46"/>
      <c r="VLP235" s="46"/>
      <c r="VLQ235" s="46"/>
      <c r="VLR235" s="46"/>
      <c r="VLS235" s="46"/>
      <c r="VLT235" s="46"/>
      <c r="VLU235" s="46"/>
      <c r="VLV235" s="46"/>
      <c r="VLW235" s="46"/>
      <c r="VLX235" s="46"/>
      <c r="VLY235" s="46"/>
      <c r="VLZ235" s="46"/>
      <c r="VMA235" s="46"/>
      <c r="VMB235" s="46"/>
      <c r="VMC235" s="46"/>
      <c r="VMD235" s="46"/>
      <c r="VME235" s="46"/>
      <c r="VMF235" s="46"/>
      <c r="VMG235" s="46"/>
      <c r="VMH235" s="46"/>
      <c r="VMI235" s="46"/>
      <c r="VMJ235" s="46"/>
      <c r="VMK235" s="46"/>
      <c r="VML235" s="46"/>
      <c r="VMM235" s="46"/>
      <c r="VMN235" s="46"/>
      <c r="VMO235" s="46"/>
      <c r="VMP235" s="46"/>
      <c r="VMQ235" s="46"/>
      <c r="VMR235" s="46"/>
      <c r="VMS235" s="46"/>
      <c r="VMT235" s="46"/>
      <c r="VMU235" s="46"/>
      <c r="VMV235" s="46"/>
      <c r="VMW235" s="46"/>
      <c r="VMX235" s="46"/>
      <c r="VMY235" s="46"/>
      <c r="VMZ235" s="46"/>
      <c r="VNA235" s="46"/>
      <c r="VNB235" s="46"/>
      <c r="VNC235" s="46"/>
      <c r="VND235" s="46"/>
      <c r="VNE235" s="46"/>
      <c r="VNF235" s="46"/>
      <c r="VNG235" s="46"/>
      <c r="VNH235" s="46"/>
      <c r="VNI235" s="46"/>
      <c r="VNJ235" s="46"/>
      <c r="VNK235" s="46"/>
      <c r="VNL235" s="46"/>
      <c r="VNM235" s="46"/>
      <c r="VNN235" s="46"/>
      <c r="VNO235" s="46"/>
      <c r="VNP235" s="46"/>
      <c r="VNQ235" s="46"/>
      <c r="VNR235" s="46"/>
      <c r="VNS235" s="46"/>
      <c r="VNT235" s="46"/>
      <c r="VNU235" s="46"/>
      <c r="VNV235" s="46"/>
      <c r="VNW235" s="46"/>
      <c r="VNX235" s="46"/>
      <c r="VNY235" s="46"/>
      <c r="VNZ235" s="46"/>
      <c r="VOA235" s="46"/>
      <c r="VOB235" s="46"/>
      <c r="VOC235" s="46"/>
      <c r="VOD235" s="46"/>
      <c r="VOE235" s="46"/>
      <c r="VOF235" s="46"/>
      <c r="VOG235" s="46"/>
      <c r="VOH235" s="46"/>
      <c r="VOI235" s="46"/>
      <c r="VOJ235" s="46"/>
      <c r="VOK235" s="46"/>
      <c r="VOL235" s="46"/>
      <c r="VOM235" s="46"/>
      <c r="VON235" s="46"/>
      <c r="VOO235" s="46"/>
      <c r="VOP235" s="46"/>
      <c r="VOQ235" s="46"/>
      <c r="VOR235" s="46"/>
      <c r="VOS235" s="46"/>
      <c r="VOT235" s="46"/>
      <c r="VOU235" s="46"/>
      <c r="VOV235" s="46"/>
      <c r="VOW235" s="46"/>
      <c r="VOX235" s="46"/>
      <c r="VOY235" s="46"/>
      <c r="VOZ235" s="46"/>
      <c r="VPA235" s="46"/>
      <c r="VPB235" s="46"/>
      <c r="VPC235" s="46"/>
      <c r="VPD235" s="46"/>
      <c r="VPE235" s="46"/>
      <c r="VPF235" s="46"/>
      <c r="VPG235" s="46"/>
      <c r="VPH235" s="46"/>
      <c r="VPI235" s="46"/>
      <c r="VPJ235" s="46"/>
      <c r="VPK235" s="46"/>
      <c r="VPL235" s="46"/>
      <c r="VPM235" s="46"/>
      <c r="VPN235" s="46"/>
      <c r="VPO235" s="46"/>
      <c r="VPP235" s="46"/>
      <c r="VPQ235" s="46"/>
      <c r="VPR235" s="46"/>
      <c r="VPS235" s="46"/>
      <c r="VPT235" s="46"/>
      <c r="VPU235" s="46"/>
      <c r="VPV235" s="46"/>
      <c r="VPW235" s="46"/>
      <c r="VPX235" s="46"/>
      <c r="VPY235" s="46"/>
      <c r="VPZ235" s="46"/>
      <c r="VQA235" s="46"/>
      <c r="VQB235" s="46"/>
      <c r="VQC235" s="46"/>
      <c r="VQD235" s="46"/>
      <c r="VQE235" s="46"/>
      <c r="VQF235" s="46"/>
      <c r="VQG235" s="46"/>
      <c r="VQH235" s="46"/>
      <c r="VQI235" s="46"/>
      <c r="VQJ235" s="46"/>
      <c r="VQK235" s="46"/>
      <c r="VQL235" s="46"/>
      <c r="VQM235" s="46"/>
      <c r="VQN235" s="46"/>
      <c r="VQO235" s="46"/>
      <c r="VQP235" s="46"/>
      <c r="VQQ235" s="46"/>
      <c r="VQR235" s="46"/>
      <c r="VQS235" s="46"/>
      <c r="VQT235" s="46"/>
      <c r="VQU235" s="46"/>
      <c r="VQV235" s="46"/>
      <c r="VQW235" s="46"/>
      <c r="VQX235" s="46"/>
      <c r="VQY235" s="46"/>
      <c r="VQZ235" s="46"/>
      <c r="VRA235" s="46"/>
      <c r="VRB235" s="46"/>
      <c r="VRC235" s="46"/>
      <c r="VRD235" s="46"/>
      <c r="VRE235" s="46"/>
      <c r="VRF235" s="46"/>
      <c r="VRG235" s="46"/>
      <c r="VRH235" s="46"/>
      <c r="VRI235" s="46"/>
      <c r="VRJ235" s="46"/>
      <c r="VRK235" s="46"/>
      <c r="VRL235" s="46"/>
      <c r="VRM235" s="46"/>
      <c r="VRN235" s="46"/>
      <c r="VRO235" s="46"/>
      <c r="VRP235" s="46"/>
      <c r="VRQ235" s="46"/>
      <c r="VRR235" s="46"/>
      <c r="VRS235" s="46"/>
      <c r="VRT235" s="46"/>
      <c r="VRU235" s="46"/>
      <c r="VRV235" s="46"/>
      <c r="VRW235" s="46"/>
      <c r="VRX235" s="46"/>
      <c r="VRY235" s="46"/>
      <c r="VRZ235" s="46"/>
      <c r="VSA235" s="46"/>
      <c r="VSB235" s="46"/>
      <c r="VSC235" s="46"/>
      <c r="VSD235" s="46"/>
      <c r="VSE235" s="46"/>
      <c r="VSF235" s="46"/>
      <c r="VSG235" s="46"/>
      <c r="VSH235" s="46"/>
      <c r="VSI235" s="46"/>
      <c r="VSJ235" s="46"/>
      <c r="VSK235" s="46"/>
      <c r="VSL235" s="46"/>
      <c r="VSM235" s="46"/>
      <c r="VSN235" s="46"/>
      <c r="VSO235" s="46"/>
      <c r="VSP235" s="46"/>
      <c r="VSQ235" s="46"/>
      <c r="VSR235" s="46"/>
      <c r="VSS235" s="46"/>
      <c r="VST235" s="46"/>
      <c r="VSU235" s="46"/>
      <c r="VSV235" s="46"/>
      <c r="VSW235" s="46"/>
      <c r="VSX235" s="46"/>
      <c r="VSY235" s="46"/>
      <c r="VSZ235" s="46"/>
      <c r="VTA235" s="46"/>
      <c r="VTB235" s="46"/>
      <c r="VTC235" s="46"/>
      <c r="VTD235" s="46"/>
      <c r="VTE235" s="46"/>
      <c r="VTF235" s="46"/>
      <c r="VTG235" s="46"/>
      <c r="VTH235" s="46"/>
      <c r="VTI235" s="46"/>
      <c r="VTJ235" s="46"/>
      <c r="VTK235" s="46"/>
      <c r="VTL235" s="46"/>
      <c r="VTM235" s="46"/>
      <c r="VTN235" s="46"/>
      <c r="VTO235" s="46"/>
      <c r="VTP235" s="46"/>
      <c r="VTQ235" s="46"/>
      <c r="VTR235" s="46"/>
      <c r="VTS235" s="46"/>
      <c r="VTT235" s="46"/>
      <c r="VTU235" s="46"/>
      <c r="VTV235" s="46"/>
      <c r="VTW235" s="46"/>
      <c r="VTX235" s="46"/>
      <c r="VTY235" s="46"/>
      <c r="VTZ235" s="46"/>
      <c r="VUA235" s="46"/>
      <c r="VUB235" s="46"/>
      <c r="VUC235" s="46"/>
      <c r="VUD235" s="46"/>
      <c r="VUE235" s="46"/>
      <c r="VUF235" s="46"/>
      <c r="VUG235" s="46"/>
      <c r="VUH235" s="46"/>
      <c r="VUI235" s="46"/>
      <c r="VUJ235" s="46"/>
      <c r="VUK235" s="46"/>
      <c r="VUL235" s="46"/>
      <c r="VUM235" s="46"/>
      <c r="VUN235" s="46"/>
      <c r="VUO235" s="46"/>
      <c r="VUP235" s="46"/>
      <c r="VUQ235" s="46"/>
      <c r="VUR235" s="46"/>
      <c r="VUS235" s="46"/>
      <c r="VUT235" s="46"/>
      <c r="VUU235" s="46"/>
      <c r="VUV235" s="46"/>
      <c r="VUW235" s="46"/>
      <c r="VUX235" s="46"/>
      <c r="VUY235" s="46"/>
      <c r="VUZ235" s="46"/>
      <c r="VVA235" s="46"/>
      <c r="VVB235" s="46"/>
      <c r="VVC235" s="46"/>
      <c r="VVD235" s="46"/>
      <c r="VVE235" s="46"/>
    </row>
    <row r="236" spans="3:91 15057:15449" s="1" customFormat="1" x14ac:dyDescent="0.25">
      <c r="C236" s="15"/>
      <c r="D236" s="236" t="s">
        <v>21</v>
      </c>
      <c r="E236" s="253">
        <f>292</f>
        <v>292</v>
      </c>
      <c r="F236" s="237" t="s">
        <v>19</v>
      </c>
      <c r="G236" s="295">
        <f>'[22]Convert Gas'!J8</f>
        <v>181.22913033976042</v>
      </c>
      <c r="H236" s="295">
        <f>'Convert Gas'!J9</f>
        <v>160.95420202606007</v>
      </c>
      <c r="I236" s="295">
        <f>'Convert Gas'!J10</f>
        <v>150.70063109977326</v>
      </c>
      <c r="J236" s="295">
        <f>'Convert Gas'!J11</f>
        <v>165.2009454920987</v>
      </c>
      <c r="K236" s="295">
        <v>164.43900869027087</v>
      </c>
      <c r="L236" s="295">
        <f>'Convert Gas'!J13</f>
        <v>146.86658684228516</v>
      </c>
      <c r="M236" s="295">
        <f>'Convert Gas'!J14</f>
        <v>136.37175323313983</v>
      </c>
      <c r="N236" s="295">
        <f>'Convert Gas'!J15</f>
        <v>143.44009977547938</v>
      </c>
      <c r="O236" s="295">
        <f>'Convert Gas'!J16</f>
        <v>152.4742911333127</v>
      </c>
      <c r="P236" s="295">
        <f>'Convert Gas'!J17</f>
        <v>178.34661812292373</v>
      </c>
      <c r="Q236" s="295">
        <f>'Convert Gas'!J18</f>
        <v>168.1989718889896</v>
      </c>
      <c r="R236" s="295">
        <f>'Convert Gas'!J19</f>
        <v>159.20475810599851</v>
      </c>
      <c r="S236" s="295">
        <f>'Convert Gas'!J20</f>
        <v>167.93503654630729</v>
      </c>
      <c r="T236" s="295">
        <f>'Convert Gas'!J21</f>
        <v>168.16742332675324</v>
      </c>
      <c r="U236" s="295">
        <f>'Convert Gas'!J22</f>
        <v>186.99653264351653</v>
      </c>
      <c r="V236" s="295">
        <f>'Convert Gas'!J23</f>
        <v>178.11319146590171</v>
      </c>
      <c r="W236" s="295">
        <f>'Convert Gas'!J24</f>
        <v>163.04174271663422</v>
      </c>
      <c r="X236" s="295">
        <f>'Convert Gas'!J25</f>
        <v>193.12383080302035</v>
      </c>
      <c r="Y236" s="295">
        <f>'Convert Gas'!J26</f>
        <v>250.29116706054705</v>
      </c>
      <c r="Z236" s="295">
        <f>'Convert Gas'!J27</f>
        <v>268.92253650716964</v>
      </c>
      <c r="AA236" s="295">
        <f>'Convert Gas'!J28</f>
        <v>283.29043074293213</v>
      </c>
      <c r="AB236" s="295">
        <f>'Convert Gas'!J29</f>
        <v>237.36889447701392</v>
      </c>
      <c r="AC236" s="295">
        <f>'Convert Gas'!J30</f>
        <v>0</v>
      </c>
      <c r="AD236" s="295">
        <f>'Convert Gas'!J31</f>
        <v>0</v>
      </c>
      <c r="AE236" s="295">
        <f>'Convert Gas'!J32</f>
        <v>0</v>
      </c>
      <c r="AF236" s="295">
        <f>'Convert Gas'!J33</f>
        <v>0</v>
      </c>
      <c r="AG236" s="295">
        <f>'Convert Gas'!J34</f>
        <v>0</v>
      </c>
      <c r="AH236" s="295">
        <f>'Convert Gas'!J35</f>
        <v>0</v>
      </c>
      <c r="AI236" s="295">
        <f>'Convert Gas'!J36</f>
        <v>0</v>
      </c>
      <c r="AJ236" s="295">
        <f>'Convert Gas'!J37</f>
        <v>0</v>
      </c>
      <c r="AL236" s="116">
        <f>SUM(G236:AJ236)</f>
        <v>4004.6777830398883</v>
      </c>
      <c r="CL236" s="39"/>
      <c r="CM236" s="142"/>
      <c r="VGC236" s="46"/>
      <c r="VGD236" s="46"/>
      <c r="VGE236" s="46"/>
      <c r="VGF236" s="46"/>
      <c r="VGG236" s="46"/>
      <c r="VGH236" s="46"/>
      <c r="VGI236" s="46"/>
      <c r="VGJ236" s="46"/>
      <c r="VGK236" s="46"/>
      <c r="VGL236" s="46"/>
      <c r="VGM236" s="46"/>
      <c r="VGN236" s="46"/>
      <c r="VGO236" s="46"/>
      <c r="VGP236" s="46"/>
      <c r="VGQ236" s="46"/>
      <c r="VGR236" s="46"/>
      <c r="VGS236" s="46"/>
      <c r="VGT236" s="46"/>
      <c r="VGU236" s="46"/>
      <c r="VGV236" s="46"/>
      <c r="VGW236" s="46"/>
      <c r="VGX236" s="46"/>
      <c r="VGY236" s="46"/>
      <c r="VGZ236" s="46"/>
      <c r="VHA236" s="46"/>
      <c r="VHB236" s="46"/>
      <c r="VHC236" s="46"/>
      <c r="VHD236" s="46"/>
      <c r="VHE236" s="46"/>
      <c r="VHF236" s="46"/>
      <c r="VHG236" s="46"/>
      <c r="VHH236" s="46"/>
      <c r="VHI236" s="46"/>
      <c r="VHJ236" s="46"/>
      <c r="VHK236" s="46"/>
      <c r="VHL236" s="46"/>
      <c r="VHM236" s="46"/>
      <c r="VHN236" s="46"/>
      <c r="VHO236" s="46"/>
      <c r="VHP236" s="46"/>
      <c r="VHQ236" s="46"/>
      <c r="VHR236" s="46"/>
      <c r="VHS236" s="46"/>
      <c r="VHT236" s="46"/>
      <c r="VHU236" s="46"/>
      <c r="VHV236" s="46"/>
      <c r="VHW236" s="46"/>
      <c r="VHX236" s="46"/>
      <c r="VHY236" s="46"/>
      <c r="VHZ236" s="46"/>
      <c r="VIA236" s="46"/>
      <c r="VIB236" s="46"/>
      <c r="VIC236" s="46"/>
      <c r="VID236" s="46"/>
      <c r="VIE236" s="46"/>
      <c r="VIF236" s="46"/>
      <c r="VIG236" s="46"/>
      <c r="VIH236" s="46"/>
      <c r="VII236" s="46"/>
      <c r="VIJ236" s="46"/>
      <c r="VIK236" s="46"/>
      <c r="VIL236" s="46"/>
      <c r="VIM236" s="46"/>
      <c r="VIN236" s="46"/>
      <c r="VIO236" s="46"/>
      <c r="VIP236" s="46"/>
      <c r="VIQ236" s="46"/>
      <c r="VIR236" s="46"/>
      <c r="VIS236" s="46"/>
      <c r="VIT236" s="46"/>
      <c r="VIU236" s="46"/>
      <c r="VIV236" s="46"/>
      <c r="VIW236" s="46"/>
      <c r="VIX236" s="46"/>
      <c r="VIY236" s="46"/>
      <c r="VIZ236" s="46"/>
      <c r="VJA236" s="46"/>
      <c r="VJB236" s="46"/>
      <c r="VJC236" s="46"/>
      <c r="VJD236" s="46"/>
      <c r="VJE236" s="46"/>
      <c r="VJF236" s="46"/>
      <c r="VJG236" s="46"/>
      <c r="VJH236" s="46"/>
      <c r="VJI236" s="46"/>
      <c r="VJJ236" s="46"/>
      <c r="VJK236" s="46"/>
      <c r="VJL236" s="46"/>
      <c r="VJM236" s="46"/>
      <c r="VJN236" s="46"/>
      <c r="VJO236" s="46"/>
      <c r="VJP236" s="46"/>
      <c r="VJQ236" s="46"/>
      <c r="VJR236" s="46"/>
      <c r="VJS236" s="46"/>
      <c r="VJT236" s="46"/>
      <c r="VJU236" s="46"/>
      <c r="VJV236" s="46"/>
      <c r="VJW236" s="46"/>
      <c r="VJX236" s="46"/>
      <c r="VJY236" s="46"/>
      <c r="VJZ236" s="46"/>
      <c r="VKA236" s="46"/>
      <c r="VKB236" s="46"/>
      <c r="VKC236" s="46"/>
      <c r="VKD236" s="46"/>
      <c r="VKE236" s="46"/>
      <c r="VKF236" s="46"/>
      <c r="VKG236" s="46"/>
      <c r="VKH236" s="46"/>
      <c r="VKI236" s="46"/>
      <c r="VKJ236" s="46"/>
      <c r="VKK236" s="46"/>
      <c r="VKL236" s="46"/>
      <c r="VKM236" s="46"/>
      <c r="VKN236" s="46"/>
      <c r="VKO236" s="46"/>
      <c r="VKP236" s="46"/>
      <c r="VKQ236" s="46"/>
      <c r="VKR236" s="46"/>
      <c r="VKS236" s="46"/>
      <c r="VKT236" s="46"/>
      <c r="VKU236" s="46"/>
      <c r="VKV236" s="46"/>
      <c r="VKW236" s="46"/>
      <c r="VKX236" s="46"/>
      <c r="VKY236" s="46"/>
      <c r="VKZ236" s="46"/>
      <c r="VLA236" s="46"/>
      <c r="VLB236" s="46"/>
      <c r="VLC236" s="46"/>
      <c r="VLD236" s="46"/>
      <c r="VLE236" s="46"/>
      <c r="VLF236" s="46"/>
      <c r="VLG236" s="46"/>
      <c r="VLH236" s="46"/>
      <c r="VLI236" s="46"/>
      <c r="VLJ236" s="46"/>
      <c r="VLK236" s="46"/>
      <c r="VLL236" s="46"/>
      <c r="VLM236" s="46"/>
      <c r="VLN236" s="46"/>
      <c r="VLO236" s="46"/>
      <c r="VLP236" s="46"/>
      <c r="VLQ236" s="46"/>
      <c r="VLR236" s="46"/>
      <c r="VLS236" s="46"/>
      <c r="VLT236" s="46"/>
      <c r="VLU236" s="46"/>
      <c r="VLV236" s="46"/>
      <c r="VLW236" s="46"/>
      <c r="VLX236" s="46"/>
      <c r="VLY236" s="46"/>
      <c r="VLZ236" s="46"/>
      <c r="VMA236" s="46"/>
      <c r="VMB236" s="46"/>
      <c r="VMC236" s="46"/>
      <c r="VMD236" s="46"/>
      <c r="VME236" s="46"/>
      <c r="VMF236" s="46"/>
      <c r="VMG236" s="46"/>
      <c r="VMH236" s="46"/>
      <c r="VMI236" s="46"/>
      <c r="VMJ236" s="46"/>
      <c r="VMK236" s="46"/>
      <c r="VML236" s="46"/>
      <c r="VMM236" s="46"/>
      <c r="VMN236" s="46"/>
      <c r="VMO236" s="46"/>
      <c r="VMP236" s="46"/>
      <c r="VMQ236" s="46"/>
      <c r="VMR236" s="46"/>
      <c r="VMS236" s="46"/>
      <c r="VMT236" s="46"/>
      <c r="VMU236" s="46"/>
      <c r="VMV236" s="46"/>
      <c r="VMW236" s="46"/>
      <c r="VMX236" s="46"/>
      <c r="VMY236" s="46"/>
      <c r="VMZ236" s="46"/>
      <c r="VNA236" s="46"/>
      <c r="VNB236" s="46"/>
      <c r="VNC236" s="46"/>
      <c r="VND236" s="46"/>
      <c r="VNE236" s="46"/>
      <c r="VNF236" s="46"/>
      <c r="VNG236" s="46"/>
      <c r="VNH236" s="46"/>
      <c r="VNI236" s="46"/>
      <c r="VNJ236" s="46"/>
      <c r="VNK236" s="46"/>
      <c r="VNL236" s="46"/>
      <c r="VNM236" s="46"/>
      <c r="VNN236" s="46"/>
      <c r="VNO236" s="46"/>
      <c r="VNP236" s="46"/>
      <c r="VNQ236" s="46"/>
      <c r="VNR236" s="46"/>
      <c r="VNS236" s="46"/>
      <c r="VNT236" s="46"/>
      <c r="VNU236" s="46"/>
      <c r="VNV236" s="46"/>
      <c r="VNW236" s="46"/>
      <c r="VNX236" s="46"/>
      <c r="VNY236" s="46"/>
      <c r="VNZ236" s="46"/>
      <c r="VOA236" s="46"/>
      <c r="VOB236" s="46"/>
      <c r="VOC236" s="46"/>
      <c r="VOD236" s="46"/>
      <c r="VOE236" s="46"/>
      <c r="VOF236" s="46"/>
      <c r="VOG236" s="46"/>
      <c r="VOH236" s="46"/>
      <c r="VOI236" s="46"/>
      <c r="VOJ236" s="46"/>
      <c r="VOK236" s="46"/>
      <c r="VOL236" s="46"/>
      <c r="VOM236" s="46"/>
      <c r="VON236" s="46"/>
      <c r="VOO236" s="46"/>
      <c r="VOP236" s="46"/>
      <c r="VOQ236" s="46"/>
      <c r="VOR236" s="46"/>
      <c r="VOS236" s="46"/>
      <c r="VOT236" s="46"/>
      <c r="VOU236" s="46"/>
      <c r="VOV236" s="46"/>
      <c r="VOW236" s="46"/>
      <c r="VOX236" s="46"/>
      <c r="VOY236" s="46"/>
      <c r="VOZ236" s="46"/>
      <c r="VPA236" s="46"/>
      <c r="VPB236" s="46"/>
      <c r="VPC236" s="46"/>
      <c r="VPD236" s="46"/>
      <c r="VPE236" s="46"/>
      <c r="VPF236" s="46"/>
      <c r="VPG236" s="46"/>
      <c r="VPH236" s="46"/>
      <c r="VPI236" s="46"/>
      <c r="VPJ236" s="46"/>
      <c r="VPK236" s="46"/>
      <c r="VPL236" s="46"/>
      <c r="VPM236" s="46"/>
      <c r="VPN236" s="46"/>
      <c r="VPO236" s="46"/>
      <c r="VPP236" s="46"/>
      <c r="VPQ236" s="46"/>
      <c r="VPR236" s="46"/>
      <c r="VPS236" s="46"/>
      <c r="VPT236" s="46"/>
      <c r="VPU236" s="46"/>
      <c r="VPV236" s="46"/>
      <c r="VPW236" s="46"/>
      <c r="VPX236" s="46"/>
      <c r="VPY236" s="46"/>
      <c r="VPZ236" s="46"/>
      <c r="VQA236" s="46"/>
      <c r="VQB236" s="46"/>
      <c r="VQC236" s="46"/>
      <c r="VQD236" s="46"/>
      <c r="VQE236" s="46"/>
      <c r="VQF236" s="46"/>
      <c r="VQG236" s="46"/>
      <c r="VQH236" s="46"/>
      <c r="VQI236" s="46"/>
      <c r="VQJ236" s="46"/>
      <c r="VQK236" s="46"/>
      <c r="VQL236" s="46"/>
      <c r="VQM236" s="46"/>
      <c r="VQN236" s="46"/>
      <c r="VQO236" s="46"/>
      <c r="VQP236" s="46"/>
      <c r="VQQ236" s="46"/>
      <c r="VQR236" s="46"/>
      <c r="VQS236" s="46"/>
      <c r="VQT236" s="46"/>
      <c r="VQU236" s="46"/>
      <c r="VQV236" s="46"/>
      <c r="VQW236" s="46"/>
      <c r="VQX236" s="46"/>
      <c r="VQY236" s="46"/>
      <c r="VQZ236" s="46"/>
      <c r="VRA236" s="46"/>
      <c r="VRB236" s="46"/>
      <c r="VRC236" s="46"/>
      <c r="VRD236" s="46"/>
      <c r="VRE236" s="46"/>
      <c r="VRF236" s="46"/>
      <c r="VRG236" s="46"/>
      <c r="VRH236" s="46"/>
      <c r="VRI236" s="46"/>
      <c r="VRJ236" s="46"/>
      <c r="VRK236" s="46"/>
      <c r="VRL236" s="46"/>
      <c r="VRM236" s="46"/>
      <c r="VRN236" s="46"/>
      <c r="VRO236" s="46"/>
      <c r="VRP236" s="46"/>
      <c r="VRQ236" s="46"/>
      <c r="VRR236" s="46"/>
      <c r="VRS236" s="46"/>
      <c r="VRT236" s="46"/>
      <c r="VRU236" s="46"/>
      <c r="VRV236" s="46"/>
      <c r="VRW236" s="46"/>
      <c r="VRX236" s="46"/>
      <c r="VRY236" s="46"/>
      <c r="VRZ236" s="46"/>
      <c r="VSA236" s="46"/>
      <c r="VSB236" s="46"/>
      <c r="VSC236" s="46"/>
      <c r="VSD236" s="46"/>
      <c r="VSE236" s="46"/>
      <c r="VSF236" s="46"/>
      <c r="VSG236" s="46"/>
      <c r="VSH236" s="46"/>
      <c r="VSI236" s="46"/>
      <c r="VSJ236" s="46"/>
      <c r="VSK236" s="46"/>
      <c r="VSL236" s="46"/>
      <c r="VSM236" s="46"/>
      <c r="VSN236" s="46"/>
      <c r="VSO236" s="46"/>
      <c r="VSP236" s="46"/>
      <c r="VSQ236" s="46"/>
      <c r="VSR236" s="46"/>
      <c r="VSS236" s="46"/>
      <c r="VST236" s="46"/>
      <c r="VSU236" s="46"/>
      <c r="VSV236" s="46"/>
      <c r="VSW236" s="46"/>
      <c r="VSX236" s="46"/>
      <c r="VSY236" s="46"/>
      <c r="VSZ236" s="46"/>
      <c r="VTA236" s="46"/>
      <c r="VTB236" s="46"/>
      <c r="VTC236" s="46"/>
      <c r="VTD236" s="46"/>
      <c r="VTE236" s="46"/>
      <c r="VTF236" s="46"/>
      <c r="VTG236" s="46"/>
      <c r="VTH236" s="46"/>
      <c r="VTI236" s="46"/>
      <c r="VTJ236" s="46"/>
      <c r="VTK236" s="46"/>
      <c r="VTL236" s="46"/>
      <c r="VTM236" s="46"/>
      <c r="VTN236" s="46"/>
      <c r="VTO236" s="46"/>
      <c r="VTP236" s="46"/>
      <c r="VTQ236" s="46"/>
      <c r="VTR236" s="46"/>
      <c r="VTS236" s="46"/>
      <c r="VTT236" s="46"/>
      <c r="VTU236" s="46"/>
      <c r="VTV236" s="46"/>
      <c r="VTW236" s="46"/>
      <c r="VTX236" s="46"/>
      <c r="VTY236" s="46"/>
      <c r="VTZ236" s="46"/>
      <c r="VUA236" s="46"/>
      <c r="VUB236" s="46"/>
      <c r="VUC236" s="46"/>
      <c r="VUD236" s="46"/>
      <c r="VUE236" s="46"/>
      <c r="VUF236" s="46"/>
      <c r="VUG236" s="46"/>
      <c r="VUH236" s="46"/>
      <c r="VUI236" s="46"/>
      <c r="VUJ236" s="46"/>
      <c r="VUK236" s="46"/>
      <c r="VUL236" s="46"/>
      <c r="VUM236" s="46"/>
      <c r="VUN236" s="46"/>
      <c r="VUO236" s="46"/>
      <c r="VUP236" s="46"/>
      <c r="VUQ236" s="46"/>
      <c r="VUR236" s="46"/>
      <c r="VUS236" s="46"/>
      <c r="VUT236" s="46"/>
      <c r="VUU236" s="46"/>
      <c r="VUV236" s="46"/>
      <c r="VUW236" s="46"/>
      <c r="VUX236" s="46"/>
      <c r="VUY236" s="46"/>
      <c r="VUZ236" s="46"/>
      <c r="VVA236" s="46"/>
      <c r="VVB236" s="46"/>
      <c r="VVC236" s="46"/>
      <c r="VVD236" s="46"/>
      <c r="VVE236" s="46"/>
    </row>
    <row r="237" spans="3:91 15057:15449" s="1" customFormat="1" x14ac:dyDescent="0.25">
      <c r="C237" s="15"/>
      <c r="D237" s="75" t="s">
        <v>388</v>
      </c>
      <c r="E237" s="955"/>
      <c r="F237" s="70"/>
      <c r="G237" s="956"/>
      <c r="H237" s="956"/>
      <c r="I237" s="956"/>
      <c r="J237" s="956"/>
      <c r="K237" s="956"/>
      <c r="L237" s="956"/>
      <c r="M237" s="956"/>
      <c r="N237" s="956"/>
      <c r="O237" s="956"/>
      <c r="P237" s="956"/>
      <c r="Q237" s="956"/>
      <c r="R237" s="956"/>
      <c r="S237" s="956"/>
      <c r="T237" s="956"/>
      <c r="U237" s="956"/>
      <c r="V237" s="956"/>
      <c r="W237" s="956"/>
      <c r="X237" s="956"/>
      <c r="Y237" s="956"/>
      <c r="Z237" s="956"/>
      <c r="AA237" s="956"/>
      <c r="AB237" s="956"/>
      <c r="AC237" s="956"/>
      <c r="AD237" s="956"/>
      <c r="AE237" s="956"/>
      <c r="AF237" s="956"/>
      <c r="AG237" s="956"/>
      <c r="AH237" s="956"/>
      <c r="AI237" s="956"/>
      <c r="AJ237" s="956"/>
      <c r="AK237" s="63"/>
      <c r="AL237" s="85">
        <f>AL236/AL9*1000</f>
        <v>0.19652564672396003</v>
      </c>
      <c r="CL237" s="39"/>
      <c r="CM237" s="142"/>
      <c r="VGC237" s="46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  <c r="VTZ237" s="46"/>
      <c r="VUA237" s="46"/>
      <c r="VUB237" s="46"/>
      <c r="VUC237" s="46"/>
      <c r="VUD237" s="46"/>
      <c r="VUE237" s="46"/>
      <c r="VUF237" s="46"/>
      <c r="VUG237" s="46"/>
      <c r="VUH237" s="46"/>
      <c r="VUI237" s="46"/>
      <c r="VUJ237" s="46"/>
      <c r="VUK237" s="46"/>
      <c r="VUL237" s="46"/>
      <c r="VUM237" s="46"/>
      <c r="VUN237" s="46"/>
      <c r="VUO237" s="46"/>
      <c r="VUP237" s="46"/>
      <c r="VUQ237" s="46"/>
      <c r="VUR237" s="46"/>
      <c r="VUS237" s="46"/>
      <c r="VUT237" s="46"/>
      <c r="VUU237" s="46"/>
      <c r="VUV237" s="46"/>
      <c r="VUW237" s="46"/>
      <c r="VUX237" s="46"/>
      <c r="VUY237" s="46"/>
      <c r="VUZ237" s="46"/>
      <c r="VVA237" s="46"/>
      <c r="VVB237" s="46"/>
      <c r="VVC237" s="46"/>
      <c r="VVD237" s="46"/>
      <c r="VVE237" s="46"/>
    </row>
    <row r="238" spans="3:91 15057:15449" s="1" customFormat="1" x14ac:dyDescent="0.25">
      <c r="C238" s="15"/>
      <c r="D238" s="14" t="s">
        <v>20</v>
      </c>
      <c r="E238" s="253">
        <v>1168.001</v>
      </c>
      <c r="F238" s="20" t="s">
        <v>19</v>
      </c>
      <c r="G238" s="296">
        <f t="shared" ref="G238" si="79">G232-G236</f>
        <v>996.66406966023953</v>
      </c>
      <c r="H238" s="296">
        <f>H232-H236</f>
        <v>927.2019979739398</v>
      </c>
      <c r="I238" s="296">
        <f t="shared" ref="I238:AJ238" si="80">I232-I236</f>
        <v>964.57766890022663</v>
      </c>
      <c r="J238" s="296">
        <f t="shared" si="80"/>
        <v>970.5334545079013</v>
      </c>
      <c r="K238" s="296">
        <v>967.06689130972927</v>
      </c>
      <c r="L238" s="296">
        <f t="shared" si="80"/>
        <v>1018.4407131577148</v>
      </c>
      <c r="M238" s="296">
        <f t="shared" si="80"/>
        <v>1054.9339467668601</v>
      </c>
      <c r="N238" s="296">
        <f t="shared" si="80"/>
        <v>1027.4355002245206</v>
      </c>
      <c r="O238" s="296">
        <f t="shared" si="80"/>
        <v>1047.8837088666874</v>
      </c>
      <c r="P238" s="296">
        <f t="shared" si="80"/>
        <v>1127.7765818770763</v>
      </c>
      <c r="Q238" s="296">
        <f t="shared" si="80"/>
        <v>951.84132811101028</v>
      </c>
      <c r="R238" s="296">
        <f t="shared" si="80"/>
        <v>1017.0492418940014</v>
      </c>
      <c r="S238" s="296">
        <f t="shared" si="80"/>
        <v>916.43636345369271</v>
      </c>
      <c r="T238" s="296">
        <f t="shared" si="80"/>
        <v>977.81507667324684</v>
      </c>
      <c r="U238" s="296">
        <f t="shared" si="80"/>
        <v>942.99996735648347</v>
      </c>
      <c r="V238" s="296">
        <f t="shared" si="80"/>
        <v>1014.5839085340983</v>
      </c>
      <c r="W238" s="296">
        <f t="shared" si="80"/>
        <v>943.28715728336579</v>
      </c>
      <c r="X238" s="296">
        <f t="shared" si="80"/>
        <v>1085.1076691969797</v>
      </c>
      <c r="Y238" s="296">
        <f t="shared" si="80"/>
        <v>970.38133293945282</v>
      </c>
      <c r="Z238" s="296">
        <f t="shared" si="80"/>
        <v>1076.7079634928305</v>
      </c>
      <c r="AA238" s="296">
        <f t="shared" si="80"/>
        <v>962.43296925706795</v>
      </c>
      <c r="AB238" s="296">
        <f t="shared" si="80"/>
        <v>1117.2583055229859</v>
      </c>
      <c r="AC238" s="296">
        <f t="shared" si="80"/>
        <v>829.29650000000004</v>
      </c>
      <c r="AD238" s="296">
        <f t="shared" si="80"/>
        <v>517.11310000000003</v>
      </c>
      <c r="AE238" s="296">
        <f t="shared" si="80"/>
        <v>547.40689999999995</v>
      </c>
      <c r="AF238" s="296">
        <f t="shared" si="80"/>
        <v>754.35929999999996</v>
      </c>
      <c r="AG238" s="296">
        <f t="shared" si="80"/>
        <v>45.368400000000001</v>
      </c>
      <c r="AH238" s="296">
        <f t="shared" si="80"/>
        <v>0</v>
      </c>
      <c r="AI238" s="296">
        <f t="shared" si="80"/>
        <v>3.8243999999999998</v>
      </c>
      <c r="AJ238" s="296">
        <f t="shared" si="80"/>
        <v>0</v>
      </c>
      <c r="AL238" s="116">
        <f>SUM(G238:AJ238)</f>
        <v>24775.784416960109</v>
      </c>
      <c r="AP238" s="39"/>
      <c r="CM238" s="142"/>
      <c r="VGC238" s="46"/>
      <c r="VGD238" s="46"/>
      <c r="VGE238" s="46"/>
      <c r="VGF238" s="46"/>
      <c r="VGG238" s="46"/>
      <c r="VGH238" s="46"/>
      <c r="VGI238" s="46"/>
      <c r="VGJ238" s="46"/>
      <c r="VGK238" s="46"/>
      <c r="VGL238" s="46"/>
      <c r="VGM238" s="46"/>
      <c r="VGN238" s="46"/>
      <c r="VGO238" s="46"/>
      <c r="VGP238" s="46"/>
      <c r="VGQ238" s="46"/>
      <c r="VGR238" s="46"/>
      <c r="VGS238" s="46"/>
      <c r="VGT238" s="46"/>
      <c r="VGU238" s="46"/>
      <c r="VGV238" s="46"/>
      <c r="VGW238" s="46"/>
      <c r="VGX238" s="46"/>
      <c r="VGY238" s="46"/>
      <c r="VGZ238" s="46"/>
      <c r="VHA238" s="46"/>
      <c r="VHB238" s="46"/>
      <c r="VHC238" s="46"/>
      <c r="VHD238" s="46"/>
      <c r="VHE238" s="46"/>
      <c r="VHF238" s="46"/>
      <c r="VHG238" s="46"/>
      <c r="VHH238" s="46"/>
      <c r="VHI238" s="46"/>
      <c r="VHJ238" s="46"/>
      <c r="VHK238" s="46"/>
      <c r="VHL238" s="46"/>
      <c r="VHM238" s="46"/>
      <c r="VHN238" s="46"/>
      <c r="VHO238" s="46"/>
      <c r="VHP238" s="46"/>
      <c r="VHQ238" s="46"/>
      <c r="VHR238" s="46"/>
      <c r="VHS238" s="46"/>
      <c r="VHT238" s="46"/>
      <c r="VHU238" s="46"/>
      <c r="VHV238" s="46"/>
      <c r="VHW238" s="46"/>
      <c r="VHX238" s="46"/>
      <c r="VHY238" s="46"/>
      <c r="VHZ238" s="46"/>
      <c r="VIA238" s="46"/>
      <c r="VIB238" s="46"/>
      <c r="VIC238" s="46"/>
      <c r="VID238" s="46"/>
      <c r="VIE238" s="46"/>
      <c r="VIF238" s="46"/>
      <c r="VIG238" s="46"/>
      <c r="VIH238" s="46"/>
      <c r="VII238" s="46"/>
      <c r="VIJ238" s="46"/>
      <c r="VIK238" s="46"/>
      <c r="VIL238" s="46"/>
      <c r="VIM238" s="46"/>
      <c r="VIN238" s="46"/>
      <c r="VIO238" s="46"/>
      <c r="VIP238" s="46"/>
      <c r="VIQ238" s="46"/>
      <c r="VIR238" s="46"/>
      <c r="VIS238" s="46"/>
      <c r="VIT238" s="46"/>
      <c r="VIU238" s="46"/>
      <c r="VIV238" s="46"/>
      <c r="VIW238" s="46"/>
      <c r="VIX238" s="46"/>
      <c r="VIY238" s="46"/>
      <c r="VIZ238" s="46"/>
      <c r="VJA238" s="46"/>
      <c r="VJB238" s="46"/>
      <c r="VJC238" s="46"/>
      <c r="VJD238" s="46"/>
      <c r="VJE238" s="46"/>
      <c r="VJF238" s="46"/>
      <c r="VJG238" s="46"/>
      <c r="VJH238" s="46"/>
      <c r="VJI238" s="46"/>
      <c r="VJJ238" s="46"/>
      <c r="VJK238" s="46"/>
      <c r="VJL238" s="46"/>
      <c r="VJM238" s="46"/>
      <c r="VJN238" s="46"/>
      <c r="VJO238" s="46"/>
      <c r="VJP238" s="46"/>
      <c r="VJQ238" s="46"/>
      <c r="VJR238" s="46"/>
      <c r="VJS238" s="46"/>
      <c r="VJT238" s="46"/>
      <c r="VJU238" s="46"/>
      <c r="VJV238" s="46"/>
      <c r="VJW238" s="46"/>
      <c r="VJX238" s="46"/>
      <c r="VJY238" s="46"/>
      <c r="VJZ238" s="46"/>
      <c r="VKA238" s="46"/>
      <c r="VKB238" s="46"/>
      <c r="VKC238" s="46"/>
      <c r="VKD238" s="46"/>
      <c r="VKE238" s="46"/>
      <c r="VKF238" s="46"/>
      <c r="VKG238" s="46"/>
      <c r="VKH238" s="46"/>
      <c r="VKI238" s="46"/>
      <c r="VKJ238" s="46"/>
      <c r="VKK238" s="46"/>
      <c r="VKL238" s="46"/>
      <c r="VKM238" s="46"/>
      <c r="VKN238" s="46"/>
      <c r="VKO238" s="46"/>
      <c r="VKP238" s="46"/>
      <c r="VKQ238" s="46"/>
      <c r="VKR238" s="46"/>
      <c r="VKS238" s="46"/>
      <c r="VKT238" s="46"/>
      <c r="VKU238" s="46"/>
      <c r="VKV238" s="46"/>
      <c r="VKW238" s="46"/>
      <c r="VKX238" s="46"/>
      <c r="VKY238" s="46"/>
      <c r="VKZ238" s="46"/>
      <c r="VLA238" s="46"/>
      <c r="VLB238" s="46"/>
      <c r="VLC238" s="46"/>
      <c r="VLD238" s="46"/>
      <c r="VLE238" s="46"/>
      <c r="VLF238" s="46"/>
      <c r="VLG238" s="46"/>
      <c r="VLH238" s="46"/>
      <c r="VLI238" s="46"/>
      <c r="VLJ238" s="46"/>
      <c r="VLK238" s="46"/>
      <c r="VLL238" s="46"/>
      <c r="VLM238" s="46"/>
      <c r="VLN238" s="46"/>
      <c r="VLO238" s="46"/>
      <c r="VLP238" s="46"/>
      <c r="VLQ238" s="46"/>
      <c r="VLR238" s="46"/>
      <c r="VLS238" s="46"/>
      <c r="VLT238" s="46"/>
      <c r="VLU238" s="46"/>
      <c r="VLV238" s="46"/>
      <c r="VLW238" s="46"/>
      <c r="VLX238" s="46"/>
      <c r="VLY238" s="46"/>
      <c r="VLZ238" s="46"/>
      <c r="VMA238" s="46"/>
      <c r="VMB238" s="46"/>
      <c r="VMC238" s="46"/>
      <c r="VMD238" s="46"/>
      <c r="VME238" s="46"/>
      <c r="VMF238" s="46"/>
      <c r="VMG238" s="46"/>
      <c r="VMH238" s="46"/>
      <c r="VMI238" s="46"/>
      <c r="VMJ238" s="46"/>
      <c r="VMK238" s="46"/>
      <c r="VML238" s="46"/>
      <c r="VMM238" s="46"/>
      <c r="VMN238" s="46"/>
      <c r="VMO238" s="46"/>
      <c r="VMP238" s="46"/>
      <c r="VMQ238" s="46"/>
      <c r="VMR238" s="46"/>
      <c r="VMS238" s="46"/>
      <c r="VMT238" s="46"/>
      <c r="VMU238" s="46"/>
      <c r="VMV238" s="46"/>
      <c r="VMW238" s="46"/>
      <c r="VMX238" s="46"/>
      <c r="VMY238" s="46"/>
      <c r="VMZ238" s="46"/>
      <c r="VNA238" s="46"/>
      <c r="VNB238" s="46"/>
      <c r="VNC238" s="46"/>
      <c r="VND238" s="46"/>
      <c r="VNE238" s="46"/>
      <c r="VNF238" s="46"/>
      <c r="VNG238" s="46"/>
      <c r="VNH238" s="46"/>
      <c r="VNI238" s="46"/>
      <c r="VNJ238" s="46"/>
      <c r="VNK238" s="46"/>
      <c r="VNL238" s="46"/>
      <c r="VNM238" s="46"/>
      <c r="VNN238" s="46"/>
      <c r="VNO238" s="46"/>
      <c r="VNP238" s="46"/>
      <c r="VNQ238" s="46"/>
      <c r="VNR238" s="46"/>
      <c r="VNS238" s="46"/>
      <c r="VNT238" s="46"/>
      <c r="VNU238" s="46"/>
      <c r="VNV238" s="46"/>
      <c r="VNW238" s="46"/>
      <c r="VNX238" s="46"/>
      <c r="VNY238" s="46"/>
      <c r="VNZ238" s="46"/>
      <c r="VOA238" s="46"/>
      <c r="VOB238" s="46"/>
      <c r="VOC238" s="46"/>
      <c r="VOD238" s="46"/>
      <c r="VOE238" s="46"/>
      <c r="VOF238" s="46"/>
      <c r="VOG238" s="46"/>
      <c r="VOH238" s="46"/>
      <c r="VOI238" s="46"/>
      <c r="VOJ238" s="46"/>
      <c r="VOK238" s="46"/>
      <c r="VOL238" s="46"/>
      <c r="VOM238" s="46"/>
      <c r="VON238" s="46"/>
      <c r="VOO238" s="46"/>
      <c r="VOP238" s="46"/>
      <c r="VOQ238" s="46"/>
      <c r="VOR238" s="46"/>
      <c r="VOS238" s="46"/>
      <c r="VOT238" s="46"/>
      <c r="VOU238" s="46"/>
      <c r="VOV238" s="46"/>
      <c r="VOW238" s="46"/>
      <c r="VOX238" s="46"/>
      <c r="VOY238" s="46"/>
      <c r="VOZ238" s="46"/>
      <c r="VPA238" s="46"/>
      <c r="VPB238" s="46"/>
      <c r="VPC238" s="46"/>
      <c r="VPD238" s="46"/>
      <c r="VPE238" s="46"/>
      <c r="VPF238" s="46"/>
      <c r="VPG238" s="46"/>
      <c r="VPH238" s="46"/>
      <c r="VPI238" s="46"/>
      <c r="VPJ238" s="46"/>
      <c r="VPK238" s="46"/>
      <c r="VPL238" s="46"/>
      <c r="VPM238" s="46"/>
      <c r="VPN238" s="46"/>
      <c r="VPO238" s="46"/>
      <c r="VPP238" s="46"/>
      <c r="VPQ238" s="46"/>
      <c r="VPR238" s="46"/>
      <c r="VPS238" s="46"/>
      <c r="VPT238" s="46"/>
      <c r="VPU238" s="46"/>
      <c r="VPV238" s="46"/>
      <c r="VPW238" s="46"/>
      <c r="VPX238" s="46"/>
      <c r="VPY238" s="46"/>
      <c r="VPZ238" s="46"/>
      <c r="VQA238" s="46"/>
      <c r="VQB238" s="46"/>
      <c r="VQC238" s="46"/>
      <c r="VQD238" s="46"/>
      <c r="VQE238" s="46"/>
      <c r="VQF238" s="46"/>
      <c r="VQG238" s="46"/>
      <c r="VQH238" s="46"/>
      <c r="VQI238" s="46"/>
      <c r="VQJ238" s="46"/>
      <c r="VQK238" s="46"/>
      <c r="VQL238" s="46"/>
      <c r="VQM238" s="46"/>
      <c r="VQN238" s="46"/>
      <c r="VQO238" s="46"/>
      <c r="VQP238" s="46"/>
      <c r="VQQ238" s="46"/>
      <c r="VQR238" s="46"/>
      <c r="VQS238" s="46"/>
      <c r="VQT238" s="46"/>
      <c r="VQU238" s="46"/>
      <c r="VQV238" s="46"/>
      <c r="VQW238" s="46"/>
      <c r="VQX238" s="46"/>
      <c r="VQY238" s="46"/>
      <c r="VQZ238" s="46"/>
      <c r="VRA238" s="46"/>
      <c r="VRB238" s="46"/>
      <c r="VRC238" s="46"/>
      <c r="VRD238" s="46"/>
      <c r="VRE238" s="46"/>
      <c r="VRF238" s="46"/>
      <c r="VRG238" s="46"/>
      <c r="VRH238" s="46"/>
      <c r="VRI238" s="46"/>
      <c r="VRJ238" s="46"/>
      <c r="VRK238" s="46"/>
      <c r="VRL238" s="46"/>
      <c r="VRM238" s="46"/>
      <c r="VRN238" s="46"/>
      <c r="VRO238" s="46"/>
      <c r="VRP238" s="46"/>
      <c r="VRQ238" s="46"/>
      <c r="VRR238" s="46"/>
      <c r="VRS238" s="46"/>
      <c r="VRT238" s="46"/>
      <c r="VRU238" s="46"/>
      <c r="VRV238" s="46"/>
      <c r="VRW238" s="46"/>
      <c r="VRX238" s="46"/>
      <c r="VRY238" s="46"/>
      <c r="VRZ238" s="46"/>
      <c r="VSA238" s="46"/>
      <c r="VSB238" s="46"/>
      <c r="VSC238" s="46"/>
      <c r="VSD238" s="46"/>
      <c r="VSE238" s="46"/>
      <c r="VSF238" s="46"/>
      <c r="VSG238" s="46"/>
      <c r="VSH238" s="46"/>
      <c r="VSI238" s="46"/>
      <c r="VSJ238" s="46"/>
      <c r="VSK238" s="46"/>
      <c r="VSL238" s="46"/>
      <c r="VSM238" s="46"/>
      <c r="VSN238" s="46"/>
      <c r="VSO238" s="46"/>
      <c r="VSP238" s="46"/>
      <c r="VSQ238" s="46"/>
      <c r="VSR238" s="46"/>
      <c r="VSS238" s="46"/>
      <c r="VST238" s="46"/>
      <c r="VSU238" s="46"/>
      <c r="VSV238" s="46"/>
      <c r="VSW238" s="46"/>
      <c r="VSX238" s="46"/>
      <c r="VSY238" s="46"/>
      <c r="VSZ238" s="46"/>
      <c r="VTA238" s="46"/>
      <c r="VTB238" s="46"/>
      <c r="VTC238" s="46"/>
      <c r="VTD238" s="46"/>
      <c r="VTE238" s="46"/>
      <c r="VTF238" s="46"/>
      <c r="VTG238" s="46"/>
      <c r="VTH238" s="46"/>
      <c r="VTI238" s="46"/>
      <c r="VTJ238" s="46"/>
      <c r="VTK238" s="46"/>
      <c r="VTL238" s="46"/>
      <c r="VTM238" s="46"/>
      <c r="VTN238" s="46"/>
      <c r="VTO238" s="46"/>
      <c r="VTP238" s="46"/>
      <c r="VTQ238" s="46"/>
      <c r="VTR238" s="46"/>
      <c r="VTS238" s="46"/>
      <c r="VTT238" s="46"/>
      <c r="VTU238" s="46"/>
      <c r="VTV238" s="46"/>
      <c r="VTW238" s="46"/>
      <c r="VTX238" s="46"/>
      <c r="VTY238" s="46"/>
      <c r="VTZ238" s="46"/>
      <c r="VUA238" s="46"/>
      <c r="VUB238" s="46"/>
      <c r="VUC238" s="46"/>
      <c r="VUD238" s="46"/>
      <c r="VUE238" s="46"/>
      <c r="VUF238" s="46"/>
      <c r="VUG238" s="46"/>
      <c r="VUH238" s="46"/>
      <c r="VUI238" s="46"/>
      <c r="VUJ238" s="46"/>
      <c r="VUK238" s="46"/>
      <c r="VUL238" s="46"/>
      <c r="VUM238" s="46"/>
      <c r="VUN238" s="46"/>
      <c r="VUO238" s="46"/>
      <c r="VUP238" s="46"/>
      <c r="VUQ238" s="46"/>
      <c r="VUR238" s="46"/>
      <c r="VUS238" s="46"/>
      <c r="VUT238" s="46"/>
      <c r="VUU238" s="46"/>
      <c r="VUV238" s="46"/>
      <c r="VUW238" s="46"/>
      <c r="VUX238" s="46"/>
      <c r="VUY238" s="46"/>
      <c r="VUZ238" s="46"/>
      <c r="VVA238" s="46"/>
      <c r="VVB238" s="46"/>
      <c r="VVC238" s="46"/>
      <c r="VVD238" s="46"/>
      <c r="VVE238" s="46"/>
    </row>
    <row r="239" spans="3:91 15057:15449" s="2" customFormat="1" ht="15.75" thickBot="1" x14ac:dyDescent="0.3">
      <c r="C239" s="40"/>
      <c r="D239" s="41" t="s">
        <v>1</v>
      </c>
      <c r="E239" s="262">
        <v>1460.001</v>
      </c>
      <c r="F239" s="25" t="s">
        <v>19</v>
      </c>
      <c r="G239" s="297">
        <f t="shared" ref="G239" si="81">G236+G238</f>
        <v>1177.8932</v>
      </c>
      <c r="H239" s="297">
        <f>H236+H238</f>
        <v>1088.1561999999999</v>
      </c>
      <c r="I239" s="297">
        <f t="shared" ref="I239:AJ239" si="82">I236+I238</f>
        <v>1115.2782999999999</v>
      </c>
      <c r="J239" s="297">
        <f t="shared" si="82"/>
        <v>1135.7344000000001</v>
      </c>
      <c r="K239" s="297">
        <v>1131.5059000000001</v>
      </c>
      <c r="L239" s="297">
        <f t="shared" si="82"/>
        <v>1165.3072999999999</v>
      </c>
      <c r="M239" s="297">
        <f t="shared" si="82"/>
        <v>1191.3056999999999</v>
      </c>
      <c r="N239" s="297">
        <f t="shared" si="82"/>
        <v>1170.8756000000001</v>
      </c>
      <c r="O239" s="297">
        <f t="shared" si="82"/>
        <v>1200.3580000000002</v>
      </c>
      <c r="P239" s="297">
        <f t="shared" si="82"/>
        <v>1306.1232</v>
      </c>
      <c r="Q239" s="297">
        <f t="shared" si="82"/>
        <v>1120.0402999999999</v>
      </c>
      <c r="R239" s="297">
        <f t="shared" si="82"/>
        <v>1176.2539999999999</v>
      </c>
      <c r="S239" s="297">
        <f t="shared" si="82"/>
        <v>1084.3714</v>
      </c>
      <c r="T239" s="297">
        <f t="shared" si="82"/>
        <v>1145.9825000000001</v>
      </c>
      <c r="U239" s="297">
        <f t="shared" si="82"/>
        <v>1129.9965</v>
      </c>
      <c r="V239" s="297">
        <f t="shared" si="82"/>
        <v>1192.6971000000001</v>
      </c>
      <c r="W239" s="297">
        <f t="shared" si="82"/>
        <v>1106.3289</v>
      </c>
      <c r="X239" s="297">
        <f t="shared" si="82"/>
        <v>1278.2315000000001</v>
      </c>
      <c r="Y239" s="297">
        <f t="shared" si="82"/>
        <v>1220.6724999999999</v>
      </c>
      <c r="Z239" s="297">
        <f t="shared" si="82"/>
        <v>1345.6305000000002</v>
      </c>
      <c r="AA239" s="297">
        <f t="shared" si="82"/>
        <v>1245.7234000000001</v>
      </c>
      <c r="AB239" s="297">
        <f t="shared" si="82"/>
        <v>1354.6271999999999</v>
      </c>
      <c r="AC239" s="297">
        <f t="shared" si="82"/>
        <v>829.29650000000004</v>
      </c>
      <c r="AD239" s="297">
        <f t="shared" si="82"/>
        <v>517.11310000000003</v>
      </c>
      <c r="AE239" s="297">
        <f t="shared" si="82"/>
        <v>547.40689999999995</v>
      </c>
      <c r="AF239" s="297">
        <f t="shared" si="82"/>
        <v>754.35929999999996</v>
      </c>
      <c r="AG239" s="297">
        <f t="shared" si="82"/>
        <v>45.368400000000001</v>
      </c>
      <c r="AH239" s="297">
        <f t="shared" si="82"/>
        <v>0</v>
      </c>
      <c r="AI239" s="297">
        <f t="shared" si="82"/>
        <v>3.8243999999999998</v>
      </c>
      <c r="AJ239" s="297">
        <f t="shared" si="82"/>
        <v>0</v>
      </c>
      <c r="AL239" s="118">
        <f>SUM(G239:AJ239)</f>
        <v>28780.462200000002</v>
      </c>
      <c r="CM239" s="152"/>
    </row>
    <row r="240" spans="3:91 15057:15449" s="2" customFormat="1" x14ac:dyDescent="0.25">
      <c r="C240" s="8">
        <v>5</v>
      </c>
      <c r="D240" s="119" t="s">
        <v>18</v>
      </c>
      <c r="E240" s="120"/>
      <c r="F240" s="120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  <c r="AH240" s="298"/>
      <c r="AI240" s="298"/>
      <c r="AJ240" s="298"/>
      <c r="AL240" s="137" t="s">
        <v>134</v>
      </c>
      <c r="CM240" s="152"/>
    </row>
    <row r="241" spans="3:91 15057:15449" s="2" customFormat="1" x14ac:dyDescent="0.25">
      <c r="C241" s="8"/>
      <c r="D241" s="236" t="s">
        <v>4</v>
      </c>
      <c r="E241" s="235">
        <v>408000</v>
      </c>
      <c r="F241" s="237" t="s">
        <v>14</v>
      </c>
      <c r="G241" s="299">
        <v>230353</v>
      </c>
      <c r="H241" s="299">
        <v>209987</v>
      </c>
      <c r="I241" s="299">
        <v>222995</v>
      </c>
      <c r="J241" s="299">
        <v>227131</v>
      </c>
      <c r="K241" s="299">
        <v>218110</v>
      </c>
      <c r="L241" s="299">
        <v>240940</v>
      </c>
      <c r="M241" s="299">
        <v>252335</v>
      </c>
      <c r="N241" s="299">
        <v>249526</v>
      </c>
      <c r="O241" s="299">
        <v>255341</v>
      </c>
      <c r="P241" s="299">
        <v>282228</v>
      </c>
      <c r="Q241" s="299">
        <v>223054</v>
      </c>
      <c r="R241" s="299">
        <v>248627</v>
      </c>
      <c r="S241" s="299">
        <v>214908</v>
      </c>
      <c r="T241" s="299">
        <v>237466</v>
      </c>
      <c r="U241" s="299">
        <v>224189</v>
      </c>
      <c r="V241" s="299">
        <v>232580</v>
      </c>
      <c r="W241" s="299">
        <v>225150</v>
      </c>
      <c r="X241" s="299">
        <v>281850</v>
      </c>
      <c r="Y241" s="299">
        <v>245276</v>
      </c>
      <c r="Z241" s="299">
        <v>279632</v>
      </c>
      <c r="AA241" s="299">
        <v>236319</v>
      </c>
      <c r="AB241" s="299">
        <v>278927</v>
      </c>
      <c r="AC241" s="299">
        <v>146610</v>
      </c>
      <c r="AD241" s="299">
        <v>3416</v>
      </c>
      <c r="AE241" s="299">
        <v>16027</v>
      </c>
      <c r="AF241" s="299">
        <v>99679</v>
      </c>
      <c r="AG241" s="299">
        <v>0</v>
      </c>
      <c r="AH241" s="299">
        <v>0</v>
      </c>
      <c r="AI241" s="299">
        <v>0</v>
      </c>
      <c r="AJ241" s="299">
        <v>0</v>
      </c>
      <c r="AL241" s="828">
        <f>SUM(G241:AJ241)</f>
        <v>5582656</v>
      </c>
      <c r="CM241" s="152"/>
    </row>
    <row r="242" spans="3:91 15057:15449" s="2" customFormat="1" x14ac:dyDescent="0.25">
      <c r="C242" s="8"/>
      <c r="D242" s="30" t="s">
        <v>17</v>
      </c>
      <c r="E242" s="263"/>
      <c r="F242" s="1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83"/>
      <c r="AB242" s="283"/>
      <c r="AC242" s="283"/>
      <c r="AD242" s="283"/>
      <c r="AE242" s="283"/>
      <c r="AF242" s="283"/>
      <c r="AG242" s="283"/>
      <c r="AH242" s="283"/>
      <c r="AI242" s="283"/>
      <c r="AJ242" s="283"/>
      <c r="AL242" s="64">
        <f>AL244+AL246+AL248</f>
        <v>345.23091525993698</v>
      </c>
      <c r="AN242" s="27"/>
      <c r="CM242" s="152"/>
    </row>
    <row r="243" spans="3:91 15057:15449" s="1" customFormat="1" x14ac:dyDescent="0.25">
      <c r="C243" s="15"/>
      <c r="D243" s="236" t="s">
        <v>16</v>
      </c>
      <c r="E243" s="235">
        <f>180000</f>
        <v>180000</v>
      </c>
      <c r="F243" s="237" t="s">
        <v>364</v>
      </c>
      <c r="G243" s="276">
        <v>152900</v>
      </c>
      <c r="H243" s="276">
        <v>143000</v>
      </c>
      <c r="I243" s="276">
        <v>147300</v>
      </c>
      <c r="J243" s="276">
        <v>153700</v>
      </c>
      <c r="K243" s="276">
        <v>152300</v>
      </c>
      <c r="L243" s="276">
        <v>159600</v>
      </c>
      <c r="M243" s="276">
        <v>158600</v>
      </c>
      <c r="N243" s="276">
        <v>162600</v>
      </c>
      <c r="O243" s="276">
        <v>162900</v>
      </c>
      <c r="P243" s="276">
        <v>161800</v>
      </c>
      <c r="Q243" s="276">
        <v>167000</v>
      </c>
      <c r="R243" s="276">
        <v>177500</v>
      </c>
      <c r="S243" s="276">
        <v>158300</v>
      </c>
      <c r="T243" s="276">
        <v>172200</v>
      </c>
      <c r="U243" s="276">
        <v>169800</v>
      </c>
      <c r="V243" s="276">
        <v>173500</v>
      </c>
      <c r="W243" s="276">
        <v>164700</v>
      </c>
      <c r="X243" s="276">
        <v>152300</v>
      </c>
      <c r="Y243" s="276">
        <v>165000</v>
      </c>
      <c r="Z243" s="276">
        <v>173200</v>
      </c>
      <c r="AA243" s="276">
        <v>171600</v>
      </c>
      <c r="AB243" s="276">
        <v>153800</v>
      </c>
      <c r="AC243" s="276">
        <v>58000</v>
      </c>
      <c r="AD243" s="276">
        <v>200</v>
      </c>
      <c r="AE243" s="276">
        <v>100</v>
      </c>
      <c r="AF243" s="276">
        <v>0</v>
      </c>
      <c r="AG243" s="276">
        <v>0</v>
      </c>
      <c r="AH243" s="276">
        <v>0</v>
      </c>
      <c r="AI243" s="276">
        <v>0</v>
      </c>
      <c r="AJ243" s="276">
        <v>0</v>
      </c>
      <c r="AL243" s="828">
        <f>SUM(G243:AJ243)</f>
        <v>3611900</v>
      </c>
      <c r="CM243" s="142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  <c r="VUB243" s="46"/>
      <c r="VUC243" s="46"/>
      <c r="VUD243" s="46"/>
      <c r="VUE243" s="46"/>
      <c r="VUF243" s="46"/>
      <c r="VUG243" s="46"/>
      <c r="VUH243" s="46"/>
      <c r="VUI243" s="46"/>
      <c r="VUJ243" s="46"/>
      <c r="VUK243" s="46"/>
      <c r="VUL243" s="46"/>
      <c r="VUM243" s="46"/>
      <c r="VUN243" s="46"/>
      <c r="VUO243" s="46"/>
      <c r="VUP243" s="46"/>
      <c r="VUQ243" s="46"/>
      <c r="VUR243" s="46"/>
      <c r="VUS243" s="46"/>
      <c r="VUT243" s="46"/>
      <c r="VUU243" s="46"/>
      <c r="VUV243" s="46"/>
      <c r="VUW243" s="46"/>
      <c r="VUX243" s="46"/>
      <c r="VUY243" s="46"/>
      <c r="VUZ243" s="46"/>
      <c r="VVA243" s="46"/>
      <c r="VVB243" s="46"/>
      <c r="VVC243" s="46"/>
      <c r="VVD243" s="46"/>
      <c r="VVE243" s="46"/>
    </row>
    <row r="244" spans="3:91 15057:15449" s="1" customFormat="1" x14ac:dyDescent="0.25">
      <c r="C244" s="15"/>
      <c r="D244" s="14"/>
      <c r="E244" s="235">
        <f>E243/2000</f>
        <v>90</v>
      </c>
      <c r="F244" s="20" t="s">
        <v>365</v>
      </c>
      <c r="G244" s="33">
        <f t="shared" ref="G244" si="83">G243/G9*1000</f>
        <v>177.87611957835563</v>
      </c>
      <c r="H244" s="33">
        <f>H243/H9*1000</f>
        <v>266.14554252745211</v>
      </c>
      <c r="I244" s="33">
        <f t="shared" ref="I244:AJ244" si="84">I243/I9*1000</f>
        <v>199.91829544205285</v>
      </c>
      <c r="J244" s="33">
        <f t="shared" si="84"/>
        <v>171.81074213968651</v>
      </c>
      <c r="K244" s="33">
        <v>169.10873147354442</v>
      </c>
      <c r="L244" s="33">
        <f t="shared" si="84"/>
        <v>188.61346648151977</v>
      </c>
      <c r="M244" s="33">
        <f t="shared" si="84"/>
        <v>210.39114712257606</v>
      </c>
      <c r="N244" s="33">
        <f t="shared" si="84"/>
        <v>233.37155881006339</v>
      </c>
      <c r="O244" s="33">
        <f t="shared" si="84"/>
        <v>196.59809267264788</v>
      </c>
      <c r="P244" s="33">
        <f t="shared" si="84"/>
        <v>161.21157774124444</v>
      </c>
      <c r="Q244" s="33">
        <f t="shared" si="84"/>
        <v>166.86500620997612</v>
      </c>
      <c r="R244" s="33">
        <f t="shared" si="84"/>
        <v>191.76791652531659</v>
      </c>
      <c r="S244" s="33">
        <f t="shared" si="84"/>
        <v>196.97237409570641</v>
      </c>
      <c r="T244" s="33">
        <f t="shared" si="84"/>
        <v>170.4970752127748</v>
      </c>
      <c r="U244" s="33">
        <f t="shared" si="84"/>
        <v>162.93646437468092</v>
      </c>
      <c r="V244" s="33">
        <f t="shared" si="84"/>
        <v>174.95580727231291</v>
      </c>
      <c r="W244" s="33">
        <f t="shared" si="84"/>
        <v>259.85049524632939</v>
      </c>
      <c r="X244" s="33">
        <f t="shared" si="84"/>
        <v>136.70656559536474</v>
      </c>
      <c r="Y244" s="33">
        <f t="shared" si="84"/>
        <v>121.50050919758856</v>
      </c>
      <c r="Z244" s="33">
        <f t="shared" si="84"/>
        <v>110.08287995118727</v>
      </c>
      <c r="AA244" s="33">
        <f t="shared" si="84"/>
        <v>119.67086328301254</v>
      </c>
      <c r="AB244" s="33">
        <f t="shared" si="84"/>
        <v>355.6595658085821</v>
      </c>
      <c r="AC244" s="33" t="e">
        <f t="shared" si="84"/>
        <v>#DIV/0!</v>
      </c>
      <c r="AD244" s="33" t="e">
        <f t="shared" si="84"/>
        <v>#DIV/0!</v>
      </c>
      <c r="AE244" s="33" t="e">
        <f t="shared" si="84"/>
        <v>#DIV/0!</v>
      </c>
      <c r="AF244" s="33" t="e">
        <f t="shared" si="84"/>
        <v>#DIV/0!</v>
      </c>
      <c r="AG244" s="33" t="e">
        <f t="shared" si="84"/>
        <v>#DIV/0!</v>
      </c>
      <c r="AH244" s="33" t="e">
        <f t="shared" si="84"/>
        <v>#DIV/0!</v>
      </c>
      <c r="AI244" s="33" t="e">
        <f t="shared" si="84"/>
        <v>#DIV/0!</v>
      </c>
      <c r="AJ244" s="33" t="e">
        <f t="shared" si="84"/>
        <v>#DIV/0!</v>
      </c>
      <c r="AL244" s="1534">
        <f>AL243/AL9*1000</f>
        <v>177.25046105043927</v>
      </c>
      <c r="CM244" s="142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  <c r="VUB244" s="46"/>
      <c r="VUC244" s="46"/>
      <c r="VUD244" s="46"/>
      <c r="VUE244" s="46"/>
      <c r="VUF244" s="46"/>
      <c r="VUG244" s="46"/>
      <c r="VUH244" s="46"/>
      <c r="VUI244" s="46"/>
      <c r="VUJ244" s="46"/>
      <c r="VUK244" s="46"/>
      <c r="VUL244" s="46"/>
      <c r="VUM244" s="46"/>
      <c r="VUN244" s="46"/>
      <c r="VUO244" s="46"/>
      <c r="VUP244" s="46"/>
      <c r="VUQ244" s="46"/>
      <c r="VUR244" s="46"/>
      <c r="VUS244" s="46"/>
      <c r="VUT244" s="46"/>
      <c r="VUU244" s="46"/>
      <c r="VUV244" s="46"/>
      <c r="VUW244" s="46"/>
      <c r="VUX244" s="46"/>
      <c r="VUY244" s="46"/>
      <c r="VUZ244" s="46"/>
      <c r="VVA244" s="46"/>
      <c r="VVB244" s="46"/>
      <c r="VVC244" s="46"/>
      <c r="VVD244" s="46"/>
      <c r="VVE244" s="46"/>
    </row>
    <row r="245" spans="3:91 15057:15449" s="1" customFormat="1" x14ac:dyDescent="0.25">
      <c r="C245" s="15"/>
      <c r="D245" s="236" t="s">
        <v>15</v>
      </c>
      <c r="E245" s="235">
        <v>122000</v>
      </c>
      <c r="F245" s="237" t="s">
        <v>14</v>
      </c>
      <c r="G245" s="276">
        <v>77800</v>
      </c>
      <c r="H245" s="276">
        <v>83100</v>
      </c>
      <c r="I245" s="276">
        <v>82700</v>
      </c>
      <c r="J245" s="276">
        <v>80200</v>
      </c>
      <c r="K245" s="276">
        <v>76400</v>
      </c>
      <c r="L245" s="276">
        <v>81600</v>
      </c>
      <c r="M245" s="276">
        <v>79800</v>
      </c>
      <c r="N245" s="276">
        <v>75100</v>
      </c>
      <c r="O245" s="276">
        <v>78900</v>
      </c>
      <c r="P245" s="276">
        <v>75000</v>
      </c>
      <c r="Q245" s="276">
        <v>74000</v>
      </c>
      <c r="R245" s="276">
        <v>70200</v>
      </c>
      <c r="S245" s="276">
        <v>63900</v>
      </c>
      <c r="T245" s="276">
        <v>65800</v>
      </c>
      <c r="U245" s="276">
        <v>67300</v>
      </c>
      <c r="V245" s="276">
        <v>69700</v>
      </c>
      <c r="W245" s="276">
        <v>73600</v>
      </c>
      <c r="X245" s="276">
        <v>72600</v>
      </c>
      <c r="Y245" s="276">
        <v>75900</v>
      </c>
      <c r="Z245" s="276">
        <v>75500</v>
      </c>
      <c r="AA245" s="276">
        <v>76800</v>
      </c>
      <c r="AB245" s="276">
        <v>71800</v>
      </c>
      <c r="AC245" s="276">
        <v>77200</v>
      </c>
      <c r="AD245" s="276">
        <v>68400</v>
      </c>
      <c r="AE245" s="276">
        <v>3600</v>
      </c>
      <c r="AF245" s="276">
        <v>0</v>
      </c>
      <c r="AG245" s="276">
        <v>0</v>
      </c>
      <c r="AH245" s="276">
        <v>0</v>
      </c>
      <c r="AI245" s="276">
        <v>0</v>
      </c>
      <c r="AJ245" s="276">
        <v>0</v>
      </c>
      <c r="AL245" s="828">
        <f>SUM(G245:AJ245)</f>
        <v>1796900</v>
      </c>
      <c r="AP245" s="27"/>
      <c r="AQ245" s="3"/>
      <c r="CM245" s="142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  <c r="VUB245" s="46"/>
      <c r="VUC245" s="46"/>
      <c r="VUD245" s="46"/>
      <c r="VUE245" s="46"/>
      <c r="VUF245" s="46"/>
      <c r="VUG245" s="46"/>
      <c r="VUH245" s="46"/>
      <c r="VUI245" s="46"/>
      <c r="VUJ245" s="46"/>
      <c r="VUK245" s="46"/>
      <c r="VUL245" s="46"/>
      <c r="VUM245" s="46"/>
      <c r="VUN245" s="46"/>
      <c r="VUO245" s="46"/>
      <c r="VUP245" s="46"/>
      <c r="VUQ245" s="46"/>
      <c r="VUR245" s="46"/>
      <c r="VUS245" s="46"/>
      <c r="VUT245" s="46"/>
      <c r="VUU245" s="46"/>
      <c r="VUV245" s="46"/>
      <c r="VUW245" s="46"/>
      <c r="VUX245" s="46"/>
      <c r="VUY245" s="46"/>
      <c r="VUZ245" s="46"/>
      <c r="VVA245" s="46"/>
      <c r="VVB245" s="46"/>
      <c r="VVC245" s="46"/>
      <c r="VVD245" s="46"/>
      <c r="VVE245" s="46"/>
    </row>
    <row r="246" spans="3:91 15057:15449" s="1" customFormat="1" x14ac:dyDescent="0.25">
      <c r="C246" s="15"/>
      <c r="D246" s="14"/>
      <c r="E246" s="235">
        <v>61</v>
      </c>
      <c r="F246" s="20" t="s">
        <v>365</v>
      </c>
      <c r="G246" s="33">
        <f t="shared" ref="G246" si="85">G245/G23*1000</f>
        <v>78.190561856473082</v>
      </c>
      <c r="H246" s="33">
        <f t="shared" ref="H246" si="86">H245/H23*1000</f>
        <v>74.77701870955201</v>
      </c>
      <c r="I246" s="33">
        <f t="shared" ref="I246:AJ246" si="87">I245/I23*1000</f>
        <v>74.926998272239587</v>
      </c>
      <c r="J246" s="33">
        <f t="shared" si="87"/>
        <v>84.241308282223088</v>
      </c>
      <c r="K246" s="33">
        <v>78.939564737159145</v>
      </c>
      <c r="L246" s="33">
        <f t="shared" si="87"/>
        <v>83.015750610918602</v>
      </c>
      <c r="M246" s="33">
        <f t="shared" si="87"/>
        <v>80.456444127637383</v>
      </c>
      <c r="N246" s="33">
        <f t="shared" si="87"/>
        <v>97.625274936693074</v>
      </c>
      <c r="O246" s="33">
        <f t="shared" si="87"/>
        <v>106.1164214153429</v>
      </c>
      <c r="P246" s="33">
        <f t="shared" si="87"/>
        <v>65.637241345510944</v>
      </c>
      <c r="Q246" s="33">
        <f t="shared" si="87"/>
        <v>74.641619360018709</v>
      </c>
      <c r="R246" s="33">
        <f t="shared" si="87"/>
        <v>73.264584296539965</v>
      </c>
      <c r="S246" s="33">
        <f t="shared" si="87"/>
        <v>84.05925980494041</v>
      </c>
      <c r="T246" s="33">
        <f t="shared" si="87"/>
        <v>81.686769722761568</v>
      </c>
      <c r="U246" s="33">
        <f t="shared" si="87"/>
        <v>81.304250653877062</v>
      </c>
      <c r="V246" s="33">
        <f t="shared" si="87"/>
        <v>85.84039843738455</v>
      </c>
      <c r="W246" s="33">
        <f t="shared" si="87"/>
        <v>79.275576336671307</v>
      </c>
      <c r="X246" s="33">
        <f t="shared" si="87"/>
        <v>84.201345597812164</v>
      </c>
      <c r="Y246" s="33">
        <f t="shared" si="87"/>
        <v>85.96835594297319</v>
      </c>
      <c r="Z246" s="33">
        <f t="shared" si="87"/>
        <v>82.031513139166734</v>
      </c>
      <c r="AA246" s="33">
        <f t="shared" si="87"/>
        <v>84.602928054463135</v>
      </c>
      <c r="AB246" s="33">
        <f t="shared" si="87"/>
        <v>77.095952247755037</v>
      </c>
      <c r="AC246" s="33">
        <f>AC245/AC23*1000</f>
        <v>88.581073483278601</v>
      </c>
      <c r="AD246" s="33">
        <f>AD245/AD23*1000</f>
        <v>131.98772745692068</v>
      </c>
      <c r="AE246" s="33" t="e">
        <f t="shared" si="87"/>
        <v>#DIV/0!</v>
      </c>
      <c r="AF246" s="33" t="e">
        <f t="shared" si="87"/>
        <v>#DIV/0!</v>
      </c>
      <c r="AG246" s="33" t="e">
        <f t="shared" si="87"/>
        <v>#DIV/0!</v>
      </c>
      <c r="AH246" s="33" t="e">
        <f t="shared" si="87"/>
        <v>#DIV/0!</v>
      </c>
      <c r="AI246" s="33" t="e">
        <f t="shared" si="87"/>
        <v>#DIV/0!</v>
      </c>
      <c r="AJ246" s="33" t="e">
        <f t="shared" si="87"/>
        <v>#DIV/0!</v>
      </c>
      <c r="AL246" s="1534">
        <f>AL245/AL23*1000</f>
        <v>82.662322045303867</v>
      </c>
      <c r="CM246" s="142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  <c r="VUB246" s="46"/>
      <c r="VUC246" s="46"/>
      <c r="VUD246" s="46"/>
      <c r="VUE246" s="46"/>
      <c r="VUF246" s="46"/>
      <c r="VUG246" s="46"/>
      <c r="VUH246" s="46"/>
      <c r="VUI246" s="46"/>
      <c r="VUJ246" s="46"/>
      <c r="VUK246" s="46"/>
      <c r="VUL246" s="46"/>
      <c r="VUM246" s="46"/>
      <c r="VUN246" s="46"/>
      <c r="VUO246" s="46"/>
      <c r="VUP246" s="46"/>
      <c r="VUQ246" s="46"/>
      <c r="VUR246" s="46"/>
      <c r="VUS246" s="46"/>
      <c r="VUT246" s="46"/>
      <c r="VUU246" s="46"/>
      <c r="VUV246" s="46"/>
      <c r="VUW246" s="46"/>
      <c r="VUX246" s="46"/>
      <c r="VUY246" s="46"/>
      <c r="VUZ246" s="46"/>
      <c r="VVA246" s="46"/>
      <c r="VVB246" s="46"/>
      <c r="VVC246" s="46"/>
      <c r="VVD246" s="46"/>
      <c r="VVE246" s="46"/>
    </row>
    <row r="247" spans="3:91 15057:15449" s="1" customFormat="1" x14ac:dyDescent="0.25">
      <c r="C247" s="15"/>
      <c r="D247" s="14" t="s">
        <v>7</v>
      </c>
      <c r="E247" s="235">
        <v>106000</v>
      </c>
      <c r="F247" s="20" t="s">
        <v>14</v>
      </c>
      <c r="G247" s="273">
        <f t="shared" ref="G247" si="88">G241-G243-G245</f>
        <v>-347</v>
      </c>
      <c r="H247" s="273">
        <f>H241-H243-H245</f>
        <v>-16113</v>
      </c>
      <c r="I247" s="273">
        <f t="shared" ref="I247:AJ247" si="89">I241-I243-I245</f>
        <v>-7005</v>
      </c>
      <c r="J247" s="273">
        <f t="shared" si="89"/>
        <v>-6769</v>
      </c>
      <c r="K247" s="273">
        <v>-10590</v>
      </c>
      <c r="L247" s="273">
        <f t="shared" si="89"/>
        <v>-260</v>
      </c>
      <c r="M247" s="273">
        <f t="shared" si="89"/>
        <v>13935</v>
      </c>
      <c r="N247" s="273">
        <f>N241-N243-N245</f>
        <v>11826</v>
      </c>
      <c r="O247" s="273">
        <f t="shared" si="89"/>
        <v>13541</v>
      </c>
      <c r="P247" s="273">
        <f t="shared" si="89"/>
        <v>45428</v>
      </c>
      <c r="Q247" s="273">
        <f t="shared" si="89"/>
        <v>-17946</v>
      </c>
      <c r="R247" s="273">
        <f t="shared" si="89"/>
        <v>927</v>
      </c>
      <c r="S247" s="273">
        <f t="shared" si="89"/>
        <v>-7292</v>
      </c>
      <c r="T247" s="273">
        <f t="shared" si="89"/>
        <v>-534</v>
      </c>
      <c r="U247" s="273">
        <f t="shared" si="89"/>
        <v>-12911</v>
      </c>
      <c r="V247" s="273">
        <f t="shared" si="89"/>
        <v>-10620</v>
      </c>
      <c r="W247" s="273">
        <f t="shared" si="89"/>
        <v>-13150</v>
      </c>
      <c r="X247" s="273">
        <f t="shared" si="89"/>
        <v>56950</v>
      </c>
      <c r="Y247" s="273">
        <f t="shared" si="89"/>
        <v>4376</v>
      </c>
      <c r="Z247" s="273">
        <f t="shared" si="89"/>
        <v>30932</v>
      </c>
      <c r="AA247" s="273">
        <f t="shared" si="89"/>
        <v>-12081</v>
      </c>
      <c r="AB247" s="273">
        <f t="shared" si="89"/>
        <v>53327</v>
      </c>
      <c r="AC247" s="273">
        <f t="shared" si="89"/>
        <v>11410</v>
      </c>
      <c r="AD247" s="273">
        <f t="shared" si="89"/>
        <v>-65184</v>
      </c>
      <c r="AE247" s="273">
        <f t="shared" si="89"/>
        <v>12327</v>
      </c>
      <c r="AF247" s="273">
        <f t="shared" si="89"/>
        <v>99679</v>
      </c>
      <c r="AG247" s="273">
        <f t="shared" si="89"/>
        <v>0</v>
      </c>
      <c r="AH247" s="273">
        <f t="shared" si="89"/>
        <v>0</v>
      </c>
      <c r="AI247" s="273">
        <f t="shared" si="89"/>
        <v>0</v>
      </c>
      <c r="AJ247" s="273">
        <f t="shared" si="89"/>
        <v>0</v>
      </c>
      <c r="AL247" s="1193">
        <f>SUM(G247:AJ247)</f>
        <v>173856</v>
      </c>
      <c r="AN247" s="3"/>
      <c r="CM247" s="142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  <c r="VUB247" s="46"/>
      <c r="VUC247" s="46"/>
      <c r="VUD247" s="46"/>
      <c r="VUE247" s="46"/>
      <c r="VUF247" s="46"/>
      <c r="VUG247" s="46"/>
      <c r="VUH247" s="46"/>
      <c r="VUI247" s="46"/>
      <c r="VUJ247" s="46"/>
      <c r="VUK247" s="46"/>
      <c r="VUL247" s="46"/>
      <c r="VUM247" s="46"/>
      <c r="VUN247" s="46"/>
      <c r="VUO247" s="46"/>
      <c r="VUP247" s="46"/>
      <c r="VUQ247" s="46"/>
      <c r="VUR247" s="46"/>
      <c r="VUS247" s="46"/>
      <c r="VUT247" s="46"/>
      <c r="VUU247" s="46"/>
      <c r="VUV247" s="46"/>
      <c r="VUW247" s="46"/>
      <c r="VUX247" s="46"/>
      <c r="VUY247" s="46"/>
      <c r="VUZ247" s="46"/>
      <c r="VVA247" s="46"/>
      <c r="VVB247" s="46"/>
      <c r="VVC247" s="46"/>
      <c r="VVD247" s="46"/>
      <c r="VVE247" s="46"/>
    </row>
    <row r="248" spans="3:91 15057:15449" s="1" customFormat="1" x14ac:dyDescent="0.25">
      <c r="C248" s="15"/>
      <c r="D248" s="14"/>
      <c r="E248" s="235"/>
      <c r="F248" s="20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L248" s="1193">
        <f>AL247/AL9*10000</f>
        <v>85.318132164193827</v>
      </c>
      <c r="AN248" s="3"/>
      <c r="CM248" s="142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  <c r="VUB248" s="46"/>
      <c r="VUC248" s="46"/>
      <c r="VUD248" s="46"/>
      <c r="VUE248" s="46"/>
      <c r="VUF248" s="46"/>
      <c r="VUG248" s="46"/>
      <c r="VUH248" s="46"/>
      <c r="VUI248" s="46"/>
      <c r="VUJ248" s="46"/>
      <c r="VUK248" s="46"/>
      <c r="VUL248" s="46"/>
      <c r="VUM248" s="46"/>
      <c r="VUN248" s="46"/>
      <c r="VUO248" s="46"/>
      <c r="VUP248" s="46"/>
      <c r="VUQ248" s="46"/>
      <c r="VUR248" s="46"/>
      <c r="VUS248" s="46"/>
      <c r="VUT248" s="46"/>
      <c r="VUU248" s="46"/>
      <c r="VUV248" s="46"/>
      <c r="VUW248" s="46"/>
      <c r="VUX248" s="46"/>
      <c r="VUY248" s="46"/>
      <c r="VUZ248" s="46"/>
      <c r="VVA248" s="46"/>
      <c r="VVB248" s="46"/>
      <c r="VVC248" s="46"/>
      <c r="VVD248" s="46"/>
      <c r="VVE248" s="46"/>
    </row>
    <row r="249" spans="3:91 15057:15449" s="2" customFormat="1" ht="15.75" thickBot="1" x14ac:dyDescent="0.3">
      <c r="C249" s="40"/>
      <c r="D249" s="28" t="s">
        <v>1</v>
      </c>
      <c r="E249" s="264">
        <v>408000</v>
      </c>
      <c r="F249" s="20" t="s">
        <v>14</v>
      </c>
      <c r="G249" s="283">
        <f t="shared" ref="G249" si="90">SUM(G243,G245,G247)</f>
        <v>230353</v>
      </c>
      <c r="H249" s="283">
        <f>SUM(H243,H245,H247)</f>
        <v>209987</v>
      </c>
      <c r="I249" s="283">
        <f t="shared" ref="I249:AJ249" si="91">SUM(I243,I245,I247)</f>
        <v>222995</v>
      </c>
      <c r="J249" s="283">
        <f t="shared" si="91"/>
        <v>227131</v>
      </c>
      <c r="K249" s="283">
        <v>218110</v>
      </c>
      <c r="L249" s="283">
        <f t="shared" si="91"/>
        <v>240940</v>
      </c>
      <c r="M249" s="283">
        <f t="shared" si="91"/>
        <v>252335</v>
      </c>
      <c r="N249" s="283">
        <f t="shared" si="91"/>
        <v>249526</v>
      </c>
      <c r="O249" s="283">
        <f t="shared" si="91"/>
        <v>255341</v>
      </c>
      <c r="P249" s="283">
        <f t="shared" si="91"/>
        <v>282228</v>
      </c>
      <c r="Q249" s="283">
        <f t="shared" si="91"/>
        <v>223054</v>
      </c>
      <c r="R249" s="283">
        <f t="shared" si="91"/>
        <v>248627</v>
      </c>
      <c r="S249" s="283">
        <f t="shared" si="91"/>
        <v>214908</v>
      </c>
      <c r="T249" s="283">
        <f t="shared" si="91"/>
        <v>237466</v>
      </c>
      <c r="U249" s="283">
        <f t="shared" si="91"/>
        <v>224189</v>
      </c>
      <c r="V249" s="283">
        <f t="shared" si="91"/>
        <v>232580</v>
      </c>
      <c r="W249" s="283">
        <f t="shared" si="91"/>
        <v>225150</v>
      </c>
      <c r="X249" s="283">
        <f t="shared" si="91"/>
        <v>281850</v>
      </c>
      <c r="Y249" s="283">
        <f t="shared" si="91"/>
        <v>245276</v>
      </c>
      <c r="Z249" s="283">
        <f t="shared" si="91"/>
        <v>279632</v>
      </c>
      <c r="AA249" s="283">
        <f t="shared" si="91"/>
        <v>236319</v>
      </c>
      <c r="AB249" s="283">
        <f t="shared" si="91"/>
        <v>278927</v>
      </c>
      <c r="AC249" s="283">
        <f t="shared" si="91"/>
        <v>146610</v>
      </c>
      <c r="AD249" s="283">
        <f t="shared" si="91"/>
        <v>3416</v>
      </c>
      <c r="AE249" s="283">
        <f t="shared" si="91"/>
        <v>16027</v>
      </c>
      <c r="AF249" s="283">
        <f t="shared" si="91"/>
        <v>99679</v>
      </c>
      <c r="AG249" s="283">
        <f t="shared" si="91"/>
        <v>0</v>
      </c>
      <c r="AH249" s="283">
        <f t="shared" si="91"/>
        <v>0</v>
      </c>
      <c r="AI249" s="283">
        <f t="shared" si="91"/>
        <v>0</v>
      </c>
      <c r="AJ249" s="283">
        <f t="shared" si="91"/>
        <v>0</v>
      </c>
      <c r="AL249" s="55">
        <f>SUM(G249:AJ249)</f>
        <v>5582656</v>
      </c>
      <c r="CM249" s="152"/>
    </row>
    <row r="250" spans="3:91 15057:15449" s="1" customFormat="1" x14ac:dyDescent="0.25">
      <c r="C250" s="8">
        <v>6</v>
      </c>
      <c r="D250" s="76" t="s">
        <v>13</v>
      </c>
      <c r="E250" s="77"/>
      <c r="F250" s="78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L250" s="137" t="s">
        <v>135</v>
      </c>
      <c r="CM250" s="142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  <c r="VUB250" s="46"/>
      <c r="VUC250" s="46"/>
      <c r="VUD250" s="46"/>
      <c r="VUE250" s="46"/>
      <c r="VUF250" s="46"/>
      <c r="VUG250" s="46"/>
      <c r="VUH250" s="46"/>
      <c r="VUI250" s="46"/>
      <c r="VUJ250" s="46"/>
      <c r="VUK250" s="46"/>
      <c r="VUL250" s="46"/>
      <c r="VUM250" s="46"/>
      <c r="VUN250" s="46"/>
      <c r="VUO250" s="46"/>
      <c r="VUP250" s="46"/>
      <c r="VUQ250" s="46"/>
      <c r="VUR250" s="46"/>
      <c r="VUS250" s="46"/>
      <c r="VUT250" s="46"/>
      <c r="VUU250" s="46"/>
      <c r="VUV250" s="46"/>
      <c r="VUW250" s="46"/>
      <c r="VUX250" s="46"/>
      <c r="VUY250" s="46"/>
      <c r="VUZ250" s="46"/>
      <c r="VVA250" s="46"/>
      <c r="VVB250" s="46"/>
      <c r="VVC250" s="46"/>
      <c r="VVD250" s="46"/>
      <c r="VVE250" s="46"/>
    </row>
    <row r="251" spans="3:91 15057:15449" s="16" customFormat="1" x14ac:dyDescent="0.2">
      <c r="C251" s="17"/>
      <c r="D251" s="243" t="s">
        <v>12</v>
      </c>
      <c r="E251" s="265">
        <v>1100</v>
      </c>
      <c r="F251" s="244" t="s">
        <v>125</v>
      </c>
      <c r="G251" s="245">
        <v>1033</v>
      </c>
      <c r="H251" s="245">
        <v>694</v>
      </c>
      <c r="I251" s="245">
        <v>645</v>
      </c>
      <c r="J251" s="245">
        <v>849</v>
      </c>
      <c r="K251" s="245">
        <v>793</v>
      </c>
      <c r="L251" s="245">
        <v>724</v>
      </c>
      <c r="M251" s="245">
        <v>855</v>
      </c>
      <c r="N251" s="245">
        <v>682</v>
      </c>
      <c r="O251" s="245">
        <v>700</v>
      </c>
      <c r="P251" s="245">
        <v>813</v>
      </c>
      <c r="Q251" s="245">
        <v>723</v>
      </c>
      <c r="R251" s="245">
        <v>652</v>
      </c>
      <c r="S251" s="245">
        <v>667</v>
      </c>
      <c r="T251" s="245">
        <v>605</v>
      </c>
      <c r="U251" s="245">
        <v>801</v>
      </c>
      <c r="V251" s="245">
        <v>531</v>
      </c>
      <c r="W251" s="245">
        <v>518</v>
      </c>
      <c r="X251" s="245">
        <v>750</v>
      </c>
      <c r="Y251" s="245">
        <v>525</v>
      </c>
      <c r="Z251" s="245">
        <v>657</v>
      </c>
      <c r="AA251" s="245">
        <v>601</v>
      </c>
      <c r="AB251" s="245">
        <v>912</v>
      </c>
      <c r="AC251" s="245">
        <v>416</v>
      </c>
      <c r="AD251" s="245">
        <v>300</v>
      </c>
      <c r="AE251" s="245">
        <v>431</v>
      </c>
      <c r="AF251" s="245">
        <v>730</v>
      </c>
      <c r="AG251" s="245">
        <v>0</v>
      </c>
      <c r="AH251" s="245">
        <v>0</v>
      </c>
      <c r="AI251" s="245">
        <v>133</v>
      </c>
      <c r="AJ251" s="245">
        <v>0</v>
      </c>
      <c r="AK251" s="761"/>
      <c r="AL251" s="828">
        <f>SUM(G251:AJ251)</f>
        <v>17740</v>
      </c>
      <c r="CM251" s="145"/>
    </row>
    <row r="252" spans="3:91 15057:15449" s="16" customFormat="1" x14ac:dyDescent="0.25">
      <c r="C252" s="17"/>
      <c r="D252" s="43" t="s">
        <v>11</v>
      </c>
      <c r="E252" s="252"/>
      <c r="F252" s="12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L252" s="121">
        <f>(AL251/10)</f>
        <v>1774</v>
      </c>
      <c r="AN252" s="140">
        <f>AL252-AL254-AL256</f>
        <v>1574.5169353513029</v>
      </c>
      <c r="CM252" s="145"/>
    </row>
    <row r="253" spans="3:91 15057:15449" s="16" customFormat="1" x14ac:dyDescent="0.2">
      <c r="C253" s="17"/>
      <c r="D253" s="243" t="s">
        <v>10</v>
      </c>
      <c r="E253" s="266">
        <v>91.5</v>
      </c>
      <c r="F253" s="244" t="s">
        <v>366</v>
      </c>
      <c r="G253" s="246">
        <v>119</v>
      </c>
      <c r="H253" s="246">
        <v>83</v>
      </c>
      <c r="I253" s="246">
        <v>80</v>
      </c>
      <c r="J253" s="246">
        <v>111</v>
      </c>
      <c r="K253" s="246">
        <v>154</v>
      </c>
      <c r="L253" s="246">
        <v>165</v>
      </c>
      <c r="M253" s="246">
        <v>53</v>
      </c>
      <c r="N253" s="246">
        <v>56</v>
      </c>
      <c r="O253" s="246">
        <v>57</v>
      </c>
      <c r="P253" s="246">
        <v>72</v>
      </c>
      <c r="Q253" s="246">
        <v>51</v>
      </c>
      <c r="R253" s="246">
        <v>73</v>
      </c>
      <c r="S253" s="246">
        <v>103</v>
      </c>
      <c r="T253" s="246">
        <v>70</v>
      </c>
      <c r="U253" s="246">
        <v>113</v>
      </c>
      <c r="V253" s="246">
        <v>64</v>
      </c>
      <c r="W253" s="246">
        <v>58</v>
      </c>
      <c r="X253" s="246">
        <v>199</v>
      </c>
      <c r="Y253" s="246">
        <v>57</v>
      </c>
      <c r="Z253" s="246">
        <v>56</v>
      </c>
      <c r="AA253" s="246">
        <v>60</v>
      </c>
      <c r="AB253" s="246">
        <v>84</v>
      </c>
      <c r="AC253" s="246">
        <v>69</v>
      </c>
      <c r="AD253" s="246">
        <v>14</v>
      </c>
      <c r="AE253" s="246">
        <v>0</v>
      </c>
      <c r="AF253" s="246">
        <v>0</v>
      </c>
      <c r="AG253" s="246">
        <v>0</v>
      </c>
      <c r="AH253" s="246">
        <v>14</v>
      </c>
      <c r="AI253" s="246">
        <v>7</v>
      </c>
      <c r="AJ253" s="246">
        <v>0</v>
      </c>
      <c r="AL253" s="828">
        <f>SUM(G253:AJ253)</f>
        <v>2042</v>
      </c>
      <c r="CM253" s="145"/>
    </row>
    <row r="254" spans="3:91 15057:15449" s="16" customFormat="1" x14ac:dyDescent="0.25">
      <c r="C254" s="17"/>
      <c r="D254" s="31"/>
      <c r="E254" s="266">
        <v>0.5</v>
      </c>
      <c r="F254" s="32" t="s">
        <v>367</v>
      </c>
      <c r="G254" s="34">
        <f t="shared" ref="G254" si="92">G253/(G9/1000)</f>
        <v>0.13843857573462606</v>
      </c>
      <c r="H254" s="34">
        <f t="shared" ref="H254" si="93">H253/(H9/1000)</f>
        <v>0.15447608412432534</v>
      </c>
      <c r="I254" s="34">
        <f t="shared" ref="I254:AJ254" si="94">I253/(I9/1000)</f>
        <v>0.10857748564402056</v>
      </c>
      <c r="J254" s="34">
        <f t="shared" si="94"/>
        <v>0.12407932581330644</v>
      </c>
      <c r="K254" s="34">
        <v>0.17099635355827866</v>
      </c>
      <c r="L254" s="34">
        <f t="shared" si="94"/>
        <v>0.19499512512187198</v>
      </c>
      <c r="M254" s="34">
        <f t="shared" si="94"/>
        <v>7.0307255974126931E-2</v>
      </c>
      <c r="N254" s="34">
        <f t="shared" si="94"/>
        <v>8.0373968593871761E-2</v>
      </c>
      <c r="O254" s="34">
        <f t="shared" si="94"/>
        <v>6.8791229480300364E-2</v>
      </c>
      <c r="P254" s="34">
        <f t="shared" si="94"/>
        <v>7.1738155731579739E-2</v>
      </c>
      <c r="Q254" s="34">
        <f t="shared" si="94"/>
        <v>5.09587743515496E-2</v>
      </c>
      <c r="R254" s="34">
        <f t="shared" si="94"/>
        <v>7.8867931866749938E-2</v>
      </c>
      <c r="S254" s="34">
        <f t="shared" si="94"/>
        <v>0.12816269445267062</v>
      </c>
      <c r="T254" s="34">
        <f t="shared" si="94"/>
        <v>6.9307754151534465E-2</v>
      </c>
      <c r="U254" s="34">
        <f t="shared" si="94"/>
        <v>0.10843239384180769</v>
      </c>
      <c r="V254" s="34">
        <f t="shared" si="94"/>
        <v>6.4537012480853181E-2</v>
      </c>
      <c r="W254" s="34">
        <f t="shared" si="94"/>
        <v>9.1507763960456026E-2</v>
      </c>
      <c r="X254" s="34">
        <f t="shared" si="94"/>
        <v>0.17862512510490861</v>
      </c>
      <c r="Y254" s="34">
        <f t="shared" si="94"/>
        <v>4.1972903177348773E-2</v>
      </c>
      <c r="Z254" s="34">
        <f t="shared" si="94"/>
        <v>3.5592617074286882E-2</v>
      </c>
      <c r="AA254" s="34">
        <f t="shared" si="94"/>
        <v>4.1842959189864519E-2</v>
      </c>
      <c r="AB254" s="34">
        <f t="shared" si="94"/>
        <v>0.19424839745072103</v>
      </c>
      <c r="AC254" s="34" t="e">
        <f t="shared" si="94"/>
        <v>#DIV/0!</v>
      </c>
      <c r="AD254" s="34" t="e">
        <f t="shared" si="94"/>
        <v>#DIV/0!</v>
      </c>
      <c r="AE254" s="34" t="e">
        <f t="shared" si="94"/>
        <v>#DIV/0!</v>
      </c>
      <c r="AF254" s="34" t="e">
        <f t="shared" si="94"/>
        <v>#DIV/0!</v>
      </c>
      <c r="AG254" s="34" t="e">
        <f t="shared" si="94"/>
        <v>#DIV/0!</v>
      </c>
      <c r="AH254" s="34" t="e">
        <f t="shared" si="94"/>
        <v>#DIV/0!</v>
      </c>
      <c r="AI254" s="34" t="e">
        <f t="shared" si="94"/>
        <v>#DIV/0!</v>
      </c>
      <c r="AJ254" s="34" t="e">
        <f t="shared" si="94"/>
        <v>#DIV/0!</v>
      </c>
      <c r="AL254" s="1534">
        <f>AL253/AL9*1000000</f>
        <v>100.20915348293057</v>
      </c>
      <c r="CM254" s="145"/>
    </row>
    <row r="255" spans="3:91 15057:15449" s="16" customFormat="1" x14ac:dyDescent="0.2">
      <c r="C255" s="17"/>
      <c r="D255" s="243" t="s">
        <v>9</v>
      </c>
      <c r="E255" s="266">
        <v>179.63</v>
      </c>
      <c r="F255" s="244" t="s">
        <v>366</v>
      </c>
      <c r="G255" s="246">
        <v>101</v>
      </c>
      <c r="H255" s="246">
        <v>72</v>
      </c>
      <c r="I255" s="246">
        <v>91</v>
      </c>
      <c r="J255" s="246">
        <v>92</v>
      </c>
      <c r="K255" s="246">
        <v>86</v>
      </c>
      <c r="L255" s="246">
        <v>88</v>
      </c>
      <c r="M255" s="246">
        <v>105</v>
      </c>
      <c r="N255" s="246">
        <v>74</v>
      </c>
      <c r="O255" s="246">
        <v>97</v>
      </c>
      <c r="P255" s="246">
        <v>82</v>
      </c>
      <c r="Q255" s="246">
        <v>92</v>
      </c>
      <c r="R255" s="246">
        <v>63</v>
      </c>
      <c r="S255" s="246">
        <v>82</v>
      </c>
      <c r="T255" s="246">
        <v>77</v>
      </c>
      <c r="U255" s="246">
        <v>91</v>
      </c>
      <c r="V255" s="246">
        <v>90</v>
      </c>
      <c r="W255" s="246">
        <v>78</v>
      </c>
      <c r="X255" s="246">
        <v>129</v>
      </c>
      <c r="Y255" s="246">
        <v>87</v>
      </c>
      <c r="Z255" s="246">
        <v>85</v>
      </c>
      <c r="AA255" s="246">
        <v>82</v>
      </c>
      <c r="AB255" s="246">
        <v>98</v>
      </c>
      <c r="AC255" s="246">
        <v>75</v>
      </c>
      <c r="AD255" s="246">
        <v>93</v>
      </c>
      <c r="AE255" s="246">
        <v>0</v>
      </c>
      <c r="AF255" s="246">
        <v>0</v>
      </c>
      <c r="AG255" s="246">
        <v>0</v>
      </c>
      <c r="AH255" s="246">
        <v>24</v>
      </c>
      <c r="AI255" s="246">
        <v>24</v>
      </c>
      <c r="AJ255" s="246">
        <v>0</v>
      </c>
      <c r="AL255" s="828">
        <f>SUM(G255:AJ255)</f>
        <v>2158</v>
      </c>
      <c r="CM255" s="145"/>
    </row>
    <row r="256" spans="3:91 15057:15449" s="16" customFormat="1" x14ac:dyDescent="0.25">
      <c r="C256" s="17"/>
      <c r="D256" s="31"/>
      <c r="E256" s="266">
        <v>0.4</v>
      </c>
      <c r="F256" s="32" t="s">
        <v>367</v>
      </c>
      <c r="G256" s="34">
        <f t="shared" ref="G256" si="95">G255/(G23/1000)</f>
        <v>0.10150702760287637</v>
      </c>
      <c r="H256" s="34">
        <f t="shared" ref="H256" si="96">H255/(H23/1000)</f>
        <v>6.4788752672536046E-2</v>
      </c>
      <c r="I256" s="34">
        <f t="shared" ref="I256:AJ256" si="97">I255/(I23/1000)</f>
        <v>8.2446878389042355E-2</v>
      </c>
      <c r="J256" s="34">
        <f t="shared" si="97"/>
        <v>9.663591473771227E-2</v>
      </c>
      <c r="K256" s="34">
        <v>8.8858672348111081E-2</v>
      </c>
      <c r="L256" s="34">
        <f t="shared" si="97"/>
        <v>8.9526789874520063E-2</v>
      </c>
      <c r="M256" s="34">
        <f t="shared" si="97"/>
        <v>0.10586374227320709</v>
      </c>
      <c r="N256" s="34">
        <f t="shared" si="97"/>
        <v>9.6195344145343364E-2</v>
      </c>
      <c r="O256" s="34">
        <f t="shared" si="97"/>
        <v>0.1304599857704469</v>
      </c>
      <c r="P256" s="34">
        <f t="shared" si="97"/>
        <v>7.1763383871091962E-2</v>
      </c>
      <c r="Q256" s="34">
        <f t="shared" si="97"/>
        <v>9.2797688934077333E-2</v>
      </c>
      <c r="R256" s="34">
        <f t="shared" si="97"/>
        <v>6.5750267958433306E-2</v>
      </c>
      <c r="S256" s="34">
        <f t="shared" si="97"/>
        <v>0.10786947267613638</v>
      </c>
      <c r="T256" s="34">
        <f t="shared" si="97"/>
        <v>9.5590900739401824E-2</v>
      </c>
      <c r="U256" s="34">
        <f t="shared" si="97"/>
        <v>0.10993591098815471</v>
      </c>
      <c r="V256" s="34">
        <f t="shared" si="97"/>
        <v>0.1108412605360776</v>
      </c>
      <c r="W256" s="34">
        <f t="shared" si="97"/>
        <v>8.4014877095928836E-2</v>
      </c>
      <c r="X256" s="34">
        <f t="shared" si="97"/>
        <v>0.14961396118619513</v>
      </c>
      <c r="Y256" s="34">
        <f t="shared" si="97"/>
        <v>9.8540803254791406E-2</v>
      </c>
      <c r="Z256" s="34">
        <f t="shared" si="97"/>
        <v>9.2353359163300286E-2</v>
      </c>
      <c r="AA256" s="34">
        <f t="shared" si="97"/>
        <v>9.0331251308150742E-2</v>
      </c>
      <c r="AB256" s="34">
        <f t="shared" si="97"/>
        <v>0.10522845849972136</v>
      </c>
      <c r="AC256" s="34">
        <f t="shared" si="97"/>
        <v>8.605674237365149E-2</v>
      </c>
      <c r="AD256" s="34">
        <f t="shared" si="97"/>
        <v>0.17945699785809388</v>
      </c>
      <c r="AE256" s="34" t="e">
        <f t="shared" si="97"/>
        <v>#DIV/0!</v>
      </c>
      <c r="AF256" s="34" t="e">
        <f t="shared" si="97"/>
        <v>#DIV/0!</v>
      </c>
      <c r="AG256" s="34" t="e">
        <f t="shared" si="97"/>
        <v>#DIV/0!</v>
      </c>
      <c r="AH256" s="34" t="e">
        <f t="shared" si="97"/>
        <v>#DIV/0!</v>
      </c>
      <c r="AI256" s="34" t="e">
        <f t="shared" si="97"/>
        <v>#DIV/0!</v>
      </c>
      <c r="AJ256" s="34" t="e">
        <f t="shared" si="97"/>
        <v>#DIV/0!</v>
      </c>
      <c r="AK256" s="1532"/>
      <c r="AL256" s="1534">
        <f>AL255/AL23*1000000</f>
        <v>99.273911165766449</v>
      </c>
      <c r="CM256" s="145"/>
    </row>
    <row r="257" spans="3:91 15057:15449" s="16" customFormat="1" x14ac:dyDescent="0.2">
      <c r="C257" s="17"/>
      <c r="D257" s="243" t="s">
        <v>8</v>
      </c>
      <c r="E257" s="265">
        <v>491.59</v>
      </c>
      <c r="F257" s="244" t="s">
        <v>125</v>
      </c>
      <c r="G257" s="246">
        <v>384</v>
      </c>
      <c r="H257" s="246">
        <v>384</v>
      </c>
      <c r="I257" s="246">
        <v>240</v>
      </c>
      <c r="J257" s="246">
        <v>384</v>
      </c>
      <c r="K257" s="246">
        <v>256</v>
      </c>
      <c r="L257" s="246">
        <v>319</v>
      </c>
      <c r="M257" s="246">
        <v>353.8</v>
      </c>
      <c r="N257" s="246">
        <v>331.1</v>
      </c>
      <c r="O257" s="246">
        <v>324</v>
      </c>
      <c r="P257" s="246">
        <v>337.5</v>
      </c>
      <c r="Q257" s="246">
        <v>295</v>
      </c>
      <c r="R257" s="246">
        <v>387</v>
      </c>
      <c r="S257" s="246">
        <v>261</v>
      </c>
      <c r="T257" s="246">
        <v>319</v>
      </c>
      <c r="U257" s="246">
        <v>330</v>
      </c>
      <c r="V257" s="246">
        <v>287</v>
      </c>
      <c r="W257" s="246">
        <v>297</v>
      </c>
      <c r="X257" s="246">
        <v>365</v>
      </c>
      <c r="Y257" s="246">
        <v>298.3</v>
      </c>
      <c r="Z257" s="246">
        <v>375.3</v>
      </c>
      <c r="AA257" s="246">
        <v>305.60000000000002</v>
      </c>
      <c r="AB257" s="246">
        <v>402</v>
      </c>
      <c r="AC257" s="246">
        <v>188.7</v>
      </c>
      <c r="AD257" s="246">
        <v>160.19999999999999</v>
      </c>
      <c r="AE257" s="246">
        <v>242.5</v>
      </c>
      <c r="AF257" s="246">
        <v>247</v>
      </c>
      <c r="AG257" s="246">
        <v>32</v>
      </c>
      <c r="AH257" s="246">
        <v>96</v>
      </c>
      <c r="AI257" s="246">
        <v>20</v>
      </c>
      <c r="AJ257" s="246">
        <v>0</v>
      </c>
      <c r="AL257" s="828">
        <f>SUM(G257:AJ257)</f>
        <v>8222</v>
      </c>
      <c r="CM257" s="145"/>
    </row>
    <row r="258" spans="3:91 15057:15449" s="16" customFormat="1" x14ac:dyDescent="0.2">
      <c r="C258" s="17"/>
      <c r="D258" s="31" t="s">
        <v>7</v>
      </c>
      <c r="E258" s="265">
        <v>337.28</v>
      </c>
      <c r="F258" s="32" t="s">
        <v>125</v>
      </c>
      <c r="G258" s="34">
        <f t="shared" ref="G258" si="98">G251-G253-G255-G257</f>
        <v>429</v>
      </c>
      <c r="H258" s="34">
        <f t="shared" ref="H258" si="99">H251-H253-H255-H257</f>
        <v>155</v>
      </c>
      <c r="I258" s="34">
        <f t="shared" ref="I258:AJ258" si="100">I251-I253-I255-I257</f>
        <v>234</v>
      </c>
      <c r="J258" s="34">
        <f t="shared" si="100"/>
        <v>262</v>
      </c>
      <c r="K258" s="34">
        <v>297</v>
      </c>
      <c r="L258" s="34">
        <f t="shared" si="100"/>
        <v>152</v>
      </c>
      <c r="M258" s="34">
        <f t="shared" si="100"/>
        <v>343.2</v>
      </c>
      <c r="N258" s="34">
        <f t="shared" si="100"/>
        <v>220.89999999999998</v>
      </c>
      <c r="O258" s="34">
        <f t="shared" si="100"/>
        <v>222</v>
      </c>
      <c r="P258" s="34">
        <f t="shared" si="100"/>
        <v>321.5</v>
      </c>
      <c r="Q258" s="34">
        <f t="shared" si="100"/>
        <v>285</v>
      </c>
      <c r="R258" s="34">
        <f t="shared" si="100"/>
        <v>129</v>
      </c>
      <c r="S258" s="34">
        <f t="shared" si="100"/>
        <v>221</v>
      </c>
      <c r="T258" s="34">
        <f t="shared" si="100"/>
        <v>139</v>
      </c>
      <c r="U258" s="34">
        <f t="shared" si="100"/>
        <v>267</v>
      </c>
      <c r="V258" s="34">
        <f t="shared" si="100"/>
        <v>90</v>
      </c>
      <c r="W258" s="34">
        <f t="shared" si="100"/>
        <v>85</v>
      </c>
      <c r="X258" s="34">
        <f t="shared" si="100"/>
        <v>57</v>
      </c>
      <c r="Y258" s="34">
        <f t="shared" si="100"/>
        <v>82.699999999999989</v>
      </c>
      <c r="Z258" s="34">
        <f t="shared" si="100"/>
        <v>140.69999999999999</v>
      </c>
      <c r="AA258" s="34">
        <f t="shared" si="100"/>
        <v>153.39999999999998</v>
      </c>
      <c r="AB258" s="34">
        <f t="shared" si="100"/>
        <v>328</v>
      </c>
      <c r="AC258" s="34">
        <f t="shared" si="100"/>
        <v>83.300000000000011</v>
      </c>
      <c r="AD258" s="34">
        <f t="shared" si="100"/>
        <v>32.800000000000011</v>
      </c>
      <c r="AE258" s="34">
        <f t="shared" si="100"/>
        <v>188.5</v>
      </c>
      <c r="AF258" s="34">
        <f t="shared" si="100"/>
        <v>483</v>
      </c>
      <c r="AG258" s="34">
        <f t="shared" si="100"/>
        <v>-32</v>
      </c>
      <c r="AH258" s="34">
        <f t="shared" si="100"/>
        <v>-134</v>
      </c>
      <c r="AI258" s="34">
        <f t="shared" si="100"/>
        <v>82</v>
      </c>
      <c r="AJ258" s="34">
        <f t="shared" si="100"/>
        <v>0</v>
      </c>
      <c r="AL258" s="55">
        <f>SUM(G258:AJ258)</f>
        <v>5318</v>
      </c>
      <c r="CM258" s="145"/>
    </row>
    <row r="259" spans="3:91 15057:15449" s="16" customFormat="1" x14ac:dyDescent="0.2">
      <c r="C259" s="17"/>
      <c r="D259" s="243" t="s">
        <v>6</v>
      </c>
      <c r="E259" s="265">
        <v>330</v>
      </c>
      <c r="F259" s="244" t="s">
        <v>125</v>
      </c>
      <c r="G259" s="246">
        <v>337</v>
      </c>
      <c r="H259" s="246">
        <v>296</v>
      </c>
      <c r="I259" s="246">
        <v>191</v>
      </c>
      <c r="J259" s="246">
        <v>278</v>
      </c>
      <c r="K259" s="246">
        <v>271</v>
      </c>
      <c r="L259" s="246">
        <v>375</v>
      </c>
      <c r="M259" s="246">
        <v>294</v>
      </c>
      <c r="N259" s="246">
        <v>178</v>
      </c>
      <c r="O259" s="246">
        <v>238</v>
      </c>
      <c r="P259" s="246">
        <v>213</v>
      </c>
      <c r="Q259" s="246">
        <v>180</v>
      </c>
      <c r="R259" s="246">
        <v>88</v>
      </c>
      <c r="S259" s="246">
        <v>266</v>
      </c>
      <c r="T259" s="246">
        <v>82</v>
      </c>
      <c r="U259" s="246">
        <v>183</v>
      </c>
      <c r="V259" s="246">
        <v>202</v>
      </c>
      <c r="W259" s="246">
        <v>183</v>
      </c>
      <c r="X259" s="246">
        <v>172</v>
      </c>
      <c r="Y259" s="246">
        <v>237</v>
      </c>
      <c r="Z259" s="246">
        <v>136</v>
      </c>
      <c r="AA259" s="246">
        <v>102</v>
      </c>
      <c r="AB259" s="246">
        <v>155</v>
      </c>
      <c r="AC259" s="246">
        <v>214</v>
      </c>
      <c r="AD259" s="246">
        <v>110</v>
      </c>
      <c r="AE259" s="246">
        <v>180</v>
      </c>
      <c r="AF259" s="246">
        <v>301</v>
      </c>
      <c r="AG259" s="246">
        <v>70</v>
      </c>
      <c r="AH259" s="246">
        <v>186</v>
      </c>
      <c r="AI259" s="246">
        <v>144</v>
      </c>
      <c r="AJ259" s="246">
        <v>249</v>
      </c>
      <c r="AL259" s="966">
        <f>SUM(G259:AJ259)</f>
        <v>6111</v>
      </c>
      <c r="CM259" s="145"/>
    </row>
    <row r="260" spans="3:91 15057:15449" s="16" customFormat="1" x14ac:dyDescent="0.2">
      <c r="C260" s="961"/>
      <c r="D260" s="962"/>
      <c r="E260" s="963"/>
      <c r="F260" s="96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  <c r="AB260" s="274"/>
      <c r="AC260" s="274"/>
      <c r="AD260" s="274"/>
      <c r="AE260" s="274"/>
      <c r="AF260" s="274"/>
      <c r="AG260" s="274"/>
      <c r="AH260" s="274"/>
      <c r="AI260" s="274"/>
      <c r="AJ260" s="274"/>
      <c r="AK260" s="813"/>
      <c r="AL260" s="965">
        <f>AL259/AL6</f>
        <v>277.77272727272725</v>
      </c>
      <c r="CM260" s="145"/>
    </row>
    <row r="261" spans="3:91 15057:15449" s="1" customFormat="1" x14ac:dyDescent="0.25">
      <c r="C261" s="84">
        <v>7</v>
      </c>
      <c r="D261" s="76" t="s">
        <v>5</v>
      </c>
      <c r="E261" s="77"/>
      <c r="F261" s="78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L261" s="122" t="s">
        <v>136</v>
      </c>
      <c r="CM261" s="142"/>
      <c r="VGC261" s="46"/>
      <c r="VGD261" s="46"/>
      <c r="VGE261" s="46"/>
      <c r="VGF261" s="46"/>
      <c r="VGG261" s="46"/>
      <c r="VGH261" s="46"/>
      <c r="VGI261" s="46"/>
      <c r="VGJ261" s="46"/>
      <c r="VGK261" s="46"/>
      <c r="VGL261" s="46"/>
      <c r="VGM261" s="46"/>
      <c r="VGN261" s="46"/>
      <c r="VGO261" s="46"/>
      <c r="VGP261" s="46"/>
      <c r="VGQ261" s="46"/>
      <c r="VGR261" s="46"/>
      <c r="VGS261" s="46"/>
      <c r="VGT261" s="46"/>
      <c r="VGU261" s="46"/>
      <c r="VGV261" s="46"/>
      <c r="VGW261" s="46"/>
      <c r="VGX261" s="46"/>
      <c r="VGY261" s="46"/>
      <c r="VGZ261" s="46"/>
      <c r="VHA261" s="46"/>
      <c r="VHB261" s="46"/>
      <c r="VHC261" s="46"/>
      <c r="VHD261" s="46"/>
      <c r="VHE261" s="46"/>
      <c r="VHF261" s="46"/>
      <c r="VHG261" s="46"/>
      <c r="VHH261" s="46"/>
      <c r="VHI261" s="46"/>
      <c r="VHJ261" s="46"/>
      <c r="VHK261" s="46"/>
      <c r="VHL261" s="46"/>
      <c r="VHM261" s="46"/>
      <c r="VHN261" s="46"/>
      <c r="VHO261" s="46"/>
      <c r="VHP261" s="46"/>
      <c r="VHQ261" s="46"/>
      <c r="VHR261" s="46"/>
      <c r="VHS261" s="46"/>
      <c r="VHT261" s="46"/>
      <c r="VHU261" s="46"/>
      <c r="VHV261" s="46"/>
      <c r="VHW261" s="46"/>
      <c r="VHX261" s="46"/>
      <c r="VHY261" s="46"/>
      <c r="VHZ261" s="46"/>
      <c r="VIA261" s="46"/>
      <c r="VIB261" s="46"/>
      <c r="VIC261" s="46"/>
      <c r="VID261" s="46"/>
      <c r="VIE261" s="46"/>
      <c r="VIF261" s="46"/>
      <c r="VIG261" s="46"/>
      <c r="VIH261" s="46"/>
      <c r="VII261" s="46"/>
      <c r="VIJ261" s="46"/>
      <c r="VIK261" s="46"/>
      <c r="VIL261" s="46"/>
      <c r="VIM261" s="46"/>
      <c r="VIN261" s="46"/>
      <c r="VIO261" s="46"/>
      <c r="VIP261" s="46"/>
      <c r="VIQ261" s="46"/>
      <c r="VIR261" s="46"/>
      <c r="VIS261" s="46"/>
      <c r="VIT261" s="46"/>
      <c r="VIU261" s="46"/>
      <c r="VIV261" s="46"/>
      <c r="VIW261" s="46"/>
      <c r="VIX261" s="46"/>
      <c r="VIY261" s="46"/>
      <c r="VIZ261" s="46"/>
      <c r="VJA261" s="46"/>
      <c r="VJB261" s="46"/>
      <c r="VJC261" s="46"/>
      <c r="VJD261" s="46"/>
      <c r="VJE261" s="46"/>
      <c r="VJF261" s="46"/>
      <c r="VJG261" s="46"/>
      <c r="VJH261" s="46"/>
      <c r="VJI261" s="46"/>
      <c r="VJJ261" s="46"/>
      <c r="VJK261" s="46"/>
      <c r="VJL261" s="46"/>
      <c r="VJM261" s="46"/>
      <c r="VJN261" s="46"/>
      <c r="VJO261" s="46"/>
      <c r="VJP261" s="46"/>
      <c r="VJQ261" s="46"/>
      <c r="VJR261" s="46"/>
      <c r="VJS261" s="46"/>
      <c r="VJT261" s="46"/>
      <c r="VJU261" s="46"/>
      <c r="VJV261" s="46"/>
      <c r="VJW261" s="46"/>
      <c r="VJX261" s="46"/>
      <c r="VJY261" s="46"/>
      <c r="VJZ261" s="46"/>
      <c r="VKA261" s="46"/>
      <c r="VKB261" s="46"/>
      <c r="VKC261" s="46"/>
      <c r="VKD261" s="46"/>
      <c r="VKE261" s="46"/>
      <c r="VKF261" s="46"/>
      <c r="VKG261" s="46"/>
      <c r="VKH261" s="46"/>
      <c r="VKI261" s="46"/>
      <c r="VKJ261" s="46"/>
      <c r="VKK261" s="46"/>
      <c r="VKL261" s="46"/>
      <c r="VKM261" s="46"/>
      <c r="VKN261" s="46"/>
      <c r="VKO261" s="46"/>
      <c r="VKP261" s="46"/>
      <c r="VKQ261" s="46"/>
      <c r="VKR261" s="46"/>
      <c r="VKS261" s="46"/>
      <c r="VKT261" s="46"/>
      <c r="VKU261" s="46"/>
      <c r="VKV261" s="46"/>
      <c r="VKW261" s="46"/>
      <c r="VKX261" s="46"/>
      <c r="VKY261" s="46"/>
      <c r="VKZ261" s="46"/>
      <c r="VLA261" s="46"/>
      <c r="VLB261" s="46"/>
      <c r="VLC261" s="46"/>
      <c r="VLD261" s="46"/>
      <c r="VLE261" s="46"/>
      <c r="VLF261" s="46"/>
      <c r="VLG261" s="46"/>
      <c r="VLH261" s="46"/>
      <c r="VLI261" s="46"/>
      <c r="VLJ261" s="46"/>
      <c r="VLK261" s="46"/>
      <c r="VLL261" s="46"/>
      <c r="VLM261" s="46"/>
      <c r="VLN261" s="46"/>
      <c r="VLO261" s="46"/>
      <c r="VLP261" s="46"/>
      <c r="VLQ261" s="46"/>
      <c r="VLR261" s="46"/>
      <c r="VLS261" s="46"/>
      <c r="VLT261" s="46"/>
      <c r="VLU261" s="46"/>
      <c r="VLV261" s="46"/>
      <c r="VLW261" s="46"/>
      <c r="VLX261" s="46"/>
      <c r="VLY261" s="46"/>
      <c r="VLZ261" s="46"/>
      <c r="VMA261" s="46"/>
      <c r="VMB261" s="46"/>
      <c r="VMC261" s="46"/>
      <c r="VMD261" s="46"/>
      <c r="VME261" s="46"/>
      <c r="VMF261" s="46"/>
      <c r="VMG261" s="46"/>
      <c r="VMH261" s="46"/>
      <c r="VMI261" s="46"/>
      <c r="VMJ261" s="46"/>
      <c r="VMK261" s="46"/>
      <c r="VML261" s="46"/>
      <c r="VMM261" s="46"/>
      <c r="VMN261" s="46"/>
      <c r="VMO261" s="46"/>
      <c r="VMP261" s="46"/>
      <c r="VMQ261" s="46"/>
      <c r="VMR261" s="46"/>
      <c r="VMS261" s="46"/>
      <c r="VMT261" s="46"/>
      <c r="VMU261" s="46"/>
      <c r="VMV261" s="46"/>
      <c r="VMW261" s="46"/>
      <c r="VMX261" s="46"/>
      <c r="VMY261" s="46"/>
      <c r="VMZ261" s="46"/>
      <c r="VNA261" s="46"/>
      <c r="VNB261" s="46"/>
      <c r="VNC261" s="46"/>
      <c r="VND261" s="46"/>
      <c r="VNE261" s="46"/>
      <c r="VNF261" s="46"/>
      <c r="VNG261" s="46"/>
      <c r="VNH261" s="46"/>
      <c r="VNI261" s="46"/>
      <c r="VNJ261" s="46"/>
      <c r="VNK261" s="46"/>
      <c r="VNL261" s="46"/>
      <c r="VNM261" s="46"/>
      <c r="VNN261" s="46"/>
      <c r="VNO261" s="46"/>
      <c r="VNP261" s="46"/>
      <c r="VNQ261" s="46"/>
      <c r="VNR261" s="46"/>
      <c r="VNS261" s="46"/>
      <c r="VNT261" s="46"/>
      <c r="VNU261" s="46"/>
      <c r="VNV261" s="46"/>
      <c r="VNW261" s="46"/>
      <c r="VNX261" s="46"/>
      <c r="VNY261" s="46"/>
      <c r="VNZ261" s="46"/>
      <c r="VOA261" s="46"/>
      <c r="VOB261" s="46"/>
      <c r="VOC261" s="46"/>
      <c r="VOD261" s="46"/>
      <c r="VOE261" s="46"/>
      <c r="VOF261" s="46"/>
      <c r="VOG261" s="46"/>
      <c r="VOH261" s="46"/>
      <c r="VOI261" s="46"/>
      <c r="VOJ261" s="46"/>
      <c r="VOK261" s="46"/>
      <c r="VOL261" s="46"/>
      <c r="VOM261" s="46"/>
      <c r="VON261" s="46"/>
      <c r="VOO261" s="46"/>
      <c r="VOP261" s="46"/>
      <c r="VOQ261" s="46"/>
      <c r="VOR261" s="46"/>
      <c r="VOS261" s="46"/>
      <c r="VOT261" s="46"/>
      <c r="VOU261" s="46"/>
      <c r="VOV261" s="46"/>
      <c r="VOW261" s="46"/>
      <c r="VOX261" s="46"/>
      <c r="VOY261" s="46"/>
      <c r="VOZ261" s="46"/>
      <c r="VPA261" s="46"/>
      <c r="VPB261" s="46"/>
      <c r="VPC261" s="46"/>
      <c r="VPD261" s="46"/>
      <c r="VPE261" s="46"/>
      <c r="VPF261" s="46"/>
      <c r="VPG261" s="46"/>
      <c r="VPH261" s="46"/>
      <c r="VPI261" s="46"/>
      <c r="VPJ261" s="46"/>
      <c r="VPK261" s="46"/>
      <c r="VPL261" s="46"/>
      <c r="VPM261" s="46"/>
      <c r="VPN261" s="46"/>
      <c r="VPO261" s="46"/>
      <c r="VPP261" s="46"/>
      <c r="VPQ261" s="46"/>
      <c r="VPR261" s="46"/>
      <c r="VPS261" s="46"/>
      <c r="VPT261" s="46"/>
      <c r="VPU261" s="46"/>
      <c r="VPV261" s="46"/>
      <c r="VPW261" s="46"/>
      <c r="VPX261" s="46"/>
      <c r="VPY261" s="46"/>
      <c r="VPZ261" s="46"/>
      <c r="VQA261" s="46"/>
      <c r="VQB261" s="46"/>
      <c r="VQC261" s="46"/>
      <c r="VQD261" s="46"/>
      <c r="VQE261" s="46"/>
      <c r="VQF261" s="46"/>
      <c r="VQG261" s="46"/>
      <c r="VQH261" s="46"/>
      <c r="VQI261" s="46"/>
      <c r="VQJ261" s="46"/>
      <c r="VQK261" s="46"/>
      <c r="VQL261" s="46"/>
      <c r="VQM261" s="46"/>
      <c r="VQN261" s="46"/>
      <c r="VQO261" s="46"/>
      <c r="VQP261" s="46"/>
      <c r="VQQ261" s="46"/>
      <c r="VQR261" s="46"/>
      <c r="VQS261" s="46"/>
      <c r="VQT261" s="46"/>
      <c r="VQU261" s="46"/>
      <c r="VQV261" s="46"/>
      <c r="VQW261" s="46"/>
      <c r="VQX261" s="46"/>
      <c r="VQY261" s="46"/>
      <c r="VQZ261" s="46"/>
      <c r="VRA261" s="46"/>
      <c r="VRB261" s="46"/>
      <c r="VRC261" s="46"/>
      <c r="VRD261" s="46"/>
      <c r="VRE261" s="46"/>
      <c r="VRF261" s="46"/>
      <c r="VRG261" s="46"/>
      <c r="VRH261" s="46"/>
      <c r="VRI261" s="46"/>
      <c r="VRJ261" s="46"/>
      <c r="VRK261" s="46"/>
      <c r="VRL261" s="46"/>
      <c r="VRM261" s="46"/>
      <c r="VRN261" s="46"/>
      <c r="VRO261" s="46"/>
      <c r="VRP261" s="46"/>
      <c r="VRQ261" s="46"/>
      <c r="VRR261" s="46"/>
      <c r="VRS261" s="46"/>
      <c r="VRT261" s="46"/>
      <c r="VRU261" s="46"/>
      <c r="VRV261" s="46"/>
      <c r="VRW261" s="46"/>
      <c r="VRX261" s="46"/>
      <c r="VRY261" s="46"/>
      <c r="VRZ261" s="46"/>
      <c r="VSA261" s="46"/>
      <c r="VSB261" s="46"/>
      <c r="VSC261" s="46"/>
      <c r="VSD261" s="46"/>
      <c r="VSE261" s="46"/>
      <c r="VSF261" s="46"/>
      <c r="VSG261" s="46"/>
      <c r="VSH261" s="46"/>
      <c r="VSI261" s="46"/>
      <c r="VSJ261" s="46"/>
      <c r="VSK261" s="46"/>
      <c r="VSL261" s="46"/>
      <c r="VSM261" s="46"/>
      <c r="VSN261" s="46"/>
      <c r="VSO261" s="46"/>
      <c r="VSP261" s="46"/>
      <c r="VSQ261" s="46"/>
      <c r="VSR261" s="46"/>
      <c r="VSS261" s="46"/>
      <c r="VST261" s="46"/>
      <c r="VSU261" s="46"/>
      <c r="VSV261" s="46"/>
      <c r="VSW261" s="46"/>
      <c r="VSX261" s="46"/>
      <c r="VSY261" s="46"/>
      <c r="VSZ261" s="46"/>
      <c r="VTA261" s="46"/>
      <c r="VTB261" s="46"/>
      <c r="VTC261" s="46"/>
      <c r="VTD261" s="46"/>
      <c r="VTE261" s="46"/>
      <c r="VTF261" s="46"/>
      <c r="VTG261" s="46"/>
      <c r="VTH261" s="46"/>
      <c r="VTI261" s="46"/>
      <c r="VTJ261" s="46"/>
      <c r="VTK261" s="46"/>
      <c r="VTL261" s="46"/>
      <c r="VTM261" s="46"/>
      <c r="VTN261" s="46"/>
      <c r="VTO261" s="46"/>
      <c r="VTP261" s="46"/>
      <c r="VTQ261" s="46"/>
      <c r="VTR261" s="46"/>
      <c r="VTS261" s="46"/>
      <c r="VTT261" s="46"/>
      <c r="VTU261" s="46"/>
      <c r="VTV261" s="46"/>
      <c r="VTW261" s="46"/>
      <c r="VTX261" s="46"/>
      <c r="VTY261" s="46"/>
      <c r="VTZ261" s="46"/>
      <c r="VUA261" s="46"/>
      <c r="VUB261" s="46"/>
      <c r="VUC261" s="46"/>
      <c r="VUD261" s="46"/>
      <c r="VUE261" s="46"/>
      <c r="VUF261" s="46"/>
      <c r="VUG261" s="46"/>
      <c r="VUH261" s="46"/>
      <c r="VUI261" s="46"/>
      <c r="VUJ261" s="46"/>
      <c r="VUK261" s="46"/>
      <c r="VUL261" s="46"/>
      <c r="VUM261" s="46"/>
      <c r="VUN261" s="46"/>
      <c r="VUO261" s="46"/>
      <c r="VUP261" s="46"/>
      <c r="VUQ261" s="46"/>
      <c r="VUR261" s="46"/>
      <c r="VUS261" s="46"/>
      <c r="VUT261" s="46"/>
      <c r="VUU261" s="46"/>
      <c r="VUV261" s="46"/>
      <c r="VUW261" s="46"/>
      <c r="VUX261" s="46"/>
      <c r="VUY261" s="46"/>
      <c r="VUZ261" s="46"/>
      <c r="VVA261" s="46"/>
      <c r="VVB261" s="46"/>
      <c r="VVC261" s="46"/>
      <c r="VVD261" s="46"/>
      <c r="VVE261" s="46"/>
    </row>
    <row r="262" spans="3:91 15057:15449" s="1" customFormat="1" x14ac:dyDescent="0.25">
      <c r="C262" s="84"/>
      <c r="D262" s="123" t="s">
        <v>4</v>
      </c>
      <c r="E262" s="1072"/>
      <c r="F262" s="124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L262" s="53" t="s">
        <v>4</v>
      </c>
      <c r="CM262" s="142"/>
      <c r="VGC262" s="46"/>
      <c r="VGD262" s="46"/>
      <c r="VGE262" s="46"/>
      <c r="VGF262" s="46"/>
      <c r="VGG262" s="46"/>
      <c r="VGH262" s="46"/>
      <c r="VGI262" s="46"/>
      <c r="VGJ262" s="46"/>
      <c r="VGK262" s="46"/>
      <c r="VGL262" s="46"/>
      <c r="VGM262" s="46"/>
      <c r="VGN262" s="46"/>
      <c r="VGO262" s="46"/>
      <c r="VGP262" s="46"/>
      <c r="VGQ262" s="46"/>
      <c r="VGR262" s="46"/>
      <c r="VGS262" s="46"/>
      <c r="VGT262" s="46"/>
      <c r="VGU262" s="46"/>
      <c r="VGV262" s="46"/>
      <c r="VGW262" s="46"/>
      <c r="VGX262" s="46"/>
      <c r="VGY262" s="46"/>
      <c r="VGZ262" s="46"/>
      <c r="VHA262" s="46"/>
      <c r="VHB262" s="46"/>
      <c r="VHC262" s="46"/>
      <c r="VHD262" s="46"/>
      <c r="VHE262" s="46"/>
      <c r="VHF262" s="46"/>
      <c r="VHG262" s="46"/>
      <c r="VHH262" s="46"/>
      <c r="VHI262" s="46"/>
      <c r="VHJ262" s="46"/>
      <c r="VHK262" s="46"/>
      <c r="VHL262" s="46"/>
      <c r="VHM262" s="46"/>
      <c r="VHN262" s="46"/>
      <c r="VHO262" s="46"/>
      <c r="VHP262" s="46"/>
      <c r="VHQ262" s="46"/>
      <c r="VHR262" s="46"/>
      <c r="VHS262" s="46"/>
      <c r="VHT262" s="46"/>
      <c r="VHU262" s="46"/>
      <c r="VHV262" s="46"/>
      <c r="VHW262" s="46"/>
      <c r="VHX262" s="46"/>
      <c r="VHY262" s="46"/>
      <c r="VHZ262" s="46"/>
      <c r="VIA262" s="46"/>
      <c r="VIB262" s="46"/>
      <c r="VIC262" s="46"/>
      <c r="VID262" s="46"/>
      <c r="VIE262" s="46"/>
      <c r="VIF262" s="46"/>
      <c r="VIG262" s="46"/>
      <c r="VIH262" s="46"/>
      <c r="VII262" s="46"/>
      <c r="VIJ262" s="46"/>
      <c r="VIK262" s="46"/>
      <c r="VIL262" s="46"/>
      <c r="VIM262" s="46"/>
      <c r="VIN262" s="46"/>
      <c r="VIO262" s="46"/>
      <c r="VIP262" s="46"/>
      <c r="VIQ262" s="46"/>
      <c r="VIR262" s="46"/>
      <c r="VIS262" s="46"/>
      <c r="VIT262" s="46"/>
      <c r="VIU262" s="46"/>
      <c r="VIV262" s="46"/>
      <c r="VIW262" s="46"/>
      <c r="VIX262" s="46"/>
      <c r="VIY262" s="46"/>
      <c r="VIZ262" s="46"/>
      <c r="VJA262" s="46"/>
      <c r="VJB262" s="46"/>
      <c r="VJC262" s="46"/>
      <c r="VJD262" s="46"/>
      <c r="VJE262" s="46"/>
      <c r="VJF262" s="46"/>
      <c r="VJG262" s="46"/>
      <c r="VJH262" s="46"/>
      <c r="VJI262" s="46"/>
      <c r="VJJ262" s="46"/>
      <c r="VJK262" s="46"/>
      <c r="VJL262" s="46"/>
      <c r="VJM262" s="46"/>
      <c r="VJN262" s="46"/>
      <c r="VJO262" s="46"/>
      <c r="VJP262" s="46"/>
      <c r="VJQ262" s="46"/>
      <c r="VJR262" s="46"/>
      <c r="VJS262" s="46"/>
      <c r="VJT262" s="46"/>
      <c r="VJU262" s="46"/>
      <c r="VJV262" s="46"/>
      <c r="VJW262" s="46"/>
      <c r="VJX262" s="46"/>
      <c r="VJY262" s="46"/>
      <c r="VJZ262" s="46"/>
      <c r="VKA262" s="46"/>
      <c r="VKB262" s="46"/>
      <c r="VKC262" s="46"/>
      <c r="VKD262" s="46"/>
      <c r="VKE262" s="46"/>
      <c r="VKF262" s="46"/>
      <c r="VKG262" s="46"/>
      <c r="VKH262" s="46"/>
      <c r="VKI262" s="46"/>
      <c r="VKJ262" s="46"/>
      <c r="VKK262" s="46"/>
      <c r="VKL262" s="46"/>
      <c r="VKM262" s="46"/>
      <c r="VKN262" s="46"/>
      <c r="VKO262" s="46"/>
      <c r="VKP262" s="46"/>
      <c r="VKQ262" s="46"/>
      <c r="VKR262" s="46"/>
      <c r="VKS262" s="46"/>
      <c r="VKT262" s="46"/>
      <c r="VKU262" s="46"/>
      <c r="VKV262" s="46"/>
      <c r="VKW262" s="46"/>
      <c r="VKX262" s="46"/>
      <c r="VKY262" s="46"/>
      <c r="VKZ262" s="46"/>
      <c r="VLA262" s="46"/>
      <c r="VLB262" s="46"/>
      <c r="VLC262" s="46"/>
      <c r="VLD262" s="46"/>
      <c r="VLE262" s="46"/>
      <c r="VLF262" s="46"/>
      <c r="VLG262" s="46"/>
      <c r="VLH262" s="46"/>
      <c r="VLI262" s="46"/>
      <c r="VLJ262" s="46"/>
      <c r="VLK262" s="46"/>
      <c r="VLL262" s="46"/>
      <c r="VLM262" s="46"/>
      <c r="VLN262" s="46"/>
      <c r="VLO262" s="46"/>
      <c r="VLP262" s="46"/>
      <c r="VLQ262" s="46"/>
      <c r="VLR262" s="46"/>
      <c r="VLS262" s="46"/>
      <c r="VLT262" s="46"/>
      <c r="VLU262" s="46"/>
      <c r="VLV262" s="46"/>
      <c r="VLW262" s="46"/>
      <c r="VLX262" s="46"/>
      <c r="VLY262" s="46"/>
      <c r="VLZ262" s="46"/>
      <c r="VMA262" s="46"/>
      <c r="VMB262" s="46"/>
      <c r="VMC262" s="46"/>
      <c r="VMD262" s="46"/>
      <c r="VME262" s="46"/>
      <c r="VMF262" s="46"/>
      <c r="VMG262" s="46"/>
      <c r="VMH262" s="46"/>
      <c r="VMI262" s="46"/>
      <c r="VMJ262" s="46"/>
      <c r="VMK262" s="46"/>
      <c r="VML262" s="46"/>
      <c r="VMM262" s="46"/>
      <c r="VMN262" s="46"/>
      <c r="VMO262" s="46"/>
      <c r="VMP262" s="46"/>
      <c r="VMQ262" s="46"/>
      <c r="VMR262" s="46"/>
      <c r="VMS262" s="46"/>
      <c r="VMT262" s="46"/>
      <c r="VMU262" s="46"/>
      <c r="VMV262" s="46"/>
      <c r="VMW262" s="46"/>
      <c r="VMX262" s="46"/>
      <c r="VMY262" s="46"/>
      <c r="VMZ262" s="46"/>
      <c r="VNA262" s="46"/>
      <c r="VNB262" s="46"/>
      <c r="VNC262" s="46"/>
      <c r="VND262" s="46"/>
      <c r="VNE262" s="46"/>
      <c r="VNF262" s="46"/>
      <c r="VNG262" s="46"/>
      <c r="VNH262" s="46"/>
      <c r="VNI262" s="46"/>
      <c r="VNJ262" s="46"/>
      <c r="VNK262" s="46"/>
      <c r="VNL262" s="46"/>
      <c r="VNM262" s="46"/>
      <c r="VNN262" s="46"/>
      <c r="VNO262" s="46"/>
      <c r="VNP262" s="46"/>
      <c r="VNQ262" s="46"/>
      <c r="VNR262" s="46"/>
      <c r="VNS262" s="46"/>
      <c r="VNT262" s="46"/>
      <c r="VNU262" s="46"/>
      <c r="VNV262" s="46"/>
      <c r="VNW262" s="46"/>
      <c r="VNX262" s="46"/>
      <c r="VNY262" s="46"/>
      <c r="VNZ262" s="46"/>
      <c r="VOA262" s="46"/>
      <c r="VOB262" s="46"/>
      <c r="VOC262" s="46"/>
      <c r="VOD262" s="46"/>
      <c r="VOE262" s="46"/>
      <c r="VOF262" s="46"/>
      <c r="VOG262" s="46"/>
      <c r="VOH262" s="46"/>
      <c r="VOI262" s="46"/>
      <c r="VOJ262" s="46"/>
      <c r="VOK262" s="46"/>
      <c r="VOL262" s="46"/>
      <c r="VOM262" s="46"/>
      <c r="VON262" s="46"/>
      <c r="VOO262" s="46"/>
      <c r="VOP262" s="46"/>
      <c r="VOQ262" s="46"/>
      <c r="VOR262" s="46"/>
      <c r="VOS262" s="46"/>
      <c r="VOT262" s="46"/>
      <c r="VOU262" s="46"/>
      <c r="VOV262" s="46"/>
      <c r="VOW262" s="46"/>
      <c r="VOX262" s="46"/>
      <c r="VOY262" s="46"/>
      <c r="VOZ262" s="46"/>
      <c r="VPA262" s="46"/>
      <c r="VPB262" s="46"/>
      <c r="VPC262" s="46"/>
      <c r="VPD262" s="46"/>
      <c r="VPE262" s="46"/>
      <c r="VPF262" s="46"/>
      <c r="VPG262" s="46"/>
      <c r="VPH262" s="46"/>
      <c r="VPI262" s="46"/>
      <c r="VPJ262" s="46"/>
      <c r="VPK262" s="46"/>
      <c r="VPL262" s="46"/>
      <c r="VPM262" s="46"/>
      <c r="VPN262" s="46"/>
      <c r="VPO262" s="46"/>
      <c r="VPP262" s="46"/>
      <c r="VPQ262" s="46"/>
      <c r="VPR262" s="46"/>
      <c r="VPS262" s="46"/>
      <c r="VPT262" s="46"/>
      <c r="VPU262" s="46"/>
      <c r="VPV262" s="46"/>
      <c r="VPW262" s="46"/>
      <c r="VPX262" s="46"/>
      <c r="VPY262" s="46"/>
      <c r="VPZ262" s="46"/>
      <c r="VQA262" s="46"/>
      <c r="VQB262" s="46"/>
      <c r="VQC262" s="46"/>
      <c r="VQD262" s="46"/>
      <c r="VQE262" s="46"/>
      <c r="VQF262" s="46"/>
      <c r="VQG262" s="46"/>
      <c r="VQH262" s="46"/>
      <c r="VQI262" s="46"/>
      <c r="VQJ262" s="46"/>
      <c r="VQK262" s="46"/>
      <c r="VQL262" s="46"/>
      <c r="VQM262" s="46"/>
      <c r="VQN262" s="46"/>
      <c r="VQO262" s="46"/>
      <c r="VQP262" s="46"/>
      <c r="VQQ262" s="46"/>
      <c r="VQR262" s="46"/>
      <c r="VQS262" s="46"/>
      <c r="VQT262" s="46"/>
      <c r="VQU262" s="46"/>
      <c r="VQV262" s="46"/>
      <c r="VQW262" s="46"/>
      <c r="VQX262" s="46"/>
      <c r="VQY262" s="46"/>
      <c r="VQZ262" s="46"/>
      <c r="VRA262" s="46"/>
      <c r="VRB262" s="46"/>
      <c r="VRC262" s="46"/>
      <c r="VRD262" s="46"/>
      <c r="VRE262" s="46"/>
      <c r="VRF262" s="46"/>
      <c r="VRG262" s="46"/>
      <c r="VRH262" s="46"/>
      <c r="VRI262" s="46"/>
      <c r="VRJ262" s="46"/>
      <c r="VRK262" s="46"/>
      <c r="VRL262" s="46"/>
      <c r="VRM262" s="46"/>
      <c r="VRN262" s="46"/>
      <c r="VRO262" s="46"/>
      <c r="VRP262" s="46"/>
      <c r="VRQ262" s="46"/>
      <c r="VRR262" s="46"/>
      <c r="VRS262" s="46"/>
      <c r="VRT262" s="46"/>
      <c r="VRU262" s="46"/>
      <c r="VRV262" s="46"/>
      <c r="VRW262" s="46"/>
      <c r="VRX262" s="46"/>
      <c r="VRY262" s="46"/>
      <c r="VRZ262" s="46"/>
      <c r="VSA262" s="46"/>
      <c r="VSB262" s="46"/>
      <c r="VSC262" s="46"/>
      <c r="VSD262" s="46"/>
      <c r="VSE262" s="46"/>
      <c r="VSF262" s="46"/>
      <c r="VSG262" s="46"/>
      <c r="VSH262" s="46"/>
      <c r="VSI262" s="46"/>
      <c r="VSJ262" s="46"/>
      <c r="VSK262" s="46"/>
      <c r="VSL262" s="46"/>
      <c r="VSM262" s="46"/>
      <c r="VSN262" s="46"/>
      <c r="VSO262" s="46"/>
      <c r="VSP262" s="46"/>
      <c r="VSQ262" s="46"/>
      <c r="VSR262" s="46"/>
      <c r="VSS262" s="46"/>
      <c r="VST262" s="46"/>
      <c r="VSU262" s="46"/>
      <c r="VSV262" s="46"/>
      <c r="VSW262" s="46"/>
      <c r="VSX262" s="46"/>
      <c r="VSY262" s="46"/>
      <c r="VSZ262" s="46"/>
      <c r="VTA262" s="46"/>
      <c r="VTB262" s="46"/>
      <c r="VTC262" s="46"/>
      <c r="VTD262" s="46"/>
      <c r="VTE262" s="46"/>
      <c r="VTF262" s="46"/>
      <c r="VTG262" s="46"/>
      <c r="VTH262" s="46"/>
      <c r="VTI262" s="46"/>
      <c r="VTJ262" s="46"/>
      <c r="VTK262" s="46"/>
      <c r="VTL262" s="46"/>
      <c r="VTM262" s="46"/>
      <c r="VTN262" s="46"/>
      <c r="VTO262" s="46"/>
      <c r="VTP262" s="46"/>
      <c r="VTQ262" s="46"/>
      <c r="VTR262" s="46"/>
      <c r="VTS262" s="46"/>
      <c r="VTT262" s="46"/>
      <c r="VTU262" s="46"/>
      <c r="VTV262" s="46"/>
      <c r="VTW262" s="46"/>
      <c r="VTX262" s="46"/>
      <c r="VTY262" s="46"/>
      <c r="VTZ262" s="46"/>
      <c r="VUA262" s="46"/>
      <c r="VUB262" s="46"/>
      <c r="VUC262" s="46"/>
      <c r="VUD262" s="46"/>
      <c r="VUE262" s="46"/>
      <c r="VUF262" s="46"/>
      <c r="VUG262" s="46"/>
      <c r="VUH262" s="46"/>
      <c r="VUI262" s="46"/>
      <c r="VUJ262" s="46"/>
      <c r="VUK262" s="46"/>
      <c r="VUL262" s="46"/>
      <c r="VUM262" s="46"/>
      <c r="VUN262" s="46"/>
      <c r="VUO262" s="46"/>
      <c r="VUP262" s="46"/>
      <c r="VUQ262" s="46"/>
      <c r="VUR262" s="46"/>
      <c r="VUS262" s="46"/>
      <c r="VUT262" s="46"/>
      <c r="VUU262" s="46"/>
      <c r="VUV262" s="46"/>
      <c r="VUW262" s="46"/>
      <c r="VUX262" s="46"/>
      <c r="VUY262" s="46"/>
      <c r="VUZ262" s="46"/>
      <c r="VVA262" s="46"/>
      <c r="VVB262" s="46"/>
      <c r="VVC262" s="46"/>
      <c r="VVD262" s="46"/>
      <c r="VVE262" s="46"/>
    </row>
    <row r="263" spans="3:91 15057:15449" s="1" customFormat="1" x14ac:dyDescent="0.25">
      <c r="C263" s="84"/>
      <c r="D263" s="236" t="s">
        <v>3</v>
      </c>
      <c r="E263" s="235">
        <v>28770</v>
      </c>
      <c r="F263" s="247" t="s">
        <v>2</v>
      </c>
      <c r="G263" s="276">
        <v>23500</v>
      </c>
      <c r="H263" s="276">
        <v>22400</v>
      </c>
      <c r="I263" s="276">
        <v>22600</v>
      </c>
      <c r="J263" s="276">
        <v>22600</v>
      </c>
      <c r="K263" s="276">
        <v>22400</v>
      </c>
      <c r="L263" s="276">
        <v>22400</v>
      </c>
      <c r="M263" s="276">
        <v>23000</v>
      </c>
      <c r="N263" s="276">
        <v>22100</v>
      </c>
      <c r="O263" s="276">
        <v>21600</v>
      </c>
      <c r="P263" s="276">
        <v>22100</v>
      </c>
      <c r="Q263" s="276">
        <v>22000</v>
      </c>
      <c r="R263" s="276">
        <v>22400</v>
      </c>
      <c r="S263" s="276">
        <v>22100</v>
      </c>
      <c r="T263" s="276">
        <v>22200</v>
      </c>
      <c r="U263" s="276">
        <v>22400</v>
      </c>
      <c r="V263" s="276">
        <v>8000</v>
      </c>
      <c r="W263" s="276">
        <v>20800</v>
      </c>
      <c r="X263" s="276">
        <v>24400</v>
      </c>
      <c r="Y263" s="276">
        <v>23500</v>
      </c>
      <c r="Z263" s="276">
        <v>25000</v>
      </c>
      <c r="AA263" s="276">
        <v>24300</v>
      </c>
      <c r="AB263" s="276">
        <v>22900</v>
      </c>
      <c r="AC263" s="276">
        <v>19200</v>
      </c>
      <c r="AD263" s="276">
        <v>12400</v>
      </c>
      <c r="AE263" s="276">
        <v>8300</v>
      </c>
      <c r="AF263" s="276">
        <v>7600</v>
      </c>
      <c r="AG263" s="276">
        <v>5200</v>
      </c>
      <c r="AH263" s="276">
        <v>6400</v>
      </c>
      <c r="AI263" s="276">
        <v>6800</v>
      </c>
      <c r="AJ263" s="276">
        <v>6000</v>
      </c>
      <c r="AL263" s="83">
        <f>SUM(G263:AJ263)</f>
        <v>556600</v>
      </c>
      <c r="CM263" s="142"/>
      <c r="VGC263" s="46"/>
      <c r="VGD263" s="46"/>
      <c r="VGE263" s="46"/>
      <c r="VGF263" s="46"/>
      <c r="VGG263" s="46"/>
      <c r="VGH263" s="46"/>
      <c r="VGI263" s="46"/>
      <c r="VGJ263" s="46"/>
      <c r="VGK263" s="46"/>
      <c r="VGL263" s="46"/>
      <c r="VGM263" s="46"/>
      <c r="VGN263" s="46"/>
      <c r="VGO263" s="46"/>
      <c r="VGP263" s="46"/>
      <c r="VGQ263" s="46"/>
      <c r="VGR263" s="46"/>
      <c r="VGS263" s="46"/>
      <c r="VGT263" s="46"/>
      <c r="VGU263" s="46"/>
      <c r="VGV263" s="46"/>
      <c r="VGW263" s="46"/>
      <c r="VGX263" s="46"/>
      <c r="VGY263" s="46"/>
      <c r="VGZ263" s="46"/>
      <c r="VHA263" s="46"/>
      <c r="VHB263" s="46"/>
      <c r="VHC263" s="46"/>
      <c r="VHD263" s="46"/>
      <c r="VHE263" s="46"/>
      <c r="VHF263" s="46"/>
      <c r="VHG263" s="46"/>
      <c r="VHH263" s="46"/>
      <c r="VHI263" s="46"/>
      <c r="VHJ263" s="46"/>
      <c r="VHK263" s="46"/>
      <c r="VHL263" s="46"/>
      <c r="VHM263" s="46"/>
      <c r="VHN263" s="46"/>
      <c r="VHO263" s="46"/>
      <c r="VHP263" s="46"/>
      <c r="VHQ263" s="46"/>
      <c r="VHR263" s="46"/>
      <c r="VHS263" s="46"/>
      <c r="VHT263" s="46"/>
      <c r="VHU263" s="46"/>
      <c r="VHV263" s="46"/>
      <c r="VHW263" s="46"/>
      <c r="VHX263" s="46"/>
      <c r="VHY263" s="46"/>
      <c r="VHZ263" s="46"/>
      <c r="VIA263" s="46"/>
      <c r="VIB263" s="46"/>
      <c r="VIC263" s="46"/>
      <c r="VID263" s="46"/>
      <c r="VIE263" s="46"/>
      <c r="VIF263" s="46"/>
      <c r="VIG263" s="46"/>
      <c r="VIH263" s="46"/>
      <c r="VII263" s="46"/>
      <c r="VIJ263" s="46"/>
      <c r="VIK263" s="46"/>
      <c r="VIL263" s="46"/>
      <c r="VIM263" s="46"/>
      <c r="VIN263" s="46"/>
      <c r="VIO263" s="46"/>
      <c r="VIP263" s="46"/>
      <c r="VIQ263" s="46"/>
      <c r="VIR263" s="46"/>
      <c r="VIS263" s="46"/>
      <c r="VIT263" s="46"/>
      <c r="VIU263" s="46"/>
      <c r="VIV263" s="46"/>
      <c r="VIW263" s="46"/>
      <c r="VIX263" s="46"/>
      <c r="VIY263" s="46"/>
      <c r="VIZ263" s="46"/>
      <c r="VJA263" s="46"/>
      <c r="VJB263" s="46"/>
      <c r="VJC263" s="46"/>
      <c r="VJD263" s="46"/>
      <c r="VJE263" s="46"/>
      <c r="VJF263" s="46"/>
      <c r="VJG263" s="46"/>
      <c r="VJH263" s="46"/>
      <c r="VJI263" s="46"/>
      <c r="VJJ263" s="46"/>
      <c r="VJK263" s="46"/>
      <c r="VJL263" s="46"/>
      <c r="VJM263" s="46"/>
      <c r="VJN263" s="46"/>
      <c r="VJO263" s="46"/>
      <c r="VJP263" s="46"/>
      <c r="VJQ263" s="46"/>
      <c r="VJR263" s="46"/>
      <c r="VJS263" s="46"/>
      <c r="VJT263" s="46"/>
      <c r="VJU263" s="46"/>
      <c r="VJV263" s="46"/>
      <c r="VJW263" s="46"/>
      <c r="VJX263" s="46"/>
      <c r="VJY263" s="46"/>
      <c r="VJZ263" s="46"/>
      <c r="VKA263" s="46"/>
      <c r="VKB263" s="46"/>
      <c r="VKC263" s="46"/>
      <c r="VKD263" s="46"/>
      <c r="VKE263" s="46"/>
      <c r="VKF263" s="46"/>
      <c r="VKG263" s="46"/>
      <c r="VKH263" s="46"/>
      <c r="VKI263" s="46"/>
      <c r="VKJ263" s="46"/>
      <c r="VKK263" s="46"/>
      <c r="VKL263" s="46"/>
      <c r="VKM263" s="46"/>
      <c r="VKN263" s="46"/>
      <c r="VKO263" s="46"/>
      <c r="VKP263" s="46"/>
      <c r="VKQ263" s="46"/>
      <c r="VKR263" s="46"/>
      <c r="VKS263" s="46"/>
      <c r="VKT263" s="46"/>
      <c r="VKU263" s="46"/>
      <c r="VKV263" s="46"/>
      <c r="VKW263" s="46"/>
      <c r="VKX263" s="46"/>
      <c r="VKY263" s="46"/>
      <c r="VKZ263" s="46"/>
      <c r="VLA263" s="46"/>
      <c r="VLB263" s="46"/>
      <c r="VLC263" s="46"/>
      <c r="VLD263" s="46"/>
      <c r="VLE263" s="46"/>
      <c r="VLF263" s="46"/>
      <c r="VLG263" s="46"/>
      <c r="VLH263" s="46"/>
      <c r="VLI263" s="46"/>
      <c r="VLJ263" s="46"/>
      <c r="VLK263" s="46"/>
      <c r="VLL263" s="46"/>
      <c r="VLM263" s="46"/>
      <c r="VLN263" s="46"/>
      <c r="VLO263" s="46"/>
      <c r="VLP263" s="46"/>
      <c r="VLQ263" s="46"/>
      <c r="VLR263" s="46"/>
      <c r="VLS263" s="46"/>
      <c r="VLT263" s="46"/>
      <c r="VLU263" s="46"/>
      <c r="VLV263" s="46"/>
      <c r="VLW263" s="46"/>
      <c r="VLX263" s="46"/>
      <c r="VLY263" s="46"/>
      <c r="VLZ263" s="46"/>
      <c r="VMA263" s="46"/>
      <c r="VMB263" s="46"/>
      <c r="VMC263" s="46"/>
      <c r="VMD263" s="46"/>
      <c r="VME263" s="46"/>
      <c r="VMF263" s="46"/>
      <c r="VMG263" s="46"/>
      <c r="VMH263" s="46"/>
      <c r="VMI263" s="46"/>
      <c r="VMJ263" s="46"/>
      <c r="VMK263" s="46"/>
      <c r="VML263" s="46"/>
      <c r="VMM263" s="46"/>
      <c r="VMN263" s="46"/>
      <c r="VMO263" s="46"/>
      <c r="VMP263" s="46"/>
      <c r="VMQ263" s="46"/>
      <c r="VMR263" s="46"/>
      <c r="VMS263" s="46"/>
      <c r="VMT263" s="46"/>
      <c r="VMU263" s="46"/>
      <c r="VMV263" s="46"/>
      <c r="VMW263" s="46"/>
      <c r="VMX263" s="46"/>
      <c r="VMY263" s="46"/>
      <c r="VMZ263" s="46"/>
      <c r="VNA263" s="46"/>
      <c r="VNB263" s="46"/>
      <c r="VNC263" s="46"/>
      <c r="VND263" s="46"/>
      <c r="VNE263" s="46"/>
      <c r="VNF263" s="46"/>
      <c r="VNG263" s="46"/>
      <c r="VNH263" s="46"/>
      <c r="VNI263" s="46"/>
      <c r="VNJ263" s="46"/>
      <c r="VNK263" s="46"/>
      <c r="VNL263" s="46"/>
      <c r="VNM263" s="46"/>
      <c r="VNN263" s="46"/>
      <c r="VNO263" s="46"/>
      <c r="VNP263" s="46"/>
      <c r="VNQ263" s="46"/>
      <c r="VNR263" s="46"/>
      <c r="VNS263" s="46"/>
      <c r="VNT263" s="46"/>
      <c r="VNU263" s="46"/>
      <c r="VNV263" s="46"/>
      <c r="VNW263" s="46"/>
      <c r="VNX263" s="46"/>
      <c r="VNY263" s="46"/>
      <c r="VNZ263" s="46"/>
      <c r="VOA263" s="46"/>
      <c r="VOB263" s="46"/>
      <c r="VOC263" s="46"/>
      <c r="VOD263" s="46"/>
      <c r="VOE263" s="46"/>
      <c r="VOF263" s="46"/>
      <c r="VOG263" s="46"/>
      <c r="VOH263" s="46"/>
      <c r="VOI263" s="46"/>
      <c r="VOJ263" s="46"/>
      <c r="VOK263" s="46"/>
      <c r="VOL263" s="46"/>
      <c r="VOM263" s="46"/>
      <c r="VON263" s="46"/>
      <c r="VOO263" s="46"/>
      <c r="VOP263" s="46"/>
      <c r="VOQ263" s="46"/>
      <c r="VOR263" s="46"/>
      <c r="VOS263" s="46"/>
      <c r="VOT263" s="46"/>
      <c r="VOU263" s="46"/>
      <c r="VOV263" s="46"/>
      <c r="VOW263" s="46"/>
      <c r="VOX263" s="46"/>
      <c r="VOY263" s="46"/>
      <c r="VOZ263" s="46"/>
      <c r="VPA263" s="46"/>
      <c r="VPB263" s="46"/>
      <c r="VPC263" s="46"/>
      <c r="VPD263" s="46"/>
      <c r="VPE263" s="46"/>
      <c r="VPF263" s="46"/>
      <c r="VPG263" s="46"/>
      <c r="VPH263" s="46"/>
      <c r="VPI263" s="46"/>
      <c r="VPJ263" s="46"/>
      <c r="VPK263" s="46"/>
      <c r="VPL263" s="46"/>
      <c r="VPM263" s="46"/>
      <c r="VPN263" s="46"/>
      <c r="VPO263" s="46"/>
      <c r="VPP263" s="46"/>
      <c r="VPQ263" s="46"/>
      <c r="VPR263" s="46"/>
      <c r="VPS263" s="46"/>
      <c r="VPT263" s="46"/>
      <c r="VPU263" s="46"/>
      <c r="VPV263" s="46"/>
      <c r="VPW263" s="46"/>
      <c r="VPX263" s="46"/>
      <c r="VPY263" s="46"/>
      <c r="VPZ263" s="46"/>
      <c r="VQA263" s="46"/>
      <c r="VQB263" s="46"/>
      <c r="VQC263" s="46"/>
      <c r="VQD263" s="46"/>
      <c r="VQE263" s="46"/>
      <c r="VQF263" s="46"/>
      <c r="VQG263" s="46"/>
      <c r="VQH263" s="46"/>
      <c r="VQI263" s="46"/>
      <c r="VQJ263" s="46"/>
      <c r="VQK263" s="46"/>
      <c r="VQL263" s="46"/>
      <c r="VQM263" s="46"/>
      <c r="VQN263" s="46"/>
      <c r="VQO263" s="46"/>
      <c r="VQP263" s="46"/>
      <c r="VQQ263" s="46"/>
      <c r="VQR263" s="46"/>
      <c r="VQS263" s="46"/>
      <c r="VQT263" s="46"/>
      <c r="VQU263" s="46"/>
      <c r="VQV263" s="46"/>
      <c r="VQW263" s="46"/>
      <c r="VQX263" s="46"/>
      <c r="VQY263" s="46"/>
      <c r="VQZ263" s="46"/>
      <c r="VRA263" s="46"/>
      <c r="VRB263" s="46"/>
      <c r="VRC263" s="46"/>
      <c r="VRD263" s="46"/>
      <c r="VRE263" s="46"/>
      <c r="VRF263" s="46"/>
      <c r="VRG263" s="46"/>
      <c r="VRH263" s="46"/>
      <c r="VRI263" s="46"/>
      <c r="VRJ263" s="46"/>
      <c r="VRK263" s="46"/>
      <c r="VRL263" s="46"/>
      <c r="VRM263" s="46"/>
      <c r="VRN263" s="46"/>
      <c r="VRO263" s="46"/>
      <c r="VRP263" s="46"/>
      <c r="VRQ263" s="46"/>
      <c r="VRR263" s="46"/>
      <c r="VRS263" s="46"/>
      <c r="VRT263" s="46"/>
      <c r="VRU263" s="46"/>
      <c r="VRV263" s="46"/>
      <c r="VRW263" s="46"/>
      <c r="VRX263" s="46"/>
      <c r="VRY263" s="46"/>
      <c r="VRZ263" s="46"/>
      <c r="VSA263" s="46"/>
      <c r="VSB263" s="46"/>
      <c r="VSC263" s="46"/>
      <c r="VSD263" s="46"/>
      <c r="VSE263" s="46"/>
      <c r="VSF263" s="46"/>
      <c r="VSG263" s="46"/>
      <c r="VSH263" s="46"/>
      <c r="VSI263" s="46"/>
      <c r="VSJ263" s="46"/>
      <c r="VSK263" s="46"/>
      <c r="VSL263" s="46"/>
      <c r="VSM263" s="46"/>
      <c r="VSN263" s="46"/>
      <c r="VSO263" s="46"/>
      <c r="VSP263" s="46"/>
      <c r="VSQ263" s="46"/>
      <c r="VSR263" s="46"/>
      <c r="VSS263" s="46"/>
      <c r="VST263" s="46"/>
      <c r="VSU263" s="46"/>
      <c r="VSV263" s="46"/>
      <c r="VSW263" s="46"/>
      <c r="VSX263" s="46"/>
      <c r="VSY263" s="46"/>
      <c r="VSZ263" s="46"/>
      <c r="VTA263" s="46"/>
      <c r="VTB263" s="46"/>
      <c r="VTC263" s="46"/>
      <c r="VTD263" s="46"/>
      <c r="VTE263" s="46"/>
      <c r="VTF263" s="46"/>
      <c r="VTG263" s="46"/>
      <c r="VTH263" s="46"/>
      <c r="VTI263" s="46"/>
      <c r="VTJ263" s="46"/>
      <c r="VTK263" s="46"/>
      <c r="VTL263" s="46"/>
      <c r="VTM263" s="46"/>
      <c r="VTN263" s="46"/>
      <c r="VTO263" s="46"/>
      <c r="VTP263" s="46"/>
      <c r="VTQ263" s="46"/>
      <c r="VTR263" s="46"/>
      <c r="VTS263" s="46"/>
      <c r="VTT263" s="46"/>
      <c r="VTU263" s="46"/>
      <c r="VTV263" s="46"/>
      <c r="VTW263" s="46"/>
      <c r="VTX263" s="46"/>
      <c r="VTY263" s="46"/>
      <c r="VTZ263" s="46"/>
      <c r="VUA263" s="46"/>
      <c r="VUB263" s="46"/>
      <c r="VUC263" s="46"/>
      <c r="VUD263" s="46"/>
      <c r="VUE263" s="46"/>
      <c r="VUF263" s="46"/>
      <c r="VUG263" s="46"/>
      <c r="VUH263" s="46"/>
      <c r="VUI263" s="46"/>
      <c r="VUJ263" s="46"/>
      <c r="VUK263" s="46"/>
      <c r="VUL263" s="46"/>
      <c r="VUM263" s="46"/>
      <c r="VUN263" s="46"/>
      <c r="VUO263" s="46"/>
      <c r="VUP263" s="46"/>
      <c r="VUQ263" s="46"/>
      <c r="VUR263" s="46"/>
      <c r="VUS263" s="46"/>
      <c r="VUT263" s="46"/>
      <c r="VUU263" s="46"/>
      <c r="VUV263" s="46"/>
      <c r="VUW263" s="46"/>
      <c r="VUX263" s="46"/>
      <c r="VUY263" s="46"/>
      <c r="VUZ263" s="46"/>
      <c r="VVA263" s="46"/>
      <c r="VVB263" s="46"/>
      <c r="VVC263" s="46"/>
      <c r="VVD263" s="46"/>
      <c r="VVE263" s="46"/>
    </row>
    <row r="264" spans="3:91 15057:15449" s="1" customFormat="1" x14ac:dyDescent="0.25">
      <c r="C264" s="84"/>
      <c r="D264" s="123" t="s">
        <v>1</v>
      </c>
      <c r="E264" s="13"/>
      <c r="F264" s="70" t="s">
        <v>0</v>
      </c>
      <c r="G264" s="283">
        <f t="shared" ref="G264" si="101">G263</f>
        <v>23500</v>
      </c>
      <c r="H264" s="283">
        <f t="shared" ref="H264" si="102">H263</f>
        <v>22400</v>
      </c>
      <c r="I264" s="283">
        <f t="shared" ref="I264:AJ264" si="103">I263</f>
        <v>22600</v>
      </c>
      <c r="J264" s="283">
        <f t="shared" si="103"/>
        <v>22600</v>
      </c>
      <c r="K264" s="283">
        <v>22400</v>
      </c>
      <c r="L264" s="283">
        <f t="shared" si="103"/>
        <v>22400</v>
      </c>
      <c r="M264" s="283">
        <f t="shared" si="103"/>
        <v>23000</v>
      </c>
      <c r="N264" s="283">
        <f t="shared" si="103"/>
        <v>22100</v>
      </c>
      <c r="O264" s="283">
        <f t="shared" si="103"/>
        <v>21600</v>
      </c>
      <c r="P264" s="283">
        <f t="shared" si="103"/>
        <v>22100</v>
      </c>
      <c r="Q264" s="283">
        <f t="shared" si="103"/>
        <v>22000</v>
      </c>
      <c r="R264" s="283">
        <f t="shared" si="103"/>
        <v>22400</v>
      </c>
      <c r="S264" s="283">
        <f t="shared" si="103"/>
        <v>22100</v>
      </c>
      <c r="T264" s="283">
        <f t="shared" si="103"/>
        <v>22200</v>
      </c>
      <c r="U264" s="283">
        <f t="shared" si="103"/>
        <v>22400</v>
      </c>
      <c r="V264" s="283">
        <f t="shared" si="103"/>
        <v>8000</v>
      </c>
      <c r="W264" s="283">
        <f t="shared" si="103"/>
        <v>20800</v>
      </c>
      <c r="X264" s="283">
        <f t="shared" si="103"/>
        <v>24400</v>
      </c>
      <c r="Y264" s="283">
        <f t="shared" si="103"/>
        <v>23500</v>
      </c>
      <c r="Z264" s="283">
        <f t="shared" si="103"/>
        <v>25000</v>
      </c>
      <c r="AA264" s="283">
        <f t="shared" si="103"/>
        <v>24300</v>
      </c>
      <c r="AB264" s="283">
        <f t="shared" si="103"/>
        <v>22900</v>
      </c>
      <c r="AC264" s="283">
        <f t="shared" si="103"/>
        <v>19200</v>
      </c>
      <c r="AD264" s="283">
        <f t="shared" si="103"/>
        <v>12400</v>
      </c>
      <c r="AE264" s="283">
        <f t="shared" si="103"/>
        <v>8300</v>
      </c>
      <c r="AF264" s="283">
        <f t="shared" si="103"/>
        <v>7600</v>
      </c>
      <c r="AG264" s="283">
        <f t="shared" si="103"/>
        <v>5200</v>
      </c>
      <c r="AH264" s="283">
        <f t="shared" si="103"/>
        <v>6400</v>
      </c>
      <c r="AI264" s="283">
        <f t="shared" si="103"/>
        <v>6800</v>
      </c>
      <c r="AJ264" s="283">
        <f t="shared" si="103"/>
        <v>6000</v>
      </c>
      <c r="AK264" s="63"/>
      <c r="AL264" s="83">
        <f>SUM(G264:AJ264)</f>
        <v>556600</v>
      </c>
      <c r="CM264" s="142"/>
      <c r="VGC264" s="46"/>
      <c r="VGD264" s="46"/>
      <c r="VGE264" s="46"/>
      <c r="VGF264" s="46"/>
      <c r="VGG264" s="46"/>
      <c r="VGH264" s="46"/>
      <c r="VGI264" s="46"/>
      <c r="VGJ264" s="46"/>
      <c r="VGK264" s="46"/>
      <c r="VGL264" s="46"/>
      <c r="VGM264" s="46"/>
      <c r="VGN264" s="46"/>
      <c r="VGO264" s="46"/>
      <c r="VGP264" s="46"/>
      <c r="VGQ264" s="46"/>
      <c r="VGR264" s="46"/>
      <c r="VGS264" s="46"/>
      <c r="VGT264" s="46"/>
      <c r="VGU264" s="46"/>
      <c r="VGV264" s="46"/>
      <c r="VGW264" s="46"/>
      <c r="VGX264" s="46"/>
      <c r="VGY264" s="46"/>
      <c r="VGZ264" s="46"/>
      <c r="VHA264" s="46"/>
      <c r="VHB264" s="46"/>
      <c r="VHC264" s="46"/>
      <c r="VHD264" s="46"/>
      <c r="VHE264" s="46"/>
      <c r="VHF264" s="46"/>
      <c r="VHG264" s="46"/>
      <c r="VHH264" s="46"/>
      <c r="VHI264" s="46"/>
      <c r="VHJ264" s="46"/>
      <c r="VHK264" s="46"/>
      <c r="VHL264" s="46"/>
      <c r="VHM264" s="46"/>
      <c r="VHN264" s="46"/>
      <c r="VHO264" s="46"/>
      <c r="VHP264" s="46"/>
      <c r="VHQ264" s="46"/>
      <c r="VHR264" s="46"/>
      <c r="VHS264" s="46"/>
      <c r="VHT264" s="46"/>
      <c r="VHU264" s="46"/>
      <c r="VHV264" s="46"/>
      <c r="VHW264" s="46"/>
      <c r="VHX264" s="46"/>
      <c r="VHY264" s="46"/>
      <c r="VHZ264" s="46"/>
      <c r="VIA264" s="46"/>
      <c r="VIB264" s="46"/>
      <c r="VIC264" s="46"/>
      <c r="VID264" s="46"/>
      <c r="VIE264" s="46"/>
      <c r="VIF264" s="46"/>
      <c r="VIG264" s="46"/>
      <c r="VIH264" s="46"/>
      <c r="VII264" s="46"/>
      <c r="VIJ264" s="46"/>
      <c r="VIK264" s="46"/>
      <c r="VIL264" s="46"/>
      <c r="VIM264" s="46"/>
      <c r="VIN264" s="46"/>
      <c r="VIO264" s="46"/>
      <c r="VIP264" s="46"/>
      <c r="VIQ264" s="46"/>
      <c r="VIR264" s="46"/>
      <c r="VIS264" s="46"/>
      <c r="VIT264" s="46"/>
      <c r="VIU264" s="46"/>
      <c r="VIV264" s="46"/>
      <c r="VIW264" s="46"/>
      <c r="VIX264" s="46"/>
      <c r="VIY264" s="46"/>
      <c r="VIZ264" s="46"/>
      <c r="VJA264" s="46"/>
      <c r="VJB264" s="46"/>
      <c r="VJC264" s="46"/>
      <c r="VJD264" s="46"/>
      <c r="VJE264" s="46"/>
      <c r="VJF264" s="46"/>
      <c r="VJG264" s="46"/>
      <c r="VJH264" s="46"/>
      <c r="VJI264" s="46"/>
      <c r="VJJ264" s="46"/>
      <c r="VJK264" s="46"/>
      <c r="VJL264" s="46"/>
      <c r="VJM264" s="46"/>
      <c r="VJN264" s="46"/>
      <c r="VJO264" s="46"/>
      <c r="VJP264" s="46"/>
      <c r="VJQ264" s="46"/>
      <c r="VJR264" s="46"/>
      <c r="VJS264" s="46"/>
      <c r="VJT264" s="46"/>
      <c r="VJU264" s="46"/>
      <c r="VJV264" s="46"/>
      <c r="VJW264" s="46"/>
      <c r="VJX264" s="46"/>
      <c r="VJY264" s="46"/>
      <c r="VJZ264" s="46"/>
      <c r="VKA264" s="46"/>
      <c r="VKB264" s="46"/>
      <c r="VKC264" s="46"/>
      <c r="VKD264" s="46"/>
      <c r="VKE264" s="46"/>
      <c r="VKF264" s="46"/>
      <c r="VKG264" s="46"/>
      <c r="VKH264" s="46"/>
      <c r="VKI264" s="46"/>
      <c r="VKJ264" s="46"/>
      <c r="VKK264" s="46"/>
      <c r="VKL264" s="46"/>
      <c r="VKM264" s="46"/>
      <c r="VKN264" s="46"/>
      <c r="VKO264" s="46"/>
      <c r="VKP264" s="46"/>
      <c r="VKQ264" s="46"/>
      <c r="VKR264" s="46"/>
      <c r="VKS264" s="46"/>
      <c r="VKT264" s="46"/>
      <c r="VKU264" s="46"/>
      <c r="VKV264" s="46"/>
      <c r="VKW264" s="46"/>
      <c r="VKX264" s="46"/>
      <c r="VKY264" s="46"/>
      <c r="VKZ264" s="46"/>
      <c r="VLA264" s="46"/>
      <c r="VLB264" s="46"/>
      <c r="VLC264" s="46"/>
      <c r="VLD264" s="46"/>
      <c r="VLE264" s="46"/>
      <c r="VLF264" s="46"/>
      <c r="VLG264" s="46"/>
      <c r="VLH264" s="46"/>
      <c r="VLI264" s="46"/>
      <c r="VLJ264" s="46"/>
      <c r="VLK264" s="46"/>
      <c r="VLL264" s="46"/>
      <c r="VLM264" s="46"/>
      <c r="VLN264" s="46"/>
      <c r="VLO264" s="46"/>
      <c r="VLP264" s="46"/>
      <c r="VLQ264" s="46"/>
      <c r="VLR264" s="46"/>
      <c r="VLS264" s="46"/>
      <c r="VLT264" s="46"/>
      <c r="VLU264" s="46"/>
      <c r="VLV264" s="46"/>
      <c r="VLW264" s="46"/>
      <c r="VLX264" s="46"/>
      <c r="VLY264" s="46"/>
      <c r="VLZ264" s="46"/>
      <c r="VMA264" s="46"/>
      <c r="VMB264" s="46"/>
      <c r="VMC264" s="46"/>
      <c r="VMD264" s="46"/>
      <c r="VME264" s="46"/>
      <c r="VMF264" s="46"/>
      <c r="VMG264" s="46"/>
      <c r="VMH264" s="46"/>
      <c r="VMI264" s="46"/>
      <c r="VMJ264" s="46"/>
      <c r="VMK264" s="46"/>
      <c r="VML264" s="46"/>
      <c r="VMM264" s="46"/>
      <c r="VMN264" s="46"/>
      <c r="VMO264" s="46"/>
      <c r="VMP264" s="46"/>
      <c r="VMQ264" s="46"/>
      <c r="VMR264" s="46"/>
      <c r="VMS264" s="46"/>
      <c r="VMT264" s="46"/>
      <c r="VMU264" s="46"/>
      <c r="VMV264" s="46"/>
      <c r="VMW264" s="46"/>
      <c r="VMX264" s="46"/>
      <c r="VMY264" s="46"/>
      <c r="VMZ264" s="46"/>
      <c r="VNA264" s="46"/>
      <c r="VNB264" s="46"/>
      <c r="VNC264" s="46"/>
      <c r="VND264" s="46"/>
      <c r="VNE264" s="46"/>
      <c r="VNF264" s="46"/>
      <c r="VNG264" s="46"/>
      <c r="VNH264" s="46"/>
      <c r="VNI264" s="46"/>
      <c r="VNJ264" s="46"/>
      <c r="VNK264" s="46"/>
      <c r="VNL264" s="46"/>
      <c r="VNM264" s="46"/>
      <c r="VNN264" s="46"/>
      <c r="VNO264" s="46"/>
      <c r="VNP264" s="46"/>
      <c r="VNQ264" s="46"/>
      <c r="VNR264" s="46"/>
      <c r="VNS264" s="46"/>
      <c r="VNT264" s="46"/>
      <c r="VNU264" s="46"/>
      <c r="VNV264" s="46"/>
      <c r="VNW264" s="46"/>
      <c r="VNX264" s="46"/>
      <c r="VNY264" s="46"/>
      <c r="VNZ264" s="46"/>
      <c r="VOA264" s="46"/>
      <c r="VOB264" s="46"/>
      <c r="VOC264" s="46"/>
      <c r="VOD264" s="46"/>
      <c r="VOE264" s="46"/>
      <c r="VOF264" s="46"/>
      <c r="VOG264" s="46"/>
      <c r="VOH264" s="46"/>
      <c r="VOI264" s="46"/>
      <c r="VOJ264" s="46"/>
      <c r="VOK264" s="46"/>
      <c r="VOL264" s="46"/>
      <c r="VOM264" s="46"/>
      <c r="VON264" s="46"/>
      <c r="VOO264" s="46"/>
      <c r="VOP264" s="46"/>
      <c r="VOQ264" s="46"/>
      <c r="VOR264" s="46"/>
      <c r="VOS264" s="46"/>
      <c r="VOT264" s="46"/>
      <c r="VOU264" s="46"/>
      <c r="VOV264" s="46"/>
      <c r="VOW264" s="46"/>
      <c r="VOX264" s="46"/>
      <c r="VOY264" s="46"/>
      <c r="VOZ264" s="46"/>
      <c r="VPA264" s="46"/>
      <c r="VPB264" s="46"/>
      <c r="VPC264" s="46"/>
      <c r="VPD264" s="46"/>
      <c r="VPE264" s="46"/>
      <c r="VPF264" s="46"/>
      <c r="VPG264" s="46"/>
      <c r="VPH264" s="46"/>
      <c r="VPI264" s="46"/>
      <c r="VPJ264" s="46"/>
      <c r="VPK264" s="46"/>
      <c r="VPL264" s="46"/>
      <c r="VPM264" s="46"/>
      <c r="VPN264" s="46"/>
      <c r="VPO264" s="46"/>
      <c r="VPP264" s="46"/>
      <c r="VPQ264" s="46"/>
      <c r="VPR264" s="46"/>
      <c r="VPS264" s="46"/>
      <c r="VPT264" s="46"/>
      <c r="VPU264" s="46"/>
      <c r="VPV264" s="46"/>
      <c r="VPW264" s="46"/>
      <c r="VPX264" s="46"/>
      <c r="VPY264" s="46"/>
      <c r="VPZ264" s="46"/>
      <c r="VQA264" s="46"/>
      <c r="VQB264" s="46"/>
      <c r="VQC264" s="46"/>
      <c r="VQD264" s="46"/>
      <c r="VQE264" s="46"/>
      <c r="VQF264" s="46"/>
      <c r="VQG264" s="46"/>
      <c r="VQH264" s="46"/>
      <c r="VQI264" s="46"/>
      <c r="VQJ264" s="46"/>
      <c r="VQK264" s="46"/>
      <c r="VQL264" s="46"/>
      <c r="VQM264" s="46"/>
      <c r="VQN264" s="46"/>
      <c r="VQO264" s="46"/>
      <c r="VQP264" s="46"/>
      <c r="VQQ264" s="46"/>
      <c r="VQR264" s="46"/>
      <c r="VQS264" s="46"/>
      <c r="VQT264" s="46"/>
      <c r="VQU264" s="46"/>
      <c r="VQV264" s="46"/>
      <c r="VQW264" s="46"/>
      <c r="VQX264" s="46"/>
      <c r="VQY264" s="46"/>
      <c r="VQZ264" s="46"/>
      <c r="VRA264" s="46"/>
      <c r="VRB264" s="46"/>
      <c r="VRC264" s="46"/>
      <c r="VRD264" s="46"/>
      <c r="VRE264" s="46"/>
      <c r="VRF264" s="46"/>
      <c r="VRG264" s="46"/>
      <c r="VRH264" s="46"/>
      <c r="VRI264" s="46"/>
      <c r="VRJ264" s="46"/>
      <c r="VRK264" s="46"/>
      <c r="VRL264" s="46"/>
      <c r="VRM264" s="46"/>
      <c r="VRN264" s="46"/>
      <c r="VRO264" s="46"/>
      <c r="VRP264" s="46"/>
      <c r="VRQ264" s="46"/>
      <c r="VRR264" s="46"/>
      <c r="VRS264" s="46"/>
      <c r="VRT264" s="46"/>
      <c r="VRU264" s="46"/>
      <c r="VRV264" s="46"/>
      <c r="VRW264" s="46"/>
      <c r="VRX264" s="46"/>
      <c r="VRY264" s="46"/>
      <c r="VRZ264" s="46"/>
      <c r="VSA264" s="46"/>
      <c r="VSB264" s="46"/>
      <c r="VSC264" s="46"/>
      <c r="VSD264" s="46"/>
      <c r="VSE264" s="46"/>
      <c r="VSF264" s="46"/>
      <c r="VSG264" s="46"/>
      <c r="VSH264" s="46"/>
      <c r="VSI264" s="46"/>
      <c r="VSJ264" s="46"/>
      <c r="VSK264" s="46"/>
      <c r="VSL264" s="46"/>
      <c r="VSM264" s="46"/>
      <c r="VSN264" s="46"/>
      <c r="VSO264" s="46"/>
      <c r="VSP264" s="46"/>
      <c r="VSQ264" s="46"/>
      <c r="VSR264" s="46"/>
      <c r="VSS264" s="46"/>
      <c r="VST264" s="46"/>
      <c r="VSU264" s="46"/>
      <c r="VSV264" s="46"/>
      <c r="VSW264" s="46"/>
      <c r="VSX264" s="46"/>
      <c r="VSY264" s="46"/>
      <c r="VSZ264" s="46"/>
      <c r="VTA264" s="46"/>
      <c r="VTB264" s="46"/>
      <c r="VTC264" s="46"/>
      <c r="VTD264" s="46"/>
      <c r="VTE264" s="46"/>
      <c r="VTF264" s="46"/>
      <c r="VTG264" s="46"/>
      <c r="VTH264" s="46"/>
      <c r="VTI264" s="46"/>
      <c r="VTJ264" s="46"/>
      <c r="VTK264" s="46"/>
      <c r="VTL264" s="46"/>
      <c r="VTM264" s="46"/>
      <c r="VTN264" s="46"/>
      <c r="VTO264" s="46"/>
      <c r="VTP264" s="46"/>
      <c r="VTQ264" s="46"/>
      <c r="VTR264" s="46"/>
      <c r="VTS264" s="46"/>
      <c r="VTT264" s="46"/>
      <c r="VTU264" s="46"/>
      <c r="VTV264" s="46"/>
      <c r="VTW264" s="46"/>
      <c r="VTX264" s="46"/>
      <c r="VTY264" s="46"/>
      <c r="VTZ264" s="46"/>
      <c r="VUA264" s="46"/>
      <c r="VUB264" s="46"/>
      <c r="VUC264" s="46"/>
      <c r="VUD264" s="46"/>
      <c r="VUE264" s="46"/>
      <c r="VUF264" s="46"/>
      <c r="VUG264" s="46"/>
      <c r="VUH264" s="46"/>
      <c r="VUI264" s="46"/>
      <c r="VUJ264" s="46"/>
      <c r="VUK264" s="46"/>
      <c r="VUL264" s="46"/>
      <c r="VUM264" s="46"/>
      <c r="VUN264" s="46"/>
      <c r="VUO264" s="46"/>
      <c r="VUP264" s="46"/>
      <c r="VUQ264" s="46"/>
      <c r="VUR264" s="46"/>
      <c r="VUS264" s="46"/>
      <c r="VUT264" s="46"/>
      <c r="VUU264" s="46"/>
      <c r="VUV264" s="46"/>
      <c r="VUW264" s="46"/>
      <c r="VUX264" s="46"/>
      <c r="VUY264" s="46"/>
      <c r="VUZ264" s="46"/>
      <c r="VVA264" s="46"/>
      <c r="VVB264" s="46"/>
      <c r="VVC264" s="46"/>
      <c r="VVD264" s="46"/>
      <c r="VVE264" s="46"/>
    </row>
    <row r="265" spans="3:91 15057:15449" s="1" customFormat="1" x14ac:dyDescent="0.25">
      <c r="C265" s="84"/>
      <c r="D265" s="123" t="s">
        <v>16</v>
      </c>
      <c r="E265" s="13"/>
      <c r="F265" s="70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  <c r="AA265" s="283"/>
      <c r="AB265" s="283"/>
      <c r="AC265" s="283"/>
      <c r="AD265" s="283"/>
      <c r="AE265" s="283"/>
      <c r="AF265" s="283"/>
      <c r="AG265" s="283"/>
      <c r="AH265" s="283"/>
      <c r="AI265" s="283"/>
      <c r="AJ265" s="283"/>
      <c r="AK265" s="63"/>
      <c r="AL265" s="125" t="s">
        <v>16</v>
      </c>
      <c r="CM265" s="142"/>
      <c r="VGC265" s="46"/>
      <c r="VGD265" s="46"/>
      <c r="VGE265" s="46"/>
      <c r="VGF265" s="46"/>
      <c r="VGG265" s="46"/>
      <c r="VGH265" s="46"/>
      <c r="VGI265" s="46"/>
      <c r="VGJ265" s="46"/>
      <c r="VGK265" s="46"/>
      <c r="VGL265" s="46"/>
      <c r="VGM265" s="46"/>
      <c r="VGN265" s="46"/>
      <c r="VGO265" s="46"/>
      <c r="VGP265" s="46"/>
      <c r="VGQ265" s="46"/>
      <c r="VGR265" s="46"/>
      <c r="VGS265" s="46"/>
      <c r="VGT265" s="46"/>
      <c r="VGU265" s="46"/>
      <c r="VGV265" s="46"/>
      <c r="VGW265" s="46"/>
      <c r="VGX265" s="46"/>
      <c r="VGY265" s="46"/>
      <c r="VGZ265" s="46"/>
      <c r="VHA265" s="46"/>
      <c r="VHB265" s="46"/>
      <c r="VHC265" s="46"/>
      <c r="VHD265" s="46"/>
      <c r="VHE265" s="46"/>
      <c r="VHF265" s="46"/>
      <c r="VHG265" s="46"/>
      <c r="VHH265" s="46"/>
      <c r="VHI265" s="46"/>
      <c r="VHJ265" s="46"/>
      <c r="VHK265" s="46"/>
      <c r="VHL265" s="46"/>
      <c r="VHM265" s="46"/>
      <c r="VHN265" s="46"/>
      <c r="VHO265" s="46"/>
      <c r="VHP265" s="46"/>
      <c r="VHQ265" s="46"/>
      <c r="VHR265" s="46"/>
      <c r="VHS265" s="46"/>
      <c r="VHT265" s="46"/>
      <c r="VHU265" s="46"/>
      <c r="VHV265" s="46"/>
      <c r="VHW265" s="46"/>
      <c r="VHX265" s="46"/>
      <c r="VHY265" s="46"/>
      <c r="VHZ265" s="46"/>
      <c r="VIA265" s="46"/>
      <c r="VIB265" s="46"/>
      <c r="VIC265" s="46"/>
      <c r="VID265" s="46"/>
      <c r="VIE265" s="46"/>
      <c r="VIF265" s="46"/>
      <c r="VIG265" s="46"/>
      <c r="VIH265" s="46"/>
      <c r="VII265" s="46"/>
      <c r="VIJ265" s="46"/>
      <c r="VIK265" s="46"/>
      <c r="VIL265" s="46"/>
      <c r="VIM265" s="46"/>
      <c r="VIN265" s="46"/>
      <c r="VIO265" s="46"/>
      <c r="VIP265" s="46"/>
      <c r="VIQ265" s="46"/>
      <c r="VIR265" s="46"/>
      <c r="VIS265" s="46"/>
      <c r="VIT265" s="46"/>
      <c r="VIU265" s="46"/>
      <c r="VIV265" s="46"/>
      <c r="VIW265" s="46"/>
      <c r="VIX265" s="46"/>
      <c r="VIY265" s="46"/>
      <c r="VIZ265" s="46"/>
      <c r="VJA265" s="46"/>
      <c r="VJB265" s="46"/>
      <c r="VJC265" s="46"/>
      <c r="VJD265" s="46"/>
      <c r="VJE265" s="46"/>
      <c r="VJF265" s="46"/>
      <c r="VJG265" s="46"/>
      <c r="VJH265" s="46"/>
      <c r="VJI265" s="46"/>
      <c r="VJJ265" s="46"/>
      <c r="VJK265" s="46"/>
      <c r="VJL265" s="46"/>
      <c r="VJM265" s="46"/>
      <c r="VJN265" s="46"/>
      <c r="VJO265" s="46"/>
      <c r="VJP265" s="46"/>
      <c r="VJQ265" s="46"/>
      <c r="VJR265" s="46"/>
      <c r="VJS265" s="46"/>
      <c r="VJT265" s="46"/>
      <c r="VJU265" s="46"/>
      <c r="VJV265" s="46"/>
      <c r="VJW265" s="46"/>
      <c r="VJX265" s="46"/>
      <c r="VJY265" s="46"/>
      <c r="VJZ265" s="46"/>
      <c r="VKA265" s="46"/>
      <c r="VKB265" s="46"/>
      <c r="VKC265" s="46"/>
      <c r="VKD265" s="46"/>
      <c r="VKE265" s="46"/>
      <c r="VKF265" s="46"/>
      <c r="VKG265" s="46"/>
      <c r="VKH265" s="46"/>
      <c r="VKI265" s="46"/>
      <c r="VKJ265" s="46"/>
      <c r="VKK265" s="46"/>
      <c r="VKL265" s="46"/>
      <c r="VKM265" s="46"/>
      <c r="VKN265" s="46"/>
      <c r="VKO265" s="46"/>
      <c r="VKP265" s="46"/>
      <c r="VKQ265" s="46"/>
      <c r="VKR265" s="46"/>
      <c r="VKS265" s="46"/>
      <c r="VKT265" s="46"/>
      <c r="VKU265" s="46"/>
      <c r="VKV265" s="46"/>
      <c r="VKW265" s="46"/>
      <c r="VKX265" s="46"/>
      <c r="VKY265" s="46"/>
      <c r="VKZ265" s="46"/>
      <c r="VLA265" s="46"/>
      <c r="VLB265" s="46"/>
      <c r="VLC265" s="46"/>
      <c r="VLD265" s="46"/>
      <c r="VLE265" s="46"/>
      <c r="VLF265" s="46"/>
      <c r="VLG265" s="46"/>
      <c r="VLH265" s="46"/>
      <c r="VLI265" s="46"/>
      <c r="VLJ265" s="46"/>
      <c r="VLK265" s="46"/>
      <c r="VLL265" s="46"/>
      <c r="VLM265" s="46"/>
      <c r="VLN265" s="46"/>
      <c r="VLO265" s="46"/>
      <c r="VLP265" s="46"/>
      <c r="VLQ265" s="46"/>
      <c r="VLR265" s="46"/>
      <c r="VLS265" s="46"/>
      <c r="VLT265" s="46"/>
      <c r="VLU265" s="46"/>
      <c r="VLV265" s="46"/>
      <c r="VLW265" s="46"/>
      <c r="VLX265" s="46"/>
      <c r="VLY265" s="46"/>
      <c r="VLZ265" s="46"/>
      <c r="VMA265" s="46"/>
      <c r="VMB265" s="46"/>
      <c r="VMC265" s="46"/>
      <c r="VMD265" s="46"/>
      <c r="VME265" s="46"/>
      <c r="VMF265" s="46"/>
      <c r="VMG265" s="46"/>
      <c r="VMH265" s="46"/>
      <c r="VMI265" s="46"/>
      <c r="VMJ265" s="46"/>
      <c r="VMK265" s="46"/>
      <c r="VML265" s="46"/>
      <c r="VMM265" s="46"/>
      <c r="VMN265" s="46"/>
      <c r="VMO265" s="46"/>
      <c r="VMP265" s="46"/>
      <c r="VMQ265" s="46"/>
      <c r="VMR265" s="46"/>
      <c r="VMS265" s="46"/>
      <c r="VMT265" s="46"/>
      <c r="VMU265" s="46"/>
      <c r="VMV265" s="46"/>
      <c r="VMW265" s="46"/>
      <c r="VMX265" s="46"/>
      <c r="VMY265" s="46"/>
      <c r="VMZ265" s="46"/>
      <c r="VNA265" s="46"/>
      <c r="VNB265" s="46"/>
      <c r="VNC265" s="46"/>
      <c r="VND265" s="46"/>
      <c r="VNE265" s="46"/>
      <c r="VNF265" s="46"/>
      <c r="VNG265" s="46"/>
      <c r="VNH265" s="46"/>
      <c r="VNI265" s="46"/>
      <c r="VNJ265" s="46"/>
      <c r="VNK265" s="46"/>
      <c r="VNL265" s="46"/>
      <c r="VNM265" s="46"/>
      <c r="VNN265" s="46"/>
      <c r="VNO265" s="46"/>
      <c r="VNP265" s="46"/>
      <c r="VNQ265" s="46"/>
      <c r="VNR265" s="46"/>
      <c r="VNS265" s="46"/>
      <c r="VNT265" s="46"/>
      <c r="VNU265" s="46"/>
      <c r="VNV265" s="46"/>
      <c r="VNW265" s="46"/>
      <c r="VNX265" s="46"/>
      <c r="VNY265" s="46"/>
      <c r="VNZ265" s="46"/>
      <c r="VOA265" s="46"/>
      <c r="VOB265" s="46"/>
      <c r="VOC265" s="46"/>
      <c r="VOD265" s="46"/>
      <c r="VOE265" s="46"/>
      <c r="VOF265" s="46"/>
      <c r="VOG265" s="46"/>
      <c r="VOH265" s="46"/>
      <c r="VOI265" s="46"/>
      <c r="VOJ265" s="46"/>
      <c r="VOK265" s="46"/>
      <c r="VOL265" s="46"/>
      <c r="VOM265" s="46"/>
      <c r="VON265" s="46"/>
      <c r="VOO265" s="46"/>
      <c r="VOP265" s="46"/>
      <c r="VOQ265" s="46"/>
      <c r="VOR265" s="46"/>
      <c r="VOS265" s="46"/>
      <c r="VOT265" s="46"/>
      <c r="VOU265" s="46"/>
      <c r="VOV265" s="46"/>
      <c r="VOW265" s="46"/>
      <c r="VOX265" s="46"/>
      <c r="VOY265" s="46"/>
      <c r="VOZ265" s="46"/>
      <c r="VPA265" s="46"/>
      <c r="VPB265" s="46"/>
      <c r="VPC265" s="46"/>
      <c r="VPD265" s="46"/>
      <c r="VPE265" s="46"/>
      <c r="VPF265" s="46"/>
      <c r="VPG265" s="46"/>
      <c r="VPH265" s="46"/>
      <c r="VPI265" s="46"/>
      <c r="VPJ265" s="46"/>
      <c r="VPK265" s="46"/>
      <c r="VPL265" s="46"/>
      <c r="VPM265" s="46"/>
      <c r="VPN265" s="46"/>
      <c r="VPO265" s="46"/>
      <c r="VPP265" s="46"/>
      <c r="VPQ265" s="46"/>
      <c r="VPR265" s="46"/>
      <c r="VPS265" s="46"/>
      <c r="VPT265" s="46"/>
      <c r="VPU265" s="46"/>
      <c r="VPV265" s="46"/>
      <c r="VPW265" s="46"/>
      <c r="VPX265" s="46"/>
      <c r="VPY265" s="46"/>
      <c r="VPZ265" s="46"/>
      <c r="VQA265" s="46"/>
      <c r="VQB265" s="46"/>
      <c r="VQC265" s="46"/>
      <c r="VQD265" s="46"/>
      <c r="VQE265" s="46"/>
      <c r="VQF265" s="46"/>
      <c r="VQG265" s="46"/>
      <c r="VQH265" s="46"/>
      <c r="VQI265" s="46"/>
      <c r="VQJ265" s="46"/>
      <c r="VQK265" s="46"/>
      <c r="VQL265" s="46"/>
      <c r="VQM265" s="46"/>
      <c r="VQN265" s="46"/>
      <c r="VQO265" s="46"/>
      <c r="VQP265" s="46"/>
      <c r="VQQ265" s="46"/>
      <c r="VQR265" s="46"/>
      <c r="VQS265" s="46"/>
      <c r="VQT265" s="46"/>
      <c r="VQU265" s="46"/>
      <c r="VQV265" s="46"/>
      <c r="VQW265" s="46"/>
      <c r="VQX265" s="46"/>
      <c r="VQY265" s="46"/>
      <c r="VQZ265" s="46"/>
      <c r="VRA265" s="46"/>
      <c r="VRB265" s="46"/>
      <c r="VRC265" s="46"/>
      <c r="VRD265" s="46"/>
      <c r="VRE265" s="46"/>
      <c r="VRF265" s="46"/>
      <c r="VRG265" s="46"/>
      <c r="VRH265" s="46"/>
      <c r="VRI265" s="46"/>
      <c r="VRJ265" s="46"/>
      <c r="VRK265" s="46"/>
      <c r="VRL265" s="46"/>
      <c r="VRM265" s="46"/>
      <c r="VRN265" s="46"/>
      <c r="VRO265" s="46"/>
      <c r="VRP265" s="46"/>
      <c r="VRQ265" s="46"/>
      <c r="VRR265" s="46"/>
      <c r="VRS265" s="46"/>
      <c r="VRT265" s="46"/>
      <c r="VRU265" s="46"/>
      <c r="VRV265" s="46"/>
      <c r="VRW265" s="46"/>
      <c r="VRX265" s="46"/>
      <c r="VRY265" s="46"/>
      <c r="VRZ265" s="46"/>
      <c r="VSA265" s="46"/>
      <c r="VSB265" s="46"/>
      <c r="VSC265" s="46"/>
      <c r="VSD265" s="46"/>
      <c r="VSE265" s="46"/>
      <c r="VSF265" s="46"/>
      <c r="VSG265" s="46"/>
      <c r="VSH265" s="46"/>
      <c r="VSI265" s="46"/>
      <c r="VSJ265" s="46"/>
      <c r="VSK265" s="46"/>
      <c r="VSL265" s="46"/>
      <c r="VSM265" s="46"/>
      <c r="VSN265" s="46"/>
      <c r="VSO265" s="46"/>
      <c r="VSP265" s="46"/>
      <c r="VSQ265" s="46"/>
      <c r="VSR265" s="46"/>
      <c r="VSS265" s="46"/>
      <c r="VST265" s="46"/>
      <c r="VSU265" s="46"/>
      <c r="VSV265" s="46"/>
      <c r="VSW265" s="46"/>
      <c r="VSX265" s="46"/>
      <c r="VSY265" s="46"/>
      <c r="VSZ265" s="46"/>
      <c r="VTA265" s="46"/>
      <c r="VTB265" s="46"/>
      <c r="VTC265" s="46"/>
      <c r="VTD265" s="46"/>
      <c r="VTE265" s="46"/>
      <c r="VTF265" s="46"/>
      <c r="VTG265" s="46"/>
      <c r="VTH265" s="46"/>
      <c r="VTI265" s="46"/>
      <c r="VTJ265" s="46"/>
      <c r="VTK265" s="46"/>
      <c r="VTL265" s="46"/>
      <c r="VTM265" s="46"/>
      <c r="VTN265" s="46"/>
      <c r="VTO265" s="46"/>
      <c r="VTP265" s="46"/>
      <c r="VTQ265" s="46"/>
      <c r="VTR265" s="46"/>
      <c r="VTS265" s="46"/>
      <c r="VTT265" s="46"/>
      <c r="VTU265" s="46"/>
      <c r="VTV265" s="46"/>
      <c r="VTW265" s="46"/>
      <c r="VTX265" s="46"/>
      <c r="VTY265" s="46"/>
      <c r="VTZ265" s="46"/>
      <c r="VUA265" s="46"/>
      <c r="VUB265" s="46"/>
      <c r="VUC265" s="46"/>
      <c r="VUD265" s="46"/>
      <c r="VUE265" s="46"/>
      <c r="VUF265" s="46"/>
      <c r="VUG265" s="46"/>
      <c r="VUH265" s="46"/>
      <c r="VUI265" s="46"/>
      <c r="VUJ265" s="46"/>
      <c r="VUK265" s="46"/>
      <c r="VUL265" s="46"/>
      <c r="VUM265" s="46"/>
      <c r="VUN265" s="46"/>
      <c r="VUO265" s="46"/>
      <c r="VUP265" s="46"/>
      <c r="VUQ265" s="46"/>
      <c r="VUR265" s="46"/>
      <c r="VUS265" s="46"/>
      <c r="VUT265" s="46"/>
      <c r="VUU265" s="46"/>
      <c r="VUV265" s="46"/>
      <c r="VUW265" s="46"/>
      <c r="VUX265" s="46"/>
      <c r="VUY265" s="46"/>
      <c r="VUZ265" s="46"/>
      <c r="VVA265" s="46"/>
      <c r="VVB265" s="46"/>
      <c r="VVC265" s="46"/>
      <c r="VVD265" s="46"/>
      <c r="VVE265" s="46"/>
    </row>
    <row r="266" spans="3:91 15057:15449" x14ac:dyDescent="0.25">
      <c r="C266" s="15"/>
      <c r="D266" s="248" t="s">
        <v>121</v>
      </c>
      <c r="E266" s="267">
        <v>3850.42</v>
      </c>
      <c r="F266" s="247" t="s">
        <v>2</v>
      </c>
      <c r="G266" s="276">
        <v>2730</v>
      </c>
      <c r="H266" s="276">
        <v>1770</v>
      </c>
      <c r="I266" s="276">
        <v>3600</v>
      </c>
      <c r="J266" s="276">
        <v>2820</v>
      </c>
      <c r="K266" s="276">
        <v>2810</v>
      </c>
      <c r="L266" s="276">
        <v>2660</v>
      </c>
      <c r="M266" s="276">
        <v>2750</v>
      </c>
      <c r="N266" s="276">
        <v>2720</v>
      </c>
      <c r="O266" s="276">
        <v>2650</v>
      </c>
      <c r="P266" s="276">
        <v>2880</v>
      </c>
      <c r="Q266" s="276">
        <v>2710</v>
      </c>
      <c r="R266" s="276">
        <v>2800</v>
      </c>
      <c r="S266" s="276">
        <v>2780</v>
      </c>
      <c r="T266" s="276">
        <v>2730</v>
      </c>
      <c r="U266" s="276">
        <v>2690</v>
      </c>
      <c r="V266" s="276">
        <v>2840</v>
      </c>
      <c r="W266" s="276">
        <v>2750</v>
      </c>
      <c r="X266" s="276">
        <v>2760</v>
      </c>
      <c r="Y266" s="276">
        <v>2760</v>
      </c>
      <c r="Z266" s="276">
        <v>2770</v>
      </c>
      <c r="AA266" s="276">
        <v>2700</v>
      </c>
      <c r="AB266" s="276">
        <v>2880</v>
      </c>
      <c r="AC266" s="276">
        <v>2750</v>
      </c>
      <c r="AD266" s="276">
        <v>380</v>
      </c>
      <c r="AE266" s="276">
        <v>0</v>
      </c>
      <c r="AF266" s="276">
        <v>0</v>
      </c>
      <c r="AG266" s="276">
        <v>0</v>
      </c>
      <c r="AH266" s="276">
        <v>0</v>
      </c>
      <c r="AI266" s="276">
        <v>0</v>
      </c>
      <c r="AJ266" s="276">
        <v>0</v>
      </c>
      <c r="AL266" s="83">
        <f>SUM(G266:AJ266)</f>
        <v>63690</v>
      </c>
    </row>
    <row r="267" spans="3:91 15057:15449" x14ac:dyDescent="0.25">
      <c r="C267" s="15"/>
      <c r="D267" s="958"/>
      <c r="E267" s="959"/>
      <c r="F267" s="62"/>
      <c r="G267" s="953">
        <f t="shared" ref="G267" si="104">G266/G9*1000000</f>
        <v>3175.9437962649504</v>
      </c>
      <c r="H267" s="953">
        <f t="shared" ref="H267" si="105">H266/H9*1000000</f>
        <v>3294.2490228922388</v>
      </c>
      <c r="I267" s="953">
        <f t="shared" ref="I267:AJ267" si="106">I266/I9*1000000</f>
        <v>4885.9868539809258</v>
      </c>
      <c r="J267" s="953">
        <f t="shared" si="106"/>
        <v>3152.285574716434</v>
      </c>
      <c r="K267" s="953">
        <v>3120.1282694724873</v>
      </c>
      <c r="L267" s="953">
        <f t="shared" si="106"/>
        <v>3143.5577746919962</v>
      </c>
      <c r="M267" s="953">
        <f t="shared" si="106"/>
        <v>3648.0179986575295</v>
      </c>
      <c r="N267" s="953">
        <f t="shared" si="106"/>
        <v>3903.8784745594862</v>
      </c>
      <c r="O267" s="953">
        <f t="shared" si="106"/>
        <v>3198.1887389964204</v>
      </c>
      <c r="P267" s="953">
        <f t="shared" si="106"/>
        <v>2869.5262292631896</v>
      </c>
      <c r="Q267" s="953">
        <f t="shared" si="106"/>
        <v>2707.8093822097921</v>
      </c>
      <c r="R267" s="953">
        <f t="shared" si="106"/>
        <v>3025.0713592725997</v>
      </c>
      <c r="S267" s="953">
        <f t="shared" si="106"/>
        <v>3459.1484522177125</v>
      </c>
      <c r="T267" s="953">
        <f t="shared" si="106"/>
        <v>2703.0024119098443</v>
      </c>
      <c r="U267" s="953">
        <f t="shared" si="106"/>
        <v>2581.2667206589617</v>
      </c>
      <c r="V267" s="953">
        <f t="shared" si="106"/>
        <v>2863.8299288378598</v>
      </c>
      <c r="W267" s="953">
        <f t="shared" si="106"/>
        <v>4338.7301877802429</v>
      </c>
      <c r="X267" s="953">
        <f>X266/X9*1000000</f>
        <v>2477.4137954248631</v>
      </c>
      <c r="Y267" s="953">
        <f t="shared" si="106"/>
        <v>2032.3721538505722</v>
      </c>
      <c r="Z267" s="953">
        <f t="shared" si="106"/>
        <v>1760.5633802816901</v>
      </c>
      <c r="AA267" s="953">
        <f t="shared" si="106"/>
        <v>1882.9331635439032</v>
      </c>
      <c r="AB267" s="953">
        <f t="shared" si="106"/>
        <v>6659.9450554532923</v>
      </c>
      <c r="AC267" s="953" t="e">
        <f t="shared" si="106"/>
        <v>#DIV/0!</v>
      </c>
      <c r="AD267" s="953" t="e">
        <f t="shared" si="106"/>
        <v>#DIV/0!</v>
      </c>
      <c r="AE267" s="953" t="e">
        <f t="shared" si="106"/>
        <v>#DIV/0!</v>
      </c>
      <c r="AF267" s="953" t="e">
        <f t="shared" si="106"/>
        <v>#DIV/0!</v>
      </c>
      <c r="AG267" s="953" t="e">
        <f t="shared" si="106"/>
        <v>#DIV/0!</v>
      </c>
      <c r="AH267" s="953" t="e">
        <f t="shared" si="106"/>
        <v>#DIV/0!</v>
      </c>
      <c r="AI267" s="953" t="e">
        <f t="shared" si="106"/>
        <v>#DIV/0!</v>
      </c>
      <c r="AJ267" s="953" t="e">
        <f t="shared" si="106"/>
        <v>#DIV/0!</v>
      </c>
      <c r="AK267" s="63"/>
      <c r="AL267" s="960">
        <f>AL266/AL9*1000</f>
        <v>3.1255244786130505</v>
      </c>
    </row>
    <row r="268" spans="3:91 15057:15449" x14ac:dyDescent="0.25">
      <c r="C268" s="15"/>
      <c r="D268" s="248" t="s">
        <v>120</v>
      </c>
      <c r="E268" s="267">
        <v>5404.17</v>
      </c>
      <c r="F268" s="247" t="s">
        <v>2</v>
      </c>
      <c r="G268" s="276">
        <v>3400</v>
      </c>
      <c r="H268" s="276">
        <v>2700</v>
      </c>
      <c r="I268" s="276">
        <v>2900</v>
      </c>
      <c r="J268" s="276">
        <v>3100</v>
      </c>
      <c r="K268" s="276">
        <v>3100</v>
      </c>
      <c r="L268" s="276">
        <v>2700</v>
      </c>
      <c r="M268" s="276">
        <v>2700</v>
      </c>
      <c r="N268" s="276">
        <v>2600</v>
      </c>
      <c r="O268" s="276">
        <v>2700</v>
      </c>
      <c r="P268" s="276">
        <v>3400</v>
      </c>
      <c r="Q268" s="276">
        <v>3100</v>
      </c>
      <c r="R268" s="276">
        <v>3100</v>
      </c>
      <c r="S268" s="276">
        <v>3100</v>
      </c>
      <c r="T268" s="276">
        <v>3300</v>
      </c>
      <c r="U268" s="276">
        <v>3600</v>
      </c>
      <c r="V268" s="276">
        <v>3300</v>
      </c>
      <c r="W268" s="276">
        <v>2800</v>
      </c>
      <c r="X268" s="276">
        <v>3700</v>
      </c>
      <c r="Y268" s="276">
        <v>4400</v>
      </c>
      <c r="Z268" s="276">
        <v>4800</v>
      </c>
      <c r="AA268" s="276">
        <v>4300</v>
      </c>
      <c r="AB268" s="276">
        <v>3200</v>
      </c>
      <c r="AC268" s="276">
        <v>1200</v>
      </c>
      <c r="AD268" s="276">
        <v>0</v>
      </c>
      <c r="AE268" s="276">
        <v>100</v>
      </c>
      <c r="AF268" s="276">
        <v>0</v>
      </c>
      <c r="AG268" s="276">
        <v>0</v>
      </c>
      <c r="AH268" s="276">
        <v>0</v>
      </c>
      <c r="AI268" s="276">
        <v>0</v>
      </c>
      <c r="AJ268" s="276">
        <v>0</v>
      </c>
      <c r="AL268" s="83">
        <f>SUM(G268:AJ268)</f>
        <v>73300</v>
      </c>
    </row>
    <row r="269" spans="3:91 15057:15449" x14ac:dyDescent="0.25">
      <c r="C269" s="15"/>
      <c r="D269" s="958"/>
      <c r="E269" s="959"/>
      <c r="F269" s="62"/>
      <c r="G269" s="953">
        <f t="shared" ref="G269" si="107">G268/G9*1000000</f>
        <v>3955.3878781321732</v>
      </c>
      <c r="H269" s="953">
        <f>H268/H9*1000000</f>
        <v>5025.1256281407032</v>
      </c>
      <c r="I269" s="953">
        <f t="shared" ref="I269:AJ269" si="108">I268/I9*1000000</f>
        <v>3935.9338545957457</v>
      </c>
      <c r="J269" s="953">
        <f t="shared" si="108"/>
        <v>3465.2784686599098</v>
      </c>
      <c r="K269" s="953">
        <v>3442.1343898095056</v>
      </c>
      <c r="L269" s="953">
        <f t="shared" si="108"/>
        <v>3190.8293201760866</v>
      </c>
      <c r="M269" s="953">
        <f t="shared" si="108"/>
        <v>3581.6903986819379</v>
      </c>
      <c r="N269" s="953">
        <f t="shared" si="108"/>
        <v>3731.6485418583325</v>
      </c>
      <c r="O269" s="953">
        <f t="shared" si="108"/>
        <v>3258.5319227510699</v>
      </c>
      <c r="P269" s="953">
        <f t="shared" si="108"/>
        <v>3387.6351317690433</v>
      </c>
      <c r="Q269" s="953">
        <f t="shared" si="108"/>
        <v>3097.4941272510541</v>
      </c>
      <c r="R269" s="953">
        <f t="shared" si="108"/>
        <v>3349.1861477660927</v>
      </c>
      <c r="S269" s="953">
        <f t="shared" si="108"/>
        <v>3857.3238136240675</v>
      </c>
      <c r="T269" s="953">
        <f t="shared" si="108"/>
        <v>3267.3655528580534</v>
      </c>
      <c r="U269" s="953">
        <f t="shared" si="108"/>
        <v>3454.4833436328113</v>
      </c>
      <c r="V269" s="953">
        <f t="shared" si="108"/>
        <v>3327.6897060439919</v>
      </c>
      <c r="W269" s="953">
        <f t="shared" si="108"/>
        <v>4417.6161911944282</v>
      </c>
      <c r="X269" s="953">
        <f t="shared" si="108"/>
        <v>3321.1706677797079</v>
      </c>
      <c r="Y269" s="953">
        <f t="shared" si="108"/>
        <v>3240.0135786023611</v>
      </c>
      <c r="Z269" s="953">
        <f t="shared" si="108"/>
        <v>3050.7957492245891</v>
      </c>
      <c r="AA269" s="953">
        <f t="shared" si="108"/>
        <v>2998.7454086069574</v>
      </c>
      <c r="AB269" s="953">
        <f t="shared" si="108"/>
        <v>7399.9389505036588</v>
      </c>
      <c r="AC269" s="953" t="e">
        <f t="shared" si="108"/>
        <v>#DIV/0!</v>
      </c>
      <c r="AD269" s="953" t="e">
        <f t="shared" si="108"/>
        <v>#DIV/0!</v>
      </c>
      <c r="AE269" s="953" t="e">
        <f t="shared" si="108"/>
        <v>#DIV/0!</v>
      </c>
      <c r="AF269" s="953" t="e">
        <f t="shared" si="108"/>
        <v>#DIV/0!</v>
      </c>
      <c r="AG269" s="953" t="e">
        <f t="shared" si="108"/>
        <v>#DIV/0!</v>
      </c>
      <c r="AH269" s="953" t="e">
        <f t="shared" si="108"/>
        <v>#DIV/0!</v>
      </c>
      <c r="AI269" s="953" t="e">
        <f t="shared" si="108"/>
        <v>#DIV/0!</v>
      </c>
      <c r="AJ269" s="953" t="e">
        <f t="shared" si="108"/>
        <v>#DIV/0!</v>
      </c>
      <c r="AK269" s="63"/>
      <c r="AL269" s="960">
        <f>AL268/AL9*1000</f>
        <v>3.597125832663473</v>
      </c>
    </row>
    <row r="270" spans="3:91 15057:15449" x14ac:dyDescent="0.25">
      <c r="C270" s="15"/>
      <c r="D270" s="44" t="s">
        <v>15</v>
      </c>
      <c r="E270" s="537"/>
      <c r="F270" s="45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  <c r="AB270" s="300"/>
      <c r="AC270" s="300"/>
      <c r="AD270" s="300"/>
      <c r="AE270" s="300"/>
      <c r="AF270" s="300"/>
      <c r="AG270" s="300"/>
      <c r="AH270" s="300"/>
      <c r="AI270" s="300"/>
      <c r="AJ270" s="300"/>
      <c r="AL270" s="126" t="s">
        <v>15</v>
      </c>
    </row>
    <row r="271" spans="3:91 15057:15449" x14ac:dyDescent="0.25">
      <c r="C271" s="15"/>
      <c r="D271" s="248" t="s">
        <v>121</v>
      </c>
      <c r="E271" s="267">
        <v>1308.96</v>
      </c>
      <c r="F271" s="247" t="s">
        <v>2</v>
      </c>
      <c r="G271" s="276">
        <v>1010</v>
      </c>
      <c r="H271" s="276">
        <v>1055</v>
      </c>
      <c r="I271" s="276">
        <v>984</v>
      </c>
      <c r="J271" s="276">
        <v>1045</v>
      </c>
      <c r="K271" s="276">
        <v>986</v>
      </c>
      <c r="L271" s="276">
        <v>960</v>
      </c>
      <c r="M271" s="276">
        <v>1013</v>
      </c>
      <c r="N271" s="276">
        <v>978</v>
      </c>
      <c r="O271" s="276">
        <v>977</v>
      </c>
      <c r="P271" s="276">
        <v>1011</v>
      </c>
      <c r="Q271" s="276">
        <v>925</v>
      </c>
      <c r="R271" s="276">
        <v>955</v>
      </c>
      <c r="S271" s="276">
        <v>949</v>
      </c>
      <c r="T271" s="276">
        <v>934</v>
      </c>
      <c r="U271" s="276">
        <v>890</v>
      </c>
      <c r="V271" s="276">
        <v>1025</v>
      </c>
      <c r="W271" s="276">
        <v>941</v>
      </c>
      <c r="X271" s="276">
        <v>993</v>
      </c>
      <c r="Y271" s="276">
        <v>970</v>
      </c>
      <c r="Z271" s="276">
        <v>999</v>
      </c>
      <c r="AA271" s="276">
        <v>982</v>
      </c>
      <c r="AB271" s="276">
        <v>1022</v>
      </c>
      <c r="AC271" s="276">
        <v>996</v>
      </c>
      <c r="AD271" s="276">
        <v>860</v>
      </c>
      <c r="AE271" s="276">
        <v>0</v>
      </c>
      <c r="AF271" s="276">
        <v>0</v>
      </c>
      <c r="AG271" s="276">
        <v>0</v>
      </c>
      <c r="AH271" s="276">
        <v>0</v>
      </c>
      <c r="AI271" s="276">
        <v>0</v>
      </c>
      <c r="AJ271" s="276">
        <v>0</v>
      </c>
      <c r="AL271" s="83">
        <f>SUM(G271:AJ271)</f>
        <v>23460</v>
      </c>
    </row>
    <row r="272" spans="3:91 15057:15449" x14ac:dyDescent="0.25">
      <c r="C272" s="15"/>
      <c r="D272" s="958"/>
      <c r="E272" s="959"/>
      <c r="F272" s="62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L272" s="969">
        <f>AL271/AL23*1000</f>
        <v>1.0792242613294165</v>
      </c>
    </row>
    <row r="273" spans="3:38" x14ac:dyDescent="0.25">
      <c r="C273" s="15"/>
      <c r="D273" s="248" t="s">
        <v>122</v>
      </c>
      <c r="E273" s="267">
        <v>5759.67</v>
      </c>
      <c r="F273" s="247" t="s">
        <v>2</v>
      </c>
      <c r="G273" s="276">
        <v>4500</v>
      </c>
      <c r="H273" s="276">
        <v>4810</v>
      </c>
      <c r="I273" s="276">
        <v>4290</v>
      </c>
      <c r="J273" s="276">
        <v>4600</v>
      </c>
      <c r="K273" s="276">
        <v>4400</v>
      </c>
      <c r="L273" s="276">
        <v>4100</v>
      </c>
      <c r="M273" s="276">
        <v>4300</v>
      </c>
      <c r="N273" s="276">
        <v>4000</v>
      </c>
      <c r="O273" s="276">
        <v>3900</v>
      </c>
      <c r="P273" s="276">
        <v>4200</v>
      </c>
      <c r="Q273" s="276">
        <v>1700</v>
      </c>
      <c r="R273" s="276">
        <v>5500</v>
      </c>
      <c r="S273" s="276">
        <v>3300</v>
      </c>
      <c r="T273" s="276">
        <v>3600</v>
      </c>
      <c r="U273" s="276">
        <v>3300</v>
      </c>
      <c r="V273" s="276">
        <v>4000</v>
      </c>
      <c r="W273" s="276">
        <v>4000</v>
      </c>
      <c r="X273" s="276">
        <v>3800</v>
      </c>
      <c r="Y273" s="276">
        <v>4100</v>
      </c>
      <c r="Z273" s="276">
        <v>4100</v>
      </c>
      <c r="AA273" s="276">
        <v>4100</v>
      </c>
      <c r="AB273" s="276">
        <v>4200</v>
      </c>
      <c r="AC273" s="276">
        <v>4000</v>
      </c>
      <c r="AD273" s="276">
        <v>3400</v>
      </c>
      <c r="AE273" s="276">
        <v>100</v>
      </c>
      <c r="AF273" s="276">
        <v>0</v>
      </c>
      <c r="AG273" s="276">
        <v>0</v>
      </c>
      <c r="AH273" s="276">
        <v>0</v>
      </c>
      <c r="AI273" s="276">
        <v>0</v>
      </c>
      <c r="AJ273" s="276">
        <v>0</v>
      </c>
      <c r="AL273" s="83">
        <f>SUM(G273:AJ273)</f>
        <v>96300</v>
      </c>
    </row>
    <row r="274" spans="3:38" x14ac:dyDescent="0.25">
      <c r="C274" s="15"/>
      <c r="D274" s="958"/>
      <c r="E274" s="959"/>
      <c r="F274" s="62"/>
      <c r="G274" s="953"/>
      <c r="H274" s="953"/>
      <c r="I274" s="953"/>
      <c r="J274" s="953"/>
      <c r="K274" s="953"/>
      <c r="L274" s="953"/>
      <c r="M274" s="953"/>
      <c r="N274" s="953"/>
      <c r="O274" s="953"/>
      <c r="P274" s="953"/>
      <c r="Q274" s="953"/>
      <c r="R274" s="953"/>
      <c r="S274" s="953"/>
      <c r="T274" s="953"/>
      <c r="U274" s="953"/>
      <c r="V274" s="953"/>
      <c r="W274" s="953"/>
      <c r="X274" s="953"/>
      <c r="Y274" s="953"/>
      <c r="Z274" s="953"/>
      <c r="AA274" s="953"/>
      <c r="AB274" s="953"/>
      <c r="AC274" s="953"/>
      <c r="AD274" s="953"/>
      <c r="AE274" s="953"/>
      <c r="AF274" s="953"/>
      <c r="AG274" s="953"/>
      <c r="AH274" s="953"/>
      <c r="AI274" s="953"/>
      <c r="AJ274" s="953"/>
      <c r="AK274" s="63"/>
      <c r="AL274" s="969">
        <f>AL273/AL23*1000</f>
        <v>4.4300637837179373</v>
      </c>
    </row>
    <row r="275" spans="3:38" x14ac:dyDescent="0.25">
      <c r="C275" s="15"/>
      <c r="D275" s="44" t="s">
        <v>7</v>
      </c>
      <c r="E275" s="537"/>
      <c r="F275" s="62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  <c r="AB275" s="300"/>
      <c r="AC275" s="300"/>
      <c r="AD275" s="300"/>
      <c r="AE275" s="300"/>
      <c r="AF275" s="300"/>
      <c r="AG275" s="300"/>
      <c r="AH275" s="300"/>
      <c r="AI275" s="300"/>
      <c r="AJ275" s="300"/>
      <c r="AL275" s="126" t="s">
        <v>7</v>
      </c>
    </row>
    <row r="276" spans="3:38" x14ac:dyDescent="0.25">
      <c r="C276" s="15"/>
      <c r="D276" s="248" t="s">
        <v>123</v>
      </c>
      <c r="E276" s="267">
        <v>11.81</v>
      </c>
      <c r="F276" s="247" t="s">
        <v>2</v>
      </c>
      <c r="G276" s="246">
        <v>0.72</v>
      </c>
      <c r="H276" s="246">
        <v>0.53</v>
      </c>
      <c r="I276" s="246">
        <v>0.7</v>
      </c>
      <c r="J276" s="246">
        <v>0.72</v>
      </c>
      <c r="K276" s="246">
        <v>0.71</v>
      </c>
      <c r="L276" s="246">
        <v>0.46</v>
      </c>
      <c r="M276" s="246">
        <v>0.52</v>
      </c>
      <c r="N276" s="246">
        <v>0.6</v>
      </c>
      <c r="O276" s="246">
        <v>0.61</v>
      </c>
      <c r="P276" s="246">
        <v>0.41</v>
      </c>
      <c r="Q276" s="246">
        <v>0.82</v>
      </c>
      <c r="R276" s="246">
        <v>0.72</v>
      </c>
      <c r="S276" s="246">
        <v>0.59</v>
      </c>
      <c r="T276" s="246">
        <v>1.08</v>
      </c>
      <c r="U276" s="246">
        <v>0.64</v>
      </c>
      <c r="V276" s="246">
        <v>0.56999999999999995</v>
      </c>
      <c r="W276" s="246">
        <v>0.95</v>
      </c>
      <c r="X276" s="246">
        <v>0.96</v>
      </c>
      <c r="Y276" s="246">
        <v>0.99</v>
      </c>
      <c r="Z276" s="246">
        <v>0.86</v>
      </c>
      <c r="AA276" s="246">
        <v>0.87</v>
      </c>
      <c r="AB276" s="246">
        <v>0.73</v>
      </c>
      <c r="AC276" s="246">
        <v>0.53</v>
      </c>
      <c r="AD276" s="246">
        <v>0.7</v>
      </c>
      <c r="AE276" s="246">
        <v>0.22</v>
      </c>
      <c r="AF276" s="246">
        <v>0.02</v>
      </c>
      <c r="AG276" s="246">
        <v>0.02</v>
      </c>
      <c r="AH276" s="246">
        <v>0.18</v>
      </c>
      <c r="AI276" s="246">
        <v>0.49</v>
      </c>
      <c r="AJ276" s="246">
        <v>0.68</v>
      </c>
      <c r="AL276" s="83">
        <f>SUM(G276:AJ276)</f>
        <v>18.599999999999994</v>
      </c>
    </row>
    <row r="277" spans="3:38" ht="15.75" thickBot="1" x14ac:dyDescent="0.3">
      <c r="C277" s="19"/>
      <c r="D277" s="249" t="s">
        <v>124</v>
      </c>
      <c r="E277" s="268">
        <v>241.12</v>
      </c>
      <c r="F277" s="250" t="s">
        <v>2</v>
      </c>
      <c r="G277" s="301">
        <v>227.4</v>
      </c>
      <c r="H277" s="301">
        <v>217.1</v>
      </c>
      <c r="I277" s="301">
        <v>206.4</v>
      </c>
      <c r="J277" s="301">
        <v>240.2</v>
      </c>
      <c r="K277" s="301">
        <v>213.2</v>
      </c>
      <c r="L277" s="301">
        <v>216.2</v>
      </c>
      <c r="M277" s="301">
        <v>213.4</v>
      </c>
      <c r="N277" s="301">
        <v>216.9</v>
      </c>
      <c r="O277" s="301">
        <v>203.6</v>
      </c>
      <c r="P277" s="301">
        <v>225.3</v>
      </c>
      <c r="Q277" s="301">
        <v>209.9</v>
      </c>
      <c r="R277" s="301">
        <v>213.2</v>
      </c>
      <c r="S277" s="301">
        <v>213.4</v>
      </c>
      <c r="T277" s="301">
        <v>216.1</v>
      </c>
      <c r="U277" s="301">
        <v>217.9</v>
      </c>
      <c r="V277" s="301">
        <v>208</v>
      </c>
      <c r="W277" s="301">
        <v>190.4</v>
      </c>
      <c r="X277" s="301">
        <v>208.6</v>
      </c>
      <c r="Y277" s="301">
        <v>205.1</v>
      </c>
      <c r="Z277" s="301">
        <v>202</v>
      </c>
      <c r="AA277" s="301">
        <v>201.6</v>
      </c>
      <c r="AB277" s="301">
        <v>212.4</v>
      </c>
      <c r="AC277" s="301">
        <v>190.8</v>
      </c>
      <c r="AD277" s="301">
        <v>167.3</v>
      </c>
      <c r="AE277" s="301">
        <v>168.6</v>
      </c>
      <c r="AF277" s="301">
        <v>144.4</v>
      </c>
      <c r="AG277" s="301">
        <v>116.8</v>
      </c>
      <c r="AH277" s="301">
        <v>125.4</v>
      </c>
      <c r="AI277" s="301">
        <v>136.30000000000001</v>
      </c>
      <c r="AJ277" s="301">
        <v>140.80000000000001</v>
      </c>
      <c r="AL277" s="269">
        <f>SUM(G277:AJ277)</f>
        <v>5868.7000000000007</v>
      </c>
    </row>
    <row r="300" spans="3:91 15057:15449" s="1" customFormat="1" x14ac:dyDescent="0.25">
      <c r="C300" s="5"/>
      <c r="F300" s="2"/>
      <c r="CM300" s="142"/>
      <c r="VGC300" s="46"/>
      <c r="VGD300" s="46"/>
      <c r="VGE300" s="46"/>
      <c r="VGF300" s="46"/>
      <c r="VGG300" s="46"/>
      <c r="VGH300" s="46"/>
      <c r="VGI300" s="46"/>
      <c r="VGJ300" s="46"/>
      <c r="VGK300" s="46"/>
      <c r="VGL300" s="46"/>
      <c r="VGM300" s="46"/>
      <c r="VGN300" s="46"/>
      <c r="VGO300" s="46"/>
      <c r="VGP300" s="46"/>
      <c r="VGQ300" s="46"/>
      <c r="VGR300" s="46"/>
      <c r="VGS300" s="46"/>
      <c r="VGT300" s="46"/>
      <c r="VGU300" s="46"/>
      <c r="VGV300" s="46"/>
      <c r="VGW300" s="46"/>
      <c r="VGX300" s="46"/>
      <c r="VGY300" s="46"/>
      <c r="VGZ300" s="46"/>
      <c r="VHA300" s="46"/>
      <c r="VHB300" s="46"/>
      <c r="VHC300" s="46"/>
      <c r="VHD300" s="46"/>
      <c r="VHE300" s="46"/>
      <c r="VHF300" s="46"/>
      <c r="VHG300" s="46"/>
      <c r="VHH300" s="46"/>
      <c r="VHI300" s="46"/>
      <c r="VHJ300" s="46"/>
      <c r="VHK300" s="46"/>
      <c r="VHL300" s="46"/>
      <c r="VHM300" s="46"/>
      <c r="VHN300" s="46"/>
      <c r="VHO300" s="46"/>
      <c r="VHP300" s="46"/>
      <c r="VHQ300" s="46"/>
      <c r="VHR300" s="46"/>
      <c r="VHS300" s="46"/>
      <c r="VHT300" s="46"/>
      <c r="VHU300" s="46"/>
      <c r="VHV300" s="46"/>
      <c r="VHW300" s="46"/>
      <c r="VHX300" s="46"/>
      <c r="VHY300" s="46"/>
      <c r="VHZ300" s="46"/>
      <c r="VIA300" s="46"/>
      <c r="VIB300" s="46"/>
      <c r="VIC300" s="46"/>
      <c r="VID300" s="46"/>
      <c r="VIE300" s="46"/>
      <c r="VIF300" s="46"/>
      <c r="VIG300" s="46"/>
      <c r="VIH300" s="46"/>
      <c r="VII300" s="46"/>
      <c r="VIJ300" s="46"/>
      <c r="VIK300" s="46"/>
      <c r="VIL300" s="46"/>
      <c r="VIM300" s="46"/>
      <c r="VIN300" s="46"/>
      <c r="VIO300" s="46"/>
      <c r="VIP300" s="46"/>
      <c r="VIQ300" s="46"/>
      <c r="VIR300" s="46"/>
      <c r="VIS300" s="46"/>
      <c r="VIT300" s="46"/>
      <c r="VIU300" s="46"/>
      <c r="VIV300" s="46"/>
      <c r="VIW300" s="46"/>
      <c r="VIX300" s="46"/>
      <c r="VIY300" s="46"/>
      <c r="VIZ300" s="46"/>
      <c r="VJA300" s="46"/>
      <c r="VJB300" s="46"/>
      <c r="VJC300" s="46"/>
      <c r="VJD300" s="46"/>
      <c r="VJE300" s="46"/>
      <c r="VJF300" s="46"/>
      <c r="VJG300" s="46"/>
      <c r="VJH300" s="46"/>
      <c r="VJI300" s="46"/>
      <c r="VJJ300" s="46"/>
      <c r="VJK300" s="46"/>
      <c r="VJL300" s="46"/>
      <c r="VJM300" s="46"/>
      <c r="VJN300" s="46"/>
      <c r="VJO300" s="46"/>
      <c r="VJP300" s="46"/>
      <c r="VJQ300" s="46"/>
      <c r="VJR300" s="46"/>
      <c r="VJS300" s="46"/>
      <c r="VJT300" s="46"/>
      <c r="VJU300" s="46"/>
      <c r="VJV300" s="46"/>
      <c r="VJW300" s="46"/>
      <c r="VJX300" s="46"/>
      <c r="VJY300" s="46"/>
      <c r="VJZ300" s="46"/>
      <c r="VKA300" s="46"/>
      <c r="VKB300" s="46"/>
      <c r="VKC300" s="46"/>
      <c r="VKD300" s="46"/>
      <c r="VKE300" s="46"/>
      <c r="VKF300" s="46"/>
      <c r="VKG300" s="46"/>
      <c r="VKH300" s="46"/>
      <c r="VKI300" s="46"/>
      <c r="VKJ300" s="46"/>
      <c r="VKK300" s="46"/>
      <c r="VKL300" s="46"/>
      <c r="VKM300" s="46"/>
      <c r="VKN300" s="46"/>
      <c r="VKO300" s="46"/>
      <c r="VKP300" s="46"/>
      <c r="VKQ300" s="46"/>
      <c r="VKR300" s="46"/>
      <c r="VKS300" s="46"/>
      <c r="VKT300" s="46"/>
      <c r="VKU300" s="46"/>
      <c r="VKV300" s="46"/>
      <c r="VKW300" s="46"/>
      <c r="VKX300" s="46"/>
      <c r="VKY300" s="46"/>
      <c r="VKZ300" s="46"/>
      <c r="VLA300" s="46"/>
      <c r="VLB300" s="46"/>
      <c r="VLC300" s="46"/>
      <c r="VLD300" s="46"/>
      <c r="VLE300" s="46"/>
      <c r="VLF300" s="46"/>
      <c r="VLG300" s="46"/>
      <c r="VLH300" s="46"/>
      <c r="VLI300" s="46"/>
      <c r="VLJ300" s="46"/>
      <c r="VLK300" s="46"/>
      <c r="VLL300" s="46"/>
      <c r="VLM300" s="46"/>
      <c r="VLN300" s="46"/>
      <c r="VLO300" s="46"/>
      <c r="VLP300" s="46"/>
      <c r="VLQ300" s="46"/>
      <c r="VLR300" s="46"/>
      <c r="VLS300" s="46"/>
      <c r="VLT300" s="46"/>
      <c r="VLU300" s="46"/>
      <c r="VLV300" s="46"/>
      <c r="VLW300" s="46"/>
      <c r="VLX300" s="46"/>
      <c r="VLY300" s="46"/>
      <c r="VLZ300" s="46"/>
      <c r="VMA300" s="46"/>
      <c r="VMB300" s="46"/>
      <c r="VMC300" s="46"/>
      <c r="VMD300" s="46"/>
      <c r="VME300" s="46"/>
      <c r="VMF300" s="46"/>
      <c r="VMG300" s="46"/>
      <c r="VMH300" s="46"/>
      <c r="VMI300" s="46"/>
      <c r="VMJ300" s="46"/>
      <c r="VMK300" s="46"/>
      <c r="VML300" s="46"/>
      <c r="VMM300" s="46"/>
      <c r="VMN300" s="46"/>
      <c r="VMO300" s="46"/>
      <c r="VMP300" s="46"/>
      <c r="VMQ300" s="46"/>
      <c r="VMR300" s="46"/>
      <c r="VMS300" s="46"/>
      <c r="VMT300" s="46"/>
      <c r="VMU300" s="46"/>
      <c r="VMV300" s="46"/>
      <c r="VMW300" s="46"/>
      <c r="VMX300" s="46"/>
      <c r="VMY300" s="46"/>
      <c r="VMZ300" s="46"/>
      <c r="VNA300" s="46"/>
      <c r="VNB300" s="46"/>
      <c r="VNC300" s="46"/>
      <c r="VND300" s="46"/>
      <c r="VNE300" s="46"/>
      <c r="VNF300" s="46"/>
      <c r="VNG300" s="46"/>
      <c r="VNH300" s="46"/>
      <c r="VNI300" s="46"/>
      <c r="VNJ300" s="46"/>
      <c r="VNK300" s="46"/>
      <c r="VNL300" s="46"/>
      <c r="VNM300" s="46"/>
      <c r="VNN300" s="46"/>
      <c r="VNO300" s="46"/>
      <c r="VNP300" s="46"/>
      <c r="VNQ300" s="46"/>
      <c r="VNR300" s="46"/>
      <c r="VNS300" s="46"/>
      <c r="VNT300" s="46"/>
      <c r="VNU300" s="46"/>
      <c r="VNV300" s="46"/>
      <c r="VNW300" s="46"/>
      <c r="VNX300" s="46"/>
      <c r="VNY300" s="46"/>
      <c r="VNZ300" s="46"/>
      <c r="VOA300" s="46"/>
      <c r="VOB300" s="46"/>
      <c r="VOC300" s="46"/>
      <c r="VOD300" s="46"/>
      <c r="VOE300" s="46"/>
      <c r="VOF300" s="46"/>
      <c r="VOG300" s="46"/>
      <c r="VOH300" s="46"/>
      <c r="VOI300" s="46"/>
      <c r="VOJ300" s="46"/>
      <c r="VOK300" s="46"/>
      <c r="VOL300" s="46"/>
      <c r="VOM300" s="46"/>
      <c r="VON300" s="46"/>
      <c r="VOO300" s="46"/>
      <c r="VOP300" s="46"/>
      <c r="VOQ300" s="46"/>
      <c r="VOR300" s="46"/>
      <c r="VOS300" s="46"/>
      <c r="VOT300" s="46"/>
      <c r="VOU300" s="46"/>
      <c r="VOV300" s="46"/>
      <c r="VOW300" s="46"/>
      <c r="VOX300" s="46"/>
      <c r="VOY300" s="46"/>
      <c r="VOZ300" s="46"/>
      <c r="VPA300" s="46"/>
      <c r="VPB300" s="46"/>
      <c r="VPC300" s="46"/>
      <c r="VPD300" s="46"/>
      <c r="VPE300" s="46"/>
      <c r="VPF300" s="46"/>
      <c r="VPG300" s="46"/>
      <c r="VPH300" s="46"/>
      <c r="VPI300" s="46"/>
      <c r="VPJ300" s="46"/>
      <c r="VPK300" s="46"/>
      <c r="VPL300" s="46"/>
      <c r="VPM300" s="46"/>
      <c r="VPN300" s="46"/>
      <c r="VPO300" s="46"/>
      <c r="VPP300" s="46"/>
      <c r="VPQ300" s="46"/>
      <c r="VPR300" s="46"/>
      <c r="VPS300" s="46"/>
      <c r="VPT300" s="46"/>
      <c r="VPU300" s="46"/>
      <c r="VPV300" s="46"/>
      <c r="VPW300" s="46"/>
      <c r="VPX300" s="46"/>
      <c r="VPY300" s="46"/>
      <c r="VPZ300" s="46"/>
      <c r="VQA300" s="46"/>
      <c r="VQB300" s="46"/>
      <c r="VQC300" s="46"/>
      <c r="VQD300" s="46"/>
      <c r="VQE300" s="46"/>
      <c r="VQF300" s="46"/>
      <c r="VQG300" s="46"/>
      <c r="VQH300" s="46"/>
      <c r="VQI300" s="46"/>
      <c r="VQJ300" s="46"/>
      <c r="VQK300" s="46"/>
      <c r="VQL300" s="46"/>
      <c r="VQM300" s="46"/>
      <c r="VQN300" s="46"/>
      <c r="VQO300" s="46"/>
      <c r="VQP300" s="46"/>
      <c r="VQQ300" s="46"/>
      <c r="VQR300" s="46"/>
      <c r="VQS300" s="46"/>
      <c r="VQT300" s="46"/>
      <c r="VQU300" s="46"/>
      <c r="VQV300" s="46"/>
      <c r="VQW300" s="46"/>
      <c r="VQX300" s="46"/>
      <c r="VQY300" s="46"/>
      <c r="VQZ300" s="46"/>
      <c r="VRA300" s="46"/>
      <c r="VRB300" s="46"/>
      <c r="VRC300" s="46"/>
      <c r="VRD300" s="46"/>
      <c r="VRE300" s="46"/>
      <c r="VRF300" s="46"/>
      <c r="VRG300" s="46"/>
      <c r="VRH300" s="46"/>
      <c r="VRI300" s="46"/>
      <c r="VRJ300" s="46"/>
      <c r="VRK300" s="46"/>
      <c r="VRL300" s="46"/>
      <c r="VRM300" s="46"/>
      <c r="VRN300" s="46"/>
      <c r="VRO300" s="46"/>
      <c r="VRP300" s="46"/>
      <c r="VRQ300" s="46"/>
      <c r="VRR300" s="46"/>
      <c r="VRS300" s="46"/>
      <c r="VRT300" s="46"/>
      <c r="VRU300" s="46"/>
      <c r="VRV300" s="46"/>
      <c r="VRW300" s="46"/>
      <c r="VRX300" s="46"/>
      <c r="VRY300" s="46"/>
      <c r="VRZ300" s="46"/>
      <c r="VSA300" s="46"/>
      <c r="VSB300" s="46"/>
      <c r="VSC300" s="46"/>
      <c r="VSD300" s="46"/>
      <c r="VSE300" s="46"/>
      <c r="VSF300" s="46"/>
      <c r="VSG300" s="46"/>
      <c r="VSH300" s="46"/>
      <c r="VSI300" s="46"/>
      <c r="VSJ300" s="46"/>
      <c r="VSK300" s="46"/>
      <c r="VSL300" s="46"/>
      <c r="VSM300" s="46"/>
      <c r="VSN300" s="46"/>
      <c r="VSO300" s="46"/>
      <c r="VSP300" s="46"/>
      <c r="VSQ300" s="46"/>
      <c r="VSR300" s="46"/>
      <c r="VSS300" s="46"/>
      <c r="VST300" s="46"/>
      <c r="VSU300" s="46"/>
      <c r="VSV300" s="46"/>
      <c r="VSW300" s="46"/>
      <c r="VSX300" s="46"/>
      <c r="VSY300" s="46"/>
      <c r="VSZ300" s="46"/>
      <c r="VTA300" s="46"/>
      <c r="VTB300" s="46"/>
      <c r="VTC300" s="46"/>
      <c r="VTD300" s="46"/>
      <c r="VTE300" s="46"/>
      <c r="VTF300" s="46"/>
      <c r="VTG300" s="46"/>
      <c r="VTH300" s="46"/>
      <c r="VTI300" s="46"/>
      <c r="VTJ300" s="46"/>
      <c r="VTK300" s="46"/>
      <c r="VTL300" s="46"/>
      <c r="VTM300" s="46"/>
      <c r="VTN300" s="46"/>
      <c r="VTO300" s="46"/>
      <c r="VTP300" s="46"/>
      <c r="VTQ300" s="46"/>
      <c r="VTR300" s="46"/>
      <c r="VTS300" s="46"/>
      <c r="VTT300" s="46"/>
      <c r="VTU300" s="46"/>
      <c r="VTV300" s="46"/>
      <c r="VTW300" s="46"/>
      <c r="VTX300" s="46"/>
      <c r="VTY300" s="46"/>
      <c r="VTZ300" s="46"/>
      <c r="VUA300" s="46"/>
      <c r="VUB300" s="46"/>
      <c r="VUC300" s="46"/>
      <c r="VUD300" s="46"/>
      <c r="VUE300" s="46"/>
      <c r="VUF300" s="46"/>
      <c r="VUG300" s="46"/>
      <c r="VUH300" s="46"/>
      <c r="VUI300" s="46"/>
      <c r="VUJ300" s="46"/>
      <c r="VUK300" s="46"/>
      <c r="VUL300" s="46"/>
      <c r="VUM300" s="46"/>
      <c r="VUN300" s="46"/>
      <c r="VUO300" s="46"/>
      <c r="VUP300" s="46"/>
      <c r="VUQ300" s="46"/>
      <c r="VUR300" s="46"/>
      <c r="VUS300" s="46"/>
      <c r="VUT300" s="46"/>
      <c r="VUU300" s="46"/>
      <c r="VUV300" s="46"/>
      <c r="VUW300" s="46"/>
      <c r="VUX300" s="46"/>
      <c r="VUY300" s="46"/>
      <c r="VUZ300" s="46"/>
      <c r="VVA300" s="46"/>
      <c r="VVB300" s="46"/>
      <c r="VVC300" s="46"/>
      <c r="VVD300" s="46"/>
      <c r="VVE300" s="46"/>
    </row>
  </sheetData>
  <mergeCells count="7">
    <mergeCell ref="C1:AL1"/>
    <mergeCell ref="G2:AJ2"/>
    <mergeCell ref="C2:C3"/>
    <mergeCell ref="D2:D3"/>
    <mergeCell ref="E2:E3"/>
    <mergeCell ref="F2:F3"/>
    <mergeCell ref="AL2:AL3"/>
  </mergeCells>
  <printOptions horizontalCentered="1"/>
  <pageMargins left="0.19685039370078741" right="0" top="0" bottom="0" header="0.31496062992125984" footer="0.31496062992125984"/>
  <pageSetup paperSize="9" scale="53" orientation="landscape" horizontalDpi="90" verticalDpi="90" r:id="rId1"/>
  <colBreaks count="2" manualBreakCount="2">
    <brk id="18" max="276" man="1"/>
    <brk id="69" max="276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workbookViewId="0">
      <selection activeCell="K11" sqref="K11"/>
    </sheetView>
  </sheetViews>
  <sheetFormatPr defaultColWidth="8.85546875" defaultRowHeight="15" x14ac:dyDescent="0.25"/>
  <cols>
    <col min="1" max="1" width="8.42578125" style="345" customWidth="1"/>
    <col min="2" max="2" width="5.42578125" style="345" customWidth="1"/>
    <col min="3" max="3" width="24.42578125" style="345" customWidth="1"/>
    <col min="4" max="4" width="5.140625" style="345" customWidth="1"/>
    <col min="5" max="5" width="46.5703125" style="345" customWidth="1"/>
    <col min="6" max="6" width="5.140625" style="345" customWidth="1"/>
    <col min="7" max="7" width="18.42578125" style="345" customWidth="1"/>
    <col min="8" max="8" width="10.85546875" style="345" customWidth="1"/>
    <col min="9" max="9" width="13" style="345" customWidth="1"/>
    <col min="10" max="10" width="3.5703125" style="345" customWidth="1"/>
    <col min="11" max="12" width="8.85546875" style="345"/>
    <col min="13" max="13" width="20.42578125" style="345" customWidth="1"/>
    <col min="14" max="16384" width="8.85546875" style="345"/>
  </cols>
  <sheetData>
    <row r="2" spans="2:13" ht="19.5" thickBot="1" x14ac:dyDescent="0.3">
      <c r="B2" s="835" t="s">
        <v>391</v>
      </c>
    </row>
    <row r="3" spans="2:13" x14ac:dyDescent="0.25">
      <c r="B3" s="893" t="s">
        <v>232</v>
      </c>
      <c r="C3" s="894"/>
      <c r="D3" s="894"/>
      <c r="E3" s="894"/>
      <c r="F3" s="894"/>
      <c r="G3" s="895"/>
      <c r="H3" s="896" t="s">
        <v>389</v>
      </c>
      <c r="I3" s="897">
        <f>'HPP REF '!$N$3</f>
        <v>926.24454545454546</v>
      </c>
    </row>
    <row r="4" spans="2:13" x14ac:dyDescent="0.25">
      <c r="B4" s="898" t="s">
        <v>234</v>
      </c>
      <c r="C4" s="899"/>
      <c r="D4" s="899"/>
      <c r="E4" s="899"/>
      <c r="F4" s="970">
        <v>1</v>
      </c>
      <c r="G4" s="971"/>
      <c r="H4" s="900" t="s">
        <v>233</v>
      </c>
      <c r="I4" s="901">
        <f>'HPP REF '!$N$4</f>
        <v>22</v>
      </c>
    </row>
    <row r="5" spans="2:13" ht="15.75" thickBot="1" x14ac:dyDescent="0.3">
      <c r="B5" s="972" t="s">
        <v>562</v>
      </c>
      <c r="C5" s="973"/>
      <c r="D5" s="973"/>
      <c r="E5" s="973"/>
      <c r="F5" s="973"/>
      <c r="G5" s="904"/>
      <c r="H5" s="974" t="s">
        <v>285</v>
      </c>
      <c r="I5" s="906">
        <f>$I$4*$I$3</f>
        <v>20377.38</v>
      </c>
    </row>
    <row r="6" spans="2:13" x14ac:dyDescent="0.25">
      <c r="B6" s="893" t="s">
        <v>390</v>
      </c>
      <c r="C6" s="894"/>
      <c r="D6" s="894"/>
      <c r="E6" s="894"/>
      <c r="F6" s="894"/>
      <c r="G6" s="975"/>
      <c r="H6" s="896" t="s">
        <v>389</v>
      </c>
      <c r="I6" s="897">
        <f>'HPP FRACT'!$O$3</f>
        <v>905.74316666666664</v>
      </c>
    </row>
    <row r="7" spans="2:13" x14ac:dyDescent="0.25">
      <c r="B7" s="898" t="s">
        <v>234</v>
      </c>
      <c r="C7" s="899"/>
      <c r="D7" s="899"/>
      <c r="E7" s="899"/>
      <c r="F7" s="899"/>
      <c r="G7" s="971"/>
      <c r="H7" s="900" t="s">
        <v>233</v>
      </c>
      <c r="I7" s="901">
        <f>'HPP FRACT'!$O$4</f>
        <v>24</v>
      </c>
    </row>
    <row r="8" spans="2:13" ht="15.75" thickBot="1" x14ac:dyDescent="0.3">
      <c r="B8" s="972" t="s">
        <v>563</v>
      </c>
      <c r="C8" s="973"/>
      <c r="D8" s="973"/>
      <c r="E8" s="973"/>
      <c r="F8" s="973"/>
      <c r="G8" s="904"/>
      <c r="H8" s="974" t="s">
        <v>285</v>
      </c>
      <c r="I8" s="906">
        <f>$I$7*$I$6</f>
        <v>21737.835999999999</v>
      </c>
    </row>
    <row r="9" spans="2:13" ht="15.75" thickBot="1" x14ac:dyDescent="0.3">
      <c r="B9" s="902" t="s">
        <v>236</v>
      </c>
      <c r="C9" s="903"/>
      <c r="D9" s="903"/>
      <c r="E9" s="903"/>
      <c r="F9" s="903"/>
      <c r="G9" s="904"/>
      <c r="H9" s="905" t="s">
        <v>237</v>
      </c>
      <c r="I9" s="1188">
        <v>15546</v>
      </c>
    </row>
    <row r="10" spans="2:13" ht="15.75" thickBot="1" x14ac:dyDescent="0.3">
      <c r="B10" s="907" t="s">
        <v>100</v>
      </c>
      <c r="C10" s="908" t="s">
        <v>289</v>
      </c>
      <c r="D10" s="1651" t="s">
        <v>290</v>
      </c>
      <c r="E10" s="1652"/>
      <c r="F10" s="1653"/>
      <c r="G10" s="909" t="s">
        <v>377</v>
      </c>
      <c r="H10" s="907" t="s">
        <v>291</v>
      </c>
      <c r="I10" s="909" t="s">
        <v>231</v>
      </c>
    </row>
    <row r="11" spans="2:13" ht="15.75" thickTop="1" x14ac:dyDescent="0.25">
      <c r="B11" s="910" t="s">
        <v>292</v>
      </c>
      <c r="C11" s="911" t="s">
        <v>378</v>
      </c>
      <c r="D11" s="912" t="s">
        <v>379</v>
      </c>
      <c r="E11" s="911" t="s">
        <v>293</v>
      </c>
      <c r="F11" s="913"/>
      <c r="G11" s="914">
        <f>'HPP REF '!$M$48</f>
        <v>5377251898.8320026</v>
      </c>
      <c r="H11" s="915">
        <f>$G$11/($I$5*1000)</f>
        <v>263.88337945466998</v>
      </c>
      <c r="I11" s="916">
        <f>(G11/$I$9)/$I$5</f>
        <v>16.974358642394826</v>
      </c>
      <c r="M11" s="917"/>
    </row>
    <row r="12" spans="2:13" x14ac:dyDescent="0.25">
      <c r="B12" s="918"/>
      <c r="D12" s="919" t="s">
        <v>379</v>
      </c>
      <c r="E12" s="920" t="s">
        <v>283</v>
      </c>
      <c r="F12" s="921"/>
      <c r="G12" s="411">
        <f>'HPP FRACT'!$M$22</f>
        <v>1478684420.1492167</v>
      </c>
      <c r="H12" s="412">
        <f>$G$12/($I$8*1000)</f>
        <v>68.023533720155797</v>
      </c>
      <c r="I12" s="922">
        <f>(G12/$I$9)/$I$8</f>
        <v>4.3756293400331785</v>
      </c>
      <c r="M12" s="917"/>
    </row>
    <row r="13" spans="2:13" x14ac:dyDescent="0.25">
      <c r="B13" s="918"/>
      <c r="D13" s="919" t="s">
        <v>379</v>
      </c>
      <c r="E13" s="920" t="s">
        <v>294</v>
      </c>
      <c r="F13" s="923">
        <f>F4</f>
        <v>1</v>
      </c>
      <c r="G13" s="411">
        <f>MTC!$F$18*F13</f>
        <v>578831285.56862748</v>
      </c>
      <c r="H13" s="412">
        <f>$G$13/($I$5*1000)</f>
        <v>28.405579400719205</v>
      </c>
      <c r="I13" s="924">
        <f t="shared" ref="I13" si="0">(G13/$I$9)/$I$5</f>
        <v>1.8271953814948669</v>
      </c>
      <c r="M13" s="917"/>
    </row>
    <row r="14" spans="2:13" x14ac:dyDescent="0.25">
      <c r="B14" s="918"/>
      <c r="D14" s="919"/>
      <c r="E14" s="920"/>
      <c r="F14" s="923"/>
      <c r="G14" s="925">
        <f>SUM(G11:$G$13)</f>
        <v>7434767604.5498466</v>
      </c>
      <c r="H14" s="413">
        <f>SUM($H$11:$H$13)</f>
        <v>360.31249257554498</v>
      </c>
      <c r="I14" s="926">
        <f>SUM(I11:I13)</f>
        <v>23.177183363922872</v>
      </c>
      <c r="K14" s="938">
        <f>I14+I26</f>
        <v>51.114957060890418</v>
      </c>
      <c r="M14" s="917"/>
    </row>
    <row r="15" spans="2:13" x14ac:dyDescent="0.25">
      <c r="B15" s="927"/>
      <c r="C15" s="928"/>
      <c r="D15" s="929"/>
      <c r="E15" s="930"/>
      <c r="F15" s="931"/>
      <c r="G15" s="932"/>
      <c r="H15" s="933"/>
      <c r="I15" s="934"/>
      <c r="M15" s="917"/>
    </row>
    <row r="16" spans="2:13" x14ac:dyDescent="0.25">
      <c r="B16" s="918" t="s">
        <v>295</v>
      </c>
      <c r="C16" s="345" t="s">
        <v>380</v>
      </c>
      <c r="D16" s="919" t="s">
        <v>379</v>
      </c>
      <c r="E16" s="935" t="s">
        <v>381</v>
      </c>
      <c r="F16" s="923"/>
      <c r="G16" s="411">
        <f>LOG!I8+LOG!I9+LOG!$I$10</f>
        <v>2115661101.1200004</v>
      </c>
      <c r="H16" s="412">
        <f>$G$16/($I$5*1000)</f>
        <v>103.82400000000001</v>
      </c>
      <c r="I16" s="922">
        <f>($G$16/$I$9)/$I$5</f>
        <v>6.6785025086839065</v>
      </c>
      <c r="M16" s="936"/>
    </row>
    <row r="17" spans="2:13" x14ac:dyDescent="0.25">
      <c r="B17" s="918"/>
      <c r="D17" s="919" t="s">
        <v>379</v>
      </c>
      <c r="E17" s="937" t="s">
        <v>382</v>
      </c>
      <c r="F17" s="923">
        <f>F4</f>
        <v>1</v>
      </c>
      <c r="G17" s="411">
        <f>LOG!I11+LOG!I12+LOG!I13+LOG!$I$14*F17</f>
        <v>1886000000</v>
      </c>
      <c r="H17" s="412">
        <f>$G$17/($I$5*1000)</f>
        <v>92.553606008230702</v>
      </c>
      <c r="I17" s="922">
        <f>($G$17/$I$9)/$I$5</f>
        <v>5.9535318415174769</v>
      </c>
      <c r="M17" s="936"/>
    </row>
    <row r="18" spans="2:13" x14ac:dyDescent="0.25">
      <c r="B18" s="918"/>
      <c r="D18" s="919" t="s">
        <v>379</v>
      </c>
      <c r="E18" s="920" t="s">
        <v>383</v>
      </c>
      <c r="F18" s="923"/>
      <c r="G18" s="411">
        <f>LOG!I18+LOG!I19+LOG!I20+LOG!$I$21</f>
        <v>1091575491.8400002</v>
      </c>
      <c r="H18" s="412">
        <f>$G$18/($I$5*1000)</f>
        <v>53.568000000000005</v>
      </c>
      <c r="I18" s="922">
        <f>($G$18/$I$9)/$I$5</f>
        <v>3.4457738324971059</v>
      </c>
      <c r="M18" s="936"/>
    </row>
    <row r="19" spans="2:13" x14ac:dyDescent="0.25">
      <c r="B19" s="918"/>
      <c r="D19" s="919" t="s">
        <v>379</v>
      </c>
      <c r="E19" s="920" t="s">
        <v>384</v>
      </c>
      <c r="F19" s="923"/>
      <c r="G19" s="411">
        <f>LOG!I15+LOG!I16+LOG!$I$17</f>
        <v>869217521.28000021</v>
      </c>
      <c r="H19" s="412">
        <f>$G$19/($I$5*1000)</f>
        <v>42.656000000000013</v>
      </c>
      <c r="I19" s="922">
        <f>($G$19/$I$9)/$I$5</f>
        <v>2.7438569406921403</v>
      </c>
      <c r="M19" s="936"/>
    </row>
    <row r="20" spans="2:13" x14ac:dyDescent="0.25">
      <c r="B20" s="918"/>
      <c r="D20" s="410"/>
      <c r="E20" s="920"/>
      <c r="F20" s="921"/>
      <c r="G20" s="925">
        <f>SUM($G$16:$G$19)</f>
        <v>5962454114.2400017</v>
      </c>
      <c r="H20" s="413">
        <f>SUM($H$16:$H$19)</f>
        <v>292.60160600823076</v>
      </c>
      <c r="I20" s="413">
        <f>SUM($I$16:$I$19)</f>
        <v>18.82166512339063</v>
      </c>
      <c r="K20" s="938"/>
      <c r="M20" s="936"/>
    </row>
    <row r="21" spans="2:13" x14ac:dyDescent="0.25">
      <c r="B21" s="927"/>
      <c r="C21" s="928"/>
      <c r="D21" s="939"/>
      <c r="E21" s="930"/>
      <c r="F21" s="940"/>
      <c r="G21" s="928"/>
      <c r="H21" s="941"/>
      <c r="I21" s="942"/>
      <c r="M21" s="936"/>
    </row>
    <row r="22" spans="2:13" x14ac:dyDescent="0.25">
      <c r="B22" s="943" t="s">
        <v>295</v>
      </c>
      <c r="C22" s="944" t="s">
        <v>296</v>
      </c>
      <c r="D22" s="945" t="s">
        <v>379</v>
      </c>
      <c r="E22" s="944" t="s">
        <v>297</v>
      </c>
      <c r="F22" s="946">
        <f>F4</f>
        <v>1</v>
      </c>
      <c r="G22" s="947">
        <f>[23]MPC!$H$29*$F$22</f>
        <v>2184665532.2092161</v>
      </c>
      <c r="H22" s="412">
        <f>$G$22/($I$5*1000)</f>
        <v>107.21032498825738</v>
      </c>
      <c r="I22" s="922">
        <f>($G$22/$I$9)/$I$5</f>
        <v>6.8963286368363157</v>
      </c>
      <c r="M22" s="917"/>
    </row>
    <row r="23" spans="2:13" x14ac:dyDescent="0.25">
      <c r="B23" s="918"/>
      <c r="D23" s="919" t="s">
        <v>379</v>
      </c>
      <c r="E23" s="920" t="s">
        <v>298</v>
      </c>
      <c r="F23" s="923">
        <f>F4</f>
        <v>1</v>
      </c>
      <c r="G23" s="411">
        <f>OH!G51*$F$23</f>
        <v>1436056392.483475</v>
      </c>
      <c r="H23" s="412">
        <f>$G$23/($I$5*1000)</f>
        <v>70.473063391048058</v>
      </c>
      <c r="I23" s="922">
        <f>($G$23/$I$9)/$I$5</f>
        <v>4.5331958954745959</v>
      </c>
      <c r="M23" s="917"/>
    </row>
    <row r="24" spans="2:13" x14ac:dyDescent="0.25">
      <c r="B24" s="918"/>
      <c r="D24" s="919" t="s">
        <v>379</v>
      </c>
      <c r="E24" s="920" t="s">
        <v>299</v>
      </c>
      <c r="F24" s="923">
        <f>F4</f>
        <v>1</v>
      </c>
      <c r="G24" s="411">
        <f>DEP!I9*$F$24</f>
        <v>4181184787.4775009</v>
      </c>
      <c r="H24" s="412">
        <f>$G$24/($I$5*1000)</f>
        <v>205.18755539119852</v>
      </c>
      <c r="I24" s="922">
        <f>($G$24/$I$9)/$I$5</f>
        <v>13.198736356052907</v>
      </c>
      <c r="M24" s="917"/>
    </row>
    <row r="25" spans="2:13" x14ac:dyDescent="0.25">
      <c r="B25" s="918"/>
      <c r="D25" s="919" t="s">
        <v>379</v>
      </c>
      <c r="E25" s="920" t="s">
        <v>300</v>
      </c>
      <c r="F25" s="923">
        <f>F4</f>
        <v>1</v>
      </c>
      <c r="G25" s="411">
        <f>AMOR!$G$20*$F$25</f>
        <v>1048409804.9999995</v>
      </c>
      <c r="H25" s="412">
        <f>$G$25/($I$5*1000)</f>
        <v>51.449686122553516</v>
      </c>
      <c r="I25" s="922">
        <f>($G$25/$I$9)/$I$5</f>
        <v>3.3095128086037251</v>
      </c>
      <c r="M25" s="917"/>
    </row>
    <row r="26" spans="2:13" x14ac:dyDescent="0.25">
      <c r="B26" s="918"/>
      <c r="D26" s="410"/>
      <c r="E26" s="920"/>
      <c r="F26" s="921"/>
      <c r="G26" s="925">
        <f>SUM($G$22:$G$25)</f>
        <v>8850316517.1701908</v>
      </c>
      <c r="H26" s="413">
        <f>SUM($H$22:$H$25)</f>
        <v>434.32062989305746</v>
      </c>
      <c r="I26" s="926">
        <f>SUM($I$22:$I$25)</f>
        <v>27.937773696967543</v>
      </c>
      <c r="K26" s="938">
        <f>I26+I14</f>
        <v>51.114957060890418</v>
      </c>
      <c r="M26" s="917"/>
    </row>
    <row r="27" spans="2:13" ht="15.75" thickBot="1" x14ac:dyDescent="0.3">
      <c r="B27" s="918"/>
      <c r="D27" s="410"/>
      <c r="E27" s="920"/>
      <c r="F27" s="921"/>
      <c r="H27" s="413"/>
      <c r="I27" s="948"/>
      <c r="M27" s="917"/>
    </row>
    <row r="28" spans="2:13" ht="17.25" thickTop="1" thickBot="1" x14ac:dyDescent="0.3">
      <c r="B28" s="1654" t="s">
        <v>385</v>
      </c>
      <c r="C28" s="1654"/>
      <c r="D28" s="1654"/>
      <c r="E28" s="1654"/>
      <c r="F28" s="1654"/>
      <c r="G28" s="949">
        <f>$G$26+$G$20+$G$14</f>
        <v>22247538235.960037</v>
      </c>
      <c r="H28" s="950">
        <f>$H$26+$H$20+$H$14</f>
        <v>1087.2347284768332</v>
      </c>
      <c r="I28" s="950">
        <f>$I$26+$I$20+$I$14</f>
        <v>69.936622184281049</v>
      </c>
      <c r="K28" s="938"/>
    </row>
  </sheetData>
  <mergeCells count="2">
    <mergeCell ref="D10:F10"/>
    <mergeCell ref="B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C29" activePane="bottomRight" state="frozen"/>
      <selection pane="topRight"/>
      <selection pane="bottomLeft"/>
      <selection pane="bottomRight" activeCell="F50" sqref="F50"/>
    </sheetView>
  </sheetViews>
  <sheetFormatPr defaultColWidth="9" defaultRowHeight="14.25" x14ac:dyDescent="0.2"/>
  <cols>
    <col min="1" max="1" width="9" style="181"/>
    <col min="2" max="2" width="9.5703125" style="181" customWidth="1"/>
    <col min="3" max="3" width="18" style="175" customWidth="1"/>
    <col min="4" max="4" width="11.42578125" style="181" customWidth="1"/>
    <col min="5" max="5" width="15.5703125" style="181" customWidth="1"/>
    <col min="6" max="6" width="15.140625" style="181" bestFit="1" customWidth="1"/>
    <col min="7" max="7" width="13.5703125" style="181" customWidth="1"/>
    <col min="8" max="8" width="15.42578125" style="181" customWidth="1"/>
    <col min="9" max="9" width="14.85546875" style="229" customWidth="1"/>
    <col min="10" max="10" width="16.42578125" style="181" customWidth="1"/>
    <col min="11" max="11" width="17.85546875" style="181" customWidth="1"/>
    <col min="12" max="12" width="17.140625" style="229" customWidth="1"/>
    <col min="13" max="13" width="10.42578125" style="181" customWidth="1"/>
    <col min="14" max="14" width="8.85546875" style="181" customWidth="1"/>
    <col min="15" max="16384" width="9" style="181"/>
  </cols>
  <sheetData>
    <row r="2" spans="2:14" s="176" customFormat="1" x14ac:dyDescent="0.2">
      <c r="C2" s="153"/>
    </row>
    <row r="3" spans="2:14" s="176" customFormat="1" ht="21" customHeight="1" x14ac:dyDescent="0.2">
      <c r="B3" s="1655" t="s">
        <v>137</v>
      </c>
      <c r="C3" s="1655"/>
      <c r="D3" s="1655"/>
      <c r="E3" s="1655"/>
      <c r="F3" s="1655"/>
      <c r="G3" s="1655"/>
      <c r="H3" s="1655"/>
      <c r="I3" s="1655"/>
      <c r="J3" s="1655"/>
      <c r="K3" s="1655"/>
      <c r="L3" s="1655"/>
      <c r="M3" s="1655"/>
      <c r="N3" s="1655"/>
    </row>
    <row r="4" spans="2:14" s="176" customFormat="1" ht="15" thickBot="1" x14ac:dyDescent="0.25">
      <c r="B4" s="177"/>
      <c r="C4" s="153"/>
      <c r="D4" s="176">
        <v>2024</v>
      </c>
    </row>
    <row r="5" spans="2:14" ht="18.75" customHeight="1" thickBot="1" x14ac:dyDescent="0.25">
      <c r="B5" s="1656"/>
      <c r="C5" s="1657" t="s">
        <v>138</v>
      </c>
      <c r="D5" s="1658"/>
      <c r="E5" s="1659"/>
      <c r="F5" s="1656" t="s">
        <v>139</v>
      </c>
      <c r="G5" s="178"/>
      <c r="H5" s="179"/>
      <c r="I5" s="180"/>
      <c r="J5" s="179"/>
      <c r="K5" s="1660" t="s">
        <v>140</v>
      </c>
      <c r="L5" s="1662" t="s">
        <v>141</v>
      </c>
      <c r="M5" s="1664" t="s">
        <v>142</v>
      </c>
      <c r="N5" s="1660"/>
    </row>
    <row r="6" spans="2:14" ht="60.75" thickBot="1" x14ac:dyDescent="0.25">
      <c r="B6" s="1656"/>
      <c r="C6" s="154" t="s">
        <v>143</v>
      </c>
      <c r="D6" s="178" t="s">
        <v>144</v>
      </c>
      <c r="E6" s="178" t="s">
        <v>145</v>
      </c>
      <c r="F6" s="1656"/>
      <c r="G6" s="178" t="s">
        <v>146</v>
      </c>
      <c r="H6" s="178" t="s">
        <v>147</v>
      </c>
      <c r="I6" s="182" t="s">
        <v>148</v>
      </c>
      <c r="J6" s="178" t="s">
        <v>149</v>
      </c>
      <c r="K6" s="1661"/>
      <c r="L6" s="1663"/>
      <c r="M6" s="178" t="s">
        <v>150</v>
      </c>
      <c r="N6" s="178" t="s">
        <v>151</v>
      </c>
    </row>
    <row r="7" spans="2:14" s="186" customFormat="1" ht="15" customHeight="1" thickBot="1" x14ac:dyDescent="0.25">
      <c r="B7" s="1656"/>
      <c r="C7" s="155">
        <v>1</v>
      </c>
      <c r="D7" s="183">
        <v>2</v>
      </c>
      <c r="E7" s="183" t="s">
        <v>152</v>
      </c>
      <c r="F7" s="183" t="s">
        <v>153</v>
      </c>
      <c r="G7" s="183">
        <v>5</v>
      </c>
      <c r="H7" s="183" t="s">
        <v>154</v>
      </c>
      <c r="I7" s="184">
        <v>7</v>
      </c>
      <c r="J7" s="183" t="s">
        <v>155</v>
      </c>
      <c r="K7" s="185" t="s">
        <v>156</v>
      </c>
      <c r="L7" s="184">
        <v>10</v>
      </c>
      <c r="M7" s="183" t="s">
        <v>157</v>
      </c>
      <c r="N7" s="183" t="s">
        <v>158</v>
      </c>
    </row>
    <row r="8" spans="2:14" x14ac:dyDescent="0.2">
      <c r="B8" s="187">
        <v>1</v>
      </c>
      <c r="C8" s="190">
        <v>988.4</v>
      </c>
      <c r="D8" s="156">
        <v>5</v>
      </c>
      <c r="E8" s="157">
        <f>C8*D8</f>
        <v>4942</v>
      </c>
      <c r="F8" s="157">
        <f>E8</f>
        <v>4942</v>
      </c>
      <c r="G8" s="158">
        <v>35.314667</v>
      </c>
      <c r="H8" s="158">
        <f>(F8*G8)/1000</f>
        <v>174.525084314</v>
      </c>
      <c r="I8" s="191">
        <v>1038.41308</v>
      </c>
      <c r="J8" s="159">
        <f>(H8*I8)/1000</f>
        <v>181.22913033976042</v>
      </c>
      <c r="K8" s="188">
        <f>L8-J8</f>
        <v>-181.22913033976042</v>
      </c>
      <c r="L8" s="160"/>
      <c r="M8" s="161" t="e">
        <f>(J8/L8)</f>
        <v>#DIV/0!</v>
      </c>
      <c r="N8" s="161" t="e">
        <f>K8/L8</f>
        <v>#DIV/0!</v>
      </c>
    </row>
    <row r="9" spans="2:14" x14ac:dyDescent="0.2">
      <c r="B9" s="189">
        <f>B8+1</f>
        <v>2</v>
      </c>
      <c r="C9" s="190">
        <v>872.9</v>
      </c>
      <c r="D9" s="162">
        <v>5</v>
      </c>
      <c r="E9" s="163">
        <f t="shared" ref="E9:E21" si="0">C9*D9</f>
        <v>4364.5</v>
      </c>
      <c r="F9" s="163">
        <f t="shared" ref="F9:F21" si="1">E9</f>
        <v>4364.5</v>
      </c>
      <c r="G9" s="164">
        <v>35.314667</v>
      </c>
      <c r="H9" s="164">
        <f t="shared" ref="H9:H21" si="2">(F9*G9)/1000</f>
        <v>154.1308641215</v>
      </c>
      <c r="I9" s="191">
        <v>1044.2697700000001</v>
      </c>
      <c r="J9" s="165">
        <f t="shared" ref="J9:J21" si="3">(H9*I9)/1000</f>
        <v>160.95420202606007</v>
      </c>
      <c r="K9" s="192">
        <f t="shared" ref="K9:K21" si="4">L9-J9</f>
        <v>-160.95420202606007</v>
      </c>
      <c r="L9" s="166"/>
      <c r="M9" s="167" t="e">
        <f t="shared" ref="M9:M21" si="5">(J9/L9)</f>
        <v>#DIV/0!</v>
      </c>
      <c r="N9" s="168" t="e">
        <f t="shared" ref="N9:N21" si="6">K9/L9</f>
        <v>#DIV/0!</v>
      </c>
    </row>
    <row r="10" spans="2:14" x14ac:dyDescent="0.2">
      <c r="B10" s="189">
        <f t="shared" ref="B10:B37" si="7">B9+1</f>
        <v>3</v>
      </c>
      <c r="C10" s="190">
        <v>816.9</v>
      </c>
      <c r="D10" s="162">
        <v>5</v>
      </c>
      <c r="E10" s="163">
        <f t="shared" si="0"/>
        <v>4084.5</v>
      </c>
      <c r="F10" s="163">
        <f t="shared" si="1"/>
        <v>4084.5</v>
      </c>
      <c r="G10" s="164">
        <v>35.314667</v>
      </c>
      <c r="H10" s="164">
        <f t="shared" si="2"/>
        <v>144.2427573615</v>
      </c>
      <c r="I10" s="191">
        <v>1044.7708700000001</v>
      </c>
      <c r="J10" s="165">
        <f t="shared" si="3"/>
        <v>150.70063109977326</v>
      </c>
      <c r="K10" s="192">
        <f t="shared" si="4"/>
        <v>-150.70063109977326</v>
      </c>
      <c r="L10" s="166"/>
      <c r="M10" s="167" t="e">
        <f t="shared" si="5"/>
        <v>#DIV/0!</v>
      </c>
      <c r="N10" s="168" t="e">
        <f t="shared" si="6"/>
        <v>#DIV/0!</v>
      </c>
    </row>
    <row r="11" spans="2:14" x14ac:dyDescent="0.2">
      <c r="B11" s="189">
        <f t="shared" si="7"/>
        <v>4</v>
      </c>
      <c r="C11" s="190">
        <v>896.2</v>
      </c>
      <c r="D11" s="162">
        <v>5</v>
      </c>
      <c r="E11" s="163">
        <f t="shared" si="0"/>
        <v>4481</v>
      </c>
      <c r="F11" s="163">
        <f t="shared" si="1"/>
        <v>4481</v>
      </c>
      <c r="G11" s="164">
        <v>35.314667</v>
      </c>
      <c r="H11" s="164">
        <f t="shared" si="2"/>
        <v>158.24502282700001</v>
      </c>
      <c r="I11" s="191">
        <v>1043.9566600000001</v>
      </c>
      <c r="J11" s="165">
        <f>(H11*I11)/1000</f>
        <v>165.2009454920987</v>
      </c>
      <c r="K11" s="192">
        <f t="shared" si="4"/>
        <v>-165.2009454920987</v>
      </c>
      <c r="L11" s="169"/>
      <c r="M11" s="167" t="e">
        <f t="shared" si="5"/>
        <v>#DIV/0!</v>
      </c>
      <c r="N11" s="168" t="e">
        <f t="shared" si="6"/>
        <v>#DIV/0!</v>
      </c>
    </row>
    <row r="12" spans="2:14" x14ac:dyDescent="0.2">
      <c r="B12" s="189">
        <f t="shared" si="7"/>
        <v>5</v>
      </c>
      <c r="C12" s="190">
        <v>891.4</v>
      </c>
      <c r="D12" s="162">
        <v>5</v>
      </c>
      <c r="E12" s="163">
        <f t="shared" si="0"/>
        <v>4457</v>
      </c>
      <c r="F12" s="163">
        <f t="shared" si="1"/>
        <v>4457</v>
      </c>
      <c r="G12" s="164">
        <v>35.314667</v>
      </c>
      <c r="H12" s="164">
        <f t="shared" si="2"/>
        <v>157.39747081900001</v>
      </c>
      <c r="I12" s="191">
        <v>1044.7373</v>
      </c>
      <c r="J12" s="165">
        <f t="shared" si="3"/>
        <v>164.43900869027087</v>
      </c>
      <c r="K12" s="192">
        <f t="shared" si="4"/>
        <v>-164.43900869027087</v>
      </c>
      <c r="L12" s="166"/>
      <c r="M12" s="167" t="e">
        <f t="shared" si="5"/>
        <v>#DIV/0!</v>
      </c>
      <c r="N12" s="168" t="e">
        <f t="shared" si="6"/>
        <v>#DIV/0!</v>
      </c>
    </row>
    <row r="13" spans="2:14" x14ac:dyDescent="0.2">
      <c r="B13" s="189">
        <f t="shared" si="7"/>
        <v>6</v>
      </c>
      <c r="C13" s="190">
        <v>796.1</v>
      </c>
      <c r="D13" s="162">
        <v>5</v>
      </c>
      <c r="E13" s="163">
        <f t="shared" si="0"/>
        <v>3980.5</v>
      </c>
      <c r="F13" s="163">
        <f t="shared" si="1"/>
        <v>3980.5</v>
      </c>
      <c r="G13" s="164">
        <v>35.314667</v>
      </c>
      <c r="H13" s="164">
        <f t="shared" si="2"/>
        <v>140.57003199349998</v>
      </c>
      <c r="I13" s="191">
        <v>1044.7930100000001</v>
      </c>
      <c r="J13" s="165">
        <f t="shared" si="3"/>
        <v>146.86658684228516</v>
      </c>
      <c r="K13" s="192">
        <f t="shared" si="4"/>
        <v>-146.86658684228516</v>
      </c>
      <c r="L13" s="166"/>
      <c r="M13" s="167" t="e">
        <f t="shared" si="5"/>
        <v>#DIV/0!</v>
      </c>
      <c r="N13" s="168" t="e">
        <f t="shared" si="6"/>
        <v>#DIV/0!</v>
      </c>
    </row>
    <row r="14" spans="2:14" x14ac:dyDescent="0.2">
      <c r="B14" s="189">
        <f t="shared" si="7"/>
        <v>7</v>
      </c>
      <c r="C14" s="190">
        <v>738.6</v>
      </c>
      <c r="D14" s="162">
        <v>5</v>
      </c>
      <c r="E14" s="163">
        <f t="shared" si="0"/>
        <v>3693</v>
      </c>
      <c r="F14" s="163">
        <f t="shared" si="1"/>
        <v>3693</v>
      </c>
      <c r="G14" s="164">
        <v>35.314667</v>
      </c>
      <c r="H14" s="164">
        <f t="shared" si="2"/>
        <v>130.41706523100001</v>
      </c>
      <c r="I14" s="191">
        <v>1045.6588099999999</v>
      </c>
      <c r="J14" s="165">
        <f t="shared" si="3"/>
        <v>136.37175323313983</v>
      </c>
      <c r="K14" s="192">
        <f t="shared" si="4"/>
        <v>-136.37175323313983</v>
      </c>
      <c r="L14" s="166"/>
      <c r="M14" s="167" t="e">
        <f t="shared" si="5"/>
        <v>#DIV/0!</v>
      </c>
      <c r="N14" s="168" t="e">
        <f t="shared" si="6"/>
        <v>#DIV/0!</v>
      </c>
    </row>
    <row r="15" spans="2:14" x14ac:dyDescent="0.2">
      <c r="B15" s="189">
        <f t="shared" si="7"/>
        <v>8</v>
      </c>
      <c r="C15" s="190">
        <v>777</v>
      </c>
      <c r="D15" s="162">
        <v>5</v>
      </c>
      <c r="E15" s="163">
        <f t="shared" si="0"/>
        <v>3885</v>
      </c>
      <c r="F15" s="163">
        <f t="shared" si="1"/>
        <v>3885</v>
      </c>
      <c r="G15" s="164">
        <v>35.314667</v>
      </c>
      <c r="H15" s="164">
        <f t="shared" si="2"/>
        <v>137.19748129500002</v>
      </c>
      <c r="I15" s="191">
        <v>1045.5009700000001</v>
      </c>
      <c r="J15" s="165">
        <f>(H15*I15)/1000</f>
        <v>143.44009977547938</v>
      </c>
      <c r="K15" s="192">
        <f>L15-J15</f>
        <v>-143.44009977547938</v>
      </c>
      <c r="L15" s="166"/>
      <c r="M15" s="167" t="e">
        <f t="shared" si="5"/>
        <v>#DIV/0!</v>
      </c>
      <c r="N15" s="168" t="e">
        <f t="shared" si="6"/>
        <v>#DIV/0!</v>
      </c>
    </row>
    <row r="16" spans="2:14" x14ac:dyDescent="0.2">
      <c r="B16" s="189">
        <f t="shared" si="7"/>
        <v>9</v>
      </c>
      <c r="C16" s="190">
        <v>825.1</v>
      </c>
      <c r="D16" s="162">
        <v>5</v>
      </c>
      <c r="E16" s="163">
        <f t="shared" si="0"/>
        <v>4125.5</v>
      </c>
      <c r="F16" s="163">
        <f t="shared" si="1"/>
        <v>4125.5</v>
      </c>
      <c r="G16" s="164">
        <v>35.314667</v>
      </c>
      <c r="H16" s="164">
        <f t="shared" si="2"/>
        <v>145.6906587085</v>
      </c>
      <c r="I16" s="191">
        <v>1046.5618899999999</v>
      </c>
      <c r="J16" s="165">
        <f t="shared" si="3"/>
        <v>152.4742911333127</v>
      </c>
      <c r="K16" s="192">
        <f t="shared" si="4"/>
        <v>-152.4742911333127</v>
      </c>
      <c r="L16" s="166"/>
      <c r="M16" s="167" t="e">
        <f t="shared" si="5"/>
        <v>#DIV/0!</v>
      </c>
      <c r="N16" s="168" t="e">
        <f t="shared" si="6"/>
        <v>#DIV/0!</v>
      </c>
    </row>
    <row r="17" spans="2:14" x14ac:dyDescent="0.2">
      <c r="B17" s="189">
        <f t="shared" si="7"/>
        <v>10</v>
      </c>
      <c r="C17" s="190">
        <v>965.8</v>
      </c>
      <c r="D17" s="162">
        <v>5</v>
      </c>
      <c r="E17" s="163">
        <f t="shared" si="0"/>
        <v>4829</v>
      </c>
      <c r="F17" s="163">
        <f t="shared" si="1"/>
        <v>4829</v>
      </c>
      <c r="G17" s="164">
        <v>35.314667</v>
      </c>
      <c r="H17" s="164">
        <f t="shared" si="2"/>
        <v>170.534526943</v>
      </c>
      <c r="I17" s="191">
        <v>1045.80944</v>
      </c>
      <c r="J17" s="165">
        <f t="shared" si="3"/>
        <v>178.34661812292373</v>
      </c>
      <c r="K17" s="192">
        <f t="shared" si="4"/>
        <v>-178.34661812292373</v>
      </c>
      <c r="L17" s="166"/>
      <c r="M17" s="167" t="e">
        <f t="shared" si="5"/>
        <v>#DIV/0!</v>
      </c>
      <c r="N17" s="168" t="e">
        <f t="shared" si="6"/>
        <v>#DIV/0!</v>
      </c>
    </row>
    <row r="18" spans="2:14" x14ac:dyDescent="0.2">
      <c r="B18" s="189">
        <f t="shared" si="7"/>
        <v>11</v>
      </c>
      <c r="C18" s="190">
        <v>909.1</v>
      </c>
      <c r="D18" s="162">
        <v>5</v>
      </c>
      <c r="E18" s="163">
        <f t="shared" si="0"/>
        <v>4545.5</v>
      </c>
      <c r="F18" s="163">
        <f t="shared" si="1"/>
        <v>4545.5</v>
      </c>
      <c r="G18" s="164">
        <v>35.314667</v>
      </c>
      <c r="H18" s="164">
        <f t="shared" si="2"/>
        <v>160.52281884850001</v>
      </c>
      <c r="I18" s="191">
        <v>1047.8197</v>
      </c>
      <c r="J18" s="165">
        <f t="shared" si="3"/>
        <v>168.1989718889896</v>
      </c>
      <c r="K18" s="192">
        <f t="shared" si="4"/>
        <v>-168.1989718889896</v>
      </c>
      <c r="L18" s="166"/>
      <c r="M18" s="167" t="e">
        <f t="shared" si="5"/>
        <v>#DIV/0!</v>
      </c>
      <c r="N18" s="168" t="e">
        <f t="shared" si="6"/>
        <v>#DIV/0!</v>
      </c>
    </row>
    <row r="19" spans="2:14" x14ac:dyDescent="0.2">
      <c r="B19" s="189">
        <f t="shared" si="7"/>
        <v>12</v>
      </c>
      <c r="C19" s="190">
        <v>861.1</v>
      </c>
      <c r="D19" s="162">
        <v>5</v>
      </c>
      <c r="E19" s="163">
        <f t="shared" si="0"/>
        <v>4305.5</v>
      </c>
      <c r="F19" s="163">
        <f t="shared" si="1"/>
        <v>4305.5</v>
      </c>
      <c r="G19" s="164">
        <v>35.314667</v>
      </c>
      <c r="H19" s="164">
        <f t="shared" si="2"/>
        <v>152.04729876850001</v>
      </c>
      <c r="I19" s="191">
        <v>1047.0739000000001</v>
      </c>
      <c r="J19" s="165">
        <f t="shared" si="3"/>
        <v>159.20475810599851</v>
      </c>
      <c r="K19" s="192">
        <f t="shared" si="4"/>
        <v>-159.20475810599851</v>
      </c>
      <c r="L19" s="166"/>
      <c r="M19" s="167" t="e">
        <f t="shared" si="5"/>
        <v>#DIV/0!</v>
      </c>
      <c r="N19" s="168" t="e">
        <f t="shared" si="6"/>
        <v>#DIV/0!</v>
      </c>
    </row>
    <row r="20" spans="2:14" x14ac:dyDescent="0.2">
      <c r="B20" s="189">
        <f t="shared" si="7"/>
        <v>13</v>
      </c>
      <c r="C20" s="190">
        <v>908</v>
      </c>
      <c r="D20" s="162">
        <v>5</v>
      </c>
      <c r="E20" s="163">
        <f t="shared" si="0"/>
        <v>4540</v>
      </c>
      <c r="F20" s="163">
        <f t="shared" si="1"/>
        <v>4540</v>
      </c>
      <c r="G20" s="164">
        <v>35.314667</v>
      </c>
      <c r="H20" s="164">
        <f t="shared" si="2"/>
        <v>160.32858818</v>
      </c>
      <c r="I20" s="191">
        <v>1047.4428700000001</v>
      </c>
      <c r="J20" s="165">
        <f t="shared" si="3"/>
        <v>167.93503654630729</v>
      </c>
      <c r="K20" s="192">
        <f t="shared" si="4"/>
        <v>-167.93503654630729</v>
      </c>
      <c r="L20" s="166"/>
      <c r="M20" s="167" t="e">
        <f t="shared" si="5"/>
        <v>#DIV/0!</v>
      </c>
      <c r="N20" s="168" t="e">
        <f t="shared" si="6"/>
        <v>#DIV/0!</v>
      </c>
    </row>
    <row r="21" spans="2:14" x14ac:dyDescent="0.2">
      <c r="B21" s="189">
        <f t="shared" si="7"/>
        <v>14</v>
      </c>
      <c r="C21" s="190">
        <v>908.8</v>
      </c>
      <c r="D21" s="162">
        <v>5</v>
      </c>
      <c r="E21" s="163">
        <f t="shared" si="0"/>
        <v>4544</v>
      </c>
      <c r="F21" s="163">
        <f t="shared" si="1"/>
        <v>4544</v>
      </c>
      <c r="G21" s="164">
        <v>35.314667</v>
      </c>
      <c r="H21" s="164">
        <f t="shared" si="2"/>
        <v>160.46984684799997</v>
      </c>
      <c r="I21" s="191">
        <v>1047.9689900000001</v>
      </c>
      <c r="J21" s="165">
        <f t="shared" si="3"/>
        <v>168.16742332675324</v>
      </c>
      <c r="K21" s="192">
        <f t="shared" si="4"/>
        <v>-168.16742332675324</v>
      </c>
      <c r="L21" s="166"/>
      <c r="M21" s="167" t="e">
        <f t="shared" si="5"/>
        <v>#DIV/0!</v>
      </c>
      <c r="N21" s="168" t="e">
        <f t="shared" si="6"/>
        <v>#DIV/0!</v>
      </c>
    </row>
    <row r="22" spans="2:14" x14ac:dyDescent="0.2">
      <c r="B22" s="189">
        <f t="shared" si="7"/>
        <v>15</v>
      </c>
      <c r="C22" s="190">
        <v>981.8</v>
      </c>
      <c r="D22" s="162">
        <v>5</v>
      </c>
      <c r="E22" s="163">
        <f t="shared" ref="E22:E37" si="8">C22*D22</f>
        <v>4909</v>
      </c>
      <c r="F22" s="163">
        <f t="shared" ref="F22:F37" si="9">E22</f>
        <v>4909</v>
      </c>
      <c r="G22" s="164">
        <v>36.314667</v>
      </c>
      <c r="H22" s="164">
        <f t="shared" ref="H22:H37" si="10">(F22*G22)/1000</f>
        <v>178.268700303</v>
      </c>
      <c r="I22" s="191">
        <v>1048.95886</v>
      </c>
      <c r="J22" s="165">
        <f t="shared" ref="J22:J37" si="11">(H22*I22)/1000</f>
        <v>186.99653264351653</v>
      </c>
      <c r="K22" s="192">
        <f t="shared" ref="K22:K37" si="12">L22-J22</f>
        <v>-186.99653264351653</v>
      </c>
      <c r="L22" s="166"/>
      <c r="M22" s="167" t="e">
        <f t="shared" ref="M22:M37" si="13">(J22/L22)</f>
        <v>#DIV/0!</v>
      </c>
      <c r="N22" s="168" t="e">
        <f t="shared" ref="N22:N37" si="14">K22/L22</f>
        <v>#DIV/0!</v>
      </c>
    </row>
    <row r="23" spans="2:14" x14ac:dyDescent="0.2">
      <c r="B23" s="189">
        <f t="shared" si="7"/>
        <v>16</v>
      </c>
      <c r="C23" s="190">
        <v>898.2</v>
      </c>
      <c r="D23" s="162">
        <v>5</v>
      </c>
      <c r="E23" s="163">
        <f t="shared" si="8"/>
        <v>4491</v>
      </c>
      <c r="F23" s="163">
        <f t="shared" si="9"/>
        <v>4491</v>
      </c>
      <c r="G23" s="164">
        <v>37.314667</v>
      </c>
      <c r="H23" s="164">
        <f t="shared" si="10"/>
        <v>167.58016949699999</v>
      </c>
      <c r="I23" s="191">
        <v>1062.8536300000001</v>
      </c>
      <c r="J23" s="165">
        <f t="shared" si="11"/>
        <v>178.11319146590171</v>
      </c>
      <c r="K23" s="192">
        <f t="shared" si="12"/>
        <v>-178.11319146590171</v>
      </c>
      <c r="L23" s="166"/>
      <c r="M23" s="167" t="e">
        <f t="shared" si="13"/>
        <v>#DIV/0!</v>
      </c>
      <c r="N23" s="168" t="e">
        <f t="shared" si="14"/>
        <v>#DIV/0!</v>
      </c>
    </row>
    <row r="24" spans="2:14" x14ac:dyDescent="0.2">
      <c r="B24" s="189">
        <f t="shared" si="7"/>
        <v>17</v>
      </c>
      <c r="C24" s="190">
        <v>805.9</v>
      </c>
      <c r="D24" s="162">
        <v>5</v>
      </c>
      <c r="E24" s="163">
        <f t="shared" si="8"/>
        <v>4029.5</v>
      </c>
      <c r="F24" s="163">
        <f t="shared" si="9"/>
        <v>4029.5</v>
      </c>
      <c r="G24" s="164">
        <v>38.314667</v>
      </c>
      <c r="H24" s="164">
        <f t="shared" si="10"/>
        <v>154.3889506765</v>
      </c>
      <c r="I24" s="191">
        <v>1056.0454099999999</v>
      </c>
      <c r="J24" s="165">
        <f t="shared" si="11"/>
        <v>163.04174271663422</v>
      </c>
      <c r="K24" s="192">
        <f t="shared" si="12"/>
        <v>-163.04174271663422</v>
      </c>
      <c r="L24" s="166"/>
      <c r="M24" s="167" t="e">
        <f t="shared" si="13"/>
        <v>#DIV/0!</v>
      </c>
      <c r="N24" s="168" t="e">
        <f t="shared" si="14"/>
        <v>#DIV/0!</v>
      </c>
    </row>
    <row r="25" spans="2:14" x14ac:dyDescent="0.2">
      <c r="B25" s="189">
        <f t="shared" si="7"/>
        <v>18</v>
      </c>
      <c r="C25" s="190">
        <v>935</v>
      </c>
      <c r="D25" s="162">
        <v>5</v>
      </c>
      <c r="E25" s="163">
        <f t="shared" si="8"/>
        <v>4675</v>
      </c>
      <c r="F25" s="163">
        <f t="shared" si="9"/>
        <v>4675</v>
      </c>
      <c r="G25" s="164">
        <v>39.314667</v>
      </c>
      <c r="H25" s="164">
        <f t="shared" si="10"/>
        <v>183.796068225</v>
      </c>
      <c r="I25" s="191">
        <v>1050.7506100000001</v>
      </c>
      <c r="J25" s="165">
        <f t="shared" si="11"/>
        <v>193.12383080302035</v>
      </c>
      <c r="K25" s="192">
        <f t="shared" si="12"/>
        <v>-193.12383080302035</v>
      </c>
      <c r="L25" s="166"/>
      <c r="M25" s="167" t="e">
        <f t="shared" si="13"/>
        <v>#DIV/0!</v>
      </c>
      <c r="N25" s="168" t="e">
        <f t="shared" si="14"/>
        <v>#DIV/0!</v>
      </c>
    </row>
    <row r="26" spans="2:14" x14ac:dyDescent="0.2">
      <c r="B26" s="189">
        <f t="shared" si="7"/>
        <v>19</v>
      </c>
      <c r="C26" s="190">
        <v>1196.0999999999999</v>
      </c>
      <c r="D26" s="162">
        <v>5</v>
      </c>
      <c r="E26" s="163">
        <f t="shared" si="8"/>
        <v>5980.5</v>
      </c>
      <c r="F26" s="163">
        <f t="shared" si="9"/>
        <v>5980.5</v>
      </c>
      <c r="G26" s="164">
        <v>40.314667</v>
      </c>
      <c r="H26" s="164">
        <f t="shared" si="10"/>
        <v>241.10186599349998</v>
      </c>
      <c r="I26" s="191">
        <v>1038.1137699999999</v>
      </c>
      <c r="J26" s="165">
        <f t="shared" si="11"/>
        <v>250.29116706054705</v>
      </c>
      <c r="K26" s="192">
        <f t="shared" si="12"/>
        <v>-250.29116706054705</v>
      </c>
      <c r="L26" s="166"/>
      <c r="M26" s="167" t="e">
        <f t="shared" si="13"/>
        <v>#DIV/0!</v>
      </c>
      <c r="N26" s="168" t="e">
        <f t="shared" si="14"/>
        <v>#DIV/0!</v>
      </c>
    </row>
    <row r="27" spans="2:14" x14ac:dyDescent="0.2">
      <c r="B27" s="189">
        <f t="shared" si="7"/>
        <v>20</v>
      </c>
      <c r="C27" s="190">
        <v>1251</v>
      </c>
      <c r="D27" s="162">
        <v>5</v>
      </c>
      <c r="E27" s="163">
        <f t="shared" si="8"/>
        <v>6255</v>
      </c>
      <c r="F27" s="163">
        <f t="shared" si="9"/>
        <v>6255</v>
      </c>
      <c r="G27" s="164">
        <v>41.314667</v>
      </c>
      <c r="H27" s="164">
        <f t="shared" si="10"/>
        <v>258.42324208500003</v>
      </c>
      <c r="I27" s="191">
        <v>1040.6282900000001</v>
      </c>
      <c r="J27" s="165">
        <f t="shared" si="11"/>
        <v>268.92253650716964</v>
      </c>
      <c r="K27" s="192">
        <f t="shared" si="12"/>
        <v>-268.92253650716964</v>
      </c>
      <c r="L27" s="166"/>
      <c r="M27" s="167" t="e">
        <f t="shared" si="13"/>
        <v>#DIV/0!</v>
      </c>
      <c r="N27" s="168" t="e">
        <f t="shared" si="14"/>
        <v>#DIV/0!</v>
      </c>
    </row>
    <row r="28" spans="2:14" x14ac:dyDescent="0.2">
      <c r="B28" s="189">
        <f t="shared" si="7"/>
        <v>21</v>
      </c>
      <c r="C28" s="190">
        <v>1282.3</v>
      </c>
      <c r="D28" s="162">
        <v>5</v>
      </c>
      <c r="E28" s="163">
        <f t="shared" si="8"/>
        <v>6411.5</v>
      </c>
      <c r="F28" s="163">
        <f t="shared" si="9"/>
        <v>6411.5</v>
      </c>
      <c r="G28" s="164">
        <v>42.314667</v>
      </c>
      <c r="H28" s="164">
        <f t="shared" si="10"/>
        <v>271.3004874705</v>
      </c>
      <c r="I28" s="191">
        <v>1044.19433</v>
      </c>
      <c r="J28" s="165">
        <f t="shared" si="11"/>
        <v>283.29043074293213</v>
      </c>
      <c r="K28" s="192">
        <f t="shared" si="12"/>
        <v>-283.29043074293213</v>
      </c>
      <c r="L28" s="166"/>
      <c r="M28" s="167" t="e">
        <f t="shared" si="13"/>
        <v>#DIV/0!</v>
      </c>
      <c r="N28" s="168" t="e">
        <f t="shared" si="14"/>
        <v>#DIV/0!</v>
      </c>
    </row>
    <row r="29" spans="2:14" x14ac:dyDescent="0.2">
      <c r="B29" s="189">
        <f t="shared" si="7"/>
        <v>22</v>
      </c>
      <c r="C29" s="190">
        <v>1072.7</v>
      </c>
      <c r="D29" s="162">
        <v>5</v>
      </c>
      <c r="E29" s="163">
        <f t="shared" ref="E29" si="15">C29*D29</f>
        <v>5363.5</v>
      </c>
      <c r="F29" s="163">
        <f t="shared" ref="F29" si="16">E29</f>
        <v>5363.5</v>
      </c>
      <c r="G29" s="164">
        <v>42.314667</v>
      </c>
      <c r="H29" s="164">
        <f t="shared" ref="H29" si="17">(F29*G29)/1000</f>
        <v>226.95471645450002</v>
      </c>
      <c r="I29" s="191">
        <v>1045.8865900000001</v>
      </c>
      <c r="J29" s="165">
        <f t="shared" ref="J29" si="18">(H29*I29)/1000</f>
        <v>237.36889447701392</v>
      </c>
      <c r="K29" s="192">
        <f t="shared" ref="K29" si="19">L29-J29</f>
        <v>-237.36889447701392</v>
      </c>
      <c r="L29" s="166"/>
      <c r="M29" s="167" t="e">
        <f t="shared" ref="M29" si="20">(J29/L29)</f>
        <v>#DIV/0!</v>
      </c>
      <c r="N29" s="168" t="e">
        <f t="shared" ref="N29" si="21">K29/L29</f>
        <v>#DIV/0!</v>
      </c>
    </row>
    <row r="30" spans="2:14" x14ac:dyDescent="0.2">
      <c r="B30" s="189">
        <f t="shared" si="7"/>
        <v>23</v>
      </c>
      <c r="C30" s="190">
        <v>0</v>
      </c>
      <c r="D30" s="162">
        <v>5</v>
      </c>
      <c r="E30" s="163">
        <f t="shared" si="8"/>
        <v>0</v>
      </c>
      <c r="F30" s="163">
        <f t="shared" si="9"/>
        <v>0</v>
      </c>
      <c r="G30" s="164">
        <v>44.314667</v>
      </c>
      <c r="H30" s="164">
        <f t="shared" si="10"/>
        <v>0</v>
      </c>
      <c r="I30" s="191">
        <v>1045.5423499999999</v>
      </c>
      <c r="J30" s="165">
        <f>(H30*I30)/1000</f>
        <v>0</v>
      </c>
      <c r="K30" s="192">
        <f t="shared" si="12"/>
        <v>0</v>
      </c>
      <c r="L30" s="166"/>
      <c r="M30" s="167" t="e">
        <f t="shared" si="13"/>
        <v>#DIV/0!</v>
      </c>
      <c r="N30" s="168" t="e">
        <f t="shared" si="14"/>
        <v>#DIV/0!</v>
      </c>
    </row>
    <row r="31" spans="2:14" x14ac:dyDescent="0.2">
      <c r="B31" s="189">
        <f t="shared" si="7"/>
        <v>24</v>
      </c>
      <c r="C31" s="190">
        <v>0</v>
      </c>
      <c r="D31" s="162">
        <v>5</v>
      </c>
      <c r="E31" s="163">
        <f t="shared" si="8"/>
        <v>0</v>
      </c>
      <c r="F31" s="163">
        <f t="shared" si="9"/>
        <v>0</v>
      </c>
      <c r="G31" s="164">
        <v>45.314667</v>
      </c>
      <c r="H31" s="164">
        <f t="shared" si="10"/>
        <v>0</v>
      </c>
      <c r="I31" s="191">
        <v>1044.4246800000001</v>
      </c>
      <c r="J31" s="165">
        <f>(H31*I31)/1000</f>
        <v>0</v>
      </c>
      <c r="K31" s="192">
        <f t="shared" si="12"/>
        <v>0</v>
      </c>
      <c r="L31" s="166"/>
      <c r="M31" s="167" t="e">
        <f t="shared" si="13"/>
        <v>#DIV/0!</v>
      </c>
      <c r="N31" s="168" t="e">
        <f t="shared" si="14"/>
        <v>#DIV/0!</v>
      </c>
    </row>
    <row r="32" spans="2:14" x14ac:dyDescent="0.2">
      <c r="B32" s="189">
        <f t="shared" si="7"/>
        <v>25</v>
      </c>
      <c r="C32" s="190">
        <v>0</v>
      </c>
      <c r="D32" s="162">
        <v>5</v>
      </c>
      <c r="E32" s="163">
        <f t="shared" si="8"/>
        <v>0</v>
      </c>
      <c r="F32" s="163">
        <f t="shared" si="9"/>
        <v>0</v>
      </c>
      <c r="G32" s="164">
        <v>46.314667</v>
      </c>
      <c r="H32" s="164">
        <f t="shared" si="10"/>
        <v>0</v>
      </c>
      <c r="I32" s="191">
        <v>1043.5303899999999</v>
      </c>
      <c r="J32" s="165">
        <f>(H32*I32)/1000</f>
        <v>0</v>
      </c>
      <c r="K32" s="192">
        <f t="shared" si="12"/>
        <v>0</v>
      </c>
      <c r="L32" s="166"/>
      <c r="M32" s="167" t="e">
        <f t="shared" si="13"/>
        <v>#DIV/0!</v>
      </c>
      <c r="N32" s="168" t="e">
        <f t="shared" si="14"/>
        <v>#DIV/0!</v>
      </c>
    </row>
    <row r="33" spans="2:14" x14ac:dyDescent="0.2">
      <c r="B33" s="189">
        <f t="shared" si="7"/>
        <v>26</v>
      </c>
      <c r="C33" s="190">
        <v>0</v>
      </c>
      <c r="D33" s="162">
        <v>5</v>
      </c>
      <c r="E33" s="163">
        <f t="shared" si="8"/>
        <v>0</v>
      </c>
      <c r="F33" s="163">
        <f t="shared" si="9"/>
        <v>0</v>
      </c>
      <c r="G33" s="164">
        <v>47.314667</v>
      </c>
      <c r="H33" s="164">
        <f t="shared" si="10"/>
        <v>0</v>
      </c>
      <c r="I33" s="191">
        <v>1042.0739699999999</v>
      </c>
      <c r="J33" s="165">
        <f t="shared" si="11"/>
        <v>0</v>
      </c>
      <c r="K33" s="192">
        <f t="shared" si="12"/>
        <v>0</v>
      </c>
      <c r="L33" s="166"/>
      <c r="M33" s="167" t="e">
        <f t="shared" si="13"/>
        <v>#DIV/0!</v>
      </c>
      <c r="N33" s="168" t="e">
        <f t="shared" si="14"/>
        <v>#DIV/0!</v>
      </c>
    </row>
    <row r="34" spans="2:14" x14ac:dyDescent="0.2">
      <c r="B34" s="189">
        <f t="shared" si="7"/>
        <v>27</v>
      </c>
      <c r="C34" s="190">
        <v>0</v>
      </c>
      <c r="D34" s="162">
        <v>5</v>
      </c>
      <c r="E34" s="163">
        <f t="shared" si="8"/>
        <v>0</v>
      </c>
      <c r="F34" s="163">
        <f t="shared" si="9"/>
        <v>0</v>
      </c>
      <c r="G34" s="164">
        <v>48.314667</v>
      </c>
      <c r="H34" s="164">
        <f t="shared" si="10"/>
        <v>0</v>
      </c>
      <c r="I34" s="191">
        <v>1046.5135499999999</v>
      </c>
      <c r="J34" s="165">
        <f t="shared" si="11"/>
        <v>0</v>
      </c>
      <c r="K34" s="192">
        <f t="shared" si="12"/>
        <v>0</v>
      </c>
      <c r="L34" s="166"/>
      <c r="M34" s="167" t="e">
        <f t="shared" si="13"/>
        <v>#DIV/0!</v>
      </c>
      <c r="N34" s="168" t="e">
        <f t="shared" si="14"/>
        <v>#DIV/0!</v>
      </c>
    </row>
    <row r="35" spans="2:14" x14ac:dyDescent="0.2">
      <c r="B35" s="189">
        <f t="shared" si="7"/>
        <v>28</v>
      </c>
      <c r="C35" s="190">
        <v>0</v>
      </c>
      <c r="D35" s="162">
        <v>5</v>
      </c>
      <c r="E35" s="163">
        <f t="shared" si="8"/>
        <v>0</v>
      </c>
      <c r="F35" s="163">
        <f t="shared" si="9"/>
        <v>0</v>
      </c>
      <c r="G35" s="164">
        <v>49.314667</v>
      </c>
      <c r="H35" s="164">
        <f t="shared" si="10"/>
        <v>0</v>
      </c>
      <c r="I35" s="191">
        <v>1045.19226</v>
      </c>
      <c r="J35" s="165">
        <f t="shared" si="11"/>
        <v>0</v>
      </c>
      <c r="K35" s="192">
        <f t="shared" si="12"/>
        <v>0</v>
      </c>
      <c r="L35" s="166"/>
      <c r="M35" s="167" t="e">
        <f t="shared" si="13"/>
        <v>#DIV/0!</v>
      </c>
      <c r="N35" s="168" t="e">
        <f t="shared" si="14"/>
        <v>#DIV/0!</v>
      </c>
    </row>
    <row r="36" spans="2:14" x14ac:dyDescent="0.2">
      <c r="B36" s="189">
        <f t="shared" si="7"/>
        <v>29</v>
      </c>
      <c r="C36" s="190">
        <v>0</v>
      </c>
      <c r="D36" s="162">
        <v>5</v>
      </c>
      <c r="E36" s="163">
        <f t="shared" si="8"/>
        <v>0</v>
      </c>
      <c r="F36" s="163">
        <f t="shared" si="9"/>
        <v>0</v>
      </c>
      <c r="G36" s="164">
        <v>50.314667</v>
      </c>
      <c r="H36" s="164">
        <f t="shared" si="10"/>
        <v>0</v>
      </c>
      <c r="I36" s="191">
        <v>1038.9036799999999</v>
      </c>
      <c r="J36" s="165">
        <f t="shared" si="11"/>
        <v>0</v>
      </c>
      <c r="K36" s="192">
        <f t="shared" si="12"/>
        <v>0</v>
      </c>
      <c r="L36" s="166"/>
      <c r="M36" s="167" t="e">
        <f t="shared" si="13"/>
        <v>#DIV/0!</v>
      </c>
      <c r="N36" s="168" t="e">
        <f t="shared" si="14"/>
        <v>#DIV/0!</v>
      </c>
    </row>
    <row r="37" spans="2:14" ht="15" thickBot="1" x14ac:dyDescent="0.25">
      <c r="B37" s="189">
        <f t="shared" si="7"/>
        <v>30</v>
      </c>
      <c r="C37" s="190">
        <v>0</v>
      </c>
      <c r="D37" s="162">
        <v>5</v>
      </c>
      <c r="E37" s="163">
        <f t="shared" si="8"/>
        <v>0</v>
      </c>
      <c r="F37" s="163">
        <f t="shared" si="9"/>
        <v>0</v>
      </c>
      <c r="G37" s="164">
        <v>51.314667</v>
      </c>
      <c r="H37" s="164">
        <f t="shared" si="10"/>
        <v>0</v>
      </c>
      <c r="I37" s="191">
        <v>1044.8302000000001</v>
      </c>
      <c r="J37" s="165">
        <f t="shared" si="11"/>
        <v>0</v>
      </c>
      <c r="K37" s="192">
        <f t="shared" si="12"/>
        <v>0</v>
      </c>
      <c r="L37" s="166"/>
      <c r="M37" s="167" t="e">
        <f t="shared" si="13"/>
        <v>#DIV/0!</v>
      </c>
      <c r="N37" s="168" t="e">
        <f t="shared" si="14"/>
        <v>#DIV/0!</v>
      </c>
    </row>
    <row r="38" spans="2:14" ht="15" x14ac:dyDescent="0.25">
      <c r="B38" s="193" t="s">
        <v>159</v>
      </c>
      <c r="C38" s="170"/>
      <c r="D38" s="194"/>
      <c r="E38" s="194"/>
      <c r="F38" s="195">
        <f>AVERAGE(F8:F37)</f>
        <v>3429.7333333333331</v>
      </c>
      <c r="G38" s="195"/>
      <c r="H38" s="195">
        <f t="shared" ref="H38:N38" si="22">AVERAGE(H8:H37)</f>
        <v>127.60445723213334</v>
      </c>
      <c r="I38" s="196">
        <f t="shared" si="22"/>
        <v>1045.7739943333333</v>
      </c>
      <c r="J38" s="197">
        <f t="shared" si="22"/>
        <v>133.48925943466296</v>
      </c>
      <c r="K38" s="198">
        <f t="shared" si="22"/>
        <v>-133.48925943466296</v>
      </c>
      <c r="L38" s="199" t="e">
        <f t="shared" si="22"/>
        <v>#DIV/0!</v>
      </c>
      <c r="M38" s="200" t="e">
        <f t="shared" si="22"/>
        <v>#DIV/0!</v>
      </c>
      <c r="N38" s="200" t="e">
        <f t="shared" si="22"/>
        <v>#DIV/0!</v>
      </c>
    </row>
    <row r="39" spans="2:14" ht="15" x14ac:dyDescent="0.25">
      <c r="B39" s="201" t="s">
        <v>160</v>
      </c>
      <c r="C39" s="113">
        <f>SUM(C8:C37)</f>
        <v>20578.399999999998</v>
      </c>
      <c r="D39" s="202"/>
      <c r="E39" s="203">
        <f>SUM(E8:E37)</f>
        <v>102892</v>
      </c>
      <c r="F39" s="203">
        <f>SUM(F8:F37)</f>
        <v>102892</v>
      </c>
      <c r="G39" s="203"/>
      <c r="H39" s="203">
        <f>SUM(H8:H37)</f>
        <v>3828.1337169640001</v>
      </c>
      <c r="I39" s="204"/>
      <c r="J39" s="205">
        <f>SUM(J8:J37)</f>
        <v>4004.6777830398883</v>
      </c>
      <c r="K39" s="206"/>
      <c r="L39" s="207"/>
      <c r="M39" s="208"/>
      <c r="N39" s="208"/>
    </row>
    <row r="40" spans="2:14" ht="15" x14ac:dyDescent="0.25">
      <c r="B40" s="209" t="s">
        <v>161</v>
      </c>
      <c r="C40" s="171"/>
      <c r="D40" s="210"/>
      <c r="E40" s="210"/>
      <c r="F40" s="211"/>
      <c r="G40" s="211"/>
      <c r="H40" s="211"/>
      <c r="I40" s="212"/>
      <c r="J40" s="208"/>
      <c r="K40" s="206"/>
      <c r="L40" s="213"/>
      <c r="M40" s="208"/>
      <c r="N40" s="208"/>
    </row>
    <row r="41" spans="2:14" ht="30.75" customHeight="1" thickBot="1" x14ac:dyDescent="0.25">
      <c r="B41" s="214" t="s">
        <v>162</v>
      </c>
      <c r="C41" s="172"/>
      <c r="D41" s="215"/>
      <c r="E41" s="215"/>
      <c r="F41" s="216"/>
      <c r="G41" s="216"/>
      <c r="H41" s="217">
        <f>H39+H40</f>
        <v>3828.1337169640001</v>
      </c>
      <c r="I41" s="218"/>
      <c r="J41" s="219">
        <f>J39+J40</f>
        <v>4004.6777830398883</v>
      </c>
      <c r="K41" s="220"/>
      <c r="L41" s="221"/>
      <c r="M41" s="222"/>
      <c r="N41" s="222"/>
    </row>
    <row r="42" spans="2:14" s="176" customFormat="1" x14ac:dyDescent="0.2">
      <c r="C42" s="153"/>
    </row>
    <row r="43" spans="2:14" s="176" customFormat="1" x14ac:dyDescent="0.2">
      <c r="C43" s="153" t="s">
        <v>163</v>
      </c>
      <c r="F43" s="223"/>
    </row>
    <row r="44" spans="2:14" s="176" customFormat="1" x14ac:dyDescent="0.2">
      <c r="C44" s="153">
        <f>C39</f>
        <v>20578.399999999998</v>
      </c>
      <c r="D44" s="176" t="s">
        <v>125</v>
      </c>
      <c r="F44" s="153">
        <f>C39*5</f>
        <v>102891.99999999999</v>
      </c>
      <c r="G44" s="176">
        <v>9983.7000000000007</v>
      </c>
    </row>
    <row r="45" spans="2:14" s="176" customFormat="1" ht="15" x14ac:dyDescent="0.25">
      <c r="C45" s="153">
        <v>5</v>
      </c>
      <c r="D45" s="176" t="s">
        <v>164</v>
      </c>
      <c r="F45" s="153">
        <v>21286.9</v>
      </c>
      <c r="G45" s="223">
        <f>G44-C39</f>
        <v>-10594.699999999997</v>
      </c>
      <c r="H45" s="224"/>
      <c r="L45" s="224"/>
    </row>
    <row r="46" spans="2:14" s="176" customFormat="1" x14ac:dyDescent="0.2">
      <c r="C46" s="153">
        <f>C44*C45</f>
        <v>102891.99999999999</v>
      </c>
      <c r="D46" s="176" t="s">
        <v>165</v>
      </c>
      <c r="F46" s="153">
        <f>F44/F45</f>
        <v>4.8335830957067483</v>
      </c>
      <c r="G46" s="223"/>
      <c r="H46" s="144"/>
      <c r="J46" s="144"/>
      <c r="L46" s="225"/>
    </row>
    <row r="47" spans="2:14" s="176" customFormat="1" x14ac:dyDescent="0.2">
      <c r="C47" s="153">
        <f>G37</f>
        <v>51.314667</v>
      </c>
      <c r="D47" s="176" t="s">
        <v>166</v>
      </c>
      <c r="H47" s="226"/>
      <c r="J47" s="153"/>
      <c r="L47" s="225"/>
    </row>
    <row r="48" spans="2:14" s="176" customFormat="1" ht="15" x14ac:dyDescent="0.25">
      <c r="C48" s="153">
        <f>(C46*C47)/1000</f>
        <v>5279.8687169639988</v>
      </c>
      <c r="D48" s="176" t="s">
        <v>167</v>
      </c>
      <c r="H48" s="174"/>
      <c r="J48" s="144"/>
      <c r="L48" s="153"/>
    </row>
    <row r="49" spans="3:10" s="176" customFormat="1" x14ac:dyDescent="0.2">
      <c r="C49" s="153">
        <f>I38</f>
        <v>1045.7739943333333</v>
      </c>
      <c r="D49" s="176" t="s">
        <v>168</v>
      </c>
      <c r="H49" s="153"/>
      <c r="J49" s="227"/>
    </row>
    <row r="50" spans="3:10" s="176" customFormat="1" ht="15" x14ac:dyDescent="0.25">
      <c r="C50" s="174">
        <f>(C48*C49)/1000</f>
        <v>5521.5493976950538</v>
      </c>
      <c r="D50" s="176" t="s">
        <v>169</v>
      </c>
      <c r="H50" s="228"/>
      <c r="I50" s="224"/>
    </row>
    <row r="51" spans="3:10" s="176" customFormat="1" x14ac:dyDescent="0.2">
      <c r="C51" s="153"/>
    </row>
    <row r="52" spans="3:10" s="176" customFormat="1" x14ac:dyDescent="0.2">
      <c r="C52" s="153"/>
    </row>
    <row r="53" spans="3:10" s="176" customFormat="1" x14ac:dyDescent="0.2">
      <c r="C53" s="153"/>
    </row>
    <row r="54" spans="3:10" s="176" customFormat="1" x14ac:dyDescent="0.2">
      <c r="C54" s="153"/>
    </row>
    <row r="55" spans="3:10" s="176" customFormat="1" x14ac:dyDescent="0.2">
      <c r="C55" s="153"/>
    </row>
    <row r="56" spans="3:10" s="176" customFormat="1" x14ac:dyDescent="0.2">
      <c r="C56" s="153"/>
    </row>
    <row r="57" spans="3:10" s="176" customFormat="1" x14ac:dyDescent="0.2">
      <c r="C57" s="153"/>
    </row>
    <row r="58" spans="3:10" s="176" customFormat="1" x14ac:dyDescent="0.2">
      <c r="C58" s="153"/>
    </row>
    <row r="59" spans="3:10" s="176" customFormat="1" x14ac:dyDescent="0.2">
      <c r="C59" s="153"/>
      <c r="F59" s="144"/>
    </row>
    <row r="60" spans="3:10" s="176" customFormat="1" x14ac:dyDescent="0.2">
      <c r="C60" s="153"/>
      <c r="F60" s="144"/>
    </row>
    <row r="61" spans="3:10" s="176" customFormat="1" x14ac:dyDescent="0.2">
      <c r="C61" s="153"/>
      <c r="F61" s="144"/>
    </row>
    <row r="62" spans="3:10" s="176" customFormat="1" x14ac:dyDescent="0.2">
      <c r="C62" s="153"/>
      <c r="F62" s="144"/>
    </row>
    <row r="63" spans="3:10" s="176" customFormat="1" x14ac:dyDescent="0.2">
      <c r="C63" s="153"/>
    </row>
    <row r="64" spans="3:10" s="176" customFormat="1" x14ac:dyDescent="0.2">
      <c r="C64" s="153"/>
    </row>
    <row r="65" spans="3:3" s="176" customFormat="1" x14ac:dyDescent="0.2">
      <c r="C65" s="153"/>
    </row>
    <row r="66" spans="3:3" s="176" customFormat="1" x14ac:dyDescent="0.2">
      <c r="C66" s="153"/>
    </row>
    <row r="67" spans="3:3" s="176" customFormat="1" x14ac:dyDescent="0.2">
      <c r="C67" s="153"/>
    </row>
    <row r="68" spans="3:3" s="176" customFormat="1" x14ac:dyDescent="0.2">
      <c r="C68" s="153"/>
    </row>
    <row r="69" spans="3:3" s="176" customFormat="1" x14ac:dyDescent="0.2">
      <c r="C69" s="153"/>
    </row>
    <row r="70" spans="3:3" s="176" customFormat="1" x14ac:dyDescent="0.2">
      <c r="C70" s="153"/>
    </row>
    <row r="71" spans="3:3" s="176" customFormat="1" x14ac:dyDescent="0.2">
      <c r="C71" s="153"/>
    </row>
    <row r="72" spans="3:3" s="176" customFormat="1" x14ac:dyDescent="0.2">
      <c r="C72" s="153"/>
    </row>
    <row r="73" spans="3:3" s="176" customFormat="1" x14ac:dyDescent="0.2">
      <c r="C73" s="153"/>
    </row>
    <row r="74" spans="3:3" s="176" customFormat="1" x14ac:dyDescent="0.2">
      <c r="C74" s="153"/>
    </row>
    <row r="75" spans="3:3" s="176" customFormat="1" x14ac:dyDescent="0.2">
      <c r="C75" s="153"/>
    </row>
    <row r="76" spans="3:3" s="176" customFormat="1" x14ac:dyDescent="0.2">
      <c r="C76" s="153"/>
    </row>
    <row r="77" spans="3:3" s="176" customFormat="1" x14ac:dyDescent="0.2">
      <c r="C77" s="153"/>
    </row>
    <row r="78" spans="3:3" s="176" customFormat="1" x14ac:dyDescent="0.2">
      <c r="C78" s="153"/>
    </row>
    <row r="79" spans="3:3" s="176" customFormat="1" x14ac:dyDescent="0.2">
      <c r="C79" s="153"/>
    </row>
    <row r="80" spans="3:3" s="176" customFormat="1" x14ac:dyDescent="0.2">
      <c r="C80" s="153"/>
    </row>
    <row r="81" spans="3:3" s="176" customFormat="1" x14ac:dyDescent="0.2">
      <c r="C81" s="153"/>
    </row>
    <row r="82" spans="3:3" s="176" customFormat="1" x14ac:dyDescent="0.2">
      <c r="C82" s="153"/>
    </row>
    <row r="83" spans="3:3" s="176" customFormat="1" x14ac:dyDescent="0.2">
      <c r="C83" s="153"/>
    </row>
    <row r="84" spans="3:3" s="176" customFormat="1" x14ac:dyDescent="0.2">
      <c r="C84" s="153"/>
    </row>
    <row r="85" spans="3:3" s="176" customFormat="1" x14ac:dyDescent="0.2">
      <c r="C85" s="153"/>
    </row>
    <row r="86" spans="3:3" s="176" customFormat="1" x14ac:dyDescent="0.2">
      <c r="C86" s="153"/>
    </row>
    <row r="87" spans="3:3" s="176" customFormat="1" x14ac:dyDescent="0.2">
      <c r="C87" s="153"/>
    </row>
    <row r="88" spans="3:3" s="176" customFormat="1" x14ac:dyDescent="0.2">
      <c r="C88" s="153"/>
    </row>
    <row r="89" spans="3:3" s="176" customFormat="1" x14ac:dyDescent="0.2">
      <c r="C89" s="153"/>
    </row>
    <row r="90" spans="3:3" s="176" customFormat="1" x14ac:dyDescent="0.2">
      <c r="C90" s="153"/>
    </row>
    <row r="91" spans="3:3" s="176" customFormat="1" x14ac:dyDescent="0.2">
      <c r="C91" s="153"/>
    </row>
    <row r="92" spans="3:3" s="176" customFormat="1" x14ac:dyDescent="0.2">
      <c r="C92" s="153"/>
    </row>
    <row r="93" spans="3:3" s="176" customFormat="1" x14ac:dyDescent="0.2">
      <c r="C93" s="153"/>
    </row>
    <row r="94" spans="3:3" s="176" customFormat="1" x14ac:dyDescent="0.2">
      <c r="C94" s="153"/>
    </row>
    <row r="95" spans="3:3" s="176" customFormat="1" x14ac:dyDescent="0.2">
      <c r="C95" s="153"/>
    </row>
    <row r="96" spans="3:3" s="176" customFormat="1" x14ac:dyDescent="0.2">
      <c r="C96" s="153"/>
    </row>
    <row r="97" spans="3:3" s="176" customFormat="1" x14ac:dyDescent="0.2">
      <c r="C97" s="153"/>
    </row>
    <row r="98" spans="3:3" s="176" customFormat="1" x14ac:dyDescent="0.2">
      <c r="C98" s="153"/>
    </row>
    <row r="99" spans="3:3" s="176" customFormat="1" x14ac:dyDescent="0.2">
      <c r="C99" s="153"/>
    </row>
    <row r="100" spans="3:3" s="176" customFormat="1" x14ac:dyDescent="0.2">
      <c r="C100" s="153"/>
    </row>
    <row r="101" spans="3:3" s="176" customFormat="1" x14ac:dyDescent="0.2">
      <c r="C101" s="153"/>
    </row>
    <row r="102" spans="3:3" s="176" customFormat="1" x14ac:dyDescent="0.2">
      <c r="C102" s="153"/>
    </row>
    <row r="103" spans="3:3" s="176" customFormat="1" x14ac:dyDescent="0.2">
      <c r="C103" s="153"/>
    </row>
    <row r="104" spans="3:3" s="176" customFormat="1" x14ac:dyDescent="0.2">
      <c r="C104" s="153"/>
    </row>
    <row r="105" spans="3:3" s="176" customFormat="1" x14ac:dyDescent="0.2">
      <c r="C105" s="153"/>
    </row>
    <row r="106" spans="3:3" s="176" customFormat="1" x14ac:dyDescent="0.2">
      <c r="C106" s="153"/>
    </row>
    <row r="107" spans="3:3" s="176" customFormat="1" x14ac:dyDescent="0.2">
      <c r="C107" s="153"/>
    </row>
    <row r="108" spans="3:3" s="176" customFormat="1" x14ac:dyDescent="0.2">
      <c r="C108" s="153"/>
    </row>
    <row r="109" spans="3:3" s="176" customFormat="1" x14ac:dyDescent="0.2">
      <c r="C109" s="153"/>
    </row>
    <row r="110" spans="3:3" s="176" customFormat="1" x14ac:dyDescent="0.2">
      <c r="C110" s="153"/>
    </row>
    <row r="111" spans="3:3" s="176" customFormat="1" x14ac:dyDescent="0.2">
      <c r="C111" s="153"/>
    </row>
    <row r="112" spans="3:3" s="176" customFormat="1" x14ac:dyDescent="0.2">
      <c r="C112" s="153"/>
    </row>
    <row r="113" spans="3:3" s="176" customFormat="1" x14ac:dyDescent="0.2">
      <c r="C113" s="153"/>
    </row>
    <row r="114" spans="3:3" s="176" customFormat="1" x14ac:dyDescent="0.2">
      <c r="C114" s="153"/>
    </row>
    <row r="115" spans="3:3" s="176" customFormat="1" x14ac:dyDescent="0.2">
      <c r="C115" s="153"/>
    </row>
    <row r="116" spans="3:3" s="176" customFormat="1" x14ac:dyDescent="0.2">
      <c r="C116" s="153"/>
    </row>
    <row r="117" spans="3:3" s="176" customFormat="1" x14ac:dyDescent="0.2">
      <c r="C117" s="153"/>
    </row>
    <row r="118" spans="3:3" s="176" customFormat="1" x14ac:dyDescent="0.2">
      <c r="C118" s="153"/>
    </row>
    <row r="119" spans="3:3" s="176" customFormat="1" x14ac:dyDescent="0.2">
      <c r="C119" s="153"/>
    </row>
    <row r="120" spans="3:3" s="176" customFormat="1" x14ac:dyDescent="0.2">
      <c r="C120" s="153"/>
    </row>
    <row r="121" spans="3:3" s="176" customFormat="1" x14ac:dyDescent="0.2">
      <c r="C121" s="153"/>
    </row>
    <row r="122" spans="3:3" s="176" customFormat="1" x14ac:dyDescent="0.2">
      <c r="C122" s="153"/>
    </row>
    <row r="123" spans="3:3" s="176" customFormat="1" x14ac:dyDescent="0.2">
      <c r="C123" s="153"/>
    </row>
    <row r="124" spans="3:3" s="176" customFormat="1" x14ac:dyDescent="0.2">
      <c r="C124" s="153"/>
    </row>
    <row r="125" spans="3:3" s="176" customFormat="1" x14ac:dyDescent="0.2">
      <c r="C125" s="153"/>
    </row>
    <row r="126" spans="3:3" s="176" customFormat="1" x14ac:dyDescent="0.2">
      <c r="C126" s="153"/>
    </row>
    <row r="127" spans="3:3" s="176" customFormat="1" x14ac:dyDescent="0.2">
      <c r="C127" s="153"/>
    </row>
    <row r="128" spans="3:3" s="176" customFormat="1" x14ac:dyDescent="0.2">
      <c r="C128" s="153"/>
    </row>
    <row r="129" spans="3:3" s="176" customFormat="1" x14ac:dyDescent="0.2">
      <c r="C129" s="153"/>
    </row>
    <row r="130" spans="3:3" s="176" customFormat="1" x14ac:dyDescent="0.2">
      <c r="C130" s="153"/>
    </row>
    <row r="131" spans="3:3" s="176" customFormat="1" x14ac:dyDescent="0.2">
      <c r="C131" s="153"/>
    </row>
    <row r="132" spans="3:3" s="176" customFormat="1" x14ac:dyDescent="0.2">
      <c r="C132" s="153"/>
    </row>
    <row r="133" spans="3:3" s="176" customFormat="1" x14ac:dyDescent="0.2">
      <c r="C133" s="153"/>
    </row>
    <row r="134" spans="3:3" s="176" customFormat="1" x14ac:dyDescent="0.2">
      <c r="C134" s="153"/>
    </row>
    <row r="135" spans="3:3" s="176" customFormat="1" x14ac:dyDescent="0.2">
      <c r="C135" s="153"/>
    </row>
    <row r="136" spans="3:3" s="176" customFormat="1" x14ac:dyDescent="0.2">
      <c r="C136" s="153"/>
    </row>
    <row r="137" spans="3:3" s="176" customFormat="1" x14ac:dyDescent="0.2">
      <c r="C137" s="153"/>
    </row>
    <row r="138" spans="3:3" s="176" customFormat="1" x14ac:dyDescent="0.2">
      <c r="C138" s="153"/>
    </row>
    <row r="139" spans="3:3" s="176" customFormat="1" x14ac:dyDescent="0.2">
      <c r="C139" s="153"/>
    </row>
    <row r="140" spans="3:3" s="176" customFormat="1" x14ac:dyDescent="0.2">
      <c r="C140" s="153"/>
    </row>
    <row r="141" spans="3:3" s="176" customFormat="1" x14ac:dyDescent="0.2">
      <c r="C141" s="153"/>
    </row>
    <row r="142" spans="3:3" s="176" customFormat="1" x14ac:dyDescent="0.2">
      <c r="C142" s="153"/>
    </row>
    <row r="143" spans="3:3" s="176" customFormat="1" x14ac:dyDescent="0.2">
      <c r="C143" s="153"/>
    </row>
    <row r="144" spans="3:3" s="176" customFormat="1" x14ac:dyDescent="0.2">
      <c r="C144" s="153"/>
    </row>
    <row r="145" spans="3:3" s="176" customFormat="1" x14ac:dyDescent="0.2">
      <c r="C145" s="153"/>
    </row>
    <row r="146" spans="3:3" s="176" customFormat="1" x14ac:dyDescent="0.2">
      <c r="C146" s="153"/>
    </row>
    <row r="147" spans="3:3" s="176" customFormat="1" x14ac:dyDescent="0.2">
      <c r="C147" s="153"/>
    </row>
    <row r="148" spans="3:3" s="176" customFormat="1" x14ac:dyDescent="0.2">
      <c r="C148" s="153"/>
    </row>
    <row r="149" spans="3:3" s="176" customFormat="1" x14ac:dyDescent="0.2">
      <c r="C149" s="153"/>
    </row>
    <row r="150" spans="3:3" s="176" customFormat="1" x14ac:dyDescent="0.2">
      <c r="C150" s="153"/>
    </row>
    <row r="151" spans="3:3" s="176" customFormat="1" x14ac:dyDescent="0.2">
      <c r="C151" s="153"/>
    </row>
    <row r="152" spans="3:3" s="176" customFormat="1" x14ac:dyDescent="0.2">
      <c r="C152" s="153"/>
    </row>
    <row r="153" spans="3:3" s="176" customFormat="1" x14ac:dyDescent="0.2">
      <c r="C153" s="153"/>
    </row>
    <row r="154" spans="3:3" s="176" customFormat="1" x14ac:dyDescent="0.2">
      <c r="C154" s="153"/>
    </row>
    <row r="155" spans="3:3" s="176" customFormat="1" x14ac:dyDescent="0.2">
      <c r="C155" s="153"/>
    </row>
    <row r="156" spans="3:3" s="176" customFormat="1" x14ac:dyDescent="0.2">
      <c r="C156" s="153"/>
    </row>
    <row r="157" spans="3:3" s="176" customFormat="1" x14ac:dyDescent="0.2">
      <c r="C157" s="153"/>
    </row>
    <row r="158" spans="3:3" s="176" customFormat="1" x14ac:dyDescent="0.2">
      <c r="C158" s="153"/>
    </row>
    <row r="159" spans="3:3" s="176" customFormat="1" x14ac:dyDescent="0.2">
      <c r="C159" s="153"/>
    </row>
    <row r="160" spans="3:3" s="176" customFormat="1" x14ac:dyDescent="0.2">
      <c r="C160" s="153"/>
    </row>
    <row r="161" spans="3:3" s="176" customFormat="1" x14ac:dyDescent="0.2">
      <c r="C161" s="153"/>
    </row>
    <row r="162" spans="3:3" s="176" customFormat="1" x14ac:dyDescent="0.2">
      <c r="C162" s="153"/>
    </row>
    <row r="163" spans="3:3" s="176" customFormat="1" x14ac:dyDescent="0.2">
      <c r="C163" s="153"/>
    </row>
    <row r="164" spans="3:3" s="176" customFormat="1" x14ac:dyDescent="0.2">
      <c r="C164" s="153"/>
    </row>
    <row r="165" spans="3:3" s="176" customFormat="1" x14ac:dyDescent="0.2">
      <c r="C165" s="153"/>
    </row>
    <row r="166" spans="3:3" s="176" customFormat="1" x14ac:dyDescent="0.2">
      <c r="C166" s="153"/>
    </row>
    <row r="167" spans="3:3" s="176" customFormat="1" x14ac:dyDescent="0.2">
      <c r="C167" s="153"/>
    </row>
    <row r="168" spans="3:3" s="176" customFormat="1" x14ac:dyDescent="0.2">
      <c r="C168" s="153"/>
    </row>
    <row r="169" spans="3:3" s="176" customFormat="1" x14ac:dyDescent="0.2">
      <c r="C169" s="153"/>
    </row>
    <row r="170" spans="3:3" s="176" customFormat="1" x14ac:dyDescent="0.2">
      <c r="C170" s="153"/>
    </row>
    <row r="171" spans="3:3" s="176" customFormat="1" x14ac:dyDescent="0.2">
      <c r="C171" s="153"/>
    </row>
    <row r="172" spans="3:3" s="176" customFormat="1" x14ac:dyDescent="0.2">
      <c r="C172" s="153"/>
    </row>
    <row r="173" spans="3:3" s="176" customFormat="1" x14ac:dyDescent="0.2">
      <c r="C173" s="153"/>
    </row>
    <row r="174" spans="3:3" s="176" customFormat="1" x14ac:dyDescent="0.2">
      <c r="C174" s="153"/>
    </row>
    <row r="175" spans="3:3" s="176" customFormat="1" x14ac:dyDescent="0.2">
      <c r="C175" s="153"/>
    </row>
    <row r="176" spans="3:3" s="176" customFormat="1" x14ac:dyDescent="0.2">
      <c r="C176" s="153"/>
    </row>
    <row r="177" spans="3:3" s="176" customFormat="1" x14ac:dyDescent="0.2">
      <c r="C177" s="153"/>
    </row>
    <row r="178" spans="3:3" s="176" customFormat="1" x14ac:dyDescent="0.2">
      <c r="C178" s="153"/>
    </row>
    <row r="179" spans="3:3" s="176" customFormat="1" x14ac:dyDescent="0.2">
      <c r="C179" s="153"/>
    </row>
    <row r="180" spans="3:3" s="176" customFormat="1" x14ac:dyDescent="0.2">
      <c r="C180" s="153"/>
    </row>
    <row r="181" spans="3:3" s="176" customFormat="1" x14ac:dyDescent="0.2">
      <c r="C181" s="153"/>
    </row>
    <row r="182" spans="3:3" s="176" customFormat="1" x14ac:dyDescent="0.2">
      <c r="C182" s="153"/>
    </row>
    <row r="183" spans="3:3" s="176" customFormat="1" x14ac:dyDescent="0.2">
      <c r="C183" s="153"/>
    </row>
    <row r="184" spans="3:3" s="176" customFormat="1" x14ac:dyDescent="0.2">
      <c r="C184" s="153"/>
    </row>
    <row r="185" spans="3:3" s="176" customFormat="1" x14ac:dyDescent="0.2">
      <c r="C185" s="153"/>
    </row>
    <row r="186" spans="3:3" s="176" customFormat="1" x14ac:dyDescent="0.2">
      <c r="C186" s="153"/>
    </row>
    <row r="187" spans="3:3" s="176" customFormat="1" x14ac:dyDescent="0.2">
      <c r="C187" s="153"/>
    </row>
    <row r="188" spans="3:3" s="176" customFormat="1" x14ac:dyDescent="0.2">
      <c r="C188" s="153"/>
    </row>
    <row r="189" spans="3:3" s="176" customFormat="1" x14ac:dyDescent="0.2">
      <c r="C189" s="153"/>
    </row>
    <row r="190" spans="3:3" s="176" customFormat="1" x14ac:dyDescent="0.2">
      <c r="C190" s="153"/>
    </row>
    <row r="191" spans="3:3" s="176" customFormat="1" x14ac:dyDescent="0.2">
      <c r="C191" s="153"/>
    </row>
    <row r="192" spans="3:3" s="176" customFormat="1" x14ac:dyDescent="0.2">
      <c r="C192" s="153"/>
    </row>
    <row r="193" spans="3:3" s="176" customFormat="1" x14ac:dyDescent="0.2">
      <c r="C193" s="153"/>
    </row>
    <row r="194" spans="3:3" s="176" customFormat="1" x14ac:dyDescent="0.2">
      <c r="C194" s="153"/>
    </row>
    <row r="195" spans="3:3" s="176" customFormat="1" x14ac:dyDescent="0.2">
      <c r="C195" s="153"/>
    </row>
    <row r="196" spans="3:3" s="176" customFormat="1" x14ac:dyDescent="0.2">
      <c r="C196" s="153"/>
    </row>
    <row r="197" spans="3:3" s="176" customFormat="1" x14ac:dyDescent="0.2">
      <c r="C197" s="153"/>
    </row>
    <row r="198" spans="3:3" s="176" customFormat="1" x14ac:dyDescent="0.2">
      <c r="C198" s="153"/>
    </row>
    <row r="199" spans="3:3" s="176" customFormat="1" x14ac:dyDescent="0.2">
      <c r="C199" s="153"/>
    </row>
    <row r="200" spans="3:3" s="176" customFormat="1" x14ac:dyDescent="0.2">
      <c r="C200" s="153"/>
    </row>
    <row r="201" spans="3:3" s="176" customFormat="1" x14ac:dyDescent="0.2">
      <c r="C201" s="153"/>
    </row>
    <row r="202" spans="3:3" s="176" customFormat="1" x14ac:dyDescent="0.2">
      <c r="C202" s="153"/>
    </row>
    <row r="203" spans="3:3" s="176" customFormat="1" x14ac:dyDescent="0.2">
      <c r="C203" s="153"/>
    </row>
    <row r="204" spans="3:3" s="176" customFormat="1" x14ac:dyDescent="0.2">
      <c r="C204" s="153"/>
    </row>
    <row r="205" spans="3:3" s="176" customFormat="1" x14ac:dyDescent="0.2">
      <c r="C205" s="153"/>
    </row>
    <row r="206" spans="3:3" s="176" customFormat="1" x14ac:dyDescent="0.2">
      <c r="C206" s="153"/>
    </row>
    <row r="207" spans="3:3" s="176" customFormat="1" x14ac:dyDescent="0.2">
      <c r="C207" s="153"/>
    </row>
    <row r="208" spans="3:3" s="176" customFormat="1" x14ac:dyDescent="0.2">
      <c r="C208" s="153"/>
    </row>
    <row r="209" spans="3:3" s="176" customFormat="1" x14ac:dyDescent="0.2">
      <c r="C209" s="153"/>
    </row>
    <row r="210" spans="3:3" s="176" customFormat="1" x14ac:dyDescent="0.2">
      <c r="C210" s="153"/>
    </row>
    <row r="211" spans="3:3" s="176" customFormat="1" x14ac:dyDescent="0.2">
      <c r="C211" s="153"/>
    </row>
    <row r="212" spans="3:3" s="176" customFormat="1" x14ac:dyDescent="0.2">
      <c r="C212" s="153"/>
    </row>
    <row r="213" spans="3:3" s="176" customFormat="1" x14ac:dyDescent="0.2">
      <c r="C213" s="153"/>
    </row>
    <row r="214" spans="3:3" s="176" customFormat="1" x14ac:dyDescent="0.2">
      <c r="C214" s="153"/>
    </row>
    <row r="215" spans="3:3" s="176" customFormat="1" x14ac:dyDescent="0.2">
      <c r="C215" s="153"/>
    </row>
    <row r="216" spans="3:3" s="176" customFormat="1" x14ac:dyDescent="0.2">
      <c r="C216" s="153"/>
    </row>
    <row r="217" spans="3:3" s="176" customFormat="1" x14ac:dyDescent="0.2">
      <c r="C217" s="153"/>
    </row>
    <row r="218" spans="3:3" s="176" customFormat="1" x14ac:dyDescent="0.2">
      <c r="C218" s="153"/>
    </row>
    <row r="219" spans="3:3" s="176" customFormat="1" x14ac:dyDescent="0.2">
      <c r="C219" s="153"/>
    </row>
    <row r="220" spans="3:3" s="176" customFormat="1" x14ac:dyDescent="0.2">
      <c r="C220" s="153"/>
    </row>
    <row r="221" spans="3:3" s="176" customFormat="1" x14ac:dyDescent="0.2">
      <c r="C221" s="153"/>
    </row>
    <row r="222" spans="3:3" s="176" customFormat="1" x14ac:dyDescent="0.2">
      <c r="C222" s="153"/>
    </row>
    <row r="223" spans="3:3" s="176" customFormat="1" x14ac:dyDescent="0.2">
      <c r="C223" s="153"/>
    </row>
    <row r="224" spans="3:3" s="176" customFormat="1" x14ac:dyDescent="0.2">
      <c r="C224" s="153"/>
    </row>
    <row r="225" spans="3:3" s="176" customFormat="1" x14ac:dyDescent="0.2">
      <c r="C225" s="153"/>
    </row>
    <row r="226" spans="3:3" s="176" customFormat="1" x14ac:dyDescent="0.2">
      <c r="C226" s="153"/>
    </row>
    <row r="227" spans="3:3" s="176" customFormat="1" x14ac:dyDescent="0.2">
      <c r="C227" s="153"/>
    </row>
    <row r="228" spans="3:3" s="176" customFormat="1" x14ac:dyDescent="0.2">
      <c r="C228" s="153"/>
    </row>
    <row r="229" spans="3:3" s="176" customFormat="1" x14ac:dyDescent="0.2">
      <c r="C229" s="153"/>
    </row>
    <row r="230" spans="3:3" s="176" customFormat="1" x14ac:dyDescent="0.2">
      <c r="C230" s="153"/>
    </row>
    <row r="231" spans="3:3" s="176" customFormat="1" x14ac:dyDescent="0.2">
      <c r="C231" s="153"/>
    </row>
    <row r="232" spans="3:3" s="176" customFormat="1" x14ac:dyDescent="0.2">
      <c r="C232" s="153"/>
    </row>
    <row r="233" spans="3:3" s="176" customFormat="1" x14ac:dyDescent="0.2">
      <c r="C233" s="153"/>
    </row>
    <row r="234" spans="3:3" s="176" customFormat="1" x14ac:dyDescent="0.2">
      <c r="C234" s="153"/>
    </row>
    <row r="235" spans="3:3" s="176" customFormat="1" x14ac:dyDescent="0.2">
      <c r="C235" s="153"/>
    </row>
    <row r="236" spans="3:3" s="176" customFormat="1" x14ac:dyDescent="0.2">
      <c r="C236" s="153"/>
    </row>
    <row r="237" spans="3:3" s="176" customFormat="1" x14ac:dyDescent="0.2">
      <c r="C237" s="153"/>
    </row>
    <row r="238" spans="3:3" s="176" customFormat="1" x14ac:dyDescent="0.2">
      <c r="C238" s="153"/>
    </row>
    <row r="239" spans="3:3" s="176" customFormat="1" x14ac:dyDescent="0.2">
      <c r="C239" s="153"/>
    </row>
    <row r="240" spans="3:3" s="176" customFormat="1" x14ac:dyDescent="0.2">
      <c r="C240" s="153"/>
    </row>
    <row r="241" spans="3:3" s="176" customFormat="1" x14ac:dyDescent="0.2">
      <c r="C241" s="153"/>
    </row>
    <row r="242" spans="3:3" s="176" customFormat="1" x14ac:dyDescent="0.2">
      <c r="C242" s="153"/>
    </row>
    <row r="243" spans="3:3" s="176" customFormat="1" x14ac:dyDescent="0.2">
      <c r="C243" s="153"/>
    </row>
    <row r="244" spans="3:3" s="176" customFormat="1" x14ac:dyDescent="0.2">
      <c r="C244" s="153"/>
    </row>
    <row r="245" spans="3:3" s="176" customFormat="1" x14ac:dyDescent="0.2">
      <c r="C245" s="153"/>
    </row>
    <row r="246" spans="3:3" s="176" customFormat="1" x14ac:dyDescent="0.2">
      <c r="C246" s="153"/>
    </row>
    <row r="247" spans="3:3" s="176" customFormat="1" x14ac:dyDescent="0.2">
      <c r="C247" s="153"/>
    </row>
    <row r="248" spans="3:3" s="176" customFormat="1" x14ac:dyDescent="0.2">
      <c r="C248" s="153"/>
    </row>
    <row r="249" spans="3:3" s="176" customFormat="1" x14ac:dyDescent="0.2">
      <c r="C249" s="153"/>
    </row>
    <row r="250" spans="3:3" s="176" customFormat="1" x14ac:dyDescent="0.2">
      <c r="C250" s="153"/>
    </row>
    <row r="251" spans="3:3" s="176" customFormat="1" x14ac:dyDescent="0.2">
      <c r="C251" s="153"/>
    </row>
    <row r="252" spans="3:3" s="176" customFormat="1" x14ac:dyDescent="0.2">
      <c r="C252" s="153"/>
    </row>
    <row r="253" spans="3:3" s="176" customFormat="1" x14ac:dyDescent="0.2">
      <c r="C253" s="153"/>
    </row>
    <row r="254" spans="3:3" s="176" customFormat="1" x14ac:dyDescent="0.2">
      <c r="C254" s="153"/>
    </row>
    <row r="255" spans="3:3" s="176" customFormat="1" x14ac:dyDescent="0.2">
      <c r="C255" s="153"/>
    </row>
    <row r="256" spans="3:3" s="176" customFormat="1" x14ac:dyDescent="0.2">
      <c r="C256" s="153"/>
    </row>
    <row r="257" spans="3:3" s="176" customFormat="1" x14ac:dyDescent="0.2">
      <c r="C257" s="153"/>
    </row>
    <row r="258" spans="3:3" s="176" customFormat="1" x14ac:dyDescent="0.2">
      <c r="C258" s="153"/>
    </row>
    <row r="259" spans="3:3" s="176" customFormat="1" x14ac:dyDescent="0.2">
      <c r="C259" s="153"/>
    </row>
    <row r="260" spans="3:3" s="176" customFormat="1" x14ac:dyDescent="0.2">
      <c r="C260" s="153"/>
    </row>
    <row r="261" spans="3:3" s="176" customFormat="1" x14ac:dyDescent="0.2">
      <c r="C261" s="153"/>
    </row>
    <row r="262" spans="3:3" s="176" customFormat="1" x14ac:dyDescent="0.2">
      <c r="C262" s="153"/>
    </row>
    <row r="263" spans="3:3" s="176" customFormat="1" x14ac:dyDescent="0.2">
      <c r="C263" s="153"/>
    </row>
    <row r="264" spans="3:3" s="176" customFormat="1" x14ac:dyDescent="0.2">
      <c r="C264" s="153"/>
    </row>
    <row r="265" spans="3:3" s="176" customFormat="1" x14ac:dyDescent="0.2">
      <c r="C265" s="153"/>
    </row>
    <row r="266" spans="3:3" s="176" customFormat="1" x14ac:dyDescent="0.2">
      <c r="C266" s="153"/>
    </row>
    <row r="267" spans="3:3" s="176" customFormat="1" x14ac:dyDescent="0.2">
      <c r="C267" s="153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2193-B474-4F44-B5CF-B68E824798F6}">
  <dimension ref="B2:S38"/>
  <sheetViews>
    <sheetView topLeftCell="A4" workbookViewId="0">
      <selection activeCell="J28" sqref="J28"/>
    </sheetView>
  </sheetViews>
  <sheetFormatPr defaultRowHeight="15" x14ac:dyDescent="0.25"/>
  <cols>
    <col min="3" max="3" width="25.5703125" customWidth="1"/>
    <col min="4" max="4" width="15.85546875" customWidth="1"/>
    <col min="5" max="5" width="14.42578125" customWidth="1"/>
    <col min="6" max="6" width="14.42578125" hidden="1" customWidth="1"/>
    <col min="7" max="7" width="12.5703125" customWidth="1"/>
    <col min="9" max="9" width="2.5703125" customWidth="1"/>
    <col min="10" max="10" width="12.140625" bestFit="1" customWidth="1"/>
    <col min="17" max="17" width="9.5703125" bestFit="1" customWidth="1"/>
  </cols>
  <sheetData>
    <row r="2" spans="2:19" ht="14.45" customHeight="1" x14ac:dyDescent="0.25">
      <c r="B2" s="1665" t="s">
        <v>171</v>
      </c>
      <c r="C2" s="1666"/>
      <c r="D2" s="1666"/>
      <c r="E2" s="1666"/>
      <c r="F2" s="1666"/>
      <c r="G2" s="1667"/>
    </row>
    <row r="3" spans="2:19" ht="14.45" customHeight="1" x14ac:dyDescent="0.25">
      <c r="B3" s="1668"/>
      <c r="C3" s="1669"/>
      <c r="D3" s="1669"/>
      <c r="E3" s="1669"/>
      <c r="F3" s="1669"/>
      <c r="G3" s="1670"/>
    </row>
    <row r="4" spans="2:19" ht="35.1" customHeight="1" x14ac:dyDescent="0.25">
      <c r="B4" s="309" t="s">
        <v>172</v>
      </c>
      <c r="C4" s="309" t="s">
        <v>173</v>
      </c>
      <c r="D4" s="309" t="s">
        <v>174</v>
      </c>
      <c r="E4" s="309" t="s">
        <v>175</v>
      </c>
      <c r="F4" s="309" t="s">
        <v>175</v>
      </c>
      <c r="G4" s="318" t="s">
        <v>301</v>
      </c>
    </row>
    <row r="5" spans="2:19" x14ac:dyDescent="0.25">
      <c r="B5" s="309">
        <v>1</v>
      </c>
      <c r="C5" s="829">
        <v>45597</v>
      </c>
      <c r="D5" s="310">
        <f>265930+10000</f>
        <v>275930</v>
      </c>
      <c r="E5" s="310">
        <v>275524</v>
      </c>
      <c r="F5" s="310">
        <v>278115</v>
      </c>
      <c r="G5" s="369">
        <f t="shared" ref="G5:G34" si="0">E5-D5</f>
        <v>-406</v>
      </c>
      <c r="I5" s="1671"/>
      <c r="J5" s="1671"/>
      <c r="L5" s="367"/>
    </row>
    <row r="6" spans="2:19" x14ac:dyDescent="0.25">
      <c r="B6" s="309">
        <f>B5+1</f>
        <v>2</v>
      </c>
      <c r="C6" s="829">
        <v>45598</v>
      </c>
      <c r="D6" s="310">
        <f>E5</f>
        <v>275524</v>
      </c>
      <c r="E6" s="310">
        <v>269177</v>
      </c>
      <c r="F6" s="310">
        <v>218067</v>
      </c>
      <c r="G6" s="369">
        <f t="shared" si="0"/>
        <v>-6347</v>
      </c>
      <c r="K6" s="367"/>
    </row>
    <row r="7" spans="2:19" x14ac:dyDescent="0.25">
      <c r="B7" s="309">
        <f t="shared" ref="B7:B34" si="1">B6+1</f>
        <v>3</v>
      </c>
      <c r="C7" s="829">
        <v>45599</v>
      </c>
      <c r="D7" s="310">
        <f>E6</f>
        <v>269177</v>
      </c>
      <c r="E7" s="310">
        <v>272218</v>
      </c>
      <c r="F7" s="310">
        <v>257614</v>
      </c>
      <c r="G7" s="369">
        <f t="shared" si="0"/>
        <v>3041</v>
      </c>
      <c r="K7" s="367"/>
      <c r="M7" s="367"/>
    </row>
    <row r="8" spans="2:19" x14ac:dyDescent="0.25">
      <c r="B8" s="309">
        <f t="shared" si="1"/>
        <v>4</v>
      </c>
      <c r="C8" s="829">
        <v>45600</v>
      </c>
      <c r="D8" s="310">
        <f>E7</f>
        <v>272218</v>
      </c>
      <c r="E8" s="310">
        <v>268491</v>
      </c>
      <c r="F8" s="310">
        <v>246851</v>
      </c>
      <c r="G8" s="369">
        <f t="shared" si="0"/>
        <v>-3727</v>
      </c>
    </row>
    <row r="9" spans="2:19" x14ac:dyDescent="0.25">
      <c r="B9" s="309">
        <f t="shared" si="1"/>
        <v>5</v>
      </c>
      <c r="C9" s="829">
        <v>45601</v>
      </c>
      <c r="D9" s="310">
        <f>E8</f>
        <v>268491</v>
      </c>
      <c r="E9" s="310">
        <v>272358</v>
      </c>
      <c r="F9" s="310">
        <v>255653</v>
      </c>
      <c r="G9" s="369">
        <f t="shared" si="0"/>
        <v>3867</v>
      </c>
      <c r="K9" s="619"/>
    </row>
    <row r="10" spans="2:19" x14ac:dyDescent="0.25">
      <c r="B10" s="309">
        <f t="shared" si="1"/>
        <v>6</v>
      </c>
      <c r="C10" s="829">
        <v>45602</v>
      </c>
      <c r="D10" s="310">
        <f t="shared" ref="D10:D34" si="2">E9</f>
        <v>272358</v>
      </c>
      <c r="E10" s="310">
        <v>277030</v>
      </c>
      <c r="F10" s="310">
        <v>258450</v>
      </c>
      <c r="G10" s="369">
        <f t="shared" si="0"/>
        <v>4672</v>
      </c>
    </row>
    <row r="11" spans="2:19" x14ac:dyDescent="0.25">
      <c r="B11" s="309">
        <f t="shared" si="1"/>
        <v>7</v>
      </c>
      <c r="C11" s="829">
        <v>45603</v>
      </c>
      <c r="D11" s="310">
        <f t="shared" si="2"/>
        <v>277030</v>
      </c>
      <c r="E11" s="310">
        <v>273046</v>
      </c>
      <c r="F11" s="310">
        <v>238552</v>
      </c>
      <c r="G11" s="369">
        <f t="shared" si="0"/>
        <v>-3984</v>
      </c>
      <c r="K11" s="367"/>
    </row>
    <row r="12" spans="2:19" x14ac:dyDescent="0.25">
      <c r="B12" s="309">
        <f t="shared" si="1"/>
        <v>8</v>
      </c>
      <c r="C12" s="829">
        <v>45604</v>
      </c>
      <c r="D12" s="310">
        <f t="shared" si="2"/>
        <v>273046</v>
      </c>
      <c r="E12" s="310">
        <v>223357</v>
      </c>
      <c r="F12" s="310">
        <v>283505</v>
      </c>
      <c r="G12" s="369">
        <f t="shared" si="0"/>
        <v>-49689</v>
      </c>
      <c r="H12" s="367"/>
    </row>
    <row r="13" spans="2:19" x14ac:dyDescent="0.25">
      <c r="B13" s="309">
        <f t="shared" si="1"/>
        <v>9</v>
      </c>
      <c r="C13" s="829">
        <v>45605</v>
      </c>
      <c r="D13" s="310">
        <f t="shared" si="2"/>
        <v>223357</v>
      </c>
      <c r="E13" s="310">
        <v>265940</v>
      </c>
      <c r="F13" s="310">
        <v>269320</v>
      </c>
      <c r="G13" s="369">
        <f>E13-D13</f>
        <v>42583</v>
      </c>
      <c r="S13" s="1540"/>
    </row>
    <row r="14" spans="2:19" x14ac:dyDescent="0.25">
      <c r="B14" s="309">
        <f t="shared" si="1"/>
        <v>10</v>
      </c>
      <c r="C14" s="829">
        <v>45606</v>
      </c>
      <c r="D14" s="310">
        <f t="shared" si="2"/>
        <v>265940</v>
      </c>
      <c r="E14" s="310">
        <v>275176</v>
      </c>
      <c r="F14" s="310">
        <v>281809</v>
      </c>
      <c r="G14" s="369">
        <f t="shared" si="0"/>
        <v>9236</v>
      </c>
      <c r="Q14" s="1540"/>
    </row>
    <row r="15" spans="2:19" x14ac:dyDescent="0.25">
      <c r="B15" s="309">
        <f t="shared" si="1"/>
        <v>11</v>
      </c>
      <c r="C15" s="829">
        <v>45607</v>
      </c>
      <c r="D15" s="310">
        <f t="shared" si="2"/>
        <v>275176</v>
      </c>
      <c r="E15" s="310">
        <v>287402</v>
      </c>
      <c r="F15" s="310">
        <v>267958</v>
      </c>
      <c r="G15" s="369">
        <f t="shared" si="0"/>
        <v>12226</v>
      </c>
      <c r="N15" s="367"/>
    </row>
    <row r="16" spans="2:19" x14ac:dyDescent="0.25">
      <c r="B16" s="309">
        <f t="shared" si="1"/>
        <v>12</v>
      </c>
      <c r="C16" s="829">
        <v>45608</v>
      </c>
      <c r="D16" s="310">
        <f t="shared" si="2"/>
        <v>287402</v>
      </c>
      <c r="E16" s="310">
        <f>260290+30000</f>
        <v>290290</v>
      </c>
      <c r="F16" s="310">
        <v>267268</v>
      </c>
      <c r="G16" s="369">
        <f t="shared" si="0"/>
        <v>2888</v>
      </c>
      <c r="K16" s="367"/>
      <c r="L16" s="367"/>
    </row>
    <row r="17" spans="2:16" x14ac:dyDescent="0.25">
      <c r="B17" s="309">
        <f t="shared" si="1"/>
        <v>13</v>
      </c>
      <c r="C17" s="829">
        <v>45609</v>
      </c>
      <c r="D17" s="310">
        <f t="shared" si="2"/>
        <v>290290</v>
      </c>
      <c r="E17" s="310">
        <v>279261</v>
      </c>
      <c r="F17" s="310">
        <v>285895</v>
      </c>
      <c r="G17" s="369">
        <f t="shared" si="0"/>
        <v>-11029</v>
      </c>
      <c r="J17" s="367"/>
      <c r="K17" s="367"/>
      <c r="M17" s="367"/>
      <c r="N17" s="367"/>
    </row>
    <row r="18" spans="2:16" x14ac:dyDescent="0.25">
      <c r="B18" s="309">
        <f t="shared" si="1"/>
        <v>14</v>
      </c>
      <c r="C18" s="829">
        <v>45610</v>
      </c>
      <c r="D18" s="310">
        <f t="shared" si="2"/>
        <v>279261</v>
      </c>
      <c r="E18" s="310">
        <v>293676</v>
      </c>
      <c r="F18" s="310">
        <f>286934-27000</f>
        <v>259934</v>
      </c>
      <c r="G18" s="369">
        <f t="shared" si="0"/>
        <v>14415</v>
      </c>
      <c r="N18" s="1540"/>
    </row>
    <row r="19" spans="2:16" x14ac:dyDescent="0.25">
      <c r="B19" s="309">
        <f t="shared" si="1"/>
        <v>15</v>
      </c>
      <c r="C19" s="829">
        <v>45611</v>
      </c>
      <c r="D19" s="310">
        <f t="shared" si="2"/>
        <v>293676</v>
      </c>
      <c r="E19" s="1536">
        <f>262861+7380</f>
        <v>270241</v>
      </c>
      <c r="F19" s="310">
        <f>259375-30000</f>
        <v>229375</v>
      </c>
      <c r="G19" s="369">
        <f t="shared" si="0"/>
        <v>-23435</v>
      </c>
      <c r="L19" s="367"/>
      <c r="N19" s="1540"/>
    </row>
    <row r="20" spans="2:16" x14ac:dyDescent="0.25">
      <c r="B20" s="309">
        <f t="shared" si="1"/>
        <v>16</v>
      </c>
      <c r="C20" s="829">
        <v>45612</v>
      </c>
      <c r="D20" s="310">
        <f t="shared" si="2"/>
        <v>270241</v>
      </c>
      <c r="E20" s="310">
        <v>285331</v>
      </c>
      <c r="F20" s="310">
        <v>206080</v>
      </c>
      <c r="G20" s="369">
        <f t="shared" si="0"/>
        <v>15090</v>
      </c>
    </row>
    <row r="21" spans="2:16" x14ac:dyDescent="0.25">
      <c r="B21" s="309">
        <f t="shared" si="1"/>
        <v>17</v>
      </c>
      <c r="C21" s="829">
        <v>45613</v>
      </c>
      <c r="D21" s="310">
        <f t="shared" si="2"/>
        <v>285331</v>
      </c>
      <c r="E21" s="310">
        <v>262359</v>
      </c>
      <c r="F21" s="310">
        <v>205580</v>
      </c>
      <c r="G21" s="369">
        <f t="shared" si="0"/>
        <v>-22972</v>
      </c>
    </row>
    <row r="22" spans="2:16" x14ac:dyDescent="0.25">
      <c r="B22" s="309">
        <f t="shared" si="1"/>
        <v>18</v>
      </c>
      <c r="C22" s="829">
        <v>45614</v>
      </c>
      <c r="D22" s="310">
        <f t="shared" si="2"/>
        <v>262359</v>
      </c>
      <c r="E22" s="310">
        <v>295153</v>
      </c>
      <c r="F22" s="310">
        <v>204650</v>
      </c>
      <c r="G22" s="369">
        <f t="shared" si="0"/>
        <v>32794</v>
      </c>
      <c r="L22" s="367"/>
    </row>
    <row r="23" spans="2:16" x14ac:dyDescent="0.25">
      <c r="B23" s="309">
        <f t="shared" si="1"/>
        <v>19</v>
      </c>
      <c r="C23" s="829">
        <v>45615</v>
      </c>
      <c r="D23" s="310">
        <f t="shared" si="2"/>
        <v>295153</v>
      </c>
      <c r="E23" s="310">
        <v>274290</v>
      </c>
      <c r="F23" s="310">
        <v>204650</v>
      </c>
      <c r="G23" s="369">
        <f>E23-D23</f>
        <v>-20863</v>
      </c>
      <c r="N23" s="1540"/>
    </row>
    <row r="24" spans="2:16" x14ac:dyDescent="0.25">
      <c r="B24" s="309">
        <f t="shared" si="1"/>
        <v>20</v>
      </c>
      <c r="C24" s="829">
        <v>45616</v>
      </c>
      <c r="D24" s="310">
        <f t="shared" si="2"/>
        <v>274290</v>
      </c>
      <c r="E24" s="310">
        <v>235465</v>
      </c>
      <c r="F24" s="310">
        <f>259103-20000</f>
        <v>239103</v>
      </c>
      <c r="G24" s="369">
        <f t="shared" si="0"/>
        <v>-38825</v>
      </c>
    </row>
    <row r="25" spans="2:16" x14ac:dyDescent="0.25">
      <c r="B25" s="309">
        <f t="shared" si="1"/>
        <v>21</v>
      </c>
      <c r="C25" s="829">
        <v>45617</v>
      </c>
      <c r="D25" s="310">
        <f>E24</f>
        <v>235465</v>
      </c>
      <c r="E25" s="310">
        <v>275615</v>
      </c>
      <c r="F25" s="310">
        <f>222878+20000</f>
        <v>242878</v>
      </c>
      <c r="G25" s="369">
        <f t="shared" si="0"/>
        <v>40150</v>
      </c>
      <c r="J25" s="1537"/>
    </row>
    <row r="26" spans="2:16" x14ac:dyDescent="0.25">
      <c r="B26" s="309">
        <f t="shared" si="1"/>
        <v>22</v>
      </c>
      <c r="C26" s="829">
        <v>45618</v>
      </c>
      <c r="D26" s="310">
        <f>E25</f>
        <v>275615</v>
      </c>
      <c r="E26" s="310">
        <v>179950</v>
      </c>
      <c r="F26" s="310">
        <f>222984+20500</f>
        <v>243484</v>
      </c>
      <c r="G26" s="369">
        <f t="shared" si="0"/>
        <v>-95665</v>
      </c>
    </row>
    <row r="27" spans="2:16" x14ac:dyDescent="0.25">
      <c r="B27" s="309">
        <f t="shared" si="1"/>
        <v>23</v>
      </c>
      <c r="C27" s="829">
        <v>45619</v>
      </c>
      <c r="D27" s="310">
        <f t="shared" si="2"/>
        <v>179950</v>
      </c>
      <c r="E27" s="310">
        <v>0</v>
      </c>
      <c r="F27" s="310">
        <v>219216</v>
      </c>
      <c r="G27" s="369">
        <f>E27-D27</f>
        <v>-179950</v>
      </c>
      <c r="O27" s="1540"/>
      <c r="P27" s="1540"/>
    </row>
    <row r="28" spans="2:16" x14ac:dyDescent="0.25">
      <c r="B28" s="309">
        <f t="shared" si="1"/>
        <v>24</v>
      </c>
      <c r="C28" s="829">
        <v>45620</v>
      </c>
      <c r="D28" s="310">
        <f t="shared" si="2"/>
        <v>0</v>
      </c>
      <c r="E28" s="310">
        <v>0</v>
      </c>
      <c r="F28" s="310">
        <v>244970</v>
      </c>
      <c r="G28" s="369">
        <f t="shared" si="0"/>
        <v>0</v>
      </c>
    </row>
    <row r="29" spans="2:16" x14ac:dyDescent="0.25">
      <c r="B29" s="309">
        <f t="shared" si="1"/>
        <v>25</v>
      </c>
      <c r="C29" s="829">
        <v>45621</v>
      </c>
      <c r="D29" s="310">
        <f t="shared" si="2"/>
        <v>0</v>
      </c>
      <c r="E29" s="310">
        <v>0</v>
      </c>
      <c r="F29" s="310">
        <f>209886+25000</f>
        <v>234886</v>
      </c>
      <c r="G29" s="369">
        <f t="shared" si="0"/>
        <v>0</v>
      </c>
    </row>
    <row r="30" spans="2:16" x14ac:dyDescent="0.25">
      <c r="B30" s="309">
        <f t="shared" si="1"/>
        <v>26</v>
      </c>
      <c r="C30" s="829">
        <v>45622</v>
      </c>
      <c r="D30" s="310">
        <f t="shared" si="2"/>
        <v>0</v>
      </c>
      <c r="E30" s="310">
        <v>0</v>
      </c>
      <c r="F30" s="310">
        <v>0</v>
      </c>
      <c r="G30" s="369">
        <f t="shared" si="0"/>
        <v>0</v>
      </c>
    </row>
    <row r="31" spans="2:16" x14ac:dyDescent="0.25">
      <c r="B31" s="309">
        <f t="shared" si="1"/>
        <v>27</v>
      </c>
      <c r="C31" s="829">
        <v>45623</v>
      </c>
      <c r="D31" s="310">
        <f t="shared" si="2"/>
        <v>0</v>
      </c>
      <c r="E31" s="310">
        <v>0</v>
      </c>
      <c r="F31" s="310">
        <v>0</v>
      </c>
      <c r="G31" s="369">
        <f t="shared" si="0"/>
        <v>0</v>
      </c>
      <c r="J31" s="367"/>
      <c r="L31" s="367"/>
      <c r="M31" s="367"/>
    </row>
    <row r="32" spans="2:16" x14ac:dyDescent="0.25">
      <c r="B32" s="309">
        <f t="shared" si="1"/>
        <v>28</v>
      </c>
      <c r="C32" s="829">
        <v>45624</v>
      </c>
      <c r="D32" s="310">
        <f t="shared" si="2"/>
        <v>0</v>
      </c>
      <c r="E32" s="310">
        <v>0</v>
      </c>
      <c r="F32" s="310">
        <v>0</v>
      </c>
      <c r="G32" s="369">
        <f t="shared" si="0"/>
        <v>0</v>
      </c>
    </row>
    <row r="33" spans="2:13" x14ac:dyDescent="0.25">
      <c r="B33" s="309">
        <f t="shared" si="1"/>
        <v>29</v>
      </c>
      <c r="C33" s="829">
        <v>45625</v>
      </c>
      <c r="D33" s="310">
        <f t="shared" si="2"/>
        <v>0</v>
      </c>
      <c r="E33" s="310">
        <v>0</v>
      </c>
      <c r="F33" s="310">
        <v>0</v>
      </c>
      <c r="G33" s="369">
        <f t="shared" si="0"/>
        <v>0</v>
      </c>
      <c r="J33" s="367"/>
    </row>
    <row r="34" spans="2:13" x14ac:dyDescent="0.25">
      <c r="B34" s="309">
        <f t="shared" si="1"/>
        <v>30</v>
      </c>
      <c r="C34" s="829">
        <v>45626</v>
      </c>
      <c r="D34" s="310">
        <f t="shared" si="2"/>
        <v>0</v>
      </c>
      <c r="E34" s="310">
        <v>0</v>
      </c>
      <c r="F34" s="310">
        <v>0</v>
      </c>
      <c r="G34" s="369">
        <f t="shared" si="0"/>
        <v>0</v>
      </c>
    </row>
    <row r="36" spans="2:13" x14ac:dyDescent="0.25">
      <c r="M36" s="1540"/>
    </row>
    <row r="38" spans="2:13" x14ac:dyDescent="0.25">
      <c r="M38" s="1540"/>
    </row>
  </sheetData>
  <mergeCells count="2">
    <mergeCell ref="B2:G3"/>
    <mergeCell ref="I5:J5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CF8-DDCE-4F62-9413-DD7D1400D2BC}">
  <dimension ref="B2:G34"/>
  <sheetViews>
    <sheetView zoomScaleNormal="100" workbookViewId="0">
      <selection activeCell="R27" sqref="R27"/>
    </sheetView>
  </sheetViews>
  <sheetFormatPr defaultRowHeight="15" x14ac:dyDescent="0.25"/>
  <cols>
    <col min="3" max="3" width="19.5703125" customWidth="1"/>
    <col min="4" max="4" width="15.85546875" customWidth="1"/>
    <col min="5" max="5" width="14.42578125" customWidth="1"/>
    <col min="6" max="6" width="14" customWidth="1"/>
  </cols>
  <sheetData>
    <row r="2" spans="2:7" ht="14.45" customHeight="1" x14ac:dyDescent="0.25">
      <c r="B2" s="1665" t="s">
        <v>220</v>
      </c>
      <c r="C2" s="1666"/>
      <c r="D2" s="1666"/>
      <c r="E2" s="1666"/>
      <c r="F2" s="1667"/>
    </row>
    <row r="3" spans="2:7" ht="14.45" customHeight="1" x14ac:dyDescent="0.25">
      <c r="B3" s="1668"/>
      <c r="C3" s="1669"/>
      <c r="D3" s="1669"/>
      <c r="E3" s="1669"/>
      <c r="F3" s="1670"/>
    </row>
    <row r="4" spans="2:7" x14ac:dyDescent="0.25">
      <c r="B4" s="309" t="s">
        <v>172</v>
      </c>
      <c r="C4" s="309" t="s">
        <v>173</v>
      </c>
      <c r="D4" s="309" t="s">
        <v>174</v>
      </c>
      <c r="E4" s="309" t="s">
        <v>175</v>
      </c>
      <c r="F4" s="309" t="s">
        <v>571</v>
      </c>
    </row>
    <row r="5" spans="2:7" x14ac:dyDescent="0.25">
      <c r="B5" s="309">
        <v>1</v>
      </c>
      <c r="C5" s="829">
        <v>45597</v>
      </c>
      <c r="D5" s="310">
        <v>635650</v>
      </c>
      <c r="E5" s="310">
        <v>652190</v>
      </c>
      <c r="F5" s="369">
        <f>E5-D5</f>
        <v>16540</v>
      </c>
    </row>
    <row r="6" spans="2:7" x14ac:dyDescent="0.25">
      <c r="B6" s="309">
        <f>B5+1</f>
        <v>2</v>
      </c>
      <c r="C6" s="829">
        <v>45598</v>
      </c>
      <c r="D6" s="310">
        <f>E5</f>
        <v>652190</v>
      </c>
      <c r="E6" s="310">
        <v>630990</v>
      </c>
      <c r="F6" s="369">
        <f t="shared" ref="F6:F34" si="0">E6-D6</f>
        <v>-21200</v>
      </c>
    </row>
    <row r="7" spans="2:7" x14ac:dyDescent="0.25">
      <c r="B7" s="309">
        <f t="shared" ref="B7:B34" si="1">B6+1</f>
        <v>3</v>
      </c>
      <c r="C7" s="829">
        <v>45599</v>
      </c>
      <c r="D7" s="310">
        <f>E6</f>
        <v>630990</v>
      </c>
      <c r="E7" s="310">
        <v>686700</v>
      </c>
      <c r="F7" s="369">
        <f t="shared" si="0"/>
        <v>55710</v>
      </c>
    </row>
    <row r="8" spans="2:7" x14ac:dyDescent="0.25">
      <c r="B8" s="309">
        <f t="shared" si="1"/>
        <v>4</v>
      </c>
      <c r="C8" s="829">
        <v>45600</v>
      </c>
      <c r="D8" s="310">
        <f>E7</f>
        <v>686700</v>
      </c>
      <c r="E8" s="310">
        <v>612200</v>
      </c>
      <c r="F8" s="369">
        <f t="shared" si="0"/>
        <v>-74500</v>
      </c>
    </row>
    <row r="9" spans="2:7" x14ac:dyDescent="0.25">
      <c r="B9" s="309">
        <f t="shared" si="1"/>
        <v>5</v>
      </c>
      <c r="C9" s="829">
        <v>45601</v>
      </c>
      <c r="D9" s="310">
        <f>E8</f>
        <v>612200</v>
      </c>
      <c r="E9" s="310">
        <v>641660</v>
      </c>
      <c r="F9" s="369">
        <f t="shared" si="0"/>
        <v>29460</v>
      </c>
    </row>
    <row r="10" spans="2:7" x14ac:dyDescent="0.25">
      <c r="B10" s="309">
        <f t="shared" si="1"/>
        <v>6</v>
      </c>
      <c r="C10" s="829">
        <v>45602</v>
      </c>
      <c r="D10" s="310">
        <f t="shared" ref="D10:D34" si="2">E9</f>
        <v>641660</v>
      </c>
      <c r="E10" s="310">
        <v>640430</v>
      </c>
      <c r="F10" s="369">
        <f t="shared" si="0"/>
        <v>-1230</v>
      </c>
    </row>
    <row r="11" spans="2:7" x14ac:dyDescent="0.25">
      <c r="B11" s="309">
        <f t="shared" si="1"/>
        <v>7</v>
      </c>
      <c r="C11" s="829">
        <v>45603</v>
      </c>
      <c r="D11" s="310">
        <f t="shared" si="2"/>
        <v>640430</v>
      </c>
      <c r="E11" s="310">
        <v>640290</v>
      </c>
      <c r="F11" s="369">
        <f t="shared" si="0"/>
        <v>-140</v>
      </c>
    </row>
    <row r="12" spans="2:7" x14ac:dyDescent="0.25">
      <c r="B12" s="309">
        <f t="shared" si="1"/>
        <v>8</v>
      </c>
      <c r="C12" s="829">
        <v>45604</v>
      </c>
      <c r="D12" s="310">
        <f t="shared" si="2"/>
        <v>640290</v>
      </c>
      <c r="E12" s="310">
        <v>513970</v>
      </c>
      <c r="F12" s="369">
        <f t="shared" si="0"/>
        <v>-126320</v>
      </c>
      <c r="G12" s="367"/>
    </row>
    <row r="13" spans="2:7" x14ac:dyDescent="0.25">
      <c r="B13" s="309">
        <f t="shared" si="1"/>
        <v>9</v>
      </c>
      <c r="C13" s="829">
        <v>45605</v>
      </c>
      <c r="D13" s="310">
        <f t="shared" si="2"/>
        <v>513970</v>
      </c>
      <c r="E13" s="310">
        <v>590370</v>
      </c>
      <c r="F13" s="369">
        <f t="shared" si="0"/>
        <v>76400</v>
      </c>
    </row>
    <row r="14" spans="2:7" x14ac:dyDescent="0.25">
      <c r="B14" s="309">
        <f t="shared" si="1"/>
        <v>10</v>
      </c>
      <c r="C14" s="829">
        <v>45606</v>
      </c>
      <c r="D14" s="310">
        <f t="shared" si="2"/>
        <v>590370</v>
      </c>
      <c r="E14" s="310">
        <v>422220</v>
      </c>
      <c r="F14" s="369">
        <f t="shared" si="0"/>
        <v>-168150</v>
      </c>
    </row>
    <row r="15" spans="2:7" x14ac:dyDescent="0.25">
      <c r="B15" s="309">
        <f t="shared" si="1"/>
        <v>11</v>
      </c>
      <c r="C15" s="829">
        <v>45607</v>
      </c>
      <c r="D15" s="310">
        <f t="shared" si="2"/>
        <v>422220</v>
      </c>
      <c r="E15" s="310">
        <v>332600</v>
      </c>
      <c r="F15" s="369">
        <f t="shared" si="0"/>
        <v>-89620</v>
      </c>
    </row>
    <row r="16" spans="2:7" x14ac:dyDescent="0.25">
      <c r="B16" s="309">
        <f t="shared" si="1"/>
        <v>12</v>
      </c>
      <c r="C16" s="829">
        <v>45608</v>
      </c>
      <c r="D16" s="310">
        <f t="shared" si="2"/>
        <v>332600</v>
      </c>
      <c r="E16" s="310">
        <v>419490</v>
      </c>
      <c r="F16" s="369">
        <f t="shared" si="0"/>
        <v>86890</v>
      </c>
    </row>
    <row r="17" spans="2:6" x14ac:dyDescent="0.25">
      <c r="B17" s="309">
        <f t="shared" si="1"/>
        <v>13</v>
      </c>
      <c r="C17" s="829">
        <v>45609</v>
      </c>
      <c r="D17" s="310">
        <f t="shared" si="2"/>
        <v>419490</v>
      </c>
      <c r="E17" s="310">
        <v>432330</v>
      </c>
      <c r="F17" s="369">
        <f t="shared" si="0"/>
        <v>12840</v>
      </c>
    </row>
    <row r="18" spans="2:6" x14ac:dyDescent="0.25">
      <c r="B18" s="309">
        <f t="shared" si="1"/>
        <v>14</v>
      </c>
      <c r="C18" s="829">
        <v>45610</v>
      </c>
      <c r="D18" s="310">
        <f t="shared" si="2"/>
        <v>432330</v>
      </c>
      <c r="E18" s="310">
        <v>274770</v>
      </c>
      <c r="F18" s="369">
        <f t="shared" si="0"/>
        <v>-157560</v>
      </c>
    </row>
    <row r="19" spans="2:6" x14ac:dyDescent="0.25">
      <c r="B19" s="309">
        <f t="shared" si="1"/>
        <v>15</v>
      </c>
      <c r="C19" s="829">
        <v>45611</v>
      </c>
      <c r="D19" s="310">
        <f t="shared" si="2"/>
        <v>274770</v>
      </c>
      <c r="E19" s="310">
        <v>357790</v>
      </c>
      <c r="F19" s="369">
        <f t="shared" si="0"/>
        <v>83020</v>
      </c>
    </row>
    <row r="20" spans="2:6" x14ac:dyDescent="0.25">
      <c r="B20" s="309">
        <f t="shared" si="1"/>
        <v>16</v>
      </c>
      <c r="C20" s="829">
        <v>45612</v>
      </c>
      <c r="D20" s="310">
        <f t="shared" si="2"/>
        <v>357790</v>
      </c>
      <c r="E20" s="310">
        <v>434030</v>
      </c>
      <c r="F20" s="369">
        <f t="shared" si="0"/>
        <v>76240</v>
      </c>
    </row>
    <row r="21" spans="2:6" x14ac:dyDescent="0.25">
      <c r="B21" s="309">
        <f t="shared" si="1"/>
        <v>17</v>
      </c>
      <c r="C21" s="829">
        <v>45613</v>
      </c>
      <c r="D21" s="310">
        <f t="shared" si="2"/>
        <v>434030</v>
      </c>
      <c r="E21" s="310">
        <v>521100</v>
      </c>
      <c r="F21" s="369">
        <f t="shared" si="0"/>
        <v>87070</v>
      </c>
    </row>
    <row r="22" spans="2:6" x14ac:dyDescent="0.25">
      <c r="B22" s="309">
        <f t="shared" si="1"/>
        <v>18</v>
      </c>
      <c r="C22" s="829">
        <v>45614</v>
      </c>
      <c r="D22" s="310">
        <f t="shared" si="2"/>
        <v>521100</v>
      </c>
      <c r="E22" s="310">
        <v>529810</v>
      </c>
      <c r="F22" s="369">
        <f t="shared" si="0"/>
        <v>8710</v>
      </c>
    </row>
    <row r="23" spans="2:6" x14ac:dyDescent="0.25">
      <c r="B23" s="309">
        <f t="shared" si="1"/>
        <v>19</v>
      </c>
      <c r="C23" s="829">
        <v>45615</v>
      </c>
      <c r="D23" s="310">
        <f t="shared" si="2"/>
        <v>529810</v>
      </c>
      <c r="E23" s="310">
        <v>529040</v>
      </c>
      <c r="F23" s="369">
        <f t="shared" si="0"/>
        <v>-770</v>
      </c>
    </row>
    <row r="24" spans="2:6" x14ac:dyDescent="0.25">
      <c r="B24" s="309">
        <f t="shared" si="1"/>
        <v>20</v>
      </c>
      <c r="C24" s="829">
        <v>45616</v>
      </c>
      <c r="D24" s="310">
        <f t="shared" si="2"/>
        <v>529040</v>
      </c>
      <c r="E24" s="310">
        <v>530090</v>
      </c>
      <c r="F24" s="369">
        <f t="shared" si="0"/>
        <v>1050</v>
      </c>
    </row>
    <row r="25" spans="2:6" x14ac:dyDescent="0.25">
      <c r="B25" s="309">
        <f t="shared" si="1"/>
        <v>21</v>
      </c>
      <c r="C25" s="829">
        <v>45617</v>
      </c>
      <c r="D25" s="310">
        <f t="shared" si="2"/>
        <v>530090</v>
      </c>
      <c r="E25" s="310">
        <v>476080</v>
      </c>
      <c r="F25" s="369">
        <f t="shared" si="0"/>
        <v>-54010</v>
      </c>
    </row>
    <row r="26" spans="2:6" x14ac:dyDescent="0.25">
      <c r="B26" s="309">
        <f t="shared" si="1"/>
        <v>22</v>
      </c>
      <c r="C26" s="829">
        <v>45618</v>
      </c>
      <c r="D26" s="310">
        <f t="shared" si="2"/>
        <v>476080</v>
      </c>
      <c r="E26" s="310">
        <v>574500</v>
      </c>
      <c r="F26" s="369">
        <f t="shared" si="0"/>
        <v>98420</v>
      </c>
    </row>
    <row r="27" spans="2:6" x14ac:dyDescent="0.25">
      <c r="B27" s="309">
        <f t="shared" si="1"/>
        <v>23</v>
      </c>
      <c r="C27" s="829">
        <v>45619</v>
      </c>
      <c r="D27" s="310">
        <f t="shared" si="2"/>
        <v>574500</v>
      </c>
      <c r="E27" s="310">
        <v>507430</v>
      </c>
      <c r="F27" s="369">
        <f t="shared" si="0"/>
        <v>-67070</v>
      </c>
    </row>
    <row r="28" spans="2:6" x14ac:dyDescent="0.25">
      <c r="B28" s="309">
        <f t="shared" si="1"/>
        <v>24</v>
      </c>
      <c r="C28" s="829">
        <v>45620</v>
      </c>
      <c r="D28" s="310">
        <f t="shared" si="2"/>
        <v>507430</v>
      </c>
      <c r="E28" s="1536">
        <v>355300</v>
      </c>
      <c r="F28" s="369">
        <f t="shared" si="0"/>
        <v>-152130</v>
      </c>
    </row>
    <row r="29" spans="2:6" x14ac:dyDescent="0.25">
      <c r="B29" s="309">
        <f t="shared" si="1"/>
        <v>25</v>
      </c>
      <c r="C29" s="829">
        <v>45621</v>
      </c>
      <c r="D29" s="310">
        <f t="shared" si="2"/>
        <v>355300</v>
      </c>
      <c r="E29" s="310">
        <v>254800</v>
      </c>
      <c r="F29" s="369">
        <f t="shared" si="0"/>
        <v>-100500</v>
      </c>
    </row>
    <row r="30" spans="2:6" x14ac:dyDescent="0.25">
      <c r="B30" s="309">
        <f t="shared" si="1"/>
        <v>26</v>
      </c>
      <c r="C30" s="829">
        <v>45622</v>
      </c>
      <c r="D30" s="310">
        <f t="shared" si="2"/>
        <v>254800</v>
      </c>
      <c r="E30" s="310">
        <v>0</v>
      </c>
      <c r="F30" s="369">
        <f t="shared" si="0"/>
        <v>-254800</v>
      </c>
    </row>
    <row r="31" spans="2:6" x14ac:dyDescent="0.25">
      <c r="B31" s="309">
        <f t="shared" si="1"/>
        <v>27</v>
      </c>
      <c r="C31" s="829">
        <v>45623</v>
      </c>
      <c r="D31" s="310">
        <f t="shared" si="2"/>
        <v>0</v>
      </c>
      <c r="E31" s="310">
        <v>0</v>
      </c>
      <c r="F31" s="369">
        <f t="shared" si="0"/>
        <v>0</v>
      </c>
    </row>
    <row r="32" spans="2:6" x14ac:dyDescent="0.25">
      <c r="B32" s="309">
        <f t="shared" si="1"/>
        <v>28</v>
      </c>
      <c r="C32" s="829">
        <v>45624</v>
      </c>
      <c r="D32" s="310">
        <f t="shared" si="2"/>
        <v>0</v>
      </c>
      <c r="E32" s="310">
        <v>0</v>
      </c>
      <c r="F32" s="369">
        <f t="shared" si="0"/>
        <v>0</v>
      </c>
    </row>
    <row r="33" spans="2:6" x14ac:dyDescent="0.25">
      <c r="B33" s="309">
        <f t="shared" si="1"/>
        <v>29</v>
      </c>
      <c r="C33" s="829">
        <v>45625</v>
      </c>
      <c r="D33" s="310">
        <f t="shared" si="2"/>
        <v>0</v>
      </c>
      <c r="E33" s="310">
        <v>0</v>
      </c>
      <c r="F33" s="369">
        <f t="shared" si="0"/>
        <v>0</v>
      </c>
    </row>
    <row r="34" spans="2:6" x14ac:dyDescent="0.25">
      <c r="B34" s="309">
        <f t="shared" si="1"/>
        <v>30</v>
      </c>
      <c r="C34" s="829">
        <v>45626</v>
      </c>
      <c r="D34" s="310">
        <f t="shared" si="2"/>
        <v>0</v>
      </c>
      <c r="E34" s="310">
        <v>0</v>
      </c>
      <c r="F34" s="369">
        <f t="shared" si="0"/>
        <v>0</v>
      </c>
    </row>
  </sheetData>
  <mergeCells count="1">
    <mergeCell ref="B2:F3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N264"/>
  <sheetViews>
    <sheetView topLeftCell="A2" zoomScale="80" zoomScaleNormal="80" workbookViewId="0">
      <pane xSplit="4" ySplit="4" topLeftCell="J24" activePane="bottomRight" state="frozen"/>
      <selection activeCell="O11" sqref="O11"/>
      <selection pane="topRight" activeCell="O11" sqref="O11"/>
      <selection pane="bottomLeft" activeCell="O11" sqref="O11"/>
      <selection pane="bottomRight" activeCell="AC30" sqref="AC30"/>
    </sheetView>
  </sheetViews>
  <sheetFormatPr defaultRowHeight="15" x14ac:dyDescent="0.25"/>
  <cols>
    <col min="1" max="1" width="4.140625" customWidth="1"/>
    <col min="3" max="3" width="41.140625" customWidth="1"/>
    <col min="4" max="4" width="16.140625" customWidth="1"/>
    <col min="5" max="5" width="8.42578125" customWidth="1"/>
    <col min="6" max="6" width="19.42578125" customWidth="1"/>
    <col min="7" max="8" width="17.5703125" customWidth="1"/>
    <col min="9" max="10" width="18.140625" customWidth="1"/>
    <col min="11" max="11" width="17.5703125" customWidth="1"/>
    <col min="12" max="12" width="17.140625" customWidth="1"/>
    <col min="13" max="13" width="18.140625" customWidth="1"/>
    <col min="14" max="15" width="17.42578125" customWidth="1"/>
    <col min="16" max="16" width="17" customWidth="1"/>
    <col min="17" max="17" width="15.5703125" hidden="1" customWidth="1"/>
    <col min="19" max="19" width="25.140625" customWidth="1"/>
    <col min="20" max="21" width="25.140625" hidden="1" customWidth="1"/>
    <col min="22" max="22" width="13.42578125" customWidth="1"/>
    <col min="23" max="23" width="15.42578125" customWidth="1"/>
    <col min="24" max="24" width="9.140625" customWidth="1"/>
    <col min="25" max="25" width="17.7109375" bestFit="1" customWidth="1"/>
    <col min="26" max="31" width="9.140625" customWidth="1"/>
    <col min="32" max="32" width="28.5703125" customWidth="1"/>
    <col min="33" max="36" width="9.140625" customWidth="1"/>
    <col min="37" max="37" width="13.42578125" customWidth="1"/>
    <col min="38" max="38" width="61.85546875" customWidth="1"/>
    <col min="39" max="39" width="41.5703125" customWidth="1"/>
    <col min="40" max="48" width="9.140625" customWidth="1"/>
    <col min="49" max="49" width="14" customWidth="1"/>
    <col min="50" max="59" width="9.140625" customWidth="1"/>
  </cols>
  <sheetData>
    <row r="1" spans="2:932" x14ac:dyDescent="0.25">
      <c r="B1" s="415"/>
    </row>
    <row r="2" spans="2:932" ht="18" x14ac:dyDescent="0.25">
      <c r="C2" s="416" t="s">
        <v>303</v>
      </c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7"/>
      <c r="O2" s="417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416"/>
      <c r="AL2" s="416"/>
      <c r="AM2" s="416"/>
    </row>
    <row r="3" spans="2:932" ht="15.75" thickBot="1" x14ac:dyDescent="0.3">
      <c r="B3" s="418"/>
      <c r="F3" s="419" t="s">
        <v>844</v>
      </c>
      <c r="G3" s="419" t="s">
        <v>844</v>
      </c>
      <c r="H3" s="419" t="s">
        <v>844</v>
      </c>
      <c r="I3" s="419" t="s">
        <v>844</v>
      </c>
      <c r="J3" s="419" t="s">
        <v>845</v>
      </c>
      <c r="K3" s="419" t="s">
        <v>845</v>
      </c>
      <c r="L3" s="419" t="s">
        <v>844</v>
      </c>
      <c r="M3" s="419" t="s">
        <v>844</v>
      </c>
      <c r="N3" s="419" t="s">
        <v>844</v>
      </c>
      <c r="O3" s="419"/>
      <c r="P3" s="419"/>
      <c r="Q3" s="419"/>
    </row>
    <row r="4" spans="2:932" ht="30.75" thickBot="1" x14ac:dyDescent="0.3">
      <c r="B4" s="1681" t="s">
        <v>100</v>
      </c>
      <c r="C4" s="1683" t="s">
        <v>101</v>
      </c>
      <c r="D4" s="1685" t="s">
        <v>102</v>
      </c>
      <c r="E4" s="1683" t="s">
        <v>103</v>
      </c>
      <c r="F4" s="1672" t="s">
        <v>304</v>
      </c>
      <c r="G4" s="1673"/>
      <c r="H4" s="1673"/>
      <c r="I4" s="1673"/>
      <c r="J4" s="1673"/>
      <c r="K4" s="1673"/>
      <c r="L4" s="1673"/>
      <c r="M4" s="1673"/>
      <c r="N4" s="1673"/>
      <c r="O4" s="1673"/>
      <c r="P4" s="1673"/>
      <c r="Q4" s="1674"/>
      <c r="R4" s="722"/>
      <c r="S4" s="414" t="s">
        <v>305</v>
      </c>
      <c r="T4" s="667" t="s">
        <v>306</v>
      </c>
      <c r="U4" s="771" t="s">
        <v>307</v>
      </c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Q4" s="63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Z4" s="1"/>
    </row>
    <row r="5" spans="2:932" ht="30" x14ac:dyDescent="0.25">
      <c r="B5" s="1682"/>
      <c r="C5" s="1684"/>
      <c r="D5" s="1686"/>
      <c r="E5" s="1684"/>
      <c r="F5" s="421" t="s">
        <v>308</v>
      </c>
      <c r="G5" s="421" t="s">
        <v>309</v>
      </c>
      <c r="H5" s="421" t="s">
        <v>310</v>
      </c>
      <c r="I5" s="422" t="s">
        <v>311</v>
      </c>
      <c r="J5" s="421" t="s">
        <v>312</v>
      </c>
      <c r="K5" s="421" t="s">
        <v>313</v>
      </c>
      <c r="L5" s="421" t="s">
        <v>314</v>
      </c>
      <c r="M5" s="421" t="s">
        <v>315</v>
      </c>
      <c r="N5" s="422" t="s">
        <v>316</v>
      </c>
      <c r="O5" s="422" t="s">
        <v>317</v>
      </c>
      <c r="P5" s="422" t="s">
        <v>318</v>
      </c>
      <c r="Q5" s="421" t="s">
        <v>319</v>
      </c>
      <c r="S5" s="420" t="s">
        <v>127</v>
      </c>
      <c r="T5" s="667" t="s">
        <v>127</v>
      </c>
      <c r="U5" s="771" t="s">
        <v>320</v>
      </c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Q5" s="63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Z5" s="1"/>
    </row>
    <row r="6" spans="2:932" ht="15.75" thickBot="1" x14ac:dyDescent="0.3">
      <c r="B6" s="1675">
        <v>1</v>
      </c>
      <c r="C6" s="423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3"/>
      <c r="S6" s="424" t="s">
        <v>128</v>
      </c>
      <c r="T6" s="668" t="s">
        <v>128</v>
      </c>
      <c r="U6" s="772" t="s">
        <v>128</v>
      </c>
      <c r="V6" s="63"/>
      <c r="W6" s="1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Q6" s="63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U6" s="1"/>
      <c r="BV6" s="1"/>
      <c r="BW6" s="1"/>
      <c r="BX6" s="1"/>
      <c r="CZ6" s="1"/>
      <c r="DD6" s="425"/>
      <c r="DE6" s="426"/>
      <c r="DF6" s="427">
        <v>29</v>
      </c>
      <c r="DG6" s="428">
        <v>30</v>
      </c>
      <c r="DH6" s="429">
        <v>31</v>
      </c>
    </row>
    <row r="7" spans="2:932" x14ac:dyDescent="0.25">
      <c r="B7" s="1676"/>
      <c r="C7" s="430" t="s">
        <v>16</v>
      </c>
      <c r="D7" s="431"/>
      <c r="E7" s="432"/>
      <c r="F7" s="433"/>
      <c r="G7" s="434"/>
      <c r="H7" s="1543"/>
      <c r="I7" s="433"/>
      <c r="J7" s="1550"/>
      <c r="K7" s="433"/>
      <c r="L7" s="433"/>
      <c r="M7" s="433"/>
      <c r="N7" s="433"/>
      <c r="O7" s="433"/>
      <c r="P7" s="433"/>
      <c r="Q7" s="433"/>
      <c r="R7" s="3"/>
      <c r="S7" s="717" t="s">
        <v>16</v>
      </c>
      <c r="T7" s="669" t="s">
        <v>16</v>
      </c>
      <c r="U7" s="773" t="s">
        <v>16</v>
      </c>
      <c r="V7" s="63"/>
      <c r="W7" s="1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Q7" s="63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1"/>
      <c r="BV7" s="1"/>
      <c r="BW7" s="1"/>
      <c r="BX7" s="1"/>
      <c r="CZ7" s="1"/>
      <c r="DD7" s="435" t="s">
        <v>321</v>
      </c>
      <c r="DE7" s="5" t="s">
        <v>14</v>
      </c>
      <c r="DF7" s="436">
        <v>1971319.99999999</v>
      </c>
      <c r="DG7" s="437">
        <v>2015120.00000001</v>
      </c>
      <c r="DH7" s="438">
        <v>2015230</v>
      </c>
      <c r="AIT7" s="439" t="s">
        <v>322</v>
      </c>
      <c r="AIU7" s="439" t="s">
        <v>128</v>
      </c>
      <c r="AIV7" s="439" t="s">
        <v>323</v>
      </c>
    </row>
    <row r="8" spans="2:932" x14ac:dyDescent="0.25">
      <c r="B8" s="1676"/>
      <c r="C8" s="440" t="s">
        <v>84</v>
      </c>
      <c r="D8" s="441"/>
      <c r="E8" s="442" t="s">
        <v>83</v>
      </c>
      <c r="F8" s="443">
        <v>18</v>
      </c>
      <c r="G8" s="443">
        <v>11</v>
      </c>
      <c r="H8" s="535">
        <v>27</v>
      </c>
      <c r="I8" s="443">
        <v>22</v>
      </c>
      <c r="J8" s="536">
        <v>27</v>
      </c>
      <c r="K8" s="443">
        <v>18</v>
      </c>
      <c r="L8" s="443">
        <v>22</v>
      </c>
      <c r="M8" s="443">
        <v>28</v>
      </c>
      <c r="N8" s="443">
        <v>27</v>
      </c>
      <c r="O8" s="55">
        <v>28</v>
      </c>
      <c r="P8" s="443">
        <f>'November 2024'!AL6</f>
        <v>22</v>
      </c>
      <c r="Q8" s="443">
        <f>'[24]Desember 24'!AL9</f>
        <v>0</v>
      </c>
      <c r="R8" s="3"/>
      <c r="S8" s="55">
        <f>SUM(F8:Q8)</f>
        <v>250</v>
      </c>
      <c r="T8" s="670">
        <v>231</v>
      </c>
      <c r="U8" s="774">
        <f>S8/T8*100</f>
        <v>108.22510822510823</v>
      </c>
      <c r="V8" s="63"/>
      <c r="W8" s="1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Q8" s="63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U8" s="1"/>
      <c r="BV8" s="1"/>
      <c r="BW8" s="1"/>
      <c r="BX8" s="1"/>
      <c r="CZ8" s="1"/>
      <c r="DD8" s="435"/>
      <c r="DF8" s="436"/>
      <c r="DG8" s="437"/>
      <c r="DH8" s="438"/>
      <c r="FM8" s="3"/>
      <c r="OQ8" s="142" t="s">
        <v>324</v>
      </c>
      <c r="AED8" s="5" t="s">
        <v>325</v>
      </c>
      <c r="AEE8" s="5" t="s">
        <v>326</v>
      </c>
      <c r="AIS8" s="2" t="s">
        <v>196</v>
      </c>
      <c r="AIT8" s="142">
        <v>11008948</v>
      </c>
      <c r="AIU8" s="142">
        <f>S11</f>
        <v>180889691</v>
      </c>
      <c r="AIV8" s="4">
        <f>AIT8-AIU8</f>
        <v>-169880743</v>
      </c>
    </row>
    <row r="9" spans="2:932" x14ac:dyDescent="0.25">
      <c r="B9" s="1676"/>
      <c r="C9" s="11" t="s">
        <v>104</v>
      </c>
      <c r="D9" s="441"/>
      <c r="E9" s="442"/>
      <c r="F9" s="1563">
        <v>17.46</v>
      </c>
      <c r="G9" s="444">
        <f>'[24]Februari 24'!AL10</f>
        <v>17.224766862170089</v>
      </c>
      <c r="H9" s="528">
        <f>'[24]Maret 24'!AL10</f>
        <v>4.5497712609970664</v>
      </c>
      <c r="I9" s="444">
        <f>'[25]April - 24'!$AK$11</f>
        <v>0</v>
      </c>
      <c r="J9" s="683">
        <f>'[26]Mei - 24'!$AL$11</f>
        <v>0</v>
      </c>
      <c r="K9" s="444">
        <f>'[27]Juni - 24'!$AL$11</f>
        <v>13.078035190615838</v>
      </c>
      <c r="L9" s="444">
        <f>'[28]Juli - 2024 ( Revisi )'!$AL$8</f>
        <v>23.454543988269798</v>
      </c>
      <c r="M9" s="444">
        <f>'[29]Agustus - 2024'!$AN$8</f>
        <v>33.834847507331382</v>
      </c>
      <c r="N9" s="444">
        <f>'[30]September - 2024'!$AM$8</f>
        <v>40.481969696969699</v>
      </c>
      <c r="O9" s="444">
        <f>'[31]Oktober- 2024'!$AM$8</f>
        <v>37.300668831168828</v>
      </c>
      <c r="P9" s="443">
        <f>'November 2024'!AL8</f>
        <v>42.102024793388438</v>
      </c>
      <c r="Q9" s="444">
        <f>'[24]Desember 24'!AL10</f>
        <v>0</v>
      </c>
      <c r="R9" s="3"/>
      <c r="S9" s="55"/>
      <c r="T9" s="670"/>
      <c r="U9" s="774"/>
      <c r="V9" s="63"/>
      <c r="W9" s="1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Q9" s="63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"/>
      <c r="BX9" s="1"/>
      <c r="CZ9" s="1"/>
      <c r="DD9" s="435"/>
      <c r="DF9" s="436"/>
      <c r="DG9" s="437"/>
      <c r="DH9" s="438"/>
      <c r="FM9" s="3"/>
      <c r="OQ9" s="142"/>
      <c r="AED9" s="5"/>
      <c r="AEE9" s="5"/>
      <c r="AIS9" s="2"/>
      <c r="AIT9" s="142"/>
      <c r="AIU9" s="142"/>
      <c r="AIV9" s="4"/>
    </row>
    <row r="10" spans="2:932" x14ac:dyDescent="0.25">
      <c r="B10" s="1676"/>
      <c r="C10" s="11" t="s">
        <v>327</v>
      </c>
      <c r="D10" s="441"/>
      <c r="E10" s="442"/>
      <c r="F10" s="444">
        <f>F11/F14*100</f>
        <v>18.288923195084486</v>
      </c>
      <c r="G10" s="444">
        <f t="shared" ref="G10" si="0">G11/G14*100</f>
        <v>18.044993855606759</v>
      </c>
      <c r="H10" s="528">
        <f t="shared" ref="H10:Q10" si="1">H11/H14*100</f>
        <v>43.450393982808023</v>
      </c>
      <c r="I10" s="444">
        <f>I11/I14*100</f>
        <v>24.340124865920405</v>
      </c>
      <c r="J10" s="683">
        <f t="shared" si="1"/>
        <v>42.665477598393799</v>
      </c>
      <c r="K10" s="444">
        <f t="shared" si="1"/>
        <v>24.530982700294288</v>
      </c>
      <c r="L10" s="444">
        <f t="shared" si="1"/>
        <v>43.994606562336699</v>
      </c>
      <c r="M10" s="444">
        <f>M11/M14*100</f>
        <v>63.465348331912317</v>
      </c>
      <c r="N10" s="444">
        <f t="shared" ref="N10" si="2">N11/N14*100</f>
        <v>66.135729805550199</v>
      </c>
      <c r="O10" s="444">
        <f>O11/O14*100</f>
        <v>64.566129431502517</v>
      </c>
      <c r="P10" s="444">
        <f>P11/P14*100</f>
        <v>56.044940729943072</v>
      </c>
      <c r="Q10" s="444" t="e">
        <f t="shared" si="1"/>
        <v>#DIV/0!</v>
      </c>
      <c r="R10" s="3"/>
      <c r="S10" s="55">
        <f>AVERAGE(F10:P10)</f>
        <v>42.320695550850239</v>
      </c>
      <c r="T10" s="670"/>
      <c r="U10" s="774"/>
      <c r="V10" s="63"/>
      <c r="W10" s="1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Q10" s="63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CZ10" s="1"/>
      <c r="DD10" s="435"/>
      <c r="DF10" s="436"/>
      <c r="DG10" s="437"/>
      <c r="DH10" s="438"/>
      <c r="FM10" s="3"/>
      <c r="OQ10" s="142"/>
      <c r="AED10" s="5"/>
      <c r="AEE10" s="5"/>
      <c r="AIS10" s="2"/>
      <c r="AIT10" s="142"/>
      <c r="AIU10" s="142"/>
      <c r="AIV10" s="4"/>
    </row>
    <row r="11" spans="2:932" x14ac:dyDescent="0.25">
      <c r="B11" s="1676"/>
      <c r="C11" s="445" t="s">
        <v>97</v>
      </c>
      <c r="D11" s="446">
        <v>701400000</v>
      </c>
      <c r="E11" s="447" t="s">
        <v>14</v>
      </c>
      <c r="F11" s="448">
        <v>11906089</v>
      </c>
      <c r="G11" s="448">
        <v>11747291</v>
      </c>
      <c r="H11" s="1544">
        <v>16983890</v>
      </c>
      <c r="I11" s="1558">
        <v>8849826</v>
      </c>
      <c r="J11" s="1551">
        <v>15512741</v>
      </c>
      <c r="K11" s="448">
        <v>8919220</v>
      </c>
      <c r="L11" s="448">
        <v>15995999</v>
      </c>
      <c r="M11" s="448">
        <v>23075366</v>
      </c>
      <c r="N11" s="448">
        <v>24046290</v>
      </c>
      <c r="O11" s="448">
        <v>23475599</v>
      </c>
      <c r="P11" s="448">
        <f>'November 2024'!AL9</f>
        <v>20377380</v>
      </c>
      <c r="Q11" s="448">
        <f>'[24]Desember 24'!AL11</f>
        <v>0</v>
      </c>
      <c r="R11" s="723"/>
      <c r="S11" s="58">
        <f>SUM(F11:P11)</f>
        <v>180889691</v>
      </c>
      <c r="T11" s="671">
        <v>421374000</v>
      </c>
      <c r="U11" s="775">
        <f>S11/T11</f>
        <v>0.42928536407087292</v>
      </c>
      <c r="V11" s="1074"/>
      <c r="W11" s="456"/>
      <c r="X11" s="809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Q11" s="63"/>
      <c r="AS11" s="456"/>
      <c r="AT11" s="456"/>
      <c r="AU11" s="1"/>
      <c r="AV11" s="1"/>
      <c r="AW11" s="364">
        <f>S11/D11</f>
        <v>0.25789804818933559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U11" s="1"/>
      <c r="BV11" s="1"/>
      <c r="BW11" s="143"/>
      <c r="BX11" s="1"/>
      <c r="CZ11" s="1"/>
      <c r="DD11" s="449" t="s">
        <v>328</v>
      </c>
      <c r="DE11" s="450" t="s">
        <v>19</v>
      </c>
      <c r="DF11" s="451">
        <v>251.19641540408301</v>
      </c>
      <c r="DG11" s="452">
        <v>257.91391043490898</v>
      </c>
      <c r="DH11" s="453">
        <v>251.51265323328099</v>
      </c>
      <c r="DI11" s="143"/>
      <c r="FL11" s="142"/>
      <c r="FM11" s="3"/>
      <c r="JG11" s="143"/>
      <c r="JH11" s="143"/>
      <c r="JI11" s="142"/>
      <c r="JJ11" s="143"/>
      <c r="ON11" s="143">
        <v>26946.1077844311</v>
      </c>
      <c r="OO11" s="143">
        <v>17383.2335329341</v>
      </c>
      <c r="OQ11" s="143" t="s">
        <v>329</v>
      </c>
      <c r="PE11" s="146"/>
      <c r="PI11" s="143"/>
      <c r="RL11" s="146"/>
      <c r="AED11" s="142">
        <f>35.8500000000058*1000</f>
        <v>35850.000000005799</v>
      </c>
      <c r="AGU11" s="142"/>
      <c r="AIJ11" s="142"/>
      <c r="AIK11" s="142"/>
      <c r="AIL11" s="142"/>
      <c r="AIS11" s="2" t="s">
        <v>64</v>
      </c>
      <c r="AIT11" s="142">
        <v>566885</v>
      </c>
      <c r="AIU11" s="142">
        <f>S20</f>
        <v>7877801</v>
      </c>
      <c r="AIV11" s="4">
        <f>AIT11-AIU11</f>
        <v>-7310916</v>
      </c>
    </row>
    <row r="12" spans="2:932" x14ac:dyDescent="0.25">
      <c r="B12" s="1676"/>
      <c r="C12" s="445" t="s">
        <v>98</v>
      </c>
      <c r="D12" s="446"/>
      <c r="E12" s="447" t="s">
        <v>14</v>
      </c>
      <c r="F12" s="448">
        <v>10284032.518182635</v>
      </c>
      <c r="G12" s="448">
        <v>10885810.60758747</v>
      </c>
      <c r="H12" s="1544">
        <v>16067553.485320078</v>
      </c>
      <c r="I12" s="1559">
        <v>8849826</v>
      </c>
      <c r="J12" s="1551">
        <v>15512741</v>
      </c>
      <c r="K12" s="448">
        <v>8919220</v>
      </c>
      <c r="L12" s="448">
        <v>15995999</v>
      </c>
      <c r="M12" s="448">
        <v>22890671</v>
      </c>
      <c r="N12" s="448">
        <f>N11-N13</f>
        <v>24046290</v>
      </c>
      <c r="O12" s="448">
        <v>23419756.894736841</v>
      </c>
      <c r="P12" s="448">
        <f>'November 2024'!AL9</f>
        <v>20377380</v>
      </c>
      <c r="Q12" s="448" t="e">
        <f>'[24]Desember 24'!AL12</f>
        <v>#DIV/0!</v>
      </c>
      <c r="R12" s="723"/>
      <c r="S12" s="58">
        <f>SUM(F12:P12)</f>
        <v>177249280.50582701</v>
      </c>
      <c r="T12" s="672"/>
      <c r="U12" s="776"/>
      <c r="V12" s="63"/>
      <c r="W12" s="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Q12" s="63"/>
      <c r="AS12" s="456"/>
      <c r="AT12" s="456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43"/>
      <c r="BX12" s="1"/>
      <c r="CZ12" s="1"/>
      <c r="DD12" s="435"/>
      <c r="DE12" s="5"/>
      <c r="DF12" s="455"/>
      <c r="DG12" s="456"/>
      <c r="DH12" s="457"/>
      <c r="DI12" s="143"/>
      <c r="FL12" s="143"/>
      <c r="JG12" s="143"/>
      <c r="JH12" s="143"/>
      <c r="JI12" s="143"/>
      <c r="JJ12" s="143"/>
      <c r="ON12" s="143"/>
      <c r="OO12" s="143"/>
      <c r="OQ12" s="143"/>
      <c r="PE12" s="146"/>
      <c r="PI12" s="143"/>
      <c r="RL12" s="146"/>
      <c r="AGU12" s="142"/>
      <c r="AIJ12" s="142"/>
      <c r="AIK12" s="142"/>
      <c r="AIL12" s="142"/>
      <c r="AIS12" s="2"/>
      <c r="AIT12" s="142"/>
      <c r="AIU12" s="142"/>
    </row>
    <row r="13" spans="2:932" x14ac:dyDescent="0.25">
      <c r="B13" s="1676"/>
      <c r="C13" s="445" t="s">
        <v>99</v>
      </c>
      <c r="D13" s="446"/>
      <c r="E13" s="447" t="s">
        <v>14</v>
      </c>
      <c r="F13" s="448">
        <v>1622056.4818173659</v>
      </c>
      <c r="G13" s="448">
        <v>861480.39241253119</v>
      </c>
      <c r="H13" s="1544">
        <v>916336.51467992098</v>
      </c>
      <c r="I13" s="1559">
        <v>0</v>
      </c>
      <c r="J13" s="1551">
        <v>0</v>
      </c>
      <c r="K13" s="448">
        <v>0</v>
      </c>
      <c r="L13" s="448">
        <v>0</v>
      </c>
      <c r="M13" s="448">
        <v>184695</v>
      </c>
      <c r="N13" s="448">
        <v>0</v>
      </c>
      <c r="O13" s="448">
        <v>55842.1052631579</v>
      </c>
      <c r="P13" s="448">
        <v>0</v>
      </c>
      <c r="Q13" s="448" t="e">
        <f>'[24]Desember 24'!AL13</f>
        <v>#DIV/0!</v>
      </c>
      <c r="R13" s="723"/>
      <c r="S13" s="454">
        <f>SUM(F13:P13)</f>
        <v>3640410.4941729754</v>
      </c>
      <c r="T13" s="672"/>
      <c r="U13" s="776"/>
      <c r="V13" s="368"/>
      <c r="W13" s="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Q13" s="63"/>
      <c r="AS13" s="456"/>
      <c r="AT13" s="456"/>
      <c r="AU13" s="1"/>
      <c r="AV13" s="1"/>
      <c r="AW13" s="364" t="e">
        <f>AV13/P13</f>
        <v>#DIV/0!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U13" s="1"/>
      <c r="BV13" s="1"/>
      <c r="BW13" s="143"/>
      <c r="BX13" s="1"/>
      <c r="CZ13" s="1"/>
      <c r="DD13" s="435"/>
      <c r="DE13" s="5"/>
      <c r="DF13" s="455"/>
      <c r="DG13" s="456"/>
      <c r="DH13" s="457"/>
      <c r="DI13" s="143"/>
      <c r="FL13" s="143"/>
      <c r="JG13" s="143"/>
      <c r="JH13" s="143"/>
      <c r="JI13" s="143"/>
      <c r="JJ13" s="143"/>
      <c r="ON13" s="143"/>
      <c r="OO13" s="143"/>
      <c r="OQ13" s="143"/>
      <c r="PE13" s="146"/>
      <c r="PI13" s="143"/>
      <c r="RL13" s="146"/>
      <c r="AGU13" s="142"/>
      <c r="AIJ13" s="142"/>
      <c r="AIK13" s="142"/>
      <c r="AIL13" s="142"/>
      <c r="AIS13" s="2"/>
      <c r="AIT13" s="142"/>
      <c r="AIU13" s="142"/>
    </row>
    <row r="14" spans="2:932" x14ac:dyDescent="0.25">
      <c r="B14" s="1676"/>
      <c r="C14" s="445" t="s">
        <v>330</v>
      </c>
      <c r="D14" s="446"/>
      <c r="E14" s="447" t="s">
        <v>14</v>
      </c>
      <c r="F14" s="448">
        <v>65100000</v>
      </c>
      <c r="G14" s="448">
        <v>65100000</v>
      </c>
      <c r="H14" s="1544">
        <v>39088000</v>
      </c>
      <c r="I14" s="448">
        <v>36359000</v>
      </c>
      <c r="J14" s="1551">
        <v>36359000</v>
      </c>
      <c r="K14" s="448">
        <v>36359000</v>
      </c>
      <c r="L14" s="448">
        <v>36359000</v>
      </c>
      <c r="M14" s="448">
        <v>36359000</v>
      </c>
      <c r="N14" s="448">
        <v>36359000</v>
      </c>
      <c r="O14" s="448">
        <f>'[31]Oktober- 2024'!$E$9</f>
        <v>36359000</v>
      </c>
      <c r="P14" s="448">
        <f>'November 2024'!E9</f>
        <v>36359000</v>
      </c>
      <c r="Q14" s="448"/>
      <c r="R14" s="723"/>
      <c r="S14" s="58">
        <f>SUM(F14:P14)</f>
        <v>460160000</v>
      </c>
      <c r="T14" s="672"/>
      <c r="U14" s="776"/>
      <c r="V14" s="368"/>
      <c r="W14" s="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Q14" s="63"/>
      <c r="AS14" s="456"/>
      <c r="AT14" s="456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1"/>
      <c r="BW14" s="143"/>
      <c r="BX14" s="1"/>
      <c r="CZ14" s="1"/>
      <c r="DD14" s="435"/>
      <c r="DE14" s="5"/>
      <c r="DF14" s="455"/>
      <c r="DG14" s="456"/>
      <c r="DH14" s="457"/>
      <c r="DI14" s="143"/>
      <c r="FL14" s="143"/>
      <c r="JG14" s="143"/>
      <c r="JH14" s="143"/>
      <c r="JI14" s="143"/>
      <c r="JJ14" s="143"/>
      <c r="ON14" s="143"/>
      <c r="OO14" s="143"/>
      <c r="OQ14" s="143"/>
      <c r="PE14" s="146"/>
      <c r="PI14" s="143"/>
      <c r="RL14" s="146"/>
      <c r="AGU14" s="142"/>
      <c r="AIJ14" s="142"/>
      <c r="AIK14" s="142"/>
      <c r="AIL14" s="142"/>
      <c r="AIS14" s="2"/>
      <c r="AIT14" s="142"/>
      <c r="AIU14" s="142"/>
    </row>
    <row r="15" spans="2:932" x14ac:dyDescent="0.25">
      <c r="B15" s="1676"/>
      <c r="C15" s="458" t="s">
        <v>82</v>
      </c>
      <c r="D15" s="459">
        <v>5</v>
      </c>
      <c r="E15" s="460" t="s">
        <v>25</v>
      </c>
      <c r="F15" s="461">
        <v>4.38</v>
      </c>
      <c r="G15" s="461">
        <v>4.5590909090909086</v>
      </c>
      <c r="H15" s="1545">
        <v>4.1350000000000007</v>
      </c>
      <c r="I15" s="461">
        <v>4.1100000000000003</v>
      </c>
      <c r="J15" s="1552">
        <v>3.859375</v>
      </c>
      <c r="K15" s="461">
        <v>4.2481249999999999</v>
      </c>
      <c r="L15" s="461">
        <v>3.8848484848484857</v>
      </c>
      <c r="M15" s="461">
        <v>3.9614880952380962</v>
      </c>
      <c r="N15" s="461">
        <v>3.6441975308641967</v>
      </c>
      <c r="O15" s="461">
        <f>'[31]Oktober- 2024'!$AM$13</f>
        <v>3.710654761904761</v>
      </c>
      <c r="P15" s="461">
        <f>'November 2024'!AL13</f>
        <v>3.8712121212121207</v>
      </c>
      <c r="Q15" s="461" t="e">
        <f>'[24]Desember 24'!AL14</f>
        <v>#DIV/0!</v>
      </c>
      <c r="S15" s="59">
        <f>AVERAGE(F15:P15)</f>
        <v>4.0330901730144157</v>
      </c>
      <c r="T15" s="673" t="e">
        <f t="shared" ref="T15:U17" si="3">AVERAGE(G15:R15)</f>
        <v>#DIV/0!</v>
      </c>
      <c r="U15" s="774" t="e">
        <f t="shared" si="3"/>
        <v>#DIV/0!</v>
      </c>
      <c r="V15" s="63"/>
      <c r="W15" s="1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Q15" s="63"/>
      <c r="AS15" s="810"/>
      <c r="AT15" s="810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U15" s="1"/>
      <c r="BV15" s="1"/>
      <c r="BW15" s="462"/>
      <c r="BX15" s="1"/>
      <c r="CZ15" s="1"/>
      <c r="DD15" s="435" t="s">
        <v>331</v>
      </c>
      <c r="DE15" s="5" t="s">
        <v>14</v>
      </c>
      <c r="DF15" s="436">
        <v>182230</v>
      </c>
      <c r="DG15" s="437">
        <v>190070</v>
      </c>
      <c r="DH15" s="438">
        <v>197800.00000000099</v>
      </c>
      <c r="DI15" s="462"/>
      <c r="FL15" s="462"/>
      <c r="FM15" s="462"/>
      <c r="JG15" s="462"/>
      <c r="JH15" s="462"/>
      <c r="JI15" s="463"/>
      <c r="JJ15" s="462"/>
      <c r="ON15" s="462">
        <f>S11/1000</f>
        <v>180889.69099999999</v>
      </c>
      <c r="OO15" s="462">
        <f>(S25+S48+S34)/1000</f>
        <v>53829.832000000002</v>
      </c>
      <c r="OQ15" s="462" t="e">
        <f>SUM(OQ16:OQ17)</f>
        <v>#REF!</v>
      </c>
      <c r="PE15" s="464"/>
      <c r="PI15" s="462"/>
      <c r="RL15" s="464"/>
      <c r="AGU15" s="462">
        <v>2000</v>
      </c>
      <c r="AIJ15" s="462"/>
      <c r="AIK15" s="462"/>
      <c r="AIL15" s="462"/>
      <c r="AIS15" s="465"/>
      <c r="AIT15" s="462"/>
      <c r="AIU15" s="462"/>
    </row>
    <row r="16" spans="2:932" ht="15.75" thickBot="1" x14ac:dyDescent="0.3">
      <c r="B16" s="1676"/>
      <c r="C16" s="466" t="s">
        <v>81</v>
      </c>
      <c r="D16" s="467">
        <v>0.5</v>
      </c>
      <c r="E16" s="468" t="s">
        <v>25</v>
      </c>
      <c r="F16" s="461">
        <v>0.42</v>
      </c>
      <c r="G16" s="461">
        <v>0.43545454545454548</v>
      </c>
      <c r="H16" s="1545">
        <v>0.42375000000000007</v>
      </c>
      <c r="I16" s="461">
        <v>0.42</v>
      </c>
      <c r="J16" s="1552">
        <v>0.43187500000000006</v>
      </c>
      <c r="K16" s="461">
        <v>0.45375000000000004</v>
      </c>
      <c r="L16" s="461">
        <v>0.41795454545454547</v>
      </c>
      <c r="M16" s="461">
        <v>0.43083333333333335</v>
      </c>
      <c r="N16" s="461">
        <v>0.41401234567901246</v>
      </c>
      <c r="O16" s="461">
        <f>'[31]Oktober- 2024'!$AM$14</f>
        <v>0.37321428571428578</v>
      </c>
      <c r="P16" s="461">
        <f>'November 2024'!AL14</f>
        <v>0.43416666666666665</v>
      </c>
      <c r="Q16" s="461" t="e">
        <f>'[24]Desember 24'!AL15</f>
        <v>#DIV/0!</v>
      </c>
      <c r="R16" s="723"/>
      <c r="S16" s="59">
        <f>AVERAGE(F16:P16)</f>
        <v>0.42318279293658084</v>
      </c>
      <c r="T16" s="673" t="e">
        <f t="shared" si="3"/>
        <v>#DIV/0!</v>
      </c>
      <c r="U16" s="774" t="e">
        <f t="shared" si="3"/>
        <v>#DIV/0!</v>
      </c>
      <c r="V16" s="63"/>
      <c r="W16" s="1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Q16" s="63"/>
      <c r="AS16" s="456"/>
      <c r="AT16" s="456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U16" s="1"/>
      <c r="BV16" s="1"/>
      <c r="BW16" s="143"/>
      <c r="BX16" s="1"/>
      <c r="CZ16" s="1"/>
      <c r="DD16" s="469"/>
      <c r="DE16" s="470" t="s">
        <v>332</v>
      </c>
      <c r="DF16" s="471">
        <f>DF15/(DF7/1000)</f>
        <v>92.440598177871138</v>
      </c>
      <c r="DG16" s="472">
        <f>DG15/(DG7/1000)</f>
        <v>94.321926237642941</v>
      </c>
      <c r="DH16" s="473">
        <f>DH15/(DH7/1000)</f>
        <v>98.152568193209206</v>
      </c>
      <c r="DI16" s="143"/>
      <c r="FL16" s="143"/>
      <c r="JG16" s="143"/>
      <c r="JH16" s="462"/>
      <c r="JI16" s="143"/>
      <c r="JJ16" s="143"/>
      <c r="ON16" s="474"/>
      <c r="OO16" s="474"/>
      <c r="OQ16" s="474" t="e">
        <f>#REF!/1000</f>
        <v>#REF!</v>
      </c>
      <c r="OR16" s="146" t="e">
        <f>OQ16/OQ15*100</f>
        <v>#REF!</v>
      </c>
      <c r="PE16" s="146"/>
      <c r="PI16" s="143"/>
      <c r="RL16" s="146"/>
      <c r="AGT16" s="475">
        <v>0.94199999999999995</v>
      </c>
      <c r="AGU16" s="142">
        <f>AGT16*AGU15</f>
        <v>1884</v>
      </c>
      <c r="AGV16" s="1" t="s">
        <v>16</v>
      </c>
      <c r="AIJ16" s="142"/>
      <c r="AIK16" s="142"/>
      <c r="AIL16" s="142"/>
      <c r="AIS16" s="2" t="s">
        <v>63</v>
      </c>
      <c r="AIT16" s="142">
        <v>9594130</v>
      </c>
      <c r="AIU16" s="142">
        <f>S26</f>
        <v>41876768</v>
      </c>
      <c r="AIV16" s="4">
        <f>AIT16-AIU16</f>
        <v>-32282638</v>
      </c>
    </row>
    <row r="17" spans="2:932" x14ac:dyDescent="0.25">
      <c r="B17" s="1676"/>
      <c r="C17" s="466" t="s">
        <v>80</v>
      </c>
      <c r="D17" s="476" t="s">
        <v>79</v>
      </c>
      <c r="E17" s="468" t="s">
        <v>25</v>
      </c>
      <c r="F17" s="461">
        <v>2.21</v>
      </c>
      <c r="G17" s="461">
        <v>2.2127272727272729</v>
      </c>
      <c r="H17" s="1545">
        <v>2.2104166666666671</v>
      </c>
      <c r="I17" s="461">
        <v>2.21</v>
      </c>
      <c r="J17" s="1552">
        <v>2.2100000000000004</v>
      </c>
      <c r="K17" s="461">
        <v>2.2100000000000004</v>
      </c>
      <c r="L17" s="461">
        <v>2.1131818181818183</v>
      </c>
      <c r="M17" s="461">
        <v>2.2129285714285718</v>
      </c>
      <c r="N17" s="461">
        <v>2.27</v>
      </c>
      <c r="O17" s="461">
        <f>'[31]Oktober- 2024'!$AM$15</f>
        <v>19.655749999999994</v>
      </c>
      <c r="P17" s="461">
        <f>'November 2024'!AL15</f>
        <v>2.0150000000000001</v>
      </c>
      <c r="Q17" s="477" t="e">
        <f>'[24]Desember 24'!AL16</f>
        <v>#DIV/0!</v>
      </c>
      <c r="R17" s="723"/>
      <c r="S17" s="59">
        <f>AVERAGE(F17:P17)</f>
        <v>3.7754549390003933</v>
      </c>
      <c r="T17" s="673" t="e">
        <f t="shared" si="3"/>
        <v>#DIV/0!</v>
      </c>
      <c r="U17" s="774" t="e">
        <f t="shared" si="3"/>
        <v>#DIV/0!</v>
      </c>
      <c r="V17" s="63"/>
      <c r="W17" s="1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Q17" s="63"/>
      <c r="AS17" s="456"/>
      <c r="AT17" s="456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U17" s="1"/>
      <c r="BV17" s="1"/>
      <c r="BW17" s="143"/>
      <c r="BX17" s="1"/>
      <c r="CZ17" s="1"/>
      <c r="DI17" s="143"/>
      <c r="FL17" s="143"/>
      <c r="JG17" s="143"/>
      <c r="JH17" s="143"/>
      <c r="JI17" s="143"/>
      <c r="JJ17" s="143"/>
      <c r="ON17" s="143">
        <f>SUM(ON15:ON16)</f>
        <v>180889.69099999999</v>
      </c>
      <c r="OO17" s="143">
        <f>SUM(OO15:OO16)</f>
        <v>53829.832000000002</v>
      </c>
      <c r="OQ17" s="474" t="e">
        <f>#REF!/1000</f>
        <v>#REF!</v>
      </c>
      <c r="OR17" s="146" t="e">
        <f>OQ17/OQ15*100</f>
        <v>#REF!</v>
      </c>
      <c r="PE17" s="146"/>
      <c r="PI17" s="143"/>
      <c r="RL17" s="146"/>
      <c r="AGT17" s="478">
        <v>0.05</v>
      </c>
      <c r="AGU17" s="142">
        <f>AGT17*AGU15</f>
        <v>100</v>
      </c>
      <c r="AIJ17" s="142"/>
      <c r="AIK17" s="142"/>
      <c r="AIL17" s="142"/>
      <c r="AIS17" s="2" t="s">
        <v>62</v>
      </c>
      <c r="AIT17" s="142">
        <v>2161151</v>
      </c>
      <c r="AIU17" s="142">
        <f>S27</f>
        <v>8544076</v>
      </c>
      <c r="AIV17" s="4">
        <f>AIT17-AIU17</f>
        <v>-6382925</v>
      </c>
    </row>
    <row r="18" spans="2:932" x14ac:dyDescent="0.25">
      <c r="B18" s="1676"/>
      <c r="C18" s="479" t="s">
        <v>78</v>
      </c>
      <c r="D18" s="480"/>
      <c r="E18" s="481"/>
      <c r="F18" s="443"/>
      <c r="G18" s="443"/>
      <c r="H18" s="535"/>
      <c r="I18" s="443"/>
      <c r="J18" s="536"/>
      <c r="K18" s="443"/>
      <c r="L18" s="443"/>
      <c r="M18" s="443"/>
      <c r="N18" s="443"/>
      <c r="O18" s="443"/>
      <c r="P18" s="443"/>
      <c r="Q18" s="443"/>
      <c r="R18" s="724"/>
      <c r="S18" s="715" t="s">
        <v>78</v>
      </c>
      <c r="T18" s="674" t="s">
        <v>78</v>
      </c>
      <c r="U18" s="777" t="s">
        <v>78</v>
      </c>
      <c r="V18" s="63"/>
      <c r="W18" s="1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Q18" s="63"/>
      <c r="AS18" s="456"/>
      <c r="AT18" s="45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4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U18" s="1"/>
      <c r="BV18" s="1"/>
      <c r="BW18" s="143"/>
      <c r="BX18" s="1"/>
      <c r="CZ18" s="1"/>
      <c r="DE18" s="5"/>
      <c r="DF18" s="143"/>
      <c r="DG18" s="143"/>
      <c r="DH18" s="143"/>
      <c r="DI18" s="143"/>
      <c r="FL18" s="143"/>
      <c r="JG18" s="143"/>
      <c r="JH18" s="143"/>
      <c r="JI18" s="143"/>
      <c r="JJ18" s="143"/>
      <c r="ON18" s="146">
        <f>ON17/ON11*100</f>
        <v>671.30174215555644</v>
      </c>
      <c r="OO18" s="146">
        <f>OO17/OO11*100</f>
        <v>309.66524092318349</v>
      </c>
      <c r="OQ18" s="143"/>
      <c r="PE18" s="146"/>
      <c r="PI18" s="143"/>
      <c r="RL18" s="146"/>
      <c r="AEF18" s="415" t="s">
        <v>333</v>
      </c>
      <c r="AEG18" s="415"/>
      <c r="AEH18" s="415"/>
      <c r="AEI18" s="415"/>
      <c r="AEJ18" s="415"/>
      <c r="AEK18" s="415"/>
      <c r="AEL18" s="415"/>
      <c r="AEM18" s="415"/>
      <c r="AEN18" s="415"/>
      <c r="AEO18" s="415"/>
      <c r="AEP18" s="5" t="s">
        <v>334</v>
      </c>
      <c r="AEQ18" s="415" t="s">
        <v>335</v>
      </c>
      <c r="AGU18" s="142"/>
      <c r="AIJ18" s="142"/>
      <c r="AIK18" s="142"/>
      <c r="AIL18" s="142"/>
      <c r="AIT18" s="142"/>
      <c r="AIU18" s="142"/>
    </row>
    <row r="19" spans="2:932" ht="15.75" thickBot="1" x14ac:dyDescent="0.3">
      <c r="B19" s="1676"/>
      <c r="C19" s="482" t="s">
        <v>77</v>
      </c>
      <c r="D19" s="446">
        <f>D56%*D11</f>
        <v>660718800</v>
      </c>
      <c r="E19" s="483" t="s">
        <v>14</v>
      </c>
      <c r="F19" s="448">
        <v>11255730</v>
      </c>
      <c r="G19" s="448">
        <v>11075536</v>
      </c>
      <c r="H19" s="1544">
        <v>16117978</v>
      </c>
      <c r="I19" s="1558">
        <v>8393524</v>
      </c>
      <c r="J19" s="1551">
        <v>14773343</v>
      </c>
      <c r="K19" s="448">
        <v>8432668</v>
      </c>
      <c r="L19" s="448">
        <v>14396709</v>
      </c>
      <c r="M19" s="448">
        <v>22151806.199999999</v>
      </c>
      <c r="N19" s="448">
        <v>22783491</v>
      </c>
      <c r="O19" s="448">
        <v>22361608</v>
      </c>
      <c r="P19" s="448">
        <f>'November 2024'!AL18</f>
        <v>19958156</v>
      </c>
      <c r="Q19" s="448">
        <f>'[24]Desember 24'!AL18</f>
        <v>0</v>
      </c>
      <c r="R19" s="723"/>
      <c r="S19" s="104">
        <f>SUM(F19:P19)</f>
        <v>171700549.19999999</v>
      </c>
      <c r="T19" s="671">
        <v>399336000</v>
      </c>
      <c r="U19" s="776">
        <f>S19/T19*100</f>
        <v>42.996511509105112</v>
      </c>
      <c r="V19" s="63"/>
      <c r="W19" s="1538"/>
      <c r="X19" s="63"/>
      <c r="Y19" s="1635">
        <f>S19/11</f>
        <v>15609140.836363636</v>
      </c>
      <c r="Z19" s="63" t="s">
        <v>197</v>
      </c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Q19" s="63"/>
      <c r="AS19" s="437"/>
      <c r="AT19" s="437"/>
      <c r="AU19" s="3"/>
      <c r="AV19" s="1"/>
      <c r="AW19" s="364">
        <f>AW20/D19</f>
        <v>0.26115599404769474</v>
      </c>
      <c r="AX19" s="1"/>
      <c r="AY19" s="1"/>
      <c r="AZ19" s="1"/>
      <c r="BA19" s="1"/>
      <c r="BB19" s="1"/>
      <c r="BC19" s="1"/>
      <c r="BD19" s="1"/>
      <c r="BE19" s="14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U19" s="1"/>
      <c r="BV19" s="1"/>
      <c r="BW19" s="142"/>
      <c r="BX19" s="1"/>
      <c r="CZ19" s="1"/>
      <c r="DD19" s="484" t="s">
        <v>336</v>
      </c>
      <c r="DE19" s="5"/>
      <c r="DF19" s="142"/>
      <c r="DG19" s="142"/>
      <c r="DH19" s="142"/>
      <c r="DI19" s="142"/>
      <c r="FL19" s="142"/>
      <c r="JG19" s="142"/>
      <c r="JH19" s="142"/>
      <c r="JI19" s="142"/>
      <c r="JJ19" s="142"/>
      <c r="ON19" s="142"/>
      <c r="OO19" s="142"/>
      <c r="OQ19" s="142"/>
      <c r="PE19" s="485"/>
      <c r="PI19" s="142"/>
      <c r="RL19" s="485"/>
      <c r="AED19" s="142">
        <v>136359.999999986</v>
      </c>
      <c r="AEE19" s="142">
        <v>109339.999999997</v>
      </c>
      <c r="AEF19" s="486">
        <f>SUM(AED19:AEE19)</f>
        <v>245699.999999983</v>
      </c>
      <c r="AEP19" s="142">
        <v>34157.880000005498</v>
      </c>
      <c r="AEQ19" s="486">
        <f>AEF19-AEP19</f>
        <v>211542.1199999775</v>
      </c>
      <c r="AGU19" s="142">
        <f>AGU16</f>
        <v>1884</v>
      </c>
      <c r="AIJ19" s="142"/>
      <c r="AIK19" s="142"/>
      <c r="AIL19" s="142"/>
      <c r="AIT19" s="142"/>
      <c r="AIU19" s="142"/>
    </row>
    <row r="20" spans="2:932" x14ac:dyDescent="0.25">
      <c r="B20" s="1676"/>
      <c r="C20" s="482" t="s">
        <v>64</v>
      </c>
      <c r="D20" s="446">
        <f>D57%*D11</f>
        <v>35070000</v>
      </c>
      <c r="E20" s="483" t="s">
        <v>14</v>
      </c>
      <c r="F20" s="448">
        <v>568791</v>
      </c>
      <c r="G20" s="448">
        <v>594383</v>
      </c>
      <c r="H20" s="1544">
        <v>753150</v>
      </c>
      <c r="I20" s="1558">
        <v>419494</v>
      </c>
      <c r="J20" s="1551">
        <v>630157</v>
      </c>
      <c r="K20" s="448">
        <v>432588</v>
      </c>
      <c r="L20" s="448">
        <v>713632</v>
      </c>
      <c r="M20" s="448">
        <v>947460</v>
      </c>
      <c r="N20" s="448">
        <v>998518</v>
      </c>
      <c r="O20" s="448">
        <v>949170</v>
      </c>
      <c r="P20" s="448">
        <f>'November 2024'!AL19</f>
        <v>870458</v>
      </c>
      <c r="Q20" s="448">
        <f>'[24]Desember 24'!AL19</f>
        <v>0</v>
      </c>
      <c r="R20" s="723"/>
      <c r="S20" s="58">
        <f>SUM(F20:P20)</f>
        <v>7877801</v>
      </c>
      <c r="T20" s="675">
        <v>19024000</v>
      </c>
      <c r="U20" s="776">
        <f>S20/T20*100</f>
        <v>41.409803406223716</v>
      </c>
      <c r="V20" s="63"/>
      <c r="W20" s="1"/>
      <c r="X20" s="63"/>
      <c r="Y20" s="1635">
        <f>S20/11</f>
        <v>716163.72727272729</v>
      </c>
      <c r="Z20" s="63" t="s">
        <v>64</v>
      </c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Q20" s="63"/>
      <c r="AS20" s="437"/>
      <c r="AT20" s="437"/>
      <c r="AU20" s="3"/>
      <c r="AV20" s="1"/>
      <c r="AW20" s="3">
        <f>S25+S29+S34+S48+S38</f>
        <v>172550675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U20" s="1"/>
      <c r="BV20" s="1"/>
      <c r="BW20" s="142"/>
      <c r="BX20" s="1"/>
      <c r="CZ20" s="1"/>
      <c r="DD20" s="487" t="s">
        <v>289</v>
      </c>
      <c r="DE20" s="488"/>
      <c r="DF20" s="489" t="s">
        <v>219</v>
      </c>
      <c r="DG20" s="490" t="s">
        <v>337</v>
      </c>
      <c r="DH20" s="491"/>
      <c r="DI20" s="142"/>
      <c r="FL20" s="142"/>
      <c r="JG20" s="142"/>
      <c r="JH20" s="142"/>
      <c r="JI20" s="142"/>
      <c r="JJ20" s="142"/>
      <c r="ON20" s="142">
        <f>ON11-ON17</f>
        <v>-153943.58321556888</v>
      </c>
      <c r="OO20" s="142">
        <f>OO11-OO17</f>
        <v>-36446.598467065902</v>
      </c>
      <c r="OQ20" s="492" t="s">
        <v>338</v>
      </c>
      <c r="OR20" s="493">
        <v>0</v>
      </c>
      <c r="PD20" s="142">
        <v>564.70506750000004</v>
      </c>
      <c r="PE20" s="485">
        <f>OR20/PD20*100</f>
        <v>0</v>
      </c>
      <c r="PH20" s="478"/>
      <c r="PI20" s="142"/>
      <c r="RL20" s="485"/>
      <c r="AED20" s="142">
        <v>13799.9999999993</v>
      </c>
      <c r="AEE20" s="142">
        <v>2799.9999999992701</v>
      </c>
      <c r="AEF20" s="486">
        <f>SUM(AED20:AEE20)</f>
        <v>16599.99999999857</v>
      </c>
      <c r="AEP20" s="142">
        <v>1469.85000000024</v>
      </c>
      <c r="AEQ20" s="486">
        <f>AEF20-AEP20</f>
        <v>15130.14999999833</v>
      </c>
      <c r="AGT20" s="478">
        <v>0.75</v>
      </c>
      <c r="AGU20" s="142">
        <f>AGT20*AGU19</f>
        <v>1413</v>
      </c>
      <c r="AIJ20" s="142"/>
      <c r="AIK20" s="142"/>
      <c r="AIL20" s="142"/>
      <c r="AIT20" s="142"/>
      <c r="AIU20" s="142"/>
    </row>
    <row r="21" spans="2:932" x14ac:dyDescent="0.25">
      <c r="B21" s="1676"/>
      <c r="C21" s="721" t="s">
        <v>359</v>
      </c>
      <c r="D21" s="446"/>
      <c r="E21" s="500"/>
      <c r="F21" s="443"/>
      <c r="G21" s="443"/>
      <c r="H21" s="535"/>
      <c r="I21" s="443"/>
      <c r="J21" s="536"/>
      <c r="K21" s="443"/>
      <c r="L21" s="443"/>
      <c r="M21" s="443"/>
      <c r="N21" s="443"/>
      <c r="O21" s="443"/>
      <c r="P21" s="519"/>
      <c r="Q21" s="519"/>
      <c r="R21" s="723"/>
      <c r="S21" s="58"/>
      <c r="T21" s="675"/>
      <c r="U21" s="776"/>
      <c r="V21" s="63"/>
      <c r="W21" s="1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Q21" s="63"/>
      <c r="AS21" s="437"/>
      <c r="AT21" s="437"/>
      <c r="AU21" s="3"/>
      <c r="AV21" s="1"/>
      <c r="AW21" s="3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42"/>
      <c r="BX21" s="1"/>
      <c r="CZ21" s="1"/>
      <c r="DD21" s="762"/>
      <c r="DE21" s="763"/>
      <c r="DF21" s="764"/>
      <c r="DG21" s="765"/>
      <c r="DH21" s="766"/>
      <c r="DI21" s="142"/>
      <c r="FL21" s="142"/>
      <c r="JG21" s="142"/>
      <c r="JH21" s="142"/>
      <c r="JI21" s="142"/>
      <c r="JJ21" s="142"/>
      <c r="ON21" s="142"/>
      <c r="OO21" s="142"/>
      <c r="OQ21" s="492"/>
      <c r="OR21" s="493"/>
      <c r="PD21" s="142"/>
      <c r="PE21" s="485"/>
      <c r="PH21" s="478"/>
      <c r="PI21" s="142"/>
      <c r="RL21" s="485"/>
      <c r="AED21" s="142"/>
      <c r="AEE21" s="142"/>
      <c r="AEF21" s="486"/>
      <c r="AEP21" s="142"/>
      <c r="AEQ21" s="486"/>
      <c r="AGT21" s="478"/>
      <c r="AGU21" s="142"/>
      <c r="AIJ21" s="142"/>
      <c r="AIK21" s="142"/>
      <c r="AIL21" s="142"/>
      <c r="AIT21" s="142"/>
      <c r="AIU21" s="142"/>
    </row>
    <row r="22" spans="2:932" x14ac:dyDescent="0.25">
      <c r="B22" s="1676"/>
      <c r="C22" s="65" t="s">
        <v>362</v>
      </c>
      <c r="D22" s="768">
        <f>399289.3*1000</f>
        <v>399289300</v>
      </c>
      <c r="E22" s="483" t="s">
        <v>14</v>
      </c>
      <c r="F22" s="448">
        <f>F23</f>
        <v>13630524</v>
      </c>
      <c r="G22" s="448">
        <f t="shared" ref="G22" si="4">G23</f>
        <v>8090413</v>
      </c>
      <c r="H22" s="1544">
        <f t="shared" ref="H22:M22" si="5">H23</f>
        <v>16273198</v>
      </c>
      <c r="I22" s="448">
        <f t="shared" si="5"/>
        <v>9676196</v>
      </c>
      <c r="J22" s="1551">
        <f t="shared" si="5"/>
        <v>14816948</v>
      </c>
      <c r="K22" s="448">
        <f t="shared" si="5"/>
        <v>7764784</v>
      </c>
      <c r="L22" s="448">
        <f t="shared" si="5"/>
        <v>11846463</v>
      </c>
      <c r="M22" s="448">
        <f t="shared" si="5"/>
        <v>24206356</v>
      </c>
      <c r="N22" s="58">
        <v>22592969</v>
      </c>
      <c r="O22" s="448">
        <v>20122000</v>
      </c>
      <c r="P22" s="448">
        <f>'November 2024'!AL23</f>
        <v>21737836</v>
      </c>
      <c r="Q22" s="448"/>
      <c r="R22" s="723"/>
      <c r="S22" s="769">
        <f>SUM(F22:P22)</f>
        <v>170757687</v>
      </c>
      <c r="T22" s="675"/>
      <c r="U22" s="776"/>
      <c r="V22" s="1073"/>
      <c r="W22" s="1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Q22" s="63"/>
      <c r="AS22" s="437"/>
      <c r="AT22" s="437"/>
      <c r="AU22" s="3"/>
      <c r="AV22" s="1"/>
      <c r="AW22" s="3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1"/>
      <c r="BW22" s="142"/>
      <c r="BX22" s="1"/>
      <c r="CZ22" s="1"/>
      <c r="DD22" s="762"/>
      <c r="DE22" s="763"/>
      <c r="DF22" s="764"/>
      <c r="DG22" s="765"/>
      <c r="DH22" s="766"/>
      <c r="DI22" s="142"/>
      <c r="FL22" s="142"/>
      <c r="JG22" s="142"/>
      <c r="JH22" s="142"/>
      <c r="JI22" s="142"/>
      <c r="JJ22" s="142"/>
      <c r="ON22" s="142"/>
      <c r="OO22" s="142"/>
      <c r="OQ22" s="492"/>
      <c r="OR22" s="493"/>
      <c r="PD22" s="142"/>
      <c r="PE22" s="485"/>
      <c r="PH22" s="478"/>
      <c r="PI22" s="142"/>
      <c r="RL22" s="485"/>
      <c r="AED22" s="142"/>
      <c r="AEE22" s="142"/>
      <c r="AEF22" s="486"/>
      <c r="AEP22" s="142"/>
      <c r="AEQ22" s="486"/>
      <c r="AGT22" s="478"/>
      <c r="AGU22" s="142"/>
      <c r="AIJ22" s="142"/>
      <c r="AIK22" s="142"/>
      <c r="AIL22" s="142"/>
      <c r="AIT22" s="142"/>
      <c r="AIU22" s="142"/>
    </row>
    <row r="23" spans="2:932" x14ac:dyDescent="0.25">
      <c r="B23" s="1676"/>
      <c r="C23" s="14" t="s">
        <v>361</v>
      </c>
      <c r="D23" s="767"/>
      <c r="E23" s="500" t="s">
        <v>14</v>
      </c>
      <c r="F23" s="443">
        <f t="shared" ref="F23:N23" si="6">SUM(F25,F29,F34,F38,F48)</f>
        <v>13630524</v>
      </c>
      <c r="G23" s="443">
        <f t="shared" si="6"/>
        <v>8090413</v>
      </c>
      <c r="H23" s="535">
        <f t="shared" si="6"/>
        <v>16273198</v>
      </c>
      <c r="I23" s="443">
        <f t="shared" si="6"/>
        <v>9676196</v>
      </c>
      <c r="J23" s="536">
        <f t="shared" si="6"/>
        <v>14816948</v>
      </c>
      <c r="K23" s="443">
        <f t="shared" si="6"/>
        <v>7764784</v>
      </c>
      <c r="L23" s="443">
        <f t="shared" si="6"/>
        <v>11846463</v>
      </c>
      <c r="M23" s="443">
        <f t="shared" si="6"/>
        <v>24206356</v>
      </c>
      <c r="N23" s="443">
        <f t="shared" si="6"/>
        <v>23189025</v>
      </c>
      <c r="O23" s="443">
        <f>'[31]Oktober- 2024'!$AM$25</f>
        <v>18946789</v>
      </c>
      <c r="P23" s="443">
        <f>'November 2024'!AL25</f>
        <v>22537659</v>
      </c>
      <c r="Q23" s="443"/>
      <c r="R23" s="723"/>
      <c r="S23" s="770">
        <f>SUM(F23:P23)</f>
        <v>170978355</v>
      </c>
      <c r="T23" s="675"/>
      <c r="U23" s="776"/>
      <c r="V23" s="63"/>
      <c r="W23" s="1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Q23" s="63"/>
      <c r="AS23" s="437"/>
      <c r="AT23" s="437"/>
      <c r="AU23" s="3"/>
      <c r="AV23" s="1"/>
      <c r="AW23" s="3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U23" s="1"/>
      <c r="BV23" s="1"/>
      <c r="BW23" s="142"/>
      <c r="BX23" s="1"/>
      <c r="CZ23" s="1"/>
      <c r="DD23" s="762"/>
      <c r="DE23" s="763"/>
      <c r="DF23" s="764"/>
      <c r="DG23" s="765"/>
      <c r="DH23" s="766"/>
      <c r="DI23" s="142"/>
      <c r="FL23" s="142"/>
      <c r="JG23" s="142"/>
      <c r="JH23" s="142"/>
      <c r="JI23" s="142"/>
      <c r="JJ23" s="142"/>
      <c r="ON23" s="142"/>
      <c r="OO23" s="142"/>
      <c r="OQ23" s="492"/>
      <c r="OR23" s="493"/>
      <c r="PD23" s="142"/>
      <c r="PE23" s="485"/>
      <c r="PH23" s="478"/>
      <c r="PI23" s="142"/>
      <c r="RL23" s="485"/>
      <c r="AED23" s="142"/>
      <c r="AEE23" s="142"/>
      <c r="AEF23" s="486"/>
      <c r="AEP23" s="142"/>
      <c r="AEQ23" s="486"/>
      <c r="AGT23" s="478"/>
      <c r="AGU23" s="142"/>
      <c r="AIJ23" s="142"/>
      <c r="AIK23" s="142"/>
      <c r="AIL23" s="142"/>
      <c r="AIT23" s="142"/>
      <c r="AIU23" s="142"/>
    </row>
    <row r="24" spans="2:932" ht="15.75" thickBot="1" x14ac:dyDescent="0.3">
      <c r="B24" s="1676"/>
      <c r="C24" s="494" t="s">
        <v>76</v>
      </c>
      <c r="D24" s="495"/>
      <c r="E24" s="496"/>
      <c r="F24" s="433"/>
      <c r="G24" s="433"/>
      <c r="H24" s="1543"/>
      <c r="I24" s="433"/>
      <c r="J24" s="1553"/>
      <c r="K24" s="433"/>
      <c r="L24" s="433"/>
      <c r="M24" s="433"/>
      <c r="N24" s="433"/>
      <c r="O24" s="433"/>
      <c r="P24" s="433"/>
      <c r="Q24" s="433"/>
      <c r="R24" s="723"/>
      <c r="S24" s="716" t="s">
        <v>63</v>
      </c>
      <c r="T24" s="676" t="s">
        <v>63</v>
      </c>
      <c r="U24" s="778" t="s">
        <v>63</v>
      </c>
      <c r="V24" s="63"/>
      <c r="W24" s="1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Q24" s="63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U24" s="1"/>
      <c r="BV24" s="1"/>
      <c r="BW24" s="1"/>
      <c r="BX24" s="1"/>
      <c r="CZ24" s="1"/>
      <c r="DD24" s="425"/>
      <c r="DE24" s="497"/>
      <c r="DF24" s="427">
        <v>24</v>
      </c>
      <c r="DG24" s="428">
        <v>2</v>
      </c>
      <c r="DH24" s="429">
        <v>3</v>
      </c>
      <c r="OQ24" s="492" t="s">
        <v>61</v>
      </c>
      <c r="OR24" s="498">
        <f>80.53776+PE34</f>
        <v>120.78492</v>
      </c>
      <c r="PD24" s="142">
        <v>4695.7554</v>
      </c>
      <c r="PE24" s="485">
        <f>OR24/PD24*100</f>
        <v>2.5722148985869238</v>
      </c>
      <c r="AGT24" s="478">
        <v>0.25</v>
      </c>
      <c r="AGU24" s="142">
        <f>AGT24*AGU19</f>
        <v>471</v>
      </c>
    </row>
    <row r="25" spans="2:932" x14ac:dyDescent="0.25">
      <c r="B25" s="1676"/>
      <c r="C25" s="482" t="s">
        <v>75</v>
      </c>
      <c r="D25" s="499">
        <f>SUM(D26:D27)</f>
        <v>0</v>
      </c>
      <c r="E25" s="500" t="s">
        <v>14</v>
      </c>
      <c r="F25" s="443">
        <v>2379082</v>
      </c>
      <c r="G25" s="443">
        <v>50570</v>
      </c>
      <c r="H25" s="535">
        <v>1699905</v>
      </c>
      <c r="I25" s="443">
        <f>'[24]April 24'!AL21</f>
        <v>0</v>
      </c>
      <c r="J25" s="536">
        <v>0</v>
      </c>
      <c r="K25" s="443">
        <v>0</v>
      </c>
      <c r="L25" s="443">
        <v>160400</v>
      </c>
      <c r="M25" s="443">
        <v>14223412</v>
      </c>
      <c r="N25" s="443">
        <v>16566545</v>
      </c>
      <c r="O25" s="443">
        <v>9370708</v>
      </c>
      <c r="P25" s="443">
        <f>'November 2024'!AL28</f>
        <v>5970222</v>
      </c>
      <c r="Q25" s="443">
        <f t="shared" ref="Q25" si="7">Q26+Q27</f>
        <v>0</v>
      </c>
      <c r="R25" s="723"/>
      <c r="S25" s="58">
        <f>S26+S27</f>
        <v>50420844</v>
      </c>
      <c r="T25" s="671">
        <f>T26+T27</f>
        <v>87311000</v>
      </c>
      <c r="U25" s="776">
        <f>S25/T25*100</f>
        <v>57.748558600863575</v>
      </c>
      <c r="V25" s="63"/>
      <c r="W25" s="1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Q25" s="63"/>
      <c r="AS25" s="456"/>
      <c r="AT25" s="456"/>
      <c r="AU25" s="1"/>
      <c r="AV25" s="1"/>
      <c r="AW25" s="3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43"/>
      <c r="BX25" s="1"/>
      <c r="CZ25" s="1"/>
      <c r="DD25" s="435" t="s">
        <v>321</v>
      </c>
      <c r="DE25" s="5" t="s">
        <v>14</v>
      </c>
      <c r="DF25" s="436">
        <v>2000530</v>
      </c>
      <c r="DG25" s="456">
        <v>2005167</v>
      </c>
      <c r="DH25" s="438">
        <v>2025879</v>
      </c>
      <c r="DI25" s="143"/>
      <c r="FL25" s="143"/>
      <c r="JG25" s="143"/>
      <c r="JH25" s="143"/>
      <c r="JI25" s="143"/>
      <c r="JJ25" s="143"/>
      <c r="ON25" s="143"/>
      <c r="OO25" s="143"/>
      <c r="OQ25" s="143"/>
      <c r="PE25" s="146"/>
      <c r="PI25" s="143"/>
      <c r="RL25" s="146"/>
      <c r="AED25" s="4">
        <f>95.28%*AED11</f>
        <v>34157.880000005527</v>
      </c>
      <c r="AEF25" s="4">
        <f>AED19-AEP19</f>
        <v>102202.1199999805</v>
      </c>
      <c r="AGU25" s="142"/>
      <c r="AIJ25" s="142"/>
      <c r="AIK25" s="142"/>
      <c r="AIL25" s="142"/>
      <c r="AIP25" s="1" t="s">
        <v>339</v>
      </c>
    </row>
    <row r="26" spans="2:932" x14ac:dyDescent="0.25">
      <c r="B26" s="1676"/>
      <c r="C26" s="482" t="s">
        <v>74</v>
      </c>
      <c r="D26" s="499"/>
      <c r="E26" s="483" t="s">
        <v>14</v>
      </c>
      <c r="F26" s="448">
        <v>1982807</v>
      </c>
      <c r="G26" s="448">
        <v>42320</v>
      </c>
      <c r="H26" s="1544">
        <v>1394887</v>
      </c>
      <c r="I26" s="448">
        <f>'[24]April 24'!AL22</f>
        <v>0</v>
      </c>
      <c r="J26" s="1551">
        <v>0</v>
      </c>
      <c r="K26" s="448">
        <v>0</v>
      </c>
      <c r="L26" s="448">
        <v>135300</v>
      </c>
      <c r="M26" s="448">
        <v>11670227</v>
      </c>
      <c r="N26" s="448">
        <v>13789795</v>
      </c>
      <c r="O26" s="448">
        <v>7870678</v>
      </c>
      <c r="P26" s="448">
        <f>'November 2024'!AL29</f>
        <v>4990754</v>
      </c>
      <c r="Q26" s="448">
        <f>'[24]Desember 24'!AL22</f>
        <v>0</v>
      </c>
      <c r="R26" s="723"/>
      <c r="S26" s="58">
        <f>SUM(F26:P26)</f>
        <v>41876768</v>
      </c>
      <c r="T26" s="675">
        <v>71627000</v>
      </c>
      <c r="U26" s="776">
        <f>S26/T26*100</f>
        <v>58.465059265360829</v>
      </c>
      <c r="V26" s="63"/>
      <c r="W26" s="1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Q26" s="63"/>
      <c r="AS26" s="1"/>
      <c r="AT26" s="1"/>
      <c r="AU26" s="3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U26" s="1"/>
      <c r="BV26" s="1"/>
      <c r="BW26" s="1"/>
      <c r="BX26" s="1"/>
      <c r="CZ26" s="1"/>
      <c r="DD26" s="449" t="s">
        <v>328</v>
      </c>
      <c r="DE26" s="450" t="s">
        <v>19</v>
      </c>
      <c r="DF26" s="451">
        <v>255.536188590634</v>
      </c>
      <c r="DG26" s="501">
        <v>255.09239449100701</v>
      </c>
      <c r="DH26" s="453">
        <v>260.824545250543</v>
      </c>
      <c r="ON26" s="474" t="e">
        <f>#REF!/1000</f>
        <v>#REF!</v>
      </c>
      <c r="OQ26" s="502" t="s">
        <v>340</v>
      </c>
      <c r="OR26" s="142">
        <v>0</v>
      </c>
      <c r="PD26" s="142">
        <v>9.7534799999999997</v>
      </c>
      <c r="PE26" s="485">
        <f>(OR26*PD26)/1000</f>
        <v>0</v>
      </c>
      <c r="AED26" s="4">
        <f>4.1%*AED11</f>
        <v>1469.8500000002375</v>
      </c>
      <c r="AEF26" s="4">
        <f>AED20-AEP20</f>
        <v>12330.149999999059</v>
      </c>
    </row>
    <row r="27" spans="2:932" x14ac:dyDescent="0.25">
      <c r="B27" s="1676"/>
      <c r="C27" s="482" t="s">
        <v>73</v>
      </c>
      <c r="D27" s="499"/>
      <c r="E27" s="483" t="s">
        <v>14</v>
      </c>
      <c r="F27" s="448">
        <v>396275</v>
      </c>
      <c r="G27" s="448">
        <v>8250</v>
      </c>
      <c r="H27" s="1544">
        <v>305018</v>
      </c>
      <c r="I27" s="448">
        <f>'[24]April 24'!AL23</f>
        <v>0</v>
      </c>
      <c r="J27" s="1551">
        <v>0</v>
      </c>
      <c r="K27" s="448">
        <v>0</v>
      </c>
      <c r="L27" s="448">
        <v>25100</v>
      </c>
      <c r="M27" s="448">
        <v>2553185</v>
      </c>
      <c r="N27" s="448">
        <v>2776750</v>
      </c>
      <c r="O27" s="448">
        <v>1500030</v>
      </c>
      <c r="P27" s="448">
        <f>'November 2024'!AL30</f>
        <v>979468</v>
      </c>
      <c r="Q27" s="448">
        <f>'[24]Desember 24'!AL23</f>
        <v>0</v>
      </c>
      <c r="R27" s="723"/>
      <c r="S27" s="58">
        <f>SUM(F27:P27)</f>
        <v>8544076</v>
      </c>
      <c r="T27" s="675">
        <v>15684000</v>
      </c>
      <c r="U27" s="776">
        <f>S27/T27*100</f>
        <v>54.47638357561847</v>
      </c>
      <c r="V27" s="63"/>
      <c r="W27" s="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Q27" s="63"/>
      <c r="AS27" s="1"/>
      <c r="AT27" s="1"/>
      <c r="AU27" s="3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U27" s="1"/>
      <c r="BV27" s="1"/>
      <c r="BW27" s="1"/>
      <c r="BX27" s="1"/>
      <c r="CZ27" s="1"/>
      <c r="DD27" s="435" t="s">
        <v>331</v>
      </c>
      <c r="DE27" s="5" t="s">
        <v>14</v>
      </c>
      <c r="DF27" s="436">
        <v>146000</v>
      </c>
      <c r="DG27" s="437">
        <v>151100</v>
      </c>
      <c r="DH27" s="438">
        <v>152900</v>
      </c>
      <c r="ON27" s="142">
        <v>1796</v>
      </c>
      <c r="OP27" s="485"/>
      <c r="OQ27" s="502" t="s">
        <v>341</v>
      </c>
      <c r="OR27" s="474">
        <v>1262</v>
      </c>
      <c r="PD27" s="1">
        <v>10.86</v>
      </c>
      <c r="PE27" s="485">
        <f>(OR27*PD27)/1000</f>
        <v>13.70532</v>
      </c>
      <c r="AIP27" s="2" t="s">
        <v>342</v>
      </c>
    </row>
    <row r="28" spans="2:932" x14ac:dyDescent="0.25">
      <c r="B28" s="1676"/>
      <c r="C28" s="494" t="s">
        <v>105</v>
      </c>
      <c r="D28" s="499"/>
      <c r="E28" s="503"/>
      <c r="F28" s="504"/>
      <c r="G28" s="504"/>
      <c r="H28" s="1546"/>
      <c r="I28" s="504"/>
      <c r="J28" s="1554"/>
      <c r="K28" s="504"/>
      <c r="L28" s="504"/>
      <c r="M28" s="504"/>
      <c r="N28" s="504"/>
      <c r="O28" s="504"/>
      <c r="P28" s="504"/>
      <c r="Q28" s="504"/>
      <c r="R28" s="723"/>
      <c r="S28" s="716" t="s">
        <v>107</v>
      </c>
      <c r="T28" s="676" t="s">
        <v>107</v>
      </c>
      <c r="U28" s="778" t="s">
        <v>107</v>
      </c>
      <c r="V28" s="63"/>
      <c r="W28" s="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Q28" s="63"/>
      <c r="AS28" s="1"/>
      <c r="AT28" s="1"/>
      <c r="AU28" s="3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U28" s="1"/>
      <c r="BV28" s="1"/>
      <c r="BW28" s="1"/>
      <c r="BX28" s="1"/>
      <c r="CZ28" s="1"/>
      <c r="DD28" s="435"/>
      <c r="DE28" s="5"/>
      <c r="DF28" s="436"/>
      <c r="DG28" s="437"/>
      <c r="DH28" s="438"/>
      <c r="ON28" s="142"/>
      <c r="OP28" s="485"/>
      <c r="OQ28" s="502"/>
      <c r="OR28" s="474"/>
      <c r="PD28" s="1"/>
      <c r="PE28" s="485"/>
      <c r="AIP28" s="2"/>
    </row>
    <row r="29" spans="2:932" x14ac:dyDescent="0.25">
      <c r="B29" s="1676"/>
      <c r="C29" s="482" t="s">
        <v>75</v>
      </c>
      <c r="D29" s="499"/>
      <c r="E29" s="483" t="s">
        <v>14</v>
      </c>
      <c r="F29" s="448">
        <v>2827867</v>
      </c>
      <c r="G29" s="448">
        <v>0</v>
      </c>
      <c r="H29" s="1544">
        <v>0</v>
      </c>
      <c r="I29" s="1558">
        <v>60502</v>
      </c>
      <c r="J29" s="1551">
        <v>0</v>
      </c>
      <c r="K29" s="448">
        <v>0</v>
      </c>
      <c r="L29" s="448">
        <v>0</v>
      </c>
      <c r="M29" s="448">
        <v>0</v>
      </c>
      <c r="N29" s="448">
        <v>0</v>
      </c>
      <c r="O29" s="448">
        <f>'[31]Oktober- 2024'!$AM$32</f>
        <v>0</v>
      </c>
      <c r="P29" s="448">
        <f>'November 2024'!AL32</f>
        <v>0</v>
      </c>
      <c r="Q29" s="448">
        <f t="shared" ref="Q29" si="8">Q30+Q31</f>
        <v>0</v>
      </c>
      <c r="R29" s="723"/>
      <c r="S29" s="58">
        <f>S30+S31</f>
        <v>2888369</v>
      </c>
      <c r="T29" s="671">
        <f>T30+T31</f>
        <v>5121000</v>
      </c>
      <c r="U29" s="776">
        <f>S29/T29*100</f>
        <v>56.402440929505957</v>
      </c>
      <c r="V29" s="368"/>
      <c r="W29" s="3">
        <f>S26+S30+S35+S39+S50</f>
        <v>129064029</v>
      </c>
      <c r="X29" s="63"/>
      <c r="Y29" s="1636">
        <f>W29/11</f>
        <v>11733093.545454545</v>
      </c>
      <c r="Z29" s="63" t="s">
        <v>893</v>
      </c>
      <c r="AA29" s="63"/>
      <c r="AB29" s="63"/>
      <c r="AC29" s="63"/>
      <c r="AD29" s="63"/>
      <c r="AE29" s="812"/>
      <c r="AF29" s="812"/>
      <c r="AG29" s="812"/>
      <c r="AH29" s="812"/>
      <c r="AI29" s="812"/>
      <c r="AJ29" s="812"/>
      <c r="AK29" s="812"/>
      <c r="AL29" s="812"/>
      <c r="AM29" s="63"/>
      <c r="AN29" s="63"/>
      <c r="AO29" s="63"/>
      <c r="AQ29" s="63"/>
      <c r="AS29" s="1"/>
      <c r="AT29" s="1"/>
      <c r="AU29" s="3"/>
      <c r="AV29" s="1"/>
      <c r="AW29" s="368">
        <f>S29+S34</f>
        <v>4098296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CZ29" s="1"/>
      <c r="DD29" s="435"/>
      <c r="DE29" s="5"/>
      <c r="DF29" s="436"/>
      <c r="DG29" s="437"/>
      <c r="DH29" s="438"/>
      <c r="ON29" s="142"/>
      <c r="OP29" s="485"/>
      <c r="OQ29" s="502"/>
      <c r="OR29" s="474"/>
      <c r="PD29" s="1"/>
      <c r="PE29" s="485"/>
      <c r="AIP29" s="2"/>
    </row>
    <row r="30" spans="2:932" x14ac:dyDescent="0.25">
      <c r="B30" s="1676"/>
      <c r="C30" s="482" t="s">
        <v>106</v>
      </c>
      <c r="D30" s="499"/>
      <c r="E30" s="483" t="s">
        <v>14</v>
      </c>
      <c r="F30" s="448">
        <v>2230587</v>
      </c>
      <c r="G30" s="448">
        <v>0</v>
      </c>
      <c r="H30" s="1544">
        <v>0</v>
      </c>
      <c r="I30" s="1558">
        <v>45478</v>
      </c>
      <c r="J30" s="1551">
        <v>0</v>
      </c>
      <c r="K30" s="448">
        <v>0</v>
      </c>
      <c r="L30" s="448">
        <v>0</v>
      </c>
      <c r="M30" s="448">
        <v>0</v>
      </c>
      <c r="N30" s="448">
        <v>0</v>
      </c>
      <c r="O30" s="448">
        <f>'[31]Oktober- 2024'!$AM$33</f>
        <v>0</v>
      </c>
      <c r="P30" s="448">
        <f>'November 2024'!AL33</f>
        <v>0</v>
      </c>
      <c r="Q30" s="448">
        <f>'[24]Desember 24'!AL26</f>
        <v>0</v>
      </c>
      <c r="R30" s="723"/>
      <c r="S30" s="58">
        <f>SUM(F30:P30)</f>
        <v>2276065</v>
      </c>
      <c r="T30" s="675">
        <v>3934000</v>
      </c>
      <c r="U30" s="776">
        <f>S30/T30*100</f>
        <v>57.856253177427554</v>
      </c>
      <c r="V30" s="368"/>
      <c r="W30" s="1"/>
      <c r="X30" s="63"/>
      <c r="Y30" s="63"/>
      <c r="Z30" s="63"/>
      <c r="AA30" s="63"/>
      <c r="AB30" s="63"/>
      <c r="AC30" s="63"/>
      <c r="AD30" s="63"/>
      <c r="AE30" s="812"/>
      <c r="AF30" s="812"/>
      <c r="AG30" s="63"/>
      <c r="AH30" s="63"/>
      <c r="AI30" s="63"/>
      <c r="AJ30" s="63"/>
      <c r="AK30" s="63"/>
      <c r="AL30" s="63"/>
      <c r="AM30" s="63"/>
      <c r="AN30" s="63"/>
      <c r="AO30" s="63"/>
      <c r="AQ30" s="63"/>
      <c r="AS30" s="1"/>
      <c r="AT30" s="1"/>
      <c r="AU30" s="3"/>
      <c r="AV30" s="1"/>
      <c r="AW30" s="368">
        <f>S30+S35</f>
        <v>3177959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CZ30" s="1"/>
      <c r="DD30" s="435"/>
      <c r="DE30" s="5"/>
      <c r="DF30" s="436"/>
      <c r="DG30" s="437"/>
      <c r="DH30" s="438"/>
      <c r="ON30" s="142"/>
      <c r="OP30" s="485"/>
      <c r="OQ30" s="502"/>
      <c r="OR30" s="474"/>
      <c r="PD30" s="1"/>
      <c r="PE30" s="485"/>
      <c r="AIP30" s="2"/>
    </row>
    <row r="31" spans="2:932" x14ac:dyDescent="0.25">
      <c r="B31" s="1676"/>
      <c r="C31" s="482" t="s">
        <v>73</v>
      </c>
      <c r="D31" s="499"/>
      <c r="E31" s="483" t="s">
        <v>14</v>
      </c>
      <c r="F31" s="448">
        <v>597280</v>
      </c>
      <c r="G31" s="448">
        <v>0</v>
      </c>
      <c r="H31" s="1544">
        <v>0</v>
      </c>
      <c r="I31" s="1558">
        <v>15024</v>
      </c>
      <c r="J31" s="1551">
        <v>0</v>
      </c>
      <c r="K31" s="448">
        <v>0</v>
      </c>
      <c r="L31" s="448">
        <v>0</v>
      </c>
      <c r="M31" s="448">
        <v>0</v>
      </c>
      <c r="N31" s="448">
        <v>0</v>
      </c>
      <c r="O31" s="448">
        <f>'[31]Oktober- 2024'!$AM$34</f>
        <v>0</v>
      </c>
      <c r="P31" s="448">
        <f>'November 2024'!AL34</f>
        <v>0</v>
      </c>
      <c r="Q31" s="448">
        <f>'[24]Desember 24'!AL27</f>
        <v>0</v>
      </c>
      <c r="R31" s="723"/>
      <c r="S31" s="58">
        <f>SUM(F31:P31)</f>
        <v>612304</v>
      </c>
      <c r="T31" s="675">
        <v>1187000</v>
      </c>
      <c r="U31" s="776">
        <f>S31/T31*100</f>
        <v>51.58416175231676</v>
      </c>
      <c r="V31" s="368"/>
      <c r="W31" s="3">
        <f>S27+S31+S36+S40+S51</f>
        <v>43486646</v>
      </c>
      <c r="X31" s="63"/>
      <c r="Y31" s="1636">
        <f>W31/11</f>
        <v>3953331.4545454546</v>
      </c>
      <c r="Z31" s="63" t="s">
        <v>894</v>
      </c>
      <c r="AA31" s="63"/>
      <c r="AB31" s="63"/>
      <c r="AC31" s="63"/>
      <c r="AD31" s="63"/>
      <c r="AE31" s="812"/>
      <c r="AF31" s="812"/>
      <c r="AG31" s="63"/>
      <c r="AH31" s="63"/>
      <c r="AI31" s="63"/>
      <c r="AJ31" s="63"/>
      <c r="AK31" s="63"/>
      <c r="AL31" s="63"/>
      <c r="AM31" s="63"/>
      <c r="AN31" s="63"/>
      <c r="AO31" s="63"/>
      <c r="AQ31" s="63"/>
      <c r="AS31" s="1"/>
      <c r="AT31" s="1"/>
      <c r="AU31" s="3"/>
      <c r="AV31" s="1"/>
      <c r="AW31" s="368">
        <f>S31+S36</f>
        <v>920337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1"/>
      <c r="BW31" s="1"/>
      <c r="BX31" s="1"/>
      <c r="CZ31" s="1"/>
      <c r="DD31" s="435"/>
      <c r="DE31" s="5"/>
      <c r="DF31" s="436"/>
      <c r="DG31" s="437"/>
      <c r="DH31" s="438"/>
      <c r="ON31" s="142"/>
      <c r="OP31" s="485"/>
      <c r="OQ31" s="502"/>
      <c r="OR31" s="474"/>
      <c r="PD31" s="1"/>
      <c r="PE31" s="485"/>
      <c r="AIP31" s="2"/>
    </row>
    <row r="32" spans="2:932" ht="15.75" thickBot="1" x14ac:dyDescent="0.3">
      <c r="B32" s="1676"/>
      <c r="C32" s="494" t="s">
        <v>108</v>
      </c>
      <c r="D32" s="505"/>
      <c r="E32" s="496"/>
      <c r="F32" s="433"/>
      <c r="G32" s="433"/>
      <c r="H32" s="1543"/>
      <c r="I32" s="506"/>
      <c r="J32" s="1553"/>
      <c r="K32" s="433"/>
      <c r="L32" s="433"/>
      <c r="M32" s="433"/>
      <c r="N32" s="433"/>
      <c r="O32" s="433"/>
      <c r="P32" s="433"/>
      <c r="Q32" s="433"/>
      <c r="R32" s="723"/>
      <c r="S32" s="716" t="s">
        <v>109</v>
      </c>
      <c r="T32" s="676" t="s">
        <v>109</v>
      </c>
      <c r="U32" s="778" t="s">
        <v>109</v>
      </c>
      <c r="V32" s="63"/>
      <c r="W32" s="1"/>
      <c r="X32" s="63"/>
      <c r="Y32" s="63"/>
      <c r="Z32" s="63"/>
      <c r="AA32" s="63"/>
      <c r="AB32" s="63"/>
      <c r="AC32" s="63"/>
      <c r="AD32" s="63"/>
      <c r="AE32" s="1687"/>
      <c r="AF32" s="1687"/>
      <c r="AG32" s="63"/>
      <c r="AH32" s="63"/>
      <c r="AI32" s="63"/>
      <c r="AJ32" s="63"/>
      <c r="AK32" s="63"/>
      <c r="AL32" s="63"/>
      <c r="AM32" s="63"/>
      <c r="AN32" s="63"/>
      <c r="AO32" s="63"/>
      <c r="AQ32" s="63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1"/>
      <c r="BW32" s="1"/>
      <c r="BX32" s="1"/>
      <c r="CZ32" s="1"/>
      <c r="DD32" s="469"/>
      <c r="DE32" s="470" t="s">
        <v>332</v>
      </c>
      <c r="DF32" s="507">
        <f>DF27/(DF25/1000)</f>
        <v>72.980660125066862</v>
      </c>
      <c r="DG32" s="508">
        <f>DG27/(DG25/1000)</f>
        <v>75.35531953198911</v>
      </c>
      <c r="DH32" s="509">
        <f>DH27/(DH25/1000)</f>
        <v>75.473411788167013</v>
      </c>
      <c r="ON32" s="485" t="e">
        <f>ON26/ON27*100</f>
        <v>#REF!</v>
      </c>
      <c r="OP32" s="485"/>
      <c r="OQ32" s="502" t="s">
        <v>343</v>
      </c>
      <c r="OR32" s="474">
        <v>2444</v>
      </c>
      <c r="PD32" s="1">
        <v>10.86</v>
      </c>
      <c r="PE32" s="485">
        <f>(OR32*PD32)/1000</f>
        <v>26.541840000000001</v>
      </c>
      <c r="AIP32" s="2" t="s">
        <v>323</v>
      </c>
    </row>
    <row r="33" spans="1:14938" x14ac:dyDescent="0.25">
      <c r="A33" s="16"/>
      <c r="B33" s="1676"/>
      <c r="C33" s="510" t="s">
        <v>71</v>
      </c>
      <c r="D33" s="511"/>
      <c r="E33" s="512" t="s">
        <v>14</v>
      </c>
      <c r="F33" s="448">
        <v>0</v>
      </c>
      <c r="G33" s="448">
        <v>440053.74641644466</v>
      </c>
      <c r="H33" s="1544">
        <v>793075.76686850865</v>
      </c>
      <c r="I33" s="448">
        <f>'[24]April 24'!AL29</f>
        <v>0</v>
      </c>
      <c r="J33" s="1551">
        <v>0</v>
      </c>
      <c r="K33" s="448">
        <v>0</v>
      </c>
      <c r="L33" s="448">
        <v>0</v>
      </c>
      <c r="M33" s="448">
        <v>0</v>
      </c>
      <c r="N33" s="448">
        <v>0</v>
      </c>
      <c r="O33" s="448">
        <f>'[31]Oktober- 2024'!$AM$36</f>
        <v>0</v>
      </c>
      <c r="P33" s="448">
        <f>'November 2024'!AL36</f>
        <v>0</v>
      </c>
      <c r="Q33" s="448">
        <f>'[24]Desember 24'!AL29</f>
        <v>0</v>
      </c>
      <c r="R33" s="725"/>
      <c r="S33" s="513">
        <f>SUM(F33:P33)</f>
        <v>1233129.5132849533</v>
      </c>
      <c r="T33" s="677">
        <f>T34/T56%</f>
        <v>32338304.029689282</v>
      </c>
      <c r="U33" s="776">
        <f>(S33/T33)*100</f>
        <v>3.8132164016790635</v>
      </c>
      <c r="V33" s="813"/>
      <c r="W33" s="16"/>
      <c r="X33" s="813"/>
      <c r="Y33" s="813"/>
      <c r="Z33" s="813"/>
      <c r="AA33" s="813"/>
      <c r="AB33" s="813"/>
      <c r="AC33" s="813"/>
      <c r="AD33" s="813"/>
      <c r="AE33" s="814"/>
      <c r="AF33" s="814"/>
      <c r="AG33" s="813"/>
      <c r="AH33" s="813"/>
      <c r="AI33" s="813"/>
      <c r="AJ33" s="813"/>
      <c r="AK33" s="813"/>
      <c r="AL33" s="813"/>
      <c r="AM33" s="813"/>
      <c r="AN33" s="813"/>
      <c r="AO33" s="813"/>
      <c r="AP33" s="813"/>
      <c r="AQ33" s="813"/>
      <c r="AR33" s="813"/>
      <c r="AS33" s="815"/>
      <c r="AT33" s="815"/>
      <c r="AU33" s="16"/>
      <c r="AV33" s="16"/>
      <c r="AW33" s="1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U33" s="16"/>
      <c r="BV33" s="16"/>
      <c r="BW33" s="145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E33" s="5" t="s">
        <v>332</v>
      </c>
      <c r="DF33" s="146" t="e">
        <f>DF27/(DF20/1000)</f>
        <v>#VALUE!</v>
      </c>
      <c r="DG33" s="146" t="e">
        <f>DH27/(DG20/1000)</f>
        <v>#VALUE!</v>
      </c>
      <c r="DH33" s="146" t="e">
        <f>#REF!/(DH20/1000)</f>
        <v>#REF!</v>
      </c>
      <c r="DI33" s="145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45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45"/>
      <c r="JH33" s="145"/>
      <c r="JI33" s="145"/>
      <c r="JJ33" s="145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45"/>
      <c r="OO33" s="145"/>
      <c r="OP33" s="514"/>
      <c r="OQ33" s="145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514"/>
      <c r="PF33" s="16"/>
      <c r="PG33" s="16"/>
      <c r="PH33" s="16"/>
      <c r="PI33" s="145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514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45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45"/>
      <c r="AIK33" s="145"/>
      <c r="AIL33" s="145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</row>
    <row r="34" spans="1:14938" x14ac:dyDescent="0.25">
      <c r="B34" s="1676"/>
      <c r="C34" s="482" t="s">
        <v>70</v>
      </c>
      <c r="D34" s="499">
        <f>SUM(D35:D36)</f>
        <v>0</v>
      </c>
      <c r="E34" s="483" t="s">
        <v>14</v>
      </c>
      <c r="F34" s="448">
        <v>0</v>
      </c>
      <c r="G34" s="448">
        <v>417044</v>
      </c>
      <c r="H34" s="1544">
        <v>751933</v>
      </c>
      <c r="I34" s="448">
        <f t="shared" ref="I34:Q34" si="9">I35+I36</f>
        <v>0</v>
      </c>
      <c r="J34" s="1551">
        <v>0</v>
      </c>
      <c r="K34" s="448">
        <v>0</v>
      </c>
      <c r="L34" s="448">
        <v>0</v>
      </c>
      <c r="M34" s="448">
        <v>0</v>
      </c>
      <c r="N34" s="448">
        <v>40950</v>
      </c>
      <c r="O34" s="448">
        <f>'[31]Oktober- 2024'!$AM$37</f>
        <v>0</v>
      </c>
      <c r="P34" s="448">
        <f>'November 2024'!AL37</f>
        <v>0</v>
      </c>
      <c r="Q34" s="448">
        <f t="shared" si="9"/>
        <v>0</v>
      </c>
      <c r="R34" s="723"/>
      <c r="S34" s="513">
        <f>S35+S36</f>
        <v>1209927</v>
      </c>
      <c r="T34" s="678">
        <f>T35+T36</f>
        <v>30647000</v>
      </c>
      <c r="U34" s="776">
        <f>(S34/T34)*100</f>
        <v>3.9479459653473423</v>
      </c>
      <c r="V34" s="63"/>
      <c r="W34" s="1"/>
      <c r="X34" s="63"/>
      <c r="Y34" s="63"/>
      <c r="Z34" s="63"/>
      <c r="AA34" s="63"/>
      <c r="AB34" s="63"/>
      <c r="AC34" s="63"/>
      <c r="AD34" s="63"/>
      <c r="AE34" s="1687"/>
      <c r="AF34" s="1687"/>
      <c r="AG34" s="63"/>
      <c r="AH34" s="63"/>
      <c r="AI34" s="63"/>
      <c r="AJ34" s="63"/>
      <c r="AK34" s="63"/>
      <c r="AL34" s="63"/>
      <c r="AM34" s="63"/>
      <c r="AN34" s="63"/>
      <c r="AO34" s="63"/>
      <c r="AQ34" s="63"/>
      <c r="AS34" s="456"/>
      <c r="AT34" s="456"/>
      <c r="AU34" s="1"/>
      <c r="AV34" s="1"/>
      <c r="AW34" s="16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U34" s="1"/>
      <c r="BV34" s="1"/>
      <c r="BW34" s="143"/>
      <c r="BX34" s="1"/>
      <c r="CZ34" s="1"/>
      <c r="DD34" s="2"/>
      <c r="DE34" s="5"/>
      <c r="DF34" s="142"/>
      <c r="DG34" s="142"/>
      <c r="DH34" s="142"/>
      <c r="DI34" s="143"/>
      <c r="FL34" s="143"/>
      <c r="JG34" s="143"/>
      <c r="JH34" s="143"/>
      <c r="JI34" s="143"/>
      <c r="JJ34" s="143"/>
      <c r="ON34" s="143"/>
      <c r="OO34" s="143"/>
      <c r="OP34" s="146"/>
      <c r="OQ34" s="143"/>
      <c r="PE34" s="146">
        <f>SUM(PE27:PE32)</f>
        <v>40.247160000000001</v>
      </c>
      <c r="PI34" s="143"/>
      <c r="RL34" s="146"/>
      <c r="AGU34" s="142"/>
      <c r="AIJ34" s="142"/>
      <c r="AIK34" s="142"/>
      <c r="AIL34" s="142"/>
    </row>
    <row r="35" spans="1:14938" x14ac:dyDescent="0.25">
      <c r="B35" s="1676"/>
      <c r="C35" s="482" t="s">
        <v>344</v>
      </c>
      <c r="D35" s="499"/>
      <c r="E35" s="483" t="s">
        <v>14</v>
      </c>
      <c r="F35" s="448">
        <v>0</v>
      </c>
      <c r="G35" s="448">
        <v>327115</v>
      </c>
      <c r="H35" s="1544">
        <v>543979</v>
      </c>
      <c r="I35" s="448">
        <f>'[24]April 24'!AL31</f>
        <v>0</v>
      </c>
      <c r="J35" s="1551">
        <v>0</v>
      </c>
      <c r="K35" s="448">
        <v>0</v>
      </c>
      <c r="L35" s="448">
        <v>0</v>
      </c>
      <c r="M35" s="448">
        <v>0</v>
      </c>
      <c r="N35" s="448">
        <v>30800</v>
      </c>
      <c r="O35" s="448">
        <f>'[31]Oktober- 2024'!$AM$38</f>
        <v>0</v>
      </c>
      <c r="P35" s="448">
        <f>'November 2024'!AL38</f>
        <v>0</v>
      </c>
      <c r="Q35" s="448">
        <f>'[24]Desember 24'!AL31</f>
        <v>0</v>
      </c>
      <c r="R35" s="723"/>
      <c r="S35" s="515">
        <f>SUM(F35:P35)</f>
        <v>901894</v>
      </c>
      <c r="T35" s="679">
        <v>23002000</v>
      </c>
      <c r="U35" s="776">
        <f>S35/T35*100</f>
        <v>3.920937309799148</v>
      </c>
      <c r="V35" s="63"/>
      <c r="W35" s="5"/>
      <c r="X35" s="63"/>
      <c r="Y35" s="63"/>
      <c r="Z35" s="63"/>
      <c r="AA35" s="63"/>
      <c r="AB35" s="63"/>
      <c r="AC35" s="63"/>
      <c r="AD35" s="63"/>
      <c r="AE35" s="1687"/>
      <c r="AF35" s="1687"/>
      <c r="AG35" s="1687"/>
      <c r="AH35" s="1687"/>
      <c r="AI35" s="1687"/>
      <c r="AJ35" s="1687"/>
      <c r="AK35" s="1687"/>
      <c r="AL35" s="63"/>
      <c r="AM35" s="63"/>
      <c r="AN35" s="63"/>
      <c r="AO35" s="63"/>
      <c r="AQ35" s="63"/>
      <c r="AS35" s="456"/>
      <c r="AT35" s="456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U35" s="1"/>
      <c r="BV35" s="1"/>
      <c r="BW35" s="143"/>
      <c r="BX35" s="1"/>
      <c r="CZ35" s="1"/>
      <c r="DE35" s="5"/>
      <c r="DF35" s="146"/>
      <c r="DG35" s="146"/>
      <c r="DH35" s="146"/>
      <c r="DI35" s="143"/>
      <c r="FL35" s="143"/>
      <c r="JG35" s="143"/>
      <c r="JH35" s="143"/>
      <c r="JI35" s="143"/>
      <c r="JJ35" s="143"/>
      <c r="ON35" s="143"/>
      <c r="OO35" s="143"/>
      <c r="OP35" s="146"/>
      <c r="OQ35" s="143"/>
      <c r="PE35" s="146"/>
      <c r="PI35" s="143"/>
      <c r="RL35" s="146"/>
      <c r="AGU35" s="142"/>
      <c r="AIJ35" s="142"/>
      <c r="AIK35" s="142"/>
      <c r="AIL35" s="142"/>
    </row>
    <row r="36" spans="1:14938" x14ac:dyDescent="0.25">
      <c r="B36" s="1676"/>
      <c r="C36" s="445" t="s">
        <v>73</v>
      </c>
      <c r="D36" s="499"/>
      <c r="E36" s="483" t="s">
        <v>14</v>
      </c>
      <c r="F36" s="448">
        <v>0</v>
      </c>
      <c r="G36" s="448">
        <v>89929</v>
      </c>
      <c r="H36" s="1544">
        <v>207954</v>
      </c>
      <c r="I36" s="448">
        <f>'[24]April 24'!AL32</f>
        <v>0</v>
      </c>
      <c r="J36" s="1551">
        <v>0</v>
      </c>
      <c r="K36" s="448">
        <v>0</v>
      </c>
      <c r="L36" s="448">
        <v>0</v>
      </c>
      <c r="M36" s="448">
        <v>0</v>
      </c>
      <c r="N36" s="448">
        <v>10150</v>
      </c>
      <c r="O36" s="448">
        <f>'[31]Oktober- 2024'!$AM$39</f>
        <v>0</v>
      </c>
      <c r="P36" s="448">
        <f>'November 2024'!AL39</f>
        <v>0</v>
      </c>
      <c r="Q36" s="448">
        <f>'[24]Desember 24'!AL32</f>
        <v>0</v>
      </c>
      <c r="R36" s="723"/>
      <c r="S36" s="513">
        <f>SUM(F36:P36)</f>
        <v>308033</v>
      </c>
      <c r="T36" s="677">
        <v>7645000</v>
      </c>
      <c r="U36" s="776">
        <f>S36/T36*100</f>
        <v>4.0292086330935248</v>
      </c>
      <c r="V36" s="63"/>
      <c r="W36" s="826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Q36" s="63"/>
      <c r="AS36" s="456"/>
      <c r="AT36" s="456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U36" s="1"/>
      <c r="BV36" s="1"/>
      <c r="BW36" s="143"/>
      <c r="BX36" s="1"/>
      <c r="CZ36" s="1"/>
      <c r="DE36" s="5"/>
      <c r="DF36" s="143"/>
      <c r="DG36" s="143"/>
      <c r="DH36" s="143"/>
      <c r="DI36" s="143"/>
      <c r="FL36" s="143"/>
      <c r="JG36" s="143"/>
      <c r="JH36" s="143"/>
      <c r="JI36" s="143"/>
      <c r="JJ36" s="143"/>
      <c r="ON36" s="143"/>
      <c r="OO36" s="143"/>
      <c r="OQ36" s="143"/>
      <c r="PE36" s="146"/>
      <c r="PI36" s="143"/>
      <c r="RL36" s="146"/>
      <c r="AGU36" s="142"/>
      <c r="AIJ36" s="142"/>
      <c r="AIK36" s="142"/>
      <c r="AIL36" s="142"/>
    </row>
    <row r="37" spans="1:14938" s="516" customFormat="1" x14ac:dyDescent="0.25">
      <c r="B37" s="1676"/>
      <c r="C37" s="494" t="s">
        <v>345</v>
      </c>
      <c r="D37" s="517"/>
      <c r="E37" s="518"/>
      <c r="F37" s="519"/>
      <c r="G37" s="519"/>
      <c r="H37" s="1547"/>
      <c r="I37" s="519"/>
      <c r="J37" s="1555"/>
      <c r="K37" s="519"/>
      <c r="L37" s="519"/>
      <c r="M37" s="519"/>
      <c r="N37" s="519"/>
      <c r="O37" s="519"/>
      <c r="P37" s="519"/>
      <c r="Q37" s="519"/>
      <c r="R37" s="724"/>
      <c r="S37" s="716" t="s">
        <v>338</v>
      </c>
      <c r="T37" s="676" t="s">
        <v>338</v>
      </c>
      <c r="U37" s="778" t="s">
        <v>338</v>
      </c>
      <c r="V37" s="63"/>
      <c r="W37" s="826"/>
      <c r="X37" s="809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Q37" s="63"/>
      <c r="AS37" s="808"/>
      <c r="AT37" s="808"/>
      <c r="AU37" s="63"/>
      <c r="AV37" s="63"/>
      <c r="AW37" s="1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U37" s="63"/>
      <c r="BV37" s="63"/>
      <c r="BW37" s="144"/>
      <c r="BX37" s="63"/>
      <c r="CZ37" s="63"/>
      <c r="DE37" s="520"/>
      <c r="DF37" s="144"/>
      <c r="DG37" s="144"/>
      <c r="DH37" s="144"/>
      <c r="DI37" s="144"/>
      <c r="FL37" s="144"/>
      <c r="JG37" s="144"/>
      <c r="JH37" s="144"/>
      <c r="JI37" s="144"/>
      <c r="JJ37" s="144"/>
      <c r="ON37" s="144"/>
      <c r="OO37" s="144"/>
      <c r="OQ37" s="144"/>
      <c r="PE37" s="153"/>
      <c r="PI37" s="144"/>
      <c r="RL37" s="153"/>
      <c r="AGU37" s="144"/>
      <c r="AIJ37" s="144"/>
      <c r="AIK37" s="144"/>
      <c r="AIL37" s="144"/>
    </row>
    <row r="38" spans="1:14938" x14ac:dyDescent="0.25">
      <c r="B38" s="1676"/>
      <c r="C38" s="482" t="s">
        <v>75</v>
      </c>
      <c r="D38" s="499"/>
      <c r="E38" s="483" t="s">
        <v>14</v>
      </c>
      <c r="F38" s="448">
        <v>6885934</v>
      </c>
      <c r="G38" s="1564">
        <v>7224129</v>
      </c>
      <c r="H38" s="1544">
        <v>13704210</v>
      </c>
      <c r="I38" s="1558">
        <v>9615694</v>
      </c>
      <c r="J38" s="1551">
        <v>14816948</v>
      </c>
      <c r="K38" s="448">
        <v>7764784</v>
      </c>
      <c r="L38" s="448">
        <v>11686063</v>
      </c>
      <c r="M38" s="448">
        <v>9837344</v>
      </c>
      <c r="N38" s="448">
        <v>6581530</v>
      </c>
      <c r="O38" s="448">
        <v>10628161</v>
      </c>
      <c r="P38" s="448">
        <f>'November 2024'!AL41</f>
        <v>16567437</v>
      </c>
      <c r="Q38" s="448">
        <f>Q39+Q40</f>
        <v>0</v>
      </c>
      <c r="R38" s="723"/>
      <c r="S38" s="58">
        <f>S39+S40</f>
        <v>115832474</v>
      </c>
      <c r="T38" s="678">
        <f>T39+T40</f>
        <v>249961000</v>
      </c>
      <c r="U38" s="776">
        <f>S38/T38*100</f>
        <v>46.34021867411316</v>
      </c>
      <c r="V38" s="63"/>
      <c r="W38" s="826"/>
      <c r="X38" s="809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Q38" s="63"/>
      <c r="AS38" s="456"/>
      <c r="AT38" s="456"/>
      <c r="AU38" s="1"/>
      <c r="AV38" s="1"/>
      <c r="AW38" s="63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U38" s="1"/>
      <c r="BV38" s="1"/>
      <c r="BW38" s="143"/>
      <c r="BX38" s="1"/>
      <c r="CZ38" s="1"/>
      <c r="DE38" s="5"/>
      <c r="DF38" s="143"/>
      <c r="DG38" s="143"/>
      <c r="DH38" s="143"/>
      <c r="DI38" s="143"/>
      <c r="FL38" s="143"/>
      <c r="JG38" s="143"/>
      <c r="JH38" s="143"/>
      <c r="JI38" s="143"/>
      <c r="JJ38" s="143"/>
      <c r="ON38" s="143"/>
      <c r="OO38" s="143"/>
      <c r="OQ38" s="143"/>
      <c r="PE38" s="146"/>
      <c r="PI38" s="143"/>
      <c r="RL38" s="146"/>
      <c r="AGU38" s="142"/>
      <c r="AIJ38" s="142"/>
      <c r="AIK38" s="142"/>
      <c r="AIL38" s="142"/>
    </row>
    <row r="39" spans="1:14938" x14ac:dyDescent="0.25">
      <c r="B39" s="1676"/>
      <c r="C39" s="482" t="s">
        <v>346</v>
      </c>
      <c r="D39" s="499"/>
      <c r="E39" s="483" t="s">
        <v>14</v>
      </c>
      <c r="F39" s="448">
        <v>4847146</v>
      </c>
      <c r="G39" s="1564">
        <v>5178274</v>
      </c>
      <c r="H39" s="1544">
        <v>8651956</v>
      </c>
      <c r="I39" s="1558">
        <v>6783108</v>
      </c>
      <c r="J39" s="1551">
        <v>10840932</v>
      </c>
      <c r="K39" s="448">
        <v>5498655</v>
      </c>
      <c r="L39" s="448">
        <v>8627479</v>
      </c>
      <c r="M39" s="448">
        <v>6991936</v>
      </c>
      <c r="N39" s="448">
        <v>4788598</v>
      </c>
      <c r="O39" s="448">
        <v>7897790</v>
      </c>
      <c r="P39" s="448">
        <f>'November 2024'!AL42</f>
        <v>12573252</v>
      </c>
      <c r="Q39" s="448">
        <f>'[24]Desember 24'!AL35</f>
        <v>0</v>
      </c>
      <c r="R39" s="723"/>
      <c r="S39" s="58">
        <f>SUM(F39:P39)</f>
        <v>82679126</v>
      </c>
      <c r="T39" s="677">
        <v>175000000</v>
      </c>
      <c r="U39" s="776">
        <f>S39/T39*100</f>
        <v>47.245214857142855</v>
      </c>
      <c r="V39" s="63"/>
      <c r="W39" s="5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Q39" s="63"/>
      <c r="AS39" s="456"/>
      <c r="AT39" s="456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43"/>
      <c r="BX39" s="1"/>
      <c r="CZ39" s="1"/>
      <c r="DE39" s="5"/>
      <c r="DF39" s="143"/>
      <c r="DG39" s="143"/>
      <c r="DH39" s="143"/>
      <c r="DI39" s="143"/>
      <c r="FL39" s="143"/>
      <c r="JG39" s="143"/>
      <c r="JH39" s="143"/>
      <c r="JI39" s="143"/>
      <c r="JJ39" s="143"/>
      <c r="ON39" s="143"/>
      <c r="OO39" s="143"/>
      <c r="OQ39" s="143"/>
      <c r="PE39" s="146"/>
      <c r="PI39" s="143"/>
      <c r="RL39" s="146"/>
      <c r="AGU39" s="142"/>
      <c r="AIJ39" s="142"/>
      <c r="AIK39" s="142"/>
      <c r="AIL39" s="142"/>
    </row>
    <row r="40" spans="1:14938" x14ac:dyDescent="0.25">
      <c r="B40" s="1676"/>
      <c r="C40" s="482" t="s">
        <v>73</v>
      </c>
      <c r="D40" s="499"/>
      <c r="E40" s="483" t="s">
        <v>14</v>
      </c>
      <c r="F40" s="448">
        <v>2038788</v>
      </c>
      <c r="G40" s="1564">
        <v>2045855</v>
      </c>
      <c r="H40" s="1544">
        <v>5052254</v>
      </c>
      <c r="I40" s="1558">
        <v>2832586</v>
      </c>
      <c r="J40" s="1551">
        <v>3976016</v>
      </c>
      <c r="K40" s="448">
        <v>2266129</v>
      </c>
      <c r="L40" s="448">
        <v>3578824</v>
      </c>
      <c r="M40" s="448">
        <v>2845408</v>
      </c>
      <c r="N40" s="448">
        <v>1792932</v>
      </c>
      <c r="O40" s="448">
        <v>2730371</v>
      </c>
      <c r="P40" s="448">
        <f>'November 2024'!AL43</f>
        <v>3994185</v>
      </c>
      <c r="Q40" s="448">
        <f>'[24]Desember 24'!AL36</f>
        <v>0</v>
      </c>
      <c r="R40" s="723"/>
      <c r="S40" s="58">
        <f>SUM(F40:P40)</f>
        <v>33153348</v>
      </c>
      <c r="T40" s="677">
        <v>74961000</v>
      </c>
      <c r="U40" s="776">
        <f>S40/T40*100</f>
        <v>44.227462280385801</v>
      </c>
      <c r="V40" s="63"/>
      <c r="W40" s="5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Q40" s="63"/>
      <c r="AS40" s="456"/>
      <c r="AT40" s="45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1"/>
      <c r="BW40" s="143"/>
      <c r="BX40" s="1"/>
      <c r="CZ40" s="1"/>
      <c r="DE40" s="5"/>
      <c r="DF40" s="143"/>
      <c r="DG40" s="143"/>
      <c r="DH40" s="143"/>
      <c r="DI40" s="143"/>
      <c r="FL40" s="143"/>
      <c r="JG40" s="143"/>
      <c r="JH40" s="143"/>
      <c r="JI40" s="143"/>
      <c r="JJ40" s="143"/>
      <c r="ON40" s="143"/>
      <c r="OO40" s="143"/>
      <c r="OQ40" s="143"/>
      <c r="PE40" s="146"/>
      <c r="PI40" s="143"/>
      <c r="RL40" s="146"/>
      <c r="AGU40" s="142"/>
      <c r="AIJ40" s="142"/>
      <c r="AIK40" s="142"/>
      <c r="AIL40" s="142"/>
    </row>
    <row r="41" spans="1:14938" x14ac:dyDescent="0.25">
      <c r="B41" s="1676"/>
      <c r="C41" s="721" t="s">
        <v>842</v>
      </c>
      <c r="D41" s="499"/>
      <c r="E41" s="483"/>
      <c r="F41" s="448"/>
      <c r="G41" s="1564"/>
      <c r="H41" s="1544"/>
      <c r="I41" s="1558"/>
      <c r="J41" s="1551"/>
      <c r="K41" s="448"/>
      <c r="L41" s="448"/>
      <c r="M41" s="448"/>
      <c r="N41" s="448"/>
      <c r="O41" s="448"/>
      <c r="P41" s="448"/>
      <c r="Q41" s="448"/>
      <c r="R41" s="723"/>
      <c r="S41" s="58"/>
      <c r="T41" s="677"/>
      <c r="U41" s="776"/>
      <c r="V41" s="63"/>
      <c r="W41" s="5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Q41" s="63"/>
      <c r="AS41" s="456"/>
      <c r="AT41" s="456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U41" s="1"/>
      <c r="BV41" s="1"/>
      <c r="BW41" s="143"/>
      <c r="BX41" s="1"/>
      <c r="CZ41" s="1"/>
      <c r="DE41" s="5"/>
      <c r="DF41" s="143"/>
      <c r="DG41" s="143"/>
      <c r="DH41" s="143"/>
      <c r="DI41" s="143"/>
      <c r="FL41" s="143"/>
      <c r="JG41" s="143"/>
      <c r="JH41" s="143"/>
      <c r="JI41" s="143"/>
      <c r="JJ41" s="143"/>
      <c r="ON41" s="143"/>
      <c r="OO41" s="143"/>
      <c r="OQ41" s="143"/>
      <c r="PE41" s="146"/>
      <c r="PI41" s="143"/>
      <c r="RL41" s="146"/>
      <c r="AGU41" s="142"/>
      <c r="AIJ41" s="142"/>
      <c r="AIK41" s="142"/>
      <c r="AIL41" s="142"/>
    </row>
    <row r="42" spans="1:14938" x14ac:dyDescent="0.25">
      <c r="B42" s="1676"/>
      <c r="C42" s="72" t="s">
        <v>71</v>
      </c>
      <c r="D42" s="499"/>
      <c r="E42" s="483" t="s">
        <v>14</v>
      </c>
      <c r="F42" s="448"/>
      <c r="G42" s="1564"/>
      <c r="H42" s="1544"/>
      <c r="I42" s="1558"/>
      <c r="J42" s="1551"/>
      <c r="K42" s="448"/>
      <c r="L42" s="448"/>
      <c r="M42" s="448"/>
      <c r="N42" s="448"/>
      <c r="O42" s="448">
        <v>55842.1052631579</v>
      </c>
      <c r="P42" s="448"/>
      <c r="Q42" s="448"/>
      <c r="R42" s="723"/>
      <c r="S42" s="58"/>
      <c r="T42" s="677"/>
      <c r="U42" s="776"/>
      <c r="V42" s="63"/>
      <c r="W42" s="5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Q42" s="63"/>
      <c r="AS42" s="456"/>
      <c r="AT42" s="456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1"/>
      <c r="BW42" s="143"/>
      <c r="BX42" s="1"/>
      <c r="CZ42" s="1"/>
      <c r="DE42" s="5"/>
      <c r="DF42" s="143"/>
      <c r="DG42" s="143"/>
      <c r="DH42" s="143"/>
      <c r="DI42" s="143"/>
      <c r="FL42" s="143"/>
      <c r="JG42" s="143"/>
      <c r="JH42" s="143"/>
      <c r="JI42" s="143"/>
      <c r="JJ42" s="143"/>
      <c r="ON42" s="143"/>
      <c r="OO42" s="143"/>
      <c r="OQ42" s="143"/>
      <c r="PE42" s="146"/>
      <c r="PI42" s="143"/>
      <c r="RL42" s="146"/>
      <c r="AGU42" s="142"/>
      <c r="AIJ42" s="142"/>
      <c r="AIK42" s="142"/>
      <c r="AIL42" s="142"/>
    </row>
    <row r="43" spans="1:14938" x14ac:dyDescent="0.25">
      <c r="B43" s="1676"/>
      <c r="C43" s="65" t="s">
        <v>75</v>
      </c>
      <c r="D43" s="499"/>
      <c r="E43" s="483" t="s">
        <v>14</v>
      </c>
      <c r="F43" s="448"/>
      <c r="G43" s="1564"/>
      <c r="H43" s="1544"/>
      <c r="I43" s="1558"/>
      <c r="J43" s="1551"/>
      <c r="K43" s="448"/>
      <c r="L43" s="448"/>
      <c r="M43" s="448"/>
      <c r="N43" s="448"/>
      <c r="O43" s="448">
        <v>53050</v>
      </c>
      <c r="P43" s="448"/>
      <c r="Q43" s="448"/>
      <c r="R43" s="723"/>
      <c r="S43" s="58"/>
      <c r="T43" s="677"/>
      <c r="U43" s="776"/>
      <c r="V43" s="63"/>
      <c r="W43" s="5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Q43" s="63"/>
      <c r="AS43" s="456"/>
      <c r="AT43" s="456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U43" s="1"/>
      <c r="BV43" s="1"/>
      <c r="BW43" s="143"/>
      <c r="BX43" s="1"/>
      <c r="CZ43" s="1"/>
      <c r="DE43" s="5"/>
      <c r="DF43" s="143"/>
      <c r="DG43" s="143"/>
      <c r="DH43" s="143"/>
      <c r="DI43" s="143"/>
      <c r="FL43" s="143"/>
      <c r="JG43" s="143"/>
      <c r="JH43" s="143"/>
      <c r="JI43" s="143"/>
      <c r="JJ43" s="143"/>
      <c r="ON43" s="143"/>
      <c r="OO43" s="143"/>
      <c r="OQ43" s="143"/>
      <c r="PE43" s="146"/>
      <c r="PI43" s="143"/>
      <c r="RL43" s="146"/>
      <c r="AGU43" s="142"/>
      <c r="AIJ43" s="142"/>
      <c r="AIK43" s="142"/>
      <c r="AIL43" s="142"/>
    </row>
    <row r="44" spans="1:14938" x14ac:dyDescent="0.25">
      <c r="B44" s="1676"/>
      <c r="C44" s="65" t="s">
        <v>113</v>
      </c>
      <c r="D44" s="499"/>
      <c r="E44" s="483" t="s">
        <v>14</v>
      </c>
      <c r="F44" s="448"/>
      <c r="G44" s="1564"/>
      <c r="H44" s="1544"/>
      <c r="I44" s="1558"/>
      <c r="J44" s="1551"/>
      <c r="K44" s="448"/>
      <c r="L44" s="448"/>
      <c r="M44" s="448"/>
      <c r="N44" s="448"/>
      <c r="O44" s="448">
        <v>38000</v>
      </c>
      <c r="P44" s="448"/>
      <c r="Q44" s="448"/>
      <c r="R44" s="723"/>
      <c r="S44" s="58"/>
      <c r="T44" s="677"/>
      <c r="U44" s="776"/>
      <c r="V44" s="63"/>
      <c r="W44" s="5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Q44" s="63"/>
      <c r="AS44" s="456"/>
      <c r="AT44" s="456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U44" s="1"/>
      <c r="BV44" s="1"/>
      <c r="BW44" s="143"/>
      <c r="BX44" s="1"/>
      <c r="CZ44" s="1"/>
      <c r="DE44" s="5"/>
      <c r="DF44" s="143"/>
      <c r="DG44" s="143"/>
      <c r="DH44" s="143"/>
      <c r="DI44" s="143"/>
      <c r="FL44" s="143"/>
      <c r="JG44" s="143"/>
      <c r="JH44" s="143"/>
      <c r="JI44" s="143"/>
      <c r="JJ44" s="143"/>
      <c r="ON44" s="143"/>
      <c r="OO44" s="143"/>
      <c r="OQ44" s="143"/>
      <c r="PE44" s="146"/>
      <c r="PI44" s="143"/>
      <c r="RL44" s="146"/>
      <c r="AGU44" s="142"/>
      <c r="AIJ44" s="142"/>
      <c r="AIK44" s="142"/>
      <c r="AIL44" s="142"/>
    </row>
    <row r="45" spans="1:14938" x14ac:dyDescent="0.25">
      <c r="B45" s="1676"/>
      <c r="C45" s="65" t="s">
        <v>73</v>
      </c>
      <c r="D45" s="499"/>
      <c r="E45" s="483" t="s">
        <v>14</v>
      </c>
      <c r="F45" s="448"/>
      <c r="G45" s="1564"/>
      <c r="H45" s="1544"/>
      <c r="I45" s="1558"/>
      <c r="J45" s="1551"/>
      <c r="K45" s="448"/>
      <c r="L45" s="448"/>
      <c r="M45" s="448"/>
      <c r="N45" s="448"/>
      <c r="O45" s="448">
        <v>15050</v>
      </c>
      <c r="P45" s="448"/>
      <c r="Q45" s="448"/>
      <c r="R45" s="723"/>
      <c r="S45" s="58"/>
      <c r="T45" s="677"/>
      <c r="U45" s="776"/>
      <c r="V45" s="63"/>
      <c r="W45" s="5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Q45" s="63"/>
      <c r="AS45" s="456"/>
      <c r="AT45" s="456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U45" s="1"/>
      <c r="BV45" s="1"/>
      <c r="BW45" s="143"/>
      <c r="BX45" s="1"/>
      <c r="CZ45" s="1"/>
      <c r="DE45" s="5"/>
      <c r="DF45" s="143"/>
      <c r="DG45" s="143"/>
      <c r="DH45" s="143"/>
      <c r="DI45" s="143"/>
      <c r="FL45" s="143"/>
      <c r="JG45" s="143"/>
      <c r="JH45" s="143"/>
      <c r="JI45" s="143"/>
      <c r="JJ45" s="143"/>
      <c r="ON45" s="143"/>
      <c r="OO45" s="143"/>
      <c r="OQ45" s="143"/>
      <c r="PE45" s="146"/>
      <c r="PI45" s="143"/>
      <c r="RL45" s="146"/>
      <c r="AGU45" s="142"/>
      <c r="AIJ45" s="142"/>
      <c r="AIK45" s="142"/>
      <c r="AIL45" s="142"/>
    </row>
    <row r="46" spans="1:14938" x14ac:dyDescent="0.25">
      <c r="B46" s="1676"/>
      <c r="C46" s="494" t="s">
        <v>72</v>
      </c>
      <c r="D46" s="505"/>
      <c r="E46" s="496"/>
      <c r="F46" s="433"/>
      <c r="G46" s="433"/>
      <c r="H46" s="1543"/>
      <c r="I46" s="506"/>
      <c r="J46" s="1553"/>
      <c r="K46" s="433"/>
      <c r="L46" s="433"/>
      <c r="M46" s="433"/>
      <c r="N46" s="433"/>
      <c r="O46" s="433"/>
      <c r="P46" s="433"/>
      <c r="Q46" s="433"/>
      <c r="R46" s="723"/>
      <c r="S46" s="716" t="s">
        <v>61</v>
      </c>
      <c r="T46" s="676" t="s">
        <v>61</v>
      </c>
      <c r="U46" s="778" t="s">
        <v>61</v>
      </c>
      <c r="V46" s="63"/>
      <c r="W46" s="1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Q46" s="63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U46" s="1"/>
      <c r="BV46" s="1"/>
      <c r="BW46" s="1"/>
      <c r="BX46" s="1"/>
      <c r="CZ46" s="1"/>
    </row>
    <row r="47" spans="1:14938" x14ac:dyDescent="0.25">
      <c r="A47" s="16"/>
      <c r="B47" s="1676"/>
      <c r="C47" s="510" t="s">
        <v>71</v>
      </c>
      <c r="D47" s="511"/>
      <c r="E47" s="512" t="s">
        <v>14</v>
      </c>
      <c r="F47" s="448">
        <v>1622056.4818173659</v>
      </c>
      <c r="G47" s="448">
        <v>421426.64599608653</v>
      </c>
      <c r="H47" s="1544">
        <v>123260.74781141231</v>
      </c>
      <c r="I47" s="1560">
        <v>0</v>
      </c>
      <c r="J47" s="1551">
        <v>0</v>
      </c>
      <c r="K47" s="448">
        <v>0</v>
      </c>
      <c r="L47" s="448">
        <v>0</v>
      </c>
      <c r="M47" s="448">
        <v>0</v>
      </c>
      <c r="N47" s="448">
        <v>0</v>
      </c>
      <c r="O47" s="448">
        <f>'[31]Oktober- 2024'!$AM$50</f>
        <v>0</v>
      </c>
      <c r="P47" s="448">
        <f>'November 2024'!AL50</f>
        <v>0</v>
      </c>
      <c r="Q47" s="448"/>
      <c r="R47" s="725"/>
      <c r="S47" s="58">
        <f>SUM(F47:P47)</f>
        <v>2166743.8756248648</v>
      </c>
      <c r="T47" s="675">
        <f>T48/T56%</f>
        <v>25913272.762786224</v>
      </c>
      <c r="U47" s="776">
        <f>S47/T47*100</f>
        <v>8.3615215085317303</v>
      </c>
      <c r="V47" s="813"/>
      <c r="W47" s="16"/>
      <c r="X47" s="813"/>
      <c r="Y47" s="813"/>
      <c r="Z47" s="813"/>
      <c r="AA47" s="813"/>
      <c r="AB47" s="813"/>
      <c r="AC47" s="813"/>
      <c r="AD47" s="813"/>
      <c r="AE47" s="813"/>
      <c r="AF47" s="813"/>
      <c r="AG47" s="813"/>
      <c r="AH47" s="813"/>
      <c r="AI47" s="813"/>
      <c r="AJ47" s="813"/>
      <c r="AK47" s="813"/>
      <c r="AL47" s="813"/>
      <c r="AM47" s="813"/>
      <c r="AN47" s="813"/>
      <c r="AO47" s="813"/>
      <c r="AP47" s="813"/>
      <c r="AQ47" s="813"/>
      <c r="AR47" s="813"/>
      <c r="AS47" s="815"/>
      <c r="AT47" s="815"/>
      <c r="AU47" s="16"/>
      <c r="AV47" s="16"/>
      <c r="AW47" s="1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U47" s="16"/>
      <c r="BV47" s="16"/>
      <c r="BW47" s="145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521"/>
      <c r="DF47" s="145"/>
      <c r="DG47" s="145"/>
      <c r="DH47" s="145"/>
      <c r="DI47" s="145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45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45"/>
      <c r="JH47" s="145"/>
      <c r="JI47" s="145"/>
      <c r="JJ47" s="145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45"/>
      <c r="OO47" s="145"/>
      <c r="OP47" s="16"/>
      <c r="OQ47" s="145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514"/>
      <c r="PF47" s="16"/>
      <c r="PG47" s="16"/>
      <c r="PH47" s="16"/>
      <c r="PI47" s="145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514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45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45"/>
      <c r="AIK47" s="145"/>
      <c r="AIL47" s="145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</row>
    <row r="48" spans="1:14938" x14ac:dyDescent="0.25">
      <c r="B48" s="1676"/>
      <c r="C48" s="482" t="s">
        <v>70</v>
      </c>
      <c r="D48" s="499">
        <f>SUM(D50:D51)</f>
        <v>0</v>
      </c>
      <c r="E48" s="483" t="s">
        <v>14</v>
      </c>
      <c r="F48" s="448">
        <v>1537641</v>
      </c>
      <c r="G48" s="448">
        <v>398670</v>
      </c>
      <c r="H48" s="1544">
        <v>117150</v>
      </c>
      <c r="I48" s="1558">
        <v>0</v>
      </c>
      <c r="J48" s="1551">
        <v>0</v>
      </c>
      <c r="K48" s="448">
        <v>0</v>
      </c>
      <c r="L48" s="448">
        <v>0</v>
      </c>
      <c r="M48" s="448">
        <v>145600</v>
      </c>
      <c r="N48" s="448">
        <v>0</v>
      </c>
      <c r="O48" s="448"/>
      <c r="P48" s="448">
        <f>'November 2024'!AL51</f>
        <v>0</v>
      </c>
      <c r="Q48" s="448">
        <f t="shared" ref="Q48" si="10">Q50+Q51</f>
        <v>0</v>
      </c>
      <c r="R48" s="723"/>
      <c r="S48" s="58">
        <f>S50+S51</f>
        <v>2199061</v>
      </c>
      <c r="T48" s="671">
        <f>T50+T51</f>
        <v>24558000</v>
      </c>
      <c r="U48" s="776">
        <f>S48/T48*100</f>
        <v>8.9545606319732887</v>
      </c>
      <c r="V48" s="63"/>
      <c r="W48" s="1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Q48" s="63"/>
      <c r="AS48" s="456"/>
      <c r="AT48" s="456"/>
      <c r="AU48" s="1"/>
      <c r="AV48" s="1"/>
      <c r="AW48" s="145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U48" s="1"/>
      <c r="BV48" s="1"/>
      <c r="BW48" s="143"/>
      <c r="BX48" s="1"/>
      <c r="CZ48" s="1"/>
      <c r="DE48" s="5"/>
      <c r="DF48" s="143">
        <v>2136</v>
      </c>
      <c r="DG48" s="143"/>
      <c r="DH48" s="143"/>
      <c r="DI48" s="143"/>
      <c r="FL48" s="143"/>
      <c r="JG48" s="143"/>
      <c r="JH48" s="143"/>
      <c r="JI48" s="143"/>
      <c r="JJ48" s="143"/>
      <c r="ON48" s="143"/>
      <c r="OO48" s="143"/>
      <c r="OQ48" s="143"/>
      <c r="PE48" s="146"/>
      <c r="PI48" s="143"/>
      <c r="RL48" s="146"/>
      <c r="AGU48" s="142"/>
      <c r="AIJ48" s="142"/>
      <c r="AIK48" s="142"/>
      <c r="AIL48" s="142"/>
    </row>
    <row r="49" spans="2:922" x14ac:dyDescent="0.25">
      <c r="B49" s="1676"/>
      <c r="C49" s="482" t="s">
        <v>69</v>
      </c>
      <c r="D49" s="499"/>
      <c r="E49" s="483" t="s">
        <v>14</v>
      </c>
      <c r="F49" s="448">
        <v>0</v>
      </c>
      <c r="G49" s="448">
        <v>0</v>
      </c>
      <c r="H49" s="1544">
        <v>0</v>
      </c>
      <c r="I49" s="1558">
        <v>0</v>
      </c>
      <c r="J49" s="1551">
        <v>0</v>
      </c>
      <c r="K49" s="448">
        <v>0</v>
      </c>
      <c r="L49" s="448">
        <v>0</v>
      </c>
      <c r="M49" s="448">
        <v>0</v>
      </c>
      <c r="N49" s="448">
        <v>0</v>
      </c>
      <c r="O49" s="448"/>
      <c r="P49" s="448">
        <f>'November 2024'!AL52</f>
        <v>0</v>
      </c>
      <c r="Q49" s="448">
        <f>'[24]Desember 24'!AL40</f>
        <v>0</v>
      </c>
      <c r="R49" s="723"/>
      <c r="S49" s="58">
        <f>SUM(F49:P49)</f>
        <v>0</v>
      </c>
      <c r="T49" s="675">
        <f>SUM(F49:Q49)</f>
        <v>0</v>
      </c>
      <c r="U49" s="779">
        <f>SUM(H49:S49)</f>
        <v>0</v>
      </c>
      <c r="V49" s="63"/>
      <c r="W49" s="1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Q49" s="63"/>
      <c r="AS49" s="456"/>
      <c r="AT49" s="456"/>
      <c r="AU49" s="1"/>
      <c r="AV49" s="1"/>
      <c r="AW49" s="145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U49" s="1"/>
      <c r="BV49" s="1"/>
      <c r="BW49" s="143"/>
      <c r="BX49" s="1"/>
      <c r="CZ49" s="1"/>
      <c r="DE49" s="5"/>
      <c r="DF49" s="143"/>
      <c r="DG49" s="143"/>
      <c r="DH49" s="143"/>
      <c r="DI49" s="143"/>
      <c r="FL49" s="143"/>
      <c r="JG49" s="143"/>
      <c r="JH49" s="143"/>
      <c r="JI49" s="143"/>
      <c r="JJ49" s="143"/>
      <c r="ON49" s="143"/>
      <c r="OO49" s="143"/>
      <c r="OQ49" s="143"/>
      <c r="PE49" s="146"/>
      <c r="PI49" s="143"/>
      <c r="RL49" s="146"/>
      <c r="AGU49" s="142"/>
      <c r="AIJ49" s="142"/>
      <c r="AIK49" s="142"/>
      <c r="AIL49" s="142"/>
    </row>
    <row r="50" spans="2:922" x14ac:dyDescent="0.25">
      <c r="B50" s="1676"/>
      <c r="C50" s="482" t="s">
        <v>68</v>
      </c>
      <c r="D50" s="499"/>
      <c r="E50" s="483" t="s">
        <v>14</v>
      </c>
      <c r="F50" s="448">
        <v>923976</v>
      </c>
      <c r="G50" s="448">
        <v>248300</v>
      </c>
      <c r="H50" s="1544">
        <v>70300</v>
      </c>
      <c r="I50" s="1558">
        <v>0</v>
      </c>
      <c r="J50" s="1551">
        <v>0</v>
      </c>
      <c r="K50" s="448">
        <v>0</v>
      </c>
      <c r="L50" s="448">
        <v>0</v>
      </c>
      <c r="M50" s="448">
        <v>87600</v>
      </c>
      <c r="N50" s="448">
        <v>0</v>
      </c>
      <c r="O50" s="448"/>
      <c r="P50" s="448">
        <f>'November 2024'!AL53</f>
        <v>0</v>
      </c>
      <c r="Q50" s="448">
        <f>'[24]Desember 24'!AL41</f>
        <v>0</v>
      </c>
      <c r="R50" s="723"/>
      <c r="S50" s="58">
        <f>SUM(F50:P50)</f>
        <v>1330176</v>
      </c>
      <c r="T50" s="675">
        <v>14736000</v>
      </c>
      <c r="U50" s="776">
        <f>S50/T50*100</f>
        <v>9.0267100977198709</v>
      </c>
      <c r="V50" s="63"/>
      <c r="W50" s="1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Q50" s="63"/>
      <c r="AS50" s="456"/>
      <c r="AT50" s="456"/>
      <c r="AU50" s="3"/>
      <c r="AV50" s="1"/>
      <c r="AW50" s="143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43"/>
      <c r="BX50" s="1"/>
      <c r="CZ50" s="1"/>
      <c r="DE50" s="5"/>
      <c r="DF50" s="143">
        <v>1796</v>
      </c>
      <c r="DG50" s="143"/>
      <c r="DH50" s="143"/>
      <c r="DI50" s="143"/>
      <c r="FL50" s="143"/>
      <c r="JG50" s="143"/>
      <c r="JH50" s="143"/>
      <c r="JI50" s="143"/>
      <c r="JJ50" s="143"/>
      <c r="ON50" s="143"/>
      <c r="OO50" s="143"/>
      <c r="OQ50" s="143"/>
      <c r="PE50" s="146"/>
      <c r="PI50" s="143"/>
      <c r="RL50" s="146"/>
      <c r="AGU50" s="142"/>
      <c r="AIJ50" s="142"/>
      <c r="AIK50" s="142"/>
      <c r="AIL50" s="142"/>
    </row>
    <row r="51" spans="2:922" x14ac:dyDescent="0.25">
      <c r="B51" s="1676"/>
      <c r="C51" s="482" t="s">
        <v>67</v>
      </c>
      <c r="D51" s="499"/>
      <c r="E51" s="483" t="s">
        <v>14</v>
      </c>
      <c r="F51" s="448">
        <v>613665</v>
      </c>
      <c r="G51" s="448">
        <v>150370</v>
      </c>
      <c r="H51" s="1544">
        <v>46850</v>
      </c>
      <c r="I51" s="1558">
        <v>0</v>
      </c>
      <c r="J51" s="1551">
        <v>0</v>
      </c>
      <c r="K51" s="448">
        <v>0</v>
      </c>
      <c r="L51" s="448">
        <v>0</v>
      </c>
      <c r="M51" s="448">
        <v>58000</v>
      </c>
      <c r="N51" s="448">
        <v>0</v>
      </c>
      <c r="O51" s="448"/>
      <c r="P51" s="448">
        <f>'November 2024'!AL54</f>
        <v>0</v>
      </c>
      <c r="Q51" s="448">
        <f>'[24]Desember 24'!AL42</f>
        <v>0</v>
      </c>
      <c r="R51" s="723"/>
      <c r="S51" s="58">
        <f>SUM(F51:P51)</f>
        <v>868885</v>
      </c>
      <c r="T51" s="675">
        <v>9822000</v>
      </c>
      <c r="U51" s="776">
        <f>S51/T51*100</f>
        <v>8.8463143962533088</v>
      </c>
      <c r="V51" s="63"/>
      <c r="W51" s="1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Q51" s="63"/>
      <c r="AS51" s="456"/>
      <c r="AT51" s="456"/>
      <c r="AU51" s="3"/>
      <c r="AV51" s="1"/>
      <c r="AW51" s="147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43"/>
      <c r="BX51" s="1"/>
      <c r="CZ51" s="1"/>
      <c r="DE51" s="5"/>
      <c r="DF51" s="143">
        <f>DF48/DF50*100</f>
        <v>118.93095768374164</v>
      </c>
      <c r="DG51" s="143"/>
      <c r="DH51" s="143"/>
      <c r="DI51" s="143"/>
      <c r="FL51" s="143"/>
      <c r="JG51" s="143"/>
      <c r="JH51" s="143"/>
      <c r="JI51" s="143"/>
      <c r="JJ51" s="143"/>
      <c r="ON51" s="143"/>
      <c r="OO51" s="143"/>
      <c r="OQ51" s="143"/>
      <c r="PE51" s="146"/>
      <c r="PI51" s="143"/>
      <c r="RL51" s="146"/>
      <c r="AGU51" s="142"/>
      <c r="AIJ51" s="142"/>
      <c r="AIK51" s="142"/>
      <c r="AIL51" s="142"/>
    </row>
    <row r="52" spans="2:922" s="516" customFormat="1" x14ac:dyDescent="0.25">
      <c r="B52" s="1676"/>
      <c r="C52" s="11" t="s">
        <v>114</v>
      </c>
      <c r="D52" s="517"/>
      <c r="E52" s="518"/>
      <c r="F52" s="1563">
        <v>17.423640322580646</v>
      </c>
      <c r="G52" s="522">
        <v>13.04905322580645</v>
      </c>
      <c r="H52" s="1548">
        <v>26.247093548387095</v>
      </c>
      <c r="I52" s="1562">
        <v>15.606767741935485</v>
      </c>
      <c r="J52" s="1556">
        <v>23.898303225806451</v>
      </c>
      <c r="K52" s="522">
        <v>12.523845161290323</v>
      </c>
      <c r="L52" s="523">
        <v>0</v>
      </c>
      <c r="M52" s="523">
        <v>0</v>
      </c>
      <c r="N52" s="523">
        <v>0</v>
      </c>
      <c r="O52" s="523">
        <f>(O38+O34+O29+O25)/(60000000)</f>
        <v>0.33331448333333336</v>
      </c>
      <c r="P52" s="523">
        <f>(P38+P34+P29+P25)/(60000000)</f>
        <v>0.37562764999999998</v>
      </c>
      <c r="Q52" s="523">
        <f>(Q38+Q34+Q29+Q25)/(60000000)</f>
        <v>0</v>
      </c>
      <c r="R52" s="724"/>
      <c r="S52" s="85">
        <f>+AVERAGE(F52:P52)</f>
        <v>9.9506950326490724</v>
      </c>
      <c r="T52" s="680"/>
      <c r="U52" s="780"/>
      <c r="V52" s="63"/>
      <c r="W52" s="1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Q52" s="63"/>
      <c r="AS52" s="808"/>
      <c r="AT52" s="808"/>
      <c r="AU52" s="368"/>
      <c r="AV52" s="63"/>
      <c r="AW52" s="1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U52" s="63"/>
      <c r="BV52" s="63"/>
      <c r="BW52" s="144"/>
      <c r="BX52" s="63"/>
      <c r="CZ52" s="63"/>
      <c r="DE52" s="520"/>
      <c r="DF52" s="144"/>
      <c r="DG52" s="144"/>
      <c r="DH52" s="144"/>
      <c r="DI52" s="144"/>
      <c r="FL52" s="144"/>
      <c r="JG52" s="144"/>
      <c r="JH52" s="144"/>
      <c r="JI52" s="144"/>
      <c r="JJ52" s="144"/>
      <c r="ON52" s="144"/>
      <c r="OO52" s="144"/>
      <c r="OQ52" s="144"/>
      <c r="PE52" s="153"/>
      <c r="PI52" s="144"/>
      <c r="RL52" s="153"/>
      <c r="AGU52" s="144"/>
      <c r="AIJ52" s="144"/>
      <c r="AIK52" s="144"/>
      <c r="AIL52" s="144"/>
    </row>
    <row r="53" spans="2:922" s="516" customFormat="1" x14ac:dyDescent="0.25">
      <c r="B53" s="1676"/>
      <c r="C53" s="11" t="s">
        <v>347</v>
      </c>
      <c r="D53" s="517"/>
      <c r="E53" s="518"/>
      <c r="F53" s="522">
        <f>(F48+F38+F34+F30+F26)/F54*100</f>
        <v>20.606822428992142</v>
      </c>
      <c r="G53" s="522">
        <f>(G48+G38+G34+G30+G26)/G54*100</f>
        <v>13.179402258814626</v>
      </c>
      <c r="H53" s="1548">
        <f>(H48+H38+H34+H30+H26)/H54*100</f>
        <v>43.367168468686913</v>
      </c>
      <c r="I53" s="522"/>
      <c r="J53" s="1556">
        <f>(J48+J38+J34+J30+J26)/J54*100</f>
        <v>43.260937213231415</v>
      </c>
      <c r="K53" s="522">
        <f>(K48+K38+K34+K30+K26)/K54*100</f>
        <v>22.670784367894381</v>
      </c>
      <c r="L53" s="522">
        <f>(L48+L38+L34+L30+L26)/L54*100</f>
        <v>34.306584827906441</v>
      </c>
      <c r="M53" s="522">
        <f>($M$48+$M$38+$M$34+$M$30+$M$25)/$M$54*100</f>
        <v>70.248871089442218</v>
      </c>
      <c r="N53" s="522">
        <f>($N$48+$N$38+$N$34+$N$30+$N$26)/$N$54*100</f>
        <v>59.238130477682972</v>
      </c>
      <c r="O53" s="522">
        <f>(O48+O38+O34+O30+O26)/O54*100</f>
        <v>54.010928059994313</v>
      </c>
      <c r="P53" s="522">
        <f>(P48+P38+P34+P30+P26)/P54*100</f>
        <v>62.563674618375998</v>
      </c>
      <c r="Q53" s="522">
        <f>(Q48+Q38+Q34+Q30+Q26)/Q54*100</f>
        <v>0</v>
      </c>
      <c r="R53" s="724"/>
      <c r="S53" s="85">
        <f>+AVERAGE(F53:P53)</f>
        <v>42.345330381102144</v>
      </c>
      <c r="T53" s="680"/>
      <c r="U53" s="780"/>
      <c r="V53" s="63"/>
      <c r="W53" s="1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Q53" s="63"/>
      <c r="AS53" s="808"/>
      <c r="AT53" s="808"/>
      <c r="AU53" s="368"/>
      <c r="AV53" s="63"/>
      <c r="AW53" s="1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U53" s="63"/>
      <c r="BV53" s="63"/>
      <c r="BW53" s="144"/>
      <c r="BX53" s="63"/>
      <c r="CZ53" s="63"/>
      <c r="DE53" s="520"/>
      <c r="DF53" s="144"/>
      <c r="DG53" s="144"/>
      <c r="DH53" s="144"/>
      <c r="DI53" s="144"/>
      <c r="FL53" s="144"/>
      <c r="JG53" s="144"/>
      <c r="JH53" s="144"/>
      <c r="JI53" s="144"/>
      <c r="JJ53" s="144"/>
      <c r="ON53" s="144"/>
      <c r="OO53" s="144"/>
      <c r="OQ53" s="144"/>
      <c r="PE53" s="153"/>
      <c r="PI53" s="144"/>
      <c r="RL53" s="153"/>
      <c r="AGU53" s="144"/>
      <c r="AIJ53" s="144"/>
      <c r="AIK53" s="144"/>
      <c r="AIL53" s="144"/>
    </row>
    <row r="54" spans="2:922" s="516" customFormat="1" x14ac:dyDescent="0.25">
      <c r="B54" s="1676"/>
      <c r="C54" s="11" t="s">
        <v>348</v>
      </c>
      <c r="D54" s="517"/>
      <c r="E54" s="518"/>
      <c r="F54" s="744">
        <v>61324200.000000007</v>
      </c>
      <c r="G54" s="744">
        <v>61324200.000000007</v>
      </c>
      <c r="H54" s="1549">
        <v>36820896</v>
      </c>
      <c r="I54" s="1561">
        <v>34250178</v>
      </c>
      <c r="J54" s="1557">
        <v>34250178</v>
      </c>
      <c r="K54" s="744">
        <v>34250178</v>
      </c>
      <c r="L54" s="744">
        <v>34458000</v>
      </c>
      <c r="M54" s="744">
        <v>34458000</v>
      </c>
      <c r="N54" s="522">
        <v>34458000</v>
      </c>
      <c r="O54" s="522">
        <f>'[27]Juni - 24'!$D$19</f>
        <v>34250178</v>
      </c>
      <c r="P54" s="744">
        <f>'November 2024'!E18</f>
        <v>34458000</v>
      </c>
      <c r="Q54" s="522">
        <f>'[27]Juni - 24'!$D$19</f>
        <v>34250178</v>
      </c>
      <c r="R54" s="724"/>
      <c r="S54" s="524">
        <f>SUM(F54:P54)</f>
        <v>434302008</v>
      </c>
      <c r="T54" s="680"/>
      <c r="U54" s="780"/>
      <c r="V54" s="63"/>
      <c r="W54" s="1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Q54" s="63"/>
      <c r="AS54" s="808"/>
      <c r="AT54" s="808"/>
      <c r="AU54" s="368"/>
      <c r="AV54" s="63"/>
      <c r="AW54" s="1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U54" s="63"/>
      <c r="BV54" s="63"/>
      <c r="BW54" s="144"/>
      <c r="BX54" s="63"/>
      <c r="CZ54" s="63"/>
      <c r="DE54" s="520"/>
      <c r="DF54" s="144"/>
      <c r="DG54" s="144"/>
      <c r="DH54" s="144"/>
      <c r="DI54" s="144"/>
      <c r="FL54" s="144"/>
      <c r="JG54" s="144"/>
      <c r="JH54" s="144"/>
      <c r="JI54" s="144"/>
      <c r="JJ54" s="144"/>
      <c r="ON54" s="144"/>
      <c r="OO54" s="144"/>
      <c r="OQ54" s="144"/>
      <c r="PE54" s="153"/>
      <c r="PI54" s="144"/>
      <c r="RL54" s="153"/>
      <c r="AGU54" s="144"/>
      <c r="AIJ54" s="144"/>
      <c r="AIK54" s="144"/>
      <c r="AIL54" s="144"/>
    </row>
    <row r="55" spans="2:922" x14ac:dyDescent="0.25">
      <c r="B55" s="1676"/>
      <c r="C55" s="525" t="s">
        <v>66</v>
      </c>
      <c r="D55" s="77"/>
      <c r="E55" s="77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723"/>
      <c r="S55" s="718" t="s">
        <v>129</v>
      </c>
      <c r="T55" s="681" t="s">
        <v>129</v>
      </c>
      <c r="U55" s="781" t="s">
        <v>129</v>
      </c>
      <c r="V55" s="63"/>
      <c r="W55" s="1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Q55" s="63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CE55" s="1" t="s">
        <v>221</v>
      </c>
      <c r="CZ55" s="1"/>
      <c r="OO55" s="142">
        <v>678</v>
      </c>
    </row>
    <row r="56" spans="2:922" x14ac:dyDescent="0.25">
      <c r="B56" s="1676"/>
      <c r="C56" s="527" t="s">
        <v>65</v>
      </c>
      <c r="D56" s="467">
        <v>94.2</v>
      </c>
      <c r="E56" s="518" t="s">
        <v>25</v>
      </c>
      <c r="F56" s="528">
        <v>94.537593327246256</v>
      </c>
      <c r="G56" s="444">
        <v>94.281617778941538</v>
      </c>
      <c r="H56" s="444">
        <v>94.901568486371502</v>
      </c>
      <c r="I56" s="444">
        <v>94.843943824432259</v>
      </c>
      <c r="J56" s="444">
        <v>95.233608296560874</v>
      </c>
      <c r="K56" s="444">
        <v>94.544904150811391</v>
      </c>
      <c r="L56" s="444">
        <v>90.001937359460953</v>
      </c>
      <c r="M56" s="444">
        <v>95.997637480592928</v>
      </c>
      <c r="N56" s="444">
        <v>94.748466395439806</v>
      </c>
      <c r="O56" s="444">
        <f>(O19/(O11))*100</f>
        <v>95.254685514094874</v>
      </c>
      <c r="P56" s="444">
        <f>'November 2024'!I57</f>
        <v>97.399840662539816</v>
      </c>
      <c r="Q56" s="444" t="e">
        <f>(Q19/(Q11))*100</f>
        <v>#DIV/0!</v>
      </c>
      <c r="R56" s="724"/>
      <c r="S56" s="529">
        <f>(S19/(S11))*100</f>
        <v>94.920030130406928</v>
      </c>
      <c r="T56" s="530">
        <f>(T19/(T11))*100</f>
        <v>94.769966822822482</v>
      </c>
      <c r="U56" s="782"/>
      <c r="V56" s="816"/>
      <c r="W56" s="1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Q56" s="63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CZ56" s="1"/>
      <c r="OO56" s="142">
        <v>420</v>
      </c>
      <c r="OQ56" s="485">
        <f>OO56/OO55*100</f>
        <v>61.946902654867252</v>
      </c>
    </row>
    <row r="57" spans="2:922" x14ac:dyDescent="0.25">
      <c r="B57" s="1676"/>
      <c r="C57" s="527" t="s">
        <v>64</v>
      </c>
      <c r="D57" s="467">
        <v>5</v>
      </c>
      <c r="E57" s="518" t="s">
        <v>25</v>
      </c>
      <c r="F57" s="528">
        <v>4.777311844384835</v>
      </c>
      <c r="G57" s="444">
        <v>5.0597452638229523</v>
      </c>
      <c r="H57" s="444">
        <v>4.434496455170164</v>
      </c>
      <c r="I57" s="444">
        <v>4.7401383936814128</v>
      </c>
      <c r="J57" s="444">
        <v>4.0621899121502771</v>
      </c>
      <c r="K57" s="444">
        <v>4.8500653644601215</v>
      </c>
      <c r="L57" s="444">
        <v>4.4613156077341589</v>
      </c>
      <c r="M57" s="444">
        <v>4.1059370412586302</v>
      </c>
      <c r="N57" s="444">
        <v>4.1524825659176523</v>
      </c>
      <c r="O57" s="444">
        <f>(O20/(O11))*100</f>
        <v>4.0432195148673307</v>
      </c>
      <c r="P57" s="444">
        <f>'November 2024'!I58</f>
        <v>4.2342504964026926</v>
      </c>
      <c r="Q57" s="444" t="e">
        <f>(Q20/(Q11))*100</f>
        <v>#DIV/0!</v>
      </c>
      <c r="R57" s="724"/>
      <c r="S57" s="529">
        <f>(S20/(S11))*100</f>
        <v>4.3550303814715452</v>
      </c>
      <c r="T57" s="530">
        <f>(T20/(T11))*100</f>
        <v>4.5147541139225487</v>
      </c>
      <c r="U57" s="782"/>
      <c r="V57" s="816"/>
      <c r="W57" s="1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Q57" s="63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CZ57" s="1"/>
      <c r="OO57" s="142">
        <f>OO55-OO56</f>
        <v>258</v>
      </c>
      <c r="OQ57" s="485">
        <f>OO57/OO55*100</f>
        <v>38.053097345132741</v>
      </c>
    </row>
    <row r="58" spans="2:922" x14ac:dyDescent="0.25">
      <c r="B58" s="1676"/>
      <c r="C58" s="527" t="s">
        <v>63</v>
      </c>
      <c r="D58" s="467">
        <v>82</v>
      </c>
      <c r="E58" s="518" t="s">
        <v>25</v>
      </c>
      <c r="F58" s="528">
        <v>83.343365213977492</v>
      </c>
      <c r="G58" s="444">
        <v>83.685979829938688</v>
      </c>
      <c r="H58" s="444">
        <v>82.056761995523274</v>
      </c>
      <c r="I58" s="444" t="e">
        <v>#DIV/0!</v>
      </c>
      <c r="J58" s="444" t="e">
        <v>#DIV/0!</v>
      </c>
      <c r="K58" s="444" t="e">
        <v>#DIV/0!</v>
      </c>
      <c r="L58" s="444">
        <v>84.35162094763092</v>
      </c>
      <c r="M58" s="444">
        <v>82.049419646987658</v>
      </c>
      <c r="N58" s="444">
        <v>83.238810506354824</v>
      </c>
      <c r="O58" s="444">
        <f>(O26/O25)*100</f>
        <v>83.992351485074551</v>
      </c>
      <c r="P58" s="444" t="e">
        <f>'November 2024'!I59</f>
        <v>#DIV/0!</v>
      </c>
      <c r="Q58" s="444" t="e">
        <f>(Q26/Q25)*100</f>
        <v>#DIV/0!</v>
      </c>
      <c r="R58" s="724"/>
      <c r="S58" s="529">
        <f>(S26/S25)*100</f>
        <v>83.054476438355522</v>
      </c>
      <c r="T58" s="530">
        <f>(T26/T25)*100</f>
        <v>82.036627687232993</v>
      </c>
      <c r="U58" s="782"/>
      <c r="V58" s="816"/>
      <c r="W58" s="1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Q58" s="63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CZ58" s="1"/>
    </row>
    <row r="59" spans="2:922" x14ac:dyDescent="0.25">
      <c r="B59" s="1676"/>
      <c r="C59" s="527" t="s">
        <v>62</v>
      </c>
      <c r="D59" s="467">
        <v>18</v>
      </c>
      <c r="E59" s="518" t="s">
        <v>25</v>
      </c>
      <c r="F59" s="528">
        <v>16.656634786022508</v>
      </c>
      <c r="G59" s="444">
        <v>16.314020170061301</v>
      </c>
      <c r="H59" s="444">
        <v>17.943238004476722</v>
      </c>
      <c r="I59" s="444" t="e">
        <v>#DIV/0!</v>
      </c>
      <c r="J59" s="444" t="e">
        <v>#DIV/0!</v>
      </c>
      <c r="K59" s="444" t="e">
        <v>#DIV/0!</v>
      </c>
      <c r="L59" s="444" t="e">
        <v>#DIV/0!</v>
      </c>
      <c r="M59" s="444">
        <v>17.950580353012345</v>
      </c>
      <c r="N59" s="444">
        <v>16.761189493645173</v>
      </c>
      <c r="O59" s="444">
        <f>(O27/O25)*100</f>
        <v>16.007648514925446</v>
      </c>
      <c r="P59" s="444" t="e">
        <f>'November 2024'!I60</f>
        <v>#DIV/0!</v>
      </c>
      <c r="Q59" s="444" t="e">
        <f>(Q27/Q25)*100</f>
        <v>#DIV/0!</v>
      </c>
      <c r="R59" s="724"/>
      <c r="S59" s="529">
        <f>(S27/S25)*100</f>
        <v>16.945523561644464</v>
      </c>
      <c r="T59" s="530">
        <f>(T27/T25)*100</f>
        <v>17.963372312767007</v>
      </c>
      <c r="U59" s="782"/>
      <c r="V59" s="816"/>
      <c r="W59" s="1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Q59" s="63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CZ59" s="1"/>
    </row>
    <row r="60" spans="2:922" x14ac:dyDescent="0.25">
      <c r="B60" s="1676"/>
      <c r="C60" s="527" t="s">
        <v>107</v>
      </c>
      <c r="D60" s="531">
        <v>75</v>
      </c>
      <c r="E60" s="518" t="s">
        <v>25</v>
      </c>
      <c r="F60" s="444">
        <v>78.878780366969167</v>
      </c>
      <c r="G60" s="444" t="e">
        <v>#DIV/0!</v>
      </c>
      <c r="H60" s="444" t="e">
        <v>#DIV/0!</v>
      </c>
      <c r="I60" s="444">
        <v>75.167763049155397</v>
      </c>
      <c r="J60" s="444" t="e">
        <v>#DIV/0!</v>
      </c>
      <c r="K60" s="444" t="e">
        <v>#DIV/0!</v>
      </c>
      <c r="L60" s="444" t="e">
        <v>#DIV/0!</v>
      </c>
      <c r="M60" s="444" t="e">
        <v>#DIV/0!</v>
      </c>
      <c r="N60" s="444">
        <v>75.213675213675216</v>
      </c>
      <c r="O60" s="444" t="e">
        <f>(O30/O29)*100</f>
        <v>#DIV/0!</v>
      </c>
      <c r="P60" s="444" t="e">
        <f>'November 2024'!I61</f>
        <v>#DIV/0!</v>
      </c>
      <c r="Q60" s="444" t="e">
        <f>(Q30/Q29)*100</f>
        <v>#DIV/0!</v>
      </c>
      <c r="R60" s="724"/>
      <c r="S60" s="529">
        <f>(S30/S29)*100</f>
        <v>78.801046542183499</v>
      </c>
      <c r="T60" s="530">
        <v>75</v>
      </c>
      <c r="U60" s="782"/>
      <c r="V60" s="816"/>
      <c r="W60" s="307"/>
      <c r="X60" s="811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Q60" s="63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CZ60" s="1"/>
    </row>
    <row r="61" spans="2:922" x14ac:dyDescent="0.25">
      <c r="B61" s="1676"/>
      <c r="C61" s="527" t="s">
        <v>62</v>
      </c>
      <c r="D61" s="531">
        <v>25</v>
      </c>
      <c r="E61" s="518" t="s">
        <v>25</v>
      </c>
      <c r="F61" s="444">
        <v>21.121219633030833</v>
      </c>
      <c r="G61" s="444" t="e">
        <v>#DIV/0!</v>
      </c>
      <c r="H61" s="444" t="e">
        <v>#DIV/0!</v>
      </c>
      <c r="I61" s="444">
        <v>24.832236950844599</v>
      </c>
      <c r="J61" s="444" t="e">
        <v>#DIV/0!</v>
      </c>
      <c r="K61" s="444" t="e">
        <v>#DIV/0!</v>
      </c>
      <c r="L61" s="444" t="e">
        <v>#DIV/0!</v>
      </c>
      <c r="M61" s="444" t="e">
        <v>#DIV/0!</v>
      </c>
      <c r="N61" s="444">
        <v>24.786324786324787</v>
      </c>
      <c r="O61" s="444" t="e">
        <f>(O31/O29)*100</f>
        <v>#DIV/0!</v>
      </c>
      <c r="P61" s="444" t="e">
        <f>'November 2024'!I62</f>
        <v>#DIV/0!</v>
      </c>
      <c r="Q61" s="444" t="e">
        <f>(Q31/Q29)*100</f>
        <v>#DIV/0!</v>
      </c>
      <c r="R61" s="724"/>
      <c r="S61" s="529">
        <f>(S31/S29)*100</f>
        <v>21.198953457816504</v>
      </c>
      <c r="T61" s="530">
        <v>25</v>
      </c>
      <c r="U61" s="782"/>
      <c r="V61" s="816"/>
      <c r="W61" s="307"/>
      <c r="X61" s="811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Q61" s="63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CZ61" s="1"/>
    </row>
    <row r="62" spans="2:922" x14ac:dyDescent="0.25">
      <c r="B62" s="1676"/>
      <c r="C62" s="527" t="s">
        <v>109</v>
      </c>
      <c r="D62" s="467">
        <v>75</v>
      </c>
      <c r="E62" s="518" t="s">
        <v>25</v>
      </c>
      <c r="F62" s="444" t="e">
        <v>#DIV/0!</v>
      </c>
      <c r="G62" s="444">
        <v>78.436567844160336</v>
      </c>
      <c r="H62" s="444">
        <v>72.34407852827313</v>
      </c>
      <c r="I62" s="444" t="e">
        <v>#DIV/0!</v>
      </c>
      <c r="J62" s="444" t="e">
        <v>#DIV/0!</v>
      </c>
      <c r="K62" s="444" t="e">
        <v>#DIV/0!</v>
      </c>
      <c r="L62" s="444" t="e">
        <v>#DIV/0!</v>
      </c>
      <c r="M62" s="444" t="e">
        <v>#DIV/0!</v>
      </c>
      <c r="N62" s="444">
        <v>75.213675213675216</v>
      </c>
      <c r="O62" s="444" t="e">
        <f>O35/O34*100</f>
        <v>#DIV/0!</v>
      </c>
      <c r="P62" s="444" t="e">
        <f>'November 2024'!AL63</f>
        <v>#DIV/0!</v>
      </c>
      <c r="Q62" s="444" t="e">
        <f>Q35/Q34*100</f>
        <v>#DIV/0!</v>
      </c>
      <c r="R62" s="724" t="s">
        <v>221</v>
      </c>
      <c r="S62" s="529">
        <f>(S35/S34)*100</f>
        <v>74.541191328071861</v>
      </c>
      <c r="T62" s="530">
        <v>75</v>
      </c>
      <c r="U62" s="782"/>
      <c r="V62" s="816"/>
      <c r="W62" s="141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Q62" s="63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CZ62" s="1"/>
    </row>
    <row r="63" spans="2:922" x14ac:dyDescent="0.25">
      <c r="B63" s="1676"/>
      <c r="C63" s="527" t="s">
        <v>62</v>
      </c>
      <c r="D63" s="467">
        <v>25</v>
      </c>
      <c r="E63" s="518" t="s">
        <v>25</v>
      </c>
      <c r="F63" s="444" t="e">
        <v>#DIV/0!</v>
      </c>
      <c r="G63" s="444">
        <v>21.563432155839671</v>
      </c>
      <c r="H63" s="444">
        <v>27.65592147172687</v>
      </c>
      <c r="I63" s="444" t="e">
        <v>#DIV/0!</v>
      </c>
      <c r="J63" s="444" t="e">
        <v>#DIV/0!</v>
      </c>
      <c r="K63" s="444" t="e">
        <v>#DIV/0!</v>
      </c>
      <c r="L63" s="444" t="e">
        <v>#DIV/0!</v>
      </c>
      <c r="M63" s="444" t="e">
        <v>#DIV/0!</v>
      </c>
      <c r="N63" s="444">
        <v>24.786324786324787</v>
      </c>
      <c r="O63" s="444" t="e">
        <f>O36/O34*100</f>
        <v>#DIV/0!</v>
      </c>
      <c r="P63" s="444" t="e">
        <f>'November 2024'!AL64</f>
        <v>#DIV/0!</v>
      </c>
      <c r="Q63" s="444" t="e">
        <f>Q36/Q34*100</f>
        <v>#DIV/0!</v>
      </c>
      <c r="R63" s="530"/>
      <c r="S63" s="529">
        <f>(S36/S34)*100</f>
        <v>25.458808671928139</v>
      </c>
      <c r="T63" s="530">
        <v>25</v>
      </c>
      <c r="U63" s="782"/>
      <c r="V63" s="816"/>
      <c r="W63" s="1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Q63" s="63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U63" s="1"/>
      <c r="BV63" s="1"/>
      <c r="BW63" s="1"/>
      <c r="BX63" s="1"/>
      <c r="CZ63" s="1"/>
      <c r="FM63" s="1">
        <v>95.03</v>
      </c>
    </row>
    <row r="64" spans="2:922" x14ac:dyDescent="0.25">
      <c r="B64" s="1676"/>
      <c r="C64" s="527" t="s">
        <v>112</v>
      </c>
      <c r="D64" s="467">
        <v>70</v>
      </c>
      <c r="E64" s="518" t="s">
        <v>25</v>
      </c>
      <c r="F64" s="444">
        <v>70.391990396654975</v>
      </c>
      <c r="G64" s="444">
        <v>71.680253771769571</v>
      </c>
      <c r="H64" s="444">
        <v>63.133562605943716</v>
      </c>
      <c r="I64" s="444">
        <v>70.542053438888559</v>
      </c>
      <c r="J64" s="444">
        <v>73.165755862813313</v>
      </c>
      <c r="K64" s="444">
        <v>70.815298918810882</v>
      </c>
      <c r="L64" s="444">
        <v>70.680524643702526</v>
      </c>
      <c r="M64" s="444">
        <v>71.075444754193811</v>
      </c>
      <c r="N64" s="444">
        <v>72.7581276694021</v>
      </c>
      <c r="O64" s="444">
        <f>(O39/O38)*100</f>
        <v>74.310033504385189</v>
      </c>
      <c r="P64" s="444">
        <f>'November 2024'!AL65</f>
        <v>75.891352416188454</v>
      </c>
      <c r="Q64" s="444" t="e">
        <f>(Q39/Q38)*100</f>
        <v>#DIV/0!</v>
      </c>
      <c r="R64" s="530"/>
      <c r="S64" s="529">
        <f>(S39/S38)*100</f>
        <v>71.378192267567385</v>
      </c>
      <c r="T64" s="530">
        <v>70</v>
      </c>
      <c r="U64" s="782"/>
      <c r="V64" s="816"/>
      <c r="W64" s="1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Q64" s="63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U64" s="1"/>
      <c r="BV64" s="1"/>
      <c r="BW64" s="1"/>
      <c r="BX64" s="1"/>
      <c r="CZ64" s="1"/>
      <c r="FM64" s="1"/>
    </row>
    <row r="65" spans="2:935" x14ac:dyDescent="0.25">
      <c r="B65" s="1676"/>
      <c r="C65" s="527" t="s">
        <v>62</v>
      </c>
      <c r="D65" s="467">
        <v>30</v>
      </c>
      <c r="E65" s="518" t="s">
        <v>25</v>
      </c>
      <c r="F65" s="444">
        <v>29.608009603345021</v>
      </c>
      <c r="G65" s="444">
        <v>28.319746228230418</v>
      </c>
      <c r="H65" s="444">
        <v>36.866437394056277</v>
      </c>
      <c r="I65" s="444">
        <v>29.457946561111449</v>
      </c>
      <c r="J65" s="444">
        <v>26.834244137186687</v>
      </c>
      <c r="K65" s="444">
        <v>29.184701081189125</v>
      </c>
      <c r="L65" s="444">
        <v>29.319475356297481</v>
      </c>
      <c r="M65" s="444">
        <v>28.924555245806182</v>
      </c>
      <c r="N65" s="444">
        <v>27.2418723305979</v>
      </c>
      <c r="O65" s="444">
        <f>(O40/O38)*100</f>
        <v>25.689966495614811</v>
      </c>
      <c r="P65" s="444">
        <f>'November 2024'!AL66</f>
        <v>24.108647583811546</v>
      </c>
      <c r="Q65" s="444" t="e">
        <f>(Q40/Q38)*100</f>
        <v>#DIV/0!</v>
      </c>
      <c r="R65" s="530"/>
      <c r="S65" s="529">
        <f>(S40/S38)*100</f>
        <v>28.621807732432615</v>
      </c>
      <c r="T65" s="530">
        <v>30</v>
      </c>
      <c r="U65" s="782"/>
      <c r="V65" s="816"/>
      <c r="W65" s="1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Q65" s="63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U65" s="1"/>
      <c r="BV65" s="1"/>
      <c r="BW65" s="1"/>
      <c r="BX65" s="1"/>
      <c r="CZ65" s="1"/>
      <c r="FM65" s="1"/>
    </row>
    <row r="66" spans="2:935" x14ac:dyDescent="0.25">
      <c r="B66" s="1676"/>
      <c r="C66" s="527" t="s">
        <v>61</v>
      </c>
      <c r="D66" s="467">
        <v>60</v>
      </c>
      <c r="E66" s="518" t="s">
        <v>25</v>
      </c>
      <c r="F66" s="528">
        <v>60.090489262448123</v>
      </c>
      <c r="G66" s="444">
        <v>62.282087942408502</v>
      </c>
      <c r="H66" s="444">
        <v>60.008536064874093</v>
      </c>
      <c r="I66" s="444" t="e">
        <v>#DIV/0!</v>
      </c>
      <c r="J66" s="444" t="e">
        <v>#DIV/0!</v>
      </c>
      <c r="K66" s="444" t="e">
        <v>#DIV/0!</v>
      </c>
      <c r="L66" s="444" t="e">
        <v>#DIV/0!</v>
      </c>
      <c r="M66" s="444">
        <v>60.164835164835161</v>
      </c>
      <c r="N66" s="444" t="e">
        <v>#DIV/0!</v>
      </c>
      <c r="O66" s="444" t="e">
        <f t="shared" ref="O66" si="11">O50/O48*100</f>
        <v>#DIV/0!</v>
      </c>
      <c r="P66" s="444" t="e">
        <f>'November 2024'!AL69</f>
        <v>#DIV/0!</v>
      </c>
      <c r="Q66" s="444" t="e">
        <f t="shared" ref="Q66" si="12">Q50/Q48*100</f>
        <v>#DIV/0!</v>
      </c>
      <c r="R66" s="724"/>
      <c r="S66" s="529">
        <f>(S50/S48)*100</f>
        <v>60.488362987657005</v>
      </c>
      <c r="T66" s="530">
        <f>T50/T48*100</f>
        <v>60.00488639139995</v>
      </c>
      <c r="U66" s="782"/>
      <c r="V66" s="816"/>
      <c r="W66" s="1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Q66" s="63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CZ66" s="1"/>
      <c r="FM66" s="1">
        <v>4.2300000000000004</v>
      </c>
      <c r="OQ66" s="142">
        <f>OQ67/94.2%</f>
        <v>1307.8556263269638</v>
      </c>
      <c r="OR66" s="1" t="s">
        <v>349</v>
      </c>
    </row>
    <row r="67" spans="2:935" x14ac:dyDescent="0.25">
      <c r="B67" s="1677"/>
      <c r="C67" s="527" t="s">
        <v>60</v>
      </c>
      <c r="D67" s="467">
        <v>40</v>
      </c>
      <c r="E67" s="518" t="s">
        <v>25</v>
      </c>
      <c r="F67" s="528">
        <v>39.909510737551877</v>
      </c>
      <c r="G67" s="444">
        <v>37.717912057591491</v>
      </c>
      <c r="H67" s="444">
        <v>39.991463935125907</v>
      </c>
      <c r="I67" s="444" t="e">
        <v>#DIV/0!</v>
      </c>
      <c r="J67" s="444" t="e">
        <v>#DIV/0!</v>
      </c>
      <c r="K67" s="444" t="e">
        <v>#DIV/0!</v>
      </c>
      <c r="L67" s="444" t="e">
        <v>#DIV/0!</v>
      </c>
      <c r="M67" s="444">
        <v>39.835164835164832</v>
      </c>
      <c r="N67" s="444" t="e">
        <v>#DIV/0!</v>
      </c>
      <c r="O67" s="444" t="e">
        <f t="shared" ref="O67" si="13">O51/O48*100</f>
        <v>#DIV/0!</v>
      </c>
      <c r="P67" s="444" t="e">
        <f>'November 2024'!AL70</f>
        <v>#DIV/0!</v>
      </c>
      <c r="Q67" s="444" t="e">
        <f t="shared" ref="Q67" si="14">Q51/Q48*100</f>
        <v>#DIV/0!</v>
      </c>
      <c r="R67" s="530"/>
      <c r="S67" s="532">
        <f>(S51/S48)*100</f>
        <v>39.511637012342995</v>
      </c>
      <c r="T67" s="530">
        <f>T51/T48*100</f>
        <v>39.99511360860005</v>
      </c>
      <c r="U67" s="783"/>
      <c r="V67" s="816"/>
      <c r="W67" s="1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Q67" s="63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CZ67" s="1"/>
      <c r="FM67" s="1">
        <f>100-FM63-FM66</f>
        <v>0.73999999999999844</v>
      </c>
      <c r="OQ67" s="142">
        <f>22*56</f>
        <v>1232</v>
      </c>
      <c r="OR67" s="1" t="s">
        <v>350</v>
      </c>
    </row>
    <row r="68" spans="2:935" x14ac:dyDescent="0.25">
      <c r="B68" s="1675">
        <v>3</v>
      </c>
      <c r="C68" s="533" t="s">
        <v>59</v>
      </c>
      <c r="D68" s="77"/>
      <c r="E68" s="77"/>
      <c r="F68" s="51"/>
      <c r="G68" s="50"/>
      <c r="H68" s="534"/>
      <c r="I68" s="50"/>
      <c r="J68" s="50"/>
      <c r="K68" s="50"/>
      <c r="L68" s="50"/>
      <c r="M68" s="50"/>
      <c r="N68" s="50"/>
      <c r="O68" s="50"/>
      <c r="P68" s="50"/>
      <c r="Q68" s="50"/>
      <c r="R68" s="723"/>
      <c r="S68" s="605" t="s">
        <v>130</v>
      </c>
      <c r="T68" s="682" t="s">
        <v>130</v>
      </c>
      <c r="U68" s="784" t="s">
        <v>130</v>
      </c>
      <c r="V68" s="63"/>
      <c r="W68" s="1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Q68" s="63"/>
      <c r="AS68" s="1"/>
      <c r="AT68" s="1"/>
      <c r="AU68" s="1"/>
      <c r="AV68" s="1"/>
      <c r="AW68" s="3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42"/>
      <c r="BS68" s="1"/>
      <c r="BU68" s="1"/>
      <c r="BV68" s="1"/>
      <c r="BW68" s="1"/>
      <c r="BX68" s="1"/>
      <c r="CZ68" s="1"/>
      <c r="OQ68" s="142">
        <f>16.5*OQ66</f>
        <v>21579.617834394903</v>
      </c>
    </row>
    <row r="69" spans="2:935" x14ac:dyDescent="0.25">
      <c r="B69" s="1676"/>
      <c r="C69" s="466" t="s">
        <v>58</v>
      </c>
      <c r="D69" s="467">
        <v>8</v>
      </c>
      <c r="E69" s="500" t="s">
        <v>56</v>
      </c>
      <c r="F69" s="535">
        <v>128586</v>
      </c>
      <c r="G69" s="443">
        <v>148066</v>
      </c>
      <c r="H69" s="536">
        <v>138748</v>
      </c>
      <c r="I69" s="443">
        <v>130411</v>
      </c>
      <c r="J69" s="443">
        <v>159056</v>
      </c>
      <c r="K69" s="443">
        <v>88126</v>
      </c>
      <c r="L69" s="443">
        <v>162476</v>
      </c>
      <c r="M69" s="443">
        <v>256409</v>
      </c>
      <c r="N69" s="443">
        <v>187513</v>
      </c>
      <c r="O69" s="443">
        <v>161718</v>
      </c>
      <c r="P69" s="443">
        <f>'November 2024'!AL72</f>
        <v>137569</v>
      </c>
      <c r="Q69" s="443">
        <f>'[24]Desember 24'!AL58</f>
        <v>0</v>
      </c>
      <c r="R69" s="723"/>
      <c r="S69" s="454">
        <f>SUM(F69:P69)</f>
        <v>1698678</v>
      </c>
      <c r="T69" s="672">
        <v>2767753</v>
      </c>
      <c r="U69" s="776">
        <f>S69/T69*100</f>
        <v>61.373901500603559</v>
      </c>
      <c r="V69" s="63"/>
      <c r="W69" s="1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Q69" s="63"/>
      <c r="AS69" s="1"/>
      <c r="AT69" s="1"/>
      <c r="AU69" s="1"/>
      <c r="AV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42"/>
      <c r="BS69" s="1"/>
      <c r="BU69" s="1"/>
      <c r="BV69" s="1"/>
      <c r="BW69" s="1"/>
      <c r="BX69" s="1"/>
      <c r="CZ69" s="1"/>
    </row>
    <row r="70" spans="2:935" x14ac:dyDescent="0.25">
      <c r="B70" s="1676"/>
      <c r="C70" s="537"/>
      <c r="D70" s="480"/>
      <c r="E70" s="500" t="s">
        <v>25</v>
      </c>
      <c r="F70" s="528">
        <v>1.2503461047274416</v>
      </c>
      <c r="G70" s="444">
        <v>1.3601743162497901</v>
      </c>
      <c r="H70" s="444">
        <v>0.86352909997633054</v>
      </c>
      <c r="I70" s="444">
        <v>1.4735995939355193</v>
      </c>
      <c r="J70" s="444">
        <v>1.0253249248472593</v>
      </c>
      <c r="K70" s="444">
        <v>0.98804603990035011</v>
      </c>
      <c r="L70" s="444">
        <v>1.0157289957319953</v>
      </c>
      <c r="M70" s="444">
        <v>1.1201462814261758</v>
      </c>
      <c r="N70" s="444">
        <v>0.7798001271713848</v>
      </c>
      <c r="O70" s="444">
        <f>$O$69/($O$12)*100</f>
        <v>0.69051955033889845</v>
      </c>
      <c r="P70" s="444">
        <f>'November 2024'!AL73</f>
        <v>0.67510641701730056</v>
      </c>
      <c r="Q70" s="444" t="e">
        <f>Q69/(Q12)*100</f>
        <v>#DIV/0!</v>
      </c>
      <c r="R70" s="723"/>
      <c r="S70" s="529">
        <f>S69/(S11)*100</f>
        <v>0.93906844033472303</v>
      </c>
      <c r="T70" s="683">
        <v>0.8</v>
      </c>
      <c r="U70" s="785">
        <v>0</v>
      </c>
      <c r="V70" s="811"/>
      <c r="W70" s="141"/>
      <c r="X70" s="63"/>
      <c r="Y70" s="811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Q70" s="63"/>
      <c r="AS70" s="1"/>
      <c r="AT70" s="1"/>
      <c r="AU70" s="1"/>
      <c r="AV70" s="1"/>
      <c r="AW70" s="141">
        <f>S70*10</f>
        <v>9.3906844033472296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4"/>
      <c r="BS70" s="1"/>
      <c r="BU70" s="1"/>
      <c r="BV70" s="1"/>
      <c r="BW70" s="1"/>
      <c r="BX70" s="1"/>
      <c r="CZ70" s="1"/>
      <c r="FM70" s="485" t="e">
        <f>#REF!*10</f>
        <v>#REF!</v>
      </c>
      <c r="ON70" s="485"/>
      <c r="OQ70" s="142">
        <f>OQ66+(S47/1000)</f>
        <v>3474.5995019518286</v>
      </c>
      <c r="OR70" s="142" t="s">
        <v>351</v>
      </c>
    </row>
    <row r="71" spans="2:935" x14ac:dyDescent="0.25">
      <c r="B71" s="1676"/>
      <c r="C71" s="538" t="s">
        <v>57</v>
      </c>
      <c r="D71" s="539">
        <v>16</v>
      </c>
      <c r="E71" s="540" t="s">
        <v>56</v>
      </c>
      <c r="F71" s="541">
        <v>25923</v>
      </c>
      <c r="G71" s="542">
        <v>15015</v>
      </c>
      <c r="H71" s="543">
        <v>16441</v>
      </c>
      <c r="I71" s="542">
        <v>0</v>
      </c>
      <c r="J71" s="542">
        <v>0</v>
      </c>
      <c r="K71" s="542">
        <v>0</v>
      </c>
      <c r="L71" s="542">
        <v>0</v>
      </c>
      <c r="M71" s="542">
        <v>2930</v>
      </c>
      <c r="N71" s="542">
        <v>0</v>
      </c>
      <c r="O71" s="542">
        <v>998</v>
      </c>
      <c r="P71" s="542">
        <f>'November 2024'!AL74</f>
        <v>0</v>
      </c>
      <c r="Q71" s="542">
        <f>'[24]Desember 24'!AL60</f>
        <v>0</v>
      </c>
      <c r="R71" s="723"/>
      <c r="S71" s="544">
        <f>SUM(F71:P71)</f>
        <v>61307</v>
      </c>
      <c r="T71" s="684">
        <v>1357284</v>
      </c>
      <c r="U71" s="776">
        <f>S71/T71*100</f>
        <v>4.5168881383704518</v>
      </c>
      <c r="V71" s="63"/>
      <c r="W71" s="1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Q71" s="63"/>
      <c r="AS71" s="437"/>
      <c r="AT71" s="437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42"/>
      <c r="BX71" s="1"/>
      <c r="CZ71" s="1"/>
      <c r="DE71" s="5"/>
      <c r="DF71" s="142"/>
      <c r="DG71" s="142"/>
      <c r="DH71" s="142"/>
      <c r="DI71" s="142"/>
      <c r="FL71" s="142"/>
      <c r="FM71" s="485"/>
      <c r="JG71" s="142"/>
      <c r="JH71" s="142"/>
      <c r="JI71" s="142"/>
      <c r="JJ71" s="142"/>
      <c r="ON71" s="142"/>
      <c r="OO71" s="142"/>
      <c r="OQ71" s="142">
        <f>OQ68+S71</f>
        <v>82886.6178343949</v>
      </c>
      <c r="OR71" s="142" t="s">
        <v>352</v>
      </c>
      <c r="PE71" s="485"/>
      <c r="PI71" s="142"/>
      <c r="RL71" s="485"/>
      <c r="AGU71" s="142"/>
      <c r="AIJ71" s="142"/>
      <c r="AIK71" s="142"/>
      <c r="AIL71" s="142"/>
    </row>
    <row r="72" spans="2:935" x14ac:dyDescent="0.25">
      <c r="B72" s="1676"/>
      <c r="C72" s="545"/>
      <c r="D72" s="546"/>
      <c r="E72" s="547" t="s">
        <v>25</v>
      </c>
      <c r="F72" s="548">
        <v>1.5981564323182909</v>
      </c>
      <c r="G72" s="549">
        <v>1.7429299763806896</v>
      </c>
      <c r="H72" s="549">
        <v>1.794209849396091</v>
      </c>
      <c r="I72" s="549" t="e">
        <v>#DIV/0!</v>
      </c>
      <c r="J72" s="549" t="e">
        <v>#DIV/0!</v>
      </c>
      <c r="K72" s="549" t="e">
        <v>#DIV/0!</v>
      </c>
      <c r="L72" s="549" t="e">
        <v>#DIV/0!</v>
      </c>
      <c r="M72" s="549">
        <v>1.586399198678903</v>
      </c>
      <c r="N72" s="549" t="e">
        <v>#DIV/0!</v>
      </c>
      <c r="O72" s="549">
        <v>1.7871819038642787</v>
      </c>
      <c r="P72" s="549" t="e">
        <f>'November 2024'!AL75</f>
        <v>#DIV/0!</v>
      </c>
      <c r="Q72" s="549" t="e">
        <f>Q71/(Q13)*100</f>
        <v>#DIV/0!</v>
      </c>
      <c r="R72" s="723"/>
      <c r="S72" s="713">
        <f>S71/(S13)*100</f>
        <v>1.684068324111555</v>
      </c>
      <c r="T72" s="685">
        <v>1.8</v>
      </c>
      <c r="U72" s="786">
        <v>0</v>
      </c>
      <c r="V72" s="811"/>
      <c r="W72" s="141"/>
      <c r="X72" s="63"/>
      <c r="Y72" s="811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Q72" s="63"/>
      <c r="AS72" s="437"/>
      <c r="AT72" s="437"/>
      <c r="AU72" s="1"/>
      <c r="AV72" s="1"/>
      <c r="AW72" s="141">
        <f>S72*10</f>
        <v>16.840683241115549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4"/>
      <c r="BS72" s="1"/>
      <c r="BU72" s="1"/>
      <c r="BV72" s="1"/>
      <c r="BW72" s="142"/>
      <c r="BX72" s="1"/>
      <c r="CZ72" s="1"/>
      <c r="DE72" s="5"/>
      <c r="DF72" s="142"/>
      <c r="DG72" s="142"/>
      <c r="DH72" s="142"/>
      <c r="DI72" s="142"/>
      <c r="FL72" s="142"/>
      <c r="FM72" s="485"/>
      <c r="JG72" s="142"/>
      <c r="JH72" s="142"/>
      <c r="JI72" s="142"/>
      <c r="JJ72" s="142"/>
      <c r="ON72" s="485"/>
      <c r="OO72" s="142"/>
      <c r="OQ72" s="550">
        <f>OQ71/OQ70</f>
        <v>23.855013444811121</v>
      </c>
      <c r="OR72" s="551" t="s">
        <v>250</v>
      </c>
      <c r="PE72" s="485"/>
      <c r="PI72" s="142"/>
      <c r="RL72" s="485"/>
      <c r="AGU72" s="142"/>
      <c r="AIJ72" s="142"/>
      <c r="AIK72" s="142"/>
      <c r="AIL72" s="142"/>
    </row>
    <row r="73" spans="2:935" x14ac:dyDescent="0.25">
      <c r="B73" s="1676"/>
      <c r="C73" s="466" t="s">
        <v>55</v>
      </c>
      <c r="D73" s="467">
        <v>0.55000000000000004</v>
      </c>
      <c r="E73" s="500" t="s">
        <v>14</v>
      </c>
      <c r="F73" s="535">
        <v>6664.8560000000007</v>
      </c>
      <c r="G73" s="443">
        <v>6551.9319999999989</v>
      </c>
      <c r="H73" s="536">
        <v>9270.8559999999998</v>
      </c>
      <c r="I73" s="443">
        <v>5139.1220000000003</v>
      </c>
      <c r="J73" s="443">
        <v>7872.5539999999992</v>
      </c>
      <c r="K73" s="443">
        <v>4040.197999999999</v>
      </c>
      <c r="L73" s="443">
        <v>7823.7820000000002</v>
      </c>
      <c r="M73" s="535">
        <v>11739.24</v>
      </c>
      <c r="N73" s="1632">
        <v>12499.518</v>
      </c>
      <c r="O73" s="536">
        <v>12588.965999999999</v>
      </c>
      <c r="P73" s="443">
        <f>'November 2024'!AL76</f>
        <v>10695.717999999997</v>
      </c>
      <c r="Q73" s="443">
        <f>'[24]Desember 24'!AL62</f>
        <v>0</v>
      </c>
      <c r="R73" s="723"/>
      <c r="S73" s="544">
        <f>SUM(F73:P73)</f>
        <v>94886.741999999984</v>
      </c>
      <c r="T73" s="684">
        <v>252824</v>
      </c>
      <c r="U73" s="787">
        <f>SUM(H73:S73)</f>
        <v>176556.696</v>
      </c>
      <c r="V73" s="520"/>
      <c r="W73" s="1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Q73" s="63"/>
      <c r="AS73" s="1"/>
      <c r="AT73" s="1"/>
      <c r="AU73" s="1"/>
      <c r="AV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CZ73" s="1"/>
      <c r="FM73" s="485"/>
      <c r="OQ73" s="485">
        <v>16</v>
      </c>
      <c r="OR73" s="1" t="s">
        <v>353</v>
      </c>
    </row>
    <row r="74" spans="2:935" x14ac:dyDescent="0.25">
      <c r="B74" s="1677"/>
      <c r="C74" s="552"/>
      <c r="D74" s="480"/>
      <c r="E74" s="553" t="s">
        <v>25</v>
      </c>
      <c r="F74" s="554">
        <v>5.597855013514514E-2</v>
      </c>
      <c r="G74" s="555">
        <v>5.577398227387062E-2</v>
      </c>
      <c r="H74" s="555">
        <v>5.4586175487476657E-2</v>
      </c>
      <c r="I74" s="555">
        <v>5.8070316862727026E-2</v>
      </c>
      <c r="J74" s="555">
        <v>5.0748955326463577E-2</v>
      </c>
      <c r="K74" s="555">
        <v>4.5297660557761771E-2</v>
      </c>
      <c r="L74" s="555">
        <v>4.8910868273997765E-2</v>
      </c>
      <c r="M74" s="555">
        <v>5.087347260277475E-2</v>
      </c>
      <c r="N74" s="555">
        <v>5.1981066517953492E-2</v>
      </c>
      <c r="O74" s="555">
        <f>O73/(O11)*100</f>
        <v>5.3625749869044871E-2</v>
      </c>
      <c r="P74" s="555">
        <f>'November 2024'!AL77</f>
        <v>5.2488190336539814E-2</v>
      </c>
      <c r="Q74" s="555" t="e">
        <f>Q73/(Q11)*100</f>
        <v>#DIV/0!</v>
      </c>
      <c r="R74" s="726"/>
      <c r="S74" s="304">
        <f>S73/(S11+71450)*100</f>
        <v>5.2434871639099566E-2</v>
      </c>
      <c r="T74" s="686">
        <v>0.06</v>
      </c>
      <c r="U74" s="788">
        <f>U73/(U11+71450)*100</f>
        <v>247.10375818017084</v>
      </c>
      <c r="V74" s="63"/>
      <c r="W74" s="141"/>
      <c r="X74" s="63"/>
      <c r="Y74" s="811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Q74" s="63"/>
      <c r="AS74" s="1"/>
      <c r="AT74" s="1"/>
      <c r="AU74" s="1"/>
      <c r="AV74" s="1"/>
      <c r="AW74" s="141">
        <f>S74*10</f>
        <v>0.52434871639099567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CZ74" s="1"/>
      <c r="FM74" s="485">
        <f>P74*10</f>
        <v>0.52488190336539819</v>
      </c>
      <c r="ON74" s="485"/>
      <c r="OQ74" s="485">
        <f>OQ72-OQ73</f>
        <v>7.8550134448111208</v>
      </c>
      <c r="OR74" s="1" t="s">
        <v>354</v>
      </c>
    </row>
    <row r="75" spans="2:935" x14ac:dyDescent="0.25">
      <c r="B75" s="727">
        <v>4</v>
      </c>
      <c r="C75" s="556" t="s">
        <v>355</v>
      </c>
      <c r="D75" s="557">
        <v>0.8</v>
      </c>
      <c r="E75" s="503" t="s">
        <v>25</v>
      </c>
      <c r="F75" s="558">
        <v>-0.68509482836891278</v>
      </c>
      <c r="G75" s="559">
        <v>-0.6586369572355022</v>
      </c>
      <c r="H75" s="559">
        <v>-0.66393505845833911</v>
      </c>
      <c r="I75" s="559">
        <f>((SUM(I19:I20))-(SUM(I11)))/(SUM(I11))*100</f>
        <v>-0.4159177818863331</v>
      </c>
      <c r="J75" s="559">
        <v>-0.70420179128885085</v>
      </c>
      <c r="K75" s="559">
        <v>-0.6050304847284852</v>
      </c>
      <c r="L75" s="559">
        <v>-5.5367470328048913</v>
      </c>
      <c r="M75" s="559">
        <v>0.10357452185156785</v>
      </c>
      <c r="N75" s="559">
        <v>-1.0990510386425516</v>
      </c>
      <c r="O75" s="559">
        <f>((SUM(O19:O20))-(SUM(O11)))/(SUM(O11))*100</f>
        <v>-0.70209497103779972</v>
      </c>
      <c r="P75" s="559">
        <f>'November 2024'!AL78</f>
        <v>2.2143867366658521</v>
      </c>
      <c r="Q75" s="559" t="e">
        <f>((SUM(Q19:Q20))-(SUM(Q11)))/(SUM(Q11))*100</f>
        <v>#DIV/0!</v>
      </c>
      <c r="R75" s="728"/>
      <c r="S75" s="305">
        <f>((SUM(S19:S20))-(SUM(S11)))/(SUM(S11))*100</f>
        <v>-0.72493948812152698</v>
      </c>
      <c r="T75" s="687">
        <f>((SUM(T19:T20))-(SUM(T11)))/(SUM(T11))*100</f>
        <v>-0.71527906325497059</v>
      </c>
      <c r="U75" s="774">
        <f>S75/T75*100</f>
        <v>101.3505812434374</v>
      </c>
      <c r="V75" s="816"/>
      <c r="W75" s="1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Q75" s="63"/>
      <c r="AS75" s="808"/>
      <c r="AT75" s="808"/>
      <c r="AU75" s="1"/>
      <c r="AV75" s="1"/>
      <c r="AW75" s="138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U75" s="1"/>
      <c r="BV75" s="1"/>
      <c r="BW75" s="144"/>
      <c r="BX75" s="1"/>
      <c r="CZ75" s="1"/>
      <c r="DE75" s="520"/>
      <c r="DF75" s="144"/>
      <c r="DG75" s="144"/>
      <c r="DH75" s="144"/>
      <c r="DI75" s="144"/>
      <c r="FL75" s="144"/>
      <c r="JG75" s="144"/>
      <c r="JH75" s="144"/>
      <c r="JI75" s="144"/>
      <c r="JJ75" s="144"/>
      <c r="ON75" s="144"/>
      <c r="OO75" s="144"/>
      <c r="OQ75" s="485"/>
      <c r="PE75" s="153"/>
      <c r="PI75" s="144"/>
      <c r="RL75" s="153"/>
      <c r="AGU75" s="144"/>
      <c r="AIJ75" s="144"/>
      <c r="AIK75" s="144"/>
      <c r="AIL75" s="144"/>
    </row>
    <row r="76" spans="2:935" x14ac:dyDescent="0.25">
      <c r="B76" s="729"/>
      <c r="C76" s="527" t="s">
        <v>54</v>
      </c>
      <c r="D76" s="560">
        <v>22</v>
      </c>
      <c r="E76" s="518" t="s">
        <v>25</v>
      </c>
      <c r="F76" s="444">
        <v>21.923529411764708</v>
      </c>
      <c r="G76" s="444">
        <v>21.991000000000003</v>
      </c>
      <c r="H76" s="444">
        <v>21.974000000000004</v>
      </c>
      <c r="I76" s="444">
        <v>21.953333333333337</v>
      </c>
      <c r="J76" s="444">
        <v>20.636666666666667</v>
      </c>
      <c r="K76" s="444">
        <v>21.886470588235294</v>
      </c>
      <c r="L76" s="444">
        <v>21.912727272727277</v>
      </c>
      <c r="M76" s="444">
        <v>21.70071428571428</v>
      </c>
      <c r="N76" s="444">
        <v>22.058148148148149</v>
      </c>
      <c r="O76" s="444">
        <v>22.009285714285717</v>
      </c>
      <c r="P76" s="444">
        <f>'November 2024'!AL80</f>
        <v>21.916818181818183</v>
      </c>
      <c r="Q76" s="444" t="e">
        <f>'[24]Desember 24'!AL65</f>
        <v>#DIV/0!</v>
      </c>
      <c r="R76" s="724"/>
      <c r="S76" s="85">
        <f>AVERAGE(F76:L76)</f>
        <v>21.753961038961041</v>
      </c>
      <c r="T76" s="688">
        <v>22</v>
      </c>
      <c r="U76" s="780" t="e">
        <f>AVERAGE(H76:S76)</f>
        <v>#DIV/0!</v>
      </c>
      <c r="V76" s="63"/>
      <c r="W76" s="1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Q76" s="63"/>
      <c r="AS76" s="808"/>
      <c r="AT76" s="808"/>
      <c r="AU76" s="1"/>
      <c r="AV76" s="1"/>
      <c r="AW76" s="63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U76" s="1"/>
      <c r="BV76" s="1"/>
      <c r="BW76" s="144"/>
      <c r="BX76" s="1"/>
      <c r="CZ76" s="1"/>
      <c r="DE76" s="520"/>
      <c r="DF76" s="144"/>
      <c r="DG76" s="144"/>
      <c r="DH76" s="144"/>
      <c r="DI76" s="144"/>
      <c r="FL76" s="144"/>
      <c r="JG76" s="144"/>
      <c r="JH76" s="144"/>
      <c r="JI76" s="144"/>
      <c r="JJ76" s="144"/>
      <c r="ON76" s="144"/>
      <c r="OO76" s="144"/>
      <c r="OQ76" s="144"/>
      <c r="PE76" s="153"/>
      <c r="PI76" s="144"/>
      <c r="RL76" s="153"/>
      <c r="AGU76" s="144"/>
      <c r="AIJ76" s="144"/>
      <c r="AIK76" s="144"/>
      <c r="AIL76" s="144"/>
    </row>
    <row r="77" spans="2:935" x14ac:dyDescent="0.25">
      <c r="B77" s="730"/>
      <c r="C77" s="561" t="s">
        <v>53</v>
      </c>
      <c r="D77" s="480"/>
      <c r="E77" s="562" t="s">
        <v>14</v>
      </c>
      <c r="F77" s="444">
        <v>188382.82605882353</v>
      </c>
      <c r="G77" s="444">
        <v>198944.14270999999</v>
      </c>
      <c r="H77" s="444">
        <v>189290.23086000001</v>
      </c>
      <c r="I77" s="444">
        <v>159040.56153333333</v>
      </c>
      <c r="J77" s="444">
        <v>191879.85653333334</v>
      </c>
      <c r="K77" s="444">
        <v>107413.67107058823</v>
      </c>
      <c r="L77" s="444">
        <v>198078.92276363636</v>
      </c>
      <c r="M77" s="444">
        <v>315617.41542142857</v>
      </c>
      <c r="N77" s="444">
        <v>189044.9220495199</v>
      </c>
      <c r="O77" s="444">
        <v>163995.0224765306</v>
      </c>
      <c r="P77" s="444">
        <f>'November 2024'!AL81</f>
        <v>138939.48852747935</v>
      </c>
      <c r="Q77" s="444" t="e">
        <f t="shared" ref="Q77" si="15">SUM(Q69,Q71)+(Q76%*SUM(Q69,Q71))</f>
        <v>#DIV/0!</v>
      </c>
      <c r="R77" s="724"/>
      <c r="S77" s="563">
        <f>SUM(S69,S71)+(S76%*SUM(S69,S71))</f>
        <v>2142851.4511915585</v>
      </c>
      <c r="T77" s="689">
        <v>7811279</v>
      </c>
      <c r="U77" s="789" t="e">
        <f>SUM(U69,U71)+(U76%*SUM(U69,U71))</f>
        <v>#DIV/0!</v>
      </c>
      <c r="V77" s="817"/>
      <c r="W77" s="6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Q77" s="63"/>
      <c r="AW77" s="63"/>
      <c r="BF77" s="144"/>
      <c r="BG77" s="144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CJ77" s="144"/>
      <c r="CZ77" s="1"/>
      <c r="DR77" s="520"/>
      <c r="DS77" s="144"/>
      <c r="DT77" s="144"/>
      <c r="DU77" s="144"/>
      <c r="DV77" s="144"/>
      <c r="FY77" s="144"/>
      <c r="FZ77" s="368">
        <f>W77+400</f>
        <v>400</v>
      </c>
      <c r="JT77" s="144"/>
      <c r="JU77" s="144"/>
      <c r="JV77" s="144"/>
      <c r="JW77" s="144"/>
      <c r="PA77" s="144"/>
      <c r="PB77" s="144"/>
      <c r="PD77" s="144"/>
      <c r="PR77" s="153"/>
      <c r="PV77" s="144"/>
      <c r="RY77" s="153"/>
      <c r="AHH77" s="144"/>
      <c r="AIW77" s="144"/>
      <c r="AIX77" s="144"/>
      <c r="AIY77" s="144"/>
    </row>
    <row r="78" spans="2:935" hidden="1" x14ac:dyDescent="0.25">
      <c r="B78" s="731">
        <v>5</v>
      </c>
      <c r="C78" s="423" t="s">
        <v>52</v>
      </c>
      <c r="D78" s="48"/>
      <c r="E78" s="48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3"/>
      <c r="S78" s="526" t="s">
        <v>131</v>
      </c>
      <c r="T78" s="681" t="s">
        <v>131</v>
      </c>
      <c r="U78" s="781" t="s">
        <v>131</v>
      </c>
      <c r="W78" s="1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Q78" s="63"/>
      <c r="AW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CZ78" s="1"/>
      <c r="FW78" s="3">
        <v>17292</v>
      </c>
      <c r="OX78" s="142" t="e">
        <f>#REF!-FW78</f>
        <v>#REF!</v>
      </c>
    </row>
    <row r="79" spans="2:935" hidden="1" x14ac:dyDescent="0.25">
      <c r="B79" s="732"/>
      <c r="C79" s="564" t="s">
        <v>51</v>
      </c>
      <c r="D79" s="565"/>
      <c r="E79" s="12" t="s">
        <v>14</v>
      </c>
      <c r="F79" s="566">
        <f>'[24]Januari 24'!AL68</f>
        <v>845858</v>
      </c>
      <c r="G79" s="566" t="e">
        <f>'[24]Februari 24'!AI68</f>
        <v>#REF!</v>
      </c>
      <c r="H79" s="566">
        <f>'[24]Maret 24'!AL68</f>
        <v>0</v>
      </c>
      <c r="I79" s="566">
        <f>'[24]April 24'!AL68</f>
        <v>0</v>
      </c>
      <c r="J79" s="566">
        <f>'[24]Mei 24'!AL68</f>
        <v>0</v>
      </c>
      <c r="K79" s="566">
        <f>'[24]Juny 24'!AL68</f>
        <v>0</v>
      </c>
      <c r="L79" s="566">
        <f>'[24]July 24'!AL68</f>
        <v>0</v>
      </c>
      <c r="M79" s="566">
        <f>'[24]Agustus 24'!AL68</f>
        <v>0</v>
      </c>
      <c r="N79" s="566">
        <f>'[24]September 24'!AL68</f>
        <v>0</v>
      </c>
      <c r="O79" s="566" t="e">
        <f>'[24]September 24'!AM68</f>
        <v>#REF!</v>
      </c>
      <c r="P79" s="566">
        <f>'[24]November 24'!AL68</f>
        <v>0</v>
      </c>
      <c r="Q79" s="566">
        <f>'[24]Desember 24'!AL68</f>
        <v>0</v>
      </c>
      <c r="R79" s="27"/>
      <c r="S79" s="90" t="e">
        <f>SUM(F79:Q79)</f>
        <v>#REF!</v>
      </c>
      <c r="T79" s="690" t="e">
        <f>SUM(G79:R79)</f>
        <v>#REF!</v>
      </c>
      <c r="U79" s="774" t="e">
        <f>(S79/T79)*100</f>
        <v>#REF!</v>
      </c>
      <c r="W79" s="1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Q79" s="63"/>
      <c r="AW79" s="2"/>
      <c r="BC79" s="147"/>
      <c r="BD79" s="147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CG79" s="147"/>
      <c r="CZ79" s="1"/>
      <c r="DO79" s="439"/>
      <c r="DP79" s="147"/>
      <c r="DQ79" s="147"/>
      <c r="DR79" s="147"/>
      <c r="DS79" s="147"/>
      <c r="FV79" s="147"/>
      <c r="JQ79" s="147"/>
      <c r="JR79" s="147"/>
      <c r="JS79" s="147"/>
      <c r="JT79" s="147"/>
      <c r="OX79" s="147"/>
      <c r="OY79" s="147"/>
      <c r="PA79" s="147"/>
      <c r="PO79" s="567"/>
      <c r="PS79" s="147"/>
      <c r="RV79" s="567"/>
      <c r="AHE79" s="152"/>
      <c r="AIT79" s="152"/>
      <c r="AIU79" s="152"/>
      <c r="AIV79" s="152"/>
    </row>
    <row r="80" spans="2:935" hidden="1" x14ac:dyDescent="0.25">
      <c r="B80" s="733"/>
      <c r="C80" s="568" t="s">
        <v>46</v>
      </c>
      <c r="D80" s="569"/>
      <c r="E80" s="570" t="s">
        <v>14</v>
      </c>
      <c r="F80" s="571">
        <f>'[24]Januari 24'!AL69</f>
        <v>399021.27999999997</v>
      </c>
      <c r="G80" s="571" t="e">
        <f>'[24]Februari 24'!AI69</f>
        <v>#REF!</v>
      </c>
      <c r="H80" s="571">
        <f>'[24]Maret 24'!AL69</f>
        <v>0</v>
      </c>
      <c r="I80" s="571">
        <f>'[24]April 24'!AL69</f>
        <v>0</v>
      </c>
      <c r="J80" s="571">
        <f>'[24]Mei 24'!AL69</f>
        <v>0</v>
      </c>
      <c r="K80" s="571">
        <f>'[24]Juny 24'!AL69</f>
        <v>0</v>
      </c>
      <c r="L80" s="571">
        <f>'[24]July 24'!AL69</f>
        <v>0</v>
      </c>
      <c r="M80" s="571">
        <f>'[24]Agustus 24'!AL69</f>
        <v>0</v>
      </c>
      <c r="N80" s="571">
        <f>'[24]September 24'!AL69</f>
        <v>0</v>
      </c>
      <c r="O80" s="571" t="e">
        <f>'[24]September 24'!AM69</f>
        <v>#REF!</v>
      </c>
      <c r="P80" s="571">
        <f>'[24]November 24'!AL69</f>
        <v>0</v>
      </c>
      <c r="Q80" s="571">
        <f>'[24]Desember 24'!AL69</f>
        <v>0</v>
      </c>
      <c r="R80" s="734"/>
      <c r="S80" s="90" t="e">
        <f>SUM(S81:S83)</f>
        <v>#REF!</v>
      </c>
      <c r="T80" s="690" t="e">
        <f>SUM(T81:T83)</f>
        <v>#REF!</v>
      </c>
      <c r="U80" s="774" t="e">
        <f>(S80/T80)*100</f>
        <v>#REF!</v>
      </c>
      <c r="W80" s="827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572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  <c r="HO80" s="174"/>
      <c r="HP80" s="174"/>
      <c r="HQ80" s="174"/>
      <c r="HR80" s="174"/>
      <c r="HS80" s="174"/>
      <c r="HT80" s="174"/>
      <c r="HU80" s="174"/>
      <c r="HV80" s="174"/>
      <c r="HW80" s="174"/>
      <c r="HX80" s="174"/>
      <c r="HY80" s="174"/>
      <c r="HZ80" s="174"/>
      <c r="IA80" s="174"/>
      <c r="IB80" s="174"/>
      <c r="IC80" s="174"/>
      <c r="ID80" s="174"/>
      <c r="IE80" s="174"/>
      <c r="IF80" s="174"/>
      <c r="IG80" s="174"/>
      <c r="IH80" s="174"/>
      <c r="II80" s="174"/>
      <c r="IJ80" s="174"/>
      <c r="IK80" s="174"/>
      <c r="IL80" s="174"/>
      <c r="IM80" s="174"/>
      <c r="IN80" s="174"/>
      <c r="IO80" s="174"/>
      <c r="IP80" s="174"/>
      <c r="IQ80" s="174"/>
      <c r="IR80" s="174"/>
      <c r="IS80" s="174"/>
      <c r="IT80" s="174"/>
      <c r="IU80" s="174"/>
      <c r="IV80" s="174"/>
      <c r="IW80" s="174"/>
      <c r="IX80" s="174"/>
      <c r="IY80" s="174"/>
      <c r="IZ80" s="174"/>
      <c r="JA80" s="174"/>
      <c r="JB80" s="174"/>
      <c r="JC80" s="174"/>
      <c r="JD80" s="174"/>
      <c r="JE80" s="174"/>
      <c r="JF80" s="174"/>
      <c r="JG80" s="174"/>
      <c r="JH80" s="174"/>
      <c r="JI80" s="174"/>
      <c r="JJ80" s="174"/>
      <c r="JK80" s="174"/>
      <c r="JL80" s="174"/>
      <c r="JM80" s="174"/>
      <c r="JN80" s="174"/>
      <c r="JO80" s="174"/>
      <c r="JP80" s="174"/>
      <c r="JQ80" s="174"/>
      <c r="JR80" s="174"/>
      <c r="JS80" s="174"/>
      <c r="JT80" s="174"/>
      <c r="JU80" s="174"/>
      <c r="JV80" s="174"/>
      <c r="JW80" s="174"/>
      <c r="JX80" s="174"/>
      <c r="JY80" s="174"/>
      <c r="JZ80" s="174"/>
      <c r="KA80" s="174"/>
      <c r="KB80" s="174"/>
      <c r="KC80" s="174"/>
      <c r="KD80" s="174"/>
      <c r="KE80" s="174"/>
      <c r="KF80" s="174"/>
      <c r="KG80" s="174"/>
      <c r="KH80" s="174"/>
      <c r="KI80" s="174"/>
      <c r="KJ80" s="174"/>
      <c r="KK80" s="174"/>
      <c r="KL80" s="174"/>
      <c r="KM80" s="174"/>
      <c r="KN80" s="174"/>
      <c r="KO80" s="174"/>
      <c r="KP80" s="174"/>
      <c r="KQ80" s="174"/>
      <c r="KR80" s="174"/>
      <c r="KS80" s="174"/>
      <c r="KT80" s="174"/>
      <c r="KU80" s="174"/>
      <c r="KV80" s="174"/>
      <c r="KW80" s="174"/>
      <c r="KX80" s="174"/>
      <c r="KY80" s="174"/>
      <c r="KZ80" s="174"/>
      <c r="LA80" s="174"/>
      <c r="LB80" s="174"/>
      <c r="LC80" s="174"/>
      <c r="LD80" s="174"/>
      <c r="LE80" s="174"/>
      <c r="LF80" s="174"/>
      <c r="LG80" s="174"/>
      <c r="LH80" s="174"/>
      <c r="LI80" s="174"/>
      <c r="LJ80" s="174"/>
      <c r="LK80" s="174"/>
      <c r="LL80" s="174"/>
      <c r="LM80" s="174"/>
      <c r="LN80" s="174"/>
      <c r="LO80" s="174"/>
      <c r="LP80" s="174"/>
      <c r="LQ80" s="174"/>
      <c r="LR80" s="174"/>
      <c r="LS80" s="174"/>
      <c r="LT80" s="174"/>
      <c r="LU80" s="174"/>
      <c r="LV80" s="174"/>
      <c r="LW80" s="174"/>
      <c r="LX80" s="174"/>
      <c r="LY80" s="174"/>
      <c r="LZ80" s="174"/>
      <c r="MA80" s="174"/>
      <c r="MB80" s="174"/>
      <c r="MC80" s="174"/>
      <c r="MD80" s="174"/>
      <c r="ME80" s="174"/>
      <c r="MF80" s="174"/>
      <c r="MG80" s="174"/>
      <c r="MH80" s="174"/>
      <c r="MI80" s="174"/>
      <c r="MJ80" s="174"/>
      <c r="MK80" s="174"/>
      <c r="ML80" s="174"/>
      <c r="MM80" s="174"/>
      <c r="MN80" s="174"/>
      <c r="MO80" s="174"/>
      <c r="MP80" s="174"/>
      <c r="MQ80" s="174"/>
      <c r="MR80" s="174"/>
      <c r="MS80" s="174"/>
      <c r="MT80" s="174"/>
      <c r="MU80" s="174"/>
      <c r="MV80" s="174"/>
      <c r="MW80" s="174"/>
      <c r="MX80" s="174"/>
      <c r="MY80" s="174"/>
      <c r="MZ80" s="174"/>
      <c r="NA80" s="174"/>
      <c r="NB80" s="174"/>
      <c r="NC80" s="174"/>
      <c r="ND80" s="174"/>
      <c r="NE80" s="174"/>
      <c r="NF80" s="174"/>
      <c r="NG80" s="174"/>
      <c r="NH80" s="174"/>
      <c r="NI80" s="174"/>
      <c r="NJ80" s="174"/>
      <c r="NK80" s="174"/>
      <c r="NL80" s="174"/>
      <c r="NM80" s="174"/>
      <c r="NN80" s="174"/>
      <c r="NO80" s="174"/>
      <c r="NP80" s="174"/>
      <c r="NQ80" s="174"/>
      <c r="NR80" s="174"/>
      <c r="NS80" s="174"/>
      <c r="NT80" s="174"/>
      <c r="NU80" s="174"/>
      <c r="NV80" s="174"/>
      <c r="NW80" s="174"/>
      <c r="NX80" s="174"/>
      <c r="NY80" s="174"/>
      <c r="NZ80" s="174"/>
      <c r="OA80" s="174"/>
      <c r="OB80" s="174"/>
      <c r="OC80" s="174"/>
      <c r="OD80" s="174"/>
      <c r="OE80" s="174"/>
      <c r="OF80" s="174"/>
      <c r="OG80" s="174"/>
      <c r="OH80" s="174"/>
      <c r="OI80" s="174"/>
      <c r="OJ80" s="174"/>
      <c r="OK80" s="174"/>
      <c r="OL80" s="174"/>
      <c r="OM80" s="174"/>
      <c r="ON80" s="174"/>
      <c r="OO80" s="174"/>
      <c r="OP80" s="174"/>
      <c r="OQ80" s="174"/>
      <c r="OR80" s="174"/>
      <c r="OS80" s="174"/>
      <c r="OT80" s="174"/>
      <c r="OU80" s="174"/>
      <c r="OV80" s="174"/>
      <c r="OW80" s="174"/>
      <c r="OX80" s="174"/>
      <c r="OY80" s="174"/>
      <c r="OZ80" s="174"/>
      <c r="PA80" s="174"/>
      <c r="PB80" s="174"/>
      <c r="PC80" s="174"/>
      <c r="PD80" s="174"/>
      <c r="PE80" s="174"/>
      <c r="PF80" s="174"/>
      <c r="PG80" s="174"/>
      <c r="PH80" s="174"/>
      <c r="PI80" s="174"/>
      <c r="PJ80" s="174"/>
      <c r="PK80" s="174"/>
      <c r="PL80" s="174"/>
      <c r="PM80" s="174"/>
      <c r="PN80" s="174"/>
      <c r="PO80" s="174"/>
      <c r="PP80" s="174"/>
      <c r="PQ80" s="174"/>
      <c r="PR80" s="174"/>
      <c r="PS80" s="174"/>
      <c r="PT80" s="174"/>
      <c r="PU80" s="174"/>
      <c r="PV80" s="174"/>
      <c r="PW80" s="174"/>
      <c r="PX80" s="174"/>
      <c r="PY80" s="174"/>
      <c r="PZ80" s="174"/>
      <c r="QA80" s="174"/>
      <c r="QB80" s="174"/>
      <c r="QC80" s="174"/>
      <c r="QD80" s="174"/>
      <c r="QE80" s="174"/>
      <c r="QF80" s="174"/>
      <c r="QG80" s="174"/>
      <c r="QH80" s="174"/>
      <c r="QI80" s="174"/>
      <c r="QJ80" s="174"/>
      <c r="QK80" s="174"/>
      <c r="QL80" s="174"/>
      <c r="QM80" s="174"/>
      <c r="QN80" s="174"/>
      <c r="QO80" s="174"/>
      <c r="QP80" s="174"/>
      <c r="QQ80" s="174"/>
      <c r="QR80" s="174"/>
      <c r="QS80" s="174"/>
      <c r="QT80" s="174"/>
      <c r="QU80" s="174"/>
      <c r="QV80" s="174"/>
      <c r="QW80" s="174"/>
      <c r="QX80" s="174"/>
      <c r="QY80" s="174"/>
      <c r="QZ80" s="174"/>
      <c r="RA80" s="174"/>
      <c r="RB80" s="174"/>
      <c r="RC80" s="174"/>
      <c r="RD80" s="174"/>
      <c r="RE80" s="174"/>
      <c r="RF80" s="174"/>
      <c r="RG80" s="174"/>
      <c r="RH80" s="174"/>
      <c r="RI80" s="174"/>
      <c r="RJ80" s="174"/>
      <c r="RK80" s="174"/>
      <c r="RL80" s="174"/>
      <c r="RM80" s="174"/>
      <c r="RN80" s="174"/>
      <c r="RO80" s="174"/>
      <c r="RP80" s="174"/>
      <c r="RQ80" s="174"/>
      <c r="RR80" s="174"/>
      <c r="RS80" s="174"/>
      <c r="RT80" s="174"/>
      <c r="RU80" s="174"/>
      <c r="RV80" s="174"/>
      <c r="RW80" s="174"/>
      <c r="RX80" s="174"/>
      <c r="RY80" s="174"/>
      <c r="RZ80" s="174"/>
      <c r="SA80" s="174"/>
      <c r="SB80" s="174"/>
      <c r="SC80" s="174"/>
      <c r="SD80" s="174"/>
      <c r="SE80" s="174"/>
      <c r="SF80" s="174"/>
      <c r="SG80" s="174"/>
      <c r="SH80" s="174"/>
      <c r="SI80" s="174"/>
      <c r="SJ80" s="174"/>
      <c r="SK80" s="174"/>
      <c r="SL80" s="174"/>
      <c r="SM80" s="174"/>
      <c r="SN80" s="174"/>
      <c r="SO80" s="174"/>
      <c r="SP80" s="174"/>
      <c r="SQ80" s="174"/>
      <c r="SR80" s="174"/>
      <c r="SS80" s="174"/>
      <c r="ST80" s="174"/>
      <c r="SU80" s="174"/>
      <c r="SV80" s="174"/>
      <c r="SW80" s="174"/>
      <c r="SX80" s="174"/>
      <c r="SY80" s="174"/>
      <c r="SZ80" s="174"/>
      <c r="TA80" s="174"/>
      <c r="TB80" s="174"/>
      <c r="TC80" s="174"/>
      <c r="TD80" s="174"/>
      <c r="TE80" s="174"/>
      <c r="TF80" s="174"/>
      <c r="TG80" s="174"/>
      <c r="TH80" s="174"/>
      <c r="TI80" s="174"/>
      <c r="TJ80" s="174"/>
      <c r="TK80" s="174"/>
      <c r="TL80" s="174"/>
      <c r="TM80" s="174"/>
      <c r="TN80" s="174"/>
      <c r="TO80" s="174"/>
      <c r="TP80" s="174"/>
      <c r="TQ80" s="174"/>
      <c r="TR80" s="174"/>
      <c r="TS80" s="174"/>
      <c r="TT80" s="174"/>
      <c r="TU80" s="174"/>
      <c r="TV80" s="174"/>
      <c r="TW80" s="174"/>
      <c r="TX80" s="174"/>
      <c r="TY80" s="174"/>
      <c r="TZ80" s="174"/>
      <c r="UA80" s="174"/>
      <c r="UB80" s="174"/>
      <c r="UC80" s="174"/>
      <c r="UD80" s="174"/>
      <c r="UE80" s="174"/>
      <c r="UF80" s="174"/>
      <c r="UG80" s="174"/>
      <c r="UH80" s="174"/>
      <c r="UI80" s="174"/>
      <c r="UJ80" s="174"/>
      <c r="UK80" s="174"/>
      <c r="UL80" s="174"/>
      <c r="UM80" s="174"/>
      <c r="UN80" s="174"/>
      <c r="UO80" s="174"/>
      <c r="UP80" s="174"/>
      <c r="UQ80" s="174"/>
      <c r="UR80" s="174"/>
      <c r="US80" s="174"/>
      <c r="UT80" s="174"/>
      <c r="UU80" s="174"/>
      <c r="UV80" s="174"/>
      <c r="UW80" s="174"/>
      <c r="UX80" s="174"/>
      <c r="UY80" s="174"/>
      <c r="UZ80" s="174"/>
      <c r="VA80" s="174"/>
      <c r="VB80" s="174"/>
      <c r="VC80" s="174"/>
      <c r="VD80" s="174"/>
      <c r="VE80" s="174"/>
      <c r="VF80" s="174"/>
      <c r="VG80" s="174"/>
      <c r="VH80" s="174"/>
      <c r="VI80" s="174"/>
      <c r="VJ80" s="174"/>
      <c r="VK80" s="174"/>
      <c r="VL80" s="174"/>
      <c r="VM80" s="174"/>
      <c r="VN80" s="174"/>
      <c r="VO80" s="174"/>
      <c r="VP80" s="174"/>
      <c r="VQ80" s="174"/>
      <c r="VR80" s="174"/>
      <c r="VS80" s="174"/>
      <c r="VT80" s="174"/>
      <c r="VU80" s="174"/>
      <c r="VV80" s="174"/>
      <c r="VW80" s="174"/>
      <c r="VX80" s="174"/>
      <c r="VY80" s="174"/>
      <c r="VZ80" s="174"/>
      <c r="WA80" s="174"/>
      <c r="WB80" s="174"/>
      <c r="WC80" s="174"/>
      <c r="WD80" s="174"/>
      <c r="WE80" s="174"/>
      <c r="WF80" s="174"/>
      <c r="WG80" s="174"/>
      <c r="WH80" s="174"/>
      <c r="WI80" s="174"/>
      <c r="WJ80" s="174"/>
      <c r="WK80" s="174"/>
      <c r="WL80" s="174"/>
      <c r="WM80" s="174"/>
      <c r="WN80" s="174"/>
      <c r="WO80" s="174"/>
      <c r="WP80" s="174"/>
      <c r="WQ80" s="174"/>
      <c r="WR80" s="174"/>
      <c r="WS80" s="174"/>
      <c r="WT80" s="174"/>
      <c r="WU80" s="174"/>
      <c r="WV80" s="174"/>
      <c r="WW80" s="174"/>
      <c r="WX80" s="174"/>
      <c r="WY80" s="174"/>
      <c r="WZ80" s="174"/>
      <c r="XA80" s="174"/>
      <c r="XB80" s="174"/>
      <c r="XC80" s="174"/>
      <c r="XD80" s="174"/>
      <c r="XE80" s="174"/>
      <c r="XF80" s="174"/>
      <c r="XG80" s="174"/>
      <c r="XH80" s="174"/>
      <c r="XI80" s="174"/>
      <c r="XJ80" s="174"/>
      <c r="XK80" s="174"/>
      <c r="XL80" s="174"/>
      <c r="XM80" s="174"/>
      <c r="XN80" s="174"/>
      <c r="XO80" s="174"/>
      <c r="XP80" s="174"/>
      <c r="XQ80" s="174"/>
      <c r="XR80" s="174"/>
      <c r="XS80" s="174"/>
      <c r="XT80" s="174"/>
      <c r="XU80" s="174"/>
      <c r="XV80" s="174"/>
      <c r="XW80" s="174"/>
      <c r="XX80" s="174"/>
      <c r="XY80" s="174"/>
      <c r="XZ80" s="174"/>
      <c r="YA80" s="174"/>
      <c r="YB80" s="174"/>
      <c r="YC80" s="174"/>
      <c r="YD80" s="174"/>
      <c r="YE80" s="174"/>
      <c r="YF80" s="174"/>
      <c r="YG80" s="174"/>
      <c r="YH80" s="174"/>
      <c r="YI80" s="174"/>
      <c r="YJ80" s="174"/>
      <c r="YK80" s="174"/>
      <c r="YL80" s="174"/>
      <c r="YM80" s="174"/>
      <c r="YN80" s="174"/>
      <c r="YO80" s="174"/>
      <c r="YP80" s="174"/>
      <c r="YQ80" s="174"/>
      <c r="YR80" s="174"/>
      <c r="YS80" s="174"/>
      <c r="YT80" s="174"/>
      <c r="YU80" s="174"/>
      <c r="YV80" s="174"/>
      <c r="YW80" s="174"/>
      <c r="YX80" s="174"/>
      <c r="YY80" s="174"/>
      <c r="YZ80" s="174"/>
      <c r="ZA80" s="174"/>
      <c r="ZB80" s="174"/>
      <c r="ZC80" s="174"/>
      <c r="ZD80" s="174"/>
      <c r="ZE80" s="174"/>
      <c r="ZF80" s="174"/>
      <c r="ZG80" s="174"/>
      <c r="ZH80" s="174"/>
      <c r="ZI80" s="174"/>
      <c r="ZJ80" s="174"/>
      <c r="ZK80" s="174"/>
      <c r="ZL80" s="174"/>
      <c r="ZM80" s="174"/>
      <c r="ZN80" s="174"/>
      <c r="ZO80" s="174"/>
      <c r="ZP80" s="174"/>
      <c r="ZQ80" s="174"/>
      <c r="ZR80" s="174"/>
      <c r="ZS80" s="174"/>
      <c r="ZT80" s="174"/>
      <c r="ZU80" s="174"/>
      <c r="ZV80" s="174"/>
      <c r="ZW80" s="174"/>
      <c r="ZX80" s="174"/>
      <c r="ZY80" s="174"/>
      <c r="ZZ80" s="174"/>
      <c r="AAA80" s="174"/>
      <c r="AAB80" s="174"/>
      <c r="AAC80" s="174"/>
      <c r="AAD80" s="174"/>
      <c r="AAE80" s="174"/>
      <c r="AAF80" s="174"/>
      <c r="AAG80" s="174"/>
      <c r="AAH80" s="174"/>
      <c r="AAI80" s="174"/>
      <c r="AAJ80" s="174"/>
      <c r="AAK80" s="174"/>
      <c r="AAL80" s="174"/>
      <c r="AAM80" s="174"/>
      <c r="AAN80" s="174"/>
      <c r="AAO80" s="174"/>
      <c r="AAP80" s="174"/>
      <c r="AAQ80" s="174"/>
      <c r="AAR80" s="174"/>
      <c r="AAS80" s="174"/>
      <c r="AAT80" s="174"/>
      <c r="AAU80" s="174"/>
      <c r="AAV80" s="174"/>
      <c r="AAW80" s="174"/>
      <c r="AAX80" s="174"/>
      <c r="AAY80" s="174"/>
      <c r="AAZ80" s="174"/>
      <c r="ABA80" s="174"/>
      <c r="ABB80" s="174"/>
      <c r="ABC80" s="174"/>
      <c r="ABD80" s="174"/>
      <c r="ABE80" s="174"/>
      <c r="ABF80" s="174"/>
      <c r="ABG80" s="174"/>
      <c r="ABH80" s="174"/>
      <c r="ABI80" s="174"/>
      <c r="ABJ80" s="174"/>
      <c r="ABK80" s="174"/>
      <c r="ABL80" s="174"/>
      <c r="ABM80" s="174"/>
      <c r="ABN80" s="174"/>
      <c r="ABO80" s="174"/>
      <c r="ABP80" s="174"/>
      <c r="ABQ80" s="174"/>
      <c r="ABR80" s="174"/>
      <c r="ABS80" s="174"/>
      <c r="ABT80" s="174"/>
      <c r="ABU80" s="174"/>
      <c r="ABV80" s="174"/>
      <c r="ABW80" s="174"/>
      <c r="ABX80" s="174"/>
      <c r="ABY80" s="174"/>
      <c r="ABZ80" s="174"/>
      <c r="ACA80" s="174"/>
      <c r="ACB80" s="174"/>
      <c r="ACC80" s="174"/>
      <c r="ACD80" s="174"/>
      <c r="ACE80" s="174"/>
      <c r="ACF80" s="174"/>
      <c r="ACG80" s="174"/>
      <c r="ACH80" s="174"/>
      <c r="ACI80" s="174"/>
      <c r="ACJ80" s="174"/>
      <c r="ACK80" s="174"/>
      <c r="ACL80" s="174"/>
      <c r="ACM80" s="174"/>
      <c r="ACN80" s="174"/>
      <c r="ACO80" s="174"/>
      <c r="ACP80" s="174"/>
      <c r="ACQ80" s="174"/>
      <c r="ACR80" s="174"/>
      <c r="ACS80" s="174"/>
      <c r="ACT80" s="174"/>
      <c r="ACU80" s="174"/>
      <c r="ACV80" s="174"/>
      <c r="ACW80" s="174"/>
      <c r="ACX80" s="174"/>
      <c r="ACY80" s="174"/>
      <c r="ACZ80" s="174"/>
      <c r="ADA80" s="174"/>
      <c r="ADB80" s="174"/>
      <c r="ADC80" s="174"/>
      <c r="ADD80" s="174"/>
      <c r="ADE80" s="174"/>
      <c r="ADF80" s="174"/>
      <c r="ADG80" s="174"/>
      <c r="ADH80" s="174"/>
      <c r="ADI80" s="174"/>
      <c r="ADJ80" s="174"/>
      <c r="ADK80" s="174"/>
      <c r="ADL80" s="174"/>
      <c r="ADM80" s="174"/>
      <c r="ADN80" s="174"/>
      <c r="ADO80" s="174"/>
      <c r="ADP80" s="174"/>
      <c r="ADQ80" s="174"/>
      <c r="ADR80" s="174"/>
      <c r="ADS80" s="174"/>
      <c r="ADT80" s="174"/>
      <c r="ADU80" s="174"/>
      <c r="ADV80" s="174"/>
      <c r="ADW80" s="174"/>
      <c r="ADX80" s="174"/>
      <c r="ADY80" s="174"/>
      <c r="ADZ80" s="174"/>
      <c r="AEA80" s="174"/>
      <c r="AEB80" s="174"/>
      <c r="AEC80" s="174"/>
      <c r="AED80" s="174"/>
      <c r="AEE80" s="174"/>
      <c r="AEF80" s="174"/>
      <c r="AEG80" s="174"/>
      <c r="AEH80" s="174"/>
      <c r="AEI80" s="174"/>
      <c r="AEJ80" s="174"/>
      <c r="AEK80" s="174"/>
      <c r="AEL80" s="174"/>
      <c r="AEM80" s="174"/>
      <c r="AEN80" s="174"/>
      <c r="AEO80" s="174"/>
      <c r="AEP80" s="174"/>
      <c r="AEQ80" s="174"/>
      <c r="AER80" s="174"/>
      <c r="AES80" s="174"/>
      <c r="AET80" s="174"/>
      <c r="AEU80" s="174"/>
      <c r="AEV80" s="174"/>
      <c r="AEW80" s="174"/>
      <c r="AEX80" s="174"/>
      <c r="AEY80" s="174"/>
      <c r="AEZ80" s="174"/>
      <c r="AFA80" s="174"/>
      <c r="AFB80" s="174"/>
      <c r="AFC80" s="174"/>
      <c r="AFD80" s="174"/>
      <c r="AFE80" s="174"/>
      <c r="AFF80" s="174"/>
      <c r="AFG80" s="174"/>
      <c r="AFH80" s="174"/>
      <c r="AFI80" s="174"/>
      <c r="AFJ80" s="174"/>
      <c r="AFK80" s="174"/>
      <c r="AFL80" s="174"/>
      <c r="AFM80" s="174"/>
      <c r="AFN80" s="174"/>
      <c r="AFO80" s="174"/>
      <c r="AFP80" s="174"/>
      <c r="AFQ80" s="153" t="s">
        <v>14</v>
      </c>
      <c r="AFR80" s="174" t="s">
        <v>356</v>
      </c>
    </row>
    <row r="81" spans="2:935" hidden="1" x14ac:dyDescent="0.25">
      <c r="B81" s="735"/>
      <c r="C81" s="573" t="s">
        <v>39</v>
      </c>
      <c r="D81" s="480"/>
      <c r="E81" s="500" t="s">
        <v>14</v>
      </c>
      <c r="F81" s="574">
        <f t="shared" ref="F81" si="16">SUM(F85:F86)*10.86</f>
        <v>400256.16</v>
      </c>
      <c r="G81" s="574" t="e">
        <f t="shared" ref="G81:K81" si="17">SUM(G85:G86)*10.86</f>
        <v>#REF!</v>
      </c>
      <c r="H81" s="574">
        <f t="shared" si="17"/>
        <v>0</v>
      </c>
      <c r="I81" s="575">
        <f>'[24]April 24'!AL70</f>
        <v>0</v>
      </c>
      <c r="J81" s="575">
        <f t="shared" si="17"/>
        <v>0</v>
      </c>
      <c r="K81" s="575">
        <f t="shared" si="17"/>
        <v>0</v>
      </c>
      <c r="L81" s="575">
        <f t="shared" ref="L81:Q81" si="18">SUM(L85:L86)*10.86</f>
        <v>0</v>
      </c>
      <c r="M81" s="575">
        <f t="shared" si="18"/>
        <v>0</v>
      </c>
      <c r="N81" s="575">
        <f t="shared" si="18"/>
        <v>0</v>
      </c>
      <c r="O81" s="575" t="e">
        <f t="shared" ref="O81" si="19">SUM(O85:O86)*10.86</f>
        <v>#REF!</v>
      </c>
      <c r="P81" s="575">
        <f>SUM(P85:P86)*10.86</f>
        <v>0</v>
      </c>
      <c r="Q81" s="575">
        <f t="shared" si="18"/>
        <v>0</v>
      </c>
      <c r="R81" s="723"/>
      <c r="S81" s="714" t="e">
        <f>SUM(S85:S86)*10.86</f>
        <v>#REF!</v>
      </c>
      <c r="T81" s="691">
        <f>SUM(T85:T86)*10.86</f>
        <v>32269045.619999997</v>
      </c>
      <c r="U81" s="774" t="e">
        <f>(S81/T81)*100</f>
        <v>#REF!</v>
      </c>
      <c r="V81" s="307"/>
      <c r="W81" s="1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Q81" s="63"/>
      <c r="AW81" s="1"/>
      <c r="BC81" s="143"/>
      <c r="BD81" s="143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CG81" s="143"/>
      <c r="CZ81" s="1"/>
      <c r="DO81" s="5"/>
      <c r="DP81" s="143"/>
      <c r="DQ81" s="143"/>
      <c r="DR81" s="143"/>
      <c r="DS81" s="143"/>
      <c r="FV81" s="143"/>
      <c r="FW81" s="141" t="e">
        <f>#REF!/1000</f>
        <v>#REF!</v>
      </c>
      <c r="JQ81" s="143"/>
      <c r="JR81" s="143"/>
      <c r="JS81" s="143"/>
      <c r="JT81" s="143"/>
      <c r="OX81" s="143">
        <v>4696</v>
      </c>
      <c r="OY81" s="146" t="e">
        <f>FW81/OX81*100</f>
        <v>#REF!</v>
      </c>
      <c r="PA81" s="143"/>
      <c r="PO81" s="146"/>
      <c r="PS81" s="143"/>
      <c r="RV81" s="146"/>
      <c r="AHE81" s="142"/>
      <c r="AIT81" s="142"/>
      <c r="AIU81" s="142"/>
      <c r="AIV81" s="142"/>
    </row>
    <row r="82" spans="2:935" hidden="1" x14ac:dyDescent="0.25">
      <c r="B82" s="735"/>
      <c r="C82" s="573" t="s">
        <v>38</v>
      </c>
      <c r="D82" s="480"/>
      <c r="E82" s="500" t="s">
        <v>14</v>
      </c>
      <c r="F82" s="444">
        <f>F80-F81</f>
        <v>-1234.8800000000047</v>
      </c>
      <c r="G82" s="444" t="e">
        <f>G80-G81</f>
        <v>#REF!</v>
      </c>
      <c r="H82" s="444">
        <f>H80-H81</f>
        <v>0</v>
      </c>
      <c r="I82" s="444">
        <f>'[24]April 24'!AL71</f>
        <v>0</v>
      </c>
      <c r="J82" s="444">
        <f>J80-J81</f>
        <v>0</v>
      </c>
      <c r="K82" s="444">
        <f t="shared" ref="K82:Q82" si="20">K80-K81</f>
        <v>0</v>
      </c>
      <c r="L82" s="444">
        <f t="shared" si="20"/>
        <v>0</v>
      </c>
      <c r="M82" s="444">
        <f t="shared" si="20"/>
        <v>0</v>
      </c>
      <c r="N82" s="444">
        <f t="shared" si="20"/>
        <v>0</v>
      </c>
      <c r="O82" s="444" t="e">
        <f t="shared" ref="O82" si="21">O80-O81</f>
        <v>#REF!</v>
      </c>
      <c r="P82" s="444">
        <f>P80-P81</f>
        <v>0</v>
      </c>
      <c r="Q82" s="444">
        <f t="shared" si="20"/>
        <v>0</v>
      </c>
      <c r="R82" s="723"/>
      <c r="S82" s="59" t="e">
        <f>SUM(F82:Q82)</f>
        <v>#REF!</v>
      </c>
      <c r="T82" s="673" t="e">
        <f>SUM(G82:R82)</f>
        <v>#REF!</v>
      </c>
      <c r="U82" s="774" t="e">
        <f>(S82/T82)*100</f>
        <v>#REF!</v>
      </c>
      <c r="V82" s="141"/>
      <c r="W82" s="1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Q82" s="63"/>
      <c r="AW82" s="1"/>
      <c r="BC82" s="143"/>
      <c r="BD82" s="143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CG82" s="143"/>
      <c r="CZ82" s="1"/>
      <c r="DO82" s="5"/>
      <c r="DP82" s="143"/>
      <c r="DQ82" s="143"/>
      <c r="DR82" s="143"/>
      <c r="DS82" s="143"/>
      <c r="FV82" s="143"/>
      <c r="FW82" s="485" t="e">
        <f>#REF!/1000</f>
        <v>#REF!</v>
      </c>
      <c r="JQ82" s="143"/>
      <c r="JR82" s="143"/>
      <c r="JS82" s="143"/>
      <c r="JT82" s="143"/>
      <c r="OX82" s="143">
        <v>565</v>
      </c>
      <c r="OY82" s="146" t="e">
        <f>FW82/OX82*100</f>
        <v>#REF!</v>
      </c>
      <c r="PA82" s="143"/>
      <c r="PO82" s="146"/>
      <c r="PS82" s="143"/>
      <c r="RV82" s="146"/>
      <c r="AHE82" s="142"/>
      <c r="AIT82" s="142"/>
      <c r="AIU82" s="142"/>
      <c r="AIV82" s="142"/>
    </row>
    <row r="83" spans="2:935" hidden="1" x14ac:dyDescent="0.25">
      <c r="B83" s="735"/>
      <c r="C83" s="573" t="s">
        <v>50</v>
      </c>
      <c r="D83" s="480"/>
      <c r="E83" s="468" t="s">
        <v>14</v>
      </c>
      <c r="F83" s="444">
        <f>'[24]Januari 24'!AL72</f>
        <v>0</v>
      </c>
      <c r="G83" s="444">
        <f>'[24]Februari 24'!AI72</f>
        <v>0</v>
      </c>
      <c r="H83" s="444">
        <f>'[24]Maret 24'!AL72</f>
        <v>0</v>
      </c>
      <c r="I83" s="444">
        <f>'[24]April 24'!AL72</f>
        <v>0</v>
      </c>
      <c r="J83" s="444"/>
      <c r="K83" s="444"/>
      <c r="L83" s="444"/>
      <c r="M83" s="444"/>
      <c r="N83" s="444"/>
      <c r="O83" s="444"/>
      <c r="P83" s="444">
        <v>0</v>
      </c>
      <c r="Q83" s="444">
        <v>0</v>
      </c>
      <c r="R83" s="723"/>
      <c r="S83" s="59">
        <f>SUM(F83:Q83)</f>
        <v>0</v>
      </c>
      <c r="T83" s="673">
        <f>SUM(G83:R83)</f>
        <v>0</v>
      </c>
      <c r="U83" s="774"/>
      <c r="W83" s="1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Q83" s="63"/>
      <c r="AW83" s="1"/>
      <c r="BC83" s="143"/>
      <c r="BD83" s="143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CG83" s="143"/>
      <c r="CZ83" s="1"/>
      <c r="DO83" s="5"/>
      <c r="DP83" s="143"/>
      <c r="DQ83" s="143"/>
      <c r="DR83" s="143"/>
      <c r="DS83" s="143"/>
      <c r="FV83" s="143"/>
      <c r="JQ83" s="143"/>
      <c r="JR83" s="143"/>
      <c r="JS83" s="143"/>
      <c r="JT83" s="143"/>
      <c r="OX83" s="143"/>
      <c r="OY83" s="143"/>
      <c r="PA83" s="143"/>
      <c r="PO83" s="146"/>
      <c r="PS83" s="143"/>
      <c r="RV83" s="146"/>
      <c r="AHE83" s="142"/>
      <c r="AIT83" s="142"/>
      <c r="AIU83" s="142"/>
      <c r="AIV83" s="142"/>
    </row>
    <row r="84" spans="2:935" hidden="1" x14ac:dyDescent="0.25">
      <c r="B84" s="735"/>
      <c r="C84" s="573" t="s">
        <v>29</v>
      </c>
      <c r="D84" s="480"/>
      <c r="E84" s="468"/>
      <c r="F84" s="443"/>
      <c r="G84" s="443"/>
      <c r="H84" s="443"/>
      <c r="I84" s="443"/>
      <c r="J84" s="443"/>
      <c r="K84" s="443"/>
      <c r="L84" s="443"/>
      <c r="M84" s="443"/>
      <c r="N84" s="443"/>
      <c r="O84" s="443"/>
      <c r="P84" s="443"/>
      <c r="Q84" s="443"/>
      <c r="R84" s="723"/>
      <c r="S84" s="64" t="s">
        <v>29</v>
      </c>
      <c r="T84" s="692" t="s">
        <v>29</v>
      </c>
      <c r="U84" s="790" t="s">
        <v>29</v>
      </c>
      <c r="W84" s="1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Q84" s="63"/>
      <c r="AW84" s="1"/>
      <c r="BC84" s="143"/>
      <c r="BD84" s="143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CG84" s="143"/>
      <c r="CZ84" s="1"/>
      <c r="DO84" s="5"/>
      <c r="DP84" s="143"/>
      <c r="DQ84" s="143"/>
      <c r="DR84" s="143"/>
      <c r="DS84" s="143"/>
      <c r="FV84" s="143"/>
      <c r="JQ84" s="143"/>
      <c r="JR84" s="143"/>
      <c r="JS84" s="143"/>
      <c r="JT84" s="143"/>
      <c r="OX84" s="143"/>
      <c r="OY84" s="143"/>
      <c r="PA84" s="143"/>
      <c r="PO84" s="146"/>
      <c r="PS84" s="143"/>
      <c r="RV84" s="146"/>
      <c r="AHE84" s="142"/>
      <c r="AIT84" s="142"/>
      <c r="AIU84" s="142"/>
      <c r="AIV84" s="142"/>
    </row>
    <row r="85" spans="2:935" hidden="1" x14ac:dyDescent="0.25">
      <c r="B85" s="736"/>
      <c r="C85" s="576" t="s">
        <v>49</v>
      </c>
      <c r="D85" s="441"/>
      <c r="E85" s="577" t="s">
        <v>31</v>
      </c>
      <c r="F85" s="283">
        <f>'[24]Januari 24'!AL74</f>
        <v>17197</v>
      </c>
      <c r="G85" s="283" t="e">
        <f>'[24]Februari 24'!AI74</f>
        <v>#REF!</v>
      </c>
      <c r="H85" s="283">
        <f>'[24]Maret 24'!AL74</f>
        <v>0</v>
      </c>
      <c r="I85" s="283">
        <f>'[24]April 24'!AL74</f>
        <v>0</v>
      </c>
      <c r="J85" s="283">
        <f>'[24]Mei 24'!AL74</f>
        <v>0</v>
      </c>
      <c r="K85" s="283">
        <f>'[24]Juny 24'!AL74</f>
        <v>0</v>
      </c>
      <c r="L85" s="283">
        <f>'[24]July 24'!AL74</f>
        <v>0</v>
      </c>
      <c r="M85" s="283">
        <f>'[24]Agustus 24'!AL74</f>
        <v>0</v>
      </c>
      <c r="N85" s="283">
        <f>'[24]September 24'!AL74</f>
        <v>0</v>
      </c>
      <c r="O85" s="283" t="e">
        <f>'[24]September 24'!AM74</f>
        <v>#REF!</v>
      </c>
      <c r="P85" s="283">
        <f>'[24]November 24'!AL74</f>
        <v>0</v>
      </c>
      <c r="Q85" s="283">
        <f>'[24]Desember 24'!AL74</f>
        <v>0</v>
      </c>
      <c r="R85" s="725"/>
      <c r="S85" s="55" t="e">
        <f>SUM(F85:Q85)</f>
        <v>#REF!</v>
      </c>
      <c r="T85" s="670">
        <v>1254577</v>
      </c>
      <c r="U85" s="774" t="e">
        <f>(S85/T85)*100</f>
        <v>#REF!</v>
      </c>
      <c r="W85" s="1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Q85" s="63"/>
      <c r="AW85" s="16"/>
      <c r="BC85" s="149"/>
      <c r="BD85" s="149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CG85" s="149"/>
      <c r="CZ85" s="1"/>
      <c r="DO85" s="521"/>
      <c r="DP85" s="149"/>
      <c r="DQ85" s="149"/>
      <c r="DR85" s="149"/>
      <c r="DS85" s="149"/>
      <c r="FV85" s="149"/>
      <c r="JQ85" s="149"/>
      <c r="JR85" s="149"/>
      <c r="JS85" s="149"/>
      <c r="JT85" s="149"/>
      <c r="OX85" s="149"/>
      <c r="OY85" s="149"/>
      <c r="PA85" s="149"/>
      <c r="PO85" s="578"/>
      <c r="PS85" s="149"/>
      <c r="RV85" s="578"/>
      <c r="AHE85" s="145"/>
      <c r="AIT85" s="145"/>
      <c r="AIU85" s="145"/>
      <c r="AIV85" s="145"/>
    </row>
    <row r="86" spans="2:935" hidden="1" x14ac:dyDescent="0.25">
      <c r="B86" s="736"/>
      <c r="C86" s="576" t="s">
        <v>48</v>
      </c>
      <c r="D86" s="441"/>
      <c r="E86" s="577" t="s">
        <v>31</v>
      </c>
      <c r="F86" s="283">
        <f>'[24]Januari 24'!AL75</f>
        <v>19659</v>
      </c>
      <c r="G86" s="283" t="e">
        <f>'[24]Februari 24'!AI75</f>
        <v>#REF!</v>
      </c>
      <c r="H86" s="283">
        <f>'[24]Maret 24'!AL75</f>
        <v>0</v>
      </c>
      <c r="I86" s="283">
        <f>'[24]April 24'!AL75</f>
        <v>0</v>
      </c>
      <c r="J86" s="283">
        <f>'[24]Mei 24'!AL75</f>
        <v>0</v>
      </c>
      <c r="K86" s="283">
        <f>'[24]Juny 24'!AL75</f>
        <v>0</v>
      </c>
      <c r="L86" s="283">
        <f>'[24]July 24'!AL75</f>
        <v>0</v>
      </c>
      <c r="M86" s="283">
        <f>'[24]Agustus 24'!AL75</f>
        <v>0</v>
      </c>
      <c r="N86" s="283">
        <f>'[24]September 24'!AL75</f>
        <v>0</v>
      </c>
      <c r="O86" s="283" t="e">
        <f>'[24]September 24'!AM75</f>
        <v>#REF!</v>
      </c>
      <c r="P86" s="283">
        <f>'[24]November 24'!AL75</f>
        <v>0</v>
      </c>
      <c r="Q86" s="283">
        <f>'[24]Desember 24'!AL75</f>
        <v>0</v>
      </c>
      <c r="R86" s="725"/>
      <c r="S86" s="55" t="e">
        <f>SUM(F86:Q86)</f>
        <v>#REF!</v>
      </c>
      <c r="T86" s="670">
        <v>1716790</v>
      </c>
      <c r="U86" s="774" t="e">
        <f>(S86/T86)*100</f>
        <v>#REF!</v>
      </c>
      <c r="W86" s="1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Q86" s="63"/>
      <c r="AW86" s="16"/>
      <c r="BC86" s="149"/>
      <c r="BD86" s="149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CG86" s="149"/>
      <c r="CZ86" s="1"/>
      <c r="DO86" s="521"/>
      <c r="DP86" s="149"/>
      <c r="DQ86" s="149"/>
      <c r="DR86" s="149"/>
      <c r="DS86" s="149"/>
      <c r="FV86" s="149"/>
      <c r="JQ86" s="149"/>
      <c r="JR86" s="149"/>
      <c r="JS86" s="149"/>
      <c r="JT86" s="149"/>
      <c r="OX86" s="149"/>
      <c r="OY86" s="149"/>
      <c r="PA86" s="149"/>
      <c r="PO86" s="578"/>
      <c r="PS86" s="149"/>
      <c r="RV86" s="578"/>
      <c r="AHE86" s="145"/>
      <c r="AIT86" s="145"/>
      <c r="AIU86" s="145"/>
      <c r="AIV86" s="145"/>
    </row>
    <row r="87" spans="2:935" hidden="1" x14ac:dyDescent="0.25">
      <c r="B87" s="735"/>
      <c r="C87" s="573" t="s">
        <v>28</v>
      </c>
      <c r="D87" s="480"/>
      <c r="E87" s="468"/>
      <c r="F87" s="443"/>
      <c r="G87" s="443"/>
      <c r="H87" s="443"/>
      <c r="I87" s="443"/>
      <c r="J87" s="443"/>
      <c r="K87" s="443"/>
      <c r="L87" s="443"/>
      <c r="M87" s="443"/>
      <c r="N87" s="443"/>
      <c r="O87" s="443"/>
      <c r="P87" s="443"/>
      <c r="Q87" s="443"/>
      <c r="R87" s="723"/>
      <c r="S87" s="64" t="s">
        <v>28</v>
      </c>
      <c r="T87" s="692" t="s">
        <v>28</v>
      </c>
      <c r="U87" s="790" t="s">
        <v>28</v>
      </c>
      <c r="W87" s="6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Q87" s="63"/>
      <c r="AW87" s="1"/>
      <c r="BF87" s="143"/>
      <c r="BG87" s="143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CJ87" s="143"/>
      <c r="CZ87" s="1"/>
      <c r="DR87" s="5"/>
      <c r="DS87" s="143"/>
      <c r="DT87" s="143"/>
      <c r="DU87" s="143"/>
      <c r="DV87" s="143"/>
      <c r="FY87" s="143"/>
      <c r="JT87" s="143"/>
      <c r="JU87" s="143"/>
      <c r="JV87" s="143"/>
      <c r="JW87" s="143"/>
      <c r="PA87" s="143"/>
      <c r="PB87" s="143"/>
      <c r="PD87" s="143"/>
      <c r="PR87" s="146"/>
      <c r="PV87" s="143"/>
      <c r="RY87" s="146"/>
      <c r="AHH87" s="142"/>
      <c r="AIW87" s="142"/>
      <c r="AIX87" s="142"/>
      <c r="AIY87" s="142"/>
    </row>
    <row r="88" spans="2:935" hidden="1" x14ac:dyDescent="0.25">
      <c r="B88" s="735"/>
      <c r="C88" s="466" t="s">
        <v>49</v>
      </c>
      <c r="D88" s="480"/>
      <c r="E88" s="500" t="s">
        <v>28</v>
      </c>
      <c r="F88" s="443">
        <f>F85*12</f>
        <v>206364</v>
      </c>
      <c r="G88" s="443" t="e">
        <f>G85*12</f>
        <v>#REF!</v>
      </c>
      <c r="H88" s="443">
        <f>H85*12</f>
        <v>0</v>
      </c>
      <c r="I88" s="443">
        <f t="shared" ref="I88:Q88" si="22">I85*12</f>
        <v>0</v>
      </c>
      <c r="J88" s="443">
        <f t="shared" si="22"/>
        <v>0</v>
      </c>
      <c r="K88" s="443">
        <f t="shared" si="22"/>
        <v>0</v>
      </c>
      <c r="L88" s="443">
        <f t="shared" si="22"/>
        <v>0</v>
      </c>
      <c r="M88" s="443">
        <f t="shared" si="22"/>
        <v>0</v>
      </c>
      <c r="N88" s="443">
        <f t="shared" si="22"/>
        <v>0</v>
      </c>
      <c r="O88" s="443" t="e">
        <f t="shared" ref="O88" si="23">O85*12</f>
        <v>#REF!</v>
      </c>
      <c r="P88" s="443">
        <f t="shared" si="22"/>
        <v>0</v>
      </c>
      <c r="Q88" s="443">
        <f t="shared" si="22"/>
        <v>0</v>
      </c>
      <c r="R88" s="723"/>
      <c r="S88" s="55" t="e">
        <f>S85*12</f>
        <v>#REF!</v>
      </c>
      <c r="T88" s="670">
        <f>T85*12</f>
        <v>15054924</v>
      </c>
      <c r="U88" s="774" t="e">
        <f>(S88/T88)*100</f>
        <v>#REF!</v>
      </c>
      <c r="W88" s="6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Q88" s="63"/>
      <c r="AW88" s="1"/>
      <c r="BF88" s="143"/>
      <c r="BG88" s="143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CJ88" s="143"/>
      <c r="CZ88" s="1"/>
      <c r="DR88" s="5"/>
      <c r="DS88" s="143"/>
      <c r="DT88" s="143"/>
      <c r="DU88" s="143"/>
      <c r="DV88" s="143"/>
      <c r="FY88" s="143"/>
      <c r="JT88" s="143"/>
      <c r="JU88" s="143"/>
      <c r="JV88" s="143"/>
      <c r="JW88" s="143"/>
      <c r="PA88" s="143"/>
      <c r="PB88" s="143"/>
      <c r="PD88" s="143"/>
      <c r="PR88" s="146"/>
      <c r="PV88" s="143"/>
      <c r="RY88" s="146"/>
      <c r="AHH88" s="142"/>
      <c r="AIW88" s="142"/>
      <c r="AIX88" s="142"/>
      <c r="AIY88" s="142"/>
    </row>
    <row r="89" spans="2:935" hidden="1" x14ac:dyDescent="0.25">
      <c r="B89" s="735"/>
      <c r="C89" s="466" t="s">
        <v>48</v>
      </c>
      <c r="D89" s="480"/>
      <c r="E89" s="500" t="s">
        <v>28</v>
      </c>
      <c r="F89" s="443">
        <f>F86*6</f>
        <v>117954</v>
      </c>
      <c r="G89" s="443" t="e">
        <f>G86*6</f>
        <v>#REF!</v>
      </c>
      <c r="H89" s="443">
        <f>H86*6</f>
        <v>0</v>
      </c>
      <c r="I89" s="443">
        <f t="shared" ref="I89:Q89" si="24">I86*6</f>
        <v>0</v>
      </c>
      <c r="J89" s="443">
        <f t="shared" si="24"/>
        <v>0</v>
      </c>
      <c r="K89" s="443">
        <f t="shared" si="24"/>
        <v>0</v>
      </c>
      <c r="L89" s="443">
        <f t="shared" si="24"/>
        <v>0</v>
      </c>
      <c r="M89" s="443">
        <f t="shared" si="24"/>
        <v>0</v>
      </c>
      <c r="N89" s="443">
        <f t="shared" si="24"/>
        <v>0</v>
      </c>
      <c r="O89" s="443" t="e">
        <f t="shared" ref="O89" si="25">O86*6</f>
        <v>#REF!</v>
      </c>
      <c r="P89" s="443">
        <f>P86*6</f>
        <v>0</v>
      </c>
      <c r="Q89" s="443">
        <f t="shared" si="24"/>
        <v>0</v>
      </c>
      <c r="R89" s="723"/>
      <c r="S89" s="55" t="e">
        <f>S86*6</f>
        <v>#REF!</v>
      </c>
      <c r="T89" s="670">
        <f>T86*6</f>
        <v>10300740</v>
      </c>
      <c r="U89" s="774" t="e">
        <f>(S89/T89)*100</f>
        <v>#REF!</v>
      </c>
      <c r="W89" s="6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Q89" s="63"/>
      <c r="AW89" s="1"/>
      <c r="BF89" s="143"/>
      <c r="BG89" s="143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CJ89" s="143"/>
      <c r="CZ89" s="1"/>
      <c r="DR89" s="5"/>
      <c r="DS89" s="143"/>
      <c r="DT89" s="143"/>
      <c r="DU89" s="143"/>
      <c r="DV89" s="143"/>
      <c r="FY89" s="143"/>
      <c r="JT89" s="143"/>
      <c r="JU89" s="143"/>
      <c r="JV89" s="143"/>
      <c r="JW89" s="143"/>
      <c r="PA89" s="143"/>
      <c r="PB89" s="143"/>
      <c r="PD89" s="143"/>
      <c r="PR89" s="146"/>
      <c r="PV89" s="143"/>
      <c r="RY89" s="146"/>
      <c r="AHH89" s="142"/>
      <c r="AIW89" s="142"/>
      <c r="AIX89" s="142"/>
      <c r="AIY89" s="142"/>
    </row>
    <row r="90" spans="2:935" hidden="1" x14ac:dyDescent="0.25">
      <c r="B90" s="735"/>
      <c r="C90" s="573" t="s">
        <v>36</v>
      </c>
      <c r="D90" s="480"/>
      <c r="E90" s="500" t="s">
        <v>35</v>
      </c>
      <c r="F90" s="579">
        <f>(F80*45)/1700</f>
        <v>10562.328</v>
      </c>
      <c r="G90" s="580" t="e">
        <f>(G80*45)/1700</f>
        <v>#REF!</v>
      </c>
      <c r="H90" s="580">
        <f>(H80*45)/1700</f>
        <v>0</v>
      </c>
      <c r="I90" s="579">
        <f>(I80*45)/1700</f>
        <v>0</v>
      </c>
      <c r="J90" s="579">
        <f t="shared" ref="J90:Q90" si="26">(J80*45)/1700</f>
        <v>0</v>
      </c>
      <c r="K90" s="579">
        <f t="shared" si="26"/>
        <v>0</v>
      </c>
      <c r="L90" s="579">
        <f t="shared" si="26"/>
        <v>0</v>
      </c>
      <c r="M90" s="579">
        <f t="shared" si="26"/>
        <v>0</v>
      </c>
      <c r="N90" s="579">
        <f t="shared" si="26"/>
        <v>0</v>
      </c>
      <c r="O90" s="579" t="e">
        <f t="shared" ref="O90" si="27">(O80*45)/1700</f>
        <v>#REF!</v>
      </c>
      <c r="P90" s="579">
        <f>(P80*45)/1700</f>
        <v>0</v>
      </c>
      <c r="Q90" s="579">
        <f t="shared" si="26"/>
        <v>0</v>
      </c>
      <c r="R90" s="723"/>
      <c r="S90" s="55" t="e">
        <f>SUM(F90:Q90)</f>
        <v>#REF!</v>
      </c>
      <c r="T90" s="579" t="e">
        <f>(T80*45)/1700</f>
        <v>#REF!</v>
      </c>
      <c r="U90" s="774" t="e">
        <f>(S90/T90)*100</f>
        <v>#REF!</v>
      </c>
      <c r="W90" s="6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Q90" s="63"/>
      <c r="AW90" s="1"/>
      <c r="BF90" s="143"/>
      <c r="BG90" s="143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CJ90" s="143"/>
      <c r="CZ90" s="1"/>
      <c r="DR90" s="5"/>
      <c r="DS90" s="143"/>
      <c r="DT90" s="143"/>
      <c r="DU90" s="143"/>
      <c r="DV90" s="143"/>
      <c r="FY90" s="143"/>
      <c r="JT90" s="143"/>
      <c r="JU90" s="143"/>
      <c r="JV90" s="143"/>
      <c r="JW90" s="143"/>
      <c r="PA90" s="143"/>
      <c r="PB90" s="143"/>
      <c r="PD90" s="143"/>
      <c r="PR90" s="146"/>
      <c r="PV90" s="143"/>
      <c r="RY90" s="146"/>
      <c r="AHH90" s="142"/>
      <c r="AIW90" s="142"/>
      <c r="AIX90" s="142"/>
      <c r="AIY90" s="142"/>
    </row>
    <row r="91" spans="2:935" hidden="1" x14ac:dyDescent="0.25">
      <c r="B91" s="735"/>
      <c r="C91" s="573" t="s">
        <v>34</v>
      </c>
      <c r="D91" s="480"/>
      <c r="E91" s="500" t="s">
        <v>33</v>
      </c>
      <c r="F91" s="443">
        <f>SUM(F85:F86)/500</f>
        <v>73.712000000000003</v>
      </c>
      <c r="G91" s="443" t="e">
        <f>SUM(G85:G86)/500</f>
        <v>#REF!</v>
      </c>
      <c r="H91" s="443">
        <f>SUM(H85:H86)/500</f>
        <v>0</v>
      </c>
      <c r="I91" s="443">
        <f t="shared" ref="I91:Q91" si="28">SUM(I85:I86)/500</f>
        <v>0</v>
      </c>
      <c r="J91" s="443">
        <f t="shared" si="28"/>
        <v>0</v>
      </c>
      <c r="K91" s="443">
        <f t="shared" si="28"/>
        <v>0</v>
      </c>
      <c r="L91" s="443">
        <f t="shared" si="28"/>
        <v>0</v>
      </c>
      <c r="M91" s="443">
        <f t="shared" si="28"/>
        <v>0</v>
      </c>
      <c r="N91" s="443">
        <f t="shared" si="28"/>
        <v>0</v>
      </c>
      <c r="O91" s="443" t="e">
        <f t="shared" ref="O91" si="29">SUM(O85:O86)/500</f>
        <v>#REF!</v>
      </c>
      <c r="P91" s="443">
        <f t="shared" si="28"/>
        <v>0</v>
      </c>
      <c r="Q91" s="443">
        <f t="shared" si="28"/>
        <v>0</v>
      </c>
      <c r="R91" s="723"/>
      <c r="S91" s="55" t="e">
        <f>SUM(F91:Q91)</f>
        <v>#REF!</v>
      </c>
      <c r="T91" s="536">
        <f>SUM(T85:T86)/500</f>
        <v>5942.7340000000004</v>
      </c>
      <c r="U91" s="774" t="e">
        <f>(S91/T91)*100</f>
        <v>#REF!</v>
      </c>
      <c r="W91" s="6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Q91" s="63"/>
      <c r="AW91" s="1"/>
      <c r="BF91" s="143"/>
      <c r="BG91" s="143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CJ91" s="143"/>
      <c r="CZ91" s="1"/>
      <c r="DR91" s="5"/>
      <c r="DS91" s="143"/>
      <c r="DT91" s="143"/>
      <c r="DU91" s="143"/>
      <c r="DV91" s="143"/>
      <c r="FY91" s="143"/>
      <c r="JT91" s="143"/>
      <c r="JU91" s="143"/>
      <c r="JV91" s="143"/>
      <c r="JW91" s="143"/>
      <c r="PA91" s="143"/>
      <c r="PB91" s="143"/>
      <c r="PD91" s="143"/>
      <c r="PR91" s="146"/>
      <c r="PV91" s="143"/>
      <c r="RY91" s="146"/>
      <c r="AHH91" s="142"/>
      <c r="AIW91" s="142"/>
      <c r="AIX91" s="142"/>
      <c r="AIY91" s="142"/>
    </row>
    <row r="92" spans="2:935" hidden="1" x14ac:dyDescent="0.25">
      <c r="B92" s="732"/>
      <c r="C92" s="423" t="s">
        <v>32</v>
      </c>
      <c r="D92" s="48"/>
      <c r="E92" s="48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3"/>
      <c r="S92" s="526" t="s">
        <v>132</v>
      </c>
      <c r="T92" s="681" t="s">
        <v>132</v>
      </c>
      <c r="U92" s="781" t="s">
        <v>132</v>
      </c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Q92" s="63"/>
      <c r="AW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CZ92" s="1"/>
    </row>
    <row r="93" spans="2:935" hidden="1" x14ac:dyDescent="0.25">
      <c r="B93" s="735"/>
      <c r="C93" s="573" t="s">
        <v>29</v>
      </c>
      <c r="D93" s="480"/>
      <c r="E93" s="468"/>
      <c r="F93" s="443"/>
      <c r="G93" s="443"/>
      <c r="H93" s="443"/>
      <c r="I93" s="443"/>
      <c r="J93" s="443"/>
      <c r="K93" s="443"/>
      <c r="L93" s="443"/>
      <c r="M93" s="443"/>
      <c r="N93" s="443"/>
      <c r="O93" s="443"/>
      <c r="P93" s="443"/>
      <c r="Q93" s="443"/>
      <c r="R93" s="723"/>
      <c r="S93" s="64" t="s">
        <v>29</v>
      </c>
      <c r="T93" s="692" t="s">
        <v>29</v>
      </c>
      <c r="U93" s="790" t="s">
        <v>29</v>
      </c>
      <c r="W93" s="6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Q93" s="63"/>
      <c r="AW93" s="1"/>
      <c r="BF93" s="143"/>
      <c r="BG93" s="143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CJ93" s="143"/>
      <c r="CZ93" s="1"/>
      <c r="DR93" s="5"/>
      <c r="DS93" s="143"/>
      <c r="DT93" s="143"/>
      <c r="DU93" s="143"/>
      <c r="DV93" s="143"/>
      <c r="FY93" s="143"/>
      <c r="JT93" s="143"/>
      <c r="JU93" s="143"/>
      <c r="JV93" s="143"/>
      <c r="JW93" s="143"/>
      <c r="PA93" s="143"/>
      <c r="PB93" s="143"/>
      <c r="PD93" s="143"/>
      <c r="PR93" s="146"/>
      <c r="PV93" s="143"/>
      <c r="RY93" s="146"/>
      <c r="AHH93" s="142"/>
      <c r="AIW93" s="142"/>
      <c r="AIX93" s="142"/>
      <c r="AIY93" s="142"/>
    </row>
    <row r="94" spans="2:935" hidden="1" x14ac:dyDescent="0.25">
      <c r="B94" s="735"/>
      <c r="C94" s="466" t="s">
        <v>49</v>
      </c>
      <c r="D94" s="480"/>
      <c r="E94" s="500" t="s">
        <v>31</v>
      </c>
      <c r="F94" s="33">
        <f>'[24]Januari 24'!AL74</f>
        <v>17197</v>
      </c>
      <c r="G94" s="33" t="e">
        <f>'[24]Februari 24'!AI83</f>
        <v>#REF!</v>
      </c>
      <c r="H94" s="33">
        <f>'[24]Maret 24'!AL83</f>
        <v>0</v>
      </c>
      <c r="I94" s="33">
        <f>'[24]April 24'!AL83</f>
        <v>0</v>
      </c>
      <c r="J94" s="33">
        <f>'[24]Mei 24'!AL83</f>
        <v>0</v>
      </c>
      <c r="K94" s="33">
        <f>'[24]Juny 24'!AL83</f>
        <v>0</v>
      </c>
      <c r="L94" s="33">
        <f>'[24]July 24'!AL83</f>
        <v>0</v>
      </c>
      <c r="M94" s="33">
        <f>'[24]Agustus 24'!AL83</f>
        <v>0</v>
      </c>
      <c r="N94" s="33">
        <f>'[24]September 24'!AL83</f>
        <v>0</v>
      </c>
      <c r="O94" s="33" t="e">
        <f>'[24]September 24'!AM83</f>
        <v>#REF!</v>
      </c>
      <c r="P94" s="33">
        <f>'[24]November 24'!AL83</f>
        <v>0</v>
      </c>
      <c r="Q94" s="33">
        <f>'[24]Desember 24'!AL83</f>
        <v>0</v>
      </c>
      <c r="R94" s="723"/>
      <c r="S94" s="55" t="e">
        <f t="shared" ref="S94:U95" si="30">SUM(F94:Q94)</f>
        <v>#REF!</v>
      </c>
      <c r="T94" s="670" t="e">
        <f t="shared" si="30"/>
        <v>#REF!</v>
      </c>
      <c r="U94" s="791" t="e">
        <f t="shared" si="30"/>
        <v>#REF!</v>
      </c>
      <c r="W94" s="6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Q94" s="63"/>
      <c r="AW94" s="1"/>
      <c r="BF94" s="143"/>
      <c r="BG94" s="143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CJ94" s="143"/>
      <c r="CZ94" s="1"/>
      <c r="DR94" s="5"/>
      <c r="DS94" s="143"/>
      <c r="DT94" s="143"/>
      <c r="DU94" s="143"/>
      <c r="DV94" s="143"/>
      <c r="FY94" s="143"/>
      <c r="JT94" s="143"/>
      <c r="JU94" s="143"/>
      <c r="JV94" s="143"/>
      <c r="JW94" s="143"/>
      <c r="PA94" s="143"/>
      <c r="PB94" s="143"/>
      <c r="PD94" s="143"/>
      <c r="PR94" s="146"/>
      <c r="PV94" s="143"/>
      <c r="RY94" s="146"/>
      <c r="AHH94" s="142"/>
      <c r="AIW94" s="142"/>
      <c r="AIX94" s="142"/>
      <c r="AIY94" s="142"/>
    </row>
    <row r="95" spans="2:935" hidden="1" x14ac:dyDescent="0.25">
      <c r="B95" s="735"/>
      <c r="C95" s="466" t="s">
        <v>48</v>
      </c>
      <c r="D95" s="480"/>
      <c r="E95" s="500" t="s">
        <v>31</v>
      </c>
      <c r="F95" s="33">
        <f>'[24]Januari 24'!AL75</f>
        <v>19659</v>
      </c>
      <c r="G95" s="33" t="e">
        <f>'[24]Februari 24'!AI84</f>
        <v>#REF!</v>
      </c>
      <c r="H95" s="33">
        <f>'[24]Maret 24'!AL84</f>
        <v>0</v>
      </c>
      <c r="I95" s="33">
        <f>'[24]April 24'!AL84</f>
        <v>0</v>
      </c>
      <c r="J95" s="33">
        <f>'[24]Mei 24'!AL84</f>
        <v>0</v>
      </c>
      <c r="K95" s="33">
        <f>'[24]Juny 24'!AL84</f>
        <v>0</v>
      </c>
      <c r="L95" s="33">
        <f>'[24]July 24'!AL84</f>
        <v>0</v>
      </c>
      <c r="M95" s="33">
        <f>'[24]Agustus 24'!AL84</f>
        <v>0</v>
      </c>
      <c r="N95" s="33">
        <f>'[24]September 24'!AL84</f>
        <v>0</v>
      </c>
      <c r="O95" s="33" t="e">
        <f>'[24]September 24'!AM84</f>
        <v>#REF!</v>
      </c>
      <c r="P95" s="33">
        <f>'[24]November 24'!AL84</f>
        <v>0</v>
      </c>
      <c r="Q95" s="33">
        <f>'[24]Desember 24'!AL84</f>
        <v>0</v>
      </c>
      <c r="R95" s="723"/>
      <c r="S95" s="55" t="e">
        <f t="shared" si="30"/>
        <v>#REF!</v>
      </c>
      <c r="T95" s="670" t="e">
        <f t="shared" si="30"/>
        <v>#REF!</v>
      </c>
      <c r="U95" s="791" t="e">
        <f t="shared" si="30"/>
        <v>#REF!</v>
      </c>
      <c r="W95" s="6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Q95" s="63"/>
      <c r="AW95" s="1"/>
      <c r="BF95" s="143"/>
      <c r="BG95" s="143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CJ95" s="143"/>
      <c r="CZ95" s="1"/>
      <c r="DR95" s="5"/>
      <c r="DS95" s="143"/>
      <c r="DT95" s="143"/>
      <c r="DU95" s="143"/>
      <c r="DV95" s="143"/>
      <c r="FY95" s="143"/>
      <c r="JT95" s="143"/>
      <c r="JU95" s="143"/>
      <c r="JV95" s="143"/>
      <c r="JW95" s="143"/>
      <c r="PA95" s="143"/>
      <c r="PB95" s="143"/>
      <c r="PD95" s="143"/>
      <c r="PR95" s="146"/>
      <c r="PV95" s="143"/>
      <c r="RY95" s="146"/>
      <c r="AHH95" s="142"/>
      <c r="AIW95" s="142"/>
      <c r="AIX95" s="142"/>
      <c r="AIY95" s="142"/>
    </row>
    <row r="96" spans="2:935" hidden="1" x14ac:dyDescent="0.25">
      <c r="B96" s="735"/>
      <c r="C96" s="573" t="s">
        <v>28</v>
      </c>
      <c r="D96" s="480"/>
      <c r="E96" s="468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723"/>
      <c r="S96" s="64" t="s">
        <v>28</v>
      </c>
      <c r="T96" s="692" t="s">
        <v>28</v>
      </c>
      <c r="U96" s="790" t="s">
        <v>28</v>
      </c>
      <c r="W96" s="6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808"/>
      <c r="AJ96" s="808"/>
      <c r="AK96" s="808"/>
      <c r="AL96" s="808"/>
      <c r="AM96" s="808"/>
      <c r="AN96" s="808"/>
      <c r="AO96" s="808"/>
      <c r="AP96" s="808"/>
      <c r="AQ96" s="808"/>
      <c r="AR96" s="808"/>
      <c r="AW96" s="1"/>
      <c r="BF96" s="143"/>
      <c r="BG96" s="143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CJ96" s="143"/>
      <c r="CZ96" s="1"/>
      <c r="DR96" s="5"/>
      <c r="DS96" s="143"/>
      <c r="DT96" s="143"/>
      <c r="DU96" s="143"/>
      <c r="DV96" s="143"/>
      <c r="FY96" s="143"/>
      <c r="JT96" s="143"/>
      <c r="JU96" s="143"/>
      <c r="JV96" s="143"/>
      <c r="JW96" s="143"/>
      <c r="PA96" s="143"/>
      <c r="PB96" s="143"/>
      <c r="PD96" s="143"/>
      <c r="PR96" s="146"/>
      <c r="PV96" s="143"/>
      <c r="RY96" s="146"/>
      <c r="AHH96" s="142"/>
      <c r="AIW96" s="142"/>
      <c r="AIX96" s="142"/>
      <c r="AIY96" s="142"/>
    </row>
    <row r="97" spans="2:935" hidden="1" x14ac:dyDescent="0.25">
      <c r="B97" s="735"/>
      <c r="C97" s="466" t="s">
        <v>49</v>
      </c>
      <c r="D97" s="480"/>
      <c r="E97" s="500" t="s">
        <v>28</v>
      </c>
      <c r="F97" s="581">
        <f>F94*12</f>
        <v>206364</v>
      </c>
      <c r="G97" s="581" t="e">
        <f>G94*12</f>
        <v>#REF!</v>
      </c>
      <c r="H97" s="581">
        <f>H94*12</f>
        <v>0</v>
      </c>
      <c r="I97" s="581">
        <f>I94*12</f>
        <v>0</v>
      </c>
      <c r="J97" s="581">
        <f t="shared" ref="J97:Q97" si="31">J94*12</f>
        <v>0</v>
      </c>
      <c r="K97" s="581">
        <f t="shared" si="31"/>
        <v>0</v>
      </c>
      <c r="L97" s="581">
        <f t="shared" si="31"/>
        <v>0</v>
      </c>
      <c r="M97" s="581">
        <f t="shared" si="31"/>
        <v>0</v>
      </c>
      <c r="N97" s="581">
        <f t="shared" si="31"/>
        <v>0</v>
      </c>
      <c r="O97" s="581" t="e">
        <f t="shared" ref="O97" si="32">O94*12</f>
        <v>#REF!</v>
      </c>
      <c r="P97" s="581">
        <f t="shared" si="31"/>
        <v>0</v>
      </c>
      <c r="Q97" s="581">
        <f t="shared" si="31"/>
        <v>0</v>
      </c>
      <c r="R97" s="723"/>
      <c r="S97" s="55" t="e">
        <f t="shared" ref="S97:U98" si="33">SUM(F97:Q97)</f>
        <v>#REF!</v>
      </c>
      <c r="T97" s="670" t="e">
        <f t="shared" si="33"/>
        <v>#REF!</v>
      </c>
      <c r="U97" s="791" t="e">
        <f t="shared" si="33"/>
        <v>#REF!</v>
      </c>
      <c r="W97" s="6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818"/>
      <c r="AJ97" s="808"/>
      <c r="AK97" s="808"/>
      <c r="AL97" s="808"/>
      <c r="AM97" s="819"/>
      <c r="AN97" s="808"/>
      <c r="AO97" s="808"/>
      <c r="AP97" s="808"/>
      <c r="AQ97" s="808"/>
      <c r="AR97" s="808"/>
      <c r="AW97" s="1"/>
      <c r="BF97" s="143"/>
      <c r="BG97" s="143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CJ97" s="143"/>
      <c r="CZ97" s="1"/>
      <c r="DR97" s="5"/>
      <c r="DS97" s="143"/>
      <c r="DT97" s="143"/>
      <c r="DU97" s="143"/>
      <c r="DV97" s="143"/>
      <c r="FY97" s="143"/>
      <c r="JT97" s="143"/>
      <c r="JU97" s="143"/>
      <c r="JV97" s="143"/>
      <c r="JW97" s="143"/>
      <c r="PA97" s="143"/>
      <c r="PB97" s="143"/>
      <c r="PD97" s="143"/>
      <c r="PR97" s="146"/>
      <c r="PV97" s="143"/>
      <c r="RY97" s="146"/>
      <c r="AHH97" s="142"/>
      <c r="AIW97" s="142"/>
      <c r="AIX97" s="142"/>
      <c r="AIY97" s="142"/>
    </row>
    <row r="98" spans="2:935" hidden="1" x14ac:dyDescent="0.25">
      <c r="B98" s="735"/>
      <c r="C98" s="466" t="s">
        <v>48</v>
      </c>
      <c r="D98" s="480"/>
      <c r="E98" s="500" t="s">
        <v>28</v>
      </c>
      <c r="F98" s="581">
        <f>F95*6</f>
        <v>117954</v>
      </c>
      <c r="G98" s="581" t="e">
        <f>G95*6</f>
        <v>#REF!</v>
      </c>
      <c r="H98" s="581">
        <f>H95*6</f>
        <v>0</v>
      </c>
      <c r="I98" s="581">
        <f>I95*6</f>
        <v>0</v>
      </c>
      <c r="J98" s="581">
        <f t="shared" ref="J98:Q98" si="34">J95*6</f>
        <v>0</v>
      </c>
      <c r="K98" s="581">
        <f t="shared" si="34"/>
        <v>0</v>
      </c>
      <c r="L98" s="581">
        <f t="shared" si="34"/>
        <v>0</v>
      </c>
      <c r="M98" s="581">
        <f t="shared" si="34"/>
        <v>0</v>
      </c>
      <c r="N98" s="581">
        <f t="shared" si="34"/>
        <v>0</v>
      </c>
      <c r="O98" s="581" t="e">
        <f t="shared" ref="O98" si="35">O95*6</f>
        <v>#REF!</v>
      </c>
      <c r="P98" s="581">
        <f t="shared" si="34"/>
        <v>0</v>
      </c>
      <c r="Q98" s="581">
        <f t="shared" si="34"/>
        <v>0</v>
      </c>
      <c r="R98" s="723"/>
      <c r="S98" s="55" t="e">
        <f t="shared" si="33"/>
        <v>#REF!</v>
      </c>
      <c r="T98" s="670" t="e">
        <f t="shared" si="33"/>
        <v>#REF!</v>
      </c>
      <c r="U98" s="791" t="e">
        <f t="shared" si="33"/>
        <v>#REF!</v>
      </c>
      <c r="W98" s="6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808"/>
      <c r="AJ98" s="808"/>
      <c r="AK98" s="808"/>
      <c r="AL98" s="808"/>
      <c r="AM98" s="808"/>
      <c r="AN98" s="808"/>
      <c r="AO98" s="808"/>
      <c r="AP98" s="808"/>
      <c r="AQ98" s="808"/>
      <c r="AR98" s="808"/>
      <c r="AW98" s="1"/>
      <c r="BF98" s="143"/>
      <c r="BG98" s="143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CJ98" s="143"/>
      <c r="CZ98" s="1"/>
      <c r="DR98" s="5"/>
      <c r="DS98" s="143"/>
      <c r="DT98" s="143"/>
      <c r="DU98" s="143"/>
      <c r="DV98" s="143"/>
      <c r="FY98" s="143"/>
      <c r="JT98" s="143"/>
      <c r="JU98" s="143"/>
      <c r="JV98" s="143"/>
      <c r="JW98" s="143"/>
      <c r="PA98" s="143"/>
      <c r="PB98" s="143"/>
      <c r="PD98" s="143"/>
      <c r="PR98" s="146"/>
      <c r="PV98" s="143"/>
      <c r="RY98" s="146"/>
      <c r="AHH98" s="142"/>
      <c r="AIW98" s="142"/>
      <c r="AIX98" s="142"/>
      <c r="AIY98" s="142"/>
    </row>
    <row r="99" spans="2:935" hidden="1" x14ac:dyDescent="0.25">
      <c r="B99" s="732"/>
      <c r="C99" s="423" t="s">
        <v>30</v>
      </c>
      <c r="D99" s="48"/>
      <c r="E99" s="48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3"/>
      <c r="S99" s="526" t="s">
        <v>132</v>
      </c>
      <c r="T99" s="681" t="s">
        <v>132</v>
      </c>
      <c r="U99" s="781" t="s">
        <v>132</v>
      </c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808"/>
      <c r="AJ99" s="808"/>
      <c r="AK99" s="808"/>
      <c r="AL99" s="808"/>
      <c r="AM99" s="808"/>
      <c r="AN99" s="808"/>
      <c r="AO99" s="808"/>
      <c r="AP99" s="808"/>
      <c r="AQ99" s="808"/>
      <c r="AR99" s="808"/>
      <c r="AW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CZ99" s="1"/>
    </row>
    <row r="100" spans="2:935" hidden="1" x14ac:dyDescent="0.25">
      <c r="B100" s="735"/>
      <c r="C100" s="573" t="s">
        <v>29</v>
      </c>
      <c r="D100" s="480"/>
      <c r="E100" s="468"/>
      <c r="F100" s="443"/>
      <c r="G100" s="443"/>
      <c r="H100" s="443"/>
      <c r="I100" s="443"/>
      <c r="J100" s="443"/>
      <c r="K100" s="443"/>
      <c r="L100" s="443"/>
      <c r="M100" s="443"/>
      <c r="N100" s="443"/>
      <c r="O100" s="443"/>
      <c r="P100" s="443"/>
      <c r="Q100" s="443"/>
      <c r="R100" s="723"/>
      <c r="S100" s="64" t="s">
        <v>29</v>
      </c>
      <c r="T100" s="692" t="s">
        <v>29</v>
      </c>
      <c r="U100" s="790" t="s">
        <v>29</v>
      </c>
      <c r="W100" s="6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808"/>
      <c r="AJ100" s="808"/>
      <c r="AK100" s="808"/>
      <c r="AL100" s="808"/>
      <c r="AM100" s="808"/>
      <c r="AN100" s="808"/>
      <c r="AO100" s="808"/>
      <c r="AP100" s="808"/>
      <c r="AQ100" s="808"/>
      <c r="AR100" s="808"/>
      <c r="AW100" s="1"/>
      <c r="BF100" s="143"/>
      <c r="BG100" s="143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CJ100" s="143"/>
      <c r="CZ100" s="1"/>
      <c r="DR100" s="5"/>
      <c r="DS100" s="143"/>
      <c r="DT100" s="143"/>
      <c r="DU100" s="143"/>
      <c r="DV100" s="143"/>
      <c r="FY100" s="143"/>
      <c r="JT100" s="143"/>
      <c r="JU100" s="143"/>
      <c r="JV100" s="143"/>
      <c r="JW100" s="143"/>
      <c r="PA100" s="143"/>
      <c r="PB100" s="143"/>
      <c r="PD100" s="143"/>
      <c r="PR100" s="146"/>
      <c r="PV100" s="143"/>
      <c r="RY100" s="146"/>
      <c r="AHH100" s="142"/>
      <c r="AIW100" s="142"/>
      <c r="AIX100" s="142"/>
      <c r="AIY100" s="142"/>
    </row>
    <row r="101" spans="2:935" hidden="1" x14ac:dyDescent="0.25">
      <c r="B101" s="735"/>
      <c r="C101" s="466" t="s">
        <v>49</v>
      </c>
      <c r="D101" s="467">
        <v>0.3</v>
      </c>
      <c r="E101" s="500" t="s">
        <v>25</v>
      </c>
      <c r="F101" s="444">
        <f t="shared" ref="F101:F102" si="36">F94/F85*100</f>
        <v>100</v>
      </c>
      <c r="G101" s="444" t="e">
        <f t="shared" ref="G101:Q102" si="37">G94/G85*100</f>
        <v>#REF!</v>
      </c>
      <c r="H101" s="444" t="e">
        <f t="shared" si="37"/>
        <v>#DIV/0!</v>
      </c>
      <c r="I101" s="582" t="e">
        <f t="shared" si="37"/>
        <v>#DIV/0!</v>
      </c>
      <c r="J101" s="582" t="e">
        <f t="shared" si="37"/>
        <v>#DIV/0!</v>
      </c>
      <c r="K101" s="582" t="e">
        <f t="shared" si="37"/>
        <v>#DIV/0!</v>
      </c>
      <c r="L101" s="582" t="e">
        <f t="shared" si="37"/>
        <v>#DIV/0!</v>
      </c>
      <c r="M101" s="582" t="e">
        <f>M94/M85*100</f>
        <v>#DIV/0!</v>
      </c>
      <c r="N101" s="582" t="e">
        <f t="shared" ref="N101:N102" si="38">N94/N85*100</f>
        <v>#DIV/0!</v>
      </c>
      <c r="O101" s="582" t="e">
        <f t="shared" ref="O101" si="39">O94/O85*100</f>
        <v>#REF!</v>
      </c>
      <c r="P101" s="582" t="e">
        <f>P94/P85*100</f>
        <v>#DIV/0!</v>
      </c>
      <c r="Q101" s="582" t="e">
        <f t="shared" si="37"/>
        <v>#DIV/0!</v>
      </c>
      <c r="R101" s="723"/>
      <c r="S101" s="59" t="e">
        <f t="shared" ref="S101:U102" si="40">S94/S85*100</f>
        <v>#REF!</v>
      </c>
      <c r="T101" s="673" t="e">
        <f t="shared" si="40"/>
        <v>#REF!</v>
      </c>
      <c r="U101" s="774" t="e">
        <f t="shared" si="40"/>
        <v>#REF!</v>
      </c>
      <c r="W101" s="6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808"/>
      <c r="AJ101" s="808"/>
      <c r="AK101" s="808"/>
      <c r="AL101" s="808"/>
      <c r="AM101" s="808"/>
      <c r="AN101" s="808"/>
      <c r="AO101" s="808"/>
      <c r="AP101" s="808"/>
      <c r="AQ101" s="808"/>
      <c r="AR101" s="808"/>
      <c r="AW101" s="1"/>
      <c r="BF101" s="143"/>
      <c r="BG101" s="143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CJ101" s="143"/>
      <c r="CZ101" s="1"/>
      <c r="DR101" s="5"/>
      <c r="DS101" s="143"/>
      <c r="DT101" s="143"/>
      <c r="DU101" s="143"/>
      <c r="DV101" s="143"/>
      <c r="FY101" s="143"/>
      <c r="JT101" s="143"/>
      <c r="JU101" s="143"/>
      <c r="JV101" s="143"/>
      <c r="JW101" s="143"/>
      <c r="PA101" s="143"/>
      <c r="PB101" s="143"/>
      <c r="PD101" s="143"/>
      <c r="PR101" s="146"/>
      <c r="PV101" s="143"/>
      <c r="RY101" s="146"/>
      <c r="AHH101" s="142"/>
      <c r="AIW101" s="142"/>
      <c r="AIX101" s="142"/>
      <c r="AIY101" s="142"/>
    </row>
    <row r="102" spans="2:935" hidden="1" x14ac:dyDescent="0.25">
      <c r="B102" s="735"/>
      <c r="C102" s="466" t="s">
        <v>48</v>
      </c>
      <c r="D102" s="467">
        <v>0.3</v>
      </c>
      <c r="E102" s="500" t="s">
        <v>25</v>
      </c>
      <c r="F102" s="444">
        <f t="shared" si="36"/>
        <v>100</v>
      </c>
      <c r="G102" s="444" t="e">
        <f t="shared" si="37"/>
        <v>#REF!</v>
      </c>
      <c r="H102" s="444" t="e">
        <f t="shared" si="37"/>
        <v>#DIV/0!</v>
      </c>
      <c r="I102" s="582" t="e">
        <f t="shared" si="37"/>
        <v>#DIV/0!</v>
      </c>
      <c r="J102" s="582" t="e">
        <f t="shared" si="37"/>
        <v>#DIV/0!</v>
      </c>
      <c r="K102" s="582" t="e">
        <f t="shared" si="37"/>
        <v>#DIV/0!</v>
      </c>
      <c r="L102" s="582" t="e">
        <f t="shared" si="37"/>
        <v>#DIV/0!</v>
      </c>
      <c r="M102" s="582" t="e">
        <f t="shared" si="37"/>
        <v>#DIV/0!</v>
      </c>
      <c r="N102" s="582" t="e">
        <f t="shared" si="38"/>
        <v>#DIV/0!</v>
      </c>
      <c r="O102" s="582" t="e">
        <f t="shared" ref="O102" si="41">O95/O86*100</f>
        <v>#REF!</v>
      </c>
      <c r="P102" s="582" t="e">
        <f t="shared" si="37"/>
        <v>#DIV/0!</v>
      </c>
      <c r="Q102" s="582" t="e">
        <f t="shared" si="37"/>
        <v>#DIV/0!</v>
      </c>
      <c r="R102" s="723"/>
      <c r="S102" s="59" t="e">
        <f t="shared" si="40"/>
        <v>#REF!</v>
      </c>
      <c r="T102" s="673" t="e">
        <f t="shared" si="40"/>
        <v>#REF!</v>
      </c>
      <c r="U102" s="774" t="e">
        <f t="shared" si="40"/>
        <v>#REF!</v>
      </c>
      <c r="W102" s="6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808"/>
      <c r="AJ102" s="808"/>
      <c r="AK102" s="808"/>
      <c r="AL102" s="808"/>
      <c r="AM102" s="808"/>
      <c r="AN102" s="808"/>
      <c r="AO102" s="808"/>
      <c r="AP102" s="808"/>
      <c r="AQ102" s="808"/>
      <c r="AR102" s="808"/>
      <c r="AW102" s="1"/>
      <c r="BF102" s="143"/>
      <c r="BG102" s="143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CJ102" s="143"/>
      <c r="CZ102" s="1"/>
      <c r="DR102" s="5"/>
      <c r="DS102" s="143"/>
      <c r="DT102" s="143"/>
      <c r="DU102" s="143"/>
      <c r="DV102" s="143"/>
      <c r="FY102" s="143"/>
      <c r="JT102" s="143"/>
      <c r="JU102" s="143"/>
      <c r="JV102" s="143"/>
      <c r="JW102" s="143"/>
      <c r="PA102" s="143"/>
      <c r="PB102" s="143"/>
      <c r="PD102" s="143"/>
      <c r="PR102" s="146"/>
      <c r="PV102" s="143"/>
      <c r="RY102" s="146"/>
      <c r="AHH102" s="142"/>
      <c r="AIW102" s="142"/>
      <c r="AIX102" s="142"/>
      <c r="AIY102" s="142"/>
    </row>
    <row r="103" spans="2:935" hidden="1" x14ac:dyDescent="0.25">
      <c r="B103" s="735"/>
      <c r="C103" s="573" t="s">
        <v>28</v>
      </c>
      <c r="D103" s="467"/>
      <c r="E103" s="468"/>
      <c r="F103" s="444"/>
      <c r="G103" s="444"/>
      <c r="H103" s="444"/>
      <c r="I103" s="444"/>
      <c r="J103" s="444"/>
      <c r="K103" s="444"/>
      <c r="L103" s="444"/>
      <c r="M103" s="444"/>
      <c r="N103" s="444"/>
      <c r="O103" s="444"/>
      <c r="P103" s="444"/>
      <c r="Q103" s="444"/>
      <c r="R103" s="723"/>
      <c r="S103" s="64" t="s">
        <v>28</v>
      </c>
      <c r="T103" s="692" t="s">
        <v>28</v>
      </c>
      <c r="U103" s="790" t="s">
        <v>28</v>
      </c>
      <c r="W103" s="6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808"/>
      <c r="AJ103" s="808"/>
      <c r="AK103" s="808"/>
      <c r="AL103" s="808"/>
      <c r="AM103" s="808"/>
      <c r="AN103" s="808"/>
      <c r="AO103" s="808"/>
      <c r="AP103" s="808"/>
      <c r="AQ103" s="808"/>
      <c r="AR103" s="808"/>
      <c r="AW103" s="1"/>
      <c r="BF103" s="143"/>
      <c r="BG103" s="143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CJ103" s="143"/>
      <c r="CZ103" s="1"/>
      <c r="DR103" s="5"/>
      <c r="DS103" s="143"/>
      <c r="DT103" s="143"/>
      <c r="DU103" s="143"/>
      <c r="DV103" s="143"/>
      <c r="FY103" s="143"/>
      <c r="JT103" s="143"/>
      <c r="JU103" s="143"/>
      <c r="JV103" s="143"/>
      <c r="JW103" s="143"/>
      <c r="PA103" s="143"/>
      <c r="PB103" s="143"/>
      <c r="PD103" s="143"/>
      <c r="PR103" s="146"/>
      <c r="PV103" s="143"/>
      <c r="RY103" s="146"/>
      <c r="AHH103" s="142"/>
      <c r="AIW103" s="142"/>
      <c r="AIX103" s="142"/>
      <c r="AIY103" s="142"/>
    </row>
    <row r="104" spans="2:935" hidden="1" x14ac:dyDescent="0.25">
      <c r="B104" s="735"/>
      <c r="C104" s="466" t="s">
        <v>49</v>
      </c>
      <c r="D104" s="467">
        <v>0.5</v>
      </c>
      <c r="E104" s="500" t="s">
        <v>25</v>
      </c>
      <c r="F104" s="444">
        <f t="shared" ref="F104:F105" si="42">F97/F88*100</f>
        <v>100</v>
      </c>
      <c r="G104" s="444" t="e">
        <f t="shared" ref="G104:Q105" si="43">G97/G88*100</f>
        <v>#REF!</v>
      </c>
      <c r="H104" s="444" t="e">
        <f t="shared" si="43"/>
        <v>#DIV/0!</v>
      </c>
      <c r="I104" s="582" t="e">
        <f t="shared" si="43"/>
        <v>#DIV/0!</v>
      </c>
      <c r="J104" s="582" t="e">
        <f t="shared" si="43"/>
        <v>#DIV/0!</v>
      </c>
      <c r="K104" s="582" t="e">
        <f t="shared" si="43"/>
        <v>#DIV/0!</v>
      </c>
      <c r="L104" s="582" t="e">
        <f t="shared" si="43"/>
        <v>#DIV/0!</v>
      </c>
      <c r="M104" s="582" t="e">
        <f t="shared" si="43"/>
        <v>#DIV/0!</v>
      </c>
      <c r="N104" s="582" t="e">
        <f t="shared" si="43"/>
        <v>#DIV/0!</v>
      </c>
      <c r="O104" s="582" t="e">
        <f t="shared" ref="O104" si="44">O97/O88*100</f>
        <v>#REF!</v>
      </c>
      <c r="P104" s="582" t="e">
        <f t="shared" si="43"/>
        <v>#DIV/0!</v>
      </c>
      <c r="Q104" s="582" t="e">
        <f t="shared" si="43"/>
        <v>#DIV/0!</v>
      </c>
      <c r="R104" s="723"/>
      <c r="S104" s="59" t="e">
        <f t="shared" ref="S104:U105" si="45">S97/S88*100</f>
        <v>#REF!</v>
      </c>
      <c r="T104" s="673" t="e">
        <f t="shared" si="45"/>
        <v>#REF!</v>
      </c>
      <c r="U104" s="774" t="e">
        <f t="shared" si="45"/>
        <v>#REF!</v>
      </c>
      <c r="W104" s="6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808"/>
      <c r="AJ104" s="808"/>
      <c r="AK104" s="808"/>
      <c r="AL104" s="808"/>
      <c r="AM104" s="808"/>
      <c r="AN104" s="808"/>
      <c r="AO104" s="808"/>
      <c r="AP104" s="808"/>
      <c r="AQ104" s="808"/>
      <c r="AR104" s="808"/>
      <c r="AW104" s="1"/>
      <c r="BF104" s="143"/>
      <c r="BG104" s="143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CJ104" s="143"/>
      <c r="CZ104" s="1"/>
      <c r="DR104" s="5"/>
      <c r="DS104" s="143"/>
      <c r="DT104" s="143"/>
      <c r="DU104" s="143"/>
      <c r="DV104" s="143"/>
      <c r="FY104" s="143"/>
      <c r="JT104" s="143"/>
      <c r="JU104" s="143"/>
      <c r="JV104" s="143"/>
      <c r="JW104" s="143"/>
      <c r="PA104" s="143"/>
      <c r="PB104" s="143"/>
      <c r="PD104" s="143"/>
      <c r="PR104" s="146"/>
      <c r="PV104" s="143"/>
      <c r="RY104" s="146"/>
      <c r="AHH104" s="142"/>
      <c r="AIW104" s="142"/>
      <c r="AIX104" s="142"/>
      <c r="AIY104" s="142"/>
    </row>
    <row r="105" spans="2:935" hidden="1" x14ac:dyDescent="0.25">
      <c r="B105" s="735"/>
      <c r="C105" s="466" t="s">
        <v>48</v>
      </c>
      <c r="D105" s="467">
        <v>0.5</v>
      </c>
      <c r="E105" s="500" t="s">
        <v>25</v>
      </c>
      <c r="F105" s="444">
        <f t="shared" si="42"/>
        <v>100</v>
      </c>
      <c r="G105" s="444" t="e">
        <f t="shared" si="43"/>
        <v>#REF!</v>
      </c>
      <c r="H105" s="444" t="e">
        <f t="shared" si="43"/>
        <v>#DIV/0!</v>
      </c>
      <c r="I105" s="582" t="e">
        <f t="shared" si="43"/>
        <v>#DIV/0!</v>
      </c>
      <c r="J105" s="582" t="e">
        <f t="shared" si="43"/>
        <v>#DIV/0!</v>
      </c>
      <c r="K105" s="582" t="e">
        <f t="shared" si="43"/>
        <v>#DIV/0!</v>
      </c>
      <c r="L105" s="582" t="e">
        <f t="shared" si="43"/>
        <v>#DIV/0!</v>
      </c>
      <c r="M105" s="582" t="e">
        <f t="shared" si="43"/>
        <v>#DIV/0!</v>
      </c>
      <c r="N105" s="582" t="e">
        <f t="shared" si="43"/>
        <v>#DIV/0!</v>
      </c>
      <c r="O105" s="582" t="e">
        <f t="shared" ref="O105" si="46">O98/O89*100</f>
        <v>#REF!</v>
      </c>
      <c r="P105" s="582" t="e">
        <f t="shared" si="43"/>
        <v>#DIV/0!</v>
      </c>
      <c r="Q105" s="582" t="e">
        <f t="shared" si="43"/>
        <v>#DIV/0!</v>
      </c>
      <c r="R105" s="723"/>
      <c r="S105" s="59" t="e">
        <f t="shared" si="45"/>
        <v>#REF!</v>
      </c>
      <c r="T105" s="673" t="e">
        <f t="shared" si="45"/>
        <v>#REF!</v>
      </c>
      <c r="U105" s="774" t="e">
        <f t="shared" si="45"/>
        <v>#REF!</v>
      </c>
      <c r="W105" s="6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808"/>
      <c r="AJ105" s="808"/>
      <c r="AK105" s="808"/>
      <c r="AL105" s="808"/>
      <c r="AM105" s="808"/>
      <c r="AN105" s="808"/>
      <c r="AO105" s="808"/>
      <c r="AP105" s="808"/>
      <c r="AQ105" s="808"/>
      <c r="AR105" s="808"/>
      <c r="AW105" s="1"/>
      <c r="BF105" s="143"/>
      <c r="BG105" s="143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CJ105" s="143"/>
      <c r="CZ105" s="1"/>
      <c r="DR105" s="5"/>
      <c r="DS105" s="143"/>
      <c r="DT105" s="143"/>
      <c r="DU105" s="143"/>
      <c r="DV105" s="143"/>
      <c r="FY105" s="143"/>
      <c r="JT105" s="143"/>
      <c r="JU105" s="143"/>
      <c r="JV105" s="143"/>
      <c r="JW105" s="143"/>
      <c r="PA105" s="143"/>
      <c r="PB105" s="143"/>
      <c r="PD105" s="143"/>
      <c r="PR105" s="146"/>
      <c r="PV105" s="143"/>
      <c r="RY105" s="146"/>
      <c r="AHH105" s="142"/>
      <c r="AIW105" s="142"/>
      <c r="AIX105" s="142"/>
      <c r="AIY105" s="142"/>
    </row>
    <row r="106" spans="2:935" hidden="1" x14ac:dyDescent="0.25">
      <c r="B106" s="731">
        <v>6</v>
      </c>
      <c r="C106" s="423" t="s">
        <v>47</v>
      </c>
      <c r="D106" s="48"/>
      <c r="E106" s="48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3"/>
      <c r="S106" s="526" t="s">
        <v>131</v>
      </c>
      <c r="T106" s="681" t="s">
        <v>131</v>
      </c>
      <c r="U106" s="781" t="s">
        <v>131</v>
      </c>
      <c r="W106" s="6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808"/>
      <c r="AJ106" s="808"/>
      <c r="AK106" s="808"/>
      <c r="AL106" s="808"/>
      <c r="AM106" s="808"/>
      <c r="AN106" s="808"/>
      <c r="AO106" s="808"/>
      <c r="AP106" s="808"/>
      <c r="AQ106" s="808"/>
      <c r="AR106" s="808"/>
      <c r="AW106" s="1"/>
      <c r="BF106" s="142"/>
      <c r="BG106" s="142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CJ106" s="142"/>
      <c r="CZ106" s="1"/>
      <c r="DR106" s="5"/>
      <c r="DS106" s="142"/>
      <c r="DT106" s="142"/>
      <c r="DU106" s="142"/>
      <c r="DV106" s="142"/>
      <c r="FY106" s="142"/>
      <c r="JT106" s="142"/>
      <c r="JU106" s="142"/>
      <c r="JV106" s="142"/>
      <c r="JW106" s="142"/>
      <c r="PA106" s="142"/>
      <c r="PB106" s="142"/>
      <c r="PD106" s="142"/>
      <c r="PR106" s="485"/>
      <c r="PV106" s="142"/>
      <c r="RY106" s="485"/>
      <c r="AHH106" s="142"/>
      <c r="AIW106" s="142"/>
      <c r="AIX106" s="142"/>
      <c r="AIY106" s="142"/>
    </row>
    <row r="107" spans="2:935" hidden="1" x14ac:dyDescent="0.25">
      <c r="B107" s="732"/>
      <c r="C107" s="583" t="s">
        <v>46</v>
      </c>
      <c r="D107" s="584"/>
      <c r="E107" s="20" t="s">
        <v>14</v>
      </c>
      <c r="F107" s="585">
        <f>'[24]Januari 24'!AL96</f>
        <v>461724.07999999996</v>
      </c>
      <c r="G107" s="586" t="e">
        <f>'[24]Februari 24'!AI96</f>
        <v>#REF!</v>
      </c>
      <c r="H107" s="585">
        <f>'[24]Maret 24'!AL96</f>
        <v>0</v>
      </c>
      <c r="I107" s="585">
        <f>'[24]April 24'!AL96</f>
        <v>0</v>
      </c>
      <c r="J107" s="585">
        <f>'[24]Mei 24'!AL96</f>
        <v>0</v>
      </c>
      <c r="K107" s="585">
        <f>'[24]Juny 24'!AL96</f>
        <v>0</v>
      </c>
      <c r="L107" s="585">
        <f>'[24]July 24'!AL96</f>
        <v>0</v>
      </c>
      <c r="M107" s="585">
        <f>'[24]Agustus 24'!AL96</f>
        <v>0</v>
      </c>
      <c r="N107" s="585">
        <f>'[24]September 24'!AL96</f>
        <v>0</v>
      </c>
      <c r="O107" s="585" t="e">
        <f>'[24]September 24'!AM96</f>
        <v>#REF!</v>
      </c>
      <c r="P107" s="585">
        <f>'[24]November 24'!AL96</f>
        <v>0</v>
      </c>
      <c r="Q107" s="585">
        <f>'[24]Desember 24'!AL96</f>
        <v>0</v>
      </c>
      <c r="R107" s="737"/>
      <c r="S107" s="90" t="e">
        <f>SUM(S108:S109)</f>
        <v>#REF!</v>
      </c>
      <c r="T107" s="690" t="e">
        <f>SUM(T108:T109)</f>
        <v>#REF!</v>
      </c>
      <c r="U107" s="792" t="e">
        <f>SUM(U108:U109)</f>
        <v>#REF!</v>
      </c>
      <c r="W107" s="820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818"/>
      <c r="AJ107" s="818"/>
      <c r="AK107" s="818"/>
      <c r="AL107" s="818"/>
      <c r="AM107" s="818"/>
      <c r="AN107" s="818"/>
      <c r="AO107" s="818"/>
      <c r="AP107" s="818"/>
      <c r="AQ107" s="818"/>
      <c r="AR107" s="818"/>
      <c r="AW107" s="1"/>
      <c r="BF107" s="147"/>
      <c r="BG107" s="147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CJ107" s="147"/>
      <c r="CZ107" s="1"/>
      <c r="DR107" s="439"/>
      <c r="DS107" s="147"/>
      <c r="DT107" s="147"/>
      <c r="DU107" s="147"/>
      <c r="DV107" s="147"/>
      <c r="FY107" s="147"/>
      <c r="JT107" s="147"/>
      <c r="JU107" s="147"/>
      <c r="JV107" s="147"/>
      <c r="JW107" s="147"/>
      <c r="PA107" s="147"/>
      <c r="PB107" s="147"/>
      <c r="PD107" s="147"/>
      <c r="PR107" s="567"/>
      <c r="PV107" s="147"/>
      <c r="RY107" s="567"/>
      <c r="AHH107" s="152"/>
      <c r="AIW107" s="152"/>
      <c r="AIX107" s="152"/>
      <c r="AIY107" s="152"/>
    </row>
    <row r="108" spans="2:935" hidden="1" x14ac:dyDescent="0.25">
      <c r="B108" s="735"/>
      <c r="C108" s="573" t="s">
        <v>39</v>
      </c>
      <c r="D108" s="480"/>
      <c r="E108" s="500" t="s">
        <v>14</v>
      </c>
      <c r="F108" s="444">
        <f>SUM(F112:F113)*10.86</f>
        <v>463439.63999999996</v>
      </c>
      <c r="G108" s="530">
        <f>SUM(G112:G113)*10.86</f>
        <v>0</v>
      </c>
      <c r="H108" s="528">
        <f>'[24]Maret 24'!AL97</f>
        <v>0</v>
      </c>
      <c r="I108" s="444">
        <f t="shared" ref="I108:Q108" si="47">SUM(I112:I113)*10.86</f>
        <v>0</v>
      </c>
      <c r="J108" s="530">
        <f>'[24]Mei 24'!AL97</f>
        <v>0</v>
      </c>
      <c r="K108" s="444">
        <f t="shared" si="47"/>
        <v>0</v>
      </c>
      <c r="L108" s="530">
        <f t="shared" si="47"/>
        <v>0</v>
      </c>
      <c r="M108" s="444">
        <f t="shared" si="47"/>
        <v>0</v>
      </c>
      <c r="N108" s="530">
        <f t="shared" si="47"/>
        <v>0</v>
      </c>
      <c r="O108" s="530" t="e">
        <f t="shared" ref="O108" si="48">SUM(O112:O113)*10.86</f>
        <v>#REF!</v>
      </c>
      <c r="P108" s="530">
        <f t="shared" si="47"/>
        <v>0</v>
      </c>
      <c r="Q108" s="444">
        <f t="shared" si="47"/>
        <v>0</v>
      </c>
      <c r="R108" s="723"/>
      <c r="S108" s="59" t="e">
        <f t="shared" ref="S108:U109" si="49">SUM(F108:Q108)</f>
        <v>#REF!</v>
      </c>
      <c r="T108" s="673" t="e">
        <f t="shared" si="49"/>
        <v>#REF!</v>
      </c>
      <c r="U108" s="774" t="e">
        <f t="shared" si="49"/>
        <v>#REF!</v>
      </c>
      <c r="W108" s="6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821"/>
      <c r="AJ108" s="818"/>
      <c r="AK108" s="818"/>
      <c r="AL108" s="818"/>
      <c r="AM108" s="818"/>
      <c r="AN108" s="818"/>
      <c r="AO108" s="808"/>
      <c r="AP108" s="808"/>
      <c r="AQ108" s="808"/>
      <c r="AR108" s="808"/>
      <c r="AW108" s="1"/>
      <c r="BF108" s="143"/>
      <c r="BG108" s="143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CJ108" s="143"/>
      <c r="CZ108" s="1"/>
      <c r="DR108" s="5"/>
      <c r="DS108" s="143"/>
      <c r="DT108" s="143"/>
      <c r="DU108" s="143"/>
      <c r="DV108" s="143"/>
      <c r="FY108" s="143"/>
      <c r="JT108" s="143"/>
      <c r="JU108" s="143"/>
      <c r="JV108" s="143"/>
      <c r="JW108" s="143"/>
      <c r="PA108" s="143"/>
      <c r="PB108" s="587"/>
      <c r="PD108" s="143"/>
      <c r="PR108" s="146"/>
      <c r="PV108" s="143"/>
      <c r="RY108" s="146"/>
      <c r="AHH108" s="142"/>
      <c r="AIW108" s="142"/>
      <c r="AIX108" s="142"/>
      <c r="AIY108" s="142"/>
    </row>
    <row r="109" spans="2:935" hidden="1" x14ac:dyDescent="0.25">
      <c r="B109" s="735"/>
      <c r="C109" s="573" t="s">
        <v>38</v>
      </c>
      <c r="D109" s="480"/>
      <c r="E109" s="500" t="s">
        <v>14</v>
      </c>
      <c r="F109" s="444">
        <f t="shared" ref="F109" si="50">F107-F108</f>
        <v>-1715.5599999999977</v>
      </c>
      <c r="G109" s="528" t="e">
        <f t="shared" ref="G109:Q109" si="51">G107-G108</f>
        <v>#REF!</v>
      </c>
      <c r="H109" s="528">
        <f>'[24]Maret 24'!AL98</f>
        <v>0</v>
      </c>
      <c r="I109" s="444">
        <f t="shared" si="51"/>
        <v>0</v>
      </c>
      <c r="J109" s="530">
        <f t="shared" si="51"/>
        <v>0</v>
      </c>
      <c r="K109" s="444">
        <f t="shared" si="51"/>
        <v>0</v>
      </c>
      <c r="L109" s="530">
        <f t="shared" si="51"/>
        <v>0</v>
      </c>
      <c r="M109" s="444">
        <f t="shared" si="51"/>
        <v>0</v>
      </c>
      <c r="N109" s="530">
        <f t="shared" si="51"/>
        <v>0</v>
      </c>
      <c r="O109" s="530" t="e">
        <f t="shared" ref="O109" si="52">O107-O108</f>
        <v>#REF!</v>
      </c>
      <c r="P109" s="530">
        <f t="shared" si="51"/>
        <v>0</v>
      </c>
      <c r="Q109" s="444">
        <f t="shared" si="51"/>
        <v>0</v>
      </c>
      <c r="R109" s="723"/>
      <c r="S109" s="59" t="e">
        <f>SUM(F109:Q109)</f>
        <v>#REF!</v>
      </c>
      <c r="T109" s="673" t="e">
        <f t="shared" si="49"/>
        <v>#REF!</v>
      </c>
      <c r="U109" s="774" t="e">
        <f t="shared" si="49"/>
        <v>#REF!</v>
      </c>
      <c r="W109" s="6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808"/>
      <c r="AJ109" s="808"/>
      <c r="AK109" s="808"/>
      <c r="AL109" s="808"/>
      <c r="AM109" s="808"/>
      <c r="AN109" s="808"/>
      <c r="AO109" s="808"/>
      <c r="AP109" s="808"/>
      <c r="AQ109" s="808"/>
      <c r="AR109" s="808"/>
      <c r="AW109" s="1"/>
      <c r="BF109" s="143"/>
      <c r="BG109" s="143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CJ109" s="143"/>
      <c r="CZ109" s="1"/>
      <c r="DR109" s="5"/>
      <c r="DS109" s="143"/>
      <c r="DT109" s="143"/>
      <c r="DU109" s="143"/>
      <c r="DV109" s="143"/>
      <c r="FY109" s="143"/>
      <c r="JT109" s="143"/>
      <c r="JU109" s="143"/>
      <c r="JV109" s="143"/>
      <c r="JW109" s="143"/>
      <c r="PA109" s="143"/>
      <c r="PB109" s="143"/>
      <c r="PD109" s="143"/>
      <c r="PR109" s="146"/>
      <c r="PV109" s="143"/>
      <c r="RY109" s="146"/>
      <c r="AHH109" s="142"/>
      <c r="AIW109" s="142"/>
      <c r="AIX109" s="142"/>
      <c r="AIY109" s="142"/>
    </row>
    <row r="110" spans="2:935" hidden="1" x14ac:dyDescent="0.25">
      <c r="B110" s="735"/>
      <c r="C110" s="573" t="s">
        <v>50</v>
      </c>
      <c r="D110" s="480"/>
      <c r="E110" s="500" t="s">
        <v>14</v>
      </c>
      <c r="F110" s="444"/>
      <c r="G110" s="528">
        <v>0</v>
      </c>
      <c r="H110" s="444">
        <f>'[24]Maret 24'!AL99</f>
        <v>0</v>
      </c>
      <c r="I110" s="444"/>
      <c r="J110" s="444"/>
      <c r="K110" s="444"/>
      <c r="L110" s="444"/>
      <c r="M110" s="444"/>
      <c r="N110" s="444"/>
      <c r="O110" s="444"/>
      <c r="P110" s="444"/>
      <c r="Q110" s="444"/>
      <c r="R110" s="723"/>
      <c r="S110" s="59"/>
      <c r="T110" s="673"/>
      <c r="U110" s="774"/>
      <c r="W110" s="6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808"/>
      <c r="AJ110" s="808"/>
      <c r="AK110" s="808"/>
      <c r="AL110" s="808"/>
      <c r="AM110" s="808"/>
      <c r="AN110" s="808"/>
      <c r="AO110" s="808"/>
      <c r="AP110" s="808"/>
      <c r="AQ110" s="808"/>
      <c r="AR110" s="808"/>
      <c r="AW110" s="1"/>
      <c r="BF110" s="143"/>
      <c r="BG110" s="143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CJ110" s="143"/>
      <c r="CZ110" s="1"/>
      <c r="DR110" s="5"/>
      <c r="DS110" s="143"/>
      <c r="DT110" s="143"/>
      <c r="DU110" s="143"/>
      <c r="DV110" s="143"/>
      <c r="FY110" s="143"/>
      <c r="JT110" s="143"/>
      <c r="JU110" s="143"/>
      <c r="JV110" s="143"/>
      <c r="JW110" s="143"/>
      <c r="PA110" s="143"/>
      <c r="PB110" s="143"/>
      <c r="PD110" s="143"/>
      <c r="PR110" s="146"/>
      <c r="PV110" s="143"/>
      <c r="RY110" s="146"/>
      <c r="AHH110" s="142"/>
      <c r="AIW110" s="142"/>
      <c r="AIX110" s="142"/>
      <c r="AIY110" s="142"/>
    </row>
    <row r="111" spans="2:935" hidden="1" x14ac:dyDescent="0.25">
      <c r="B111" s="735"/>
      <c r="C111" s="573" t="s">
        <v>29</v>
      </c>
      <c r="D111" s="480"/>
      <c r="E111" s="468"/>
      <c r="F111" s="443"/>
      <c r="G111" s="443"/>
      <c r="H111" s="443"/>
      <c r="I111" s="443"/>
      <c r="J111" s="443"/>
      <c r="K111" s="443"/>
      <c r="L111" s="443"/>
      <c r="M111" s="443"/>
      <c r="N111" s="443"/>
      <c r="O111" s="443"/>
      <c r="P111" s="443"/>
      <c r="Q111" s="443"/>
      <c r="R111" s="723"/>
      <c r="S111" s="64" t="s">
        <v>29</v>
      </c>
      <c r="T111" s="692" t="s">
        <v>29</v>
      </c>
      <c r="U111" s="790" t="s">
        <v>29</v>
      </c>
      <c r="W111" s="6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808"/>
      <c r="AJ111" s="808"/>
      <c r="AK111" s="808"/>
      <c r="AL111" s="808"/>
      <c r="AM111" s="808"/>
      <c r="AN111" s="808"/>
      <c r="AO111" s="808"/>
      <c r="AP111" s="808"/>
      <c r="AQ111" s="808"/>
      <c r="AR111" s="808"/>
      <c r="AW111" s="1"/>
      <c r="BF111" s="143"/>
      <c r="BG111" s="143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CJ111" s="143"/>
      <c r="CZ111" s="1"/>
      <c r="DR111" s="5"/>
      <c r="DS111" s="143"/>
      <c r="DT111" s="143"/>
      <c r="DU111" s="143"/>
      <c r="DV111" s="143"/>
      <c r="FY111" s="143"/>
      <c r="JT111" s="143"/>
      <c r="JU111" s="143"/>
      <c r="JV111" s="143"/>
      <c r="JW111" s="143"/>
      <c r="PA111" s="143"/>
      <c r="PB111" s="143"/>
      <c r="PD111" s="143"/>
      <c r="PR111" s="146"/>
      <c r="PV111" s="143"/>
      <c r="RY111" s="146"/>
      <c r="AHH111" s="142"/>
      <c r="AIW111" s="142"/>
      <c r="AIX111" s="142"/>
      <c r="AIY111" s="142"/>
    </row>
    <row r="112" spans="2:935" hidden="1" x14ac:dyDescent="0.25">
      <c r="B112" s="736"/>
      <c r="C112" s="440" t="s">
        <v>45</v>
      </c>
      <c r="D112" s="441"/>
      <c r="E112" s="577" t="s">
        <v>31</v>
      </c>
      <c r="F112" s="283">
        <f>'[24]Januari 24'!AL101</f>
        <v>7439</v>
      </c>
      <c r="G112" s="283">
        <f>'[24]Februari 24'!AI101</f>
        <v>0</v>
      </c>
      <c r="H112" s="283">
        <f>'[24]Maret 24'!AL101</f>
        <v>0</v>
      </c>
      <c r="I112" s="283">
        <f>'[24]April 24'!AL101</f>
        <v>0</v>
      </c>
      <c r="J112" s="283">
        <f>'[24]Mei 24'!AL101</f>
        <v>0</v>
      </c>
      <c r="K112" s="283">
        <f>'[24]Juny 24'!AL101</f>
        <v>0</v>
      </c>
      <c r="L112" s="283">
        <f>'[24]July 24'!AL101</f>
        <v>0</v>
      </c>
      <c r="M112" s="283">
        <f>'[24]Agustus 24'!AL101</f>
        <v>0</v>
      </c>
      <c r="N112" s="283">
        <f>'[24]September 24'!AL101</f>
        <v>0</v>
      </c>
      <c r="O112" s="283" t="e">
        <f>'[24]September 24'!AM101</f>
        <v>#REF!</v>
      </c>
      <c r="P112" s="283">
        <f>'[24]November 24'!AL101</f>
        <v>0</v>
      </c>
      <c r="Q112" s="283">
        <f>'[24]Desember 24'!AL101</f>
        <v>0</v>
      </c>
      <c r="R112" s="725"/>
      <c r="S112" s="92" t="e">
        <f>SUM(F112:Q112)</f>
        <v>#REF!</v>
      </c>
      <c r="T112" s="693">
        <v>1518699</v>
      </c>
      <c r="U112" s="774" t="e">
        <f>(S112/T112)*100</f>
        <v>#REF!</v>
      </c>
      <c r="W112" s="37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822"/>
      <c r="AJ112" s="822"/>
      <c r="AK112" s="822"/>
      <c r="AL112" s="822"/>
      <c r="AM112" s="822"/>
      <c r="AN112" s="822"/>
      <c r="AO112" s="822"/>
      <c r="AP112" s="822"/>
      <c r="AQ112" s="822"/>
      <c r="AR112" s="822"/>
      <c r="AW112" s="16"/>
      <c r="BF112" s="149"/>
      <c r="BG112" s="149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CJ112" s="149"/>
      <c r="CZ112" s="1"/>
      <c r="DR112" s="521"/>
      <c r="DS112" s="149"/>
      <c r="DT112" s="149"/>
      <c r="DU112" s="149"/>
      <c r="DV112" s="149"/>
      <c r="FY112" s="149"/>
      <c r="JT112" s="149"/>
      <c r="JU112" s="149"/>
      <c r="JV112" s="149"/>
      <c r="JW112" s="149"/>
      <c r="PA112" s="149"/>
      <c r="PB112" s="149"/>
      <c r="PD112" s="149"/>
      <c r="PR112" s="578"/>
      <c r="PV112" s="149"/>
      <c r="RY112" s="578"/>
      <c r="AHH112" s="145"/>
      <c r="AIW112" s="145"/>
      <c r="AIX112" s="145"/>
      <c r="AIY112" s="145"/>
    </row>
    <row r="113" spans="2:935" hidden="1" x14ac:dyDescent="0.25">
      <c r="B113" s="736"/>
      <c r="C113" s="440" t="s">
        <v>44</v>
      </c>
      <c r="D113" s="441"/>
      <c r="E113" s="577" t="s">
        <v>31</v>
      </c>
      <c r="F113" s="283">
        <f>'[24]Januari 24'!AL102</f>
        <v>35235</v>
      </c>
      <c r="G113" s="283">
        <f>'[24]Februari 24'!AI102</f>
        <v>0</v>
      </c>
      <c r="H113" s="283">
        <f>'[24]Maret 24'!AL102</f>
        <v>0</v>
      </c>
      <c r="I113" s="283">
        <f>'[24]April 24'!AL102</f>
        <v>0</v>
      </c>
      <c r="J113" s="283">
        <f>'[24]Mei 24'!AL102</f>
        <v>0</v>
      </c>
      <c r="K113" s="283">
        <f>'[24]Juny 24'!AL102</f>
        <v>0</v>
      </c>
      <c r="L113" s="283">
        <f>'[24]July 24'!AL102</f>
        <v>0</v>
      </c>
      <c r="M113" s="283">
        <f>'[24]Agustus 24'!AL102</f>
        <v>0</v>
      </c>
      <c r="N113" s="283">
        <f>'[24]September 24'!AL102</f>
        <v>0</v>
      </c>
      <c r="O113" s="283" t="e">
        <f>'[24]September 24'!AM102</f>
        <v>#REF!</v>
      </c>
      <c r="P113" s="283">
        <f>'[24]November 24'!AL102</f>
        <v>0</v>
      </c>
      <c r="Q113" s="283">
        <f>'[24]Desember 24'!AL102</f>
        <v>0</v>
      </c>
      <c r="R113" s="725"/>
      <c r="S113" s="92" t="e">
        <f>SUM(F113:Q113)</f>
        <v>#REF!</v>
      </c>
      <c r="T113" s="693">
        <v>2112972</v>
      </c>
      <c r="U113" s="774" t="e">
        <f>(S113/T113)*100</f>
        <v>#REF!</v>
      </c>
      <c r="W113" s="37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822"/>
      <c r="AJ113" s="822"/>
      <c r="AK113" s="822"/>
      <c r="AL113" s="822"/>
      <c r="AM113" s="822"/>
      <c r="AN113" s="822"/>
      <c r="AO113" s="822"/>
      <c r="AP113" s="822"/>
      <c r="AQ113" s="822"/>
      <c r="AR113" s="822"/>
      <c r="AW113" s="16"/>
      <c r="BF113" s="149"/>
      <c r="BG113" s="149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CJ113" s="149"/>
      <c r="CZ113" s="1"/>
      <c r="DR113" s="521"/>
      <c r="DS113" s="149"/>
      <c r="DT113" s="149"/>
      <c r="DU113" s="149"/>
      <c r="DV113" s="149"/>
      <c r="FY113" s="149"/>
      <c r="JT113" s="149"/>
      <c r="JU113" s="149"/>
      <c r="JV113" s="149"/>
      <c r="JW113" s="149"/>
      <c r="PA113" s="149"/>
      <c r="PB113" s="149"/>
      <c r="PD113" s="149"/>
      <c r="PR113" s="578"/>
      <c r="PV113" s="149"/>
      <c r="RY113" s="578"/>
      <c r="AHH113" s="145"/>
      <c r="AIW113" s="145"/>
      <c r="AIX113" s="145"/>
      <c r="AIY113" s="145"/>
    </row>
    <row r="114" spans="2:935" hidden="1" x14ac:dyDescent="0.25">
      <c r="B114" s="735"/>
      <c r="C114" s="573" t="s">
        <v>28</v>
      </c>
      <c r="D114" s="480"/>
      <c r="E114" s="468"/>
      <c r="F114" s="443"/>
      <c r="G114" s="443"/>
      <c r="H114" s="443"/>
      <c r="I114" s="443"/>
      <c r="J114" s="443"/>
      <c r="K114" s="443"/>
      <c r="L114" s="443"/>
      <c r="M114" s="443"/>
      <c r="N114" s="443"/>
      <c r="O114" s="443"/>
      <c r="P114" s="443"/>
      <c r="Q114" s="443"/>
      <c r="R114" s="723"/>
      <c r="S114" s="64" t="s">
        <v>28</v>
      </c>
      <c r="T114" s="692" t="s">
        <v>28</v>
      </c>
      <c r="U114" s="790" t="s">
        <v>28</v>
      </c>
      <c r="W114" s="6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808"/>
      <c r="AJ114" s="808"/>
      <c r="AK114" s="808"/>
      <c r="AL114" s="808"/>
      <c r="AM114" s="808"/>
      <c r="AN114" s="808"/>
      <c r="AO114" s="808"/>
      <c r="AP114" s="808"/>
      <c r="AQ114" s="808"/>
      <c r="AR114" s="808"/>
      <c r="AW114" s="1"/>
      <c r="BF114" s="143"/>
      <c r="BG114" s="143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CJ114" s="143"/>
      <c r="CZ114" s="1"/>
      <c r="DR114" s="5"/>
      <c r="DS114" s="143"/>
      <c r="DT114" s="143"/>
      <c r="DU114" s="143"/>
      <c r="DV114" s="143"/>
      <c r="FY114" s="143"/>
      <c r="JT114" s="143"/>
      <c r="JU114" s="143"/>
      <c r="JV114" s="143"/>
      <c r="JW114" s="143"/>
      <c r="PA114" s="143"/>
      <c r="PB114" s="143"/>
      <c r="PD114" s="143"/>
      <c r="PR114" s="146"/>
      <c r="PV114" s="143"/>
      <c r="RY114" s="146"/>
      <c r="AHH114" s="142"/>
      <c r="AIW114" s="142"/>
      <c r="AIX114" s="142"/>
      <c r="AIY114" s="142"/>
    </row>
    <row r="115" spans="2:935" hidden="1" x14ac:dyDescent="0.25">
      <c r="B115" s="735"/>
      <c r="C115" s="440" t="s">
        <v>45</v>
      </c>
      <c r="D115" s="480"/>
      <c r="E115" s="500" t="s">
        <v>28</v>
      </c>
      <c r="F115" s="443">
        <f>F112*12</f>
        <v>89268</v>
      </c>
      <c r="G115" s="443">
        <f>G112*12</f>
        <v>0</v>
      </c>
      <c r="H115" s="443">
        <f>H112*12</f>
        <v>0</v>
      </c>
      <c r="I115" s="443">
        <f>I112*12</f>
        <v>0</v>
      </c>
      <c r="J115" s="443">
        <f t="shared" ref="J115:Q115" si="53">J112*12</f>
        <v>0</v>
      </c>
      <c r="K115" s="443">
        <f t="shared" si="53"/>
        <v>0</v>
      </c>
      <c r="L115" s="443">
        <f t="shared" si="53"/>
        <v>0</v>
      </c>
      <c r="M115" s="443">
        <f t="shared" si="53"/>
        <v>0</v>
      </c>
      <c r="N115" s="443">
        <f t="shared" si="53"/>
        <v>0</v>
      </c>
      <c r="O115" s="443" t="e">
        <f t="shared" ref="O115" si="54">O112*12</f>
        <v>#REF!</v>
      </c>
      <c r="P115" s="443">
        <f>P112*12</f>
        <v>0</v>
      </c>
      <c r="Q115" s="443">
        <f t="shared" si="53"/>
        <v>0</v>
      </c>
      <c r="R115" s="723"/>
      <c r="S115" s="55" t="e">
        <f>S112*12</f>
        <v>#REF!</v>
      </c>
      <c r="T115" s="670">
        <f>T112*12</f>
        <v>18224388</v>
      </c>
      <c r="U115" s="791" t="e">
        <f>U112*12</f>
        <v>#REF!</v>
      </c>
      <c r="W115" s="6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808"/>
      <c r="AJ115" s="808"/>
      <c r="AK115" s="808"/>
      <c r="AL115" s="808"/>
      <c r="AM115" s="808"/>
      <c r="AN115" s="808"/>
      <c r="AO115" s="808"/>
      <c r="AP115" s="808"/>
      <c r="AQ115" s="808"/>
      <c r="AR115" s="808"/>
      <c r="AW115" s="1"/>
      <c r="BF115" s="143"/>
      <c r="BG115" s="143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CJ115" s="143"/>
      <c r="CZ115" s="1"/>
      <c r="DR115" s="5"/>
      <c r="DS115" s="143"/>
      <c r="DT115" s="143"/>
      <c r="DU115" s="143"/>
      <c r="DV115" s="143"/>
      <c r="FY115" s="143"/>
      <c r="JT115" s="143"/>
      <c r="JU115" s="143"/>
      <c r="JV115" s="143"/>
      <c r="JW115" s="143"/>
      <c r="PA115" s="143"/>
      <c r="PB115" s="143"/>
      <c r="PD115" s="143"/>
      <c r="PR115" s="146"/>
      <c r="PV115" s="143"/>
      <c r="RY115" s="146"/>
      <c r="AHH115" s="142"/>
      <c r="AIW115" s="142"/>
      <c r="AIX115" s="142"/>
      <c r="AIY115" s="142"/>
    </row>
    <row r="116" spans="2:935" hidden="1" x14ac:dyDescent="0.25">
      <c r="B116" s="735"/>
      <c r="C116" s="440" t="s">
        <v>44</v>
      </c>
      <c r="D116" s="480"/>
      <c r="E116" s="500" t="s">
        <v>28</v>
      </c>
      <c r="F116" s="443">
        <f>F113*6</f>
        <v>211410</v>
      </c>
      <c r="G116" s="443">
        <f>G113*6</f>
        <v>0</v>
      </c>
      <c r="H116" s="443">
        <f>H113*6</f>
        <v>0</v>
      </c>
      <c r="I116" s="443">
        <f>I113*6</f>
        <v>0</v>
      </c>
      <c r="J116" s="443">
        <f t="shared" ref="J116:Q116" si="55">J113*6</f>
        <v>0</v>
      </c>
      <c r="K116" s="443">
        <f t="shared" si="55"/>
        <v>0</v>
      </c>
      <c r="L116" s="443">
        <f t="shared" si="55"/>
        <v>0</v>
      </c>
      <c r="M116" s="443">
        <f t="shared" si="55"/>
        <v>0</v>
      </c>
      <c r="N116" s="443">
        <f t="shared" si="55"/>
        <v>0</v>
      </c>
      <c r="O116" s="443" t="e">
        <f t="shared" ref="O116" si="56">O113*6</f>
        <v>#REF!</v>
      </c>
      <c r="P116" s="443">
        <f t="shared" si="55"/>
        <v>0</v>
      </c>
      <c r="Q116" s="443">
        <f t="shared" si="55"/>
        <v>0</v>
      </c>
      <c r="R116" s="723"/>
      <c r="S116" s="55" t="e">
        <f>S113*6</f>
        <v>#REF!</v>
      </c>
      <c r="T116" s="670">
        <f>T113*6</f>
        <v>12677832</v>
      </c>
      <c r="U116" s="791" t="e">
        <f>U113*6</f>
        <v>#REF!</v>
      </c>
      <c r="W116" s="6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808"/>
      <c r="AJ116" s="808"/>
      <c r="AK116" s="808"/>
      <c r="AL116" s="808"/>
      <c r="AM116" s="808"/>
      <c r="AN116" s="808"/>
      <c r="AO116" s="808"/>
      <c r="AP116" s="808"/>
      <c r="AQ116" s="808"/>
      <c r="AR116" s="808"/>
      <c r="AW116" s="1"/>
      <c r="BF116" s="143"/>
      <c r="BG116" s="143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CJ116" s="143"/>
      <c r="CZ116" s="1"/>
      <c r="DR116" s="5"/>
      <c r="DS116" s="143"/>
      <c r="DT116" s="143"/>
      <c r="DU116" s="143"/>
      <c r="DV116" s="143"/>
      <c r="FY116" s="143"/>
      <c r="JT116" s="143"/>
      <c r="JU116" s="143"/>
      <c r="JV116" s="143"/>
      <c r="JW116" s="143"/>
      <c r="PA116" s="143"/>
      <c r="PB116" s="143"/>
      <c r="PD116" s="143"/>
      <c r="PR116" s="146"/>
      <c r="PV116" s="143"/>
      <c r="RY116" s="146"/>
      <c r="AHH116" s="142"/>
      <c r="AIW116" s="142"/>
      <c r="AIX116" s="142"/>
      <c r="AIY116" s="142"/>
    </row>
    <row r="117" spans="2:935" hidden="1" x14ac:dyDescent="0.25">
      <c r="B117" s="735"/>
      <c r="C117" s="573" t="s">
        <v>36</v>
      </c>
      <c r="D117" s="480"/>
      <c r="E117" s="500" t="s">
        <v>35</v>
      </c>
      <c r="F117" s="443">
        <f>(F107*45)/1700</f>
        <v>12222.107999999998</v>
      </c>
      <c r="G117" s="443" t="e">
        <f>(G107*45)/1700</f>
        <v>#REF!</v>
      </c>
      <c r="H117" s="443">
        <f>(H107*45)/1700</f>
        <v>0</v>
      </c>
      <c r="I117" s="579">
        <f>(I107*45)/1700</f>
        <v>0</v>
      </c>
      <c r="J117" s="579">
        <f t="shared" ref="J117:Q117" si="57">(J107*45)/1700</f>
        <v>0</v>
      </c>
      <c r="K117" s="579">
        <f t="shared" si="57"/>
        <v>0</v>
      </c>
      <c r="L117" s="579">
        <f t="shared" si="57"/>
        <v>0</v>
      </c>
      <c r="M117" s="579">
        <f t="shared" si="57"/>
        <v>0</v>
      </c>
      <c r="N117" s="579">
        <f t="shared" si="57"/>
        <v>0</v>
      </c>
      <c r="O117" s="579" t="e">
        <f t="shared" ref="O117" si="58">(O107*45)/1700</f>
        <v>#REF!</v>
      </c>
      <c r="P117" s="579">
        <f>(P107*45)/1700</f>
        <v>0</v>
      </c>
      <c r="Q117" s="579">
        <f t="shared" si="57"/>
        <v>0</v>
      </c>
      <c r="R117" s="723"/>
      <c r="S117" s="588" t="e">
        <f t="shared" ref="S117:U118" si="59">SUM(F117:Q117)</f>
        <v>#REF!</v>
      </c>
      <c r="T117" s="694" t="e">
        <f t="shared" si="59"/>
        <v>#REF!</v>
      </c>
      <c r="U117" s="793" t="e">
        <f>SUM(H117:S117)</f>
        <v>#REF!</v>
      </c>
      <c r="W117" s="6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808"/>
      <c r="AJ117" s="808"/>
      <c r="AK117" s="808"/>
      <c r="AL117" s="808"/>
      <c r="AM117" s="808"/>
      <c r="AN117" s="808"/>
      <c r="AO117" s="808"/>
      <c r="AP117" s="808"/>
      <c r="AQ117" s="808"/>
      <c r="AR117" s="808"/>
      <c r="AW117" s="1"/>
      <c r="BF117" s="143"/>
      <c r="BG117" s="143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CJ117" s="143"/>
      <c r="CZ117" s="1"/>
      <c r="DR117" s="5"/>
      <c r="DS117" s="143"/>
      <c r="DT117" s="143"/>
      <c r="DU117" s="143"/>
      <c r="DV117" s="143"/>
      <c r="FY117" s="143"/>
      <c r="JT117" s="143"/>
      <c r="JU117" s="143"/>
      <c r="JV117" s="143"/>
      <c r="JW117" s="143"/>
      <c r="PA117" s="143"/>
      <c r="PB117" s="143"/>
      <c r="PD117" s="143"/>
      <c r="PR117" s="146"/>
      <c r="PV117" s="143"/>
      <c r="RY117" s="146"/>
      <c r="AHH117" s="142"/>
      <c r="AIW117" s="142"/>
      <c r="AIX117" s="142"/>
      <c r="AIY117" s="142"/>
    </row>
    <row r="118" spans="2:935" hidden="1" x14ac:dyDescent="0.25">
      <c r="B118" s="735"/>
      <c r="C118" s="573" t="s">
        <v>34</v>
      </c>
      <c r="D118" s="480"/>
      <c r="E118" s="500" t="s">
        <v>33</v>
      </c>
      <c r="F118" s="443">
        <f>SUM(F112:F113)/500</f>
        <v>85.347999999999999</v>
      </c>
      <c r="G118" s="443">
        <f>SUM(G112:G113)/500</f>
        <v>0</v>
      </c>
      <c r="H118" s="443">
        <f>SUM(H112:H113)/500</f>
        <v>0</v>
      </c>
      <c r="I118" s="443">
        <f>SUM(I112:I113)/500</f>
        <v>0</v>
      </c>
      <c r="J118" s="443">
        <f t="shared" ref="J118:Q118" si="60">SUM(J112:J113)/500</f>
        <v>0</v>
      </c>
      <c r="K118" s="443">
        <f>SUM(K112:K113)/500</f>
        <v>0</v>
      </c>
      <c r="L118" s="443">
        <f>SUM(L112:L113)/500</f>
        <v>0</v>
      </c>
      <c r="M118" s="443">
        <f>SUM(M112:M113)/500</f>
        <v>0</v>
      </c>
      <c r="N118" s="443">
        <f t="shared" ref="N118" si="61">SUM(N112:N113)/500</f>
        <v>0</v>
      </c>
      <c r="O118" s="443" t="e">
        <f t="shared" ref="O118" si="62">SUM(O112:O113)/500</f>
        <v>#REF!</v>
      </c>
      <c r="P118" s="443">
        <f t="shared" si="60"/>
        <v>0</v>
      </c>
      <c r="Q118" s="443">
        <f t="shared" si="60"/>
        <v>0</v>
      </c>
      <c r="R118" s="723"/>
      <c r="S118" s="588" t="e">
        <f t="shared" si="59"/>
        <v>#REF!</v>
      </c>
      <c r="T118" s="694" t="e">
        <f t="shared" si="59"/>
        <v>#REF!</v>
      </c>
      <c r="U118" s="793" t="e">
        <f t="shared" si="59"/>
        <v>#REF!</v>
      </c>
      <c r="W118" s="6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808"/>
      <c r="AJ118" s="808"/>
      <c r="AK118" s="808"/>
      <c r="AL118" s="808"/>
      <c r="AM118" s="808"/>
      <c r="AN118" s="808"/>
      <c r="AO118" s="808"/>
      <c r="AP118" s="808"/>
      <c r="AQ118" s="808"/>
      <c r="AR118" s="808"/>
      <c r="AW118" s="1"/>
      <c r="BF118" s="143"/>
      <c r="BG118" s="143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CJ118" s="143"/>
      <c r="CZ118" s="1"/>
      <c r="DR118" s="5"/>
      <c r="DS118" s="143"/>
      <c r="DT118" s="143"/>
      <c r="DU118" s="143"/>
      <c r="DV118" s="143"/>
      <c r="FY118" s="143"/>
      <c r="JT118" s="143"/>
      <c r="JU118" s="143"/>
      <c r="JV118" s="143"/>
      <c r="JW118" s="143"/>
      <c r="PA118" s="143"/>
      <c r="PB118" s="143"/>
      <c r="PD118" s="143"/>
      <c r="PR118" s="146"/>
      <c r="PV118" s="143"/>
      <c r="RY118" s="146"/>
      <c r="AHH118" s="142"/>
      <c r="AIW118" s="142"/>
      <c r="AIX118" s="142"/>
      <c r="AIY118" s="142"/>
    </row>
    <row r="119" spans="2:935" hidden="1" x14ac:dyDescent="0.25">
      <c r="B119" s="732"/>
      <c r="C119" s="423" t="s">
        <v>32</v>
      </c>
      <c r="D119" s="48"/>
      <c r="E119" s="48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3"/>
      <c r="S119" s="526" t="s">
        <v>132</v>
      </c>
      <c r="T119" s="681" t="s">
        <v>132</v>
      </c>
      <c r="U119" s="781" t="s">
        <v>132</v>
      </c>
      <c r="W119" s="6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808"/>
      <c r="AJ119" s="808"/>
      <c r="AK119" s="808"/>
      <c r="AL119" s="808"/>
      <c r="AM119" s="808"/>
      <c r="AN119" s="808"/>
      <c r="AO119" s="808"/>
      <c r="AP119" s="808"/>
      <c r="AQ119" s="808"/>
      <c r="AR119" s="808"/>
      <c r="AW119" s="1"/>
      <c r="BF119" s="142"/>
      <c r="BG119" s="142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CJ119" s="142"/>
      <c r="CZ119" s="1"/>
      <c r="DR119" s="5"/>
      <c r="DS119" s="142"/>
      <c r="DT119" s="142"/>
      <c r="DU119" s="142"/>
      <c r="DV119" s="142"/>
      <c r="FY119" s="142"/>
      <c r="JT119" s="142"/>
      <c r="JU119" s="142"/>
      <c r="JV119" s="142"/>
      <c r="JW119" s="142"/>
      <c r="PA119" s="142"/>
      <c r="PB119" s="142"/>
      <c r="PD119" s="142"/>
      <c r="PR119" s="485"/>
      <c r="PV119" s="142"/>
      <c r="RY119" s="485"/>
      <c r="AHH119" s="142"/>
      <c r="AIW119" s="142"/>
      <c r="AIX119" s="142"/>
      <c r="AIY119" s="142"/>
    </row>
    <row r="120" spans="2:935" hidden="1" x14ac:dyDescent="0.25">
      <c r="B120" s="735"/>
      <c r="C120" s="573" t="s">
        <v>29</v>
      </c>
      <c r="D120" s="480"/>
      <c r="E120" s="468"/>
      <c r="F120" s="443"/>
      <c r="G120" s="443"/>
      <c r="H120" s="443"/>
      <c r="I120" s="443"/>
      <c r="J120" s="443"/>
      <c r="K120" s="443"/>
      <c r="L120" s="443"/>
      <c r="M120" s="443"/>
      <c r="N120" s="443"/>
      <c r="O120" s="443"/>
      <c r="P120" s="443"/>
      <c r="Q120" s="443"/>
      <c r="R120" s="723"/>
      <c r="S120" s="64" t="s">
        <v>29</v>
      </c>
      <c r="T120" s="692" t="s">
        <v>29</v>
      </c>
      <c r="U120" s="790" t="s">
        <v>29</v>
      </c>
      <c r="W120" s="6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Q120" s="63"/>
      <c r="AW120" s="1"/>
      <c r="BF120" s="143"/>
      <c r="BG120" s="143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CJ120" s="143"/>
      <c r="CZ120" s="1"/>
      <c r="DR120" s="5"/>
      <c r="DS120" s="143"/>
      <c r="DT120" s="143"/>
      <c r="DU120" s="143"/>
      <c r="DV120" s="143"/>
      <c r="FY120" s="143"/>
      <c r="JT120" s="143"/>
      <c r="JU120" s="143"/>
      <c r="JV120" s="143"/>
      <c r="JW120" s="143"/>
      <c r="PA120" s="143"/>
      <c r="PB120" s="143"/>
      <c r="PD120" s="143"/>
      <c r="PR120" s="146"/>
      <c r="PV120" s="143"/>
      <c r="RY120" s="146"/>
      <c r="AHH120" s="142"/>
      <c r="AIW120" s="142"/>
      <c r="AIX120" s="142"/>
      <c r="AIY120" s="142"/>
    </row>
    <row r="121" spans="2:935" hidden="1" x14ac:dyDescent="0.25">
      <c r="B121" s="735"/>
      <c r="C121" s="440" t="s">
        <v>45</v>
      </c>
      <c r="D121" s="480"/>
      <c r="E121" s="500" t="s">
        <v>31</v>
      </c>
      <c r="F121" s="33">
        <f>'[24]Januari 24'!AL104</f>
        <v>89268</v>
      </c>
      <c r="G121" s="33">
        <f>'[24]Februari 24'!AI110</f>
        <v>0</v>
      </c>
      <c r="H121" s="33">
        <f>'[24]Maret 24'!AL101</f>
        <v>0</v>
      </c>
      <c r="I121" s="33">
        <f>'[24]April 24'!AL101</f>
        <v>0</v>
      </c>
      <c r="J121" s="33">
        <f>'[24]Mei 24'!AL110</f>
        <v>0</v>
      </c>
      <c r="K121" s="33">
        <f>'[24]Juny 24'!AL110</f>
        <v>0</v>
      </c>
      <c r="L121" s="33">
        <f>'[24]July 24'!AL110</f>
        <v>0</v>
      </c>
      <c r="M121" s="33">
        <f>'[24]Agustus 24'!AL83</f>
        <v>0</v>
      </c>
      <c r="N121" s="33">
        <f>'[24]September 24'!AL110</f>
        <v>0</v>
      </c>
      <c r="O121" s="33" t="e">
        <f>'[24]September 24'!AM110</f>
        <v>#REF!</v>
      </c>
      <c r="P121" s="33">
        <f>'[24]November 24'!AL110</f>
        <v>0</v>
      </c>
      <c r="Q121" s="33">
        <f>'[24]Desember 24'!AL110</f>
        <v>0</v>
      </c>
      <c r="R121" s="723"/>
      <c r="S121" s="55" t="e">
        <f t="shared" ref="S121:U122" si="63">SUM(F121:Q121)</f>
        <v>#REF!</v>
      </c>
      <c r="T121" s="670" t="e">
        <f t="shared" si="63"/>
        <v>#REF!</v>
      </c>
      <c r="U121" s="791" t="e">
        <f t="shared" si="63"/>
        <v>#REF!</v>
      </c>
      <c r="W121" s="6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Q121" s="63"/>
      <c r="AW121" s="1"/>
      <c r="BF121" s="143"/>
      <c r="BG121" s="143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CJ121" s="143"/>
      <c r="CZ121" s="1"/>
      <c r="DR121" s="5"/>
      <c r="DS121" s="143"/>
      <c r="DT121" s="143"/>
      <c r="DU121" s="143"/>
      <c r="DV121" s="143"/>
      <c r="FY121" s="143"/>
      <c r="JT121" s="143"/>
      <c r="JU121" s="143"/>
      <c r="JV121" s="143"/>
      <c r="JW121" s="143"/>
      <c r="PA121" s="143"/>
      <c r="PB121" s="143"/>
      <c r="PD121" s="143"/>
      <c r="PR121" s="146"/>
      <c r="PV121" s="143"/>
      <c r="RY121" s="146"/>
      <c r="AHH121" s="142"/>
      <c r="AIW121" s="142"/>
      <c r="AIX121" s="142"/>
      <c r="AIY121" s="142"/>
    </row>
    <row r="122" spans="2:935" hidden="1" x14ac:dyDescent="0.25">
      <c r="B122" s="735"/>
      <c r="C122" s="440" t="s">
        <v>44</v>
      </c>
      <c r="D122" s="480"/>
      <c r="E122" s="500" t="s">
        <v>31</v>
      </c>
      <c r="F122" s="33">
        <f>'[24]Januari 24'!AL105</f>
        <v>211410</v>
      </c>
      <c r="G122" s="33">
        <f>'[24]Februari 24'!AI111</f>
        <v>0</v>
      </c>
      <c r="H122" s="33">
        <f>'[24]Maret 24'!AL102</f>
        <v>0</v>
      </c>
      <c r="I122" s="33">
        <f>'[24]April 24'!AL102</f>
        <v>0</v>
      </c>
      <c r="J122" s="33">
        <f>'[24]Mei 24'!AL111</f>
        <v>0</v>
      </c>
      <c r="K122" s="33">
        <f>'[24]Juny 24'!AL111</f>
        <v>0</v>
      </c>
      <c r="L122" s="33">
        <f>'[24]July 24'!AL111</f>
        <v>0</v>
      </c>
      <c r="M122" s="33">
        <f>'[24]Agustus 24'!AL84</f>
        <v>0</v>
      </c>
      <c r="N122" s="33">
        <f>'[24]September 24'!AL111</f>
        <v>0</v>
      </c>
      <c r="O122" s="33" t="e">
        <f>'[24]September 24'!AM111</f>
        <v>#REF!</v>
      </c>
      <c r="P122" s="33">
        <f>'[24]November 24'!AL111</f>
        <v>0</v>
      </c>
      <c r="Q122" s="33">
        <f>'[24]Desember 24'!AL111</f>
        <v>0</v>
      </c>
      <c r="R122" s="723"/>
      <c r="S122" s="55" t="e">
        <f t="shared" si="63"/>
        <v>#REF!</v>
      </c>
      <c r="T122" s="670" t="e">
        <f t="shared" si="63"/>
        <v>#REF!</v>
      </c>
      <c r="U122" s="791" t="e">
        <f t="shared" si="63"/>
        <v>#REF!</v>
      </c>
      <c r="W122" s="6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Q122" s="63"/>
      <c r="AW122" s="1"/>
      <c r="BF122" s="143"/>
      <c r="BG122" s="143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CJ122" s="143"/>
      <c r="CZ122" s="1"/>
      <c r="DR122" s="5"/>
      <c r="DS122" s="143"/>
      <c r="DT122" s="143"/>
      <c r="DU122" s="143"/>
      <c r="DV122" s="143"/>
      <c r="FY122" s="143"/>
      <c r="JT122" s="143"/>
      <c r="JU122" s="143"/>
      <c r="JV122" s="143"/>
      <c r="JW122" s="143"/>
      <c r="PA122" s="143"/>
      <c r="PB122" s="143"/>
      <c r="PD122" s="143"/>
      <c r="PR122" s="146"/>
      <c r="PV122" s="143"/>
      <c r="RY122" s="146"/>
      <c r="AHH122" s="142"/>
      <c r="AIW122" s="142"/>
      <c r="AIX122" s="142"/>
      <c r="AIY122" s="142"/>
    </row>
    <row r="123" spans="2:935" hidden="1" x14ac:dyDescent="0.25">
      <c r="B123" s="735"/>
      <c r="C123" s="573" t="s">
        <v>28</v>
      </c>
      <c r="D123" s="480"/>
      <c r="E123" s="468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723"/>
      <c r="S123" s="64" t="s">
        <v>28</v>
      </c>
      <c r="T123" s="692" t="s">
        <v>28</v>
      </c>
      <c r="U123" s="790" t="s">
        <v>28</v>
      </c>
      <c r="W123" s="6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Q123" s="63"/>
      <c r="AW123" s="1"/>
      <c r="BF123" s="143"/>
      <c r="BG123" s="143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CJ123" s="143"/>
      <c r="CZ123" s="1"/>
      <c r="DR123" s="5"/>
      <c r="DS123" s="143"/>
      <c r="DT123" s="143"/>
      <c r="DU123" s="143"/>
      <c r="DV123" s="143"/>
      <c r="FY123" s="143"/>
      <c r="JT123" s="143"/>
      <c r="JU123" s="143"/>
      <c r="JV123" s="143"/>
      <c r="JW123" s="143"/>
      <c r="PA123" s="143"/>
      <c r="PB123" s="143"/>
      <c r="PD123" s="143"/>
      <c r="PR123" s="146"/>
      <c r="PV123" s="143"/>
      <c r="RY123" s="146"/>
      <c r="AHH123" s="142"/>
      <c r="AIW123" s="142"/>
      <c r="AIX123" s="142"/>
      <c r="AIY123" s="142"/>
    </row>
    <row r="124" spans="2:935" hidden="1" x14ac:dyDescent="0.25">
      <c r="B124" s="735"/>
      <c r="C124" s="440" t="s">
        <v>45</v>
      </c>
      <c r="D124" s="480"/>
      <c r="E124" s="500" t="s">
        <v>28</v>
      </c>
      <c r="F124" s="581">
        <f>F121*12</f>
        <v>1071216</v>
      </c>
      <c r="G124" s="581">
        <f t="shared" ref="G124" si="64">G121*12</f>
        <v>0</v>
      </c>
      <c r="H124" s="581">
        <f t="shared" ref="H124:Q125" si="65">H121*12</f>
        <v>0</v>
      </c>
      <c r="I124" s="581" t="e">
        <f>'[24]April 24'!AK114</f>
        <v>#REF!</v>
      </c>
      <c r="J124" s="581">
        <f t="shared" si="65"/>
        <v>0</v>
      </c>
      <c r="K124" s="581">
        <f t="shared" si="65"/>
        <v>0</v>
      </c>
      <c r="L124" s="581">
        <f t="shared" si="65"/>
        <v>0</v>
      </c>
      <c r="M124" s="581">
        <f t="shared" si="65"/>
        <v>0</v>
      </c>
      <c r="N124" s="581">
        <f t="shared" si="65"/>
        <v>0</v>
      </c>
      <c r="O124" s="581" t="e">
        <f t="shared" ref="O124" si="66">O121*12</f>
        <v>#REF!</v>
      </c>
      <c r="P124" s="581">
        <f t="shared" si="65"/>
        <v>0</v>
      </c>
      <c r="Q124" s="581">
        <f t="shared" si="65"/>
        <v>0</v>
      </c>
      <c r="R124" s="723"/>
      <c r="S124" s="55" t="e">
        <f t="shared" ref="S124:U125" si="67">SUM(F124:Q124)</f>
        <v>#REF!</v>
      </c>
      <c r="T124" s="670" t="e">
        <f t="shared" si="67"/>
        <v>#REF!</v>
      </c>
      <c r="U124" s="791" t="e">
        <f t="shared" si="67"/>
        <v>#REF!</v>
      </c>
      <c r="W124" s="6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Q124" s="63"/>
      <c r="AW124" s="1"/>
      <c r="BF124" s="143"/>
      <c r="BG124" s="143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CJ124" s="143"/>
      <c r="CZ124" s="1"/>
      <c r="DR124" s="5"/>
      <c r="DS124" s="143"/>
      <c r="DT124" s="143"/>
      <c r="DU124" s="143"/>
      <c r="DV124" s="143"/>
      <c r="FY124" s="143"/>
      <c r="JT124" s="143"/>
      <c r="JU124" s="143"/>
      <c r="JV124" s="143"/>
      <c r="JW124" s="143"/>
      <c r="PA124" s="143"/>
      <c r="PB124" s="143"/>
      <c r="PD124" s="143"/>
      <c r="PR124" s="146"/>
      <c r="PV124" s="143"/>
      <c r="RY124" s="146"/>
      <c r="AHH124" s="142"/>
      <c r="AIW124" s="142"/>
      <c r="AIX124" s="142"/>
      <c r="AIY124" s="142"/>
    </row>
    <row r="125" spans="2:935" hidden="1" x14ac:dyDescent="0.25">
      <c r="B125" s="735"/>
      <c r="C125" s="440" t="s">
        <v>44</v>
      </c>
      <c r="D125" s="480"/>
      <c r="E125" s="500" t="s">
        <v>28</v>
      </c>
      <c r="F125" s="581">
        <f>F122*6</f>
        <v>1268460</v>
      </c>
      <c r="G125" s="581">
        <f>G122*6</f>
        <v>0</v>
      </c>
      <c r="H125" s="581">
        <f>H122*6</f>
        <v>0</v>
      </c>
      <c r="I125" s="581" t="e">
        <f>'[24]April 24'!AK115</f>
        <v>#REF!</v>
      </c>
      <c r="J125" s="581">
        <f t="shared" si="65"/>
        <v>0</v>
      </c>
      <c r="K125" s="581">
        <f t="shared" si="65"/>
        <v>0</v>
      </c>
      <c r="L125" s="581">
        <f t="shared" si="65"/>
        <v>0</v>
      </c>
      <c r="M125" s="581">
        <f t="shared" si="65"/>
        <v>0</v>
      </c>
      <c r="N125" s="581">
        <f t="shared" si="65"/>
        <v>0</v>
      </c>
      <c r="O125" s="581" t="e">
        <f t="shared" ref="O125" si="68">O122*12</f>
        <v>#REF!</v>
      </c>
      <c r="P125" s="581">
        <f t="shared" si="65"/>
        <v>0</v>
      </c>
      <c r="Q125" s="581">
        <f t="shared" si="65"/>
        <v>0</v>
      </c>
      <c r="R125" s="723"/>
      <c r="S125" s="55" t="e">
        <f t="shared" si="67"/>
        <v>#REF!</v>
      </c>
      <c r="T125" s="670" t="e">
        <f t="shared" si="67"/>
        <v>#REF!</v>
      </c>
      <c r="U125" s="791" t="e">
        <f t="shared" si="67"/>
        <v>#REF!</v>
      </c>
      <c r="W125" s="6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Q125" s="63"/>
      <c r="AW125" s="1"/>
      <c r="BF125" s="143"/>
      <c r="BG125" s="143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CJ125" s="143"/>
      <c r="CZ125" s="1"/>
      <c r="DR125" s="5"/>
      <c r="DS125" s="143"/>
      <c r="DT125" s="143"/>
      <c r="DU125" s="143"/>
      <c r="DV125" s="143"/>
      <c r="FY125" s="143"/>
      <c r="JT125" s="143"/>
      <c r="JU125" s="143"/>
      <c r="JV125" s="143"/>
      <c r="JW125" s="143"/>
      <c r="PA125" s="143"/>
      <c r="PB125" s="143"/>
      <c r="PD125" s="143"/>
      <c r="PR125" s="146"/>
      <c r="PV125" s="143"/>
      <c r="RY125" s="146"/>
      <c r="AHH125" s="142"/>
      <c r="AIW125" s="142"/>
      <c r="AIX125" s="142"/>
      <c r="AIY125" s="142"/>
    </row>
    <row r="126" spans="2:935" hidden="1" x14ac:dyDescent="0.25">
      <c r="B126" s="732"/>
      <c r="C126" s="423" t="s">
        <v>30</v>
      </c>
      <c r="D126" s="48"/>
      <c r="E126" s="48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3"/>
      <c r="S126" s="526" t="s">
        <v>132</v>
      </c>
      <c r="T126" s="681" t="s">
        <v>132</v>
      </c>
      <c r="U126" s="781" t="s">
        <v>132</v>
      </c>
      <c r="W126" s="6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Q126" s="63"/>
      <c r="AW126" s="1"/>
      <c r="BF126" s="142"/>
      <c r="BG126" s="142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CJ126" s="142"/>
      <c r="CZ126" s="1"/>
      <c r="DR126" s="5"/>
      <c r="DS126" s="142"/>
      <c r="DT126" s="142"/>
      <c r="DU126" s="142"/>
      <c r="DV126" s="142"/>
      <c r="FY126" s="142"/>
      <c r="JT126" s="142"/>
      <c r="JU126" s="142"/>
      <c r="JV126" s="142"/>
      <c r="JW126" s="142"/>
      <c r="PA126" s="142"/>
      <c r="PB126" s="142"/>
      <c r="PD126" s="142"/>
      <c r="PR126" s="485"/>
      <c r="PV126" s="142"/>
      <c r="RY126" s="485"/>
      <c r="AHH126" s="142"/>
      <c r="AIW126" s="142"/>
      <c r="AIX126" s="142"/>
      <c r="AIY126" s="142"/>
    </row>
    <row r="127" spans="2:935" hidden="1" x14ac:dyDescent="0.25">
      <c r="B127" s="735"/>
      <c r="C127" s="573" t="s">
        <v>29</v>
      </c>
      <c r="D127" s="480"/>
      <c r="E127" s="468"/>
      <c r="F127" s="443"/>
      <c r="G127" s="443"/>
      <c r="H127" s="443"/>
      <c r="I127" s="443"/>
      <c r="J127" s="443"/>
      <c r="K127" s="443"/>
      <c r="L127" s="443"/>
      <c r="M127" s="443"/>
      <c r="N127" s="443"/>
      <c r="O127" s="443"/>
      <c r="P127" s="443"/>
      <c r="Q127" s="443"/>
      <c r="R127" s="723"/>
      <c r="S127" s="64" t="s">
        <v>29</v>
      </c>
      <c r="T127" s="692" t="s">
        <v>29</v>
      </c>
      <c r="U127" s="790" t="s">
        <v>29</v>
      </c>
      <c r="W127" s="6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Q127" s="63"/>
      <c r="AW127" s="1"/>
      <c r="BF127" s="143"/>
      <c r="BG127" s="143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CJ127" s="143"/>
      <c r="CZ127" s="1"/>
      <c r="DR127" s="5"/>
      <c r="DS127" s="143"/>
      <c r="DT127" s="143"/>
      <c r="DU127" s="143"/>
      <c r="DV127" s="143"/>
      <c r="FY127" s="143"/>
      <c r="JT127" s="143"/>
      <c r="JU127" s="143"/>
      <c r="JV127" s="143"/>
      <c r="JW127" s="143"/>
      <c r="PA127" s="143"/>
      <c r="PB127" s="143"/>
      <c r="PD127" s="143"/>
      <c r="PR127" s="146"/>
      <c r="PV127" s="143"/>
      <c r="RY127" s="146"/>
      <c r="AHH127" s="142"/>
      <c r="AIW127" s="142"/>
      <c r="AIX127" s="142"/>
      <c r="AIY127" s="142"/>
    </row>
    <row r="128" spans="2:935" hidden="1" x14ac:dyDescent="0.25">
      <c r="B128" s="735"/>
      <c r="C128" s="440" t="s">
        <v>45</v>
      </c>
      <c r="D128" s="467">
        <v>0.3</v>
      </c>
      <c r="E128" s="500" t="s">
        <v>25</v>
      </c>
      <c r="F128" s="444">
        <f>F121/F112*100</f>
        <v>1200</v>
      </c>
      <c r="G128" s="444" t="e">
        <f t="shared" ref="G128:G129" si="69">G121/G112*100</f>
        <v>#DIV/0!</v>
      </c>
      <c r="H128" s="444" t="e">
        <f>H121/H112*100</f>
        <v>#DIV/0!</v>
      </c>
      <c r="I128" s="444" t="e">
        <f t="shared" ref="I128:Q129" si="70">I121/I112*100</f>
        <v>#DIV/0!</v>
      </c>
      <c r="J128" s="444" t="e">
        <f>J121/J112*100</f>
        <v>#DIV/0!</v>
      </c>
      <c r="K128" s="444" t="e">
        <f t="shared" si="70"/>
        <v>#DIV/0!</v>
      </c>
      <c r="L128" s="444" t="e">
        <f>L121/L112*100</f>
        <v>#DIV/0!</v>
      </c>
      <c r="M128" s="444" t="e">
        <f t="shared" ref="M128:M129" si="71">M121/M112*100</f>
        <v>#DIV/0!</v>
      </c>
      <c r="N128" s="444" t="e">
        <f t="shared" si="70"/>
        <v>#DIV/0!</v>
      </c>
      <c r="O128" s="444" t="e">
        <f t="shared" ref="O128" si="72">O121/O112*100</f>
        <v>#REF!</v>
      </c>
      <c r="P128" s="444" t="e">
        <f t="shared" si="70"/>
        <v>#DIV/0!</v>
      </c>
      <c r="Q128" s="444" t="e">
        <f t="shared" si="70"/>
        <v>#DIV/0!</v>
      </c>
      <c r="R128" s="723"/>
      <c r="S128" s="59" t="e">
        <f t="shared" ref="S128:U129" si="73">S121/S112*100</f>
        <v>#REF!</v>
      </c>
      <c r="T128" s="673" t="e">
        <f t="shared" si="73"/>
        <v>#REF!</v>
      </c>
      <c r="U128" s="774" t="e">
        <f t="shared" si="73"/>
        <v>#REF!</v>
      </c>
      <c r="W128" s="6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Q128" s="63"/>
      <c r="AW128" s="1"/>
      <c r="BF128" s="143"/>
      <c r="BG128" s="143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CJ128" s="143"/>
      <c r="CZ128" s="1"/>
      <c r="DR128" s="5"/>
      <c r="DS128" s="143"/>
      <c r="DT128" s="143"/>
      <c r="DU128" s="143"/>
      <c r="DV128" s="143"/>
      <c r="FY128" s="143"/>
      <c r="JT128" s="143"/>
      <c r="JU128" s="143"/>
      <c r="JV128" s="143"/>
      <c r="JW128" s="143"/>
      <c r="PA128" s="143"/>
      <c r="PB128" s="143"/>
      <c r="PD128" s="143"/>
      <c r="PR128" s="146"/>
      <c r="PV128" s="143"/>
      <c r="RY128" s="146"/>
      <c r="AHH128" s="142"/>
      <c r="AIW128" s="142"/>
      <c r="AIX128" s="142"/>
      <c r="AIY128" s="142"/>
    </row>
    <row r="129" spans="2:935" hidden="1" x14ac:dyDescent="0.25">
      <c r="B129" s="735"/>
      <c r="C129" s="440" t="s">
        <v>44</v>
      </c>
      <c r="D129" s="467">
        <v>0.3</v>
      </c>
      <c r="E129" s="500" t="s">
        <v>25</v>
      </c>
      <c r="F129" s="444">
        <f t="shared" ref="F129" si="74">F122/F113*100</f>
        <v>600</v>
      </c>
      <c r="G129" s="444" t="e">
        <f t="shared" si="69"/>
        <v>#DIV/0!</v>
      </c>
      <c r="H129" s="444" t="e">
        <f t="shared" ref="H129" si="75">H122/H113*100</f>
        <v>#DIV/0!</v>
      </c>
      <c r="I129" s="444" t="e">
        <f t="shared" si="70"/>
        <v>#DIV/0!</v>
      </c>
      <c r="J129" s="444" t="e">
        <f>J122/J113*100</f>
        <v>#DIV/0!</v>
      </c>
      <c r="K129" s="444" t="e">
        <f t="shared" si="70"/>
        <v>#DIV/0!</v>
      </c>
      <c r="L129" s="444" t="e">
        <f>L122/L113*100</f>
        <v>#DIV/0!</v>
      </c>
      <c r="M129" s="444" t="e">
        <f t="shared" si="71"/>
        <v>#DIV/0!</v>
      </c>
      <c r="N129" s="444" t="e">
        <f t="shared" si="70"/>
        <v>#DIV/0!</v>
      </c>
      <c r="O129" s="444" t="e">
        <f t="shared" ref="O129" si="76">O122/O113*100</f>
        <v>#REF!</v>
      </c>
      <c r="P129" s="444" t="e">
        <f t="shared" si="70"/>
        <v>#DIV/0!</v>
      </c>
      <c r="Q129" s="444" t="e">
        <f t="shared" si="70"/>
        <v>#DIV/0!</v>
      </c>
      <c r="R129" s="723"/>
      <c r="S129" s="59" t="e">
        <f t="shared" si="73"/>
        <v>#REF!</v>
      </c>
      <c r="T129" s="673" t="e">
        <f t="shared" si="73"/>
        <v>#REF!</v>
      </c>
      <c r="U129" s="774" t="e">
        <f t="shared" si="73"/>
        <v>#REF!</v>
      </c>
      <c r="W129" s="6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Q129" s="63"/>
      <c r="AW129" s="1"/>
      <c r="BF129" s="143"/>
      <c r="BG129" s="143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CJ129" s="143"/>
      <c r="CZ129" s="1"/>
      <c r="DR129" s="5"/>
      <c r="DS129" s="143"/>
      <c r="DT129" s="143"/>
      <c r="DU129" s="143"/>
      <c r="DV129" s="143"/>
      <c r="FY129" s="143"/>
      <c r="JT129" s="143"/>
      <c r="JU129" s="143"/>
      <c r="JV129" s="143"/>
      <c r="JW129" s="143"/>
      <c r="PA129" s="143"/>
      <c r="PB129" s="143"/>
      <c r="PD129" s="143"/>
      <c r="PR129" s="146"/>
      <c r="PV129" s="143"/>
      <c r="RY129" s="146"/>
      <c r="AHH129" s="142"/>
      <c r="AIW129" s="142"/>
      <c r="AIX129" s="142"/>
      <c r="AIY129" s="142"/>
    </row>
    <row r="130" spans="2:935" hidden="1" x14ac:dyDescent="0.25">
      <c r="B130" s="735"/>
      <c r="C130" s="573" t="s">
        <v>28</v>
      </c>
      <c r="D130" s="467"/>
      <c r="E130" s="468"/>
      <c r="F130" s="444"/>
      <c r="G130" s="444"/>
      <c r="H130" s="444"/>
      <c r="I130" s="444"/>
      <c r="J130" s="444"/>
      <c r="K130" s="444"/>
      <c r="L130" s="444"/>
      <c r="M130" s="444"/>
      <c r="N130" s="444"/>
      <c r="O130" s="444"/>
      <c r="P130" s="444"/>
      <c r="Q130" s="444"/>
      <c r="R130" s="723"/>
      <c r="S130" s="64" t="s">
        <v>28</v>
      </c>
      <c r="T130" s="692" t="s">
        <v>28</v>
      </c>
      <c r="U130" s="790" t="s">
        <v>28</v>
      </c>
      <c r="W130" s="6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Q130" s="63"/>
      <c r="AW130" s="1"/>
      <c r="BF130" s="143"/>
      <c r="BG130" s="143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CJ130" s="143"/>
      <c r="CZ130" s="1"/>
      <c r="DR130" s="5"/>
      <c r="DS130" s="143"/>
      <c r="DT130" s="143"/>
      <c r="DU130" s="143"/>
      <c r="DV130" s="143"/>
      <c r="FY130" s="143"/>
      <c r="JT130" s="143"/>
      <c r="JU130" s="143"/>
      <c r="JV130" s="143"/>
      <c r="JW130" s="143"/>
      <c r="PA130" s="143"/>
      <c r="PB130" s="143"/>
      <c r="PD130" s="143"/>
      <c r="PR130" s="146"/>
      <c r="PV130" s="143"/>
      <c r="RY130" s="146"/>
      <c r="AHH130" s="142"/>
      <c r="AIW130" s="142"/>
      <c r="AIX130" s="142"/>
      <c r="AIY130" s="142"/>
    </row>
    <row r="131" spans="2:935" hidden="1" x14ac:dyDescent="0.25">
      <c r="B131" s="735"/>
      <c r="C131" s="440" t="s">
        <v>45</v>
      </c>
      <c r="D131" s="467">
        <v>0.5</v>
      </c>
      <c r="E131" s="500" t="s">
        <v>25</v>
      </c>
      <c r="F131" s="444">
        <f t="shared" ref="F131:F132" si="77">F124/F115*100</f>
        <v>1200</v>
      </c>
      <c r="G131" s="444" t="e">
        <f t="shared" ref="G131:Q132" si="78">G124/G115*100</f>
        <v>#DIV/0!</v>
      </c>
      <c r="H131" s="444" t="e">
        <f t="shared" si="78"/>
        <v>#DIV/0!</v>
      </c>
      <c r="I131" s="444" t="e">
        <f t="shared" si="78"/>
        <v>#REF!</v>
      </c>
      <c r="J131" s="444" t="e">
        <f t="shared" si="78"/>
        <v>#DIV/0!</v>
      </c>
      <c r="K131" s="444" t="e">
        <f t="shared" si="78"/>
        <v>#DIV/0!</v>
      </c>
      <c r="L131" s="444" t="e">
        <f t="shared" si="78"/>
        <v>#DIV/0!</v>
      </c>
      <c r="M131" s="444" t="e">
        <f t="shared" si="78"/>
        <v>#DIV/0!</v>
      </c>
      <c r="N131" s="444" t="e">
        <f t="shared" si="78"/>
        <v>#DIV/0!</v>
      </c>
      <c r="O131" s="444" t="e">
        <f t="shared" ref="O131" si="79">O124/O115*100</f>
        <v>#REF!</v>
      </c>
      <c r="P131" s="444" t="e">
        <f t="shared" si="78"/>
        <v>#DIV/0!</v>
      </c>
      <c r="Q131" s="444" t="e">
        <f t="shared" si="78"/>
        <v>#DIV/0!</v>
      </c>
      <c r="R131" s="723"/>
      <c r="S131" s="59" t="e">
        <f t="shared" ref="S131:U132" si="80">S124/S115*100</f>
        <v>#REF!</v>
      </c>
      <c r="T131" s="673" t="e">
        <f t="shared" si="80"/>
        <v>#REF!</v>
      </c>
      <c r="U131" s="774" t="e">
        <f t="shared" si="80"/>
        <v>#REF!</v>
      </c>
      <c r="W131" s="6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Q131" s="63"/>
      <c r="AW131" s="1"/>
      <c r="BF131" s="143"/>
      <c r="BG131" s="143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CJ131" s="143"/>
      <c r="CZ131" s="1"/>
      <c r="DR131" s="5"/>
      <c r="DS131" s="143"/>
      <c r="DT131" s="143"/>
      <c r="DU131" s="143"/>
      <c r="DV131" s="143"/>
      <c r="FY131" s="143"/>
      <c r="JT131" s="143"/>
      <c r="JU131" s="143"/>
      <c r="JV131" s="143"/>
      <c r="JW131" s="143"/>
      <c r="PA131" s="143"/>
      <c r="PB131" s="143"/>
      <c r="PD131" s="143"/>
      <c r="PR131" s="146"/>
      <c r="PV131" s="143"/>
      <c r="RY131" s="146"/>
      <c r="AHH131" s="142"/>
      <c r="AIW131" s="142"/>
      <c r="AIX131" s="142"/>
      <c r="AIY131" s="142"/>
    </row>
    <row r="132" spans="2:935" hidden="1" x14ac:dyDescent="0.25">
      <c r="B132" s="735"/>
      <c r="C132" s="440" t="s">
        <v>44</v>
      </c>
      <c r="D132" s="467">
        <v>0.5</v>
      </c>
      <c r="E132" s="500" t="s">
        <v>25</v>
      </c>
      <c r="F132" s="444">
        <f t="shared" si="77"/>
        <v>600</v>
      </c>
      <c r="G132" s="444" t="e">
        <f t="shared" si="78"/>
        <v>#DIV/0!</v>
      </c>
      <c r="H132" s="444" t="e">
        <f t="shared" si="78"/>
        <v>#DIV/0!</v>
      </c>
      <c r="I132" s="444" t="e">
        <f t="shared" si="78"/>
        <v>#REF!</v>
      </c>
      <c r="J132" s="444" t="e">
        <f t="shared" si="78"/>
        <v>#DIV/0!</v>
      </c>
      <c r="K132" s="444" t="e">
        <f t="shared" si="78"/>
        <v>#DIV/0!</v>
      </c>
      <c r="L132" s="444" t="e">
        <f t="shared" si="78"/>
        <v>#DIV/0!</v>
      </c>
      <c r="M132" s="444" t="e">
        <f t="shared" si="78"/>
        <v>#DIV/0!</v>
      </c>
      <c r="N132" s="444" t="e">
        <f t="shared" si="78"/>
        <v>#DIV/0!</v>
      </c>
      <c r="O132" s="444" t="e">
        <f t="shared" ref="O132" si="81">O125/O116*100</f>
        <v>#REF!</v>
      </c>
      <c r="P132" s="444" t="e">
        <f t="shared" si="78"/>
        <v>#DIV/0!</v>
      </c>
      <c r="Q132" s="444" t="e">
        <f t="shared" si="78"/>
        <v>#DIV/0!</v>
      </c>
      <c r="R132" s="723"/>
      <c r="S132" s="59" t="e">
        <f t="shared" si="80"/>
        <v>#REF!</v>
      </c>
      <c r="T132" s="673" t="e">
        <f t="shared" si="80"/>
        <v>#REF!</v>
      </c>
      <c r="U132" s="774" t="e">
        <f t="shared" si="80"/>
        <v>#REF!</v>
      </c>
      <c r="W132" s="6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Q132" s="63"/>
      <c r="AW132" s="1"/>
      <c r="BF132" s="143"/>
      <c r="BG132" s="143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CJ132" s="143"/>
      <c r="CZ132" s="1"/>
      <c r="DR132" s="5"/>
      <c r="DS132" s="143"/>
      <c r="DT132" s="143"/>
      <c r="DU132" s="143"/>
      <c r="DV132" s="143"/>
      <c r="FY132" s="143"/>
      <c r="JT132" s="143"/>
      <c r="JU132" s="143"/>
      <c r="JV132" s="143"/>
      <c r="JW132" s="143"/>
      <c r="PA132" s="143"/>
      <c r="PB132" s="143"/>
      <c r="PD132" s="143"/>
      <c r="PR132" s="146"/>
      <c r="PV132" s="143"/>
      <c r="RY132" s="146"/>
      <c r="AHH132" s="142"/>
      <c r="AIW132" s="142"/>
      <c r="AIX132" s="142"/>
      <c r="AIY132" s="142"/>
    </row>
    <row r="133" spans="2:935" hidden="1" x14ac:dyDescent="0.25">
      <c r="B133" s="731">
        <v>7</v>
      </c>
      <c r="C133" s="423" t="s">
        <v>43</v>
      </c>
      <c r="D133" s="48"/>
      <c r="E133" s="48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3"/>
      <c r="S133" s="526" t="s">
        <v>131</v>
      </c>
      <c r="T133" s="681" t="s">
        <v>131</v>
      </c>
      <c r="U133" s="781" t="s">
        <v>131</v>
      </c>
      <c r="W133" s="6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808"/>
      <c r="AJ133" s="808"/>
      <c r="AK133" s="808"/>
      <c r="AL133" s="808"/>
      <c r="AM133" s="808"/>
      <c r="AN133" s="808"/>
      <c r="AO133" s="808"/>
      <c r="AP133" s="808"/>
      <c r="AQ133" s="808"/>
      <c r="AR133" s="808"/>
      <c r="AW133" s="1"/>
      <c r="BF133" s="142"/>
      <c r="BG133" s="142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CJ133" s="142"/>
      <c r="CZ133" s="1"/>
      <c r="DR133" s="5"/>
      <c r="DS133" s="142"/>
      <c r="DT133" s="142"/>
      <c r="DU133" s="142"/>
      <c r="DV133" s="142"/>
      <c r="FY133" s="142"/>
      <c r="JT133" s="142"/>
      <c r="JU133" s="142"/>
      <c r="JV133" s="142"/>
      <c r="JW133" s="142"/>
      <c r="PA133" s="142"/>
      <c r="PB133" s="142"/>
      <c r="PD133" s="142"/>
      <c r="PR133" s="485"/>
      <c r="PV133" s="142"/>
      <c r="RY133" s="485"/>
      <c r="AHH133" s="142"/>
      <c r="AIW133" s="142"/>
      <c r="AIX133" s="142"/>
      <c r="AIY133" s="142"/>
    </row>
    <row r="134" spans="2:935" hidden="1" x14ac:dyDescent="0.25">
      <c r="B134" s="732"/>
      <c r="C134" s="583" t="s">
        <v>115</v>
      </c>
      <c r="D134" s="584"/>
      <c r="E134" s="20" t="s">
        <v>14</v>
      </c>
      <c r="F134" s="589">
        <f>'[24]Januari 24'!AL123</f>
        <v>534116</v>
      </c>
      <c r="G134" s="590" t="e">
        <f>'[24]Februari 24'!AI123</f>
        <v>#REF!</v>
      </c>
      <c r="H134" s="738">
        <f>'[24]Maret 24'!AL123</f>
        <v>0</v>
      </c>
      <c r="I134" s="585">
        <f>'[24]April 24'!AL123</f>
        <v>0</v>
      </c>
      <c r="J134" s="585">
        <f>'[24]Mei 24'!AL123</f>
        <v>0</v>
      </c>
      <c r="K134" s="585">
        <f>'[24]Juny 24'!AL123</f>
        <v>0</v>
      </c>
      <c r="L134" s="585">
        <f>'[24]July 24'!AL123</f>
        <v>0</v>
      </c>
      <c r="M134" s="739">
        <f>'[24]Agustus 24'!AL123</f>
        <v>0</v>
      </c>
      <c r="N134" s="585">
        <f>'[24]September 24'!AL123</f>
        <v>0</v>
      </c>
      <c r="O134" s="585" t="e">
        <f>'[24]September 24'!AM123</f>
        <v>#REF!</v>
      </c>
      <c r="P134" s="585">
        <f>'[24]November 24'!AL123</f>
        <v>0</v>
      </c>
      <c r="Q134" s="585">
        <f>'[24]Desember 24'!AL123</f>
        <v>0</v>
      </c>
      <c r="R134" s="737"/>
      <c r="S134" s="90" t="e">
        <f>SUM(S136:S137)</f>
        <v>#REF!</v>
      </c>
      <c r="T134" s="690" t="e">
        <f>SUM(T136:T137)</f>
        <v>#REF!</v>
      </c>
      <c r="U134" s="792" t="e">
        <f>SUM(U136:U137)</f>
        <v>#REF!</v>
      </c>
      <c r="W134" s="820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818"/>
      <c r="AJ134" s="818"/>
      <c r="AK134" s="818"/>
      <c r="AL134" s="818"/>
      <c r="AM134" s="818"/>
      <c r="AN134" s="818"/>
      <c r="AO134" s="818"/>
      <c r="AP134" s="818"/>
      <c r="AQ134" s="818"/>
      <c r="AR134" s="818"/>
      <c r="AW134" s="1"/>
      <c r="BF134" s="147"/>
      <c r="BG134" s="147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CJ134" s="147"/>
      <c r="CZ134" s="1"/>
      <c r="DR134" s="439"/>
      <c r="DS134" s="147"/>
      <c r="DT134" s="147"/>
      <c r="DU134" s="147"/>
      <c r="DV134" s="147"/>
      <c r="FY134" s="147"/>
      <c r="JT134" s="147"/>
      <c r="JU134" s="147"/>
      <c r="JV134" s="147"/>
      <c r="JW134" s="147"/>
      <c r="PA134" s="147"/>
      <c r="PB134" s="147"/>
      <c r="PD134" s="147"/>
      <c r="PR134" s="567"/>
      <c r="PV134" s="147"/>
      <c r="RY134" s="567"/>
      <c r="AHH134" s="152"/>
      <c r="AIW134" s="152"/>
      <c r="AIX134" s="152"/>
      <c r="AIY134" s="152"/>
    </row>
    <row r="135" spans="2:935" hidden="1" x14ac:dyDescent="0.25">
      <c r="B135" s="732"/>
      <c r="C135" s="583" t="s">
        <v>116</v>
      </c>
      <c r="D135" s="584"/>
      <c r="E135" s="20" t="s">
        <v>14</v>
      </c>
      <c r="F135" s="585">
        <f>'[24]Januari 24'!AL124</f>
        <v>524483.80000000005</v>
      </c>
      <c r="G135" s="585" t="e">
        <f>'[24]Februari 24'!AI124</f>
        <v>#REF!</v>
      </c>
      <c r="H135" s="585">
        <f>'[24]Maret 24'!AL124</f>
        <v>0</v>
      </c>
      <c r="I135" s="585">
        <f>'[24]April 24'!AL124</f>
        <v>0</v>
      </c>
      <c r="J135" s="585">
        <f>'[24]Mei 24'!AL124</f>
        <v>0</v>
      </c>
      <c r="K135" s="585">
        <f>'[24]Juny 24'!AL124</f>
        <v>0</v>
      </c>
      <c r="L135" s="585">
        <f>'[24]July 24'!AL124</f>
        <v>0</v>
      </c>
      <c r="M135" s="585">
        <f>'[24]Agustus 24'!AL124</f>
        <v>0</v>
      </c>
      <c r="N135" s="585">
        <f>'[24]September 24'!AL124</f>
        <v>0</v>
      </c>
      <c r="O135" s="585" t="e">
        <f>'[24]September 24'!AM124</f>
        <v>#REF!</v>
      </c>
      <c r="P135" s="585">
        <f>'[24]November 24'!AL124</f>
        <v>0</v>
      </c>
      <c r="Q135" s="283">
        <f>'[24]Desember 24'!AL124</f>
        <v>0</v>
      </c>
      <c r="R135" s="737"/>
      <c r="S135" s="90" t="e">
        <f>SUM(S136:S137)</f>
        <v>#REF!</v>
      </c>
      <c r="T135" s="690" t="e">
        <f>SUM(T136:T137)</f>
        <v>#REF!</v>
      </c>
      <c r="U135" s="792" t="e">
        <f>SUM(U136:U137)</f>
        <v>#REF!</v>
      </c>
      <c r="W135" s="820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818"/>
      <c r="AJ135" s="818"/>
      <c r="AK135" s="818"/>
      <c r="AL135" s="818"/>
      <c r="AM135" s="818"/>
      <c r="AN135" s="818"/>
      <c r="AO135" s="818"/>
      <c r="AP135" s="818"/>
      <c r="AQ135" s="818"/>
      <c r="AR135" s="818"/>
      <c r="AW135" s="1"/>
      <c r="BF135" s="147"/>
      <c r="BG135" s="147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CJ135" s="147"/>
      <c r="CZ135" s="1"/>
      <c r="DR135" s="439"/>
      <c r="DS135" s="147"/>
      <c r="DT135" s="147"/>
      <c r="DU135" s="147"/>
      <c r="DV135" s="147"/>
      <c r="FY135" s="147"/>
      <c r="JT135" s="147"/>
      <c r="JU135" s="147"/>
      <c r="JV135" s="147"/>
      <c r="JW135" s="147"/>
      <c r="PA135" s="147"/>
      <c r="PB135" s="147"/>
      <c r="PD135" s="147"/>
      <c r="PR135" s="567"/>
      <c r="PV135" s="147"/>
      <c r="RY135" s="567"/>
      <c r="AHH135" s="152"/>
      <c r="AIW135" s="152"/>
      <c r="AIX135" s="152"/>
      <c r="AIY135" s="152"/>
    </row>
    <row r="136" spans="2:935" hidden="1" x14ac:dyDescent="0.25">
      <c r="B136" s="735"/>
      <c r="C136" s="573" t="s">
        <v>39</v>
      </c>
      <c r="D136" s="480"/>
      <c r="E136" s="500" t="s">
        <v>14</v>
      </c>
      <c r="F136" s="444">
        <f t="shared" ref="F136" si="82">SUM(F139:F140)*9.75348</f>
        <v>525527.25587999995</v>
      </c>
      <c r="G136" s="444" t="e">
        <f t="shared" ref="G136:Q136" si="83">SUM(G139:G140)*9.75348</f>
        <v>#REF!</v>
      </c>
      <c r="H136" s="444">
        <f t="shared" si="83"/>
        <v>0</v>
      </c>
      <c r="I136" s="444">
        <f t="shared" si="83"/>
        <v>0</v>
      </c>
      <c r="J136" s="444">
        <f t="shared" si="83"/>
        <v>0</v>
      </c>
      <c r="K136" s="444">
        <f t="shared" si="83"/>
        <v>0</v>
      </c>
      <c r="L136" s="444">
        <f t="shared" si="83"/>
        <v>0</v>
      </c>
      <c r="M136" s="444">
        <f t="shared" si="83"/>
        <v>0</v>
      </c>
      <c r="N136" s="444">
        <f t="shared" si="83"/>
        <v>0</v>
      </c>
      <c r="O136" s="444" t="e">
        <f t="shared" ref="O136" si="84">SUM(O139:O140)*9.75348</f>
        <v>#REF!</v>
      </c>
      <c r="P136" s="444">
        <f t="shared" si="83"/>
        <v>0</v>
      </c>
      <c r="Q136" s="444">
        <f t="shared" si="83"/>
        <v>0</v>
      </c>
      <c r="R136" s="723"/>
      <c r="S136" s="59" t="e">
        <f t="shared" ref="S136:U137" si="85">SUM(F136:Q136)</f>
        <v>#REF!</v>
      </c>
      <c r="T136" s="673" t="e">
        <f t="shared" si="85"/>
        <v>#REF!</v>
      </c>
      <c r="U136" s="774" t="e">
        <f t="shared" si="85"/>
        <v>#REF!</v>
      </c>
      <c r="W136" s="6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821"/>
      <c r="AJ136" s="818"/>
      <c r="AK136" s="818"/>
      <c r="AL136" s="818"/>
      <c r="AM136" s="818"/>
      <c r="AN136" s="818"/>
      <c r="AO136" s="808"/>
      <c r="AP136" s="808"/>
      <c r="AQ136" s="808"/>
      <c r="AR136" s="808"/>
      <c r="AW136" s="1"/>
      <c r="BF136" s="143"/>
      <c r="BG136" s="143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CJ136" s="143"/>
      <c r="CZ136" s="1"/>
      <c r="DR136" s="5"/>
      <c r="DS136" s="143"/>
      <c r="DT136" s="143"/>
      <c r="DU136" s="143"/>
      <c r="DV136" s="143"/>
      <c r="FY136" s="143"/>
      <c r="JT136" s="143"/>
      <c r="JU136" s="143"/>
      <c r="JV136" s="143"/>
      <c r="JW136" s="143"/>
      <c r="PA136" s="143"/>
      <c r="PB136" s="143"/>
      <c r="PD136" s="143"/>
      <c r="PR136" s="146"/>
      <c r="PV136" s="143"/>
      <c r="RY136" s="146"/>
      <c r="AHH136" s="142"/>
      <c r="AIW136" s="142"/>
      <c r="AIX136" s="142"/>
      <c r="AIY136" s="142"/>
    </row>
    <row r="137" spans="2:935" hidden="1" x14ac:dyDescent="0.25">
      <c r="B137" s="735"/>
      <c r="C137" s="573" t="s">
        <v>38</v>
      </c>
      <c r="D137" s="480"/>
      <c r="E137" s="500" t="s">
        <v>14</v>
      </c>
      <c r="F137" s="444">
        <f>F135-F136</f>
        <v>-1043.4558799999068</v>
      </c>
      <c r="G137" s="444" t="e">
        <f>G135-G136</f>
        <v>#REF!</v>
      </c>
      <c r="H137" s="444">
        <f>H135-H136</f>
        <v>0</v>
      </c>
      <c r="I137" s="444">
        <f>I135-I136</f>
        <v>0</v>
      </c>
      <c r="J137" s="444">
        <f>J135-J136</f>
        <v>0</v>
      </c>
      <c r="K137" s="444">
        <f t="shared" ref="K137:Q137" si="86">K135-K136</f>
        <v>0</v>
      </c>
      <c r="L137" s="444">
        <f t="shared" si="86"/>
        <v>0</v>
      </c>
      <c r="M137" s="444">
        <f t="shared" si="86"/>
        <v>0</v>
      </c>
      <c r="N137" s="444">
        <f t="shared" si="86"/>
        <v>0</v>
      </c>
      <c r="O137" s="444" t="e">
        <f t="shared" ref="O137" si="87">O135-O136</f>
        <v>#REF!</v>
      </c>
      <c r="P137" s="444">
        <f t="shared" si="86"/>
        <v>0</v>
      </c>
      <c r="Q137" s="444">
        <f t="shared" si="86"/>
        <v>0</v>
      </c>
      <c r="R137" s="723"/>
      <c r="S137" s="59" t="e">
        <f t="shared" si="85"/>
        <v>#REF!</v>
      </c>
      <c r="T137" s="673" t="e">
        <f t="shared" si="85"/>
        <v>#REF!</v>
      </c>
      <c r="U137" s="774" t="e">
        <f t="shared" si="85"/>
        <v>#REF!</v>
      </c>
      <c r="W137" s="6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808"/>
      <c r="AJ137" s="808"/>
      <c r="AK137" s="808"/>
      <c r="AL137" s="808"/>
      <c r="AM137" s="808"/>
      <c r="AN137" s="808"/>
      <c r="AO137" s="808"/>
      <c r="AP137" s="808"/>
      <c r="AQ137" s="808"/>
      <c r="AR137" s="808"/>
      <c r="AW137" s="1"/>
      <c r="BF137" s="143"/>
      <c r="BG137" s="143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CJ137" s="143"/>
      <c r="CZ137" s="1"/>
      <c r="DR137" s="5"/>
      <c r="DS137" s="143"/>
      <c r="DT137" s="143"/>
      <c r="DU137" s="143"/>
      <c r="DV137" s="143"/>
      <c r="FY137" s="143"/>
      <c r="FZ137" s="1">
        <f>0.9*12</f>
        <v>10.8</v>
      </c>
      <c r="JT137" s="143"/>
      <c r="JU137" s="143"/>
      <c r="JV137" s="143"/>
      <c r="JW137" s="143"/>
      <c r="PA137" s="143"/>
      <c r="PB137" s="143"/>
      <c r="PD137" s="143"/>
      <c r="PR137" s="146"/>
      <c r="PV137" s="143"/>
      <c r="RY137" s="146"/>
      <c r="AHH137" s="142"/>
      <c r="AIW137" s="142"/>
      <c r="AIX137" s="142"/>
      <c r="AIY137" s="142"/>
    </row>
    <row r="138" spans="2:935" hidden="1" x14ac:dyDescent="0.25">
      <c r="B138" s="735"/>
      <c r="C138" s="573" t="s">
        <v>29</v>
      </c>
      <c r="D138" s="480"/>
      <c r="E138" s="468"/>
      <c r="F138" s="443"/>
      <c r="G138" s="443"/>
      <c r="H138" s="443"/>
      <c r="I138" s="443"/>
      <c r="J138" s="443"/>
      <c r="K138" s="443"/>
      <c r="L138" s="443"/>
      <c r="M138" s="443"/>
      <c r="N138" s="443"/>
      <c r="O138" s="443"/>
      <c r="P138" s="443"/>
      <c r="Q138" s="443"/>
      <c r="R138" s="723"/>
      <c r="S138" s="64" t="s">
        <v>29</v>
      </c>
      <c r="T138" s="692" t="s">
        <v>29</v>
      </c>
      <c r="U138" s="790" t="s">
        <v>29</v>
      </c>
      <c r="W138" s="6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808"/>
      <c r="AJ138" s="808"/>
      <c r="AK138" s="808"/>
      <c r="AL138" s="808"/>
      <c r="AM138" s="808"/>
      <c r="AN138" s="808"/>
      <c r="AO138" s="808"/>
      <c r="AP138" s="808"/>
      <c r="AQ138" s="808"/>
      <c r="AR138" s="808"/>
      <c r="AW138" s="1"/>
      <c r="BF138" s="143"/>
      <c r="BG138" s="143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CJ138" s="143"/>
      <c r="CZ138" s="1"/>
      <c r="DR138" s="5"/>
      <c r="DS138" s="143"/>
      <c r="DT138" s="143"/>
      <c r="DU138" s="143"/>
      <c r="DV138" s="143"/>
      <c r="FY138" s="143"/>
      <c r="JT138" s="143"/>
      <c r="JU138" s="143"/>
      <c r="JV138" s="143"/>
      <c r="JW138" s="143"/>
      <c r="PA138" s="143"/>
      <c r="PB138" s="143"/>
      <c r="PD138" s="143"/>
      <c r="PR138" s="146"/>
      <c r="PV138" s="143"/>
      <c r="RY138" s="146"/>
      <c r="AHH138" s="142"/>
      <c r="AIW138" s="142"/>
      <c r="AIX138" s="142"/>
      <c r="AIY138" s="142"/>
    </row>
    <row r="139" spans="2:935" hidden="1" x14ac:dyDescent="0.25">
      <c r="B139" s="736"/>
      <c r="C139" s="440" t="s">
        <v>42</v>
      </c>
      <c r="D139" s="441"/>
      <c r="E139" s="577" t="s">
        <v>31</v>
      </c>
      <c r="F139" s="283">
        <f>'[24]Januari 24'!AL128</f>
        <v>48858</v>
      </c>
      <c r="G139" s="283" t="e">
        <f>'[24]Februari 24'!AI128</f>
        <v>#REF!</v>
      </c>
      <c r="H139" s="283">
        <f>'[24]Maret 24'!AL128</f>
        <v>0</v>
      </c>
      <c r="I139" s="283">
        <f>'[24]April 24'!AL128</f>
        <v>0</v>
      </c>
      <c r="J139" s="283">
        <f>'[24]Mei 24'!AL128</f>
        <v>0</v>
      </c>
      <c r="K139" s="283">
        <f>'[24]Juny 24'!AL128</f>
        <v>0</v>
      </c>
      <c r="L139" s="283">
        <f>'[24]July 24'!AL128</f>
        <v>0</v>
      </c>
      <c r="M139" s="283">
        <f>'[24]Agustus 24'!AL128</f>
        <v>0</v>
      </c>
      <c r="N139" s="283">
        <f>'[24]September 24'!AL128</f>
        <v>0</v>
      </c>
      <c r="O139" s="283" t="e">
        <f>'[24]September 24'!AM128</f>
        <v>#REF!</v>
      </c>
      <c r="P139" s="283">
        <f>'[24]November 24'!AL128</f>
        <v>0</v>
      </c>
      <c r="Q139" s="283">
        <f>'[24]Desember 24'!AL128</f>
        <v>0</v>
      </c>
      <c r="R139" s="725"/>
      <c r="S139" s="92" t="e">
        <f t="shared" ref="S139:U140" si="88">SUM(F139:Q139)</f>
        <v>#REF!</v>
      </c>
      <c r="T139" s="693">
        <v>296194</v>
      </c>
      <c r="U139" s="794" t="e">
        <f t="shared" si="88"/>
        <v>#REF!</v>
      </c>
      <c r="W139" s="37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822"/>
      <c r="AJ139" s="822"/>
      <c r="AK139" s="822"/>
      <c r="AL139" s="822"/>
      <c r="AM139" s="822"/>
      <c r="AN139" s="822"/>
      <c r="AO139" s="822"/>
      <c r="AP139" s="822"/>
      <c r="AQ139" s="822"/>
      <c r="AR139" s="822"/>
      <c r="AW139" s="1"/>
      <c r="BF139" s="149"/>
      <c r="BG139" s="149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CJ139" s="149"/>
      <c r="CZ139" s="1"/>
      <c r="DR139" s="521"/>
      <c r="DS139" s="149"/>
      <c r="DT139" s="149"/>
      <c r="DU139" s="149"/>
      <c r="DV139" s="149"/>
      <c r="FY139" s="149"/>
      <c r="JT139" s="149"/>
      <c r="JU139" s="149"/>
      <c r="JV139" s="149"/>
      <c r="JW139" s="149"/>
      <c r="PA139" s="149"/>
      <c r="PB139" s="149"/>
      <c r="PD139" s="149"/>
      <c r="PR139" s="578"/>
      <c r="PV139" s="149"/>
      <c r="RY139" s="578"/>
      <c r="AHH139" s="145"/>
      <c r="AIW139" s="145"/>
      <c r="AIX139" s="145"/>
      <c r="AIY139" s="145"/>
    </row>
    <row r="140" spans="2:935" hidden="1" x14ac:dyDescent="0.25">
      <c r="B140" s="736"/>
      <c r="C140" s="440" t="s">
        <v>41</v>
      </c>
      <c r="D140" s="441"/>
      <c r="E140" s="577" t="s">
        <v>31</v>
      </c>
      <c r="F140" s="283">
        <f>'[24]Januari 24'!AL129</f>
        <v>5023</v>
      </c>
      <c r="G140" s="283" t="e">
        <f>'[24]Februari 24'!AI129</f>
        <v>#REF!</v>
      </c>
      <c r="H140" s="283">
        <f>'[24]Maret 24'!AL129</f>
        <v>0</v>
      </c>
      <c r="I140" s="283">
        <f>'[24]April 24'!AL129</f>
        <v>0</v>
      </c>
      <c r="J140" s="283">
        <f>'[24]Mei 24'!AL129</f>
        <v>0</v>
      </c>
      <c r="K140" s="2">
        <f>'[24]Juny 24'!AL129</f>
        <v>0</v>
      </c>
      <c r="L140" s="283">
        <f>'[24]July 24'!AL129</f>
        <v>0</v>
      </c>
      <c r="M140" s="283">
        <f>'[24]Agustus 24'!AL129</f>
        <v>0</v>
      </c>
      <c r="N140" s="283">
        <f>'[24]September 24'!AL129</f>
        <v>0</v>
      </c>
      <c r="O140" s="283" t="e">
        <f>'[24]September 24'!AM129</f>
        <v>#REF!</v>
      </c>
      <c r="P140" s="283">
        <f>'[24]November 24'!AL129</f>
        <v>0</v>
      </c>
      <c r="Q140" s="283">
        <f>'[24]Desember 24'!AL129</f>
        <v>0</v>
      </c>
      <c r="R140" s="725"/>
      <c r="S140" s="92" t="e">
        <f t="shared" si="88"/>
        <v>#REF!</v>
      </c>
      <c r="T140" s="693">
        <v>626151</v>
      </c>
      <c r="U140" s="794" t="e">
        <f t="shared" si="88"/>
        <v>#REF!</v>
      </c>
      <c r="W140" s="37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822"/>
      <c r="AJ140" s="822"/>
      <c r="AK140" s="822"/>
      <c r="AL140" s="822"/>
      <c r="AM140" s="822"/>
      <c r="AN140" s="822"/>
      <c r="AO140" s="822"/>
      <c r="AP140" s="822"/>
      <c r="AQ140" s="822"/>
      <c r="AR140" s="822"/>
      <c r="AW140" s="1"/>
      <c r="BF140" s="149"/>
      <c r="BG140" s="149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CJ140" s="149"/>
      <c r="CZ140" s="1"/>
      <c r="DR140" s="521"/>
      <c r="DS140" s="149"/>
      <c r="DT140" s="149"/>
      <c r="DU140" s="149"/>
      <c r="DV140" s="149"/>
      <c r="FY140" s="149"/>
      <c r="JT140" s="149"/>
      <c r="JU140" s="149"/>
      <c r="JV140" s="149"/>
      <c r="JW140" s="149"/>
      <c r="PA140" s="149"/>
      <c r="PB140" s="149"/>
      <c r="PD140" s="149"/>
      <c r="PR140" s="578"/>
      <c r="PV140" s="149"/>
      <c r="RY140" s="578"/>
      <c r="AHH140" s="145"/>
      <c r="AIW140" s="145"/>
      <c r="AIX140" s="145"/>
      <c r="AIY140" s="145"/>
    </row>
    <row r="141" spans="2:935" hidden="1" x14ac:dyDescent="0.25">
      <c r="B141" s="735"/>
      <c r="C141" s="573" t="s">
        <v>28</v>
      </c>
      <c r="D141" s="480"/>
      <c r="E141" s="468"/>
      <c r="F141" s="443"/>
      <c r="G141" s="443"/>
      <c r="H141" s="443"/>
      <c r="I141" s="443"/>
      <c r="J141" s="443"/>
      <c r="K141" s="443"/>
      <c r="L141" s="443"/>
      <c r="M141" s="443"/>
      <c r="N141" s="443"/>
      <c r="O141" s="443"/>
      <c r="P141" s="443"/>
      <c r="Q141" s="443"/>
      <c r="R141" s="723"/>
      <c r="S141" s="64" t="s">
        <v>28</v>
      </c>
      <c r="T141" s="692" t="s">
        <v>28</v>
      </c>
      <c r="U141" s="790" t="s">
        <v>28</v>
      </c>
      <c r="W141" s="6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808"/>
      <c r="AJ141" s="808"/>
      <c r="AK141" s="808"/>
      <c r="AL141" s="808"/>
      <c r="AM141" s="808"/>
      <c r="AN141" s="808"/>
      <c r="AO141" s="808"/>
      <c r="AP141" s="808"/>
      <c r="AQ141" s="808"/>
      <c r="AR141" s="808"/>
      <c r="AW141" s="1"/>
      <c r="BF141" s="143"/>
      <c r="BG141" s="143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CJ141" s="143"/>
      <c r="CZ141" s="1"/>
      <c r="DR141" s="5"/>
      <c r="DS141" s="143"/>
      <c r="DT141" s="143"/>
      <c r="DU141" s="143"/>
      <c r="DV141" s="143"/>
      <c r="FY141" s="143"/>
      <c r="JT141" s="143"/>
      <c r="JU141" s="143"/>
      <c r="JV141" s="143"/>
      <c r="JW141" s="143"/>
      <c r="PA141" s="143"/>
      <c r="PB141" s="143"/>
      <c r="PD141" s="143"/>
      <c r="PR141" s="146"/>
      <c r="PV141" s="143"/>
      <c r="RY141" s="146"/>
      <c r="AHH141" s="142"/>
      <c r="AIW141" s="142"/>
      <c r="AIX141" s="142"/>
      <c r="AIY141" s="142"/>
    </row>
    <row r="142" spans="2:935" hidden="1" x14ac:dyDescent="0.25">
      <c r="B142" s="735"/>
      <c r="C142" s="440" t="s">
        <v>42</v>
      </c>
      <c r="D142" s="480"/>
      <c r="E142" s="500" t="s">
        <v>28</v>
      </c>
      <c r="F142" s="443">
        <f t="shared" ref="F142" si="89">F139*12</f>
        <v>586296</v>
      </c>
      <c r="G142" s="443" t="e">
        <f t="shared" ref="G142:Q142" si="90">G139*12</f>
        <v>#REF!</v>
      </c>
      <c r="H142" s="443">
        <f t="shared" si="90"/>
        <v>0</v>
      </c>
      <c r="I142" s="443">
        <f t="shared" si="90"/>
        <v>0</v>
      </c>
      <c r="J142" s="443">
        <f t="shared" si="90"/>
        <v>0</v>
      </c>
      <c r="K142" s="443">
        <f t="shared" si="90"/>
        <v>0</v>
      </c>
      <c r="L142" s="443">
        <f t="shared" si="90"/>
        <v>0</v>
      </c>
      <c r="M142" s="443">
        <f t="shared" si="90"/>
        <v>0</v>
      </c>
      <c r="N142" s="443">
        <f t="shared" si="90"/>
        <v>0</v>
      </c>
      <c r="O142" s="443" t="e">
        <f t="shared" ref="O142" si="91">O139*12</f>
        <v>#REF!</v>
      </c>
      <c r="P142" s="443">
        <f t="shared" si="90"/>
        <v>0</v>
      </c>
      <c r="Q142" s="443">
        <f t="shared" si="90"/>
        <v>0</v>
      </c>
      <c r="R142" s="723"/>
      <c r="S142" s="55" t="e">
        <f>S139*12</f>
        <v>#REF!</v>
      </c>
      <c r="T142" s="670">
        <f>T139*12</f>
        <v>3554328</v>
      </c>
      <c r="U142" s="791" t="e">
        <f>U139*12</f>
        <v>#REF!</v>
      </c>
      <c r="W142" s="6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808"/>
      <c r="AJ142" s="808"/>
      <c r="AK142" s="808"/>
      <c r="AL142" s="808"/>
      <c r="AM142" s="808"/>
      <c r="AN142" s="808"/>
      <c r="AO142" s="808"/>
      <c r="AP142" s="808"/>
      <c r="AQ142" s="808"/>
      <c r="AR142" s="808"/>
      <c r="AW142" s="1"/>
      <c r="BF142" s="143"/>
      <c r="BG142" s="143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CJ142" s="143"/>
      <c r="CZ142" s="1"/>
      <c r="DR142" s="5"/>
      <c r="DS142" s="143"/>
      <c r="DT142" s="143"/>
      <c r="DU142" s="143"/>
      <c r="DV142" s="143"/>
      <c r="FY142" s="143"/>
      <c r="JT142" s="143"/>
      <c r="JU142" s="143"/>
      <c r="JV142" s="143"/>
      <c r="JW142" s="143"/>
      <c r="PA142" s="143"/>
      <c r="PB142" s="143"/>
      <c r="PD142" s="143"/>
      <c r="PR142" s="146"/>
      <c r="PV142" s="143"/>
      <c r="RY142" s="146"/>
      <c r="AHH142" s="142"/>
      <c r="AIW142" s="142"/>
      <c r="AIX142" s="142"/>
      <c r="AIY142" s="142"/>
    </row>
    <row r="143" spans="2:935" hidden="1" x14ac:dyDescent="0.25">
      <c r="B143" s="735"/>
      <c r="C143" s="440" t="s">
        <v>41</v>
      </c>
      <c r="D143" s="480"/>
      <c r="E143" s="500" t="s">
        <v>28</v>
      </c>
      <c r="F143" s="443">
        <f t="shared" ref="F143" si="92">F140*6</f>
        <v>30138</v>
      </c>
      <c r="G143" s="443" t="e">
        <f t="shared" ref="G143:Q143" si="93">G140*6</f>
        <v>#REF!</v>
      </c>
      <c r="H143" s="443">
        <f t="shared" si="93"/>
        <v>0</v>
      </c>
      <c r="I143" s="443">
        <f t="shared" si="93"/>
        <v>0</v>
      </c>
      <c r="J143" s="443">
        <f t="shared" si="93"/>
        <v>0</v>
      </c>
      <c r="K143" s="443">
        <f t="shared" si="93"/>
        <v>0</v>
      </c>
      <c r="L143" s="443">
        <f t="shared" si="93"/>
        <v>0</v>
      </c>
      <c r="M143" s="443">
        <f t="shared" si="93"/>
        <v>0</v>
      </c>
      <c r="N143" s="443">
        <f t="shared" si="93"/>
        <v>0</v>
      </c>
      <c r="O143" s="443" t="e">
        <f t="shared" ref="O143" si="94">O140*6</f>
        <v>#REF!</v>
      </c>
      <c r="P143" s="443">
        <f t="shared" si="93"/>
        <v>0</v>
      </c>
      <c r="Q143" s="443">
        <f t="shared" si="93"/>
        <v>0</v>
      </c>
      <c r="R143" s="723"/>
      <c r="S143" s="55" t="e">
        <f>S140*6</f>
        <v>#REF!</v>
      </c>
      <c r="T143" s="670">
        <f>T140*6</f>
        <v>3756906</v>
      </c>
      <c r="U143" s="791" t="e">
        <f>U140*6</f>
        <v>#REF!</v>
      </c>
      <c r="W143" s="6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808"/>
      <c r="AJ143" s="808"/>
      <c r="AK143" s="808"/>
      <c r="AL143" s="808"/>
      <c r="AM143" s="808"/>
      <c r="AN143" s="808"/>
      <c r="AO143" s="808"/>
      <c r="AP143" s="808"/>
      <c r="AQ143" s="808"/>
      <c r="AR143" s="808"/>
      <c r="AW143" s="1"/>
      <c r="BF143" s="143"/>
      <c r="BG143" s="143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CJ143" s="143"/>
      <c r="CZ143" s="1"/>
      <c r="DR143" s="5"/>
      <c r="DS143" s="143"/>
      <c r="DT143" s="143"/>
      <c r="DU143" s="143"/>
      <c r="DV143" s="143"/>
      <c r="FY143" s="143"/>
      <c r="JT143" s="143"/>
      <c r="JU143" s="143"/>
      <c r="JV143" s="143"/>
      <c r="JW143" s="143"/>
      <c r="PA143" s="143"/>
      <c r="PB143" s="143"/>
      <c r="PD143" s="143"/>
      <c r="PR143" s="146"/>
      <c r="PV143" s="143"/>
      <c r="RY143" s="146"/>
      <c r="AHH143" s="142"/>
      <c r="AIW143" s="142"/>
      <c r="AIX143" s="142"/>
      <c r="AIY143" s="142"/>
    </row>
    <row r="144" spans="2:935" hidden="1" x14ac:dyDescent="0.25">
      <c r="B144" s="735"/>
      <c r="C144" s="573" t="s">
        <v>36</v>
      </c>
      <c r="D144" s="480"/>
      <c r="E144" s="500" t="s">
        <v>35</v>
      </c>
      <c r="F144" s="443">
        <f>(F135*45)/1700</f>
        <v>13883.394705882356</v>
      </c>
      <c r="G144" s="443" t="e">
        <f>(G135*45)/1700</f>
        <v>#REF!</v>
      </c>
      <c r="H144" s="443">
        <f>(H135*45)/1700</f>
        <v>0</v>
      </c>
      <c r="I144" s="443">
        <f>(I135*45)/1700</f>
        <v>0</v>
      </c>
      <c r="J144" s="443">
        <f>(J135*45)/1700</f>
        <v>0</v>
      </c>
      <c r="K144" s="443">
        <f>K135*45/1700</f>
        <v>0</v>
      </c>
      <c r="L144" s="443">
        <f t="shared" ref="L144:Q144" si="95">L135*45/1700</f>
        <v>0</v>
      </c>
      <c r="M144" s="443">
        <f t="shared" si="95"/>
        <v>0</v>
      </c>
      <c r="N144" s="443">
        <f t="shared" si="95"/>
        <v>0</v>
      </c>
      <c r="O144" s="443" t="e">
        <f t="shared" ref="O144" si="96">O135*45/1700</f>
        <v>#REF!</v>
      </c>
      <c r="P144" s="443">
        <f t="shared" si="95"/>
        <v>0</v>
      </c>
      <c r="Q144" s="443">
        <f t="shared" si="95"/>
        <v>0</v>
      </c>
      <c r="R144" s="723"/>
      <c r="S144" s="55" t="e">
        <f t="shared" ref="S144:U145" si="97">SUM(F144:Q144)</f>
        <v>#REF!</v>
      </c>
      <c r="T144" s="670" t="e">
        <f t="shared" si="97"/>
        <v>#REF!</v>
      </c>
      <c r="U144" s="791" t="e">
        <f t="shared" si="97"/>
        <v>#REF!</v>
      </c>
      <c r="W144" s="6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808"/>
      <c r="AJ144" s="808"/>
      <c r="AK144" s="808"/>
      <c r="AL144" s="808"/>
      <c r="AM144" s="808"/>
      <c r="AN144" s="808"/>
      <c r="AO144" s="808"/>
      <c r="AP144" s="808"/>
      <c r="AQ144" s="808"/>
      <c r="AR144" s="808"/>
      <c r="AW144" s="1"/>
      <c r="BF144" s="143"/>
      <c r="BG144" s="143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CJ144" s="143"/>
      <c r="CZ144" s="1"/>
      <c r="DR144" s="5"/>
      <c r="DS144" s="143"/>
      <c r="DT144" s="143"/>
      <c r="DU144" s="143"/>
      <c r="DV144" s="143"/>
      <c r="FY144" s="143"/>
      <c r="JT144" s="143"/>
      <c r="JU144" s="143"/>
      <c r="JV144" s="143"/>
      <c r="JW144" s="143"/>
      <c r="PA144" s="143"/>
      <c r="PB144" s="143"/>
      <c r="PD144" s="143"/>
      <c r="PR144" s="146"/>
      <c r="PV144" s="143"/>
      <c r="RY144" s="146"/>
      <c r="AHH144" s="142"/>
      <c r="AIW144" s="142"/>
      <c r="AIX144" s="142"/>
      <c r="AIY144" s="142"/>
    </row>
    <row r="145" spans="2:935" hidden="1" x14ac:dyDescent="0.25">
      <c r="B145" s="735"/>
      <c r="C145" s="573" t="s">
        <v>34</v>
      </c>
      <c r="D145" s="480"/>
      <c r="E145" s="500" t="s">
        <v>33</v>
      </c>
      <c r="F145" s="443">
        <f t="shared" ref="F145" si="98">SUM(F139:F140)/500</f>
        <v>107.762</v>
      </c>
      <c r="G145" s="443" t="e">
        <f t="shared" ref="G145:L145" si="99">SUM(G139:G140)/500</f>
        <v>#REF!</v>
      </c>
      <c r="H145" s="443">
        <f t="shared" si="99"/>
        <v>0</v>
      </c>
      <c r="I145" s="443">
        <f t="shared" si="99"/>
        <v>0</v>
      </c>
      <c r="J145" s="443">
        <f t="shared" si="99"/>
        <v>0</v>
      </c>
      <c r="K145" s="591">
        <f t="shared" si="99"/>
        <v>0</v>
      </c>
      <c r="L145" s="591">
        <f t="shared" si="99"/>
        <v>0</v>
      </c>
      <c r="M145" s="591">
        <f>SUM(M139:M140)/500</f>
        <v>0</v>
      </c>
      <c r="N145" s="591">
        <f>SUM(N139:N140)/500</f>
        <v>0</v>
      </c>
      <c r="O145" s="591" t="e">
        <f>SUM(O139:O140)/500</f>
        <v>#REF!</v>
      </c>
      <c r="P145" s="591">
        <f>SUM(P139:P140)/500</f>
        <v>0</v>
      </c>
      <c r="Q145" s="591">
        <f>SUM(Q139:Q140)/500</f>
        <v>0</v>
      </c>
      <c r="R145" s="723"/>
      <c r="S145" s="55" t="e">
        <f t="shared" si="97"/>
        <v>#REF!</v>
      </c>
      <c r="T145" s="670" t="e">
        <f t="shared" si="97"/>
        <v>#REF!</v>
      </c>
      <c r="U145" s="791" t="e">
        <f t="shared" si="97"/>
        <v>#REF!</v>
      </c>
      <c r="W145" s="6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808"/>
      <c r="AJ145" s="808"/>
      <c r="AK145" s="808"/>
      <c r="AL145" s="808"/>
      <c r="AM145" s="808"/>
      <c r="AN145" s="808"/>
      <c r="AO145" s="808"/>
      <c r="AP145" s="808"/>
      <c r="AQ145" s="808"/>
      <c r="AR145" s="808"/>
      <c r="AW145" s="1"/>
      <c r="BF145" s="143"/>
      <c r="BG145" s="143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CJ145" s="143"/>
      <c r="CZ145" s="1"/>
      <c r="DR145" s="5"/>
      <c r="DS145" s="143"/>
      <c r="DT145" s="143"/>
      <c r="DU145" s="143"/>
      <c r="DV145" s="143"/>
      <c r="FY145" s="143"/>
      <c r="JT145" s="143"/>
      <c r="JU145" s="143"/>
      <c r="JV145" s="143"/>
      <c r="JW145" s="143"/>
      <c r="PA145" s="143"/>
      <c r="PB145" s="143"/>
      <c r="PD145" s="143"/>
      <c r="PR145" s="146"/>
      <c r="PV145" s="143"/>
      <c r="RY145" s="146"/>
      <c r="AHH145" s="142"/>
      <c r="AIW145" s="142"/>
      <c r="AIX145" s="142"/>
      <c r="AIY145" s="142"/>
    </row>
    <row r="146" spans="2:935" hidden="1" x14ac:dyDescent="0.25">
      <c r="B146" s="732"/>
      <c r="C146" s="423" t="s">
        <v>32</v>
      </c>
      <c r="D146" s="48"/>
      <c r="E146" s="48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3"/>
      <c r="S146" s="526" t="s">
        <v>132</v>
      </c>
      <c r="T146" s="681" t="s">
        <v>132</v>
      </c>
      <c r="U146" s="781" t="s">
        <v>132</v>
      </c>
      <c r="W146" s="1"/>
      <c r="X146" s="63"/>
      <c r="Y146" s="63"/>
      <c r="Z146" s="63"/>
      <c r="AA146" s="63"/>
      <c r="AB146" s="63"/>
      <c r="AC146" s="63"/>
      <c r="AD146" s="63"/>
      <c r="AE146" s="63"/>
      <c r="AF146" s="808"/>
      <c r="AG146" s="808"/>
      <c r="AH146" s="808"/>
      <c r="AI146" s="808"/>
      <c r="AJ146" s="808"/>
      <c r="AK146" s="808"/>
      <c r="AL146" s="808"/>
      <c r="AM146" s="808"/>
      <c r="AN146" s="808"/>
      <c r="AO146" s="808"/>
      <c r="AQ146" s="63"/>
      <c r="AW146" s="1"/>
      <c r="BC146" s="142"/>
      <c r="BD146" s="142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CG146" s="142"/>
      <c r="CZ146" s="1"/>
      <c r="DO146" s="5"/>
      <c r="DP146" s="142"/>
      <c r="DQ146" s="142"/>
      <c r="DR146" s="142"/>
      <c r="DS146" s="142"/>
      <c r="FV146" s="142"/>
      <c r="JQ146" s="142"/>
      <c r="JR146" s="142"/>
      <c r="JS146" s="142"/>
      <c r="JT146" s="142"/>
      <c r="OX146" s="142"/>
      <c r="OY146" s="142"/>
      <c r="PA146" s="142"/>
      <c r="PO146" s="485"/>
      <c r="PS146" s="142"/>
      <c r="RV146" s="485"/>
      <c r="AHE146" s="142"/>
      <c r="AIT146" s="142"/>
      <c r="AIU146" s="142"/>
      <c r="AIV146" s="142"/>
    </row>
    <row r="147" spans="2:935" hidden="1" x14ac:dyDescent="0.25">
      <c r="B147" s="735"/>
      <c r="C147" s="573" t="s">
        <v>29</v>
      </c>
      <c r="D147" s="480"/>
      <c r="E147" s="468"/>
      <c r="F147" s="443"/>
      <c r="G147" s="443"/>
      <c r="H147" s="443"/>
      <c r="I147" s="443"/>
      <c r="J147" s="443"/>
      <c r="K147" s="443"/>
      <c r="L147" s="443"/>
      <c r="M147" s="443"/>
      <c r="N147" s="443"/>
      <c r="O147" s="443"/>
      <c r="P147" s="443"/>
      <c r="Q147" s="443"/>
      <c r="R147" s="723"/>
      <c r="S147" s="64" t="s">
        <v>29</v>
      </c>
      <c r="T147" s="692" t="s">
        <v>29</v>
      </c>
      <c r="U147" s="790" t="s">
        <v>29</v>
      </c>
      <c r="W147" s="1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Q147" s="63"/>
      <c r="AW147" s="1"/>
      <c r="BC147" s="143"/>
      <c r="BD147" s="143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CG147" s="143"/>
      <c r="CZ147" s="1"/>
      <c r="DO147" s="5"/>
      <c r="DP147" s="143"/>
      <c r="DQ147" s="143"/>
      <c r="DR147" s="143"/>
      <c r="DS147" s="143"/>
      <c r="FV147" s="143"/>
      <c r="JQ147" s="143"/>
      <c r="JR147" s="143"/>
      <c r="JS147" s="143"/>
      <c r="JT147" s="143"/>
      <c r="OX147" s="143"/>
      <c r="OY147" s="143"/>
      <c r="PA147" s="143"/>
      <c r="PO147" s="146"/>
      <c r="PS147" s="143"/>
      <c r="RV147" s="146"/>
      <c r="AHE147" s="142"/>
      <c r="AIT147" s="142"/>
      <c r="AIU147" s="142"/>
      <c r="AIV147" s="142"/>
    </row>
    <row r="148" spans="2:935" hidden="1" x14ac:dyDescent="0.25">
      <c r="B148" s="735"/>
      <c r="C148" s="440" t="s">
        <v>42</v>
      </c>
      <c r="D148" s="480"/>
      <c r="E148" s="500" t="s">
        <v>31</v>
      </c>
      <c r="F148" s="33">
        <f>'[24]Januari 24'!AL131</f>
        <v>586296</v>
      </c>
      <c r="G148" s="33" t="e">
        <f>'[24]Februari 24'!AI137</f>
        <v>#REF!</v>
      </c>
      <c r="H148" s="33">
        <f>'[24]Maret 24'!AL137</f>
        <v>0</v>
      </c>
      <c r="I148" s="33">
        <f>'[24]April 24'!AL137</f>
        <v>0</v>
      </c>
      <c r="J148" s="33">
        <f>'[24]Mei 24'!AL137</f>
        <v>0</v>
      </c>
      <c r="K148" s="33">
        <f>'[24]Juny 24'!AL137</f>
        <v>0</v>
      </c>
      <c r="L148" s="33">
        <f>'[24]July 24'!AL137</f>
        <v>0</v>
      </c>
      <c r="M148" s="33">
        <f>'[24]Agustus 24'!AL110</f>
        <v>0</v>
      </c>
      <c r="N148" s="33">
        <f>'[24]September 24'!AL137</f>
        <v>0</v>
      </c>
      <c r="O148" s="33" t="e">
        <f>'[24]September 24'!AM137</f>
        <v>#REF!</v>
      </c>
      <c r="P148" s="33">
        <f>'[24]November 24'!AL137</f>
        <v>0</v>
      </c>
      <c r="Q148" s="33">
        <f>'[24]Desember 24'!AL137</f>
        <v>0</v>
      </c>
      <c r="R148" s="723"/>
      <c r="S148" s="55" t="e">
        <f t="shared" ref="S148:U149" si="100">SUM(F148:Q148)</f>
        <v>#REF!</v>
      </c>
      <c r="T148" s="670" t="e">
        <f t="shared" si="100"/>
        <v>#REF!</v>
      </c>
      <c r="U148" s="791" t="e">
        <f t="shared" si="100"/>
        <v>#REF!</v>
      </c>
      <c r="W148" s="1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Q148" s="63"/>
      <c r="AW148" s="1"/>
      <c r="BC148" s="143"/>
      <c r="BD148" s="143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CG148" s="143"/>
      <c r="CZ148" s="1"/>
      <c r="DO148" s="5"/>
      <c r="DP148" s="143"/>
      <c r="DQ148" s="143"/>
      <c r="DR148" s="143"/>
      <c r="DS148" s="143"/>
      <c r="FV148" s="143"/>
      <c r="JQ148" s="143"/>
      <c r="JR148" s="143"/>
      <c r="JS148" s="143"/>
      <c r="JT148" s="143"/>
      <c r="OX148" s="143"/>
      <c r="OY148" s="143"/>
      <c r="PA148" s="143"/>
      <c r="PO148" s="146"/>
      <c r="PS148" s="143"/>
      <c r="RV148" s="146"/>
      <c r="AHE148" s="142"/>
      <c r="AIT148" s="142"/>
      <c r="AIU148" s="142"/>
      <c r="AIV148" s="142"/>
    </row>
    <row r="149" spans="2:935" hidden="1" x14ac:dyDescent="0.25">
      <c r="B149" s="735"/>
      <c r="C149" s="440" t="s">
        <v>41</v>
      </c>
      <c r="D149" s="480"/>
      <c r="E149" s="500" t="s">
        <v>31</v>
      </c>
      <c r="F149" s="33">
        <f>'[24]Januari 24'!AL132</f>
        <v>30138</v>
      </c>
      <c r="G149" s="33" t="e">
        <f>'[24]Februari 24'!AI138</f>
        <v>#REF!</v>
      </c>
      <c r="H149" s="33">
        <f>'[24]Maret 24'!AL138</f>
        <v>0</v>
      </c>
      <c r="I149" s="33">
        <f>'[24]April 24'!AL138</f>
        <v>0</v>
      </c>
      <c r="J149" s="33">
        <f>'[24]Mei 24'!AL138</f>
        <v>0</v>
      </c>
      <c r="K149" s="33">
        <f>'[24]Juny 24'!AL129</f>
        <v>0</v>
      </c>
      <c r="L149" s="33">
        <f>'[24]July 24'!AL138</f>
        <v>0</v>
      </c>
      <c r="M149" s="33">
        <f>'[24]Agustus 24'!AL111</f>
        <v>0</v>
      </c>
      <c r="N149" s="33">
        <f>'[24]September 24'!AL138</f>
        <v>0</v>
      </c>
      <c r="O149" s="33" t="e">
        <f>'[24]September 24'!AM138</f>
        <v>#REF!</v>
      </c>
      <c r="P149" s="33">
        <f>'[24]November 24'!AL138</f>
        <v>0</v>
      </c>
      <c r="Q149" s="33">
        <f>'[24]Desember 24'!AL138</f>
        <v>0</v>
      </c>
      <c r="R149" s="723"/>
      <c r="S149" s="55" t="e">
        <f t="shared" si="100"/>
        <v>#REF!</v>
      </c>
      <c r="T149" s="670" t="e">
        <f t="shared" si="100"/>
        <v>#REF!</v>
      </c>
      <c r="U149" s="791" t="e">
        <f t="shared" si="100"/>
        <v>#REF!</v>
      </c>
      <c r="W149" s="1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Q149" s="63"/>
      <c r="AW149" s="1"/>
      <c r="BC149" s="143"/>
      <c r="BD149" s="143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CG149" s="143"/>
      <c r="CZ149" s="1"/>
      <c r="DO149" s="5"/>
      <c r="DP149" s="143"/>
      <c r="DQ149" s="143"/>
      <c r="DR149" s="143"/>
      <c r="DS149" s="143"/>
      <c r="FV149" s="143"/>
      <c r="JQ149" s="143"/>
      <c r="JR149" s="143"/>
      <c r="JS149" s="143"/>
      <c r="JT149" s="143"/>
      <c r="OX149" s="143"/>
      <c r="OY149" s="143"/>
      <c r="PA149" s="143"/>
      <c r="PO149" s="146"/>
      <c r="PS149" s="143"/>
      <c r="RV149" s="146"/>
      <c r="AHE149" s="142"/>
      <c r="AIT149" s="142"/>
      <c r="AIU149" s="142"/>
      <c r="AIV149" s="142"/>
    </row>
    <row r="150" spans="2:935" hidden="1" x14ac:dyDescent="0.25">
      <c r="B150" s="735"/>
      <c r="C150" s="573" t="s">
        <v>28</v>
      </c>
      <c r="D150" s="480"/>
      <c r="E150" s="468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723"/>
      <c r="S150" s="64" t="s">
        <v>28</v>
      </c>
      <c r="T150" s="692" t="s">
        <v>28</v>
      </c>
      <c r="U150" s="790" t="s">
        <v>28</v>
      </c>
      <c r="W150" s="1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Q150" s="63"/>
      <c r="AW150" s="1"/>
      <c r="BC150" s="143"/>
      <c r="BD150" s="143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CG150" s="143"/>
      <c r="CZ150" s="1"/>
      <c r="DO150" s="5"/>
      <c r="DP150" s="143"/>
      <c r="DQ150" s="143"/>
      <c r="DR150" s="143"/>
      <c r="DS150" s="143"/>
      <c r="FV150" s="143"/>
      <c r="JQ150" s="143"/>
      <c r="JR150" s="143"/>
      <c r="JS150" s="143"/>
      <c r="JT150" s="143"/>
      <c r="OX150" s="143"/>
      <c r="OY150" s="143"/>
      <c r="PA150" s="143"/>
      <c r="PO150" s="146"/>
      <c r="PS150" s="143"/>
      <c r="RV150" s="146"/>
      <c r="AHE150" s="142"/>
      <c r="AIT150" s="142"/>
      <c r="AIU150" s="142"/>
      <c r="AIV150" s="142"/>
    </row>
    <row r="151" spans="2:935" hidden="1" x14ac:dyDescent="0.25">
      <c r="B151" s="735"/>
      <c r="C151" s="440" t="str">
        <f>C148</f>
        <v xml:space="preserve">INL SP 900 mL  </v>
      </c>
      <c r="D151" s="480"/>
      <c r="E151" s="500" t="s">
        <v>28</v>
      </c>
      <c r="F151" s="33">
        <f t="shared" ref="F151" si="101">F148*12</f>
        <v>7035552</v>
      </c>
      <c r="G151" s="33" t="e">
        <f t="shared" ref="G151:L151" si="102">G148*12</f>
        <v>#REF!</v>
      </c>
      <c r="H151" s="33">
        <f t="shared" si="102"/>
        <v>0</v>
      </c>
      <c r="I151" s="33">
        <f t="shared" si="102"/>
        <v>0</v>
      </c>
      <c r="J151" s="33">
        <f t="shared" si="102"/>
        <v>0</v>
      </c>
      <c r="K151" s="33">
        <f t="shared" si="102"/>
        <v>0</v>
      </c>
      <c r="L151" s="33">
        <f t="shared" si="102"/>
        <v>0</v>
      </c>
      <c r="M151" s="33">
        <f>M148*12</f>
        <v>0</v>
      </c>
      <c r="N151" s="33">
        <f>N148*12</f>
        <v>0</v>
      </c>
      <c r="O151" s="33" t="e">
        <f>O148*12</f>
        <v>#REF!</v>
      </c>
      <c r="P151" s="33">
        <f>P148*12</f>
        <v>0</v>
      </c>
      <c r="Q151" s="33">
        <f>Q148*12</f>
        <v>0</v>
      </c>
      <c r="R151" s="723"/>
      <c r="S151" s="55" t="e">
        <f t="shared" ref="S151:U152" si="103">SUM(F151:Q151)</f>
        <v>#REF!</v>
      </c>
      <c r="T151" s="670" t="e">
        <f t="shared" si="103"/>
        <v>#REF!</v>
      </c>
      <c r="U151" s="791" t="e">
        <f t="shared" si="103"/>
        <v>#REF!</v>
      </c>
      <c r="W151" s="1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Q151" s="63"/>
      <c r="AW151" s="1"/>
      <c r="BC151" s="143"/>
      <c r="BD151" s="143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CG151" s="143"/>
      <c r="CZ151" s="1"/>
      <c r="DO151" s="5"/>
      <c r="DP151" s="143"/>
      <c r="DQ151" s="143"/>
      <c r="DR151" s="143"/>
      <c r="DS151" s="143"/>
      <c r="FV151" s="143"/>
      <c r="JQ151" s="143"/>
      <c r="JR151" s="143"/>
      <c r="JS151" s="143"/>
      <c r="JT151" s="143"/>
      <c r="OX151" s="143"/>
      <c r="OY151" s="143"/>
      <c r="PA151" s="143"/>
      <c r="PO151" s="146"/>
      <c r="PS151" s="143"/>
      <c r="RV151" s="146"/>
      <c r="AHE151" s="142"/>
      <c r="AIT151" s="142"/>
      <c r="AIU151" s="142"/>
      <c r="AIV151" s="142"/>
    </row>
    <row r="152" spans="2:935" hidden="1" x14ac:dyDescent="0.25">
      <c r="B152" s="735"/>
      <c r="C152" s="440" t="str">
        <f>C149</f>
        <v>INL SP 1,8 L</v>
      </c>
      <c r="D152" s="480"/>
      <c r="E152" s="500" t="s">
        <v>28</v>
      </c>
      <c r="F152" s="33">
        <f t="shared" ref="F152" si="104">F149*6</f>
        <v>180828</v>
      </c>
      <c r="G152" s="33" t="e">
        <f t="shared" ref="G152:L152" si="105">G149*6</f>
        <v>#REF!</v>
      </c>
      <c r="H152" s="33">
        <f t="shared" si="105"/>
        <v>0</v>
      </c>
      <c r="I152" s="33">
        <f t="shared" si="105"/>
        <v>0</v>
      </c>
      <c r="J152" s="33">
        <f t="shared" si="105"/>
        <v>0</v>
      </c>
      <c r="K152" s="33">
        <f t="shared" si="105"/>
        <v>0</v>
      </c>
      <c r="L152" s="33">
        <f t="shared" si="105"/>
        <v>0</v>
      </c>
      <c r="M152" s="33">
        <f>M149*6</f>
        <v>0</v>
      </c>
      <c r="N152" s="33">
        <f>N149*6</f>
        <v>0</v>
      </c>
      <c r="O152" s="33" t="e">
        <f>O149*6</f>
        <v>#REF!</v>
      </c>
      <c r="P152" s="33">
        <f>P149*6</f>
        <v>0</v>
      </c>
      <c r="Q152" s="33">
        <f>Q149*6</f>
        <v>0</v>
      </c>
      <c r="R152" s="723"/>
      <c r="S152" s="55" t="e">
        <f t="shared" si="103"/>
        <v>#REF!</v>
      </c>
      <c r="T152" s="670" t="e">
        <f t="shared" si="103"/>
        <v>#REF!</v>
      </c>
      <c r="U152" s="791" t="e">
        <f t="shared" si="103"/>
        <v>#REF!</v>
      </c>
      <c r="W152" s="1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Q152" s="63"/>
      <c r="AW152" s="1"/>
      <c r="BC152" s="143"/>
      <c r="BD152" s="143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CG152" s="143"/>
      <c r="CZ152" s="1"/>
      <c r="DO152" s="5"/>
      <c r="DP152" s="143"/>
      <c r="DQ152" s="143"/>
      <c r="DR152" s="143"/>
      <c r="DS152" s="143"/>
      <c r="FV152" s="143"/>
      <c r="JQ152" s="143"/>
      <c r="JR152" s="143"/>
      <c r="JS152" s="143"/>
      <c r="JT152" s="143"/>
      <c r="OX152" s="143"/>
      <c r="OY152" s="143"/>
      <c r="PA152" s="143"/>
      <c r="PO152" s="146"/>
      <c r="PS152" s="143"/>
      <c r="RV152" s="146"/>
      <c r="AHE152" s="142"/>
      <c r="AIT152" s="142"/>
      <c r="AIU152" s="142"/>
      <c r="AIV152" s="142"/>
    </row>
    <row r="153" spans="2:935" hidden="1" x14ac:dyDescent="0.25">
      <c r="B153" s="735"/>
      <c r="C153" s="423" t="s">
        <v>30</v>
      </c>
      <c r="D153" s="77"/>
      <c r="E153" s="592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593"/>
      <c r="S153" s="96"/>
      <c r="T153" s="695"/>
      <c r="U153" s="795"/>
      <c r="W153" s="1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Q153" s="63"/>
      <c r="AW153" s="1"/>
      <c r="BC153" s="143"/>
      <c r="BD153" s="143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CG153" s="143"/>
      <c r="CZ153" s="1"/>
      <c r="DO153" s="5"/>
      <c r="DP153" s="143"/>
      <c r="DQ153" s="143"/>
      <c r="DR153" s="143"/>
      <c r="DS153" s="143"/>
      <c r="FV153" s="143"/>
      <c r="JQ153" s="143"/>
      <c r="JR153" s="143"/>
      <c r="JS153" s="143"/>
      <c r="JT153" s="143"/>
      <c r="OX153" s="143"/>
      <c r="OY153" s="143"/>
      <c r="PA153" s="143"/>
      <c r="PO153" s="146"/>
      <c r="PS153" s="143"/>
      <c r="RV153" s="146"/>
      <c r="AHE153" s="142"/>
      <c r="AIT153" s="142"/>
      <c r="AIU153" s="142"/>
      <c r="AIV153" s="142"/>
    </row>
    <row r="154" spans="2:935" hidden="1" x14ac:dyDescent="0.25">
      <c r="B154" s="735"/>
      <c r="C154" s="573" t="s">
        <v>29</v>
      </c>
      <c r="D154" s="480"/>
      <c r="E154" s="500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723"/>
      <c r="S154" s="55"/>
      <c r="T154" s="670"/>
      <c r="U154" s="791"/>
      <c r="W154" s="1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Q154" s="63"/>
      <c r="AW154" s="1"/>
      <c r="BC154" s="143"/>
      <c r="BD154" s="143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CG154" s="143"/>
      <c r="CZ154" s="1"/>
      <c r="DO154" s="5"/>
      <c r="DP154" s="143"/>
      <c r="DQ154" s="143"/>
      <c r="DR154" s="143"/>
      <c r="DS154" s="143"/>
      <c r="FV154" s="143"/>
      <c r="JQ154" s="143"/>
      <c r="JR154" s="143"/>
      <c r="JS154" s="143"/>
      <c r="JT154" s="143"/>
      <c r="OX154" s="143"/>
      <c r="OY154" s="143"/>
      <c r="PA154" s="143"/>
      <c r="PO154" s="146"/>
      <c r="PS154" s="143"/>
      <c r="RV154" s="146"/>
      <c r="AHE154" s="142"/>
      <c r="AIT154" s="142"/>
      <c r="AIU154" s="142"/>
      <c r="AIV154" s="142"/>
    </row>
    <row r="155" spans="2:935" hidden="1" x14ac:dyDescent="0.25">
      <c r="B155" s="735"/>
      <c r="C155" s="440" t="s">
        <v>42</v>
      </c>
      <c r="D155" s="480"/>
      <c r="E155" s="500" t="s">
        <v>25</v>
      </c>
      <c r="F155" s="444">
        <f>F148/F139*100</f>
        <v>1200</v>
      </c>
      <c r="G155" s="444" t="e">
        <f>G148/G139*100</f>
        <v>#REF!</v>
      </c>
      <c r="H155" s="444" t="e">
        <f t="shared" ref="H155:Q156" si="106">H148/H139*100</f>
        <v>#DIV/0!</v>
      </c>
      <c r="I155" s="444" t="e">
        <f>I148/I139*100</f>
        <v>#DIV/0!</v>
      </c>
      <c r="J155" s="444" t="e">
        <f t="shared" si="106"/>
        <v>#DIV/0!</v>
      </c>
      <c r="K155" s="444" t="e">
        <f t="shared" si="106"/>
        <v>#DIV/0!</v>
      </c>
      <c r="L155" s="444" t="e">
        <f t="shared" si="106"/>
        <v>#DIV/0!</v>
      </c>
      <c r="M155" s="444" t="e">
        <f t="shared" si="106"/>
        <v>#DIV/0!</v>
      </c>
      <c r="N155" s="444" t="e">
        <f t="shared" si="106"/>
        <v>#DIV/0!</v>
      </c>
      <c r="O155" s="444" t="e">
        <f t="shared" ref="O155" si="107">O148/O139*100</f>
        <v>#REF!</v>
      </c>
      <c r="P155" s="444" t="e">
        <f t="shared" si="106"/>
        <v>#DIV/0!</v>
      </c>
      <c r="Q155" s="444" t="e">
        <f t="shared" si="106"/>
        <v>#DIV/0!</v>
      </c>
      <c r="R155" s="723"/>
      <c r="S155" s="59" t="e">
        <f>S148/S139*100</f>
        <v>#REF!</v>
      </c>
      <c r="T155" s="670"/>
      <c r="U155" s="791"/>
      <c r="W155" s="1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Q155" s="63"/>
      <c r="AW155" s="1"/>
      <c r="BC155" s="143"/>
      <c r="BD155" s="143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CG155" s="143"/>
      <c r="CZ155" s="1"/>
      <c r="DO155" s="5"/>
      <c r="DP155" s="143"/>
      <c r="DQ155" s="143"/>
      <c r="DR155" s="143"/>
      <c r="DS155" s="143"/>
      <c r="FV155" s="143"/>
      <c r="JQ155" s="143"/>
      <c r="JR155" s="143"/>
      <c r="JS155" s="143"/>
      <c r="JT155" s="143"/>
      <c r="OX155" s="143"/>
      <c r="OY155" s="143"/>
      <c r="PA155" s="143"/>
      <c r="PO155" s="146"/>
      <c r="PS155" s="143"/>
      <c r="RV155" s="146"/>
      <c r="AHE155" s="142"/>
      <c r="AIT155" s="142"/>
      <c r="AIU155" s="142"/>
      <c r="AIV155" s="142"/>
    </row>
    <row r="156" spans="2:935" hidden="1" x14ac:dyDescent="0.25">
      <c r="B156" s="735"/>
      <c r="C156" s="440" t="s">
        <v>41</v>
      </c>
      <c r="D156" s="480"/>
      <c r="E156" s="500" t="s">
        <v>25</v>
      </c>
      <c r="F156" s="444">
        <f>F149/F140*100</f>
        <v>600</v>
      </c>
      <c r="G156" s="444" t="e">
        <f>G149/G140*100</f>
        <v>#REF!</v>
      </c>
      <c r="H156" s="444" t="e">
        <f t="shared" si="106"/>
        <v>#DIV/0!</v>
      </c>
      <c r="I156" s="444" t="e">
        <f t="shared" si="106"/>
        <v>#DIV/0!</v>
      </c>
      <c r="J156" s="444" t="e">
        <f t="shared" si="106"/>
        <v>#DIV/0!</v>
      </c>
      <c r="K156" s="444" t="e">
        <f t="shared" si="106"/>
        <v>#DIV/0!</v>
      </c>
      <c r="L156" s="444" t="e">
        <f t="shared" si="106"/>
        <v>#DIV/0!</v>
      </c>
      <c r="M156" s="444" t="e">
        <f t="shared" si="106"/>
        <v>#DIV/0!</v>
      </c>
      <c r="N156" s="444" t="e">
        <f t="shared" si="106"/>
        <v>#DIV/0!</v>
      </c>
      <c r="O156" s="444" t="e">
        <f t="shared" ref="O156" si="108">O149/O140*100</f>
        <v>#REF!</v>
      </c>
      <c r="P156" s="444" t="e">
        <f t="shared" si="106"/>
        <v>#DIV/0!</v>
      </c>
      <c r="Q156" s="444" t="e">
        <f t="shared" si="106"/>
        <v>#DIV/0!</v>
      </c>
      <c r="R156" s="723"/>
      <c r="S156" s="59" t="e">
        <f>S149/S140*100</f>
        <v>#REF!</v>
      </c>
      <c r="T156" s="670"/>
      <c r="U156" s="791"/>
      <c r="W156" s="1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Q156" s="63"/>
      <c r="AW156" s="1"/>
      <c r="BC156" s="143"/>
      <c r="BD156" s="143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CG156" s="143"/>
      <c r="CZ156" s="1"/>
      <c r="DO156" s="5"/>
      <c r="DP156" s="143"/>
      <c r="DQ156" s="143"/>
      <c r="DR156" s="143"/>
      <c r="DS156" s="143"/>
      <c r="FV156" s="143"/>
      <c r="JQ156" s="143"/>
      <c r="JR156" s="143"/>
      <c r="JS156" s="143"/>
      <c r="JT156" s="143"/>
      <c r="OX156" s="143"/>
      <c r="OY156" s="143"/>
      <c r="PA156" s="143"/>
      <c r="PO156" s="146"/>
      <c r="PS156" s="143"/>
      <c r="RV156" s="146"/>
      <c r="AHE156" s="142"/>
      <c r="AIT156" s="142"/>
      <c r="AIU156" s="142"/>
      <c r="AIV156" s="142"/>
    </row>
    <row r="157" spans="2:935" hidden="1" x14ac:dyDescent="0.25">
      <c r="B157" s="735"/>
      <c r="C157" s="573" t="s">
        <v>28</v>
      </c>
      <c r="D157" s="480"/>
      <c r="E157" s="500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723"/>
      <c r="S157" s="55"/>
      <c r="T157" s="670"/>
      <c r="U157" s="791"/>
      <c r="W157" s="1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Q157" s="63"/>
      <c r="AW157" s="1"/>
      <c r="BC157" s="143"/>
      <c r="BD157" s="143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CG157" s="143"/>
      <c r="CZ157" s="1"/>
      <c r="DO157" s="5"/>
      <c r="DP157" s="143"/>
      <c r="DQ157" s="143"/>
      <c r="DR157" s="143"/>
      <c r="DS157" s="143"/>
      <c r="FV157" s="143"/>
      <c r="JQ157" s="143"/>
      <c r="JR157" s="143"/>
      <c r="JS157" s="143"/>
      <c r="JT157" s="143"/>
      <c r="OX157" s="143"/>
      <c r="OY157" s="143"/>
      <c r="PA157" s="143"/>
      <c r="PO157" s="146"/>
      <c r="PS157" s="143"/>
      <c r="RV157" s="146"/>
      <c r="AHE157" s="142"/>
      <c r="AIT157" s="142"/>
      <c r="AIU157" s="142"/>
      <c r="AIV157" s="142"/>
    </row>
    <row r="158" spans="2:935" hidden="1" x14ac:dyDescent="0.25">
      <c r="B158" s="735"/>
      <c r="C158" s="440" t="s">
        <v>42</v>
      </c>
      <c r="D158" s="480"/>
      <c r="E158" s="500" t="s">
        <v>25</v>
      </c>
      <c r="F158" s="444">
        <f>F151/F142*100</f>
        <v>1200</v>
      </c>
      <c r="G158" s="444" t="e">
        <f>G151/G142*100</f>
        <v>#REF!</v>
      </c>
      <c r="H158" s="444" t="e">
        <f t="shared" ref="H158:Q159" si="109">H151/H142*100</f>
        <v>#DIV/0!</v>
      </c>
      <c r="I158" s="444" t="e">
        <f t="shared" si="109"/>
        <v>#DIV/0!</v>
      </c>
      <c r="J158" s="444" t="e">
        <f t="shared" si="109"/>
        <v>#DIV/0!</v>
      </c>
      <c r="K158" s="444" t="e">
        <f t="shared" si="109"/>
        <v>#DIV/0!</v>
      </c>
      <c r="L158" s="444" t="e">
        <f t="shared" si="109"/>
        <v>#DIV/0!</v>
      </c>
      <c r="M158" s="444" t="e">
        <f t="shared" si="109"/>
        <v>#DIV/0!</v>
      </c>
      <c r="N158" s="444" t="e">
        <f t="shared" si="109"/>
        <v>#DIV/0!</v>
      </c>
      <c r="O158" s="444" t="e">
        <f t="shared" ref="O158" si="110">O151/O142*100</f>
        <v>#REF!</v>
      </c>
      <c r="P158" s="444" t="e">
        <f t="shared" si="109"/>
        <v>#DIV/0!</v>
      </c>
      <c r="Q158" s="444" t="e">
        <f t="shared" si="109"/>
        <v>#DIV/0!</v>
      </c>
      <c r="R158" s="723"/>
      <c r="S158" s="59" t="e">
        <f>S151/S142*100</f>
        <v>#REF!</v>
      </c>
      <c r="T158" s="670"/>
      <c r="U158" s="791"/>
      <c r="W158" s="1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Q158" s="63"/>
      <c r="AW158" s="1"/>
      <c r="BC158" s="143"/>
      <c r="BD158" s="143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CG158" s="143"/>
      <c r="CZ158" s="1"/>
      <c r="DO158" s="5"/>
      <c r="DP158" s="143"/>
      <c r="DQ158" s="143"/>
      <c r="DR158" s="143"/>
      <c r="DS158" s="143"/>
      <c r="FV158" s="143"/>
      <c r="JQ158" s="143"/>
      <c r="JR158" s="143"/>
      <c r="JS158" s="143"/>
      <c r="JT158" s="143"/>
      <c r="OX158" s="143"/>
      <c r="OY158" s="143"/>
      <c r="PA158" s="143"/>
      <c r="PO158" s="146"/>
      <c r="PS158" s="143"/>
      <c r="RV158" s="146"/>
      <c r="AHE158" s="142"/>
      <c r="AIT158" s="142"/>
      <c r="AIU158" s="142"/>
      <c r="AIV158" s="142"/>
    </row>
    <row r="159" spans="2:935" hidden="1" x14ac:dyDescent="0.25">
      <c r="B159" s="735"/>
      <c r="C159" s="440" t="s">
        <v>41</v>
      </c>
      <c r="D159" s="480"/>
      <c r="E159" s="500" t="s">
        <v>25</v>
      </c>
      <c r="F159" s="444">
        <f>F152/F143*100</f>
        <v>600</v>
      </c>
      <c r="G159" s="444" t="e">
        <f>G152/G143*100</f>
        <v>#REF!</v>
      </c>
      <c r="H159" s="444" t="e">
        <f t="shared" si="109"/>
        <v>#DIV/0!</v>
      </c>
      <c r="I159" s="444" t="e">
        <f t="shared" si="109"/>
        <v>#DIV/0!</v>
      </c>
      <c r="J159" s="444" t="e">
        <f t="shared" si="109"/>
        <v>#DIV/0!</v>
      </c>
      <c r="K159" s="444" t="e">
        <f t="shared" si="109"/>
        <v>#DIV/0!</v>
      </c>
      <c r="L159" s="444" t="e">
        <f t="shared" si="109"/>
        <v>#DIV/0!</v>
      </c>
      <c r="M159" s="444" t="e">
        <f t="shared" si="109"/>
        <v>#DIV/0!</v>
      </c>
      <c r="N159" s="444" t="e">
        <f t="shared" si="109"/>
        <v>#DIV/0!</v>
      </c>
      <c r="O159" s="444" t="e">
        <f t="shared" ref="O159" si="111">O152/O143*100</f>
        <v>#REF!</v>
      </c>
      <c r="P159" s="444" t="e">
        <f t="shared" si="109"/>
        <v>#DIV/0!</v>
      </c>
      <c r="Q159" s="444" t="e">
        <f t="shared" si="109"/>
        <v>#DIV/0!</v>
      </c>
      <c r="R159" s="723"/>
      <c r="S159" s="59" t="e">
        <f>S152/S143*100</f>
        <v>#REF!</v>
      </c>
      <c r="T159" s="670"/>
      <c r="U159" s="791"/>
      <c r="W159" s="1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Q159" s="63"/>
      <c r="AW159" s="1"/>
      <c r="BC159" s="143"/>
      <c r="BD159" s="143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CG159" s="143"/>
      <c r="CZ159" s="1"/>
      <c r="DO159" s="5"/>
      <c r="DP159" s="143"/>
      <c r="DQ159" s="143"/>
      <c r="DR159" s="143"/>
      <c r="DS159" s="143"/>
      <c r="FV159" s="143"/>
      <c r="JQ159" s="143"/>
      <c r="JR159" s="143"/>
      <c r="JS159" s="143"/>
      <c r="JT159" s="143"/>
      <c r="OX159" s="143"/>
      <c r="OY159" s="143"/>
      <c r="PA159" s="143"/>
      <c r="PO159" s="146"/>
      <c r="PS159" s="143"/>
      <c r="RV159" s="146"/>
      <c r="AHE159" s="142"/>
      <c r="AIT159" s="142"/>
      <c r="AIU159" s="142"/>
      <c r="AIV159" s="142"/>
    </row>
    <row r="160" spans="2:935" hidden="1" x14ac:dyDescent="0.25">
      <c r="B160" s="731">
        <v>8</v>
      </c>
      <c r="C160" s="423" t="s">
        <v>40</v>
      </c>
      <c r="D160" s="48"/>
      <c r="E160" s="48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3"/>
      <c r="S160" s="526" t="s">
        <v>131</v>
      </c>
      <c r="T160" s="681" t="s">
        <v>131</v>
      </c>
      <c r="U160" s="781" t="s">
        <v>131</v>
      </c>
      <c r="W160" s="1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Q160" s="63"/>
      <c r="AW160" s="1"/>
      <c r="BC160" s="142"/>
      <c r="BD160" s="142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CG160" s="142"/>
      <c r="CZ160" s="1"/>
      <c r="DO160" s="5"/>
      <c r="DP160" s="142"/>
      <c r="DQ160" s="142"/>
      <c r="DR160" s="142"/>
      <c r="DS160" s="142"/>
      <c r="FV160" s="142"/>
      <c r="JQ160" s="142"/>
      <c r="JR160" s="142"/>
      <c r="JS160" s="142"/>
      <c r="JT160" s="142"/>
      <c r="OX160" s="142"/>
      <c r="OY160" s="142"/>
      <c r="PA160" s="142"/>
      <c r="PO160" s="485"/>
      <c r="PS160" s="142"/>
      <c r="RV160" s="485"/>
      <c r="AHE160" s="142"/>
      <c r="AIT160" s="142"/>
      <c r="AIU160" s="142"/>
      <c r="AIV160" s="142"/>
    </row>
    <row r="161" spans="2:932" hidden="1" x14ac:dyDescent="0.25">
      <c r="B161" s="735"/>
      <c r="C161" s="583" t="s">
        <v>116</v>
      </c>
      <c r="D161" s="584"/>
      <c r="E161" s="20" t="s">
        <v>14</v>
      </c>
      <c r="F161" s="594">
        <f>'[24]Januari 24'!AL150</f>
        <v>0</v>
      </c>
      <c r="G161" s="594" t="e">
        <f>'[24]Februari 24'!AI150</f>
        <v>#REF!</v>
      </c>
      <c r="H161" s="594">
        <f>'[24]Maret 24'!AL150</f>
        <v>0</v>
      </c>
      <c r="I161" s="594">
        <f>'[24]April 24'!AL150</f>
        <v>0</v>
      </c>
      <c r="J161" s="594">
        <f>'[24]Mei 24'!AL150</f>
        <v>0</v>
      </c>
      <c r="K161" s="594" t="e">
        <f>'[24]July 24'!AM107</f>
        <v>#REF!</v>
      </c>
      <c r="L161" s="594">
        <f>'[24]July 24'!AL150</f>
        <v>0</v>
      </c>
      <c r="M161" s="594">
        <f>'[24]Agustus 24'!AL150</f>
        <v>0</v>
      </c>
      <c r="N161" s="594">
        <f>'[24]September 24'!AL150</f>
        <v>0</v>
      </c>
      <c r="O161" s="594" t="e">
        <f>'[24]September 24'!AM150</f>
        <v>#REF!</v>
      </c>
      <c r="P161" s="594">
        <f>'[24]November 24'!AL150</f>
        <v>0</v>
      </c>
      <c r="Q161" s="594">
        <f>'[24]Desember 24'!AL156</f>
        <v>0</v>
      </c>
      <c r="R161" s="737"/>
      <c r="S161" s="90" t="e">
        <f>SUM(S162:S163)</f>
        <v>#REF!</v>
      </c>
      <c r="T161" s="690" t="e">
        <f>SUM(T162:T163)</f>
        <v>#REF!</v>
      </c>
      <c r="U161" s="792" t="e">
        <f>SUM(U162:U163)</f>
        <v>#REF!</v>
      </c>
      <c r="W161" s="1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Q161" s="63"/>
      <c r="AW161" s="1"/>
      <c r="BC161" s="143"/>
      <c r="BD161" s="143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CG161" s="143"/>
      <c r="CZ161" s="1"/>
      <c r="DO161" s="5"/>
      <c r="DP161" s="143"/>
      <c r="DQ161" s="143"/>
      <c r="DR161" s="143"/>
      <c r="DS161" s="143"/>
      <c r="FV161" s="143"/>
      <c r="JQ161" s="143"/>
      <c r="JR161" s="143"/>
      <c r="JS161" s="143"/>
      <c r="JT161" s="143"/>
      <c r="OX161" s="143"/>
      <c r="OY161" s="143"/>
      <c r="PA161" s="143"/>
      <c r="PO161" s="146"/>
      <c r="PS161" s="143"/>
      <c r="RV161" s="146"/>
      <c r="AHE161" s="142"/>
      <c r="AIT161" s="142"/>
      <c r="AIU161" s="142"/>
      <c r="AIV161" s="142"/>
    </row>
    <row r="162" spans="2:932" hidden="1" x14ac:dyDescent="0.25">
      <c r="B162" s="735"/>
      <c r="C162" s="573" t="s">
        <v>39</v>
      </c>
      <c r="D162" s="480"/>
      <c r="E162" s="500" t="s">
        <v>14</v>
      </c>
      <c r="F162" s="444">
        <f t="shared" ref="F162" si="112">SUM(F166:F168)*9.75348</f>
        <v>0</v>
      </c>
      <c r="G162" s="444">
        <f t="shared" ref="G162:Q162" si="113">SUM(G166:G168)*9.75348</f>
        <v>63348.852599999998</v>
      </c>
      <c r="H162" s="444">
        <f>'[24]Maret 24'!AL151</f>
        <v>0</v>
      </c>
      <c r="I162" s="444">
        <f>'[24]April 24'!AL151</f>
        <v>0</v>
      </c>
      <c r="J162" s="444">
        <f t="shared" si="113"/>
        <v>0</v>
      </c>
      <c r="K162" s="444">
        <f t="shared" si="113"/>
        <v>0</v>
      </c>
      <c r="L162" s="444">
        <f t="shared" si="113"/>
        <v>0</v>
      </c>
      <c r="M162" s="444">
        <f>'[24]Agustus 24'!AL124</f>
        <v>0</v>
      </c>
      <c r="N162" s="444">
        <f t="shared" ref="N162" si="114">SUM(N166:N168)*9.75348</f>
        <v>0</v>
      </c>
      <c r="O162" s="444" t="e">
        <f t="shared" ref="O162" si="115">SUM(O166:O168)*9.75348</f>
        <v>#REF!</v>
      </c>
      <c r="P162" s="444" t="e">
        <f t="shared" si="113"/>
        <v>#REF!</v>
      </c>
      <c r="Q162" s="444">
        <f t="shared" si="113"/>
        <v>0</v>
      </c>
      <c r="R162" s="723"/>
      <c r="S162" s="59" t="e">
        <f t="shared" ref="S162:U163" si="116">SUM(F162:Q162)</f>
        <v>#REF!</v>
      </c>
      <c r="T162" s="673" t="e">
        <f t="shared" si="116"/>
        <v>#REF!</v>
      </c>
      <c r="U162" s="774" t="e">
        <f t="shared" si="116"/>
        <v>#REF!</v>
      </c>
      <c r="W162" s="1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Q162" s="63"/>
      <c r="AW162" s="1"/>
      <c r="BC162" s="143"/>
      <c r="BD162" s="143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CG162" s="143"/>
      <c r="CZ162" s="1"/>
      <c r="DO162" s="5"/>
      <c r="DP162" s="143"/>
      <c r="DQ162" s="143"/>
      <c r="DR162" s="143"/>
      <c r="DS162" s="143"/>
      <c r="FV162" s="143"/>
      <c r="JQ162" s="143"/>
      <c r="JR162" s="143"/>
      <c r="JS162" s="143"/>
      <c r="JT162" s="143"/>
      <c r="OX162" s="143"/>
      <c r="OY162" s="143"/>
      <c r="PA162" s="143"/>
      <c r="PO162" s="146"/>
      <c r="PS162" s="143"/>
      <c r="RV162" s="146"/>
      <c r="AHE162" s="142"/>
      <c r="AIT162" s="142"/>
      <c r="AIU162" s="142"/>
      <c r="AIV162" s="142"/>
    </row>
    <row r="163" spans="2:932" hidden="1" x14ac:dyDescent="0.25">
      <c r="B163" s="735"/>
      <c r="C163" s="573" t="s">
        <v>38</v>
      </c>
      <c r="D163" s="480"/>
      <c r="E163" s="500" t="s">
        <v>14</v>
      </c>
      <c r="F163" s="444">
        <f>F161-F162</f>
        <v>0</v>
      </c>
      <c r="G163" s="444" t="e">
        <f t="shared" ref="G163" si="117">G161-G162</f>
        <v>#REF!</v>
      </c>
      <c r="H163" s="444">
        <f t="shared" ref="H163:Q163" si="118">H161-H162</f>
        <v>0</v>
      </c>
      <c r="I163" s="444">
        <f t="shared" si="118"/>
        <v>0</v>
      </c>
      <c r="J163" s="444">
        <f t="shared" si="118"/>
        <v>0</v>
      </c>
      <c r="K163" s="444" t="e">
        <f t="shared" si="118"/>
        <v>#REF!</v>
      </c>
      <c r="L163" s="444">
        <f t="shared" si="118"/>
        <v>0</v>
      </c>
      <c r="M163" s="444">
        <f t="shared" si="118"/>
        <v>0</v>
      </c>
      <c r="N163" s="443">
        <f t="shared" si="118"/>
        <v>0</v>
      </c>
      <c r="O163" s="443" t="e">
        <f t="shared" ref="O163" si="119">O161-O162</f>
        <v>#REF!</v>
      </c>
      <c r="P163" s="444" t="e">
        <f t="shared" si="118"/>
        <v>#REF!</v>
      </c>
      <c r="Q163" s="444">
        <f t="shared" si="118"/>
        <v>0</v>
      </c>
      <c r="R163" s="723"/>
      <c r="S163" s="59" t="e">
        <f t="shared" si="116"/>
        <v>#REF!</v>
      </c>
      <c r="T163" s="673" t="e">
        <f t="shared" si="116"/>
        <v>#REF!</v>
      </c>
      <c r="U163" s="774" t="e">
        <f t="shared" si="116"/>
        <v>#REF!</v>
      </c>
      <c r="W163" s="1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Q163" s="63"/>
      <c r="AW163" s="1"/>
      <c r="BC163" s="143"/>
      <c r="BD163" s="143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CG163" s="143"/>
      <c r="CZ163" s="1"/>
      <c r="DO163" s="5"/>
      <c r="DP163" s="143"/>
      <c r="DQ163" s="143"/>
      <c r="DR163" s="143"/>
      <c r="DS163" s="143"/>
      <c r="FV163" s="143"/>
      <c r="JQ163" s="143"/>
      <c r="JR163" s="143"/>
      <c r="JS163" s="143"/>
      <c r="JT163" s="143"/>
      <c r="OX163" s="143"/>
      <c r="OY163" s="143"/>
      <c r="PA163" s="143"/>
      <c r="PO163" s="146"/>
      <c r="PS163" s="143"/>
      <c r="RV163" s="146"/>
      <c r="AHE163" s="142"/>
      <c r="AIT163" s="142"/>
      <c r="AIU163" s="142"/>
      <c r="AIV163" s="142"/>
    </row>
    <row r="164" spans="2:932" hidden="1" x14ac:dyDescent="0.25">
      <c r="B164" s="735"/>
      <c r="C164" s="573" t="s">
        <v>29</v>
      </c>
      <c r="D164" s="480"/>
      <c r="E164" s="468"/>
      <c r="F164" s="443"/>
      <c r="G164" s="443" t="s">
        <v>357</v>
      </c>
      <c r="H164" s="443"/>
      <c r="I164" s="443"/>
      <c r="J164" s="443"/>
      <c r="K164" s="443"/>
      <c r="L164" s="443"/>
      <c r="M164" s="443"/>
      <c r="N164" s="443"/>
      <c r="O164" s="443"/>
      <c r="P164" s="443"/>
      <c r="Q164" s="443"/>
      <c r="R164" s="723"/>
      <c r="S164" s="64" t="s">
        <v>29</v>
      </c>
      <c r="T164" s="692" t="s">
        <v>29</v>
      </c>
      <c r="U164" s="790" t="s">
        <v>29</v>
      </c>
      <c r="W164" s="1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Q164" s="63"/>
      <c r="AW164" s="1"/>
      <c r="BC164" s="143"/>
      <c r="BD164" s="143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CG164" s="143"/>
      <c r="CZ164" s="1"/>
      <c r="DO164" s="5"/>
      <c r="DP164" s="143"/>
      <c r="DQ164" s="143"/>
      <c r="DR164" s="143"/>
      <c r="DS164" s="143"/>
      <c r="FV164" s="143"/>
      <c r="JQ164" s="143"/>
      <c r="JR164" s="143"/>
      <c r="JS164" s="143"/>
      <c r="JT164" s="143"/>
      <c r="OX164" s="143"/>
      <c r="OY164" s="143"/>
      <c r="PA164" s="143"/>
      <c r="PO164" s="146"/>
      <c r="PS164" s="143"/>
      <c r="RV164" s="146"/>
      <c r="AHE164" s="142"/>
      <c r="AIT164" s="142"/>
      <c r="AIU164" s="142"/>
      <c r="AIV164" s="142"/>
    </row>
    <row r="165" spans="2:932" hidden="1" x14ac:dyDescent="0.25">
      <c r="B165" s="735"/>
      <c r="C165" s="440" t="s">
        <v>117</v>
      </c>
      <c r="D165" s="480"/>
      <c r="E165" s="577" t="s">
        <v>31</v>
      </c>
      <c r="F165" s="443">
        <f>'[24]Januari 24'!AL154</f>
        <v>0</v>
      </c>
      <c r="G165" s="443">
        <f>'[24]Februari 24'!AL154</f>
        <v>202</v>
      </c>
      <c r="H165" s="443">
        <f>'[24]Maret 24'!AL154</f>
        <v>0</v>
      </c>
      <c r="I165" s="443">
        <f>'[24]April 24'!AL154</f>
        <v>0</v>
      </c>
      <c r="J165" s="443">
        <f>'[24]Mei 24'!AL154</f>
        <v>0</v>
      </c>
      <c r="K165" s="443">
        <f>'[24]Juny 24'!AL154</f>
        <v>0</v>
      </c>
      <c r="L165" s="443">
        <f>'[24]July 24'!AL154</f>
        <v>0</v>
      </c>
      <c r="M165" s="443">
        <f>'[24]Agustus 24'!AL154</f>
        <v>0</v>
      </c>
      <c r="N165" s="443">
        <f>'[24]September 24'!AL154</f>
        <v>0</v>
      </c>
      <c r="O165" s="443" t="e">
        <f>'[24]September 24'!AM154</f>
        <v>#REF!</v>
      </c>
      <c r="P165" s="443"/>
      <c r="Q165" s="443"/>
      <c r="R165" s="723"/>
      <c r="S165" s="64"/>
      <c r="T165" s="692">
        <v>11326</v>
      </c>
      <c r="U165" s="790"/>
      <c r="W165" s="1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Q165" s="63"/>
      <c r="AW165" s="1"/>
      <c r="BC165" s="143"/>
      <c r="BD165" s="143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CG165" s="143"/>
      <c r="CZ165" s="1"/>
      <c r="DO165" s="5"/>
      <c r="DP165" s="143"/>
      <c r="DQ165" s="143"/>
      <c r="DR165" s="143"/>
      <c r="DS165" s="143"/>
      <c r="FV165" s="143"/>
      <c r="JQ165" s="143"/>
      <c r="JR165" s="143"/>
      <c r="JS165" s="143"/>
      <c r="JT165" s="143"/>
      <c r="OX165" s="143"/>
      <c r="OY165" s="143"/>
      <c r="PA165" s="143"/>
      <c r="PO165" s="146"/>
      <c r="PS165" s="143"/>
      <c r="RV165" s="146"/>
      <c r="AHE165" s="142"/>
      <c r="AIT165" s="142"/>
      <c r="AIU165" s="142"/>
      <c r="AIV165" s="142"/>
    </row>
    <row r="166" spans="2:932" hidden="1" x14ac:dyDescent="0.25">
      <c r="B166" s="736"/>
      <c r="C166" s="440" t="s">
        <v>27</v>
      </c>
      <c r="D166" s="441"/>
      <c r="E166" s="577" t="s">
        <v>31</v>
      </c>
      <c r="F166" s="283">
        <f>'[24]Januari 24'!AL155</f>
        <v>0</v>
      </c>
      <c r="G166" s="283">
        <f>'[24]Februari 24'!AL155</f>
        <v>1126</v>
      </c>
      <c r="H166" s="283">
        <f>'[24]Maret 24'!AL155</f>
        <v>0</v>
      </c>
      <c r="I166" s="283">
        <f>'[24]April 24'!AL155</f>
        <v>0</v>
      </c>
      <c r="J166" s="283">
        <f>'[24]Mei 24'!AL155</f>
        <v>0</v>
      </c>
      <c r="K166" s="283">
        <f>'[24]Juny 24'!AL155</f>
        <v>0</v>
      </c>
      <c r="L166" s="283">
        <f>'[24]July 24'!AL155</f>
        <v>0</v>
      </c>
      <c r="M166" s="283">
        <f>'[24]Agustus 24'!AL155</f>
        <v>0</v>
      </c>
      <c r="N166" s="283">
        <f>'[24]September 24'!AL155</f>
        <v>0</v>
      </c>
      <c r="O166" s="283" t="e">
        <f>'[24]September 24'!AM155</f>
        <v>#REF!</v>
      </c>
      <c r="P166" s="283" t="e">
        <f>'[24]November 24'!AK159</f>
        <v>#REF!</v>
      </c>
      <c r="Q166" s="283">
        <f>'[24]Desember 24'!AL160</f>
        <v>0</v>
      </c>
      <c r="R166" s="725"/>
      <c r="S166" s="92" t="e">
        <f t="shared" ref="S166:U168" si="120">SUM(F166:Q166)</f>
        <v>#REF!</v>
      </c>
      <c r="T166" s="693">
        <v>62922</v>
      </c>
      <c r="U166" s="794" t="e">
        <f t="shared" si="120"/>
        <v>#REF!</v>
      </c>
      <c r="W166" s="1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Q166" s="63"/>
      <c r="AW166" s="16"/>
      <c r="BC166" s="149"/>
      <c r="BD166" s="149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CG166" s="149"/>
      <c r="CZ166" s="1"/>
      <c r="DO166" s="521"/>
      <c r="DP166" s="149"/>
      <c r="DQ166" s="149"/>
      <c r="DR166" s="149"/>
      <c r="DS166" s="149"/>
      <c r="FV166" s="149"/>
      <c r="JQ166" s="149"/>
      <c r="JR166" s="149"/>
      <c r="JS166" s="149"/>
      <c r="JT166" s="149"/>
      <c r="OX166" s="149"/>
      <c r="OY166" s="149"/>
      <c r="PA166" s="149"/>
      <c r="PO166" s="578"/>
      <c r="PS166" s="149"/>
      <c r="RV166" s="578"/>
      <c r="AHE166" s="145"/>
      <c r="AIT166" s="145"/>
      <c r="AIU166" s="145"/>
      <c r="AIV166" s="145"/>
    </row>
    <row r="167" spans="2:932" hidden="1" x14ac:dyDescent="0.25">
      <c r="B167" s="736"/>
      <c r="C167" s="440" t="s">
        <v>26</v>
      </c>
      <c r="D167" s="441"/>
      <c r="E167" s="577" t="s">
        <v>31</v>
      </c>
      <c r="F167" s="283">
        <f>'[24]Januari 24'!AL156</f>
        <v>0</v>
      </c>
      <c r="G167" s="283">
        <f>'[24]Februari 24'!AL156</f>
        <v>5369</v>
      </c>
      <c r="H167" s="283">
        <f>'[24]Maret 24'!AL156</f>
        <v>0</v>
      </c>
      <c r="I167" s="283">
        <f>'[24]April 24'!AL156</f>
        <v>0</v>
      </c>
      <c r="J167" s="283">
        <f>'[24]Mei 24'!AL156</f>
        <v>0</v>
      </c>
      <c r="K167" s="283">
        <f>'[24]Juny 24'!AL156</f>
        <v>0</v>
      </c>
      <c r="L167" s="283">
        <f>'[24]July 24'!AL156</f>
        <v>0</v>
      </c>
      <c r="M167" s="283">
        <f>'[24]Agustus 24'!AL156</f>
        <v>0</v>
      </c>
      <c r="N167" s="283">
        <f>'[24]September 24'!AL156</f>
        <v>0</v>
      </c>
      <c r="O167" s="283" t="e">
        <f>'[24]September 24'!AM156</f>
        <v>#REF!</v>
      </c>
      <c r="P167" s="283" t="e">
        <f>'[24]November 24'!AK160</f>
        <v>#REF!</v>
      </c>
      <c r="Q167" s="283">
        <f>'[24]Desember 24'!AL161</f>
        <v>0</v>
      </c>
      <c r="R167" s="725"/>
      <c r="S167" s="92" t="e">
        <f t="shared" si="120"/>
        <v>#REF!</v>
      </c>
      <c r="T167" s="693">
        <v>172089</v>
      </c>
      <c r="U167" s="794" t="e">
        <f t="shared" si="120"/>
        <v>#REF!</v>
      </c>
      <c r="W167" s="1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Q167" s="63"/>
      <c r="AW167" s="16"/>
      <c r="BC167" s="149"/>
      <c r="BD167" s="149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CG167" s="149"/>
      <c r="CZ167" s="1"/>
      <c r="DO167" s="521"/>
      <c r="DP167" s="149"/>
      <c r="DQ167" s="149"/>
      <c r="DR167" s="149"/>
      <c r="DS167" s="149"/>
      <c r="FV167" s="149"/>
      <c r="JQ167" s="149"/>
      <c r="JR167" s="149"/>
      <c r="JS167" s="149"/>
      <c r="JT167" s="149"/>
      <c r="OX167" s="149"/>
      <c r="OY167" s="149"/>
      <c r="PA167" s="149"/>
      <c r="PO167" s="578"/>
      <c r="PS167" s="149"/>
      <c r="RV167" s="578"/>
      <c r="AHE167" s="145"/>
      <c r="AIT167" s="145"/>
      <c r="AIU167" s="145"/>
      <c r="AIV167" s="145"/>
    </row>
    <row r="168" spans="2:932" hidden="1" x14ac:dyDescent="0.25">
      <c r="B168" s="736"/>
      <c r="C168" s="440" t="s">
        <v>37</v>
      </c>
      <c r="D168" s="441"/>
      <c r="E168" s="577" t="s">
        <v>31</v>
      </c>
      <c r="F168" s="283">
        <f>'[24]Januari 24'!AL157</f>
        <v>0</v>
      </c>
      <c r="G168" s="283">
        <f>'[24]Februari 24'!AL157</f>
        <v>0</v>
      </c>
      <c r="H168" s="283">
        <f>'[24]Maret 24'!AL157</f>
        <v>0</v>
      </c>
      <c r="I168" s="283">
        <f>'[24]April 24'!AL157</f>
        <v>0</v>
      </c>
      <c r="J168" s="283">
        <f>'[24]Mei 24'!AL157</f>
        <v>0</v>
      </c>
      <c r="K168" s="283">
        <f>'[24]Juny 24'!AL157</f>
        <v>0</v>
      </c>
      <c r="L168" s="283">
        <f>'[24]July 24'!AL157</f>
        <v>0</v>
      </c>
      <c r="M168" s="283">
        <f>'[24]Agustus 24'!AL157</f>
        <v>0</v>
      </c>
      <c r="N168" s="283">
        <f>'[24]September 24'!AL157</f>
        <v>0</v>
      </c>
      <c r="O168" s="283" t="e">
        <f>'[24]September 24'!AM157</f>
        <v>#REF!</v>
      </c>
      <c r="P168" s="283" t="e">
        <f>'[24]November 24'!AK161</f>
        <v>#REF!</v>
      </c>
      <c r="Q168" s="283">
        <f>'[24]Desember 24'!AL162</f>
        <v>0</v>
      </c>
      <c r="R168" s="725"/>
      <c r="S168" s="92" t="e">
        <f t="shared" si="120"/>
        <v>#REF!</v>
      </c>
      <c r="T168" s="693" t="e">
        <f t="shared" si="120"/>
        <v>#REF!</v>
      </c>
      <c r="U168" s="794" t="e">
        <f t="shared" si="120"/>
        <v>#REF!</v>
      </c>
      <c r="W168" s="1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Q168" s="63"/>
      <c r="AW168" s="16"/>
      <c r="BC168" s="149"/>
      <c r="BD168" s="149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CG168" s="149"/>
      <c r="CZ168" s="1"/>
      <c r="DO168" s="521"/>
      <c r="DP168" s="149"/>
      <c r="DQ168" s="149"/>
      <c r="DR168" s="149"/>
      <c r="DS168" s="149"/>
      <c r="FV168" s="149"/>
      <c r="JQ168" s="149"/>
      <c r="JR168" s="149"/>
      <c r="JS168" s="149"/>
      <c r="JT168" s="149"/>
      <c r="OX168" s="149"/>
      <c r="OY168" s="149"/>
      <c r="PA168" s="149"/>
      <c r="PO168" s="578"/>
      <c r="PS168" s="149"/>
      <c r="RV168" s="578"/>
      <c r="AHE168" s="145"/>
      <c r="AIT168" s="145"/>
      <c r="AIU168" s="145"/>
      <c r="AIV168" s="145"/>
    </row>
    <row r="169" spans="2:932" hidden="1" x14ac:dyDescent="0.25">
      <c r="B169" s="735"/>
      <c r="C169" s="573" t="s">
        <v>28</v>
      </c>
      <c r="D169" s="480"/>
      <c r="E169" s="468"/>
      <c r="F169" s="443"/>
      <c r="G169" s="443"/>
      <c r="H169" s="443"/>
      <c r="I169" s="443"/>
      <c r="J169" s="443"/>
      <c r="K169" s="443"/>
      <c r="L169" s="443"/>
      <c r="M169" s="443"/>
      <c r="N169" s="443"/>
      <c r="O169" s="443"/>
      <c r="P169" s="443"/>
      <c r="Q169" s="443"/>
      <c r="R169" s="723"/>
      <c r="S169" s="64" t="s">
        <v>28</v>
      </c>
      <c r="T169" s="692" t="s">
        <v>28</v>
      </c>
      <c r="U169" s="790" t="s">
        <v>28</v>
      </c>
      <c r="W169" s="1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Q169" s="63"/>
      <c r="AW169" s="1"/>
      <c r="BC169" s="143"/>
      <c r="BD169" s="143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CG169" s="143"/>
      <c r="CZ169" s="1"/>
      <c r="DO169" s="5"/>
      <c r="DP169" s="143"/>
      <c r="DQ169" s="143"/>
      <c r="DR169" s="143"/>
      <c r="DS169" s="143"/>
      <c r="FV169" s="143"/>
      <c r="JQ169" s="143"/>
      <c r="JR169" s="143"/>
      <c r="JS169" s="143"/>
      <c r="JT169" s="143"/>
      <c r="OX169" s="143"/>
      <c r="OY169" s="143"/>
      <c r="PA169" s="143"/>
      <c r="PO169" s="146"/>
      <c r="PS169" s="143"/>
      <c r="RV169" s="146"/>
      <c r="AHE169" s="142"/>
      <c r="AIT169" s="142"/>
      <c r="AIU169" s="142"/>
      <c r="AIV169" s="142"/>
    </row>
    <row r="170" spans="2:932" hidden="1" x14ac:dyDescent="0.25">
      <c r="B170" s="735"/>
      <c r="C170" s="440" t="s">
        <v>27</v>
      </c>
      <c r="D170" s="480"/>
      <c r="E170" s="500" t="s">
        <v>28</v>
      </c>
      <c r="F170" s="443">
        <f>F166*24</f>
        <v>0</v>
      </c>
      <c r="G170" s="443">
        <f t="shared" ref="G170" si="121">G166*24</f>
        <v>27024</v>
      </c>
      <c r="H170" s="443">
        <f t="shared" ref="H170:Q170" si="122">H166*24</f>
        <v>0</v>
      </c>
      <c r="I170" s="443">
        <f t="shared" si="122"/>
        <v>0</v>
      </c>
      <c r="J170" s="443">
        <f t="shared" si="122"/>
        <v>0</v>
      </c>
      <c r="K170" s="443">
        <f t="shared" si="122"/>
        <v>0</v>
      </c>
      <c r="L170" s="443">
        <f t="shared" si="122"/>
        <v>0</v>
      </c>
      <c r="M170" s="443">
        <f t="shared" si="122"/>
        <v>0</v>
      </c>
      <c r="N170" s="443">
        <f t="shared" si="122"/>
        <v>0</v>
      </c>
      <c r="O170" s="443" t="e">
        <f t="shared" ref="O170" si="123">O166*24</f>
        <v>#REF!</v>
      </c>
      <c r="P170" s="443" t="e">
        <f t="shared" si="122"/>
        <v>#REF!</v>
      </c>
      <c r="Q170" s="443">
        <f t="shared" si="122"/>
        <v>0</v>
      </c>
      <c r="R170" s="723"/>
      <c r="S170" s="55" t="e">
        <f>S166*24</f>
        <v>#REF!</v>
      </c>
      <c r="T170" s="670">
        <f>T166*24</f>
        <v>1510128</v>
      </c>
      <c r="U170" s="791" t="e">
        <f>U166*24</f>
        <v>#REF!</v>
      </c>
      <c r="W170" s="1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Q170" s="63"/>
      <c r="AW170" s="1"/>
      <c r="BC170" s="143"/>
      <c r="BD170" s="143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CG170" s="143"/>
      <c r="CZ170" s="1"/>
      <c r="DO170" s="5"/>
      <c r="DP170" s="143"/>
      <c r="DQ170" s="143"/>
      <c r="DR170" s="143"/>
      <c r="DS170" s="143"/>
      <c r="FV170" s="143"/>
      <c r="JQ170" s="143"/>
      <c r="JR170" s="143"/>
      <c r="JS170" s="143"/>
      <c r="JT170" s="143"/>
      <c r="OX170" s="143"/>
      <c r="OY170" s="143"/>
      <c r="PA170" s="143"/>
      <c r="PO170" s="146"/>
      <c r="PS170" s="143"/>
      <c r="RV170" s="146"/>
      <c r="AHE170" s="142"/>
      <c r="AIT170" s="142"/>
      <c r="AIU170" s="142"/>
      <c r="AIV170" s="142"/>
    </row>
    <row r="171" spans="2:932" hidden="1" x14ac:dyDescent="0.25">
      <c r="B171" s="735"/>
      <c r="C171" s="440" t="s">
        <v>26</v>
      </c>
      <c r="D171" s="480"/>
      <c r="E171" s="500" t="s">
        <v>28</v>
      </c>
      <c r="F171" s="443">
        <f>F167*12</f>
        <v>0</v>
      </c>
      <c r="G171" s="443">
        <f t="shared" ref="G171" si="124">G167*12</f>
        <v>64428</v>
      </c>
      <c r="H171" s="443">
        <f t="shared" ref="H171:Q171" si="125">H167*12</f>
        <v>0</v>
      </c>
      <c r="I171" s="443">
        <f t="shared" si="125"/>
        <v>0</v>
      </c>
      <c r="J171" s="443">
        <f t="shared" si="125"/>
        <v>0</v>
      </c>
      <c r="K171" s="443">
        <f t="shared" si="125"/>
        <v>0</v>
      </c>
      <c r="L171" s="443">
        <f t="shared" si="125"/>
        <v>0</v>
      </c>
      <c r="M171" s="443">
        <f t="shared" si="125"/>
        <v>0</v>
      </c>
      <c r="N171" s="443">
        <f t="shared" si="125"/>
        <v>0</v>
      </c>
      <c r="O171" s="443" t="e">
        <f t="shared" ref="O171" si="126">O167*12</f>
        <v>#REF!</v>
      </c>
      <c r="P171" s="443" t="e">
        <f t="shared" si="125"/>
        <v>#REF!</v>
      </c>
      <c r="Q171" s="443">
        <f t="shared" si="125"/>
        <v>0</v>
      </c>
      <c r="R171" s="723"/>
      <c r="S171" s="55" t="e">
        <f>S167*12</f>
        <v>#REF!</v>
      </c>
      <c r="T171" s="670">
        <f>T167*12</f>
        <v>2065068</v>
      </c>
      <c r="U171" s="791" t="e">
        <f>U167*12</f>
        <v>#REF!</v>
      </c>
      <c r="W171" s="1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Q171" s="63"/>
      <c r="AW171" s="1"/>
      <c r="BC171" s="143"/>
      <c r="BD171" s="143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CG171" s="143"/>
      <c r="CZ171" s="1"/>
      <c r="DO171" s="5"/>
      <c r="DP171" s="143"/>
      <c r="DQ171" s="143"/>
      <c r="DR171" s="143"/>
      <c r="DS171" s="143"/>
      <c r="FV171" s="143"/>
      <c r="JQ171" s="143"/>
      <c r="JR171" s="143"/>
      <c r="JS171" s="143"/>
      <c r="JT171" s="143"/>
      <c r="OX171" s="143"/>
      <c r="OY171" s="143"/>
      <c r="PA171" s="143"/>
      <c r="PO171" s="146"/>
      <c r="PS171" s="143"/>
      <c r="RV171" s="146"/>
      <c r="AHE171" s="142"/>
      <c r="AIT171" s="142"/>
      <c r="AIU171" s="142"/>
      <c r="AIV171" s="142"/>
    </row>
    <row r="172" spans="2:932" hidden="1" x14ac:dyDescent="0.25">
      <c r="B172" s="735"/>
      <c r="C172" s="440" t="s">
        <v>37</v>
      </c>
      <c r="D172" s="480"/>
      <c r="E172" s="500" t="s">
        <v>28</v>
      </c>
      <c r="F172" s="443">
        <f>F168*6</f>
        <v>0</v>
      </c>
      <c r="G172" s="443">
        <f t="shared" ref="G172" si="127">G168*6</f>
        <v>0</v>
      </c>
      <c r="H172" s="443">
        <f t="shared" ref="H172:Q172" si="128">H168*6</f>
        <v>0</v>
      </c>
      <c r="I172" s="443">
        <f t="shared" si="128"/>
        <v>0</v>
      </c>
      <c r="J172" s="443">
        <f t="shared" si="128"/>
        <v>0</v>
      </c>
      <c r="K172" s="443">
        <f t="shared" si="128"/>
        <v>0</v>
      </c>
      <c r="L172" s="443">
        <f t="shared" si="128"/>
        <v>0</v>
      </c>
      <c r="M172" s="443">
        <f t="shared" si="128"/>
        <v>0</v>
      </c>
      <c r="N172" s="443">
        <f t="shared" si="128"/>
        <v>0</v>
      </c>
      <c r="O172" s="443" t="e">
        <f t="shared" ref="O172" si="129">O168*6</f>
        <v>#REF!</v>
      </c>
      <c r="P172" s="443" t="e">
        <f t="shared" si="128"/>
        <v>#REF!</v>
      </c>
      <c r="Q172" s="443">
        <f t="shared" si="128"/>
        <v>0</v>
      </c>
      <c r="R172" s="723"/>
      <c r="S172" s="55" t="e">
        <f>S168*6</f>
        <v>#REF!</v>
      </c>
      <c r="T172" s="670" t="e">
        <f>T168*6</f>
        <v>#REF!</v>
      </c>
      <c r="U172" s="791" t="e">
        <f>U168*6</f>
        <v>#REF!</v>
      </c>
      <c r="W172" s="1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Q172" s="63"/>
      <c r="AW172" s="1"/>
      <c r="BC172" s="143"/>
      <c r="BD172" s="143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CG172" s="143"/>
      <c r="CZ172" s="1"/>
      <c r="DO172" s="5"/>
      <c r="DP172" s="143"/>
      <c r="DQ172" s="143"/>
      <c r="DR172" s="143"/>
      <c r="DS172" s="143"/>
      <c r="FV172" s="143"/>
      <c r="JQ172" s="143"/>
      <c r="JR172" s="143"/>
      <c r="JS172" s="143"/>
      <c r="JT172" s="143"/>
      <c r="OX172" s="143"/>
      <c r="OY172" s="143"/>
      <c r="PA172" s="143"/>
      <c r="PO172" s="146"/>
      <c r="PS172" s="143"/>
      <c r="RV172" s="146"/>
      <c r="AHE172" s="142"/>
      <c r="AIT172" s="142"/>
      <c r="AIU172" s="142"/>
      <c r="AIV172" s="142"/>
    </row>
    <row r="173" spans="2:932" hidden="1" x14ac:dyDescent="0.25">
      <c r="B173" s="735"/>
      <c r="C173" s="573" t="s">
        <v>36</v>
      </c>
      <c r="D173" s="480"/>
      <c r="E173" s="500" t="s">
        <v>35</v>
      </c>
      <c r="F173" s="443">
        <f t="shared" ref="F173" si="130">F161*45/1700</f>
        <v>0</v>
      </c>
      <c r="G173" s="443" t="e">
        <f t="shared" ref="G173:Q173" si="131">G161*45/1700</f>
        <v>#REF!</v>
      </c>
      <c r="H173" s="443">
        <f t="shared" si="131"/>
        <v>0</v>
      </c>
      <c r="I173" s="443">
        <f t="shared" si="131"/>
        <v>0</v>
      </c>
      <c r="J173" s="443">
        <f t="shared" si="131"/>
        <v>0</v>
      </c>
      <c r="K173" s="443" t="e">
        <f t="shared" si="131"/>
        <v>#REF!</v>
      </c>
      <c r="L173" s="443">
        <f t="shared" si="131"/>
        <v>0</v>
      </c>
      <c r="M173" s="443">
        <f t="shared" si="131"/>
        <v>0</v>
      </c>
      <c r="N173" s="443">
        <f t="shared" si="131"/>
        <v>0</v>
      </c>
      <c r="O173" s="443" t="e">
        <f t="shared" ref="O173" si="132">O161*45/1700</f>
        <v>#REF!</v>
      </c>
      <c r="P173" s="443">
        <f t="shared" si="131"/>
        <v>0</v>
      </c>
      <c r="Q173" s="443">
        <f t="shared" si="131"/>
        <v>0</v>
      </c>
      <c r="R173" s="723"/>
      <c r="S173" s="55" t="e">
        <f t="shared" ref="S173:U174" si="133">SUM(F173:Q173)</f>
        <v>#REF!</v>
      </c>
      <c r="T173" s="670" t="e">
        <f t="shared" si="133"/>
        <v>#REF!</v>
      </c>
      <c r="U173" s="791" t="e">
        <f t="shared" si="133"/>
        <v>#REF!</v>
      </c>
      <c r="W173" s="1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Q173" s="63"/>
      <c r="AW173" s="1"/>
      <c r="BC173" s="143"/>
      <c r="BD173" s="143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CG173" s="143"/>
      <c r="CZ173" s="1"/>
      <c r="DO173" s="5"/>
      <c r="DP173" s="143"/>
      <c r="DQ173" s="143"/>
      <c r="DR173" s="143"/>
      <c r="DS173" s="143"/>
      <c r="FV173" s="143"/>
      <c r="JQ173" s="143"/>
      <c r="JR173" s="143"/>
      <c r="JS173" s="143"/>
      <c r="JT173" s="143"/>
      <c r="OX173" s="143"/>
      <c r="OY173" s="143"/>
      <c r="PA173" s="143"/>
      <c r="PO173" s="146"/>
      <c r="PS173" s="143"/>
      <c r="RV173" s="146"/>
      <c r="AHE173" s="142"/>
      <c r="AIT173" s="142"/>
      <c r="AIU173" s="142"/>
      <c r="AIV173" s="142"/>
    </row>
    <row r="174" spans="2:932" hidden="1" x14ac:dyDescent="0.25">
      <c r="B174" s="735"/>
      <c r="C174" s="573" t="s">
        <v>34</v>
      </c>
      <c r="D174" s="480"/>
      <c r="E174" s="500" t="s">
        <v>33</v>
      </c>
      <c r="F174" s="443">
        <f t="shared" ref="F174" si="134">SUM(F166:F168)/500</f>
        <v>0</v>
      </c>
      <c r="G174" s="443">
        <f t="shared" ref="G174:Q174" si="135">SUM(G166:G168)/500</f>
        <v>12.99</v>
      </c>
      <c r="H174" s="443">
        <f t="shared" si="135"/>
        <v>0</v>
      </c>
      <c r="I174" s="443">
        <f t="shared" si="135"/>
        <v>0</v>
      </c>
      <c r="J174" s="443">
        <f t="shared" si="135"/>
        <v>0</v>
      </c>
      <c r="K174" s="443">
        <f t="shared" si="135"/>
        <v>0</v>
      </c>
      <c r="L174" s="443">
        <f t="shared" si="135"/>
        <v>0</v>
      </c>
      <c r="M174" s="443">
        <f t="shared" si="135"/>
        <v>0</v>
      </c>
      <c r="N174" s="443">
        <f t="shared" si="135"/>
        <v>0</v>
      </c>
      <c r="O174" s="443" t="e">
        <f t="shared" ref="O174" si="136">SUM(O166:O168)/500</f>
        <v>#REF!</v>
      </c>
      <c r="P174" s="443" t="e">
        <f t="shared" si="135"/>
        <v>#REF!</v>
      </c>
      <c r="Q174" s="443">
        <f t="shared" si="135"/>
        <v>0</v>
      </c>
      <c r="R174" s="723"/>
      <c r="S174" s="55" t="e">
        <f t="shared" si="133"/>
        <v>#REF!</v>
      </c>
      <c r="T174" s="670" t="e">
        <f t="shared" si="133"/>
        <v>#REF!</v>
      </c>
      <c r="U174" s="791" t="e">
        <f t="shared" si="133"/>
        <v>#REF!</v>
      </c>
      <c r="W174" s="1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Q174" s="63"/>
      <c r="AW174" s="1"/>
      <c r="BC174" s="143"/>
      <c r="BD174" s="143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CG174" s="143"/>
      <c r="CZ174" s="1"/>
      <c r="DO174" s="5"/>
      <c r="DP174" s="143"/>
      <c r="DQ174" s="143"/>
      <c r="DR174" s="143"/>
      <c r="DS174" s="143"/>
      <c r="FV174" s="143"/>
      <c r="JQ174" s="143"/>
      <c r="JR174" s="143"/>
      <c r="JS174" s="143"/>
      <c r="JT174" s="143"/>
      <c r="OX174" s="143"/>
      <c r="OY174" s="143"/>
      <c r="PA174" s="143"/>
      <c r="PO174" s="146"/>
      <c r="PS174" s="143"/>
      <c r="RV174" s="146"/>
      <c r="AHE174" s="142"/>
      <c r="AIT174" s="142"/>
      <c r="AIU174" s="142"/>
      <c r="AIV174" s="142"/>
    </row>
    <row r="175" spans="2:932" hidden="1" x14ac:dyDescent="0.25">
      <c r="B175" s="732"/>
      <c r="C175" s="423" t="s">
        <v>32</v>
      </c>
      <c r="D175" s="48"/>
      <c r="E175" s="48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3"/>
      <c r="S175" s="526" t="s">
        <v>132</v>
      </c>
      <c r="T175" s="681" t="s">
        <v>132</v>
      </c>
      <c r="U175" s="781" t="s">
        <v>132</v>
      </c>
      <c r="W175" s="1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Q175" s="63"/>
      <c r="AW175" s="1"/>
      <c r="BC175" s="142"/>
      <c r="BD175" s="142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CG175" s="142"/>
      <c r="CZ175" s="1"/>
      <c r="DO175" s="5"/>
      <c r="DP175" s="142"/>
      <c r="DQ175" s="142"/>
      <c r="DR175" s="142"/>
      <c r="DS175" s="142"/>
      <c r="FV175" s="142"/>
      <c r="JQ175" s="142"/>
      <c r="JR175" s="142"/>
      <c r="JS175" s="142"/>
      <c r="JT175" s="142"/>
      <c r="OX175" s="142"/>
      <c r="OY175" s="142"/>
      <c r="PA175" s="142"/>
      <c r="PO175" s="485"/>
      <c r="PS175" s="142"/>
      <c r="RV175" s="485"/>
      <c r="AHE175" s="142"/>
      <c r="AIT175" s="142"/>
      <c r="AIU175" s="142"/>
      <c r="AIV175" s="142"/>
    </row>
    <row r="176" spans="2:932" hidden="1" x14ac:dyDescent="0.25">
      <c r="B176" s="735"/>
      <c r="C176" s="573" t="s">
        <v>29</v>
      </c>
      <c r="D176" s="480"/>
      <c r="E176" s="468"/>
      <c r="F176" s="443"/>
      <c r="G176" s="443"/>
      <c r="H176" s="443"/>
      <c r="I176" s="443"/>
      <c r="J176" s="443"/>
      <c r="K176" s="443"/>
      <c r="L176" s="443"/>
      <c r="M176" s="443"/>
      <c r="N176" s="443"/>
      <c r="O176" s="443"/>
      <c r="P176" s="443"/>
      <c r="Q176" s="443"/>
      <c r="R176" s="723"/>
      <c r="S176" s="64" t="s">
        <v>29</v>
      </c>
      <c r="T176" s="692" t="s">
        <v>29</v>
      </c>
      <c r="U176" s="790" t="s">
        <v>29</v>
      </c>
      <c r="W176" s="1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Q176" s="63"/>
      <c r="AW176" s="1"/>
      <c r="BC176" s="143"/>
      <c r="BD176" s="143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CG176" s="143"/>
      <c r="CZ176" s="1"/>
      <c r="DO176" s="5"/>
      <c r="DP176" s="143"/>
      <c r="DQ176" s="143"/>
      <c r="DR176" s="143"/>
      <c r="DS176" s="143"/>
      <c r="FV176" s="143"/>
      <c r="JQ176" s="143"/>
      <c r="JR176" s="143"/>
      <c r="JS176" s="143"/>
      <c r="JT176" s="143"/>
      <c r="OX176" s="143"/>
      <c r="OY176" s="143"/>
      <c r="PA176" s="143"/>
      <c r="PO176" s="146"/>
      <c r="PS176" s="143"/>
      <c r="RV176" s="146"/>
      <c r="AHE176" s="142"/>
      <c r="AIT176" s="142"/>
      <c r="AIU176" s="142"/>
      <c r="AIV176" s="142"/>
    </row>
    <row r="177" spans="2:932" hidden="1" x14ac:dyDescent="0.25">
      <c r="B177" s="735"/>
      <c r="C177" s="440" t="s">
        <v>117</v>
      </c>
      <c r="D177" s="480"/>
      <c r="E177" s="500" t="s">
        <v>31</v>
      </c>
      <c r="F177" s="443"/>
      <c r="G177" s="443" t="e">
        <f>'[24]Februari 24'!AL167</f>
        <v>#REF!</v>
      </c>
      <c r="H177" s="443" t="e">
        <f>'[24]Maret 24'!AL167</f>
        <v>#REF!</v>
      </c>
      <c r="I177" s="443" t="e">
        <f>'[24]April 24'!AL167</f>
        <v>#REF!</v>
      </c>
      <c r="J177" s="443" t="e">
        <f>'[24]Mei 24'!AL167</f>
        <v>#REF!</v>
      </c>
      <c r="K177" s="443" t="e">
        <f>'[24]Juny 24'!AL167</f>
        <v>#REF!</v>
      </c>
      <c r="L177" s="443" t="e">
        <f>'[24]July 24'!AL167</f>
        <v>#REF!</v>
      </c>
      <c r="M177" s="443" t="e">
        <f>'[24]Agustus 24'!AL167</f>
        <v>#REF!</v>
      </c>
      <c r="N177" s="443" t="e">
        <f>'[24]September 24'!AL167</f>
        <v>#REF!</v>
      </c>
      <c r="O177" s="443" t="e">
        <f>'[24]September 24'!AM167</f>
        <v>#REF!</v>
      </c>
      <c r="P177" s="443"/>
      <c r="Q177" s="443"/>
      <c r="R177" s="723"/>
      <c r="S177" s="64"/>
      <c r="T177" s="692"/>
      <c r="U177" s="790"/>
      <c r="W177" s="1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Q177" s="63"/>
      <c r="AW177" s="1"/>
      <c r="BC177" s="143"/>
      <c r="BD177" s="143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CG177" s="143"/>
      <c r="CZ177" s="1"/>
      <c r="DO177" s="5"/>
      <c r="DP177" s="143"/>
      <c r="DQ177" s="143"/>
      <c r="DR177" s="143"/>
      <c r="DS177" s="143"/>
      <c r="FV177" s="143"/>
      <c r="JQ177" s="143"/>
      <c r="JR177" s="143"/>
      <c r="JS177" s="143"/>
      <c r="JT177" s="143"/>
      <c r="OX177" s="143"/>
      <c r="OY177" s="143"/>
      <c r="PA177" s="143"/>
      <c r="PO177" s="146"/>
      <c r="PS177" s="143"/>
      <c r="RV177" s="146"/>
      <c r="AHE177" s="142"/>
      <c r="AIT177" s="142"/>
      <c r="AIU177" s="142"/>
      <c r="AIV177" s="142"/>
    </row>
    <row r="178" spans="2:932" hidden="1" x14ac:dyDescent="0.25">
      <c r="B178" s="735"/>
      <c r="C178" s="440" t="s">
        <v>27</v>
      </c>
      <c r="D178" s="480"/>
      <c r="E178" s="500" t="s">
        <v>31</v>
      </c>
      <c r="F178" s="443">
        <v>0</v>
      </c>
      <c r="G178" s="443">
        <f>'[24]Februari 24'!AL168</f>
        <v>9</v>
      </c>
      <c r="H178" s="443">
        <f>'[24]Maret 24'!AL168</f>
        <v>0</v>
      </c>
      <c r="I178" s="443">
        <f>'[24]April 24'!AL168</f>
        <v>0</v>
      </c>
      <c r="J178" s="443">
        <f>'[24]Mei 24'!AL168</f>
        <v>0</v>
      </c>
      <c r="K178" s="443">
        <f>'[24]Juny 24'!AL168</f>
        <v>0</v>
      </c>
      <c r="L178" s="443">
        <f>'[24]July 24'!AL168</f>
        <v>0</v>
      </c>
      <c r="M178" s="443">
        <f>'[24]Agustus 24'!AL168</f>
        <v>0</v>
      </c>
      <c r="N178" s="443">
        <f>'[24]September 24'!AL168</f>
        <v>0</v>
      </c>
      <c r="O178" s="443" t="e">
        <f>'[24]September 24'!AM168</f>
        <v>#REF!</v>
      </c>
      <c r="P178" s="443" t="e">
        <f>'[24]November 24'!AK159</f>
        <v>#REF!</v>
      </c>
      <c r="Q178" s="443" t="e">
        <f>'[24]Desember 24'!AL171</f>
        <v>#REF!</v>
      </c>
      <c r="R178" s="723"/>
      <c r="S178" s="55" t="e">
        <f t="shared" ref="S178:U179" si="137">SUM(F178:Q178)</f>
        <v>#REF!</v>
      </c>
      <c r="T178" s="670" t="e">
        <f t="shared" si="137"/>
        <v>#REF!</v>
      </c>
      <c r="U178" s="791" t="e">
        <f t="shared" si="137"/>
        <v>#REF!</v>
      </c>
      <c r="W178" s="1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Q178" s="63"/>
      <c r="AW178" s="1"/>
      <c r="BC178" s="143"/>
      <c r="BD178" s="143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CG178" s="143"/>
      <c r="CZ178" s="1"/>
      <c r="DO178" s="5"/>
      <c r="DP178" s="143"/>
      <c r="DQ178" s="143"/>
      <c r="DR178" s="143"/>
      <c r="DS178" s="143"/>
      <c r="FV178" s="143"/>
      <c r="JQ178" s="143"/>
      <c r="JR178" s="143"/>
      <c r="JS178" s="143"/>
      <c r="JT178" s="143"/>
      <c r="OX178" s="143"/>
      <c r="OY178" s="143"/>
      <c r="PA178" s="143"/>
      <c r="PO178" s="146"/>
      <c r="PS178" s="143"/>
      <c r="RV178" s="146"/>
      <c r="AHE178" s="142"/>
      <c r="AIT178" s="142"/>
      <c r="AIU178" s="142"/>
      <c r="AIV178" s="142"/>
    </row>
    <row r="179" spans="2:932" hidden="1" x14ac:dyDescent="0.25">
      <c r="B179" s="735"/>
      <c r="C179" s="440" t="s">
        <v>26</v>
      </c>
      <c r="D179" s="480"/>
      <c r="E179" s="500" t="s">
        <v>31</v>
      </c>
      <c r="F179" s="443">
        <v>0</v>
      </c>
      <c r="G179" s="443">
        <f>'[24]Februari 24'!AL169</f>
        <v>86</v>
      </c>
      <c r="H179" s="443">
        <f>'[24]Maret 24'!AL169</f>
        <v>0</v>
      </c>
      <c r="I179" s="443">
        <f>'[24]April 24'!AL169</f>
        <v>0</v>
      </c>
      <c r="J179" s="443">
        <f>'[24]Mei 24'!AL169</f>
        <v>0</v>
      </c>
      <c r="K179" s="443">
        <f>'[24]Juny 24'!AL169</f>
        <v>0</v>
      </c>
      <c r="L179" s="443">
        <f>'[24]July 24'!AL169</f>
        <v>0</v>
      </c>
      <c r="M179" s="443">
        <f>'[24]Agustus 24'!AL169</f>
        <v>0</v>
      </c>
      <c r="N179" s="443">
        <f>'[24]September 24'!AL169</f>
        <v>0</v>
      </c>
      <c r="O179" s="443" t="e">
        <f>'[24]September 24'!AM169</f>
        <v>#REF!</v>
      </c>
      <c r="P179" s="443" t="e">
        <f>'[24]November 24'!AK160</f>
        <v>#REF!</v>
      </c>
      <c r="Q179" s="443" t="e">
        <f>'[24]Desember 24'!AL172</f>
        <v>#DIV/0!</v>
      </c>
      <c r="R179" s="723"/>
      <c r="S179" s="55" t="e">
        <f t="shared" si="137"/>
        <v>#REF!</v>
      </c>
      <c r="T179" s="670" t="e">
        <f t="shared" si="137"/>
        <v>#REF!</v>
      </c>
      <c r="U179" s="791" t="e">
        <f t="shared" si="137"/>
        <v>#REF!</v>
      </c>
      <c r="W179" s="1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Q179" s="63"/>
      <c r="AW179" s="1"/>
      <c r="BC179" s="143"/>
      <c r="BD179" s="143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CG179" s="143"/>
      <c r="CZ179" s="1"/>
      <c r="DO179" s="5"/>
      <c r="DP179" s="143"/>
      <c r="DQ179" s="143"/>
      <c r="DR179" s="143"/>
      <c r="DS179" s="143"/>
      <c r="FV179" s="143"/>
      <c r="JQ179" s="143"/>
      <c r="JR179" s="143"/>
      <c r="JS179" s="143"/>
      <c r="JT179" s="143"/>
      <c r="OX179" s="143"/>
      <c r="OY179" s="143"/>
      <c r="PA179" s="143"/>
      <c r="PO179" s="146"/>
      <c r="PS179" s="143"/>
      <c r="RV179" s="146"/>
      <c r="AHE179" s="142"/>
      <c r="AIT179" s="142"/>
      <c r="AIU179" s="142"/>
      <c r="AIV179" s="142"/>
    </row>
    <row r="180" spans="2:932" hidden="1" x14ac:dyDescent="0.25">
      <c r="B180" s="735"/>
      <c r="C180" s="440" t="s">
        <v>37</v>
      </c>
      <c r="D180" s="480"/>
      <c r="E180" s="577" t="s">
        <v>31</v>
      </c>
      <c r="F180" s="443"/>
      <c r="G180" s="443"/>
      <c r="H180" s="443"/>
      <c r="I180" s="443"/>
      <c r="J180" s="443"/>
      <c r="K180" s="443"/>
      <c r="L180" s="443"/>
      <c r="M180" s="443">
        <f>'[24]Agustus 24'!AL129</f>
        <v>0</v>
      </c>
      <c r="N180" s="443"/>
      <c r="O180" s="443"/>
      <c r="P180" s="443" t="e">
        <f>'[24]November 24'!AK161</f>
        <v>#REF!</v>
      </c>
      <c r="Q180" s="443" t="e">
        <f>'[24]Desember 24'!AL173</f>
        <v>#DIV/0!</v>
      </c>
      <c r="R180" s="723"/>
      <c r="S180" s="55"/>
      <c r="T180" s="670"/>
      <c r="U180" s="791"/>
      <c r="W180" s="1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Q180" s="63"/>
      <c r="AW180" s="1"/>
      <c r="BC180" s="143"/>
      <c r="BD180" s="143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CG180" s="143"/>
      <c r="CZ180" s="1"/>
      <c r="DO180" s="5"/>
      <c r="DP180" s="143"/>
      <c r="DQ180" s="143"/>
      <c r="DR180" s="143"/>
      <c r="DS180" s="143"/>
      <c r="FV180" s="143"/>
      <c r="JQ180" s="143"/>
      <c r="JR180" s="143"/>
      <c r="JS180" s="143"/>
      <c r="JT180" s="143"/>
      <c r="OX180" s="143"/>
      <c r="OY180" s="143"/>
      <c r="PA180" s="143"/>
      <c r="PO180" s="146"/>
      <c r="PS180" s="143"/>
      <c r="RV180" s="146"/>
      <c r="AHE180" s="142"/>
      <c r="AIT180" s="142"/>
      <c r="AIU180" s="142"/>
      <c r="AIV180" s="142"/>
    </row>
    <row r="181" spans="2:932" hidden="1" x14ac:dyDescent="0.25">
      <c r="B181" s="735"/>
      <c r="C181" s="573" t="s">
        <v>28</v>
      </c>
      <c r="D181" s="480"/>
      <c r="E181" s="468"/>
      <c r="F181" s="443"/>
      <c r="G181" s="443"/>
      <c r="H181" s="443"/>
      <c r="I181" s="443"/>
      <c r="J181" s="443"/>
      <c r="K181" s="443"/>
      <c r="L181" s="443"/>
      <c r="M181" s="443"/>
      <c r="N181" s="443"/>
      <c r="O181" s="443"/>
      <c r="P181" s="443"/>
      <c r="Q181" s="443"/>
      <c r="R181" s="723"/>
      <c r="S181" s="64" t="s">
        <v>28</v>
      </c>
      <c r="T181" s="692" t="s">
        <v>28</v>
      </c>
      <c r="U181" s="790" t="s">
        <v>28</v>
      </c>
      <c r="W181" s="1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Q181" s="63"/>
      <c r="AW181" s="1"/>
      <c r="BC181" s="143"/>
      <c r="BD181" s="143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CG181" s="143"/>
      <c r="CZ181" s="1"/>
      <c r="DO181" s="5"/>
      <c r="DP181" s="143"/>
      <c r="DQ181" s="143"/>
      <c r="DR181" s="143"/>
      <c r="DS181" s="143"/>
      <c r="FV181" s="143"/>
      <c r="JQ181" s="143"/>
      <c r="JR181" s="143"/>
      <c r="JS181" s="143"/>
      <c r="JT181" s="143"/>
      <c r="OX181" s="143"/>
      <c r="OY181" s="143"/>
      <c r="PA181" s="143"/>
      <c r="PO181" s="146"/>
      <c r="PS181" s="143"/>
      <c r="RV181" s="146"/>
      <c r="AHE181" s="142"/>
      <c r="AIT181" s="142"/>
      <c r="AIU181" s="142"/>
      <c r="AIV181" s="142"/>
    </row>
    <row r="182" spans="2:932" hidden="1" x14ac:dyDescent="0.25">
      <c r="B182" s="735"/>
      <c r="C182" s="440" t="s">
        <v>27</v>
      </c>
      <c r="D182" s="480"/>
      <c r="E182" s="500" t="s">
        <v>28</v>
      </c>
      <c r="F182" s="443">
        <v>0</v>
      </c>
      <c r="G182" s="443">
        <v>0</v>
      </c>
      <c r="H182" s="443">
        <v>0</v>
      </c>
      <c r="I182" s="443">
        <v>0</v>
      </c>
      <c r="J182" s="443">
        <v>0</v>
      </c>
      <c r="K182" s="443">
        <f t="shared" ref="K182:Q182" si="138">K178*24</f>
        <v>0</v>
      </c>
      <c r="L182" s="443">
        <f t="shared" si="138"/>
        <v>0</v>
      </c>
      <c r="M182" s="443">
        <f t="shared" si="138"/>
        <v>0</v>
      </c>
      <c r="N182" s="443">
        <f t="shared" si="138"/>
        <v>0</v>
      </c>
      <c r="O182" s="443" t="e">
        <f t="shared" ref="O182" si="139">O178*24</f>
        <v>#REF!</v>
      </c>
      <c r="P182" s="443" t="e">
        <f t="shared" si="138"/>
        <v>#REF!</v>
      </c>
      <c r="Q182" s="443" t="e">
        <f t="shared" si="138"/>
        <v>#REF!</v>
      </c>
      <c r="R182" s="723"/>
      <c r="S182" s="55" t="e">
        <f t="shared" ref="S182:U184" si="140">SUM(F182:Q182)</f>
        <v>#REF!</v>
      </c>
      <c r="T182" s="670" t="e">
        <f t="shared" si="140"/>
        <v>#REF!</v>
      </c>
      <c r="U182" s="791" t="e">
        <f t="shared" si="140"/>
        <v>#REF!</v>
      </c>
      <c r="W182" s="1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Q182" s="63"/>
      <c r="AW182" s="1"/>
      <c r="BC182" s="143"/>
      <c r="BD182" s="143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CG182" s="143"/>
      <c r="CZ182" s="1"/>
      <c r="DO182" s="5"/>
      <c r="DP182" s="143"/>
      <c r="DQ182" s="143"/>
      <c r="DR182" s="143"/>
      <c r="DS182" s="143"/>
      <c r="FV182" s="143"/>
      <c r="JQ182" s="143"/>
      <c r="JR182" s="143"/>
      <c r="JS182" s="143"/>
      <c r="JT182" s="143"/>
      <c r="OX182" s="143"/>
      <c r="OY182" s="143"/>
      <c r="PA182" s="143"/>
      <c r="PO182" s="146"/>
      <c r="PS182" s="143"/>
      <c r="RV182" s="146"/>
      <c r="AHE182" s="142"/>
      <c r="AIT182" s="142"/>
      <c r="AIU182" s="142"/>
      <c r="AIV182" s="142"/>
    </row>
    <row r="183" spans="2:932" hidden="1" x14ac:dyDescent="0.25">
      <c r="B183" s="735"/>
      <c r="C183" s="440" t="s">
        <v>26</v>
      </c>
      <c r="D183" s="480"/>
      <c r="E183" s="500" t="s">
        <v>28</v>
      </c>
      <c r="F183" s="443">
        <v>0</v>
      </c>
      <c r="G183" s="443">
        <v>0</v>
      </c>
      <c r="H183" s="443">
        <v>0</v>
      </c>
      <c r="I183" s="443">
        <v>0</v>
      </c>
      <c r="J183" s="443">
        <v>0</v>
      </c>
      <c r="K183" s="443">
        <f t="shared" ref="K183:Q183" si="141">K179*12</f>
        <v>0</v>
      </c>
      <c r="L183" s="443">
        <f t="shared" si="141"/>
        <v>0</v>
      </c>
      <c r="M183" s="443">
        <f t="shared" si="141"/>
        <v>0</v>
      </c>
      <c r="N183" s="443">
        <f t="shared" si="141"/>
        <v>0</v>
      </c>
      <c r="O183" s="443" t="e">
        <f t="shared" ref="O183" si="142">O179*12</f>
        <v>#REF!</v>
      </c>
      <c r="P183" s="443" t="e">
        <f t="shared" si="141"/>
        <v>#REF!</v>
      </c>
      <c r="Q183" s="443" t="e">
        <f t="shared" si="141"/>
        <v>#DIV/0!</v>
      </c>
      <c r="R183" s="723"/>
      <c r="S183" s="55" t="e">
        <f t="shared" si="140"/>
        <v>#REF!</v>
      </c>
      <c r="T183" s="670" t="e">
        <f t="shared" si="140"/>
        <v>#REF!</v>
      </c>
      <c r="U183" s="791" t="e">
        <f t="shared" si="140"/>
        <v>#REF!</v>
      </c>
      <c r="W183" s="1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Q183" s="63"/>
      <c r="AW183" s="1"/>
      <c r="BC183" s="143"/>
      <c r="BD183" s="143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CG183" s="143"/>
      <c r="CZ183" s="1"/>
      <c r="DO183" s="5"/>
      <c r="DP183" s="143"/>
      <c r="DQ183" s="143"/>
      <c r="DR183" s="143"/>
      <c r="DS183" s="143"/>
      <c r="FV183" s="143"/>
      <c r="JQ183" s="143"/>
      <c r="JR183" s="143"/>
      <c r="JS183" s="143"/>
      <c r="JT183" s="143"/>
      <c r="OX183" s="143"/>
      <c r="OY183" s="143"/>
      <c r="PA183" s="143"/>
      <c r="PO183" s="146"/>
      <c r="PS183" s="143"/>
      <c r="RV183" s="146"/>
      <c r="AHE183" s="142"/>
      <c r="AIT183" s="142"/>
      <c r="AIU183" s="142"/>
      <c r="AIV183" s="142"/>
    </row>
    <row r="184" spans="2:932" hidden="1" x14ac:dyDescent="0.25">
      <c r="B184" s="735"/>
      <c r="C184" s="440" t="s">
        <v>37</v>
      </c>
      <c r="D184" s="480"/>
      <c r="E184" s="500" t="s">
        <v>28</v>
      </c>
      <c r="F184" s="443"/>
      <c r="G184" s="443"/>
      <c r="H184" s="443"/>
      <c r="I184" s="443"/>
      <c r="J184" s="443"/>
      <c r="K184" s="443">
        <f t="shared" ref="K184:Q184" si="143">K180*6</f>
        <v>0</v>
      </c>
      <c r="L184" s="443">
        <f t="shared" si="143"/>
        <v>0</v>
      </c>
      <c r="M184" s="443">
        <f t="shared" si="143"/>
        <v>0</v>
      </c>
      <c r="N184" s="443">
        <f t="shared" si="143"/>
        <v>0</v>
      </c>
      <c r="O184" s="443">
        <f t="shared" ref="O184" si="144">O180*6</f>
        <v>0</v>
      </c>
      <c r="P184" s="443" t="e">
        <f t="shared" si="143"/>
        <v>#REF!</v>
      </c>
      <c r="Q184" s="443" t="e">
        <f t="shared" si="143"/>
        <v>#DIV/0!</v>
      </c>
      <c r="R184" s="723"/>
      <c r="S184" s="55" t="e">
        <f t="shared" si="140"/>
        <v>#REF!</v>
      </c>
      <c r="T184" s="670" t="e">
        <f t="shared" si="140"/>
        <v>#REF!</v>
      </c>
      <c r="U184" s="791" t="e">
        <f t="shared" si="140"/>
        <v>#REF!</v>
      </c>
      <c r="W184" s="1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Q184" s="63"/>
      <c r="AW184" s="1"/>
      <c r="BC184" s="143"/>
      <c r="BD184" s="143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CG184" s="143"/>
      <c r="CZ184" s="1"/>
      <c r="DO184" s="5"/>
      <c r="DP184" s="143"/>
      <c r="DQ184" s="143"/>
      <c r="DR184" s="143"/>
      <c r="DS184" s="143"/>
      <c r="FV184" s="143"/>
      <c r="JQ184" s="143"/>
      <c r="JR184" s="143"/>
      <c r="JS184" s="143"/>
      <c r="JT184" s="143"/>
      <c r="OX184" s="143"/>
      <c r="OY184" s="143"/>
      <c r="PA184" s="143"/>
      <c r="PO184" s="146"/>
      <c r="PS184" s="143"/>
      <c r="RV184" s="146"/>
      <c r="AHE184" s="142"/>
      <c r="AIT184" s="142"/>
      <c r="AIU184" s="142"/>
      <c r="AIV184" s="142"/>
    </row>
    <row r="185" spans="2:932" hidden="1" x14ac:dyDescent="0.25">
      <c r="B185" s="732"/>
      <c r="C185" s="423" t="s">
        <v>30</v>
      </c>
      <c r="D185" s="48"/>
      <c r="E185" s="48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3"/>
      <c r="S185" s="526" t="s">
        <v>132</v>
      </c>
      <c r="T185" s="681" t="s">
        <v>132</v>
      </c>
      <c r="U185" s="781" t="s">
        <v>132</v>
      </c>
      <c r="W185" s="1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Q185" s="63"/>
      <c r="AW185" s="1"/>
      <c r="BC185" s="142"/>
      <c r="BD185" s="142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CG185" s="142"/>
      <c r="CZ185" s="1"/>
      <c r="DO185" s="5"/>
      <c r="DP185" s="142"/>
      <c r="DQ185" s="142"/>
      <c r="DR185" s="142"/>
      <c r="DS185" s="142"/>
      <c r="FV185" s="142"/>
      <c r="JQ185" s="142"/>
      <c r="JR185" s="142"/>
      <c r="JS185" s="142"/>
      <c r="JT185" s="142"/>
      <c r="OX185" s="142"/>
      <c r="OY185" s="142"/>
      <c r="PA185" s="142"/>
      <c r="PO185" s="485"/>
      <c r="PS185" s="142"/>
      <c r="RV185" s="485"/>
      <c r="AHE185" s="142"/>
      <c r="AIT185" s="142"/>
      <c r="AIU185" s="142"/>
      <c r="AIV185" s="142"/>
    </row>
    <row r="186" spans="2:932" hidden="1" x14ac:dyDescent="0.25">
      <c r="B186" s="735"/>
      <c r="C186" s="573" t="s">
        <v>29</v>
      </c>
      <c r="D186" s="480"/>
      <c r="E186" s="468"/>
      <c r="F186" s="443"/>
      <c r="G186" s="443"/>
      <c r="H186" s="443"/>
      <c r="I186" s="443"/>
      <c r="J186" s="443"/>
      <c r="K186" s="443"/>
      <c r="L186" s="443"/>
      <c r="M186" s="443"/>
      <c r="N186" s="443"/>
      <c r="O186" s="443"/>
      <c r="P186" s="443"/>
      <c r="Q186" s="443"/>
      <c r="R186" s="723"/>
      <c r="S186" s="64" t="s">
        <v>29</v>
      </c>
      <c r="T186" s="692" t="s">
        <v>29</v>
      </c>
      <c r="U186" s="790" t="s">
        <v>29</v>
      </c>
      <c r="W186" s="1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Q186" s="63"/>
      <c r="AW186" s="1"/>
      <c r="BC186" s="143"/>
      <c r="BD186" s="143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CG186" s="143"/>
      <c r="CZ186" s="1"/>
      <c r="DO186" s="5"/>
      <c r="DP186" s="143"/>
      <c r="DQ186" s="143"/>
      <c r="DR186" s="143"/>
      <c r="DS186" s="143"/>
      <c r="FV186" s="143"/>
      <c r="JQ186" s="143"/>
      <c r="JR186" s="143"/>
      <c r="JS186" s="143"/>
      <c r="JT186" s="143"/>
      <c r="OX186" s="143"/>
      <c r="OY186" s="143"/>
      <c r="PA186" s="143"/>
      <c r="PO186" s="146"/>
      <c r="PS186" s="143"/>
      <c r="RV186" s="146"/>
      <c r="AHE186" s="142"/>
      <c r="AIT186" s="142"/>
      <c r="AIU186" s="142"/>
      <c r="AIV186" s="142"/>
    </row>
    <row r="187" spans="2:932" hidden="1" x14ac:dyDescent="0.25">
      <c r="B187" s="735"/>
      <c r="C187" s="440" t="s">
        <v>27</v>
      </c>
      <c r="D187" s="467">
        <v>0.3</v>
      </c>
      <c r="E187" s="500" t="s">
        <v>25</v>
      </c>
      <c r="F187" s="444" t="e">
        <f>F178/F166*100</f>
        <v>#DIV/0!</v>
      </c>
      <c r="G187" s="444">
        <f t="shared" ref="G187:G189" si="145">G178/G166*100</f>
        <v>0.79928952042628776</v>
      </c>
      <c r="H187" s="444" t="e">
        <f>H178/H166*100</f>
        <v>#DIV/0!</v>
      </c>
      <c r="I187" s="444" t="e">
        <f t="shared" ref="H187:Q189" si="146">I178/I166*100</f>
        <v>#DIV/0!</v>
      </c>
      <c r="J187" s="444" t="e">
        <f t="shared" si="146"/>
        <v>#DIV/0!</v>
      </c>
      <c r="K187" s="444" t="e">
        <f t="shared" si="146"/>
        <v>#DIV/0!</v>
      </c>
      <c r="L187" s="444" t="e">
        <f t="shared" si="146"/>
        <v>#DIV/0!</v>
      </c>
      <c r="M187" s="444" t="e">
        <f t="shared" si="146"/>
        <v>#DIV/0!</v>
      </c>
      <c r="N187" s="444" t="e">
        <f t="shared" si="146"/>
        <v>#DIV/0!</v>
      </c>
      <c r="O187" s="444" t="e">
        <f t="shared" ref="O187" si="147">O178/O166*100</f>
        <v>#REF!</v>
      </c>
      <c r="P187" s="444" t="e">
        <f t="shared" si="146"/>
        <v>#REF!</v>
      </c>
      <c r="Q187" s="444" t="e">
        <f t="shared" si="146"/>
        <v>#REF!</v>
      </c>
      <c r="R187" s="723"/>
      <c r="S187" s="59" t="e">
        <f>S178/S166*100</f>
        <v>#REF!</v>
      </c>
      <c r="T187" s="673" t="e">
        <f>T178/T166*100</f>
        <v>#REF!</v>
      </c>
      <c r="U187" s="774" t="e">
        <f>U178/U166*100</f>
        <v>#REF!</v>
      </c>
      <c r="W187" s="1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Q187" s="63"/>
      <c r="AW187" s="1"/>
      <c r="BC187" s="143"/>
      <c r="BD187" s="143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CG187" s="143"/>
      <c r="CZ187" s="1"/>
      <c r="DO187" s="5"/>
      <c r="DP187" s="143"/>
      <c r="DQ187" s="143"/>
      <c r="DR187" s="143"/>
      <c r="DS187" s="143"/>
      <c r="FV187" s="143"/>
      <c r="JQ187" s="143"/>
      <c r="JR187" s="143"/>
      <c r="JS187" s="143"/>
      <c r="JT187" s="143"/>
      <c r="OX187" s="143"/>
      <c r="OY187" s="143"/>
      <c r="PA187" s="143"/>
      <c r="PO187" s="146"/>
      <c r="PS187" s="143"/>
      <c r="RV187" s="146"/>
      <c r="AHE187" s="142"/>
      <c r="AIT187" s="142"/>
      <c r="AIU187" s="142"/>
      <c r="AIV187" s="142"/>
    </row>
    <row r="188" spans="2:932" hidden="1" x14ac:dyDescent="0.25">
      <c r="B188" s="735"/>
      <c r="C188" s="440" t="s">
        <v>26</v>
      </c>
      <c r="D188" s="467">
        <v>0.3</v>
      </c>
      <c r="E188" s="500" t="s">
        <v>25</v>
      </c>
      <c r="F188" s="444" t="e">
        <f>F179/F167*100</f>
        <v>#DIV/0!</v>
      </c>
      <c r="G188" s="444">
        <f t="shared" si="145"/>
        <v>1.6017880424660087</v>
      </c>
      <c r="H188" s="444" t="e">
        <f t="shared" si="146"/>
        <v>#DIV/0!</v>
      </c>
      <c r="I188" s="444" t="e">
        <f t="shared" si="146"/>
        <v>#DIV/0!</v>
      </c>
      <c r="J188" s="444" t="e">
        <f>J179/J167*100</f>
        <v>#DIV/0!</v>
      </c>
      <c r="K188" s="444" t="e">
        <f t="shared" si="146"/>
        <v>#DIV/0!</v>
      </c>
      <c r="L188" s="444" t="e">
        <f t="shared" si="146"/>
        <v>#DIV/0!</v>
      </c>
      <c r="M188" s="444" t="e">
        <f t="shared" si="146"/>
        <v>#DIV/0!</v>
      </c>
      <c r="N188" s="444" t="e">
        <f t="shared" si="146"/>
        <v>#DIV/0!</v>
      </c>
      <c r="O188" s="444" t="e">
        <f t="shared" ref="O188" si="148">O179/O167*100</f>
        <v>#REF!</v>
      </c>
      <c r="P188" s="444" t="e">
        <f t="shared" si="146"/>
        <v>#REF!</v>
      </c>
      <c r="Q188" s="444" t="e">
        <f t="shared" si="146"/>
        <v>#DIV/0!</v>
      </c>
      <c r="R188" s="723"/>
      <c r="S188" s="59" t="e">
        <f>S179/S168*100</f>
        <v>#REF!</v>
      </c>
      <c r="T188" s="673" t="e">
        <f>T179/T168*100</f>
        <v>#REF!</v>
      </c>
      <c r="U188" s="774" t="e">
        <f>U179/U168*100</f>
        <v>#REF!</v>
      </c>
      <c r="W188" s="1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Q188" s="63"/>
      <c r="AW188" s="1"/>
      <c r="BC188" s="143"/>
      <c r="BD188" s="143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CG188" s="143"/>
      <c r="CZ188" s="1"/>
      <c r="DO188" s="5"/>
      <c r="DP188" s="143"/>
      <c r="DQ188" s="143"/>
      <c r="DR188" s="143"/>
      <c r="DS188" s="143"/>
      <c r="FV188" s="143"/>
      <c r="JQ188" s="143"/>
      <c r="JR188" s="143"/>
      <c r="JS188" s="143"/>
      <c r="JT188" s="143"/>
      <c r="OX188" s="143"/>
      <c r="OY188" s="143"/>
      <c r="PA188" s="143"/>
      <c r="PO188" s="146"/>
      <c r="PS188" s="143"/>
      <c r="RV188" s="146"/>
      <c r="AHE188" s="142"/>
      <c r="AIT188" s="142"/>
      <c r="AIU188" s="142"/>
      <c r="AIV188" s="142"/>
    </row>
    <row r="189" spans="2:932" hidden="1" x14ac:dyDescent="0.25">
      <c r="B189" s="735"/>
      <c r="C189" s="440" t="s">
        <v>37</v>
      </c>
      <c r="D189" s="467">
        <v>0.3</v>
      </c>
      <c r="E189" s="500" t="s">
        <v>25</v>
      </c>
      <c r="F189" s="444" t="e">
        <f>F180/F168*100</f>
        <v>#DIV/0!</v>
      </c>
      <c r="G189" s="444" t="e">
        <f t="shared" si="145"/>
        <v>#DIV/0!</v>
      </c>
      <c r="H189" s="444" t="e">
        <f t="shared" si="146"/>
        <v>#DIV/0!</v>
      </c>
      <c r="I189" s="444" t="e">
        <f t="shared" si="146"/>
        <v>#DIV/0!</v>
      </c>
      <c r="J189" s="444" t="e">
        <f t="shared" si="146"/>
        <v>#DIV/0!</v>
      </c>
      <c r="K189" s="444" t="e">
        <f t="shared" si="146"/>
        <v>#DIV/0!</v>
      </c>
      <c r="L189" s="444" t="e">
        <f t="shared" si="146"/>
        <v>#DIV/0!</v>
      </c>
      <c r="M189" s="444" t="e">
        <f t="shared" si="146"/>
        <v>#DIV/0!</v>
      </c>
      <c r="N189" s="444" t="e">
        <f t="shared" si="146"/>
        <v>#DIV/0!</v>
      </c>
      <c r="O189" s="444" t="e">
        <f t="shared" ref="O189" si="149">O180/O168*100</f>
        <v>#REF!</v>
      </c>
      <c r="P189" s="444" t="e">
        <f t="shared" si="146"/>
        <v>#REF!</v>
      </c>
      <c r="Q189" s="444" t="e">
        <f t="shared" si="146"/>
        <v>#DIV/0!</v>
      </c>
      <c r="R189" s="723"/>
      <c r="S189" s="59"/>
      <c r="T189" s="673"/>
      <c r="U189" s="774"/>
      <c r="W189" s="1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Q189" s="63"/>
      <c r="AW189" s="1"/>
      <c r="BC189" s="143"/>
      <c r="BD189" s="143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CG189" s="143"/>
      <c r="CZ189" s="1"/>
      <c r="DO189" s="5"/>
      <c r="DP189" s="143"/>
      <c r="DQ189" s="143"/>
      <c r="DR189" s="143"/>
      <c r="DS189" s="143"/>
      <c r="FV189" s="143"/>
      <c r="JQ189" s="143"/>
      <c r="JR189" s="143"/>
      <c r="JS189" s="143"/>
      <c r="JT189" s="143"/>
      <c r="OX189" s="143"/>
      <c r="OY189" s="143"/>
      <c r="PA189" s="143"/>
      <c r="PO189" s="146"/>
      <c r="PS189" s="143"/>
      <c r="RV189" s="146"/>
      <c r="AHE189" s="142"/>
      <c r="AIT189" s="142"/>
      <c r="AIU189" s="142"/>
      <c r="AIV189" s="142"/>
    </row>
    <row r="190" spans="2:932" hidden="1" x14ac:dyDescent="0.25">
      <c r="B190" s="735"/>
      <c r="C190" s="573" t="s">
        <v>28</v>
      </c>
      <c r="D190" s="467"/>
      <c r="E190" s="468"/>
      <c r="F190" s="444"/>
      <c r="G190" s="444"/>
      <c r="H190" s="444"/>
      <c r="I190" s="444"/>
      <c r="J190" s="444"/>
      <c r="K190" s="444"/>
      <c r="L190" s="444"/>
      <c r="M190" s="444"/>
      <c r="N190" s="444"/>
      <c r="O190" s="444"/>
      <c r="P190" s="444"/>
      <c r="Q190" s="444"/>
      <c r="R190" s="723"/>
      <c r="S190" s="64" t="s">
        <v>28</v>
      </c>
      <c r="T190" s="692" t="s">
        <v>28</v>
      </c>
      <c r="U190" s="790" t="s">
        <v>28</v>
      </c>
      <c r="W190" s="1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Q190" s="63"/>
      <c r="AW190" s="1"/>
      <c r="BC190" s="143"/>
      <c r="BD190" s="143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CG190" s="143"/>
      <c r="CZ190" s="1"/>
      <c r="DO190" s="5"/>
      <c r="DP190" s="143"/>
      <c r="DQ190" s="143"/>
      <c r="DR190" s="143"/>
      <c r="DS190" s="143"/>
      <c r="FV190" s="143"/>
      <c r="JQ190" s="143"/>
      <c r="JR190" s="143"/>
      <c r="JS190" s="143"/>
      <c r="JT190" s="143"/>
      <c r="OX190" s="143"/>
      <c r="OY190" s="143"/>
      <c r="PA190" s="143"/>
      <c r="PO190" s="146"/>
      <c r="PS190" s="143"/>
      <c r="RV190" s="146"/>
      <c r="AHE190" s="142"/>
      <c r="AIT190" s="142"/>
      <c r="AIU190" s="142"/>
      <c r="AIV190" s="142"/>
    </row>
    <row r="191" spans="2:932" hidden="1" x14ac:dyDescent="0.25">
      <c r="B191" s="735"/>
      <c r="C191" s="440" t="s">
        <v>27</v>
      </c>
      <c r="D191" s="467">
        <v>0.5</v>
      </c>
      <c r="E191" s="500" t="s">
        <v>25</v>
      </c>
      <c r="F191" s="444" t="e">
        <f>F182/F170*100</f>
        <v>#DIV/0!</v>
      </c>
      <c r="G191" s="444">
        <f t="shared" ref="G191:G193" si="150">G182/G170*100</f>
        <v>0</v>
      </c>
      <c r="H191" s="444" t="e">
        <f t="shared" ref="H191:Q193" si="151">H182/H170*100</f>
        <v>#DIV/0!</v>
      </c>
      <c r="I191" s="444" t="e">
        <f t="shared" si="151"/>
        <v>#DIV/0!</v>
      </c>
      <c r="J191" s="444" t="e">
        <f t="shared" si="151"/>
        <v>#DIV/0!</v>
      </c>
      <c r="K191" s="444" t="e">
        <f t="shared" si="151"/>
        <v>#DIV/0!</v>
      </c>
      <c r="L191" s="444" t="e">
        <f t="shared" si="151"/>
        <v>#DIV/0!</v>
      </c>
      <c r="M191" s="444" t="e">
        <f t="shared" si="151"/>
        <v>#DIV/0!</v>
      </c>
      <c r="N191" s="444" t="e">
        <f t="shared" si="151"/>
        <v>#DIV/0!</v>
      </c>
      <c r="O191" s="444" t="e">
        <f t="shared" ref="O191" si="152">O182/O170*100</f>
        <v>#REF!</v>
      </c>
      <c r="P191" s="444" t="e">
        <f t="shared" si="151"/>
        <v>#REF!</v>
      </c>
      <c r="Q191" s="444" t="e">
        <f t="shared" si="151"/>
        <v>#REF!</v>
      </c>
      <c r="R191" s="723"/>
      <c r="S191" s="59" t="e">
        <f>S182/S170*100</f>
        <v>#REF!</v>
      </c>
      <c r="T191" s="673" t="e">
        <f>T182/T170*100</f>
        <v>#REF!</v>
      </c>
      <c r="U191" s="774" t="e">
        <f>U182/U170*100</f>
        <v>#REF!</v>
      </c>
      <c r="W191" s="1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Q191" s="63"/>
      <c r="AW191" s="1"/>
      <c r="BC191" s="143"/>
      <c r="BD191" s="143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CG191" s="143"/>
      <c r="CZ191" s="1"/>
      <c r="DO191" s="5"/>
      <c r="DP191" s="143"/>
      <c r="DQ191" s="143"/>
      <c r="DR191" s="143"/>
      <c r="DS191" s="143"/>
      <c r="FV191" s="143"/>
      <c r="JQ191" s="143"/>
      <c r="JR191" s="143"/>
      <c r="JS191" s="143"/>
      <c r="JT191" s="143"/>
      <c r="OX191" s="143"/>
      <c r="OY191" s="143"/>
      <c r="PA191" s="143"/>
      <c r="PO191" s="146"/>
      <c r="PS191" s="143"/>
      <c r="RV191" s="146"/>
      <c r="AHE191" s="142"/>
      <c r="AIT191" s="142"/>
      <c r="AIU191" s="142"/>
      <c r="AIV191" s="142"/>
    </row>
    <row r="192" spans="2:932" hidden="1" x14ac:dyDescent="0.25">
      <c r="B192" s="735"/>
      <c r="C192" s="440" t="s">
        <v>26</v>
      </c>
      <c r="D192" s="467">
        <v>0.5</v>
      </c>
      <c r="E192" s="500" t="s">
        <v>25</v>
      </c>
      <c r="F192" s="444" t="e">
        <f>F183/F171*100</f>
        <v>#DIV/0!</v>
      </c>
      <c r="G192" s="444">
        <f t="shared" si="150"/>
        <v>0</v>
      </c>
      <c r="H192" s="444" t="e">
        <f t="shared" si="151"/>
        <v>#DIV/0!</v>
      </c>
      <c r="I192" s="444" t="e">
        <f t="shared" si="151"/>
        <v>#DIV/0!</v>
      </c>
      <c r="J192" s="444" t="e">
        <f t="shared" si="151"/>
        <v>#DIV/0!</v>
      </c>
      <c r="K192" s="444" t="e">
        <f t="shared" si="151"/>
        <v>#DIV/0!</v>
      </c>
      <c r="L192" s="444" t="e">
        <f t="shared" si="151"/>
        <v>#DIV/0!</v>
      </c>
      <c r="M192" s="444" t="e">
        <f t="shared" si="151"/>
        <v>#DIV/0!</v>
      </c>
      <c r="N192" s="444" t="e">
        <f t="shared" si="151"/>
        <v>#DIV/0!</v>
      </c>
      <c r="O192" s="444" t="e">
        <f t="shared" ref="O192" si="153">O183/O171*100</f>
        <v>#REF!</v>
      </c>
      <c r="P192" s="444" t="e">
        <f t="shared" si="151"/>
        <v>#REF!</v>
      </c>
      <c r="Q192" s="444" t="e">
        <f t="shared" si="151"/>
        <v>#DIV/0!</v>
      </c>
      <c r="R192" s="723"/>
      <c r="S192" s="59" t="e">
        <f>S183/S172*100</f>
        <v>#REF!</v>
      </c>
      <c r="T192" s="673" t="e">
        <f>T183/T172*100</f>
        <v>#REF!</v>
      </c>
      <c r="U192" s="774" t="e">
        <f>U183/U172*100</f>
        <v>#REF!</v>
      </c>
      <c r="W192" s="1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Q192" s="63"/>
      <c r="AW192" s="1"/>
      <c r="BC192" s="143"/>
      <c r="BD192" s="143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CG192" s="143"/>
      <c r="CZ192" s="1"/>
      <c r="DO192" s="5"/>
      <c r="DP192" s="143"/>
      <c r="DQ192" s="143"/>
      <c r="DR192" s="143"/>
      <c r="DS192" s="143"/>
      <c r="FV192" s="143"/>
      <c r="JQ192" s="143"/>
      <c r="JR192" s="143"/>
      <c r="JS192" s="143"/>
      <c r="JT192" s="143"/>
      <c r="OX192" s="143"/>
      <c r="OY192" s="143"/>
      <c r="PA192" s="143"/>
      <c r="PO192" s="146"/>
      <c r="PS192" s="143"/>
      <c r="RV192" s="146"/>
      <c r="AHE192" s="142"/>
      <c r="AIT192" s="142"/>
      <c r="AIU192" s="142"/>
      <c r="AIV192" s="142"/>
    </row>
    <row r="193" spans="2:932" hidden="1" x14ac:dyDescent="0.25">
      <c r="B193" s="735"/>
      <c r="C193" s="440" t="s">
        <v>37</v>
      </c>
      <c r="D193" s="467">
        <v>0.5</v>
      </c>
      <c r="E193" s="500" t="s">
        <v>25</v>
      </c>
      <c r="F193" s="444" t="e">
        <f>F184/F172*100</f>
        <v>#DIV/0!</v>
      </c>
      <c r="G193" s="444" t="e">
        <f t="shared" si="150"/>
        <v>#DIV/0!</v>
      </c>
      <c r="H193" s="444" t="e">
        <f t="shared" si="151"/>
        <v>#DIV/0!</v>
      </c>
      <c r="I193" s="444" t="e">
        <f t="shared" si="151"/>
        <v>#DIV/0!</v>
      </c>
      <c r="J193" s="444" t="e">
        <f t="shared" si="151"/>
        <v>#DIV/0!</v>
      </c>
      <c r="K193" s="444" t="e">
        <f t="shared" si="151"/>
        <v>#DIV/0!</v>
      </c>
      <c r="L193" s="444" t="e">
        <f t="shared" si="151"/>
        <v>#DIV/0!</v>
      </c>
      <c r="M193" s="444" t="e">
        <f t="shared" si="151"/>
        <v>#DIV/0!</v>
      </c>
      <c r="N193" s="444" t="e">
        <f t="shared" si="151"/>
        <v>#DIV/0!</v>
      </c>
      <c r="O193" s="444" t="e">
        <f t="shared" ref="O193" si="154">O184/O172*100</f>
        <v>#REF!</v>
      </c>
      <c r="P193" s="444" t="e">
        <f t="shared" si="151"/>
        <v>#REF!</v>
      </c>
      <c r="Q193" s="444" t="e">
        <f t="shared" si="151"/>
        <v>#DIV/0!</v>
      </c>
      <c r="R193" s="723"/>
      <c r="S193" s="59"/>
      <c r="T193" s="673"/>
      <c r="U193" s="774"/>
      <c r="W193" s="1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Q193" s="63"/>
      <c r="AW193" s="1"/>
      <c r="BC193" s="143"/>
      <c r="BD193" s="143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CG193" s="143"/>
      <c r="CZ193" s="1"/>
      <c r="DO193" s="5"/>
      <c r="DP193" s="143"/>
      <c r="DQ193" s="143"/>
      <c r="DR193" s="143"/>
      <c r="DS193" s="143"/>
      <c r="FV193" s="143"/>
      <c r="JQ193" s="143"/>
      <c r="JR193" s="143"/>
      <c r="JS193" s="143"/>
      <c r="JT193" s="143"/>
      <c r="OX193" s="143"/>
      <c r="OY193" s="143"/>
      <c r="PA193" s="143"/>
      <c r="PO193" s="146"/>
      <c r="PS193" s="143"/>
      <c r="RV193" s="146"/>
      <c r="AHE193" s="142"/>
      <c r="AIT193" s="142"/>
      <c r="AIU193" s="142"/>
      <c r="AIV193" s="142"/>
    </row>
    <row r="194" spans="2:932" hidden="1" x14ac:dyDescent="0.25">
      <c r="B194" s="735"/>
      <c r="C194" s="595" t="s">
        <v>88</v>
      </c>
      <c r="D194" s="596"/>
      <c r="E194" s="592"/>
      <c r="F194" s="597"/>
      <c r="G194" s="597"/>
      <c r="H194" s="597"/>
      <c r="I194" s="597"/>
      <c r="J194" s="597"/>
      <c r="K194" s="597"/>
      <c r="L194" s="597"/>
      <c r="M194" s="597"/>
      <c r="N194" s="597"/>
      <c r="O194" s="597"/>
      <c r="P194" s="597"/>
      <c r="Q194" s="597"/>
      <c r="R194" s="723"/>
      <c r="S194" s="526" t="s">
        <v>131</v>
      </c>
      <c r="T194" s="681" t="s">
        <v>131</v>
      </c>
      <c r="U194" s="781" t="s">
        <v>131</v>
      </c>
      <c r="W194" s="1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Q194" s="63"/>
      <c r="AW194" s="1"/>
      <c r="BC194" s="143"/>
      <c r="BD194" s="143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CG194" s="143"/>
      <c r="CZ194" s="1"/>
      <c r="DO194" s="5"/>
      <c r="DP194" s="143"/>
      <c r="DQ194" s="143"/>
      <c r="DR194" s="143"/>
      <c r="DS194" s="143"/>
      <c r="FV194" s="143"/>
      <c r="JQ194" s="143"/>
      <c r="JR194" s="143"/>
      <c r="JS194" s="143"/>
      <c r="JT194" s="143"/>
      <c r="OX194" s="143"/>
      <c r="OY194" s="143"/>
      <c r="PA194" s="143"/>
      <c r="PO194" s="146"/>
      <c r="PS194" s="143"/>
      <c r="RV194" s="146"/>
      <c r="AHE194" s="142"/>
      <c r="AIT194" s="142"/>
      <c r="AIU194" s="142"/>
      <c r="AIV194" s="142"/>
    </row>
    <row r="195" spans="2:932" hidden="1" x14ac:dyDescent="0.25">
      <c r="B195" s="735"/>
      <c r="C195" s="598" t="s">
        <v>93</v>
      </c>
      <c r="D195" s="467"/>
      <c r="E195" s="20" t="s">
        <v>14</v>
      </c>
      <c r="F195" s="594">
        <f>'[24]Januari 24'!AL184</f>
        <v>356139</v>
      </c>
      <c r="G195" s="594">
        <f>'[24]Februari 24'!AL184</f>
        <v>0</v>
      </c>
      <c r="H195" s="594">
        <f>'[24]Maret 24'!AL184</f>
        <v>0</v>
      </c>
      <c r="I195" s="594">
        <f>'[24]April 24'!AL184</f>
        <v>0</v>
      </c>
      <c r="J195" s="594">
        <f>'[24]Mei 24'!AL184</f>
        <v>0</v>
      </c>
      <c r="K195" s="594">
        <f>'[24]Juny 24'!AL184</f>
        <v>0</v>
      </c>
      <c r="L195" s="594">
        <f>'[24]July 24'!AL184</f>
        <v>0</v>
      </c>
      <c r="M195" s="594">
        <f>'[24]Agustus 24'!AL184</f>
        <v>0</v>
      </c>
      <c r="N195" s="594">
        <f>'[24]September 24'!AL184</f>
        <v>0</v>
      </c>
      <c r="O195" s="594" t="e">
        <f>'[24]September 24'!AM184</f>
        <v>#REF!</v>
      </c>
      <c r="P195" s="594">
        <f>'[24]November 24'!AL184</f>
        <v>0</v>
      </c>
      <c r="Q195" s="594">
        <f>'[24]Desember 24'!AL184</f>
        <v>0</v>
      </c>
      <c r="R195" s="723"/>
      <c r="S195" s="90" t="e">
        <f>SUM(F195:Q195)</f>
        <v>#REF!</v>
      </c>
      <c r="T195" s="690" t="e">
        <f>SUM(G195:R195)</f>
        <v>#REF!</v>
      </c>
      <c r="U195" s="792" t="e">
        <f>SUM(H195:S195)</f>
        <v>#REF!</v>
      </c>
      <c r="W195" s="1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Q195" s="63"/>
      <c r="AW195" s="1"/>
      <c r="BC195" s="143"/>
      <c r="BD195" s="143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CG195" s="143"/>
      <c r="CZ195" s="1"/>
      <c r="DO195" s="5"/>
      <c r="DP195" s="143"/>
      <c r="DQ195" s="143"/>
      <c r="DR195" s="143"/>
      <c r="DS195" s="143"/>
      <c r="FV195" s="143"/>
      <c r="JQ195" s="143"/>
      <c r="JR195" s="143"/>
      <c r="JS195" s="143"/>
      <c r="JT195" s="143"/>
      <c r="OX195" s="143"/>
      <c r="OY195" s="143"/>
      <c r="PA195" s="143"/>
      <c r="PO195" s="146"/>
      <c r="PS195" s="143"/>
      <c r="RV195" s="146"/>
      <c r="AHE195" s="142"/>
      <c r="AIT195" s="142"/>
      <c r="AIU195" s="142"/>
      <c r="AIV195" s="142"/>
    </row>
    <row r="196" spans="2:932" hidden="1" x14ac:dyDescent="0.25">
      <c r="B196" s="735"/>
      <c r="C196" s="598" t="s">
        <v>94</v>
      </c>
      <c r="D196" s="467"/>
      <c r="E196" s="20" t="s">
        <v>14</v>
      </c>
      <c r="F196" s="594">
        <f>'[24]Januari 24'!AL185</f>
        <v>364427.63</v>
      </c>
      <c r="G196" s="594" t="e">
        <f>'[24]Februari 24'!AI179</f>
        <v>#REF!</v>
      </c>
      <c r="H196" s="594">
        <f>'[24]Maret 24'!AL185</f>
        <v>0</v>
      </c>
      <c r="I196" s="594">
        <f>'[24]April 24'!AL185</f>
        <v>0</v>
      </c>
      <c r="J196" s="594">
        <f>'[24]Mei 24'!AL185</f>
        <v>0</v>
      </c>
      <c r="K196" s="594">
        <f>'[24]Juny 24'!AL185</f>
        <v>0</v>
      </c>
      <c r="L196" s="594">
        <f>'[24]July 24'!AL185</f>
        <v>0</v>
      </c>
      <c r="M196" s="594">
        <f>'[24]Agustus 24'!AL185</f>
        <v>0</v>
      </c>
      <c r="N196" s="594">
        <f>'[24]September 24'!AL185</f>
        <v>0</v>
      </c>
      <c r="O196" s="594" t="e">
        <f>'[24]September 24'!AM185</f>
        <v>#REF!</v>
      </c>
      <c r="P196" s="594">
        <f>'[24]November 24'!AL185</f>
        <v>0</v>
      </c>
      <c r="Q196" s="594">
        <f>'[24]Desember 24'!AL185</f>
        <v>0</v>
      </c>
      <c r="R196" s="723"/>
      <c r="S196" s="90" t="e">
        <f>SUM(S197:S198)</f>
        <v>#REF!</v>
      </c>
      <c r="T196" s="690" t="e">
        <f>SUM(T197:T198)</f>
        <v>#REF!</v>
      </c>
      <c r="U196" s="792" t="e">
        <f>SUM(U197:U198)</f>
        <v>#REF!</v>
      </c>
      <c r="W196" s="1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Q196" s="63"/>
      <c r="AW196" s="1"/>
      <c r="BC196" s="143"/>
      <c r="BD196" s="143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CG196" s="143"/>
      <c r="CZ196" s="1"/>
      <c r="DO196" s="5"/>
      <c r="DP196" s="143"/>
      <c r="DQ196" s="143"/>
      <c r="DR196" s="143"/>
      <c r="DS196" s="143"/>
      <c r="FV196" s="143"/>
      <c r="JQ196" s="143"/>
      <c r="JR196" s="143"/>
      <c r="JS196" s="143"/>
      <c r="JT196" s="143"/>
      <c r="OX196" s="143"/>
      <c r="OY196" s="143"/>
      <c r="PA196" s="143"/>
      <c r="PO196" s="146"/>
      <c r="PS196" s="143"/>
      <c r="RV196" s="146"/>
      <c r="AHE196" s="142"/>
      <c r="AIT196" s="142"/>
      <c r="AIU196" s="142"/>
      <c r="AIV196" s="142"/>
    </row>
    <row r="197" spans="2:932" hidden="1" x14ac:dyDescent="0.25">
      <c r="B197" s="735"/>
      <c r="C197" s="599" t="s">
        <v>39</v>
      </c>
      <c r="D197" s="467"/>
      <c r="E197" s="500" t="s">
        <v>14</v>
      </c>
      <c r="F197" s="582">
        <f>SUM(F201:F202)*10.83</f>
        <v>364007.13</v>
      </c>
      <c r="G197" s="582">
        <f>SUM(G201:G202)*10.83</f>
        <v>162.44999999999999</v>
      </c>
      <c r="H197" s="582">
        <f>'[24]Maret 24'!AL186</f>
        <v>0</v>
      </c>
      <c r="I197" s="582">
        <f t="shared" ref="I197:Q197" si="155">SUM(I201:I202)*10.83</f>
        <v>0</v>
      </c>
      <c r="J197" s="582">
        <f t="shared" si="155"/>
        <v>0</v>
      </c>
      <c r="K197" s="582">
        <f t="shared" si="155"/>
        <v>0</v>
      </c>
      <c r="L197" s="582">
        <f t="shared" si="155"/>
        <v>0</v>
      </c>
      <c r="M197" s="582">
        <f t="shared" si="155"/>
        <v>0</v>
      </c>
      <c r="N197" s="582">
        <f t="shared" si="155"/>
        <v>0</v>
      </c>
      <c r="O197" s="582" t="e">
        <f t="shared" ref="O197" si="156">SUM(O201:O202)*10.83</f>
        <v>#REF!</v>
      </c>
      <c r="P197" s="582">
        <f t="shared" si="155"/>
        <v>0</v>
      </c>
      <c r="Q197" s="582">
        <f t="shared" si="155"/>
        <v>0</v>
      </c>
      <c r="R197" s="723"/>
      <c r="S197" s="59" t="e">
        <f>SUM(F197:Q197)</f>
        <v>#REF!</v>
      </c>
      <c r="T197" s="673" t="e">
        <f t="shared" ref="S197:U198" si="157">SUM(G197:R197)</f>
        <v>#REF!</v>
      </c>
      <c r="U197" s="774" t="e">
        <f t="shared" si="157"/>
        <v>#REF!</v>
      </c>
      <c r="W197" s="1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Q197" s="63"/>
      <c r="AW197" s="1"/>
      <c r="BC197" s="143"/>
      <c r="BD197" s="143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CG197" s="143"/>
      <c r="CZ197" s="1"/>
      <c r="DO197" s="5"/>
      <c r="DP197" s="143"/>
      <c r="DQ197" s="143"/>
      <c r="DR197" s="143"/>
      <c r="DS197" s="143"/>
      <c r="FV197" s="143"/>
      <c r="JQ197" s="143"/>
      <c r="JR197" s="143"/>
      <c r="JS197" s="143"/>
      <c r="JT197" s="143"/>
      <c r="OX197" s="143"/>
      <c r="OY197" s="143"/>
      <c r="PA197" s="143"/>
      <c r="PO197" s="146"/>
      <c r="PS197" s="143"/>
      <c r="RV197" s="146"/>
      <c r="AHE197" s="142"/>
      <c r="AIT197" s="142"/>
      <c r="AIU197" s="142"/>
      <c r="AIV197" s="142"/>
    </row>
    <row r="198" spans="2:932" hidden="1" x14ac:dyDescent="0.25">
      <c r="B198" s="735"/>
      <c r="C198" s="599" t="s">
        <v>38</v>
      </c>
      <c r="D198" s="467"/>
      <c r="E198" s="500" t="s">
        <v>14</v>
      </c>
      <c r="F198" s="582">
        <f>F196-F197</f>
        <v>420.5</v>
      </c>
      <c r="G198" s="582" t="e">
        <f>G196-G197</f>
        <v>#REF!</v>
      </c>
      <c r="H198" s="582">
        <f>'[24]Maret 24'!AL187</f>
        <v>0</v>
      </c>
      <c r="I198" s="582">
        <f t="shared" ref="I198:Q198" si="158">I196-I197</f>
        <v>0</v>
      </c>
      <c r="J198" s="582">
        <f t="shared" si="158"/>
        <v>0</v>
      </c>
      <c r="K198" s="582">
        <f t="shared" si="158"/>
        <v>0</v>
      </c>
      <c r="L198" s="582">
        <f t="shared" si="158"/>
        <v>0</v>
      </c>
      <c r="M198" s="582">
        <f>M196-M197</f>
        <v>0</v>
      </c>
      <c r="N198" s="582">
        <f t="shared" ref="N198" si="159">N196-N197</f>
        <v>0</v>
      </c>
      <c r="O198" s="582" t="e">
        <f t="shared" ref="O198" si="160">O196-O197</f>
        <v>#REF!</v>
      </c>
      <c r="P198" s="582">
        <f t="shared" si="158"/>
        <v>0</v>
      </c>
      <c r="Q198" s="582">
        <f t="shared" si="158"/>
        <v>0</v>
      </c>
      <c r="R198" s="723"/>
      <c r="S198" s="59" t="e">
        <f t="shared" si="157"/>
        <v>#REF!</v>
      </c>
      <c r="T198" s="673" t="e">
        <f t="shared" si="157"/>
        <v>#REF!</v>
      </c>
      <c r="U198" s="774" t="e">
        <f t="shared" si="157"/>
        <v>#REF!</v>
      </c>
      <c r="W198" s="1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Q198" s="63"/>
      <c r="AW198" s="1"/>
      <c r="BC198" s="143"/>
      <c r="BD198" s="143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CG198" s="143"/>
      <c r="CZ198" s="1"/>
      <c r="DO198" s="5"/>
      <c r="DP198" s="143"/>
      <c r="DQ198" s="143"/>
      <c r="DR198" s="143"/>
      <c r="DS198" s="143"/>
      <c r="FV198" s="143"/>
      <c r="JQ198" s="143"/>
      <c r="JR198" s="143"/>
      <c r="JS198" s="143"/>
      <c r="JT198" s="143"/>
      <c r="OX198" s="143"/>
      <c r="OY198" s="143"/>
      <c r="PA198" s="143"/>
      <c r="PO198" s="146"/>
      <c r="PS198" s="143"/>
      <c r="RV198" s="146"/>
      <c r="AHE198" s="142"/>
      <c r="AIT198" s="142"/>
      <c r="AIU198" s="142"/>
      <c r="AIV198" s="142"/>
    </row>
    <row r="199" spans="2:932" hidden="1" x14ac:dyDescent="0.25">
      <c r="B199" s="735"/>
      <c r="C199" s="600" t="s">
        <v>50</v>
      </c>
      <c r="D199" s="467"/>
      <c r="E199" s="500" t="s">
        <v>14</v>
      </c>
      <c r="F199" s="582"/>
      <c r="G199" s="582"/>
      <c r="H199" s="582">
        <f>'[24]Maret 24'!AL188</f>
        <v>0</v>
      </c>
      <c r="I199" s="582"/>
      <c r="J199" s="582"/>
      <c r="K199" s="582"/>
      <c r="L199" s="582"/>
      <c r="M199" s="582"/>
      <c r="N199" s="582"/>
      <c r="O199" s="582"/>
      <c r="P199" s="582"/>
      <c r="Q199" s="582"/>
      <c r="R199" s="723"/>
      <c r="S199" s="59"/>
      <c r="T199" s="673"/>
      <c r="U199" s="774"/>
      <c r="W199" s="1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Q199" s="63"/>
      <c r="AW199" s="1"/>
      <c r="BC199" s="143"/>
      <c r="BD199" s="143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CG199" s="143"/>
      <c r="CZ199" s="1"/>
      <c r="DO199" s="5"/>
      <c r="DP199" s="143"/>
      <c r="DQ199" s="143"/>
      <c r="DR199" s="143"/>
      <c r="DS199" s="143"/>
      <c r="FV199" s="143"/>
      <c r="JQ199" s="143"/>
      <c r="JR199" s="143"/>
      <c r="JS199" s="143"/>
      <c r="JT199" s="143"/>
      <c r="OX199" s="143"/>
      <c r="OY199" s="143"/>
      <c r="PA199" s="143"/>
      <c r="PO199" s="146"/>
      <c r="PS199" s="143"/>
      <c r="RV199" s="146"/>
      <c r="AHE199" s="142"/>
      <c r="AIT199" s="142"/>
      <c r="AIU199" s="142"/>
      <c r="AIV199" s="142"/>
    </row>
    <row r="200" spans="2:932" hidden="1" x14ac:dyDescent="0.25">
      <c r="B200" s="735"/>
      <c r="C200" s="599" t="s">
        <v>29</v>
      </c>
      <c r="D200" s="467"/>
      <c r="E200" s="500"/>
      <c r="F200" s="444"/>
      <c r="G200" s="444"/>
      <c r="H200" s="444"/>
      <c r="I200" s="444"/>
      <c r="J200" s="444"/>
      <c r="K200" s="444"/>
      <c r="L200" s="444"/>
      <c r="M200" s="444"/>
      <c r="N200" s="444"/>
      <c r="O200" s="444"/>
      <c r="P200" s="444"/>
      <c r="Q200" s="444"/>
      <c r="R200" s="723"/>
      <c r="S200" s="59"/>
      <c r="T200" s="673"/>
      <c r="U200" s="774"/>
      <c r="W200" s="1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Q200" s="63"/>
      <c r="AW200" s="1"/>
      <c r="BC200" s="143"/>
      <c r="BD200" s="143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CG200" s="143"/>
      <c r="CZ200" s="1"/>
      <c r="DO200" s="5"/>
      <c r="DP200" s="143"/>
      <c r="DQ200" s="143"/>
      <c r="DR200" s="143"/>
      <c r="DS200" s="143"/>
      <c r="FV200" s="143"/>
      <c r="JQ200" s="143"/>
      <c r="JR200" s="143"/>
      <c r="JS200" s="143"/>
      <c r="JT200" s="143"/>
      <c r="OX200" s="143"/>
      <c r="OY200" s="143"/>
      <c r="PA200" s="143"/>
      <c r="PO200" s="146"/>
      <c r="PS200" s="143"/>
      <c r="RV200" s="146"/>
      <c r="AHE200" s="142"/>
      <c r="AIT200" s="142"/>
      <c r="AIU200" s="142"/>
      <c r="AIV200" s="142"/>
    </row>
    <row r="201" spans="2:932" hidden="1" x14ac:dyDescent="0.25">
      <c r="B201" s="735"/>
      <c r="C201" s="599" t="s">
        <v>89</v>
      </c>
      <c r="D201" s="467"/>
      <c r="E201" s="500" t="s">
        <v>31</v>
      </c>
      <c r="F201" s="601">
        <f>'[24]Januari 24'!AL190</f>
        <v>25527</v>
      </c>
      <c r="G201" s="601">
        <f>'[24]Februari 24'!AL190</f>
        <v>15</v>
      </c>
      <c r="H201" s="601">
        <f>'[24]Maret 24'!AL190</f>
        <v>0</v>
      </c>
      <c r="I201" s="601">
        <f>'[24]April 24'!AL190</f>
        <v>0</v>
      </c>
      <c r="J201" s="601">
        <f>'[24]Mei 24'!AL190</f>
        <v>0</v>
      </c>
      <c r="K201" s="601">
        <f>'[24]Juny 24'!AL190</f>
        <v>0</v>
      </c>
      <c r="L201" s="601">
        <f>'[24]July 24'!AL190</f>
        <v>0</v>
      </c>
      <c r="M201" s="601">
        <f>'[24]Agustus 24'!AL190</f>
        <v>0</v>
      </c>
      <c r="N201" s="601">
        <f>'[24]September 24'!AL190</f>
        <v>0</v>
      </c>
      <c r="O201" s="601" t="e">
        <f>'[24]September 24'!AM190</f>
        <v>#REF!</v>
      </c>
      <c r="P201" s="601">
        <f>'[24]November 24'!AL190</f>
        <v>0</v>
      </c>
      <c r="Q201" s="601">
        <f>'[24]Desember 24'!AL190</f>
        <v>0</v>
      </c>
      <c r="R201" s="723"/>
      <c r="S201" s="92" t="e">
        <f>SUM(F201:Q201)</f>
        <v>#REF!</v>
      </c>
      <c r="T201" s="673">
        <v>2048803</v>
      </c>
      <c r="U201" s="774"/>
      <c r="W201" s="1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Q201" s="63"/>
      <c r="AW201" s="1"/>
      <c r="BC201" s="143"/>
      <c r="BD201" s="143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CG201" s="143"/>
      <c r="CZ201" s="1"/>
      <c r="DO201" s="5"/>
      <c r="DP201" s="143"/>
      <c r="DQ201" s="143"/>
      <c r="DR201" s="143"/>
      <c r="DS201" s="143"/>
      <c r="FV201" s="143"/>
      <c r="JQ201" s="143"/>
      <c r="JR201" s="143"/>
      <c r="JS201" s="143"/>
      <c r="JT201" s="143"/>
      <c r="OX201" s="143"/>
      <c r="OY201" s="143"/>
      <c r="PA201" s="143"/>
      <c r="PO201" s="146"/>
      <c r="PS201" s="143"/>
      <c r="RV201" s="146"/>
      <c r="AHE201" s="142"/>
      <c r="AIT201" s="142"/>
      <c r="AIU201" s="142"/>
      <c r="AIV201" s="142"/>
    </row>
    <row r="202" spans="2:932" hidden="1" x14ac:dyDescent="0.25">
      <c r="B202" s="735"/>
      <c r="C202" s="599" t="s">
        <v>118</v>
      </c>
      <c r="D202" s="467"/>
      <c r="E202" s="500" t="s">
        <v>31</v>
      </c>
      <c r="F202" s="601">
        <f>'[24]Januari 24'!AL191</f>
        <v>8084</v>
      </c>
      <c r="G202" s="601">
        <f>'[24]Februari 24'!AL191</f>
        <v>0</v>
      </c>
      <c r="H202" s="601">
        <f>'[24]Maret 24'!AL191</f>
        <v>0</v>
      </c>
      <c r="I202" s="601">
        <f>'[24]April 24'!AL191</f>
        <v>0</v>
      </c>
      <c r="J202" s="601">
        <f>'[24]Mei 24'!AL191</f>
        <v>0</v>
      </c>
      <c r="K202" s="601">
        <f>'[24]Juny 24'!AL191</f>
        <v>0</v>
      </c>
      <c r="L202" s="601">
        <f>'[24]July 24'!AL191</f>
        <v>0</v>
      </c>
      <c r="M202" s="601">
        <f>'[24]Agustus 24'!AL191</f>
        <v>0</v>
      </c>
      <c r="N202" s="601">
        <f>'[24]September 24'!AL191</f>
        <v>0</v>
      </c>
      <c r="O202" s="601" t="e">
        <f>'[24]September 24'!AM191</f>
        <v>#REF!</v>
      </c>
      <c r="P202" s="601">
        <f>'[24]November 24'!AL191</f>
        <v>0</v>
      </c>
      <c r="Q202" s="601">
        <f>'[24]Desember 24'!AL191</f>
        <v>0</v>
      </c>
      <c r="R202" s="723"/>
      <c r="S202" s="92" t="e">
        <f>SUM(F202:Q202)</f>
        <v>#REF!</v>
      </c>
      <c r="T202" s="673"/>
      <c r="U202" s="774"/>
      <c r="W202" s="1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Q202" s="63"/>
      <c r="AW202" s="1"/>
      <c r="BC202" s="143"/>
      <c r="BD202" s="143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CG202" s="143"/>
      <c r="CZ202" s="1"/>
      <c r="DO202" s="5"/>
      <c r="DP202" s="143"/>
      <c r="DQ202" s="143"/>
      <c r="DR202" s="143"/>
      <c r="DS202" s="143"/>
      <c r="FV202" s="143"/>
      <c r="JQ202" s="143"/>
      <c r="JR202" s="143"/>
      <c r="JS202" s="143"/>
      <c r="JT202" s="143"/>
      <c r="OX202" s="143"/>
      <c r="OY202" s="143"/>
      <c r="PA202" s="143"/>
      <c r="PO202" s="146"/>
      <c r="PS202" s="143"/>
      <c r="RV202" s="146"/>
      <c r="AHE202" s="142"/>
      <c r="AIT202" s="142"/>
      <c r="AIU202" s="142"/>
      <c r="AIV202" s="142"/>
    </row>
    <row r="203" spans="2:932" hidden="1" x14ac:dyDescent="0.25">
      <c r="B203" s="735"/>
      <c r="C203" s="599" t="s">
        <v>28</v>
      </c>
      <c r="D203" s="467"/>
      <c r="E203" s="500"/>
      <c r="F203" s="444"/>
      <c r="G203" s="444"/>
      <c r="H203" s="444"/>
      <c r="I203" s="444"/>
      <c r="J203" s="444"/>
      <c r="K203" s="444"/>
      <c r="L203" s="444"/>
      <c r="M203" s="444"/>
      <c r="N203" s="444"/>
      <c r="O203" s="444"/>
      <c r="P203" s="444"/>
      <c r="Q203" s="444"/>
      <c r="R203" s="723"/>
      <c r="S203" s="59"/>
      <c r="T203" s="673"/>
      <c r="U203" s="774"/>
      <c r="W203" s="1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Q203" s="63"/>
      <c r="AW203" s="1"/>
      <c r="BC203" s="143"/>
      <c r="BD203" s="143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CG203" s="143"/>
      <c r="CZ203" s="1"/>
      <c r="DO203" s="5"/>
      <c r="DP203" s="143"/>
      <c r="DQ203" s="143"/>
      <c r="DR203" s="143"/>
      <c r="DS203" s="143"/>
      <c r="FV203" s="143"/>
      <c r="JQ203" s="143"/>
      <c r="JR203" s="143"/>
      <c r="JS203" s="143"/>
      <c r="JT203" s="143"/>
      <c r="OX203" s="143"/>
      <c r="OY203" s="143"/>
      <c r="PA203" s="143"/>
      <c r="PO203" s="146"/>
      <c r="PS203" s="143"/>
      <c r="RV203" s="146"/>
      <c r="AHE203" s="142"/>
      <c r="AIT203" s="142"/>
      <c r="AIU203" s="142"/>
      <c r="AIV203" s="142"/>
    </row>
    <row r="204" spans="2:932" hidden="1" x14ac:dyDescent="0.25">
      <c r="B204" s="735"/>
      <c r="C204" s="599" t="s">
        <v>118</v>
      </c>
      <c r="D204" s="467"/>
      <c r="E204" s="500" t="s">
        <v>28</v>
      </c>
      <c r="F204" s="602">
        <f t="shared" ref="F204" si="161">F201*12</f>
        <v>306324</v>
      </c>
      <c r="G204" s="602">
        <f t="shared" ref="G204:Q205" si="162">G201*12</f>
        <v>180</v>
      </c>
      <c r="H204" s="602">
        <f t="shared" si="162"/>
        <v>0</v>
      </c>
      <c r="I204" s="602">
        <f t="shared" si="162"/>
        <v>0</v>
      </c>
      <c r="J204" s="602">
        <f t="shared" si="162"/>
        <v>0</v>
      </c>
      <c r="K204" s="602">
        <f t="shared" si="162"/>
        <v>0</v>
      </c>
      <c r="L204" s="602">
        <f t="shared" si="162"/>
        <v>0</v>
      </c>
      <c r="M204" s="602">
        <f t="shared" si="162"/>
        <v>0</v>
      </c>
      <c r="N204" s="602">
        <f t="shared" si="162"/>
        <v>0</v>
      </c>
      <c r="O204" s="602" t="e">
        <f t="shared" ref="O204" si="163">O201*12</f>
        <v>#REF!</v>
      </c>
      <c r="P204" s="602">
        <f t="shared" si="162"/>
        <v>0</v>
      </c>
      <c r="Q204" s="602">
        <f t="shared" si="162"/>
        <v>0</v>
      </c>
      <c r="R204" s="723"/>
      <c r="S204" s="92" t="e">
        <f>SUM(F204:Q204)</f>
        <v>#REF!</v>
      </c>
      <c r="T204" s="673"/>
      <c r="U204" s="774"/>
      <c r="W204" s="1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Q204" s="63"/>
      <c r="AW204" s="1"/>
      <c r="BC204" s="143"/>
      <c r="BD204" s="143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CG204" s="143"/>
      <c r="CZ204" s="1"/>
      <c r="DO204" s="5"/>
      <c r="DP204" s="143"/>
      <c r="DQ204" s="143"/>
      <c r="DR204" s="143"/>
      <c r="DS204" s="143"/>
      <c r="FV204" s="143"/>
      <c r="JQ204" s="143"/>
      <c r="JR204" s="143"/>
      <c r="JS204" s="143"/>
      <c r="JT204" s="143"/>
      <c r="OX204" s="143"/>
      <c r="OY204" s="143"/>
      <c r="PA204" s="143"/>
      <c r="PO204" s="146"/>
      <c r="PS204" s="143"/>
      <c r="RV204" s="146"/>
      <c r="AHE204" s="142"/>
      <c r="AIT204" s="142"/>
      <c r="AIU204" s="142"/>
      <c r="AIV204" s="142"/>
    </row>
    <row r="205" spans="2:932" hidden="1" x14ac:dyDescent="0.25">
      <c r="B205" s="735"/>
      <c r="C205" s="599" t="s">
        <v>89</v>
      </c>
      <c r="D205" s="467"/>
      <c r="E205" s="500" t="s">
        <v>28</v>
      </c>
      <c r="F205" s="602"/>
      <c r="G205" s="602">
        <f>G202*12</f>
        <v>0</v>
      </c>
      <c r="H205" s="602">
        <f t="shared" si="162"/>
        <v>0</v>
      </c>
      <c r="I205" s="602">
        <f t="shared" si="162"/>
        <v>0</v>
      </c>
      <c r="J205" s="602">
        <f t="shared" si="162"/>
        <v>0</v>
      </c>
      <c r="K205" s="602">
        <f t="shared" si="162"/>
        <v>0</v>
      </c>
      <c r="L205" s="602">
        <f t="shared" si="162"/>
        <v>0</v>
      </c>
      <c r="M205" s="602">
        <f t="shared" si="162"/>
        <v>0</v>
      </c>
      <c r="N205" s="602">
        <f t="shared" si="162"/>
        <v>0</v>
      </c>
      <c r="O205" s="602" t="e">
        <f t="shared" ref="O205" si="164">O202*12</f>
        <v>#REF!</v>
      </c>
      <c r="P205" s="602">
        <f t="shared" si="162"/>
        <v>0</v>
      </c>
      <c r="Q205" s="602">
        <f t="shared" si="162"/>
        <v>0</v>
      </c>
      <c r="R205" s="723"/>
      <c r="S205" s="92" t="e">
        <f>SUM(F205:Q205)</f>
        <v>#REF!</v>
      </c>
      <c r="T205" s="673"/>
      <c r="U205" s="774"/>
      <c r="W205" s="1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Q205" s="63"/>
      <c r="AW205" s="1"/>
      <c r="BC205" s="143"/>
      <c r="BD205" s="143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CG205" s="143"/>
      <c r="CZ205" s="1"/>
      <c r="DO205" s="5"/>
      <c r="DP205" s="143"/>
      <c r="DQ205" s="143"/>
      <c r="DR205" s="143"/>
      <c r="DS205" s="143"/>
      <c r="FV205" s="143"/>
      <c r="JQ205" s="143"/>
      <c r="JR205" s="143"/>
      <c r="JS205" s="143"/>
      <c r="JT205" s="143"/>
      <c r="OX205" s="143"/>
      <c r="OY205" s="143"/>
      <c r="PA205" s="143"/>
      <c r="PO205" s="146"/>
      <c r="PS205" s="143"/>
      <c r="RV205" s="146"/>
      <c r="AHE205" s="142"/>
      <c r="AIT205" s="142"/>
      <c r="AIU205" s="142"/>
      <c r="AIV205" s="142"/>
    </row>
    <row r="206" spans="2:932" hidden="1" x14ac:dyDescent="0.25">
      <c r="B206" s="735"/>
      <c r="C206" s="599" t="s">
        <v>36</v>
      </c>
      <c r="D206" s="467"/>
      <c r="E206" s="500"/>
      <c r="F206" s="602">
        <f t="shared" ref="F206" si="165">F201*45/1700</f>
        <v>675.71470588235297</v>
      </c>
      <c r="G206" s="602">
        <f t="shared" ref="G206:Q206" si="166">G201*45/1700</f>
        <v>0.39705882352941174</v>
      </c>
      <c r="H206" s="602">
        <f t="shared" si="166"/>
        <v>0</v>
      </c>
      <c r="I206" s="602">
        <f t="shared" si="166"/>
        <v>0</v>
      </c>
      <c r="J206" s="602">
        <f t="shared" si="166"/>
        <v>0</v>
      </c>
      <c r="K206" s="602">
        <f t="shared" si="166"/>
        <v>0</v>
      </c>
      <c r="L206" s="602">
        <f t="shared" si="166"/>
        <v>0</v>
      </c>
      <c r="M206" s="602">
        <f t="shared" si="166"/>
        <v>0</v>
      </c>
      <c r="N206" s="602">
        <f t="shared" si="166"/>
        <v>0</v>
      </c>
      <c r="O206" s="602" t="e">
        <f t="shared" ref="O206" si="167">O201*45/1700</f>
        <v>#REF!</v>
      </c>
      <c r="P206" s="602">
        <f t="shared" si="166"/>
        <v>0</v>
      </c>
      <c r="Q206" s="602">
        <f t="shared" si="166"/>
        <v>0</v>
      </c>
      <c r="R206" s="723"/>
      <c r="S206" s="92" t="e">
        <f>SUM(F206:Q206)</f>
        <v>#REF!</v>
      </c>
      <c r="T206" s="673"/>
      <c r="U206" s="774"/>
      <c r="W206" s="1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Q206" s="63"/>
      <c r="AW206" s="1"/>
      <c r="BC206" s="143"/>
      <c r="BD206" s="143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CG206" s="143"/>
      <c r="CZ206" s="1"/>
      <c r="DO206" s="5"/>
      <c r="DP206" s="143"/>
      <c r="DQ206" s="143"/>
      <c r="DR206" s="143"/>
      <c r="DS206" s="143"/>
      <c r="FV206" s="143"/>
      <c r="JQ206" s="143"/>
      <c r="JR206" s="143"/>
      <c r="JS206" s="143"/>
      <c r="JT206" s="143"/>
      <c r="OX206" s="143"/>
      <c r="OY206" s="143"/>
      <c r="PA206" s="143"/>
      <c r="PO206" s="146"/>
      <c r="PS206" s="143"/>
      <c r="RV206" s="146"/>
      <c r="AHE206" s="142"/>
      <c r="AIT206" s="142"/>
      <c r="AIU206" s="142"/>
      <c r="AIV206" s="142"/>
    </row>
    <row r="207" spans="2:932" hidden="1" x14ac:dyDescent="0.25">
      <c r="B207" s="735"/>
      <c r="C207" s="599" t="s">
        <v>34</v>
      </c>
      <c r="D207" s="467"/>
      <c r="E207" s="500"/>
      <c r="F207" s="602">
        <f t="shared" ref="F207" si="168">SUM(F201)/500</f>
        <v>51.054000000000002</v>
      </c>
      <c r="G207" s="602">
        <f t="shared" ref="G207:Q207" si="169">SUM(G201)/500</f>
        <v>0.03</v>
      </c>
      <c r="H207" s="602">
        <f t="shared" si="169"/>
        <v>0</v>
      </c>
      <c r="I207" s="602">
        <f t="shared" si="169"/>
        <v>0</v>
      </c>
      <c r="J207" s="602">
        <f t="shared" si="169"/>
        <v>0</v>
      </c>
      <c r="K207" s="602">
        <f t="shared" si="169"/>
        <v>0</v>
      </c>
      <c r="L207" s="602">
        <f t="shared" si="169"/>
        <v>0</v>
      </c>
      <c r="M207" s="602">
        <f t="shared" si="169"/>
        <v>0</v>
      </c>
      <c r="N207" s="602">
        <f t="shared" si="169"/>
        <v>0</v>
      </c>
      <c r="O207" s="602" t="e">
        <f t="shared" ref="O207" si="170">SUM(O201)/500</f>
        <v>#REF!</v>
      </c>
      <c r="P207" s="602">
        <f t="shared" si="169"/>
        <v>0</v>
      </c>
      <c r="Q207" s="602">
        <f t="shared" si="169"/>
        <v>0</v>
      </c>
      <c r="R207" s="723"/>
      <c r="S207" s="92" t="e">
        <f>SUM(F207:Q207)</f>
        <v>#REF!</v>
      </c>
      <c r="T207" s="673"/>
      <c r="U207" s="774"/>
      <c r="W207" s="1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Q207" s="63"/>
      <c r="AW207" s="1"/>
      <c r="BC207" s="143"/>
      <c r="BD207" s="143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CG207" s="143"/>
      <c r="CZ207" s="1"/>
      <c r="DO207" s="5"/>
      <c r="DP207" s="143"/>
      <c r="DQ207" s="143"/>
      <c r="DR207" s="143"/>
      <c r="DS207" s="143"/>
      <c r="FV207" s="143"/>
      <c r="JQ207" s="143"/>
      <c r="JR207" s="143"/>
      <c r="JS207" s="143"/>
      <c r="JT207" s="143"/>
      <c r="OX207" s="143"/>
      <c r="OY207" s="143"/>
      <c r="PA207" s="143"/>
      <c r="PO207" s="146"/>
      <c r="PS207" s="143"/>
      <c r="RV207" s="146"/>
      <c r="AHE207" s="142"/>
      <c r="AIT207" s="142"/>
      <c r="AIU207" s="142"/>
      <c r="AIV207" s="142"/>
    </row>
    <row r="208" spans="2:932" hidden="1" x14ac:dyDescent="0.25">
      <c r="B208" s="735"/>
      <c r="C208" s="595" t="s">
        <v>32</v>
      </c>
      <c r="D208" s="596"/>
      <c r="E208" s="592"/>
      <c r="F208" s="597"/>
      <c r="G208" s="597"/>
      <c r="H208" s="597"/>
      <c r="I208" s="597"/>
      <c r="J208" s="597"/>
      <c r="K208" s="597"/>
      <c r="L208" s="597"/>
      <c r="M208" s="597"/>
      <c r="N208" s="597"/>
      <c r="O208" s="597"/>
      <c r="P208" s="597"/>
      <c r="Q208" s="597"/>
      <c r="R208" s="723"/>
      <c r="S208" s="526" t="s">
        <v>132</v>
      </c>
      <c r="T208" s="681" t="s">
        <v>132</v>
      </c>
      <c r="U208" s="781" t="s">
        <v>132</v>
      </c>
      <c r="W208" s="1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Q208" s="63"/>
      <c r="AW208" s="1"/>
      <c r="BC208" s="143"/>
      <c r="BD208" s="143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CG208" s="143"/>
      <c r="CZ208" s="1"/>
      <c r="DO208" s="5"/>
      <c r="DP208" s="143"/>
      <c r="DQ208" s="143"/>
      <c r="DR208" s="143"/>
      <c r="DS208" s="143"/>
      <c r="FV208" s="143"/>
      <c r="JQ208" s="143"/>
      <c r="JR208" s="143"/>
      <c r="JS208" s="143"/>
      <c r="JT208" s="143"/>
      <c r="OX208" s="143"/>
      <c r="OY208" s="143"/>
      <c r="PA208" s="143"/>
      <c r="PO208" s="146"/>
      <c r="PS208" s="143"/>
      <c r="RV208" s="146"/>
      <c r="AHE208" s="142"/>
      <c r="AIT208" s="142"/>
      <c r="AIU208" s="142"/>
      <c r="AIV208" s="142"/>
    </row>
    <row r="209" spans="2:932" hidden="1" x14ac:dyDescent="0.25">
      <c r="B209" s="735"/>
      <c r="C209" s="599" t="s">
        <v>29</v>
      </c>
      <c r="D209" s="467"/>
      <c r="E209" s="500"/>
      <c r="F209" s="444"/>
      <c r="G209" s="444"/>
      <c r="H209" s="444"/>
      <c r="I209" s="444"/>
      <c r="J209" s="444"/>
      <c r="K209" s="444"/>
      <c r="L209" s="444"/>
      <c r="M209" s="444"/>
      <c r="N209" s="444"/>
      <c r="O209" s="444"/>
      <c r="P209" s="444"/>
      <c r="Q209" s="444"/>
      <c r="R209" s="723"/>
      <c r="S209" s="59"/>
      <c r="T209" s="673"/>
      <c r="U209" s="774"/>
      <c r="W209" s="1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Q209" s="63"/>
      <c r="AW209" s="1"/>
      <c r="BC209" s="143"/>
      <c r="BD209" s="143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CG209" s="143"/>
      <c r="CZ209" s="1"/>
      <c r="DO209" s="5"/>
      <c r="DP209" s="143"/>
      <c r="DQ209" s="143"/>
      <c r="DR209" s="143"/>
      <c r="DS209" s="143"/>
      <c r="FV209" s="143"/>
      <c r="JQ209" s="143"/>
      <c r="JR209" s="143"/>
      <c r="JS209" s="143"/>
      <c r="JT209" s="143"/>
      <c r="OX209" s="143"/>
      <c r="OY209" s="143"/>
      <c r="PA209" s="143"/>
      <c r="PO209" s="146"/>
      <c r="PS209" s="143"/>
      <c r="RV209" s="146"/>
      <c r="AHE209" s="142"/>
      <c r="AIT209" s="142"/>
      <c r="AIU209" s="142"/>
      <c r="AIV209" s="142"/>
    </row>
    <row r="210" spans="2:932" hidden="1" x14ac:dyDescent="0.25">
      <c r="B210" s="735"/>
      <c r="C210" s="599" t="s">
        <v>89</v>
      </c>
      <c r="D210" s="467"/>
      <c r="E210" s="500" t="s">
        <v>31</v>
      </c>
      <c r="F210" s="444">
        <f>'[24]Januari 24'!AL185</f>
        <v>364427.63</v>
      </c>
      <c r="G210" s="443">
        <f>'[24]Februari 24'!AL199</f>
        <v>0</v>
      </c>
      <c r="H210" s="443">
        <f>'[24]Maret 24'!AL199</f>
        <v>0</v>
      </c>
      <c r="I210" s="443">
        <f>'[24]April 24'!AL199</f>
        <v>0</v>
      </c>
      <c r="J210" s="443">
        <f>'[24]Mei 24'!AL199</f>
        <v>0</v>
      </c>
      <c r="K210" s="443">
        <f>'[24]Juny 24'!AL190</f>
        <v>0</v>
      </c>
      <c r="L210" s="443">
        <f>'[24]July 24'!AL199</f>
        <v>0</v>
      </c>
      <c r="M210" s="444">
        <f>'[24]Agustus 24'!AL199</f>
        <v>0</v>
      </c>
      <c r="N210" s="444">
        <f>'[24]September 24'!AL199</f>
        <v>0</v>
      </c>
      <c r="O210" s="444" t="e">
        <f>'[24]September 24'!AM199</f>
        <v>#REF!</v>
      </c>
      <c r="P210" s="444">
        <f>'[24]November 24'!AL199</f>
        <v>0</v>
      </c>
      <c r="Q210" s="444">
        <f>'[24]Desember 24'!AL199</f>
        <v>0</v>
      </c>
      <c r="R210" s="723"/>
      <c r="S210" s="92" t="e">
        <f>SUM(F210:Q210)</f>
        <v>#REF!</v>
      </c>
      <c r="T210" s="693"/>
      <c r="U210" s="774"/>
      <c r="W210" s="1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Q210" s="63"/>
      <c r="AW210" s="1"/>
      <c r="BC210" s="143"/>
      <c r="BD210" s="143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CG210" s="143"/>
      <c r="CZ210" s="1"/>
      <c r="DO210" s="5"/>
      <c r="DP210" s="143"/>
      <c r="DQ210" s="143"/>
      <c r="DR210" s="143"/>
      <c r="DS210" s="143"/>
      <c r="FV210" s="143"/>
      <c r="JQ210" s="143"/>
      <c r="JR210" s="143"/>
      <c r="JS210" s="143"/>
      <c r="JT210" s="143"/>
      <c r="OX210" s="143"/>
      <c r="OY210" s="143"/>
      <c r="PA210" s="143"/>
      <c r="PO210" s="146"/>
      <c r="PS210" s="143"/>
      <c r="RV210" s="146"/>
      <c r="AHE210" s="142"/>
      <c r="AIT210" s="142"/>
      <c r="AIU210" s="142"/>
      <c r="AIV210" s="142"/>
    </row>
    <row r="211" spans="2:932" hidden="1" x14ac:dyDescent="0.25">
      <c r="B211" s="735"/>
      <c r="C211" s="599" t="s">
        <v>118</v>
      </c>
      <c r="D211" s="467"/>
      <c r="E211" s="500" t="s">
        <v>31</v>
      </c>
      <c r="F211" s="444"/>
      <c r="G211" s="443">
        <f>'[24]Februari 24'!AL200</f>
        <v>0</v>
      </c>
      <c r="H211" s="443">
        <f>'[24]Maret 24'!AL200</f>
        <v>0</v>
      </c>
      <c r="I211" s="444">
        <f>'[24]April 24'!AL200</f>
        <v>0</v>
      </c>
      <c r="J211" s="444">
        <f>'[24]Mei 24'!AL200</f>
        <v>0</v>
      </c>
      <c r="K211" s="443">
        <f>'[24]Juny 24'!AL191</f>
        <v>0</v>
      </c>
      <c r="L211" s="443">
        <f>'[24]July 24'!AL200</f>
        <v>0</v>
      </c>
      <c r="M211" s="444">
        <f>'[24]Agustus 24'!AL200</f>
        <v>0</v>
      </c>
      <c r="N211" s="444">
        <f>'[24]September 24'!AL200</f>
        <v>0</v>
      </c>
      <c r="O211" s="444" t="e">
        <f>'[24]September 24'!AM200</f>
        <v>#REF!</v>
      </c>
      <c r="P211" s="444">
        <f>'[24]November 24'!AL200</f>
        <v>0</v>
      </c>
      <c r="Q211" s="444">
        <f>'[24]Desember 24'!AL200</f>
        <v>0</v>
      </c>
      <c r="R211" s="723"/>
      <c r="S211" s="92" t="e">
        <f>SUM(F211:Q211)</f>
        <v>#REF!</v>
      </c>
      <c r="T211" s="693"/>
      <c r="U211" s="774"/>
      <c r="W211" s="1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Q211" s="63"/>
      <c r="AW211" s="1"/>
      <c r="BC211" s="143"/>
      <c r="BD211" s="143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CG211" s="143"/>
      <c r="CZ211" s="1"/>
      <c r="DO211" s="5"/>
      <c r="DP211" s="143"/>
      <c r="DQ211" s="143"/>
      <c r="DR211" s="143"/>
      <c r="DS211" s="143"/>
      <c r="FV211" s="143"/>
      <c r="JQ211" s="143"/>
      <c r="JR211" s="143"/>
      <c r="JS211" s="143"/>
      <c r="JT211" s="143"/>
      <c r="OX211" s="143"/>
      <c r="OY211" s="143"/>
      <c r="PA211" s="143"/>
      <c r="PO211" s="146"/>
      <c r="PS211" s="143"/>
      <c r="RV211" s="146"/>
      <c r="AHE211" s="142"/>
      <c r="AIT211" s="142"/>
      <c r="AIU211" s="142"/>
      <c r="AIV211" s="142"/>
    </row>
    <row r="212" spans="2:932" hidden="1" x14ac:dyDescent="0.25">
      <c r="B212" s="735"/>
      <c r="C212" s="599" t="s">
        <v>28</v>
      </c>
      <c r="D212" s="467"/>
      <c r="E212" s="500"/>
      <c r="F212" s="444"/>
      <c r="G212" s="444"/>
      <c r="H212" s="443"/>
      <c r="I212" s="444"/>
      <c r="J212" s="444"/>
      <c r="K212" s="444"/>
      <c r="L212" s="444"/>
      <c r="M212" s="444"/>
      <c r="N212" s="444"/>
      <c r="O212" s="444"/>
      <c r="P212" s="444"/>
      <c r="Q212" s="444"/>
      <c r="R212" s="723"/>
      <c r="S212" s="92">
        <f>SUM(F212:Q212)</f>
        <v>0</v>
      </c>
      <c r="T212" s="673"/>
      <c r="U212" s="774"/>
      <c r="W212" s="1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Q212" s="63"/>
      <c r="AW212" s="1"/>
      <c r="BC212" s="143"/>
      <c r="BD212" s="143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CG212" s="143"/>
      <c r="CZ212" s="1"/>
      <c r="DO212" s="5"/>
      <c r="DP212" s="143"/>
      <c r="DQ212" s="143"/>
      <c r="DR212" s="143"/>
      <c r="DS212" s="143"/>
      <c r="FV212" s="143"/>
      <c r="JQ212" s="143"/>
      <c r="JR212" s="143"/>
      <c r="JS212" s="143"/>
      <c r="JT212" s="143"/>
      <c r="OX212" s="143"/>
      <c r="OY212" s="143"/>
      <c r="PA212" s="143"/>
      <c r="PO212" s="146"/>
      <c r="PS212" s="143"/>
      <c r="RV212" s="146"/>
      <c r="AHE212" s="142"/>
      <c r="AIT212" s="142"/>
      <c r="AIU212" s="142"/>
      <c r="AIV212" s="142"/>
    </row>
    <row r="213" spans="2:932" hidden="1" x14ac:dyDescent="0.25">
      <c r="B213" s="735"/>
      <c r="C213" s="599" t="s">
        <v>89</v>
      </c>
      <c r="D213" s="467"/>
      <c r="E213" s="500" t="s">
        <v>28</v>
      </c>
      <c r="F213" s="443">
        <f t="shared" ref="F213" si="171">F210*12</f>
        <v>4373131.5600000005</v>
      </c>
      <c r="G213" s="443">
        <f t="shared" ref="G213:Q213" si="172">G210*12</f>
        <v>0</v>
      </c>
      <c r="H213" s="443">
        <f t="shared" si="172"/>
        <v>0</v>
      </c>
      <c r="I213" s="443">
        <f t="shared" si="172"/>
        <v>0</v>
      </c>
      <c r="J213" s="443">
        <f t="shared" si="172"/>
        <v>0</v>
      </c>
      <c r="K213" s="443">
        <f t="shared" si="172"/>
        <v>0</v>
      </c>
      <c r="L213" s="443">
        <f t="shared" si="172"/>
        <v>0</v>
      </c>
      <c r="M213" s="443">
        <f t="shared" si="172"/>
        <v>0</v>
      </c>
      <c r="N213" s="443">
        <f t="shared" si="172"/>
        <v>0</v>
      </c>
      <c r="O213" s="443" t="e">
        <f t="shared" ref="O213" si="173">O210*12</f>
        <v>#REF!</v>
      </c>
      <c r="P213" s="443">
        <f t="shared" si="172"/>
        <v>0</v>
      </c>
      <c r="Q213" s="443">
        <f t="shared" si="172"/>
        <v>0</v>
      </c>
      <c r="R213" s="723"/>
      <c r="S213" s="92" t="e">
        <f>SUM(F213:Q213)</f>
        <v>#REF!</v>
      </c>
      <c r="T213" s="673"/>
      <c r="U213" s="796"/>
      <c r="W213" s="1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Q213" s="63"/>
      <c r="AW213" s="1"/>
      <c r="BC213" s="143"/>
      <c r="BD213" s="143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CG213" s="143"/>
      <c r="CZ213" s="1"/>
      <c r="DO213" s="5"/>
      <c r="DP213" s="143"/>
      <c r="DQ213" s="143"/>
      <c r="DR213" s="143"/>
      <c r="DS213" s="143"/>
      <c r="FV213" s="143"/>
      <c r="JQ213" s="143"/>
      <c r="JR213" s="143"/>
      <c r="JS213" s="143"/>
      <c r="JT213" s="143"/>
      <c r="OX213" s="143"/>
      <c r="OY213" s="143"/>
      <c r="PA213" s="143"/>
      <c r="PO213" s="146"/>
      <c r="PS213" s="143"/>
      <c r="RV213" s="146"/>
      <c r="AHE213" s="142"/>
      <c r="AIT213" s="142"/>
      <c r="AIU213" s="142"/>
      <c r="AIV213" s="142"/>
    </row>
    <row r="214" spans="2:932" hidden="1" x14ac:dyDescent="0.25">
      <c r="B214" s="735"/>
      <c r="C214" s="599" t="s">
        <v>118</v>
      </c>
      <c r="D214" s="603"/>
      <c r="E214" s="500" t="s">
        <v>28</v>
      </c>
      <c r="F214" s="443">
        <f t="shared" ref="F214" si="174">F211*6</f>
        <v>0</v>
      </c>
      <c r="G214" s="443">
        <f t="shared" ref="G214:Q214" si="175">G211*6</f>
        <v>0</v>
      </c>
      <c r="H214" s="443">
        <f t="shared" si="175"/>
        <v>0</v>
      </c>
      <c r="I214" s="443">
        <f t="shared" si="175"/>
        <v>0</v>
      </c>
      <c r="J214" s="443">
        <f t="shared" si="175"/>
        <v>0</v>
      </c>
      <c r="K214" s="443">
        <f t="shared" si="175"/>
        <v>0</v>
      </c>
      <c r="L214" s="443">
        <f t="shared" si="175"/>
        <v>0</v>
      </c>
      <c r="M214" s="443">
        <f t="shared" si="175"/>
        <v>0</v>
      </c>
      <c r="N214" s="443">
        <f t="shared" si="175"/>
        <v>0</v>
      </c>
      <c r="O214" s="443" t="e">
        <f t="shared" ref="O214" si="176">O211*6</f>
        <v>#REF!</v>
      </c>
      <c r="P214" s="443">
        <f t="shared" si="175"/>
        <v>0</v>
      </c>
      <c r="Q214" s="443">
        <f t="shared" si="175"/>
        <v>0</v>
      </c>
      <c r="R214" s="723"/>
      <c r="S214" s="92" t="e">
        <f>SUM(F214:Q214)</f>
        <v>#REF!</v>
      </c>
      <c r="T214" s="673"/>
      <c r="U214" s="774"/>
      <c r="W214" s="1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Q214" s="63"/>
      <c r="AW214" s="1"/>
      <c r="BC214" s="143"/>
      <c r="BD214" s="143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CG214" s="143"/>
      <c r="CZ214" s="1"/>
      <c r="DO214" s="5"/>
      <c r="DP214" s="143"/>
      <c r="DQ214" s="143"/>
      <c r="DR214" s="143"/>
      <c r="DS214" s="143"/>
      <c r="FV214" s="143"/>
      <c r="JQ214" s="143"/>
      <c r="JR214" s="143"/>
      <c r="JS214" s="143"/>
      <c r="JT214" s="143"/>
      <c r="OX214" s="143"/>
      <c r="OY214" s="143"/>
      <c r="PA214" s="143"/>
      <c r="PO214" s="146"/>
      <c r="PS214" s="143"/>
      <c r="RV214" s="146"/>
      <c r="AHE214" s="142"/>
      <c r="AIT214" s="142"/>
      <c r="AIU214" s="142"/>
      <c r="AIV214" s="142"/>
    </row>
    <row r="215" spans="2:932" hidden="1" x14ac:dyDescent="0.25">
      <c r="B215" s="735"/>
      <c r="C215" s="423" t="s">
        <v>30</v>
      </c>
      <c r="D215" s="604"/>
      <c r="E215" s="592"/>
      <c r="F215" s="597"/>
      <c r="G215" s="597"/>
      <c r="H215" s="597"/>
      <c r="I215" s="597"/>
      <c r="J215" s="597"/>
      <c r="K215" s="597"/>
      <c r="L215" s="597"/>
      <c r="M215" s="597"/>
      <c r="N215" s="597"/>
      <c r="O215" s="597"/>
      <c r="P215" s="597"/>
      <c r="Q215" s="597"/>
      <c r="R215" s="723"/>
      <c r="S215" s="605" t="s">
        <v>30</v>
      </c>
      <c r="T215" s="696" t="s">
        <v>30</v>
      </c>
      <c r="U215" s="797" t="s">
        <v>30</v>
      </c>
      <c r="W215" s="1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Q215" s="63"/>
      <c r="AW215" s="1"/>
      <c r="BC215" s="143"/>
      <c r="BD215" s="143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CG215" s="143"/>
      <c r="CZ215" s="1"/>
      <c r="DO215" s="5"/>
      <c r="DP215" s="143"/>
      <c r="DQ215" s="143"/>
      <c r="DR215" s="143"/>
      <c r="DS215" s="143"/>
      <c r="FV215" s="143"/>
      <c r="JQ215" s="143"/>
      <c r="JR215" s="143"/>
      <c r="JS215" s="143"/>
      <c r="JT215" s="143"/>
      <c r="OX215" s="143"/>
      <c r="OY215" s="143"/>
      <c r="PA215" s="143"/>
      <c r="PO215" s="146"/>
      <c r="PS215" s="143"/>
      <c r="RV215" s="146"/>
      <c r="AHE215" s="142"/>
      <c r="AIT215" s="142"/>
      <c r="AIU215" s="142"/>
      <c r="AIV215" s="142"/>
    </row>
    <row r="216" spans="2:932" hidden="1" x14ac:dyDescent="0.25">
      <c r="B216" s="735"/>
      <c r="C216" s="573" t="s">
        <v>29</v>
      </c>
      <c r="D216" s="603"/>
      <c r="E216" s="500"/>
      <c r="F216" s="444"/>
      <c r="G216" s="444"/>
      <c r="H216" s="444"/>
      <c r="I216" s="444"/>
      <c r="J216" s="444"/>
      <c r="K216" s="444"/>
      <c r="L216" s="444"/>
      <c r="M216" s="444"/>
      <c r="N216" s="444"/>
      <c r="O216" s="444"/>
      <c r="P216" s="444"/>
      <c r="Q216" s="444"/>
      <c r="R216" s="723"/>
      <c r="S216" s="59"/>
      <c r="T216" s="673"/>
      <c r="U216" s="774"/>
      <c r="W216" s="1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Q216" s="63"/>
      <c r="AW216" s="1"/>
      <c r="BC216" s="143"/>
      <c r="BD216" s="143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CG216" s="143"/>
      <c r="CZ216" s="1"/>
      <c r="DO216" s="5"/>
      <c r="DP216" s="143"/>
      <c r="DQ216" s="143"/>
      <c r="DR216" s="143"/>
      <c r="DS216" s="143"/>
      <c r="FV216" s="143"/>
      <c r="JQ216" s="143"/>
      <c r="JR216" s="143"/>
      <c r="JS216" s="143"/>
      <c r="JT216" s="143"/>
      <c r="OX216" s="143"/>
      <c r="OY216" s="143"/>
      <c r="PA216" s="143"/>
      <c r="PO216" s="146"/>
      <c r="PS216" s="143"/>
      <c r="RV216" s="146"/>
      <c r="AHE216" s="142"/>
      <c r="AIT216" s="142"/>
      <c r="AIU216" s="142"/>
      <c r="AIV216" s="142"/>
    </row>
    <row r="217" spans="2:932" hidden="1" x14ac:dyDescent="0.25">
      <c r="B217" s="735"/>
      <c r="C217" s="599" t="s">
        <v>89</v>
      </c>
      <c r="D217" s="531">
        <v>0.3</v>
      </c>
      <c r="E217" s="500" t="s">
        <v>25</v>
      </c>
      <c r="F217" s="444">
        <f>F210/F201*100</f>
        <v>1427.6163669839777</v>
      </c>
      <c r="G217" s="444">
        <f>G210/G201*100</f>
        <v>0</v>
      </c>
      <c r="H217" s="444" t="e">
        <f t="shared" ref="H217:Q218" si="177">H210/H201*100</f>
        <v>#DIV/0!</v>
      </c>
      <c r="I217" s="444" t="e">
        <f t="shared" si="177"/>
        <v>#DIV/0!</v>
      </c>
      <c r="J217" s="444" t="e">
        <f t="shared" si="177"/>
        <v>#DIV/0!</v>
      </c>
      <c r="K217" s="444" t="e">
        <f t="shared" si="177"/>
        <v>#DIV/0!</v>
      </c>
      <c r="L217" s="444" t="e">
        <f t="shared" si="177"/>
        <v>#DIV/0!</v>
      </c>
      <c r="M217" s="444" t="e">
        <f t="shared" si="177"/>
        <v>#DIV/0!</v>
      </c>
      <c r="N217" s="444" t="e">
        <f t="shared" si="177"/>
        <v>#DIV/0!</v>
      </c>
      <c r="O217" s="444" t="e">
        <f t="shared" ref="O217" si="178">O210/O201*100</f>
        <v>#REF!</v>
      </c>
      <c r="P217" s="444" t="e">
        <f t="shared" si="177"/>
        <v>#DIV/0!</v>
      </c>
      <c r="Q217" s="444" t="e">
        <f t="shared" si="177"/>
        <v>#DIV/0!</v>
      </c>
      <c r="R217" s="723"/>
      <c r="S217" s="529" t="e">
        <f>S210/S201*100</f>
        <v>#REF!</v>
      </c>
      <c r="T217" s="673"/>
      <c r="U217" s="774"/>
      <c r="W217" s="1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Q217" s="63"/>
      <c r="AW217" s="1"/>
      <c r="BC217" s="143"/>
      <c r="BD217" s="143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CG217" s="143"/>
      <c r="CZ217" s="1"/>
      <c r="DO217" s="5"/>
      <c r="DP217" s="143"/>
      <c r="DQ217" s="143"/>
      <c r="DR217" s="143"/>
      <c r="DS217" s="143"/>
      <c r="FV217" s="143"/>
      <c r="JQ217" s="143"/>
      <c r="JR217" s="143"/>
      <c r="JS217" s="143"/>
      <c r="JT217" s="143"/>
      <c r="OX217" s="143"/>
      <c r="OY217" s="143"/>
      <c r="PA217" s="143"/>
      <c r="PO217" s="146"/>
      <c r="PS217" s="143"/>
      <c r="RV217" s="146"/>
      <c r="AHE217" s="142"/>
      <c r="AIT217" s="142"/>
      <c r="AIU217" s="142"/>
      <c r="AIV217" s="142"/>
    </row>
    <row r="218" spans="2:932" hidden="1" x14ac:dyDescent="0.25">
      <c r="B218" s="735"/>
      <c r="C218" s="599" t="s">
        <v>118</v>
      </c>
      <c r="D218" s="531">
        <v>0.3</v>
      </c>
      <c r="E218" s="500" t="s">
        <v>25</v>
      </c>
      <c r="F218" s="444">
        <f>F211/F202*100</f>
        <v>0</v>
      </c>
      <c r="G218" s="444" t="e">
        <f t="shared" ref="G218" si="179">G211/G202*100</f>
        <v>#DIV/0!</v>
      </c>
      <c r="H218" s="444" t="e">
        <f t="shared" si="177"/>
        <v>#DIV/0!</v>
      </c>
      <c r="I218" s="444" t="e">
        <f t="shared" si="177"/>
        <v>#DIV/0!</v>
      </c>
      <c r="J218" s="444" t="e">
        <f t="shared" si="177"/>
        <v>#DIV/0!</v>
      </c>
      <c r="K218" s="444" t="e">
        <f>K211/K202*100</f>
        <v>#DIV/0!</v>
      </c>
      <c r="L218" s="444" t="e">
        <f t="shared" si="177"/>
        <v>#DIV/0!</v>
      </c>
      <c r="M218" s="444" t="e">
        <f t="shared" si="177"/>
        <v>#DIV/0!</v>
      </c>
      <c r="N218" s="444" t="e">
        <f t="shared" si="177"/>
        <v>#DIV/0!</v>
      </c>
      <c r="O218" s="444" t="e">
        <f t="shared" ref="O218" si="180">O211/O202*100</f>
        <v>#REF!</v>
      </c>
      <c r="P218" s="444" t="e">
        <f t="shared" si="177"/>
        <v>#DIV/0!</v>
      </c>
      <c r="Q218" s="444" t="e">
        <f t="shared" si="177"/>
        <v>#DIV/0!</v>
      </c>
      <c r="R218" s="723"/>
      <c r="S218" s="529" t="e">
        <f>S211/S202*100</f>
        <v>#REF!</v>
      </c>
      <c r="T218" s="673"/>
      <c r="U218" s="774"/>
      <c r="W218" s="1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Q218" s="63"/>
      <c r="AW218" s="1"/>
      <c r="BC218" s="143"/>
      <c r="BD218" s="143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CG218" s="143"/>
      <c r="CZ218" s="1"/>
      <c r="DO218" s="5"/>
      <c r="DP218" s="143"/>
      <c r="DQ218" s="143"/>
      <c r="DR218" s="143"/>
      <c r="DS218" s="143"/>
      <c r="FV218" s="143"/>
      <c r="JQ218" s="143"/>
      <c r="JR218" s="143"/>
      <c r="JS218" s="143"/>
      <c r="JT218" s="143"/>
      <c r="OX218" s="143"/>
      <c r="OY218" s="143"/>
      <c r="PA218" s="143"/>
      <c r="PO218" s="146"/>
      <c r="PS218" s="143"/>
      <c r="RV218" s="146"/>
      <c r="AHE218" s="142"/>
      <c r="AIT218" s="142"/>
      <c r="AIU218" s="142"/>
      <c r="AIV218" s="142"/>
    </row>
    <row r="219" spans="2:932" hidden="1" x14ac:dyDescent="0.25">
      <c r="B219" s="735"/>
      <c r="C219" s="573" t="s">
        <v>28</v>
      </c>
      <c r="D219" s="531"/>
      <c r="E219" s="500"/>
      <c r="F219" s="444"/>
      <c r="G219" s="444"/>
      <c r="H219" s="444"/>
      <c r="I219" s="444"/>
      <c r="J219" s="444"/>
      <c r="K219" s="444"/>
      <c r="L219" s="444"/>
      <c r="M219" s="444"/>
      <c r="N219" s="444"/>
      <c r="O219" s="444"/>
      <c r="P219" s="444"/>
      <c r="Q219" s="444"/>
      <c r="R219" s="723"/>
      <c r="S219" s="529"/>
      <c r="T219" s="673"/>
      <c r="U219" s="774"/>
      <c r="W219" s="1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Q219" s="63"/>
      <c r="AW219" s="1"/>
      <c r="BC219" s="143"/>
      <c r="BD219" s="143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CG219" s="143"/>
      <c r="CZ219" s="1"/>
      <c r="DO219" s="5"/>
      <c r="DP219" s="143"/>
      <c r="DQ219" s="143"/>
      <c r="DR219" s="143"/>
      <c r="DS219" s="143"/>
      <c r="FV219" s="143"/>
      <c r="JQ219" s="143"/>
      <c r="JR219" s="143"/>
      <c r="JS219" s="143"/>
      <c r="JT219" s="143"/>
      <c r="OX219" s="143"/>
      <c r="OY219" s="143"/>
      <c r="PA219" s="143"/>
      <c r="PO219" s="146"/>
      <c r="PS219" s="143"/>
      <c r="RV219" s="146"/>
      <c r="AHE219" s="142"/>
      <c r="AIT219" s="142"/>
      <c r="AIU219" s="142"/>
      <c r="AIV219" s="142"/>
    </row>
    <row r="220" spans="2:932" hidden="1" x14ac:dyDescent="0.25">
      <c r="B220" s="735"/>
      <c r="C220" s="599" t="s">
        <v>89</v>
      </c>
      <c r="D220" s="531">
        <v>0.5</v>
      </c>
      <c r="E220" s="500" t="s">
        <v>25</v>
      </c>
      <c r="F220" s="444">
        <f t="shared" ref="F220:F221" si="181">F213/F201*100</f>
        <v>17131.396403807736</v>
      </c>
      <c r="G220" s="444">
        <f t="shared" ref="G220:Q221" si="182">G213/G201*100</f>
        <v>0</v>
      </c>
      <c r="H220" s="444" t="e">
        <f t="shared" si="182"/>
        <v>#DIV/0!</v>
      </c>
      <c r="I220" s="444" t="e">
        <f t="shared" si="182"/>
        <v>#DIV/0!</v>
      </c>
      <c r="J220" s="444" t="e">
        <f t="shared" si="182"/>
        <v>#DIV/0!</v>
      </c>
      <c r="K220" s="444" t="e">
        <f t="shared" si="182"/>
        <v>#DIV/0!</v>
      </c>
      <c r="L220" s="444" t="e">
        <f t="shared" si="182"/>
        <v>#DIV/0!</v>
      </c>
      <c r="M220" s="444" t="e">
        <f t="shared" si="182"/>
        <v>#DIV/0!</v>
      </c>
      <c r="N220" s="444" t="e">
        <f t="shared" si="182"/>
        <v>#DIV/0!</v>
      </c>
      <c r="O220" s="444" t="e">
        <f t="shared" ref="O220" si="183">O213/O201*100</f>
        <v>#REF!</v>
      </c>
      <c r="P220" s="444" t="e">
        <f t="shared" si="182"/>
        <v>#DIV/0!</v>
      </c>
      <c r="Q220" s="444" t="e">
        <f t="shared" si="182"/>
        <v>#DIV/0!</v>
      </c>
      <c r="R220" s="723"/>
      <c r="S220" s="529" t="e">
        <f>S213/S201*100</f>
        <v>#REF!</v>
      </c>
      <c r="T220" s="673"/>
      <c r="U220" s="796"/>
      <c r="W220" s="1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Q220" s="63"/>
      <c r="AW220" s="1"/>
      <c r="BC220" s="143"/>
      <c r="BD220" s="143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CG220" s="143"/>
      <c r="CZ220" s="1"/>
      <c r="DO220" s="5"/>
      <c r="DP220" s="143"/>
      <c r="DQ220" s="143"/>
      <c r="DR220" s="143"/>
      <c r="DS220" s="143"/>
      <c r="FV220" s="143"/>
      <c r="JQ220" s="143"/>
      <c r="JR220" s="143"/>
      <c r="JS220" s="143"/>
      <c r="JT220" s="143"/>
      <c r="OX220" s="143"/>
      <c r="OY220" s="143"/>
      <c r="PA220" s="143"/>
      <c r="PO220" s="146"/>
      <c r="PS220" s="143"/>
      <c r="RV220" s="146"/>
      <c r="AHE220" s="142"/>
      <c r="AIT220" s="142"/>
      <c r="AIU220" s="142"/>
      <c r="AIV220" s="142"/>
    </row>
    <row r="221" spans="2:932" hidden="1" x14ac:dyDescent="0.25">
      <c r="B221" s="735"/>
      <c r="C221" s="599" t="s">
        <v>118</v>
      </c>
      <c r="D221" s="531">
        <v>0.5</v>
      </c>
      <c r="E221" s="500" t="s">
        <v>25</v>
      </c>
      <c r="F221" s="444">
        <f t="shared" si="181"/>
        <v>0</v>
      </c>
      <c r="G221" s="444" t="e">
        <f t="shared" si="182"/>
        <v>#DIV/0!</v>
      </c>
      <c r="H221" s="444" t="e">
        <f t="shared" si="182"/>
        <v>#DIV/0!</v>
      </c>
      <c r="I221" s="444" t="e">
        <f t="shared" si="182"/>
        <v>#DIV/0!</v>
      </c>
      <c r="J221" s="444" t="e">
        <f t="shared" si="182"/>
        <v>#DIV/0!</v>
      </c>
      <c r="K221" s="444" t="e">
        <f t="shared" si="182"/>
        <v>#DIV/0!</v>
      </c>
      <c r="L221" s="444" t="e">
        <f t="shared" si="182"/>
        <v>#DIV/0!</v>
      </c>
      <c r="M221" s="444" t="e">
        <f t="shared" si="182"/>
        <v>#DIV/0!</v>
      </c>
      <c r="N221" s="444" t="e">
        <f t="shared" si="182"/>
        <v>#DIV/0!</v>
      </c>
      <c r="O221" s="444" t="e">
        <f t="shared" ref="O221" si="184">O214/O202*100</f>
        <v>#REF!</v>
      </c>
      <c r="P221" s="444" t="e">
        <f t="shared" si="182"/>
        <v>#DIV/0!</v>
      </c>
      <c r="Q221" s="444" t="e">
        <f t="shared" si="182"/>
        <v>#DIV/0!</v>
      </c>
      <c r="R221" s="723"/>
      <c r="S221" s="532" t="e">
        <f>S214/S202*100</f>
        <v>#REF!</v>
      </c>
      <c r="T221" s="673"/>
      <c r="U221" s="796"/>
      <c r="W221" s="1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Q221" s="63"/>
      <c r="AW221" s="1"/>
      <c r="BC221" s="143"/>
      <c r="BD221" s="143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CG221" s="143"/>
      <c r="CZ221" s="1"/>
      <c r="DO221" s="5"/>
      <c r="DP221" s="143"/>
      <c r="DQ221" s="143"/>
      <c r="DR221" s="143"/>
      <c r="DS221" s="143"/>
      <c r="FV221" s="143"/>
      <c r="JQ221" s="143"/>
      <c r="JR221" s="143"/>
      <c r="JS221" s="143"/>
      <c r="JT221" s="143"/>
      <c r="OX221" s="143"/>
      <c r="OY221" s="143"/>
      <c r="PA221" s="143"/>
      <c r="PO221" s="146"/>
      <c r="PS221" s="143"/>
      <c r="RV221" s="146"/>
      <c r="AHE221" s="142"/>
      <c r="AIT221" s="142"/>
      <c r="AIU221" s="142"/>
      <c r="AIV221" s="142"/>
    </row>
    <row r="222" spans="2:932" hidden="1" x14ac:dyDescent="0.25">
      <c r="B222" s="735"/>
      <c r="C222" s="606" t="s">
        <v>95</v>
      </c>
      <c r="D222" s="607"/>
      <c r="E222" s="608"/>
      <c r="F222" s="609">
        <f>'[24]Januari 24'!AL211</f>
        <v>356139</v>
      </c>
      <c r="G222" s="609">
        <f>'[24]Februari 24'!AL211</f>
        <v>0</v>
      </c>
      <c r="H222" s="609">
        <f>'[24]Maret 24'!AL211</f>
        <v>0</v>
      </c>
      <c r="I222" s="609">
        <f>'[24]April 24'!AL211</f>
        <v>0</v>
      </c>
      <c r="J222" s="609">
        <f>'[24]Mei 24'!AL211</f>
        <v>0</v>
      </c>
      <c r="K222" s="609">
        <f>'[24]Juny 24'!AL211</f>
        <v>0</v>
      </c>
      <c r="L222" s="609">
        <f>'[24]July 24'!AL211</f>
        <v>0</v>
      </c>
      <c r="M222" s="609">
        <f>'[24]Agustus 24'!AL211</f>
        <v>0</v>
      </c>
      <c r="N222" s="609">
        <f>'[24]September 24'!AL211</f>
        <v>0</v>
      </c>
      <c r="O222" s="609" t="e">
        <f>'[24]September 24'!AM211</f>
        <v>#REF!</v>
      </c>
      <c r="P222" s="609">
        <f>'[24]November 24'!AL211</f>
        <v>0</v>
      </c>
      <c r="Q222" s="609">
        <f>'[24]Desember 24'!AL211</f>
        <v>0</v>
      </c>
      <c r="R222" s="724"/>
      <c r="S222" s="610" t="e">
        <f>SUM(F222:Q222)</f>
        <v>#REF!</v>
      </c>
      <c r="T222" s="697">
        <v>22250000</v>
      </c>
      <c r="U222" s="798" t="e">
        <f>S222/T222*100</f>
        <v>#REF!</v>
      </c>
      <c r="W222" s="1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Q222" s="63"/>
      <c r="AW222" s="1"/>
      <c r="BC222" s="143"/>
      <c r="BD222" s="143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CG222" s="143"/>
      <c r="CZ222" s="1"/>
      <c r="DO222" s="5"/>
      <c r="DP222" s="143"/>
      <c r="DQ222" s="143"/>
      <c r="DR222" s="143"/>
      <c r="DS222" s="143"/>
      <c r="FV222" s="143"/>
      <c r="JQ222" s="143"/>
      <c r="JR222" s="143"/>
      <c r="JS222" s="143"/>
      <c r="JT222" s="143"/>
      <c r="OX222" s="143"/>
      <c r="OY222" s="143"/>
      <c r="PA222" s="143"/>
      <c r="PO222" s="146"/>
      <c r="PS222" s="143"/>
      <c r="RV222" s="146"/>
      <c r="AHE222" s="142"/>
      <c r="AIT222" s="142"/>
      <c r="AIU222" s="142"/>
      <c r="AIV222" s="142"/>
    </row>
    <row r="223" spans="2:932" hidden="1" x14ac:dyDescent="0.25">
      <c r="B223" s="735"/>
      <c r="C223" s="606" t="s">
        <v>119</v>
      </c>
      <c r="D223" s="607"/>
      <c r="E223" s="608"/>
      <c r="F223" s="609">
        <f>'[24]Januari 24'!AL212</f>
        <v>534116</v>
      </c>
      <c r="G223" s="609">
        <f>'[24]Februari 24'!AL212</f>
        <v>542142</v>
      </c>
      <c r="H223" s="609">
        <f>'[24]Maret 24'!AL212</f>
        <v>0</v>
      </c>
      <c r="I223" s="609">
        <f>'[24]April 24'!AL212</f>
        <v>0</v>
      </c>
      <c r="J223" s="611">
        <f>'[24]Mei 24'!AL212</f>
        <v>0</v>
      </c>
      <c r="K223" s="611">
        <f>'[24]Juny 24'!AL212</f>
        <v>0</v>
      </c>
      <c r="L223" s="611">
        <f>'[24]July 24'!AL212</f>
        <v>0</v>
      </c>
      <c r="M223" s="612">
        <f>'[24]Agustus 24'!AL212</f>
        <v>0</v>
      </c>
      <c r="N223" s="611">
        <f>'[24]September 24'!AL212</f>
        <v>0</v>
      </c>
      <c r="O223" s="611" t="e">
        <f>'[24]September 24'!AM212</f>
        <v>#REF!</v>
      </c>
      <c r="P223" s="611">
        <f>'[24]November 24'!AL212</f>
        <v>0</v>
      </c>
      <c r="Q223" s="611">
        <f>'[24]Desember 24'!AL212</f>
        <v>0</v>
      </c>
      <c r="R223" s="724"/>
      <c r="S223" s="610" t="e">
        <f>SUM(F223:Q223)</f>
        <v>#REF!</v>
      </c>
      <c r="T223" s="697">
        <v>11435000</v>
      </c>
      <c r="U223" s="798" t="e">
        <f>S223/T223*100</f>
        <v>#REF!</v>
      </c>
      <c r="W223" s="1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Q223" s="63"/>
      <c r="AW223" s="1"/>
      <c r="BC223" s="143"/>
      <c r="BD223" s="143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CG223" s="143"/>
      <c r="CZ223" s="1"/>
      <c r="DO223" s="5"/>
      <c r="DP223" s="143"/>
      <c r="DQ223" s="143"/>
      <c r="DR223" s="143"/>
      <c r="DS223" s="143"/>
      <c r="FV223" s="143"/>
      <c r="JQ223" s="143"/>
      <c r="JR223" s="143"/>
      <c r="JS223" s="143"/>
      <c r="JT223" s="143"/>
      <c r="OX223" s="143"/>
      <c r="OY223" s="143"/>
      <c r="PA223" s="143"/>
      <c r="PO223" s="146"/>
      <c r="PS223" s="143"/>
      <c r="RV223" s="146"/>
      <c r="AHE223" s="142"/>
      <c r="AIT223" s="142"/>
      <c r="AIU223" s="142"/>
      <c r="AIV223" s="142"/>
    </row>
    <row r="224" spans="2:932" hidden="1" x14ac:dyDescent="0.25">
      <c r="B224" s="735"/>
      <c r="C224" s="613" t="s">
        <v>90</v>
      </c>
      <c r="D224" s="607"/>
      <c r="E224" s="608"/>
      <c r="F224" s="609">
        <f>'[24]Januari 24'!AL213</f>
        <v>845858</v>
      </c>
      <c r="G224" s="609">
        <f>'[24]Februari 24'!AL213</f>
        <v>192009</v>
      </c>
      <c r="H224" s="609">
        <f>'[24]Maret 24'!AL213</f>
        <v>0</v>
      </c>
      <c r="I224" s="609">
        <f>'[24]April 24'!AL213</f>
        <v>0</v>
      </c>
      <c r="J224" s="609">
        <f>'[24]Mei 24'!AL213</f>
        <v>0</v>
      </c>
      <c r="K224" s="609">
        <f>'[24]Juny 24'!AL213</f>
        <v>0</v>
      </c>
      <c r="L224" s="609">
        <f>'[24]July 24'!AL213</f>
        <v>0</v>
      </c>
      <c r="M224" s="612">
        <f>'[24]Agustus 24'!AL213</f>
        <v>0</v>
      </c>
      <c r="N224" s="609">
        <f>'[24]September 24'!AL213</f>
        <v>0</v>
      </c>
      <c r="O224" s="609" t="e">
        <f>'[24]September 24'!AM213</f>
        <v>#REF!</v>
      </c>
      <c r="P224" s="612">
        <f>'[24]November 24'!AL213</f>
        <v>0</v>
      </c>
      <c r="Q224" s="612">
        <f>'[24]Desember 24'!AL213</f>
        <v>0</v>
      </c>
      <c r="R224" s="724"/>
      <c r="S224" s="610" t="e">
        <f>SUM(F224:Q224)</f>
        <v>#REF!</v>
      </c>
      <c r="T224" s="698">
        <v>71709000</v>
      </c>
      <c r="U224" s="798" t="e">
        <f>S224/T224*100</f>
        <v>#REF!</v>
      </c>
      <c r="W224" s="1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Q224" s="63"/>
      <c r="AW224" s="1"/>
      <c r="BC224" s="143"/>
      <c r="BD224" s="143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CG224" s="143"/>
      <c r="CZ224" s="1"/>
      <c r="DO224" s="5"/>
      <c r="DP224" s="143"/>
      <c r="DQ224" s="143"/>
      <c r="DR224" s="143"/>
      <c r="DS224" s="143"/>
      <c r="FV224" s="143"/>
      <c r="JQ224" s="143"/>
      <c r="JR224" s="143"/>
      <c r="JS224" s="143"/>
      <c r="JT224" s="143"/>
      <c r="OX224" s="143"/>
      <c r="OY224" s="143"/>
      <c r="PA224" s="143"/>
      <c r="PO224" s="146"/>
      <c r="PS224" s="143"/>
      <c r="RV224" s="146"/>
      <c r="AHE224" s="142"/>
      <c r="AIT224" s="142"/>
      <c r="AIU224" s="142"/>
      <c r="AIV224" s="142"/>
    </row>
    <row r="225" spans="2:932" s="619" customFormat="1" hidden="1" x14ac:dyDescent="0.25">
      <c r="B225" s="732"/>
      <c r="C225" s="614" t="s">
        <v>91</v>
      </c>
      <c r="D225" s="615"/>
      <c r="E225" s="109"/>
      <c r="F225" s="616">
        <f>'[24]Januari 24'!AL214</f>
        <v>1736113</v>
      </c>
      <c r="G225" s="616">
        <f>'[24]Februari 24'!AL214</f>
        <v>734151</v>
      </c>
      <c r="H225" s="616">
        <f>'[24]Maret 24'!AL214</f>
        <v>0</v>
      </c>
      <c r="I225" s="616">
        <f>'[24]April 24'!AL214</f>
        <v>0</v>
      </c>
      <c r="J225" s="617">
        <f>'[24]Mei 24'!AL214</f>
        <v>0</v>
      </c>
      <c r="K225" s="617">
        <f>'[24]Juny 24'!AL214</f>
        <v>0</v>
      </c>
      <c r="L225" s="617">
        <f>'[24]July 24'!AL214</f>
        <v>0</v>
      </c>
      <c r="M225" s="616">
        <f>'[24]Agustus 24'!AL214</f>
        <v>0</v>
      </c>
      <c r="N225" s="618">
        <f>'[24]September 24'!AL214</f>
        <v>0</v>
      </c>
      <c r="O225" s="618" t="e">
        <f>'[24]September 24'!AM214</f>
        <v>#REF!</v>
      </c>
      <c r="P225" s="616">
        <f>'[24]November 24'!AL214</f>
        <v>0</v>
      </c>
      <c r="Q225" s="616">
        <f>'[24]Desember 24'!AL214</f>
        <v>0</v>
      </c>
      <c r="R225" s="740"/>
      <c r="S225" s="610" t="e">
        <f>SUM(F225:Q225)</f>
        <v>#REF!</v>
      </c>
      <c r="T225" s="689">
        <f>SUM(T222:T224)</f>
        <v>105394000</v>
      </c>
      <c r="U225" s="798" t="e">
        <f>S225/T225*100</f>
        <v>#REF!</v>
      </c>
      <c r="W225" s="2"/>
      <c r="X225" s="812"/>
      <c r="Y225" s="812"/>
      <c r="Z225" s="812"/>
      <c r="AA225" s="812"/>
      <c r="AB225" s="812"/>
      <c r="AC225" s="812"/>
      <c r="AD225" s="812"/>
      <c r="AE225" s="812"/>
      <c r="AF225" s="812"/>
      <c r="AG225" s="812"/>
      <c r="AH225" s="812"/>
      <c r="AI225" s="812"/>
      <c r="AJ225" s="812"/>
      <c r="AK225" s="812"/>
      <c r="AL225" s="812"/>
      <c r="AM225" s="812"/>
      <c r="AN225" s="812"/>
      <c r="AO225" s="812"/>
      <c r="AQ225" s="812"/>
      <c r="AW225" s="1"/>
      <c r="BC225" s="147"/>
      <c r="BD225" s="147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CG225" s="147"/>
      <c r="CZ225" s="2"/>
      <c r="DO225" s="439"/>
      <c r="DP225" s="147"/>
      <c r="DQ225" s="147"/>
      <c r="DR225" s="147"/>
      <c r="DS225" s="147"/>
      <c r="FV225" s="147"/>
      <c r="JQ225" s="147"/>
      <c r="JR225" s="147"/>
      <c r="JS225" s="147"/>
      <c r="JT225" s="147"/>
      <c r="OX225" s="147"/>
      <c r="OY225" s="147"/>
      <c r="PA225" s="147"/>
      <c r="PO225" s="567"/>
      <c r="PS225" s="147"/>
      <c r="RV225" s="567"/>
      <c r="AHE225" s="152"/>
      <c r="AIT225" s="152"/>
      <c r="AIU225" s="152"/>
      <c r="AIV225" s="152"/>
    </row>
    <row r="226" spans="2:932" s="619" customFormat="1" hidden="1" x14ac:dyDescent="0.25">
      <c r="B226" s="732"/>
      <c r="C226" s="614" t="s">
        <v>96</v>
      </c>
      <c r="D226" s="615"/>
      <c r="E226" s="109"/>
      <c r="F226" s="616">
        <f>'[24]Januari 24'!AL215</f>
        <v>1749656.7900000003</v>
      </c>
      <c r="G226" s="616">
        <f>'[24]Februari 24'!AL215</f>
        <v>649233.52999999991</v>
      </c>
      <c r="H226" s="616">
        <f>'[24]Maret 24'!AL215</f>
        <v>0</v>
      </c>
      <c r="I226" s="616">
        <f>'[24]April 24'!AL215</f>
        <v>0</v>
      </c>
      <c r="J226" s="616">
        <f>'[24]Mei 24'!AL215</f>
        <v>0</v>
      </c>
      <c r="K226" s="616">
        <f>'[24]Juny 24'!AL215</f>
        <v>0</v>
      </c>
      <c r="L226" s="616">
        <f>'[24]July 24'!AL215</f>
        <v>0</v>
      </c>
      <c r="M226" s="616">
        <f>'[24]Agustus 24'!AL215</f>
        <v>0</v>
      </c>
      <c r="N226" s="616">
        <f>'[24]September 24'!AL215</f>
        <v>0</v>
      </c>
      <c r="O226" s="616" t="e">
        <f>'[24]September 24'!AM215</f>
        <v>#REF!</v>
      </c>
      <c r="P226" s="616">
        <f>SUM(P80+P107+P135+P196+P161)</f>
        <v>0</v>
      </c>
      <c r="Q226" s="616">
        <f>SUM(Q80+Q107+Q135+Q196+Q161)</f>
        <v>0</v>
      </c>
      <c r="R226" s="740"/>
      <c r="S226" s="620" t="e">
        <f>SUM(F226:Q226)</f>
        <v>#REF!</v>
      </c>
      <c r="T226" s="699">
        <f>SUM(T222:T224)</f>
        <v>105394000</v>
      </c>
      <c r="U226" s="798" t="e">
        <f>S226/T226*100</f>
        <v>#REF!</v>
      </c>
      <c r="W226" s="2"/>
      <c r="X226" s="812"/>
      <c r="Y226" s="812"/>
      <c r="Z226" s="812"/>
      <c r="AA226" s="812"/>
      <c r="AB226" s="812"/>
      <c r="AC226" s="812"/>
      <c r="AD226" s="812"/>
      <c r="AE226" s="812"/>
      <c r="AF226" s="812"/>
      <c r="AG226" s="812"/>
      <c r="AH226" s="812"/>
      <c r="AI226" s="812"/>
      <c r="AJ226" s="812"/>
      <c r="AK226" s="812"/>
      <c r="AL226" s="812"/>
      <c r="AM226" s="812"/>
      <c r="AN226" s="812"/>
      <c r="AO226" s="812"/>
      <c r="AQ226" s="812"/>
      <c r="AW226" s="1"/>
      <c r="BC226" s="147"/>
      <c r="BD226" s="147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CG226" s="147"/>
      <c r="CZ226" s="2"/>
      <c r="DO226" s="439"/>
      <c r="DP226" s="147"/>
      <c r="DQ226" s="147"/>
      <c r="DR226" s="147"/>
      <c r="DS226" s="147"/>
      <c r="FV226" s="147"/>
      <c r="JQ226" s="147"/>
      <c r="JR226" s="147"/>
      <c r="JS226" s="147"/>
      <c r="JT226" s="147"/>
      <c r="OX226" s="147"/>
      <c r="OY226" s="147"/>
      <c r="PA226" s="147"/>
      <c r="PO226" s="567"/>
      <c r="PS226" s="147"/>
      <c r="RV226" s="567"/>
      <c r="AHE226" s="152"/>
      <c r="AIT226" s="152"/>
      <c r="AIU226" s="152"/>
      <c r="AIV226" s="152"/>
    </row>
    <row r="227" spans="2:932" x14ac:dyDescent="0.25">
      <c r="B227" s="731">
        <v>9</v>
      </c>
      <c r="C227" s="525" t="s">
        <v>24</v>
      </c>
      <c r="D227" s="621"/>
      <c r="E227" s="77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723"/>
      <c r="S227" s="605" t="s">
        <v>133</v>
      </c>
      <c r="T227" s="682" t="s">
        <v>133</v>
      </c>
      <c r="U227" s="784" t="s">
        <v>133</v>
      </c>
      <c r="W227" s="1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Q227" s="63"/>
      <c r="AW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CZ227" s="1"/>
    </row>
    <row r="228" spans="2:932" x14ac:dyDescent="0.25">
      <c r="B228" s="732"/>
      <c r="C228" s="466" t="s">
        <v>23</v>
      </c>
      <c r="D228" s="622"/>
      <c r="E228" s="500" t="s">
        <v>19</v>
      </c>
      <c r="F228" s="623">
        <v>27426.645100000005</v>
      </c>
      <c r="G228" s="623">
        <v>17654.447900000003</v>
      </c>
      <c r="H228" s="623">
        <v>31335.9908</v>
      </c>
      <c r="I228" s="623">
        <v>27225.973499999996</v>
      </c>
      <c r="J228" s="623">
        <v>29235.983699999993</v>
      </c>
      <c r="K228" s="623">
        <v>21557.354200000002</v>
      </c>
      <c r="L228" s="623">
        <v>27875.589599999996</v>
      </c>
      <c r="M228" s="623">
        <v>36219.398400000005</v>
      </c>
      <c r="N228" s="623">
        <v>33097.489999999991</v>
      </c>
      <c r="O228" s="623">
        <v>34477.87769999999</v>
      </c>
      <c r="P228" s="623">
        <f>'November 2024'!AL234</f>
        <v>30948.411</v>
      </c>
      <c r="Q228" s="623">
        <f>'[24]Desember 24'!AL217</f>
        <v>0</v>
      </c>
      <c r="S228" s="624">
        <f>SUM(F228:P228)</f>
        <v>317055.16190000001</v>
      </c>
      <c r="T228" s="700">
        <v>316731.03000000003</v>
      </c>
      <c r="U228" s="776">
        <f>S228/T228*100</f>
        <v>100.10233664191348</v>
      </c>
      <c r="W228" s="1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Q228" s="63"/>
      <c r="AW228" s="1"/>
      <c r="BC228" s="143"/>
      <c r="BD228" s="143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CG228" s="143"/>
      <c r="CZ228" s="1"/>
      <c r="DO228" s="5"/>
      <c r="DP228" s="143"/>
      <c r="DQ228" s="143"/>
      <c r="DR228" s="143"/>
      <c r="DS228" s="143"/>
      <c r="FV228" s="143"/>
      <c r="JQ228" s="143"/>
      <c r="JR228" s="143"/>
      <c r="JS228" s="143"/>
      <c r="JT228" s="143"/>
      <c r="OX228" s="143"/>
      <c r="OY228" s="143"/>
      <c r="PA228" s="143"/>
      <c r="PO228" s="146"/>
      <c r="PS228" s="143"/>
      <c r="RV228" s="146"/>
      <c r="AGF228" s="39"/>
      <c r="AHE228" s="142"/>
      <c r="AIT228" s="142"/>
      <c r="AIU228" s="142"/>
      <c r="AIV228" s="142"/>
    </row>
    <row r="229" spans="2:932" x14ac:dyDescent="0.25">
      <c r="B229" s="729"/>
      <c r="C229" s="527" t="s">
        <v>22</v>
      </c>
      <c r="D229" s="625">
        <f>D233</f>
        <v>1460.001</v>
      </c>
      <c r="E229" s="518" t="s">
        <v>19</v>
      </c>
      <c r="F229" s="623">
        <v>23450.754799999995</v>
      </c>
      <c r="G229" s="623">
        <v>14868.589600000001</v>
      </c>
      <c r="H229" s="626">
        <v>30743.296870000009</v>
      </c>
      <c r="I229" s="626">
        <v>24322.772879999997</v>
      </c>
      <c r="J229" s="626">
        <v>28477.075499999995</v>
      </c>
      <c r="K229" s="626">
        <v>19672.000200000002</v>
      </c>
      <c r="L229" s="626">
        <v>26610.053000000004</v>
      </c>
      <c r="M229" s="623">
        <v>35308.592700000008</v>
      </c>
      <c r="N229" s="623">
        <v>32134.349099999996</v>
      </c>
      <c r="O229" s="623">
        <v>33350.421499999997</v>
      </c>
      <c r="P229" s="623">
        <f>'November 2024'!AL232</f>
        <v>28780.462200000002</v>
      </c>
      <c r="Q229" s="627">
        <f>'[24]Desember 24'!AL218</f>
        <v>0</v>
      </c>
      <c r="S229" s="628">
        <f>SUM(F229:P229)</f>
        <v>297718.36835</v>
      </c>
      <c r="T229" s="701">
        <v>316731.03000000003</v>
      </c>
      <c r="U229" s="789">
        <f>S229/T229*100</f>
        <v>93.997221664703957</v>
      </c>
      <c r="V229" s="823"/>
      <c r="W229" s="1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Q229" s="63"/>
      <c r="AW229" s="173" t="e">
        <f>AV229/AV10</f>
        <v>#DIV/0!</v>
      </c>
      <c r="BC229" s="144"/>
      <c r="BD229" s="144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CG229" s="144"/>
      <c r="CZ229" s="1"/>
      <c r="DO229" s="520"/>
      <c r="DP229" s="144"/>
      <c r="DQ229" s="144"/>
      <c r="DR229" s="144"/>
      <c r="DS229" s="144"/>
      <c r="FV229" s="144"/>
      <c r="JQ229" s="144"/>
      <c r="JR229" s="144"/>
      <c r="JS229" s="144"/>
      <c r="JT229" s="144"/>
      <c r="OX229" s="144"/>
      <c r="OY229" s="144"/>
      <c r="PA229" s="144"/>
      <c r="PO229" s="153"/>
      <c r="PS229" s="144"/>
      <c r="RV229" s="153"/>
      <c r="AHE229" s="144"/>
      <c r="AIT229" s="144"/>
      <c r="AIU229" s="144"/>
      <c r="AIV229" s="144"/>
    </row>
    <row r="230" spans="2:932" x14ac:dyDescent="0.25">
      <c r="B230" s="735"/>
      <c r="C230" s="583" t="s">
        <v>11</v>
      </c>
      <c r="D230" s="622"/>
      <c r="E230" s="468"/>
      <c r="F230" s="623"/>
      <c r="G230" s="629"/>
      <c r="H230" s="629"/>
      <c r="I230" s="443"/>
      <c r="J230" s="629"/>
      <c r="K230" s="630"/>
      <c r="L230" s="630"/>
      <c r="M230" s="443"/>
      <c r="N230" s="443"/>
      <c r="O230" s="443"/>
      <c r="P230" s="443"/>
      <c r="Q230" s="631"/>
      <c r="R230" s="723"/>
      <c r="S230" s="717" t="s">
        <v>11</v>
      </c>
      <c r="T230" s="702" t="s">
        <v>11</v>
      </c>
      <c r="U230" s="799" t="s">
        <v>11</v>
      </c>
      <c r="W230" s="1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Q230" s="63"/>
      <c r="AW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CZ230" s="1"/>
    </row>
    <row r="231" spans="2:932" x14ac:dyDescent="0.25">
      <c r="B231" s="735"/>
      <c r="C231" s="466" t="s">
        <v>21</v>
      </c>
      <c r="D231" s="632">
        <v>292</v>
      </c>
      <c r="E231" s="500" t="s">
        <v>19</v>
      </c>
      <c r="F231" s="623">
        <v>2299.1853999999998</v>
      </c>
      <c r="G231" s="623">
        <v>1937.1727999999998</v>
      </c>
      <c r="H231" s="623">
        <v>2934.3270999999995</v>
      </c>
      <c r="I231" s="633">
        <v>2457.4009000000001</v>
      </c>
      <c r="J231" s="623">
        <v>3705.9210000000003</v>
      </c>
      <c r="K231" s="1565">
        <v>2593.8142000000003</v>
      </c>
      <c r="L231" s="623">
        <v>4776.3290292795864</v>
      </c>
      <c r="M231" s="623">
        <v>7265.8266911540595</v>
      </c>
      <c r="N231" s="623">
        <v>5868.6339215841053</v>
      </c>
      <c r="O231" s="623">
        <v>5155.2056013928332</v>
      </c>
      <c r="P231" s="623">
        <f>'November 2024'!AL236</f>
        <v>4004.6777830398883</v>
      </c>
      <c r="Q231" s="623">
        <f>'[24]Desember 24'!AL220</f>
        <v>0</v>
      </c>
      <c r="R231" s="723"/>
      <c r="S231" s="634">
        <f>SUM(F231:P231)</f>
        <v>42998.494426450467</v>
      </c>
      <c r="T231" s="703">
        <v>47509.77</v>
      </c>
      <c r="U231" s="800">
        <f>S231/T231*100</f>
        <v>90.504530807980061</v>
      </c>
      <c r="W231" s="1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Q231" s="63"/>
      <c r="AW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CZ231" s="1"/>
      <c r="WZ231" s="39"/>
      <c r="AFQ231" s="39"/>
    </row>
    <row r="232" spans="2:932" x14ac:dyDescent="0.25">
      <c r="B232" s="735"/>
      <c r="C232" s="466" t="s">
        <v>20</v>
      </c>
      <c r="D232" s="632">
        <v>1168.001</v>
      </c>
      <c r="E232" s="500" t="s">
        <v>19</v>
      </c>
      <c r="F232" s="623">
        <v>21151.569399999997</v>
      </c>
      <c r="G232" s="623">
        <v>12931.416799999999</v>
      </c>
      <c r="H232" s="623">
        <v>27808.969770000003</v>
      </c>
      <c r="I232" s="623">
        <v>21865.37198</v>
      </c>
      <c r="J232" s="623">
        <v>24771.154500000001</v>
      </c>
      <c r="K232" s="623">
        <v>17078.186000000002</v>
      </c>
      <c r="L232" s="623">
        <v>21833.72397072041</v>
      </c>
      <c r="M232" s="623">
        <v>28042.766008845945</v>
      </c>
      <c r="N232" s="623">
        <v>26265.7151784159</v>
      </c>
      <c r="O232" s="623">
        <v>28195.215898607166</v>
      </c>
      <c r="P232" s="623">
        <f>'November 2024'!AL238</f>
        <v>24775.784416960109</v>
      </c>
      <c r="Q232" s="623">
        <f>'[24]Desember 24'!AL221</f>
        <v>0</v>
      </c>
      <c r="R232" s="723"/>
      <c r="S232" s="634">
        <f>SUM(F232:P232)</f>
        <v>254719.87392354954</v>
      </c>
      <c r="T232" s="703">
        <v>269221.26</v>
      </c>
      <c r="U232" s="800">
        <f>S232/T232*100</f>
        <v>94.613580637557945</v>
      </c>
      <c r="W232" s="1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Q232" s="63"/>
      <c r="AW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CZ232" s="1"/>
      <c r="WY232" s="39"/>
    </row>
    <row r="233" spans="2:932" x14ac:dyDescent="0.25">
      <c r="B233" s="741"/>
      <c r="C233" s="635" t="s">
        <v>1</v>
      </c>
      <c r="D233" s="636">
        <f>SUM(D231:D232)</f>
        <v>1460.001</v>
      </c>
      <c r="E233" s="25" t="s">
        <v>19</v>
      </c>
      <c r="F233" s="637">
        <v>23450.754799999995</v>
      </c>
      <c r="G233" s="637">
        <v>14868.589599999999</v>
      </c>
      <c r="H233" s="637">
        <v>30743.296870000002</v>
      </c>
      <c r="I233" s="637">
        <v>24322.77288</v>
      </c>
      <c r="J233" s="637">
        <v>28477.075499999999</v>
      </c>
      <c r="K233" s="637">
        <v>19672.000200000002</v>
      </c>
      <c r="L233" s="637">
        <v>26610.053000000004</v>
      </c>
      <c r="M233" s="637">
        <v>35308.592700000001</v>
      </c>
      <c r="N233" s="637">
        <v>32134.349099999996</v>
      </c>
      <c r="O233" s="637">
        <f t="shared" ref="O233" si="185">O229</f>
        <v>33350.421499999997</v>
      </c>
      <c r="P233" s="637">
        <f>'November 2024'!AL239</f>
        <v>28780.462200000002</v>
      </c>
      <c r="Q233" s="637">
        <f t="shared" ref="Q233" si="186">Q229</f>
        <v>0</v>
      </c>
      <c r="R233" s="737"/>
      <c r="S233" s="118">
        <f>SUM(S231:S232)</f>
        <v>297718.36835</v>
      </c>
      <c r="T233" s="704">
        <f>SUM(T231:T232)</f>
        <v>316731.03000000003</v>
      </c>
      <c r="U233" s="800">
        <f>S233/T233*100</f>
        <v>93.997221664703957</v>
      </c>
      <c r="W233" s="1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Q233" s="63"/>
      <c r="AW233" s="2"/>
      <c r="BC233" s="152"/>
      <c r="BD233" s="152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CG233" s="152"/>
      <c r="CZ233" s="1"/>
      <c r="DO233" s="439"/>
      <c r="DP233" s="152"/>
      <c r="DQ233" s="152"/>
      <c r="DR233" s="152"/>
      <c r="DS233" s="152"/>
      <c r="FV233" s="152"/>
      <c r="JQ233" s="152"/>
      <c r="JR233" s="152"/>
      <c r="JS233" s="152"/>
      <c r="JT233" s="152"/>
      <c r="OX233" s="152"/>
      <c r="OY233" s="152"/>
      <c r="PA233" s="152"/>
      <c r="PO233" s="638"/>
      <c r="PS233" s="152"/>
      <c r="RV233" s="638"/>
      <c r="AHE233" s="152"/>
      <c r="AIT233" s="152"/>
      <c r="AIU233" s="152"/>
      <c r="AIV233" s="152"/>
    </row>
    <row r="234" spans="2:932" x14ac:dyDescent="0.25">
      <c r="B234" s="732">
        <v>10</v>
      </c>
      <c r="C234" s="639" t="s">
        <v>18</v>
      </c>
      <c r="D234" s="640"/>
      <c r="E234" s="120"/>
      <c r="F234" s="641"/>
      <c r="G234" s="641"/>
      <c r="H234" s="641"/>
      <c r="I234" s="641"/>
      <c r="J234" s="641"/>
      <c r="K234" s="641"/>
      <c r="L234" s="641"/>
      <c r="M234" s="641"/>
      <c r="N234" s="641"/>
      <c r="O234" s="641"/>
      <c r="P234" s="641"/>
      <c r="Q234" s="641"/>
      <c r="R234" s="737"/>
      <c r="S234" s="719" t="s">
        <v>134</v>
      </c>
      <c r="T234" s="705" t="s">
        <v>134</v>
      </c>
      <c r="U234" s="801" t="s">
        <v>134</v>
      </c>
      <c r="W234" s="1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Q234" s="63"/>
      <c r="AW234" s="2"/>
      <c r="BC234" s="152"/>
      <c r="BD234" s="152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CG234" s="152"/>
      <c r="CZ234" s="1"/>
      <c r="DO234" s="439"/>
      <c r="DP234" s="152"/>
      <c r="DQ234" s="152"/>
      <c r="DR234" s="152"/>
      <c r="DS234" s="152"/>
      <c r="FV234" s="152"/>
      <c r="JQ234" s="152"/>
      <c r="JR234" s="152"/>
      <c r="JS234" s="152"/>
      <c r="JT234" s="152"/>
      <c r="OX234" s="152"/>
      <c r="OY234" s="152"/>
      <c r="PA234" s="152"/>
      <c r="PO234" s="638"/>
      <c r="PS234" s="152"/>
      <c r="RV234" s="638"/>
      <c r="AHE234" s="152"/>
      <c r="AIT234" s="152"/>
      <c r="AIU234" s="152"/>
      <c r="AIV234" s="152"/>
    </row>
    <row r="235" spans="2:932" x14ac:dyDescent="0.25">
      <c r="B235" s="735"/>
      <c r="C235" s="466" t="s">
        <v>4</v>
      </c>
      <c r="D235" s="643">
        <f>17000*24</f>
        <v>408000</v>
      </c>
      <c r="E235" s="500" t="s">
        <v>14</v>
      </c>
      <c r="F235" s="283">
        <v>4927889</v>
      </c>
      <c r="G235" s="283">
        <v>3183848</v>
      </c>
      <c r="H235" s="283">
        <v>6755918.0020000003</v>
      </c>
      <c r="I235" s="283">
        <v>4958690</v>
      </c>
      <c r="J235" s="283">
        <v>5029875</v>
      </c>
      <c r="K235" s="283">
        <v>3827086</v>
      </c>
      <c r="L235" s="283">
        <v>4916977</v>
      </c>
      <c r="M235" s="283">
        <v>6506822</v>
      </c>
      <c r="N235" s="601">
        <v>5670273</v>
      </c>
      <c r="O235" s="601">
        <v>5945824</v>
      </c>
      <c r="P235" s="644">
        <f>'November 2024'!AL241</f>
        <v>5582656</v>
      </c>
      <c r="Q235" s="601">
        <f>'[24]Desember 24'!AL224</f>
        <v>0</v>
      </c>
      <c r="R235" s="723"/>
      <c r="S235" s="645">
        <f>SUM(F235:P235)</f>
        <v>57305858.002000004</v>
      </c>
      <c r="T235" s="706">
        <v>110880000</v>
      </c>
      <c r="U235" s="789">
        <f>S235/T235*100</f>
        <v>51.682772368326127</v>
      </c>
      <c r="V235" s="3"/>
      <c r="W235" s="1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Q235" s="63"/>
      <c r="AW235" s="2"/>
      <c r="BC235" s="142"/>
      <c r="BD235" s="142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CG235" s="142"/>
      <c r="CZ235" s="1"/>
      <c r="DO235" s="5"/>
      <c r="DP235" s="142"/>
      <c r="DQ235" s="142"/>
      <c r="DR235" s="142"/>
      <c r="DS235" s="142"/>
      <c r="FV235" s="142"/>
      <c r="JQ235" s="142"/>
      <c r="JR235" s="142"/>
      <c r="JS235" s="142"/>
      <c r="JT235" s="142"/>
      <c r="OX235" s="142"/>
      <c r="OY235" s="142"/>
      <c r="PA235" s="142"/>
      <c r="PO235" s="485"/>
      <c r="PS235" s="142"/>
      <c r="RV235" s="485"/>
      <c r="AHE235" s="142"/>
      <c r="AIT235" s="142"/>
      <c r="AIU235" s="142"/>
      <c r="AIV235" s="142"/>
    </row>
    <row r="236" spans="2:932" x14ac:dyDescent="0.25">
      <c r="B236" s="732"/>
      <c r="C236" s="573" t="s">
        <v>17</v>
      </c>
      <c r="D236" s="646"/>
      <c r="E236" s="13"/>
      <c r="F236" s="601"/>
      <c r="G236" s="601"/>
      <c r="H236" s="601"/>
      <c r="I236" s="601"/>
      <c r="J236" s="601"/>
      <c r="K236" s="601"/>
      <c r="L236" s="601"/>
      <c r="M236" s="601"/>
      <c r="N236" s="601"/>
      <c r="O236" s="601"/>
      <c r="P236" s="601"/>
      <c r="Q236" s="601"/>
      <c r="R236" s="737"/>
      <c r="S236" s="720" t="s">
        <v>17</v>
      </c>
      <c r="T236" s="707" t="s">
        <v>17</v>
      </c>
      <c r="U236" s="802" t="s">
        <v>17</v>
      </c>
      <c r="V236" s="27"/>
      <c r="W236" s="1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Q236" s="63"/>
      <c r="AW236" s="2"/>
      <c r="BC236" s="152"/>
      <c r="BD236" s="152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CG236" s="152"/>
      <c r="CZ236" s="1"/>
      <c r="DO236" s="439"/>
      <c r="DP236" s="152"/>
      <c r="DQ236" s="152"/>
      <c r="DR236" s="152"/>
      <c r="DS236" s="152"/>
      <c r="FV236" s="152"/>
      <c r="JQ236" s="152"/>
      <c r="JR236" s="152"/>
      <c r="JS236" s="152"/>
      <c r="JT236" s="152"/>
      <c r="OX236" s="152"/>
      <c r="OY236" s="152"/>
      <c r="PA236" s="152"/>
      <c r="PO236" s="638"/>
      <c r="PS236" s="152"/>
      <c r="RV236" s="638"/>
      <c r="AHE236" s="152"/>
      <c r="AIT236" s="152"/>
      <c r="AIU236" s="152"/>
      <c r="AIV236" s="152"/>
    </row>
    <row r="237" spans="2:932" x14ac:dyDescent="0.25">
      <c r="B237" s="735"/>
      <c r="C237" s="466" t="s">
        <v>16</v>
      </c>
      <c r="D237" s="643">
        <v>180000</v>
      </c>
      <c r="E237" s="500" t="s">
        <v>14</v>
      </c>
      <c r="F237" s="33">
        <v>2995400</v>
      </c>
      <c r="G237" s="33">
        <v>2048300</v>
      </c>
      <c r="H237" s="33">
        <v>4321700</v>
      </c>
      <c r="I237" s="33">
        <v>3303100</v>
      </c>
      <c r="J237" s="33">
        <v>3575904</v>
      </c>
      <c r="K237" s="33">
        <v>2489600</v>
      </c>
      <c r="L237" s="33">
        <v>3311110</v>
      </c>
      <c r="M237" s="33">
        <v>4286800</v>
      </c>
      <c r="N237" s="33">
        <v>3927994</v>
      </c>
      <c r="O237" s="33">
        <v>4324900</v>
      </c>
      <c r="P237" s="443">
        <f>'November 2024'!AL243</f>
        <v>3611900</v>
      </c>
      <c r="Q237" s="443">
        <f>'[24]Desember 24'!AL226</f>
        <v>0</v>
      </c>
      <c r="R237" s="723"/>
      <c r="S237" s="55">
        <f>SUM(F237:P237)</f>
        <v>38196708</v>
      </c>
      <c r="T237" s="670">
        <v>41580000</v>
      </c>
      <c r="U237" s="774">
        <f>S237/T237*100</f>
        <v>91.863174603174599</v>
      </c>
      <c r="V237" s="501"/>
      <c r="W237" s="1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Q237" s="63"/>
      <c r="AW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CZ237" s="1"/>
    </row>
    <row r="238" spans="2:932" x14ac:dyDescent="0.25">
      <c r="B238" s="735"/>
      <c r="C238" s="466" t="s">
        <v>15</v>
      </c>
      <c r="D238" s="643">
        <v>122000</v>
      </c>
      <c r="E238" s="500" t="s">
        <v>14</v>
      </c>
      <c r="F238" s="33">
        <v>1282600</v>
      </c>
      <c r="G238" s="33">
        <v>818400</v>
      </c>
      <c r="H238" s="33">
        <v>1751370</v>
      </c>
      <c r="I238" s="33">
        <v>924800</v>
      </c>
      <c r="J238" s="33">
        <v>1308500.1000000001</v>
      </c>
      <c r="K238" s="33">
        <v>850000</v>
      </c>
      <c r="L238" s="33">
        <v>1238750</v>
      </c>
      <c r="M238" s="33">
        <v>1951280</v>
      </c>
      <c r="N238" s="33">
        <v>1632200</v>
      </c>
      <c r="O238" s="33">
        <v>1794300</v>
      </c>
      <c r="P238" s="443">
        <f>'November 2024'!AL245</f>
        <v>1796900</v>
      </c>
      <c r="Q238" s="443">
        <f>'[24]Desember 24'!AL227</f>
        <v>0</v>
      </c>
      <c r="R238" s="723"/>
      <c r="S238" s="55">
        <f>SUM(F238:P238)</f>
        <v>15349100.1</v>
      </c>
      <c r="T238" s="670">
        <v>28182000</v>
      </c>
      <c r="U238" s="774">
        <f>S238/T238*100</f>
        <v>54.464197360017032</v>
      </c>
      <c r="W238" s="1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Q238" s="63"/>
      <c r="AW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CZ238" s="1"/>
    </row>
    <row r="239" spans="2:932" x14ac:dyDescent="0.25">
      <c r="B239" s="735"/>
      <c r="C239" s="466" t="s">
        <v>7</v>
      </c>
      <c r="D239" s="643">
        <f>D235-D237-D238</f>
        <v>106000</v>
      </c>
      <c r="E239" s="500" t="s">
        <v>14</v>
      </c>
      <c r="F239" s="443">
        <v>649889</v>
      </c>
      <c r="G239" s="443">
        <v>317148</v>
      </c>
      <c r="H239" s="443">
        <v>682848.00199999998</v>
      </c>
      <c r="I239" s="443">
        <v>730790</v>
      </c>
      <c r="J239" s="443">
        <v>145470.9</v>
      </c>
      <c r="K239" s="443">
        <v>487486</v>
      </c>
      <c r="L239" s="33">
        <v>367117</v>
      </c>
      <c r="M239" s="443">
        <v>268742</v>
      </c>
      <c r="N239" s="443">
        <v>110079</v>
      </c>
      <c r="O239" s="443">
        <v>-173376</v>
      </c>
      <c r="P239" s="443">
        <f>'November 2024'!AL247</f>
        <v>173856</v>
      </c>
      <c r="Q239" s="443">
        <f>'[24]Desember 24'!AL228</f>
        <v>0</v>
      </c>
      <c r="R239" s="723"/>
      <c r="S239" s="55">
        <f>SUM(F239:P239)</f>
        <v>3760049.9019999998</v>
      </c>
      <c r="T239" s="670">
        <v>41118000</v>
      </c>
      <c r="U239" s="774">
        <f>S239/T239*100</f>
        <v>9.1445350017024172</v>
      </c>
      <c r="W239" s="1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Q239" s="63"/>
      <c r="AW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CZ239" s="1"/>
    </row>
    <row r="240" spans="2:932" x14ac:dyDescent="0.25">
      <c r="B240" s="732"/>
      <c r="C240" s="583" t="s">
        <v>1</v>
      </c>
      <c r="D240" s="647">
        <f>SUM(D237:D239)</f>
        <v>408000</v>
      </c>
      <c r="E240" s="500" t="s">
        <v>14</v>
      </c>
      <c r="F240" s="601">
        <v>4927889</v>
      </c>
      <c r="G240" s="601">
        <v>3183848</v>
      </c>
      <c r="H240" s="601">
        <v>6755918.0020000003</v>
      </c>
      <c r="I240" s="601">
        <v>4958690</v>
      </c>
      <c r="J240" s="601">
        <v>5029875</v>
      </c>
      <c r="K240" s="601">
        <v>3827086</v>
      </c>
      <c r="L240" s="601">
        <v>4916977</v>
      </c>
      <c r="M240" s="601">
        <f>SUM(M237:M239)</f>
        <v>6506822</v>
      </c>
      <c r="N240" s="601">
        <f t="shared" ref="N240" si="187">SUM(N237:N239)</f>
        <v>5670273</v>
      </c>
      <c r="O240" s="601">
        <f t="shared" ref="O240" si="188">SUM(O237:O239)</f>
        <v>5945824</v>
      </c>
      <c r="P240" s="601">
        <f>'November 2024'!AL249</f>
        <v>5582656</v>
      </c>
      <c r="Q240" s="601">
        <f t="shared" ref="Q240" si="189">SUM(Q237:Q239)</f>
        <v>0</v>
      </c>
      <c r="R240" s="737"/>
      <c r="S240" s="648">
        <f>SUM(S237:S239)</f>
        <v>57305858.002000004</v>
      </c>
      <c r="T240" s="708">
        <f>SUM(T237:T239)</f>
        <v>110880000</v>
      </c>
      <c r="U240" s="774">
        <f>S240/T240*100</f>
        <v>51.682772368326127</v>
      </c>
      <c r="W240" s="1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Q240" s="63"/>
      <c r="AW240" s="2"/>
      <c r="BC240" s="152"/>
      <c r="BD240" s="152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CG240" s="152"/>
      <c r="CZ240" s="1"/>
      <c r="DO240" s="439"/>
      <c r="DP240" s="152"/>
      <c r="DQ240" s="152"/>
      <c r="DR240" s="152"/>
      <c r="DS240" s="152"/>
      <c r="FV240" s="152"/>
      <c r="JQ240" s="152"/>
      <c r="JR240" s="152"/>
      <c r="JS240" s="152"/>
      <c r="JT240" s="152"/>
      <c r="OX240" s="152"/>
      <c r="OY240" s="152"/>
      <c r="PA240" s="152"/>
      <c r="PO240" s="638"/>
      <c r="PS240" s="152"/>
      <c r="RV240" s="638"/>
      <c r="AHE240" s="152"/>
      <c r="AIT240" s="152"/>
      <c r="AIU240" s="152"/>
      <c r="AIV240" s="152"/>
    </row>
    <row r="241" spans="2:932" x14ac:dyDescent="0.25">
      <c r="B241" s="731">
        <v>11</v>
      </c>
      <c r="C241" s="525" t="s">
        <v>13</v>
      </c>
      <c r="D241" s="649"/>
      <c r="E241" s="77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723"/>
      <c r="S241" s="642" t="s">
        <v>135</v>
      </c>
      <c r="T241" s="705" t="s">
        <v>135</v>
      </c>
      <c r="U241" s="801" t="s">
        <v>135</v>
      </c>
      <c r="W241" s="1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Q241" s="63"/>
      <c r="AW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CZ241" s="1"/>
    </row>
    <row r="242" spans="2:932" ht="16.5" x14ac:dyDescent="0.25">
      <c r="B242" s="736"/>
      <c r="C242" s="576" t="s">
        <v>12</v>
      </c>
      <c r="D242" s="650">
        <v>750</v>
      </c>
      <c r="E242" s="577" t="s">
        <v>358</v>
      </c>
      <c r="F242" s="585">
        <v>17554</v>
      </c>
      <c r="G242" s="585">
        <v>16703</v>
      </c>
      <c r="H242" s="585">
        <v>19273</v>
      </c>
      <c r="I242" s="585">
        <v>16670</v>
      </c>
      <c r="J242" s="585">
        <v>17932</v>
      </c>
      <c r="K242" s="585">
        <v>16314</v>
      </c>
      <c r="L242" s="585">
        <v>18760</v>
      </c>
      <c r="M242" s="585">
        <v>22551</v>
      </c>
      <c r="N242" s="585">
        <v>18965</v>
      </c>
      <c r="O242" s="585">
        <v>21080</v>
      </c>
      <c r="P242" s="651">
        <f>'November 2024'!AL251</f>
        <v>17740</v>
      </c>
      <c r="Q242" s="651">
        <f>'[24]Desember 24'!AL231</f>
        <v>0</v>
      </c>
      <c r="S242" s="652">
        <f>SUM(F242:P242)</f>
        <v>203542</v>
      </c>
      <c r="T242" s="709">
        <v>232503.81</v>
      </c>
      <c r="U242" s="789">
        <f>S242/T242*100</f>
        <v>87.543511652561733</v>
      </c>
      <c r="V242" s="824"/>
      <c r="W242" s="1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Q242" s="63"/>
      <c r="AW242" s="173">
        <f>AV242/4</f>
        <v>0</v>
      </c>
      <c r="BC242" s="145"/>
      <c r="BD242" s="145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CG242" s="145"/>
      <c r="CZ242" s="1"/>
      <c r="DO242" s="521"/>
      <c r="DP242" s="145"/>
      <c r="DQ242" s="145"/>
      <c r="DR242" s="145"/>
      <c r="DS242" s="145"/>
      <c r="FV242" s="145"/>
      <c r="JQ242" s="145"/>
      <c r="JR242" s="145"/>
      <c r="JS242" s="145"/>
      <c r="JT242" s="145"/>
      <c r="OX242" s="145"/>
      <c r="OY242" s="145"/>
      <c r="PA242" s="145"/>
      <c r="PO242" s="514"/>
      <c r="PS242" s="145"/>
      <c r="RV242" s="514"/>
      <c r="AHE242" s="145"/>
      <c r="AIT242" s="145"/>
      <c r="AIU242" s="145"/>
      <c r="AIV242" s="145"/>
    </row>
    <row r="243" spans="2:932" x14ac:dyDescent="0.25">
      <c r="B243" s="736"/>
      <c r="C243" s="653" t="s">
        <v>11</v>
      </c>
      <c r="D243" s="654"/>
      <c r="E243" s="442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S243" s="715" t="s">
        <v>11</v>
      </c>
      <c r="T243" s="710" t="s">
        <v>11</v>
      </c>
      <c r="U243" s="803" t="s">
        <v>11</v>
      </c>
      <c r="W243" s="1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Q243" s="63"/>
      <c r="AW243" s="16"/>
      <c r="BC243" s="145"/>
      <c r="BD243" s="145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CG243" s="145"/>
      <c r="CZ243" s="1"/>
      <c r="DO243" s="521"/>
      <c r="DP243" s="145"/>
      <c r="DQ243" s="145"/>
      <c r="DR243" s="145"/>
      <c r="DS243" s="145"/>
      <c r="FV243" s="145"/>
      <c r="JQ243" s="145"/>
      <c r="JR243" s="145"/>
      <c r="JS243" s="145"/>
      <c r="JT243" s="145"/>
      <c r="OX243" s="145"/>
      <c r="OY243" s="145"/>
      <c r="PA243" s="145"/>
      <c r="PO243" s="514"/>
      <c r="PS243" s="145"/>
      <c r="RV243" s="514"/>
      <c r="AHE243" s="145"/>
      <c r="AIT243" s="145"/>
      <c r="AIU243" s="145"/>
      <c r="AIV243" s="145"/>
    </row>
    <row r="244" spans="2:932" ht="16.5" x14ac:dyDescent="0.25">
      <c r="B244" s="736"/>
      <c r="C244" s="576" t="s">
        <v>10</v>
      </c>
      <c r="D244" s="655">
        <v>91.5</v>
      </c>
      <c r="E244" s="577" t="s">
        <v>358</v>
      </c>
      <c r="F244" s="29">
        <v>2013</v>
      </c>
      <c r="G244" s="29">
        <v>1500</v>
      </c>
      <c r="H244" s="29">
        <v>2452</v>
      </c>
      <c r="I244" s="29">
        <v>1635</v>
      </c>
      <c r="J244" s="29">
        <v>1633</v>
      </c>
      <c r="K244" s="29">
        <v>1749</v>
      </c>
      <c r="L244" s="29">
        <v>3095</v>
      </c>
      <c r="M244" s="29">
        <v>3108</v>
      </c>
      <c r="N244" s="29">
        <v>2699</v>
      </c>
      <c r="O244" s="29">
        <v>3023</v>
      </c>
      <c r="P244" s="275">
        <f>'November 2024'!AL253</f>
        <v>2042</v>
      </c>
      <c r="Q244" s="275">
        <f>'[24]Desember 24'!AL233</f>
        <v>0</v>
      </c>
      <c r="S244" s="656">
        <f>SUM(F244:P244)</f>
        <v>24949</v>
      </c>
      <c r="T244" s="711">
        <v>18496.169999999998</v>
      </c>
      <c r="U244" s="804">
        <f>S244/T244*100</f>
        <v>134.88738479371676</v>
      </c>
      <c r="V244" s="657"/>
      <c r="W244" s="1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Q244" s="63"/>
      <c r="AW244" s="16"/>
      <c r="BC244" s="145"/>
      <c r="BD244" s="145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CG244" s="145"/>
      <c r="CZ244" s="1"/>
      <c r="DO244" s="521"/>
      <c r="DP244" s="145"/>
      <c r="DQ244" s="145"/>
      <c r="DR244" s="145"/>
      <c r="DS244" s="145"/>
      <c r="FV244" s="145"/>
      <c r="JQ244" s="145"/>
      <c r="JR244" s="145"/>
      <c r="JS244" s="145"/>
      <c r="JT244" s="145"/>
      <c r="OX244" s="145"/>
      <c r="OY244" s="145"/>
      <c r="PA244" s="145"/>
      <c r="PO244" s="514"/>
      <c r="PS244" s="145"/>
      <c r="RV244" s="514"/>
      <c r="AFQ244" s="658" t="e">
        <f>#REF!-S244</f>
        <v>#REF!</v>
      </c>
      <c r="AHE244" s="145"/>
      <c r="AIT244" s="145"/>
      <c r="AIU244" s="145"/>
      <c r="AIV244" s="145"/>
    </row>
    <row r="245" spans="2:932" ht="16.5" x14ac:dyDescent="0.25">
      <c r="B245" s="736"/>
      <c r="C245" s="576" t="s">
        <v>9</v>
      </c>
      <c r="D245" s="655">
        <v>179.63</v>
      </c>
      <c r="E245" s="577" t="s">
        <v>358</v>
      </c>
      <c r="F245" s="29">
        <v>1344</v>
      </c>
      <c r="G245" s="29">
        <v>1063</v>
      </c>
      <c r="H245" s="29">
        <v>1981</v>
      </c>
      <c r="I245" s="29">
        <v>908</v>
      </c>
      <c r="J245" s="29">
        <v>1598</v>
      </c>
      <c r="K245" s="29">
        <v>993</v>
      </c>
      <c r="L245" s="29">
        <v>1579</v>
      </c>
      <c r="M245" s="29">
        <v>2405</v>
      </c>
      <c r="N245" s="29">
        <v>2060</v>
      </c>
      <c r="O245" s="29">
        <v>2042</v>
      </c>
      <c r="P245" s="275">
        <f>'November 2024'!AL255</f>
        <v>2158</v>
      </c>
      <c r="Q245" s="275">
        <f>'[24]Desember 24'!AL234</f>
        <v>0</v>
      </c>
      <c r="S245" s="656">
        <f>SUM(F245:P245)</f>
        <v>18131</v>
      </c>
      <c r="T245" s="711">
        <v>31949.61</v>
      </c>
      <c r="U245" s="804">
        <f>S245/T245*100</f>
        <v>56.748736526048361</v>
      </c>
      <c r="W245" s="1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Q245" s="63"/>
      <c r="AW245" s="16"/>
      <c r="BC245" s="145"/>
      <c r="BD245" s="145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CG245" s="145"/>
      <c r="CZ245" s="1"/>
      <c r="DO245" s="521"/>
      <c r="DP245" s="145"/>
      <c r="DQ245" s="145"/>
      <c r="DR245" s="145"/>
      <c r="DS245" s="145"/>
      <c r="FV245" s="145"/>
      <c r="JQ245" s="145"/>
      <c r="JR245" s="145"/>
      <c r="JS245" s="145"/>
      <c r="JT245" s="145"/>
      <c r="OX245" s="145"/>
      <c r="OY245" s="145"/>
      <c r="PA245" s="145"/>
      <c r="PO245" s="514"/>
      <c r="PS245" s="145"/>
      <c r="RV245" s="514"/>
      <c r="AFQ245" s="658" t="e">
        <f>#REF!-S245</f>
        <v>#REF!</v>
      </c>
      <c r="AHE245" s="145"/>
      <c r="AIT245" s="145"/>
      <c r="AIU245" s="145"/>
      <c r="AIV245" s="145"/>
    </row>
    <row r="246" spans="2:932" ht="16.5" x14ac:dyDescent="0.25">
      <c r="B246" s="736"/>
      <c r="C246" s="576" t="s">
        <v>8</v>
      </c>
      <c r="D246" s="650">
        <f>44.69%*D242</f>
        <v>335.17499999999995</v>
      </c>
      <c r="E246" s="577" t="s">
        <v>358</v>
      </c>
      <c r="F246" s="275">
        <v>7297.1</v>
      </c>
      <c r="G246" s="275">
        <v>3910.2999999999997</v>
      </c>
      <c r="H246" s="275">
        <v>9003.7999999999993</v>
      </c>
      <c r="I246" s="275">
        <v>7284.6999999999989</v>
      </c>
      <c r="J246" s="275">
        <v>8540.2000000000007</v>
      </c>
      <c r="K246" s="275">
        <v>6781.7999999999984</v>
      </c>
      <c r="L246" s="275">
        <v>8167.3000000000011</v>
      </c>
      <c r="M246" s="275">
        <v>10010.5</v>
      </c>
      <c r="N246" s="275">
        <v>9920.2999999999993</v>
      </c>
      <c r="O246" s="275">
        <v>9517.1</v>
      </c>
      <c r="P246" s="275">
        <f>'November 2024'!AL257</f>
        <v>8222</v>
      </c>
      <c r="Q246" s="275">
        <f>'[24]Desember 24'!AL235</f>
        <v>0</v>
      </c>
      <c r="S246" s="656">
        <f>SUM(F246:P246)</f>
        <v>88655.099999999991</v>
      </c>
      <c r="T246" s="711">
        <v>134857.79999999999</v>
      </c>
      <c r="U246" s="804">
        <f>S246/T246*100</f>
        <v>65.739690251509359</v>
      </c>
      <c r="V246" s="658"/>
      <c r="W246" s="1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Q246" s="63"/>
      <c r="AW246" s="16"/>
      <c r="BC246" s="145"/>
      <c r="BD246" s="145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CG246" s="145"/>
      <c r="CZ246" s="1"/>
      <c r="DO246" s="521"/>
      <c r="DP246" s="145"/>
      <c r="DQ246" s="145"/>
      <c r="DR246" s="145"/>
      <c r="DS246" s="145"/>
      <c r="FV246" s="145"/>
      <c r="JQ246" s="145"/>
      <c r="JR246" s="145"/>
      <c r="JS246" s="145"/>
      <c r="JT246" s="145"/>
      <c r="OX246" s="145"/>
      <c r="OY246" s="145"/>
      <c r="PA246" s="145"/>
      <c r="PO246" s="514"/>
      <c r="PS246" s="145"/>
      <c r="RV246" s="514"/>
      <c r="AHE246" s="145"/>
      <c r="AIT246" s="145"/>
      <c r="AIU246" s="145"/>
      <c r="AIV246" s="145"/>
    </row>
    <row r="247" spans="2:932" ht="16.5" x14ac:dyDescent="0.25">
      <c r="B247" s="736"/>
      <c r="C247" s="576" t="s">
        <v>7</v>
      </c>
      <c r="D247" s="650">
        <f>D242-SUM(D244:D246)</f>
        <v>143.69500000000005</v>
      </c>
      <c r="E247" s="577" t="s">
        <v>358</v>
      </c>
      <c r="F247" s="275">
        <v>6899.9000000000005</v>
      </c>
      <c r="G247" s="275">
        <v>10229.699999999997</v>
      </c>
      <c r="H247" s="275">
        <v>5836.2000000000007</v>
      </c>
      <c r="I247" s="275">
        <v>6842.3000000000011</v>
      </c>
      <c r="J247" s="275">
        <v>6160.7999999999993</v>
      </c>
      <c r="K247" s="275">
        <v>6790.2000000000016</v>
      </c>
      <c r="L247" s="275">
        <v>6264.6999999999989</v>
      </c>
      <c r="M247" s="275">
        <v>7027.5</v>
      </c>
      <c r="N247" s="275">
        <v>4285.7</v>
      </c>
      <c r="O247" s="275">
        <v>6497.9</v>
      </c>
      <c r="P247" s="275">
        <f>'November 2024'!AL258</f>
        <v>5318</v>
      </c>
      <c r="Q247" s="275">
        <f>Q242-(SUM(Q244:Q246))</f>
        <v>0</v>
      </c>
      <c r="S247" s="656">
        <f>SUM(F247:P247)</f>
        <v>72152.899999999994</v>
      </c>
      <c r="T247" s="711">
        <f>143.7*231</f>
        <v>33194.699999999997</v>
      </c>
      <c r="U247" s="804">
        <f>S247/T247*100</f>
        <v>217.36271151720007</v>
      </c>
      <c r="V247" s="825"/>
      <c r="W247" s="1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Q247" s="63"/>
      <c r="AW247" s="16"/>
      <c r="BC247" s="145"/>
      <c r="BD247" s="145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CG247" s="145"/>
      <c r="CZ247" s="1"/>
      <c r="DO247" s="521"/>
      <c r="DP247" s="145"/>
      <c r="DQ247" s="145"/>
      <c r="DR247" s="145"/>
      <c r="DS247" s="145"/>
      <c r="FV247" s="145"/>
      <c r="JQ247" s="145"/>
      <c r="JR247" s="145"/>
      <c r="JS247" s="145"/>
      <c r="JT247" s="145"/>
      <c r="OX247" s="145"/>
      <c r="OY247" s="145"/>
      <c r="PA247" s="145"/>
      <c r="PO247" s="514"/>
      <c r="PS247" s="145"/>
      <c r="RV247" s="514"/>
      <c r="AHE247" s="145"/>
      <c r="AIT247" s="145"/>
      <c r="AIU247" s="145"/>
      <c r="AIV247" s="145"/>
    </row>
    <row r="248" spans="2:932" ht="16.5" x14ac:dyDescent="0.25">
      <c r="B248" s="736"/>
      <c r="C248" s="576" t="s">
        <v>6</v>
      </c>
      <c r="D248" s="650">
        <f>30%*D242</f>
        <v>225</v>
      </c>
      <c r="E248" s="577" t="s">
        <v>358</v>
      </c>
      <c r="F248" s="275">
        <v>4438</v>
      </c>
      <c r="G248" s="275">
        <v>2566</v>
      </c>
      <c r="H248" s="275">
        <v>5700</v>
      </c>
      <c r="I248" s="275">
        <v>4231</v>
      </c>
      <c r="J248" s="275">
        <v>4498</v>
      </c>
      <c r="K248" s="275">
        <v>3544</v>
      </c>
      <c r="L248" s="275">
        <v>5782</v>
      </c>
      <c r="M248" s="275">
        <v>6129</v>
      </c>
      <c r="N248" s="275">
        <v>5237</v>
      </c>
      <c r="O248" s="275">
        <v>5839</v>
      </c>
      <c r="P248" s="275">
        <f>'November 2024'!AL259</f>
        <v>6111</v>
      </c>
      <c r="Q248" s="275">
        <f>'[24]Desember 24'!AL237</f>
        <v>0</v>
      </c>
      <c r="S248" s="656">
        <f>SUM(F248:P248)</f>
        <v>54075</v>
      </c>
      <c r="T248" s="711">
        <v>47200.23</v>
      </c>
      <c r="U248" s="804">
        <f>S248/T248*100</f>
        <v>114.56511970386585</v>
      </c>
      <c r="W248" s="1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Q248" s="63"/>
      <c r="AW248" s="16"/>
      <c r="BC248" s="145"/>
      <c r="BD248" s="145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CG248" s="145"/>
      <c r="CZ248" s="1"/>
      <c r="DO248" s="521"/>
      <c r="DP248" s="145"/>
      <c r="DQ248" s="145"/>
      <c r="DR248" s="145"/>
      <c r="DS248" s="145"/>
      <c r="FV248" s="145"/>
      <c r="JQ248" s="145"/>
      <c r="JR248" s="145"/>
      <c r="JS248" s="145"/>
      <c r="JT248" s="145"/>
      <c r="OX248" s="145"/>
      <c r="OY248" s="145"/>
      <c r="PA248" s="145"/>
      <c r="PO248" s="514"/>
      <c r="PS248" s="145"/>
      <c r="RV248" s="514"/>
      <c r="AHE248" s="145"/>
      <c r="AIT248" s="145"/>
      <c r="AIU248" s="145"/>
      <c r="AIV248" s="145"/>
    </row>
    <row r="249" spans="2:932" x14ac:dyDescent="0.25">
      <c r="B249" s="1678">
        <v>12</v>
      </c>
      <c r="C249" s="525" t="s">
        <v>5</v>
      </c>
      <c r="D249" s="649"/>
      <c r="E249" s="77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723"/>
      <c r="S249" s="659" t="s">
        <v>136</v>
      </c>
      <c r="T249" s="712" t="s">
        <v>136</v>
      </c>
      <c r="U249" s="805" t="s">
        <v>136</v>
      </c>
      <c r="W249" s="1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Q249" s="63"/>
      <c r="AW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CZ249" s="1"/>
    </row>
    <row r="250" spans="2:932" x14ac:dyDescent="0.25">
      <c r="B250" s="1679"/>
      <c r="C250" s="660" t="s">
        <v>4</v>
      </c>
      <c r="D250" s="661"/>
      <c r="E250" s="662"/>
      <c r="F250" s="443"/>
      <c r="G250" s="443"/>
      <c r="H250" s="443"/>
      <c r="I250" s="443"/>
      <c r="J250" s="443"/>
      <c r="K250" s="443"/>
      <c r="L250" s="443"/>
      <c r="M250" s="443"/>
      <c r="N250" s="443"/>
      <c r="O250" s="443"/>
      <c r="P250" s="443"/>
      <c r="Q250" s="443"/>
      <c r="R250" s="723"/>
      <c r="S250" s="717" t="s">
        <v>4</v>
      </c>
      <c r="T250" s="702" t="s">
        <v>4</v>
      </c>
      <c r="U250" s="799" t="s">
        <v>4</v>
      </c>
      <c r="W250" s="1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Q250" s="63"/>
      <c r="AW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CZ250" s="1"/>
    </row>
    <row r="251" spans="2:932" x14ac:dyDescent="0.25">
      <c r="B251" s="1679"/>
      <c r="C251" s="527" t="s">
        <v>3</v>
      </c>
      <c r="D251" s="643">
        <v>28770</v>
      </c>
      <c r="E251" s="481" t="s">
        <v>2</v>
      </c>
      <c r="F251" s="443">
        <v>520700</v>
      </c>
      <c r="G251" s="443">
        <v>417100</v>
      </c>
      <c r="H251" s="602">
        <v>654200</v>
      </c>
      <c r="I251" s="602">
        <v>505900</v>
      </c>
      <c r="J251" s="443">
        <v>583000</v>
      </c>
      <c r="K251" s="602">
        <v>407800</v>
      </c>
      <c r="L251" s="443">
        <v>538900</v>
      </c>
      <c r="M251" s="602">
        <v>684700</v>
      </c>
      <c r="N251" s="443">
        <v>640500</v>
      </c>
      <c r="O251" s="443">
        <v>658300</v>
      </c>
      <c r="P251" s="443">
        <f>'November 2024'!AL263</f>
        <v>556600</v>
      </c>
      <c r="Q251" s="443">
        <f>'[24]Desember 24'!AL240</f>
        <v>0</v>
      </c>
      <c r="R251" s="723"/>
      <c r="S251" s="454">
        <f>SUM(F251:P251)</f>
        <v>6167700</v>
      </c>
      <c r="T251" s="672">
        <v>6906893</v>
      </c>
      <c r="U251" s="776">
        <f>S251/T251*100</f>
        <v>89.297749364294475</v>
      </c>
      <c r="W251" s="1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Q251" s="63"/>
      <c r="AW251" s="173">
        <f>AV251/4</f>
        <v>0</v>
      </c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CZ251" s="1"/>
    </row>
    <row r="252" spans="2:932" ht="15.75" thickBot="1" x14ac:dyDescent="0.3">
      <c r="B252" s="1679"/>
      <c r="C252" s="660" t="s">
        <v>1</v>
      </c>
      <c r="D252" s="646"/>
      <c r="E252" s="70" t="s">
        <v>0</v>
      </c>
      <c r="F252" s="601">
        <v>520700</v>
      </c>
      <c r="G252" s="601">
        <v>417100</v>
      </c>
      <c r="H252" s="601">
        <v>654200</v>
      </c>
      <c r="I252" s="601">
        <v>505900</v>
      </c>
      <c r="J252" s="601">
        <v>583000</v>
      </c>
      <c r="K252" s="601">
        <v>407800</v>
      </c>
      <c r="L252" s="601">
        <v>538900</v>
      </c>
      <c r="M252" s="601">
        <v>684700</v>
      </c>
      <c r="N252" s="601">
        <f t="shared" ref="N252" si="190">SUM(N251:N251)</f>
        <v>640500</v>
      </c>
      <c r="O252" s="601">
        <f t="shared" ref="O252" si="191">SUM(O251:O251)</f>
        <v>658300</v>
      </c>
      <c r="P252" s="601">
        <f>SUM(P251:P251)</f>
        <v>556600</v>
      </c>
      <c r="Q252" s="601">
        <f t="shared" ref="Q252" si="192">SUM(Q251:Q251)</f>
        <v>0</v>
      </c>
      <c r="R252" s="724"/>
      <c r="S252" s="648">
        <f>SUM(F252:P252)</f>
        <v>6167700</v>
      </c>
      <c r="T252" s="665">
        <v>9666771</v>
      </c>
      <c r="U252" s="806">
        <f>S252/T252*100</f>
        <v>63.80310446994141</v>
      </c>
      <c r="V252" s="419"/>
      <c r="W252" s="1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Q252" s="63"/>
      <c r="AW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CZ252" s="1"/>
    </row>
    <row r="253" spans="2:932" x14ac:dyDescent="0.25">
      <c r="B253" s="1679"/>
      <c r="C253" s="749" t="s">
        <v>16</v>
      </c>
      <c r="D253" s="755"/>
      <c r="E253" s="755"/>
      <c r="F253" s="756"/>
      <c r="G253" s="756"/>
      <c r="H253" s="756"/>
      <c r="I253" s="537"/>
      <c r="J253" s="756"/>
      <c r="K253" s="756"/>
      <c r="L253" s="537"/>
      <c r="M253" s="537"/>
      <c r="N253" s="756"/>
      <c r="O253" s="756"/>
      <c r="P253" s="756"/>
      <c r="Q253" s="663"/>
      <c r="R253" s="755"/>
      <c r="S253" s="125" t="s">
        <v>16</v>
      </c>
      <c r="AN253" s="63"/>
      <c r="AO253" s="807"/>
      <c r="AP253" s="63"/>
      <c r="AR253" s="63"/>
      <c r="BW253" s="1"/>
      <c r="BX253" s="1"/>
      <c r="BY253" s="1"/>
      <c r="DA253" s="1"/>
    </row>
    <row r="254" spans="2:932" ht="15.75" thickBot="1" x14ac:dyDescent="0.3">
      <c r="B254" s="1679"/>
      <c r="C254" s="750" t="s">
        <v>120</v>
      </c>
      <c r="D254" s="753">
        <v>5404.17</v>
      </c>
      <c r="E254" s="754" t="s">
        <v>2</v>
      </c>
      <c r="F254" s="830">
        <v>50550</v>
      </c>
      <c r="G254" s="537">
        <v>40300</v>
      </c>
      <c r="H254" s="537">
        <v>73100</v>
      </c>
      <c r="I254" s="537">
        <v>56400</v>
      </c>
      <c r="J254" s="537">
        <v>72601</v>
      </c>
      <c r="K254" s="537">
        <v>45800</v>
      </c>
      <c r="L254" s="830">
        <v>69700</v>
      </c>
      <c r="M254" s="830">
        <v>104910</v>
      </c>
      <c r="N254" s="832">
        <v>98200</v>
      </c>
      <c r="O254" s="832">
        <v>98290</v>
      </c>
      <c r="P254" s="537">
        <f>'November 2024'!AL268</f>
        <v>73300</v>
      </c>
      <c r="Q254" s="663"/>
      <c r="R254" s="755"/>
      <c r="S254" s="648">
        <f>SUM(E254:P254)</f>
        <v>783151</v>
      </c>
      <c r="T254" s="664">
        <f>SUM(F254:R254)</f>
        <v>783151</v>
      </c>
    </row>
    <row r="255" spans="2:932" ht="15.75" thickBot="1" x14ac:dyDescent="0.3">
      <c r="B255" s="1679"/>
      <c r="C255" s="750" t="s">
        <v>121</v>
      </c>
      <c r="D255" s="753">
        <v>3850.42</v>
      </c>
      <c r="E255" s="754" t="s">
        <v>2</v>
      </c>
      <c r="F255" s="830">
        <v>55218.06</v>
      </c>
      <c r="G255" s="537">
        <v>32780</v>
      </c>
      <c r="H255" s="537">
        <v>77964</v>
      </c>
      <c r="I255" s="537">
        <v>69190</v>
      </c>
      <c r="J255" s="537">
        <v>77270</v>
      </c>
      <c r="K255" s="537">
        <v>53030</v>
      </c>
      <c r="L255" s="830">
        <v>65890</v>
      </c>
      <c r="M255" s="830">
        <v>80954</v>
      </c>
      <c r="N255" s="832">
        <v>81760</v>
      </c>
      <c r="O255" s="832">
        <v>85330</v>
      </c>
      <c r="P255" s="537">
        <f>'November 2024'!AL266</f>
        <v>63690</v>
      </c>
      <c r="Q255" s="663"/>
      <c r="R255" s="755"/>
      <c r="S255" s="648">
        <f>SUM(E255:P255)</f>
        <v>743076.06</v>
      </c>
      <c r="T255" s="665">
        <f>SUM(F255:R255)</f>
        <v>743076.06</v>
      </c>
    </row>
    <row r="256" spans="2:932" ht="15.75" thickBot="1" x14ac:dyDescent="0.3">
      <c r="B256" s="1679"/>
      <c r="C256" s="751" t="s">
        <v>15</v>
      </c>
      <c r="D256" s="753"/>
      <c r="E256" s="755"/>
      <c r="F256" s="830"/>
      <c r="G256" s="537"/>
      <c r="H256" s="537"/>
      <c r="I256" s="537"/>
      <c r="J256" s="537"/>
      <c r="K256" s="537"/>
      <c r="L256" s="830"/>
      <c r="M256" s="830"/>
      <c r="N256" s="832"/>
      <c r="O256" s="832"/>
      <c r="P256" s="537"/>
      <c r="Q256" s="663"/>
      <c r="R256" s="755"/>
      <c r="S256" s="126" t="s">
        <v>15</v>
      </c>
    </row>
    <row r="257" spans="2:39" ht="15.75" thickBot="1" x14ac:dyDescent="0.3">
      <c r="B257" s="1679"/>
      <c r="C257" s="750" t="s">
        <v>122</v>
      </c>
      <c r="D257" s="753">
        <v>5759.67</v>
      </c>
      <c r="E257" s="754" t="s">
        <v>2</v>
      </c>
      <c r="F257" s="830">
        <v>71240</v>
      </c>
      <c r="G257" s="537">
        <v>47300</v>
      </c>
      <c r="H257" s="537">
        <v>108500</v>
      </c>
      <c r="I257" s="537">
        <v>64100</v>
      </c>
      <c r="J257" s="537">
        <v>88604</v>
      </c>
      <c r="K257" s="537">
        <v>44100</v>
      </c>
      <c r="L257" s="830">
        <v>71800</v>
      </c>
      <c r="M257" s="830">
        <v>107500</v>
      </c>
      <c r="N257" s="832">
        <v>94200</v>
      </c>
      <c r="O257" s="832">
        <v>93700</v>
      </c>
      <c r="P257" s="537">
        <f>'November 2024'!AL273</f>
        <v>96300</v>
      </c>
      <c r="Q257" s="663"/>
      <c r="R257" s="755"/>
      <c r="S257" s="648">
        <f>SUM(E257:P257)</f>
        <v>887344</v>
      </c>
      <c r="T257" s="666">
        <f>SUM(F257:R257)</f>
        <v>887344</v>
      </c>
    </row>
    <row r="258" spans="2:39" ht="15.75" thickBot="1" x14ac:dyDescent="0.3">
      <c r="B258" s="1679"/>
      <c r="C258" s="750" t="s">
        <v>121</v>
      </c>
      <c r="D258" s="753">
        <v>1308.96</v>
      </c>
      <c r="E258" s="754" t="s">
        <v>2</v>
      </c>
      <c r="F258" s="830">
        <v>17274.73</v>
      </c>
      <c r="G258" s="537">
        <v>11872</v>
      </c>
      <c r="H258" s="537">
        <v>30465</v>
      </c>
      <c r="I258" s="537">
        <v>21703</v>
      </c>
      <c r="J258" s="537">
        <v>23401</v>
      </c>
      <c r="K258" s="537">
        <v>11453</v>
      </c>
      <c r="L258" s="830">
        <v>19517</v>
      </c>
      <c r="M258" s="830">
        <v>26800</v>
      </c>
      <c r="N258" s="832">
        <v>22645</v>
      </c>
      <c r="O258" s="832">
        <v>26223</v>
      </c>
      <c r="P258" s="537">
        <f>'November 2024'!AL271</f>
        <v>23460</v>
      </c>
      <c r="Q258" s="663"/>
      <c r="R258" s="755"/>
      <c r="S258" s="648">
        <f>SUM(E258:P258)</f>
        <v>234813.72999999998</v>
      </c>
      <c r="T258" s="665">
        <f>SUM(F258:R258)</f>
        <v>234813.72999999998</v>
      </c>
    </row>
    <row r="259" spans="2:39" ht="15.75" thickBot="1" x14ac:dyDescent="0.3">
      <c r="B259" s="1679"/>
      <c r="C259" s="751" t="s">
        <v>7</v>
      </c>
      <c r="D259" s="753"/>
      <c r="E259" s="755"/>
      <c r="F259" s="830"/>
      <c r="G259" s="537"/>
      <c r="H259" s="537"/>
      <c r="I259" s="537"/>
      <c r="J259" s="537"/>
      <c r="K259" s="537"/>
      <c r="L259" s="830"/>
      <c r="M259" s="830"/>
      <c r="N259" s="832"/>
      <c r="O259" s="832"/>
      <c r="P259" s="537"/>
      <c r="Q259" s="663"/>
      <c r="R259" s="755"/>
      <c r="S259" s="126" t="s">
        <v>7</v>
      </c>
      <c r="AK259" s="437"/>
      <c r="AL259" s="437"/>
      <c r="AM259" s="437"/>
    </row>
    <row r="260" spans="2:39" ht="15.75" thickBot="1" x14ac:dyDescent="0.3">
      <c r="B260" s="1679"/>
      <c r="C260" s="750" t="s">
        <v>123</v>
      </c>
      <c r="D260" s="753">
        <v>11.81</v>
      </c>
      <c r="E260" s="754" t="s">
        <v>2</v>
      </c>
      <c r="F260" s="830">
        <v>179.88</v>
      </c>
      <c r="G260" s="537">
        <v>385.94</v>
      </c>
      <c r="H260" s="537">
        <v>78.749999999999986</v>
      </c>
      <c r="I260" s="537">
        <v>331.3</v>
      </c>
      <c r="J260" s="537">
        <v>346.49999999999994</v>
      </c>
      <c r="K260" s="537">
        <v>363.73</v>
      </c>
      <c r="L260" s="830">
        <v>748.31</v>
      </c>
      <c r="M260" s="830">
        <v>600.55000000000007</v>
      </c>
      <c r="N260" s="832">
        <v>444.36</v>
      </c>
      <c r="O260" s="832">
        <v>20.329999999999998</v>
      </c>
      <c r="P260" s="537">
        <f>'November 2024'!AL276</f>
        <v>18.599999999999994</v>
      </c>
      <c r="Q260" s="663"/>
      <c r="R260" s="755"/>
      <c r="S260" s="648">
        <f>SUM(E260:P260)</f>
        <v>3518.25</v>
      </c>
      <c r="T260" s="666">
        <f>SUM(F260:R260)</f>
        <v>3518.25</v>
      </c>
      <c r="AK260" s="437"/>
      <c r="AL260" s="437"/>
      <c r="AM260" s="437"/>
    </row>
    <row r="261" spans="2:39" ht="15.75" thickBot="1" x14ac:dyDescent="0.3">
      <c r="B261" s="1680"/>
      <c r="C261" s="752" t="s">
        <v>124</v>
      </c>
      <c r="D261" s="759">
        <v>241.12</v>
      </c>
      <c r="E261" s="760" t="s">
        <v>2</v>
      </c>
      <c r="F261" s="831"/>
      <c r="G261" s="742">
        <v>6737.7999999999993</v>
      </c>
      <c r="H261" s="742">
        <v>7270.92</v>
      </c>
      <c r="I261" s="742">
        <v>7484.5999999999985</v>
      </c>
      <c r="J261" s="742">
        <v>8317.4</v>
      </c>
      <c r="K261" s="742">
        <v>7110.2000000000016</v>
      </c>
      <c r="L261" s="831">
        <v>7628.8</v>
      </c>
      <c r="M261" s="831">
        <v>7864.6</v>
      </c>
      <c r="N261" s="833">
        <v>7791.4999999999982</v>
      </c>
      <c r="O261" s="833">
        <v>6912.0999999999985</v>
      </c>
      <c r="P261" s="742">
        <f>'November 2024'!AL277</f>
        <v>5868.7000000000007</v>
      </c>
      <c r="Q261" s="743"/>
      <c r="R261" s="757"/>
      <c r="S261" s="758">
        <f>SUM(E261:P261)</f>
        <v>72986.62000000001</v>
      </c>
      <c r="T261" s="665">
        <f>SUM(F261:R261)</f>
        <v>72986.62000000001</v>
      </c>
      <c r="AK261" s="437"/>
      <c r="AL261" s="437"/>
      <c r="AM261" s="437"/>
    </row>
    <row r="262" spans="2:39" x14ac:dyDescent="0.25">
      <c r="I262" s="1"/>
      <c r="AJ262" s="4"/>
      <c r="AK262" s="4"/>
    </row>
    <row r="263" spans="2:39" x14ac:dyDescent="0.25">
      <c r="I263" s="1"/>
      <c r="AJ263" s="4"/>
      <c r="AK263" s="4"/>
    </row>
    <row r="264" spans="2:39" x14ac:dyDescent="0.25">
      <c r="I264" s="1"/>
    </row>
  </sheetData>
  <mergeCells count="12">
    <mergeCell ref="AE32:AF32"/>
    <mergeCell ref="AE34:AF34"/>
    <mergeCell ref="AE35:AF35"/>
    <mergeCell ref="AG35:AK35"/>
    <mergeCell ref="B68:B74"/>
    <mergeCell ref="F4:Q4"/>
    <mergeCell ref="B6:B67"/>
    <mergeCell ref="B249:B261"/>
    <mergeCell ref="B4:B5"/>
    <mergeCell ref="C4:C5"/>
    <mergeCell ref="D4:D5"/>
    <mergeCell ref="E4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AT67"/>
  <sheetViews>
    <sheetView view="pageBreakPreview" topLeftCell="A22" zoomScale="80" zoomScaleNormal="100" zoomScaleSheetLayoutView="80" workbookViewId="0">
      <selection activeCell="H61" sqref="H61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48.1406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1691" t="s">
        <v>846</v>
      </c>
      <c r="G2" s="1691"/>
      <c r="H2" s="1691"/>
      <c r="I2" s="1691"/>
      <c r="J2" s="1691"/>
      <c r="K2" s="1566"/>
      <c r="L2" s="1566"/>
      <c r="M2" s="1566"/>
    </row>
    <row r="3" spans="3:46" s="16" customFormat="1" x14ac:dyDescent="0.2">
      <c r="C3" s="1"/>
      <c r="F3" s="1567"/>
      <c r="G3" s="1568"/>
      <c r="H3" s="1569"/>
    </row>
    <row r="4" spans="3:46" s="16" customFormat="1" ht="15" thickBot="1" x14ac:dyDescent="0.3">
      <c r="F4" s="1570" t="s">
        <v>883</v>
      </c>
      <c r="G4" s="1568"/>
      <c r="H4" s="1569"/>
    </row>
    <row r="5" spans="3:46" s="16" customFormat="1" ht="15" customHeight="1" thickTop="1" thickBot="1" x14ac:dyDescent="0.3">
      <c r="F5" s="1692" t="s">
        <v>178</v>
      </c>
      <c r="G5" s="1694" t="s">
        <v>847</v>
      </c>
      <c r="H5" s="1696" t="s">
        <v>848</v>
      </c>
      <c r="I5" s="1698" t="s">
        <v>849</v>
      </c>
      <c r="J5" s="1699"/>
      <c r="K5" s="1700"/>
      <c r="L5" s="1572"/>
      <c r="M5" s="521" t="s">
        <v>850</v>
      </c>
    </row>
    <row r="6" spans="3:46" s="16" customFormat="1" ht="16.5" thickTop="1" thickBot="1" x14ac:dyDescent="0.3">
      <c r="F6" s="1693"/>
      <c r="G6" s="1695"/>
      <c r="H6" s="1697"/>
      <c r="I6" s="1573" t="s">
        <v>851</v>
      </c>
      <c r="J6" s="1574" t="s">
        <v>852</v>
      </c>
      <c r="K6" s="1573" t="s">
        <v>25</v>
      </c>
      <c r="L6" s="1572"/>
      <c r="M6" s="1572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75">
        <v>1</v>
      </c>
      <c r="G7" s="1576">
        <v>859587</v>
      </c>
      <c r="H7" s="1577" t="s">
        <v>853</v>
      </c>
      <c r="I7" s="1578"/>
      <c r="J7" s="1578">
        <f t="shared" ref="J7:J36" si="0">(2200-(G7/1000))/91.7</f>
        <v>14.617371864776445</v>
      </c>
      <c r="K7" s="1579">
        <f>G7/2200/1000</f>
        <v>0.39072136363636367</v>
      </c>
      <c r="L7" s="1580"/>
      <c r="M7" s="1581">
        <f>(G7/1000)/24</f>
        <v>35.816125</v>
      </c>
      <c r="O7" s="1582">
        <f>249.262+270.9</f>
        <v>520.16200000000003</v>
      </c>
      <c r="P7" s="1583">
        <f>1356.367+39.742</f>
        <v>1396.1089999999999</v>
      </c>
      <c r="Q7" s="1583">
        <f>1086.521+50.6</f>
        <v>1137.1209999999999</v>
      </c>
      <c r="R7" s="1583">
        <f>1353.558+373.309</f>
        <v>1726.867</v>
      </c>
      <c r="S7" s="1582">
        <v>1942.7460000000001</v>
      </c>
      <c r="T7" s="1582">
        <v>1868.212</v>
      </c>
      <c r="U7" s="1582">
        <v>2057.011</v>
      </c>
      <c r="V7" s="1582">
        <v>1781.8440000000001</v>
      </c>
      <c r="W7" s="1584">
        <v>1250.7639999999999</v>
      </c>
      <c r="X7" s="1584">
        <v>1613.4860000000001</v>
      </c>
      <c r="Y7" s="1584">
        <v>1325.077</v>
      </c>
      <c r="Z7" s="1582">
        <f>66.442+571.568</f>
        <v>638.01</v>
      </c>
      <c r="AA7" s="1582">
        <f>815.429</f>
        <v>815.42899999999997</v>
      </c>
      <c r="AB7" s="1584">
        <f>352.234+731.627</f>
        <v>1083.8609999999999</v>
      </c>
      <c r="AC7" s="1582">
        <f>1626.002+13.213</f>
        <v>1639.2149999999999</v>
      </c>
      <c r="AD7" s="1582">
        <v>2094.7910000000002</v>
      </c>
      <c r="AE7" s="1584">
        <v>2075.375</v>
      </c>
      <c r="AF7" s="1584">
        <v>2008.8040000000001</v>
      </c>
      <c r="AG7" s="1584">
        <v>1946.712</v>
      </c>
      <c r="AH7" s="1584">
        <v>1998.9390000000001</v>
      </c>
      <c r="AI7" s="1582">
        <f>1623.839+281.468</f>
        <v>1905.307</v>
      </c>
      <c r="AJ7" s="1582">
        <v>1610.0239999999999</v>
      </c>
      <c r="AK7" s="1582">
        <f>1135.181+98.368</f>
        <v>1233.549</v>
      </c>
      <c r="AL7" s="1582">
        <f>958.893+543.852</f>
        <v>1502.7449999999999</v>
      </c>
      <c r="AM7" s="1582">
        <v>2043.15</v>
      </c>
      <c r="AN7" s="1582">
        <v>1762.6420000000001</v>
      </c>
      <c r="AO7" s="1582">
        <v>2170.3359999999998</v>
      </c>
      <c r="AP7" s="1582">
        <f>1181.38+463.711</f>
        <v>1645.0910000000001</v>
      </c>
      <c r="AQ7" s="1582">
        <v>219.47399999999999</v>
      </c>
      <c r="AR7" s="1582">
        <f>48.153+1225.968+107.3</f>
        <v>1381.421</v>
      </c>
      <c r="AS7" s="1582"/>
    </row>
    <row r="8" spans="3:46" s="16" customFormat="1" x14ac:dyDescent="0.25">
      <c r="F8" s="1585">
        <v>2</v>
      </c>
      <c r="G8" s="1586">
        <v>537300</v>
      </c>
      <c r="H8" s="1577" t="s">
        <v>853</v>
      </c>
      <c r="I8" s="1587"/>
      <c r="J8" s="1587">
        <f t="shared" si="0"/>
        <v>18.131952017448199</v>
      </c>
      <c r="K8" s="1588">
        <f>G8/2200/1000</f>
        <v>0.24422727272727271</v>
      </c>
      <c r="L8" s="1580"/>
      <c r="M8" s="1581">
        <f t="shared" ref="M8:M36" si="1">(G8/1000)/24</f>
        <v>22.387499999999999</v>
      </c>
    </row>
    <row r="9" spans="3:46" s="16" customFormat="1" x14ac:dyDescent="0.25">
      <c r="F9" s="1589">
        <v>3</v>
      </c>
      <c r="G9" s="1586">
        <v>736801</v>
      </c>
      <c r="H9" s="1577" t="s">
        <v>853</v>
      </c>
      <c r="I9" s="1587"/>
      <c r="J9" s="1587">
        <f t="shared" si="0"/>
        <v>15.956368593238823</v>
      </c>
      <c r="K9" s="1588">
        <f>G9/2200/1000</f>
        <v>0.33490954545454549</v>
      </c>
      <c r="L9" s="1580"/>
      <c r="M9" s="1581">
        <f t="shared" si="1"/>
        <v>30.700041666666667</v>
      </c>
    </row>
    <row r="10" spans="3:46" s="16" customFormat="1" x14ac:dyDescent="0.25">
      <c r="F10" s="1589">
        <v>4</v>
      </c>
      <c r="G10" s="1586">
        <v>894589</v>
      </c>
      <c r="H10" s="1577" t="s">
        <v>853</v>
      </c>
      <c r="I10" s="1587"/>
      <c r="J10" s="1587">
        <f t="shared" si="0"/>
        <v>14.23567066521265</v>
      </c>
      <c r="K10" s="1588">
        <f>G10/2200/1000</f>
        <v>0.40663136363636365</v>
      </c>
      <c r="L10" s="1580"/>
      <c r="M10" s="1581">
        <f t="shared" si="1"/>
        <v>37.274541666666671</v>
      </c>
    </row>
    <row r="11" spans="3:46" s="16" customFormat="1" x14ac:dyDescent="0.25">
      <c r="F11" s="1589">
        <v>5</v>
      </c>
      <c r="G11" s="1586">
        <v>900604</v>
      </c>
      <c r="H11" s="1577" t="s">
        <v>853</v>
      </c>
      <c r="I11" s="1587"/>
      <c r="J11" s="1587">
        <f t="shared" si="0"/>
        <v>14.170076335877862</v>
      </c>
      <c r="K11" s="1588">
        <f t="shared" ref="K11" si="2">G11/2000/1000</f>
        <v>0.45030200000000004</v>
      </c>
      <c r="L11" s="1580"/>
      <c r="M11" s="1581">
        <f t="shared" si="1"/>
        <v>37.525166666666671</v>
      </c>
    </row>
    <row r="12" spans="3:46" s="16" customFormat="1" x14ac:dyDescent="0.25">
      <c r="F12" s="1589">
        <v>6</v>
      </c>
      <c r="G12" s="1586">
        <v>846175</v>
      </c>
      <c r="H12" s="1577" t="s">
        <v>853</v>
      </c>
      <c r="I12" s="1587"/>
      <c r="J12" s="1587">
        <f t="shared" si="0"/>
        <v>14.763631406761178</v>
      </c>
      <c r="K12" s="1588">
        <f t="shared" ref="K12:K36" si="3">G12/2200/1000</f>
        <v>0.38462499999999999</v>
      </c>
      <c r="L12" s="1580"/>
      <c r="M12" s="1581">
        <f t="shared" si="1"/>
        <v>35.257291666666667</v>
      </c>
      <c r="AT12" s="140"/>
    </row>
    <row r="13" spans="3:46" s="16" customFormat="1" x14ac:dyDescent="0.25">
      <c r="F13" s="1589">
        <v>7</v>
      </c>
      <c r="G13" s="1586">
        <v>753834</v>
      </c>
      <c r="H13" s="1577" t="s">
        <v>853</v>
      </c>
      <c r="I13" s="1587"/>
      <c r="J13" s="1587">
        <f t="shared" si="0"/>
        <v>15.770621592148311</v>
      </c>
      <c r="K13" s="1588">
        <f t="shared" si="3"/>
        <v>0.34265181818181817</v>
      </c>
      <c r="L13" s="1580"/>
      <c r="M13" s="1581">
        <f t="shared" si="1"/>
        <v>31.409749999999999</v>
      </c>
    </row>
    <row r="14" spans="3:46" s="16" customFormat="1" x14ac:dyDescent="0.25">
      <c r="F14" s="1589">
        <v>8</v>
      </c>
      <c r="G14" s="1586">
        <v>696743</v>
      </c>
      <c r="H14" s="1577" t="s">
        <v>853</v>
      </c>
      <c r="I14" s="1587"/>
      <c r="J14" s="1587">
        <f t="shared" si="0"/>
        <v>16.393206106870228</v>
      </c>
      <c r="K14" s="1588">
        <f t="shared" si="3"/>
        <v>0.31670136363636364</v>
      </c>
      <c r="L14" s="1580"/>
      <c r="M14" s="1581">
        <f t="shared" si="1"/>
        <v>29.030958333333334</v>
      </c>
    </row>
    <row r="15" spans="3:46" s="16" customFormat="1" x14ac:dyDescent="0.25">
      <c r="F15" s="1589">
        <v>9</v>
      </c>
      <c r="G15" s="1586">
        <v>828594</v>
      </c>
      <c r="H15" s="1577" t="s">
        <v>853</v>
      </c>
      <c r="I15" s="1587"/>
      <c r="J15" s="1587">
        <f t="shared" si="0"/>
        <v>14.955354416575789</v>
      </c>
      <c r="K15" s="1588">
        <f t="shared" si="3"/>
        <v>0.37663363636363634</v>
      </c>
      <c r="L15" s="1580"/>
      <c r="M15" s="1581">
        <f t="shared" si="1"/>
        <v>34.524750000000004</v>
      </c>
    </row>
    <row r="16" spans="3:46" s="16" customFormat="1" x14ac:dyDescent="0.25">
      <c r="F16" s="1589">
        <v>10</v>
      </c>
      <c r="G16" s="1586">
        <v>1003650</v>
      </c>
      <c r="H16" s="1577" t="s">
        <v>853</v>
      </c>
      <c r="I16" s="1587"/>
      <c r="J16" s="1587">
        <f t="shared" si="0"/>
        <v>13.046346782988003</v>
      </c>
      <c r="K16" s="1588">
        <f t="shared" si="3"/>
        <v>0.45620454545454542</v>
      </c>
      <c r="L16" s="1580"/>
      <c r="M16" s="1581">
        <f t="shared" si="1"/>
        <v>41.818750000000001</v>
      </c>
    </row>
    <row r="17" spans="6:13" s="16" customFormat="1" x14ac:dyDescent="0.25">
      <c r="F17" s="1589">
        <v>11</v>
      </c>
      <c r="G17" s="1586">
        <v>1000809</v>
      </c>
      <c r="H17" s="1577" t="s">
        <v>853</v>
      </c>
      <c r="I17" s="1587"/>
      <c r="J17" s="1587">
        <f t="shared" si="0"/>
        <v>13.07732824427481</v>
      </c>
      <c r="K17" s="1588">
        <f t="shared" si="3"/>
        <v>0.45491318181818186</v>
      </c>
      <c r="L17" s="1580"/>
      <c r="M17" s="1581">
        <f t="shared" si="1"/>
        <v>41.700375000000001</v>
      </c>
    </row>
    <row r="18" spans="6:13" s="16" customFormat="1" x14ac:dyDescent="0.25">
      <c r="F18" s="1589">
        <v>12</v>
      </c>
      <c r="G18" s="1586">
        <v>925598</v>
      </c>
      <c r="H18" s="1577" t="s">
        <v>853</v>
      </c>
      <c r="I18" s="1587"/>
      <c r="J18" s="1587">
        <f t="shared" si="0"/>
        <v>13.897513631406762</v>
      </c>
      <c r="K18" s="1588">
        <f t="shared" si="3"/>
        <v>0.42072636363636368</v>
      </c>
      <c r="L18" s="1580"/>
      <c r="M18" s="1581">
        <f t="shared" si="1"/>
        <v>38.566583333333334</v>
      </c>
    </row>
    <row r="19" spans="6:13" s="16" customFormat="1" x14ac:dyDescent="0.25">
      <c r="F19" s="1589">
        <v>13</v>
      </c>
      <c r="G19" s="1586">
        <v>803666</v>
      </c>
      <c r="H19" s="1577" t="s">
        <v>853</v>
      </c>
      <c r="I19" s="1587"/>
      <c r="J19" s="1587">
        <f t="shared" si="0"/>
        <v>15.2271973827699</v>
      </c>
      <c r="K19" s="1588">
        <f t="shared" si="3"/>
        <v>0.36530272727272728</v>
      </c>
      <c r="L19" s="1580"/>
      <c r="M19" s="1581">
        <f t="shared" si="1"/>
        <v>33.486083333333333</v>
      </c>
    </row>
    <row r="20" spans="6:13" s="16" customFormat="1" x14ac:dyDescent="0.25">
      <c r="F20" s="1589">
        <v>14</v>
      </c>
      <c r="G20" s="1586">
        <v>1009988</v>
      </c>
      <c r="H20" s="1577" t="s">
        <v>853</v>
      </c>
      <c r="I20" s="1587"/>
      <c r="J20" s="1587">
        <f t="shared" si="0"/>
        <v>12.977230098146128</v>
      </c>
      <c r="K20" s="1588">
        <f t="shared" si="3"/>
        <v>0.45908545454545452</v>
      </c>
      <c r="L20" s="1580"/>
      <c r="M20" s="1581">
        <f t="shared" si="1"/>
        <v>42.082833333333333</v>
      </c>
    </row>
    <row r="21" spans="6:13" s="16" customFormat="1" x14ac:dyDescent="0.25">
      <c r="F21" s="1589">
        <v>15</v>
      </c>
      <c r="G21" s="1590">
        <v>1042124</v>
      </c>
      <c r="H21" s="1577" t="s">
        <v>853</v>
      </c>
      <c r="I21" s="1587"/>
      <c r="J21" s="1587">
        <f t="shared" si="0"/>
        <v>12.626782988004361</v>
      </c>
      <c r="K21" s="1588">
        <f t="shared" si="3"/>
        <v>0.47369272727272727</v>
      </c>
      <c r="L21" s="1580"/>
      <c r="M21" s="1581">
        <f t="shared" si="1"/>
        <v>43.421833333333332</v>
      </c>
    </row>
    <row r="22" spans="6:13" s="16" customFormat="1" x14ac:dyDescent="0.25">
      <c r="F22" s="1589">
        <v>16</v>
      </c>
      <c r="G22" s="1586">
        <v>991679</v>
      </c>
      <c r="H22" s="1577" t="s">
        <v>853</v>
      </c>
      <c r="I22" s="1587"/>
      <c r="J22" s="1587">
        <f t="shared" si="0"/>
        <v>13.176892039258449</v>
      </c>
      <c r="K22" s="1588">
        <f t="shared" si="3"/>
        <v>0.45076318181818181</v>
      </c>
      <c r="L22" s="1580"/>
      <c r="M22" s="1581">
        <f t="shared" si="1"/>
        <v>41.319958333333332</v>
      </c>
    </row>
    <row r="23" spans="6:13" s="16" customFormat="1" x14ac:dyDescent="0.25">
      <c r="F23" s="1589">
        <v>17</v>
      </c>
      <c r="G23" s="1591">
        <v>633826</v>
      </c>
      <c r="H23" s="1577" t="s">
        <v>853</v>
      </c>
      <c r="I23" s="1587"/>
      <c r="J23" s="1587">
        <f t="shared" si="0"/>
        <v>17.079323882224646</v>
      </c>
      <c r="K23" s="1588">
        <f t="shared" si="3"/>
        <v>0.28810272727272729</v>
      </c>
      <c r="L23" s="1580"/>
      <c r="M23" s="1581">
        <f t="shared" si="1"/>
        <v>26.409416666666669</v>
      </c>
    </row>
    <row r="24" spans="6:13" s="16" customFormat="1" x14ac:dyDescent="0.2">
      <c r="F24" s="1592">
        <v>18</v>
      </c>
      <c r="G24" s="1593">
        <v>1114065</v>
      </c>
      <c r="H24" s="1577" t="s">
        <v>853</v>
      </c>
      <c r="I24" s="1587"/>
      <c r="J24" s="1587">
        <f t="shared" si="0"/>
        <v>11.84225736095965</v>
      </c>
      <c r="K24" s="1588">
        <f t="shared" si="3"/>
        <v>0.50639318181818183</v>
      </c>
      <c r="L24" s="1580"/>
      <c r="M24" s="1581">
        <f t="shared" si="1"/>
        <v>46.419375000000002</v>
      </c>
    </row>
    <row r="25" spans="6:13" s="16" customFormat="1" x14ac:dyDescent="0.2">
      <c r="F25" s="1592">
        <v>19</v>
      </c>
      <c r="G25" s="1593">
        <v>1358019</v>
      </c>
      <c r="H25" s="1577" t="s">
        <v>853</v>
      </c>
      <c r="I25" s="1587"/>
      <c r="J25" s="1587">
        <f t="shared" si="0"/>
        <v>9.1819083969465645</v>
      </c>
      <c r="K25" s="1588">
        <f t="shared" si="3"/>
        <v>0.61728136363636366</v>
      </c>
      <c r="L25" s="1580"/>
      <c r="M25" s="1581">
        <f t="shared" si="1"/>
        <v>56.584125</v>
      </c>
    </row>
    <row r="26" spans="6:13" s="16" customFormat="1" x14ac:dyDescent="0.25">
      <c r="F26" s="1592">
        <v>20</v>
      </c>
      <c r="G26" s="1586">
        <v>1573360</v>
      </c>
      <c r="H26" s="1577" t="s">
        <v>853</v>
      </c>
      <c r="I26" s="1587"/>
      <c r="J26" s="1587">
        <f t="shared" si="0"/>
        <v>6.8335877862595424</v>
      </c>
      <c r="K26" s="1588">
        <f t="shared" si="3"/>
        <v>0.71516363636363633</v>
      </c>
      <c r="L26" s="1580"/>
      <c r="M26" s="1581">
        <f t="shared" si="1"/>
        <v>65.556666666666658</v>
      </c>
    </row>
    <row r="27" spans="6:13" s="16" customFormat="1" x14ac:dyDescent="0.25">
      <c r="F27" s="1592">
        <v>21</v>
      </c>
      <c r="G27" s="1586">
        <v>1433933</v>
      </c>
      <c r="H27" s="1577" t="s">
        <v>853</v>
      </c>
      <c r="I27" s="1587"/>
      <c r="J27" s="1587">
        <f t="shared" si="0"/>
        <v>8.354056706652127</v>
      </c>
      <c r="K27" s="1588">
        <f t="shared" si="3"/>
        <v>0.65178772727272727</v>
      </c>
      <c r="L27" s="1580"/>
      <c r="M27" s="1581">
        <f t="shared" si="1"/>
        <v>59.747208333333333</v>
      </c>
    </row>
    <row r="28" spans="6:13" s="16" customFormat="1" x14ac:dyDescent="0.25">
      <c r="F28" s="1592">
        <v>22</v>
      </c>
      <c r="G28" s="1586">
        <v>432436</v>
      </c>
      <c r="H28" s="1577" t="s">
        <v>853</v>
      </c>
      <c r="I28" s="1587"/>
      <c r="J28" s="1587">
        <f t="shared" si="0"/>
        <v>19.275507088331516</v>
      </c>
      <c r="K28" s="1588">
        <f t="shared" si="3"/>
        <v>0.19656181818181817</v>
      </c>
      <c r="L28" s="1580"/>
      <c r="M28" s="1581">
        <f t="shared" si="1"/>
        <v>18.018166666666666</v>
      </c>
    </row>
    <row r="29" spans="6:13" s="16" customFormat="1" x14ac:dyDescent="0.25">
      <c r="F29" s="1592">
        <v>23</v>
      </c>
      <c r="G29" s="1586">
        <v>0</v>
      </c>
      <c r="H29" s="1577" t="s">
        <v>891</v>
      </c>
      <c r="I29" s="1587"/>
      <c r="J29" s="1587">
        <f t="shared" si="0"/>
        <v>23.991275899672846</v>
      </c>
      <c r="K29" s="1588">
        <f t="shared" si="3"/>
        <v>0</v>
      </c>
      <c r="L29" s="1580"/>
      <c r="M29" s="1581">
        <f t="shared" si="1"/>
        <v>0</v>
      </c>
    </row>
    <row r="30" spans="6:13" s="16" customFormat="1" x14ac:dyDescent="0.25">
      <c r="F30" s="1592">
        <v>24</v>
      </c>
      <c r="G30" s="1586">
        <v>0</v>
      </c>
      <c r="H30" s="1577" t="s">
        <v>891</v>
      </c>
      <c r="I30" s="1587"/>
      <c r="J30" s="1587">
        <f t="shared" si="0"/>
        <v>23.991275899672846</v>
      </c>
      <c r="K30" s="1588">
        <f t="shared" si="3"/>
        <v>0</v>
      </c>
      <c r="L30" s="1580"/>
      <c r="M30" s="1581">
        <f t="shared" si="1"/>
        <v>0</v>
      </c>
    </row>
    <row r="31" spans="6:13" s="16" customFormat="1" x14ac:dyDescent="0.25">
      <c r="F31" s="1592">
        <v>25</v>
      </c>
      <c r="G31" s="1586">
        <v>0</v>
      </c>
      <c r="H31" s="1577" t="s">
        <v>891</v>
      </c>
      <c r="I31" s="1587"/>
      <c r="J31" s="1587">
        <f t="shared" si="0"/>
        <v>23.991275899672846</v>
      </c>
      <c r="K31" s="1588">
        <f t="shared" si="3"/>
        <v>0</v>
      </c>
      <c r="L31" s="1580"/>
      <c r="M31" s="1581">
        <f t="shared" si="1"/>
        <v>0</v>
      </c>
    </row>
    <row r="32" spans="6:13" s="16" customFormat="1" x14ac:dyDescent="0.25">
      <c r="F32" s="1592">
        <v>26</v>
      </c>
      <c r="G32" s="1586">
        <v>0</v>
      </c>
      <c r="H32" s="1577" t="s">
        <v>891</v>
      </c>
      <c r="I32" s="1587"/>
      <c r="J32" s="1587">
        <f t="shared" si="0"/>
        <v>23.991275899672846</v>
      </c>
      <c r="K32" s="1588">
        <f t="shared" si="3"/>
        <v>0</v>
      </c>
      <c r="L32" s="1580"/>
      <c r="M32" s="1581">
        <f t="shared" si="1"/>
        <v>0</v>
      </c>
    </row>
    <row r="33" spans="6:16" s="16" customFormat="1" x14ac:dyDescent="0.25">
      <c r="F33" s="1592">
        <v>27</v>
      </c>
      <c r="G33" s="1586">
        <v>0</v>
      </c>
      <c r="H33" s="1577" t="s">
        <v>891</v>
      </c>
      <c r="I33" s="1587"/>
      <c r="J33" s="1587">
        <f t="shared" si="0"/>
        <v>23.991275899672846</v>
      </c>
      <c r="K33" s="1588">
        <f t="shared" si="3"/>
        <v>0</v>
      </c>
      <c r="L33" s="1580"/>
      <c r="M33" s="1581">
        <f t="shared" si="1"/>
        <v>0</v>
      </c>
    </row>
    <row r="34" spans="6:16" s="16" customFormat="1" x14ac:dyDescent="0.25">
      <c r="F34" s="1592">
        <v>28</v>
      </c>
      <c r="G34" s="1586">
        <v>0</v>
      </c>
      <c r="H34" s="1577" t="s">
        <v>891</v>
      </c>
      <c r="I34" s="1587"/>
      <c r="J34" s="1587">
        <f t="shared" si="0"/>
        <v>23.991275899672846</v>
      </c>
      <c r="K34" s="1588">
        <f t="shared" si="3"/>
        <v>0</v>
      </c>
      <c r="L34" s="1580"/>
      <c r="M34" s="1581">
        <f t="shared" si="1"/>
        <v>0</v>
      </c>
    </row>
    <row r="35" spans="6:16" s="16" customFormat="1" x14ac:dyDescent="0.25">
      <c r="F35" s="1592">
        <v>29</v>
      </c>
      <c r="G35" s="1586">
        <v>0</v>
      </c>
      <c r="H35" s="1577" t="s">
        <v>891</v>
      </c>
      <c r="I35" s="1587"/>
      <c r="J35" s="1587">
        <f t="shared" si="0"/>
        <v>23.991275899672846</v>
      </c>
      <c r="K35" s="1588">
        <f t="shared" si="3"/>
        <v>0</v>
      </c>
      <c r="L35" s="1580"/>
      <c r="M35" s="1581">
        <f t="shared" si="1"/>
        <v>0</v>
      </c>
    </row>
    <row r="36" spans="6:16" s="16" customFormat="1" ht="15" thickBot="1" x14ac:dyDescent="0.3">
      <c r="F36" s="1594">
        <v>30</v>
      </c>
      <c r="G36" s="1595">
        <v>0</v>
      </c>
      <c r="H36" s="1577" t="s">
        <v>891</v>
      </c>
      <c r="I36" s="1596"/>
      <c r="J36" s="1587">
        <f t="shared" si="0"/>
        <v>23.991275899672846</v>
      </c>
      <c r="K36" s="1588">
        <f t="shared" si="3"/>
        <v>0</v>
      </c>
      <c r="L36" s="1580"/>
      <c r="M36" s="1581">
        <f t="shared" si="1"/>
        <v>0</v>
      </c>
    </row>
    <row r="37" spans="6:16" s="16" customFormat="1" ht="17.25" thickTop="1" thickBot="1" x14ac:dyDescent="0.3">
      <c r="F37" s="1571" t="s">
        <v>160</v>
      </c>
      <c r="G37" s="1600">
        <f>SUM(G7:G36)</f>
        <v>20377380</v>
      </c>
      <c r="H37" s="1601"/>
      <c r="I37" s="1602">
        <f>SUM(I7:I36)</f>
        <v>0</v>
      </c>
      <c r="J37" s="1603">
        <f>SUM(J7:J36)</f>
        <v>497.52039258451487</v>
      </c>
      <c r="K37" s="1602"/>
      <c r="L37" s="1604"/>
      <c r="M37" s="1605">
        <f>AVERAGE(M7:M36)</f>
        <v>28.301916666666667</v>
      </c>
    </row>
    <row r="38" spans="6:16" customFormat="1" ht="18" customHeight="1" thickTop="1" x14ac:dyDescent="0.25">
      <c r="F38" s="1606"/>
      <c r="G38" s="1607"/>
      <c r="H38" s="1608"/>
      <c r="I38" s="1"/>
      <c r="J38" s="1"/>
      <c r="K38" s="1"/>
      <c r="L38" s="1"/>
      <c r="M38" s="1"/>
    </row>
    <row r="39" spans="6:16" s="16" customFormat="1" x14ac:dyDescent="0.25">
      <c r="G39" s="1609" t="s">
        <v>854</v>
      </c>
    </row>
    <row r="40" spans="6:16" s="16" customFormat="1" x14ac:dyDescent="0.25">
      <c r="G40" s="16" t="s">
        <v>855</v>
      </c>
      <c r="I40" s="1581">
        <v>0</v>
      </c>
      <c r="J40" s="16" t="s">
        <v>856</v>
      </c>
      <c r="P40" s="1610"/>
    </row>
    <row r="41" spans="6:16" s="16" customFormat="1" x14ac:dyDescent="0.25">
      <c r="G41" s="16" t="s">
        <v>857</v>
      </c>
      <c r="I41" s="1581">
        <v>0</v>
      </c>
      <c r="J41" s="16" t="s">
        <v>856</v>
      </c>
    </row>
    <row r="42" spans="6:16" s="16" customFormat="1" x14ac:dyDescent="0.25">
      <c r="G42" s="16" t="s">
        <v>858</v>
      </c>
      <c r="I42" s="1581">
        <v>0</v>
      </c>
      <c r="J42" s="16" t="s">
        <v>856</v>
      </c>
    </row>
    <row r="43" spans="6:16" s="16" customFormat="1" x14ac:dyDescent="0.25">
      <c r="G43" s="16" t="s">
        <v>859</v>
      </c>
      <c r="I43" s="1581">
        <f>SUM(J7,J8,J9,J10,J11,J12,J13,J14,J15,J16,J17,J18,J19,J20,J21,J22,J23,J24,J25,J26,J27,J28)</f>
        <v>305.5901853871319</v>
      </c>
      <c r="J43" s="16" t="s">
        <v>856</v>
      </c>
    </row>
    <row r="44" spans="6:16" s="16" customFormat="1" x14ac:dyDescent="0.25">
      <c r="G44" s="16" t="s">
        <v>860</v>
      </c>
      <c r="I44" s="1611"/>
      <c r="J44" s="16" t="s">
        <v>856</v>
      </c>
    </row>
    <row r="45" spans="6:16" s="16" customFormat="1" x14ac:dyDescent="0.25">
      <c r="G45" s="16" t="s">
        <v>861</v>
      </c>
      <c r="I45" s="1611">
        <v>0</v>
      </c>
      <c r="J45" s="16" t="s">
        <v>856</v>
      </c>
    </row>
    <row r="46" spans="6:16" s="16" customFormat="1" x14ac:dyDescent="0.25">
      <c r="G46" s="16" t="s">
        <v>862</v>
      </c>
      <c r="I46" s="1611">
        <v>0</v>
      </c>
      <c r="J46" s="16" t="s">
        <v>856</v>
      </c>
    </row>
    <row r="47" spans="6:16" s="16" customFormat="1" x14ac:dyDescent="0.25">
      <c r="G47" s="16" t="s">
        <v>863</v>
      </c>
      <c r="I47" s="1611">
        <v>0</v>
      </c>
      <c r="J47" s="16" t="s">
        <v>856</v>
      </c>
    </row>
    <row r="48" spans="6:16" s="16" customFormat="1" x14ac:dyDescent="0.25">
      <c r="G48" s="16" t="s">
        <v>864</v>
      </c>
      <c r="I48" s="1611">
        <v>0</v>
      </c>
      <c r="J48" s="16" t="s">
        <v>856</v>
      </c>
    </row>
    <row r="49" spans="5:13" s="16" customFormat="1" x14ac:dyDescent="0.25">
      <c r="G49" s="16" t="s">
        <v>865</v>
      </c>
      <c r="I49" s="1611">
        <f>SUM(J29,J30,J31,J32,J33,J34,J35,J36)</f>
        <v>191.93020719738277</v>
      </c>
      <c r="J49" s="16" t="s">
        <v>856</v>
      </c>
    </row>
    <row r="50" spans="5:13" s="16" customFormat="1" x14ac:dyDescent="0.25">
      <c r="G50" s="16" t="s">
        <v>866</v>
      </c>
      <c r="I50" s="1581"/>
      <c r="J50" s="16" t="s">
        <v>856</v>
      </c>
    </row>
    <row r="51" spans="5:13" ht="15" x14ac:dyDescent="0.25">
      <c r="G51" s="1702" t="s">
        <v>1</v>
      </c>
      <c r="H51" s="1702"/>
      <c r="I51" s="1612">
        <f>SUM(I40:I50)</f>
        <v>497.52039258451464</v>
      </c>
      <c r="J51" s="2" t="s">
        <v>856</v>
      </c>
      <c r="K51" s="2"/>
      <c r="L51" s="2"/>
      <c r="M51" s="2"/>
    </row>
    <row r="52" spans="5:13" x14ac:dyDescent="0.2">
      <c r="G52" s="1701" t="s">
        <v>867</v>
      </c>
      <c r="H52" s="1701"/>
    </row>
    <row r="55" spans="5:13" x14ac:dyDescent="0.2">
      <c r="L55" s="1319"/>
    </row>
    <row r="56" spans="5:13" x14ac:dyDescent="0.2">
      <c r="L56" s="1319"/>
    </row>
    <row r="57" spans="5:13" x14ac:dyDescent="0.2">
      <c r="L57" s="1319"/>
    </row>
    <row r="62" spans="5:13" ht="15" x14ac:dyDescent="0.2">
      <c r="E62" s="1688" t="s">
        <v>779</v>
      </c>
      <c r="F62" s="1688"/>
      <c r="G62" s="1688"/>
      <c r="H62" s="1199" t="s">
        <v>780</v>
      </c>
      <c r="I62" s="1317"/>
      <c r="J62" s="1199" t="s">
        <v>781</v>
      </c>
      <c r="K62" s="1317"/>
    </row>
    <row r="63" spans="5:13" ht="15" x14ac:dyDescent="0.25">
      <c r="E63" s="1196"/>
      <c r="F63" s="1319"/>
      <c r="G63" s="1319"/>
      <c r="H63" s="1319"/>
      <c r="I63" s="1319"/>
      <c r="J63" s="1196"/>
      <c r="K63" s="1319"/>
    </row>
    <row r="64" spans="5:13" ht="15" x14ac:dyDescent="0.25">
      <c r="E64" s="1196"/>
      <c r="F64" s="1319"/>
      <c r="G64" s="1319"/>
      <c r="H64" s="1319"/>
      <c r="I64" s="1319"/>
      <c r="J64" s="1196"/>
      <c r="K64" s="1319"/>
    </row>
    <row r="65" spans="5:11" ht="15" x14ac:dyDescent="0.25">
      <c r="E65" s="1196"/>
      <c r="F65" s="1319"/>
      <c r="G65" s="1319"/>
      <c r="H65" s="1319"/>
      <c r="I65" s="1319"/>
      <c r="J65" s="1196"/>
      <c r="K65" s="1319"/>
    </row>
    <row r="66" spans="5:11" ht="15" x14ac:dyDescent="0.2">
      <c r="E66" s="1689" t="s">
        <v>882</v>
      </c>
      <c r="F66" s="1689"/>
      <c r="G66" s="1689"/>
      <c r="H66" s="1321" t="s">
        <v>782</v>
      </c>
      <c r="I66" s="1322"/>
      <c r="J66" s="1321" t="s">
        <v>783</v>
      </c>
      <c r="K66" s="1322"/>
    </row>
    <row r="67" spans="5:11" x14ac:dyDescent="0.2">
      <c r="E67" s="1690" t="s">
        <v>785</v>
      </c>
      <c r="F67" s="1690"/>
      <c r="G67" s="1690"/>
      <c r="H67" s="1319" t="s">
        <v>786</v>
      </c>
      <c r="I67" s="1324"/>
      <c r="J67" s="1319" t="s">
        <v>787</v>
      </c>
      <c r="K67" s="1324"/>
    </row>
  </sheetData>
  <mergeCells count="10">
    <mergeCell ref="E62:G62"/>
    <mergeCell ref="E66:G66"/>
    <mergeCell ref="E67:G67"/>
    <mergeCell ref="F2:J2"/>
    <mergeCell ref="F5:F6"/>
    <mergeCell ref="G5:G6"/>
    <mergeCell ref="H5:H6"/>
    <mergeCell ref="I5:K5"/>
    <mergeCell ref="G52:H52"/>
    <mergeCell ref="G51:H51"/>
  </mergeCells>
  <printOptions horizontalCentered="1"/>
  <pageMargins left="0.19685039370078741" right="0" top="0" bottom="0" header="0.31496062992125984" footer="0.31496062992125984"/>
  <pageSetup paperSize="9" scale="75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E2:AS70"/>
  <sheetViews>
    <sheetView tabSelected="1" view="pageBreakPreview" topLeftCell="A28" zoomScale="60" zoomScaleNormal="100" workbookViewId="0">
      <selection activeCell="A65" sqref="A65:XFD70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52.5703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1691" t="s">
        <v>868</v>
      </c>
      <c r="G2" s="1691"/>
      <c r="H2" s="1691"/>
      <c r="I2" s="1691"/>
      <c r="J2" s="1691"/>
      <c r="K2" s="1566"/>
      <c r="L2" s="1566"/>
      <c r="M2" s="1566"/>
    </row>
    <row r="3" spans="6:45" s="16" customFormat="1" x14ac:dyDescent="0.25">
      <c r="F3" s="1567"/>
      <c r="G3" s="1568"/>
      <c r="H3" s="1569"/>
    </row>
    <row r="4" spans="6:45" s="16" customFormat="1" ht="15" thickBot="1" x14ac:dyDescent="0.3">
      <c r="F4" s="1570" t="s">
        <v>883</v>
      </c>
      <c r="G4" s="1568"/>
      <c r="H4" s="1569"/>
    </row>
    <row r="5" spans="6:45" s="16" customFormat="1" ht="15" customHeight="1" thickTop="1" thickBot="1" x14ac:dyDescent="0.3">
      <c r="F5" s="1692" t="s">
        <v>178</v>
      </c>
      <c r="G5" s="1694" t="s">
        <v>847</v>
      </c>
      <c r="H5" s="1696" t="s">
        <v>848</v>
      </c>
      <c r="I5" s="1698" t="s">
        <v>849</v>
      </c>
      <c r="J5" s="1699"/>
      <c r="K5" s="1700"/>
      <c r="L5" s="1572"/>
      <c r="M5" s="521" t="s">
        <v>850</v>
      </c>
    </row>
    <row r="6" spans="6:45" s="16" customFormat="1" ht="16.5" thickTop="1" thickBot="1" x14ac:dyDescent="0.3">
      <c r="F6" s="1693"/>
      <c r="G6" s="1695"/>
      <c r="H6" s="1697"/>
      <c r="I6" s="1573" t="s">
        <v>851</v>
      </c>
      <c r="J6" s="1574" t="s">
        <v>852</v>
      </c>
      <c r="K6" s="1573" t="s">
        <v>25</v>
      </c>
      <c r="L6" s="1572"/>
      <c r="M6" s="1572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2.95" customHeight="1" thickTop="1" x14ac:dyDescent="0.25">
      <c r="F7" s="1575">
        <v>1</v>
      </c>
      <c r="G7" s="33">
        <v>994298</v>
      </c>
      <c r="H7" s="1577" t="s">
        <v>870</v>
      </c>
      <c r="I7" s="1578"/>
      <c r="J7" s="1578">
        <f>(2000-(G7/1000))/83.33</f>
        <v>12.068906756270252</v>
      </c>
      <c r="K7" s="1579">
        <f>G7/2000/1000</f>
        <v>0.49714900000000001</v>
      </c>
      <c r="L7" s="1580"/>
      <c r="M7" s="1581">
        <f>(G7/1000)/24</f>
        <v>41.429083333333331</v>
      </c>
      <c r="O7" s="1582">
        <f>249.262+270.9</f>
        <v>520.16200000000003</v>
      </c>
      <c r="P7" s="1583">
        <f>1356.367+39.742</f>
        <v>1396.1089999999999</v>
      </c>
      <c r="Q7" s="1583">
        <f>1086.521+50.6</f>
        <v>1137.1209999999999</v>
      </c>
      <c r="R7" s="1583">
        <f>1353.558+373.309</f>
        <v>1726.867</v>
      </c>
      <c r="S7" s="1582">
        <v>1942.7460000000001</v>
      </c>
      <c r="T7" s="1582">
        <v>1868.212</v>
      </c>
      <c r="U7" s="1582">
        <v>2057.011</v>
      </c>
      <c r="V7" s="1582">
        <v>1781.8440000000001</v>
      </c>
      <c r="W7" s="1584">
        <v>1250.7639999999999</v>
      </c>
      <c r="X7" s="1584">
        <v>1613.4860000000001</v>
      </c>
      <c r="Y7" s="1584">
        <v>1325.077</v>
      </c>
      <c r="Z7" s="1582">
        <f>66.442+571.568</f>
        <v>638.01</v>
      </c>
      <c r="AA7" s="1582">
        <f>815.429</f>
        <v>815.42899999999997</v>
      </c>
      <c r="AB7" s="1584">
        <f>352.234+731.627</f>
        <v>1083.8609999999999</v>
      </c>
      <c r="AC7" s="1582">
        <f>1626.002+13.213</f>
        <v>1639.2149999999999</v>
      </c>
      <c r="AD7" s="1582">
        <v>2094.7910000000002</v>
      </c>
      <c r="AE7" s="1584">
        <v>2075.375</v>
      </c>
      <c r="AF7" s="1584">
        <v>2008.8040000000001</v>
      </c>
      <c r="AG7" s="1584">
        <v>1946.712</v>
      </c>
      <c r="AH7" s="1584">
        <v>1998.9390000000001</v>
      </c>
      <c r="AI7" s="1582">
        <f>1623.839+281.468</f>
        <v>1905.307</v>
      </c>
      <c r="AJ7" s="1582">
        <v>1610.0239999999999</v>
      </c>
      <c r="AK7" s="1582">
        <f>1135.181+98.368</f>
        <v>1233.549</v>
      </c>
      <c r="AL7" s="1582">
        <f>958.893+543.852</f>
        <v>1502.7449999999999</v>
      </c>
      <c r="AM7" s="1582">
        <v>2043.15</v>
      </c>
      <c r="AN7" s="1582">
        <v>1762.6420000000001</v>
      </c>
      <c r="AO7" s="1582">
        <v>2170.3359999999998</v>
      </c>
      <c r="AP7" s="1582">
        <f>1181.38+463.711</f>
        <v>1645.0910000000001</v>
      </c>
      <c r="AQ7" s="1582">
        <v>219.47399999999999</v>
      </c>
      <c r="AR7" s="1582">
        <f>48.153+1225.968+107.3</f>
        <v>1381.421</v>
      </c>
      <c r="AS7" s="1582"/>
    </row>
    <row r="8" spans="6:45" s="16" customFormat="1" x14ac:dyDescent="0.2">
      <c r="F8" s="1585">
        <v>2</v>
      </c>
      <c r="G8" s="1593">
        <v>1115291</v>
      </c>
      <c r="H8" s="1577" t="s">
        <v>870</v>
      </c>
      <c r="I8" s="1587"/>
      <c r="J8" s="1587">
        <f t="shared" ref="J8:J37" si="0">(2000-(G8/1000))/83.33</f>
        <v>10.616932677307092</v>
      </c>
      <c r="K8" s="1588">
        <f t="shared" ref="K8:K37" si="1">G8/2000/1000</f>
        <v>0.55764550000000002</v>
      </c>
      <c r="L8" s="1580"/>
      <c r="M8" s="1581">
        <f t="shared" ref="M8:M37" si="2">(G8/1000)/24</f>
        <v>46.470458333333333</v>
      </c>
    </row>
    <row r="9" spans="6:45" s="16" customFormat="1" x14ac:dyDescent="0.2">
      <c r="F9" s="1589">
        <v>3</v>
      </c>
      <c r="G9" s="1593">
        <v>1038010</v>
      </c>
      <c r="H9" s="1577" t="s">
        <v>870</v>
      </c>
      <c r="I9" s="1587"/>
      <c r="J9" s="1587">
        <f t="shared" si="0"/>
        <v>11.544341773670947</v>
      </c>
      <c r="K9" s="1588">
        <f t="shared" si="1"/>
        <v>0.51900500000000005</v>
      </c>
      <c r="L9" s="1580"/>
      <c r="M9" s="1581">
        <f t="shared" si="2"/>
        <v>43.250416666666666</v>
      </c>
    </row>
    <row r="10" spans="6:45" s="813" customFormat="1" x14ac:dyDescent="0.2">
      <c r="F10" s="1613">
        <v>4</v>
      </c>
      <c r="G10" s="1593">
        <v>1058141</v>
      </c>
      <c r="H10" s="1577" t="s">
        <v>870</v>
      </c>
      <c r="I10" s="1614"/>
      <c r="J10" s="1614">
        <f t="shared" si="0"/>
        <v>11.302760110404416</v>
      </c>
      <c r="K10" s="1615">
        <f t="shared" si="1"/>
        <v>0.5290705</v>
      </c>
      <c r="L10" s="1616"/>
      <c r="M10" s="1617">
        <f t="shared" si="2"/>
        <v>44.089208333333339</v>
      </c>
    </row>
    <row r="11" spans="6:45" s="16" customFormat="1" ht="14.45" customHeight="1" x14ac:dyDescent="0.2">
      <c r="F11" s="1589">
        <v>5</v>
      </c>
      <c r="G11" s="1593">
        <v>899356</v>
      </c>
      <c r="H11" s="1577" t="s">
        <v>870</v>
      </c>
      <c r="I11" s="1587"/>
      <c r="J11" s="1587">
        <f t="shared" si="0"/>
        <v>13.20825633025321</v>
      </c>
      <c r="K11" s="1588">
        <f t="shared" si="1"/>
        <v>0.44967800000000002</v>
      </c>
      <c r="L11" s="1580"/>
      <c r="M11" s="1581">
        <f t="shared" si="2"/>
        <v>37.473166666666664</v>
      </c>
    </row>
    <row r="12" spans="6:45" s="16" customFormat="1" x14ac:dyDescent="0.2">
      <c r="F12" s="1589">
        <v>6</v>
      </c>
      <c r="G12" s="1593">
        <v>939422</v>
      </c>
      <c r="H12" s="1577" t="s">
        <v>870</v>
      </c>
      <c r="I12" s="1587"/>
      <c r="J12" s="1587">
        <f t="shared" si="0"/>
        <v>12.727445097803912</v>
      </c>
      <c r="K12" s="1588">
        <f t="shared" si="1"/>
        <v>0.46971099999999999</v>
      </c>
      <c r="L12" s="1580"/>
      <c r="M12" s="1581">
        <f t="shared" si="2"/>
        <v>39.142583333333334</v>
      </c>
    </row>
    <row r="13" spans="6:45" s="16" customFormat="1" x14ac:dyDescent="0.25">
      <c r="F13" s="1589">
        <v>7</v>
      </c>
      <c r="G13" s="1618">
        <v>1003337</v>
      </c>
      <c r="H13" s="1577" t="s">
        <v>870</v>
      </c>
      <c r="I13" s="1587"/>
      <c r="J13" s="1587">
        <f t="shared" si="0"/>
        <v>11.960434417376696</v>
      </c>
      <c r="K13" s="1588">
        <f t="shared" si="1"/>
        <v>0.50166849999999996</v>
      </c>
      <c r="L13" s="1580"/>
      <c r="M13" s="1581">
        <f t="shared" si="2"/>
        <v>41.805708333333335</v>
      </c>
    </row>
    <row r="14" spans="6:45" s="16" customFormat="1" x14ac:dyDescent="0.25">
      <c r="F14" s="1589">
        <v>8</v>
      </c>
      <c r="G14" s="1618">
        <v>899475</v>
      </c>
      <c r="H14" s="1577" t="s">
        <v>870</v>
      </c>
      <c r="I14" s="1587"/>
      <c r="J14" s="1587">
        <f t="shared" si="0"/>
        <v>13.206828273130927</v>
      </c>
      <c r="K14" s="1588">
        <f t="shared" si="1"/>
        <v>0.44973750000000001</v>
      </c>
      <c r="L14" s="1580"/>
      <c r="M14" s="1581">
        <f t="shared" si="2"/>
        <v>37.478124999999999</v>
      </c>
    </row>
    <row r="15" spans="6:45" s="16" customFormat="1" ht="12" customHeight="1" x14ac:dyDescent="0.25">
      <c r="F15" s="1589">
        <v>9</v>
      </c>
      <c r="G15" s="1618">
        <v>923368</v>
      </c>
      <c r="H15" s="1577" t="s">
        <v>870</v>
      </c>
      <c r="I15" s="1587"/>
      <c r="J15" s="1587">
        <f t="shared" si="0"/>
        <v>12.920100804032161</v>
      </c>
      <c r="K15" s="1588">
        <f t="shared" si="1"/>
        <v>0.46168400000000004</v>
      </c>
      <c r="L15" s="1580"/>
      <c r="M15" s="1581">
        <f t="shared" si="2"/>
        <v>38.473666666666666</v>
      </c>
    </row>
    <row r="16" spans="6:45" s="16" customFormat="1" ht="14.1" customHeight="1" x14ac:dyDescent="0.2">
      <c r="F16" s="1589">
        <v>10</v>
      </c>
      <c r="G16" s="1593">
        <v>1178496</v>
      </c>
      <c r="H16" s="1577" t="s">
        <v>869</v>
      </c>
      <c r="I16" s="1587"/>
      <c r="J16" s="1587">
        <f t="shared" si="0"/>
        <v>9.8584423376935071</v>
      </c>
      <c r="K16" s="1588">
        <f t="shared" si="1"/>
        <v>0.58924799999999999</v>
      </c>
      <c r="L16" s="1580"/>
      <c r="M16" s="1581">
        <f t="shared" si="2"/>
        <v>49.104000000000006</v>
      </c>
    </row>
    <row r="17" spans="6:13" s="16" customFormat="1" ht="12.6" customHeight="1" x14ac:dyDescent="0.2">
      <c r="F17" s="1589">
        <v>11</v>
      </c>
      <c r="G17" s="1593">
        <v>1073268</v>
      </c>
      <c r="H17" s="1577" t="s">
        <v>871</v>
      </c>
      <c r="I17" s="1587"/>
      <c r="J17" s="1587">
        <f t="shared" si="0"/>
        <v>11.121228849153965</v>
      </c>
      <c r="K17" s="1588">
        <f t="shared" si="1"/>
        <v>0.53663400000000006</v>
      </c>
      <c r="L17" s="1580"/>
      <c r="M17" s="1581">
        <f t="shared" si="2"/>
        <v>44.719500000000004</v>
      </c>
    </row>
    <row r="18" spans="6:13" s="16" customFormat="1" x14ac:dyDescent="0.2">
      <c r="F18" s="1589">
        <v>12</v>
      </c>
      <c r="G18" s="1593">
        <v>927936</v>
      </c>
      <c r="H18" s="1577" t="s">
        <v>871</v>
      </c>
      <c r="I18" s="1587"/>
      <c r="J18" s="1587">
        <f t="shared" si="0"/>
        <v>12.865282611304451</v>
      </c>
      <c r="K18" s="1588">
        <f t="shared" si="1"/>
        <v>0.46396799999999999</v>
      </c>
      <c r="L18" s="1580"/>
      <c r="M18" s="1581">
        <f t="shared" si="2"/>
        <v>38.664000000000001</v>
      </c>
    </row>
    <row r="19" spans="6:13" s="16" customFormat="1" x14ac:dyDescent="0.2">
      <c r="F19" s="1589">
        <v>13</v>
      </c>
      <c r="G19" s="1593">
        <v>732528</v>
      </c>
      <c r="H19" s="1577" t="s">
        <v>871</v>
      </c>
      <c r="I19" s="1587"/>
      <c r="J19" s="1587">
        <f t="shared" si="0"/>
        <v>15.210272410896437</v>
      </c>
      <c r="K19" s="1588">
        <f t="shared" si="1"/>
        <v>0.36626400000000003</v>
      </c>
      <c r="L19" s="1580"/>
      <c r="M19" s="1581">
        <f t="shared" si="2"/>
        <v>30.522000000000002</v>
      </c>
    </row>
    <row r="20" spans="6:13" s="16" customFormat="1" x14ac:dyDescent="0.2">
      <c r="F20" s="1589">
        <v>14</v>
      </c>
      <c r="G20" s="1593">
        <v>981178</v>
      </c>
      <c r="H20" s="1577" t="s">
        <v>871</v>
      </c>
      <c r="I20" s="1587"/>
      <c r="J20" s="1587">
        <f t="shared" si="0"/>
        <v>12.226353054122166</v>
      </c>
      <c r="K20" s="1588">
        <f t="shared" si="1"/>
        <v>0.490589</v>
      </c>
      <c r="L20" s="1580"/>
      <c r="M20" s="1581">
        <f t="shared" si="2"/>
        <v>40.882416666666664</v>
      </c>
    </row>
    <row r="21" spans="6:13" s="16" customFormat="1" ht="28.5" x14ac:dyDescent="0.2">
      <c r="F21" s="1589">
        <v>15</v>
      </c>
      <c r="G21" s="1593">
        <v>684532</v>
      </c>
      <c r="H21" s="1577" t="s">
        <v>892</v>
      </c>
      <c r="I21" s="1587"/>
      <c r="J21" s="1587">
        <f t="shared" si="0"/>
        <v>15.786247449897994</v>
      </c>
      <c r="K21" s="1588">
        <f t="shared" si="1"/>
        <v>0.34226600000000001</v>
      </c>
      <c r="L21" s="1580"/>
      <c r="M21" s="1581">
        <f t="shared" si="2"/>
        <v>28.522166666666667</v>
      </c>
    </row>
    <row r="22" spans="6:13" s="16" customFormat="1" x14ac:dyDescent="0.2">
      <c r="F22" s="1589">
        <v>16</v>
      </c>
      <c r="G22" s="1593">
        <v>798620</v>
      </c>
      <c r="H22" s="1577" t="s">
        <v>870</v>
      </c>
      <c r="I22" s="1587"/>
      <c r="J22" s="1587">
        <f t="shared" si="0"/>
        <v>14.417136685467421</v>
      </c>
      <c r="K22" s="1588">
        <f t="shared" si="1"/>
        <v>0.39931</v>
      </c>
      <c r="L22" s="1580"/>
      <c r="M22" s="1581">
        <f t="shared" si="2"/>
        <v>33.275833333333331</v>
      </c>
    </row>
    <row r="23" spans="6:13" s="16" customFormat="1" ht="13.5" customHeight="1" x14ac:dyDescent="0.2">
      <c r="F23" s="1589">
        <v>17</v>
      </c>
      <c r="G23" s="1593">
        <v>861206</v>
      </c>
      <c r="H23" s="1577" t="s">
        <v>870</v>
      </c>
      <c r="I23" s="1587"/>
      <c r="J23" s="1587">
        <f t="shared" si="0"/>
        <v>13.666074642985718</v>
      </c>
      <c r="K23" s="1588">
        <f t="shared" si="1"/>
        <v>0.43060300000000001</v>
      </c>
      <c r="L23" s="1580"/>
      <c r="M23" s="1581">
        <f t="shared" si="2"/>
        <v>35.883583333333334</v>
      </c>
    </row>
    <row r="24" spans="6:13" s="16" customFormat="1" x14ac:dyDescent="0.2">
      <c r="F24" s="1592">
        <v>18</v>
      </c>
      <c r="G24" s="1593">
        <v>775418</v>
      </c>
      <c r="H24" s="1577" t="s">
        <v>870</v>
      </c>
      <c r="I24" s="1587"/>
      <c r="J24" s="1587">
        <f t="shared" si="0"/>
        <v>14.695571822872914</v>
      </c>
      <c r="K24" s="1588">
        <f t="shared" si="1"/>
        <v>0.38770900000000003</v>
      </c>
      <c r="L24" s="1580"/>
      <c r="M24" s="1581">
        <f t="shared" si="2"/>
        <v>32.309083333333334</v>
      </c>
    </row>
    <row r="25" spans="6:13" s="16" customFormat="1" x14ac:dyDescent="0.2">
      <c r="F25" s="1592">
        <v>19</v>
      </c>
      <c r="G25" s="1593">
        <v>923684</v>
      </c>
      <c r="H25" s="1577" t="s">
        <v>870</v>
      </c>
      <c r="I25" s="1587"/>
      <c r="J25" s="1587">
        <f t="shared" si="0"/>
        <v>12.916308652346094</v>
      </c>
      <c r="K25" s="1588">
        <f t="shared" si="1"/>
        <v>0.46184199999999997</v>
      </c>
      <c r="L25" s="1580"/>
      <c r="M25" s="1581">
        <f t="shared" si="2"/>
        <v>38.48683333333333</v>
      </c>
    </row>
    <row r="26" spans="6:13" s="16" customFormat="1" x14ac:dyDescent="0.2">
      <c r="F26" s="1592">
        <v>20</v>
      </c>
      <c r="G26" s="1593">
        <v>933429</v>
      </c>
      <c r="H26" s="1577" t="s">
        <v>870</v>
      </c>
      <c r="I26" s="1587"/>
      <c r="J26" s="1587">
        <f t="shared" si="0"/>
        <v>12.799363974558982</v>
      </c>
      <c r="K26" s="1588">
        <f t="shared" si="1"/>
        <v>0.46671449999999998</v>
      </c>
      <c r="L26" s="1580"/>
      <c r="M26" s="1581">
        <f t="shared" si="2"/>
        <v>38.892874999999997</v>
      </c>
    </row>
    <row r="27" spans="6:13" s="16" customFormat="1" x14ac:dyDescent="0.2">
      <c r="F27" s="1592">
        <v>21</v>
      </c>
      <c r="G27" s="1593">
        <v>960597</v>
      </c>
      <c r="H27" s="1577" t="s">
        <v>870</v>
      </c>
      <c r="I27" s="1587"/>
      <c r="J27" s="1587">
        <f t="shared" si="0"/>
        <v>12.473334933397336</v>
      </c>
      <c r="K27" s="1588">
        <f t="shared" si="1"/>
        <v>0.48029850000000002</v>
      </c>
      <c r="L27" s="1580"/>
      <c r="M27" s="1581">
        <f t="shared" si="2"/>
        <v>40.024875000000002</v>
      </c>
    </row>
    <row r="28" spans="6:13" s="16" customFormat="1" x14ac:dyDescent="0.2">
      <c r="F28" s="1592">
        <v>22</v>
      </c>
      <c r="G28" s="1593">
        <v>834435</v>
      </c>
      <c r="H28" s="1577" t="s">
        <v>870</v>
      </c>
      <c r="I28" s="1587"/>
      <c r="J28" s="1587">
        <f t="shared" si="0"/>
        <v>13.987339493579745</v>
      </c>
      <c r="K28" s="1588">
        <f t="shared" si="1"/>
        <v>0.41721749999999996</v>
      </c>
      <c r="L28" s="1580"/>
      <c r="M28" s="1581">
        <f t="shared" si="2"/>
        <v>34.768124999999998</v>
      </c>
    </row>
    <row r="29" spans="6:13" s="16" customFormat="1" x14ac:dyDescent="0.2">
      <c r="F29" s="1592">
        <v>23</v>
      </c>
      <c r="G29" s="1593">
        <v>941966</v>
      </c>
      <c r="H29" s="1577" t="s">
        <v>870</v>
      </c>
      <c r="I29" s="1587"/>
      <c r="J29" s="1587">
        <f t="shared" si="0"/>
        <v>12.696915876635067</v>
      </c>
      <c r="K29" s="1588">
        <f t="shared" si="1"/>
        <v>0.47098299999999998</v>
      </c>
      <c r="L29" s="1580"/>
      <c r="M29" s="1581">
        <f t="shared" si="2"/>
        <v>39.248583333333336</v>
      </c>
    </row>
    <row r="30" spans="6:13" s="16" customFormat="1" ht="28.5" x14ac:dyDescent="0.2">
      <c r="F30" s="1592">
        <v>24</v>
      </c>
      <c r="G30" s="1593">
        <v>1059688</v>
      </c>
      <c r="H30" s="1577" t="s">
        <v>892</v>
      </c>
      <c r="I30" s="1587"/>
      <c r="J30" s="1587">
        <f t="shared" si="0"/>
        <v>11.284195367814712</v>
      </c>
      <c r="K30" s="1588">
        <f t="shared" si="1"/>
        <v>0.52984400000000009</v>
      </c>
      <c r="L30" s="1580"/>
      <c r="M30" s="1581">
        <f t="shared" si="2"/>
        <v>44.153666666666673</v>
      </c>
    </row>
    <row r="31" spans="6:13" s="16" customFormat="1" x14ac:dyDescent="0.2">
      <c r="F31" s="1592">
        <v>25</v>
      </c>
      <c r="G31" s="1593">
        <v>0</v>
      </c>
      <c r="H31" s="1577" t="s">
        <v>872</v>
      </c>
      <c r="I31" s="1587"/>
      <c r="J31" s="1587">
        <f t="shared" si="0"/>
        <v>24.000960038401537</v>
      </c>
      <c r="K31" s="1588">
        <f t="shared" si="1"/>
        <v>0</v>
      </c>
      <c r="L31" s="1580"/>
      <c r="M31" s="1581">
        <f t="shared" si="2"/>
        <v>0</v>
      </c>
    </row>
    <row r="32" spans="6:13" s="16" customFormat="1" x14ac:dyDescent="0.2">
      <c r="F32" s="1592">
        <v>26</v>
      </c>
      <c r="G32" s="1593">
        <v>0</v>
      </c>
      <c r="H32" s="1577" t="s">
        <v>872</v>
      </c>
      <c r="I32" s="1587"/>
      <c r="J32" s="1587">
        <f t="shared" si="0"/>
        <v>24.000960038401537</v>
      </c>
      <c r="K32" s="1588">
        <f t="shared" si="1"/>
        <v>0</v>
      </c>
      <c r="L32" s="1580"/>
      <c r="M32" s="1581">
        <f t="shared" si="2"/>
        <v>0</v>
      </c>
    </row>
    <row r="33" spans="6:16" s="16" customFormat="1" x14ac:dyDescent="0.2">
      <c r="F33" s="1592">
        <v>27</v>
      </c>
      <c r="G33" s="1593">
        <v>0</v>
      </c>
      <c r="H33" s="1577" t="s">
        <v>872</v>
      </c>
      <c r="I33" s="1587"/>
      <c r="J33" s="1587">
        <f t="shared" si="0"/>
        <v>24.000960038401537</v>
      </c>
      <c r="K33" s="1588">
        <f t="shared" si="1"/>
        <v>0</v>
      </c>
      <c r="L33" s="1580"/>
      <c r="M33" s="1581">
        <f t="shared" si="2"/>
        <v>0</v>
      </c>
    </row>
    <row r="34" spans="6:16" s="16" customFormat="1" x14ac:dyDescent="0.2">
      <c r="F34" s="1592">
        <v>28</v>
      </c>
      <c r="G34" s="1593">
        <v>0</v>
      </c>
      <c r="H34" s="1577" t="s">
        <v>872</v>
      </c>
      <c r="I34" s="1587"/>
      <c r="J34" s="1587">
        <f t="shared" si="0"/>
        <v>24.000960038401537</v>
      </c>
      <c r="K34" s="1588">
        <f t="shared" si="1"/>
        <v>0</v>
      </c>
      <c r="L34" s="1580"/>
      <c r="M34" s="1581">
        <f t="shared" si="2"/>
        <v>0</v>
      </c>
    </row>
    <row r="35" spans="6:16" s="16" customFormat="1" ht="12.6" customHeight="1" x14ac:dyDescent="0.2">
      <c r="F35" s="1592">
        <v>29</v>
      </c>
      <c r="G35" s="1593">
        <v>0</v>
      </c>
      <c r="H35" s="1577" t="s">
        <v>872</v>
      </c>
      <c r="I35" s="1619"/>
      <c r="J35" s="1587">
        <f t="shared" si="0"/>
        <v>24.000960038401537</v>
      </c>
      <c r="K35" s="1588">
        <f t="shared" si="1"/>
        <v>0</v>
      </c>
      <c r="L35" s="1580"/>
      <c r="M35" s="1581">
        <f t="shared" si="2"/>
        <v>0</v>
      </c>
    </row>
    <row r="36" spans="6:16" s="16" customFormat="1" x14ac:dyDescent="0.2">
      <c r="F36" s="1594">
        <v>30</v>
      </c>
      <c r="G36" s="1620">
        <v>0</v>
      </c>
      <c r="H36" s="1577" t="s">
        <v>872</v>
      </c>
      <c r="I36" s="1621"/>
      <c r="J36" s="1587">
        <f t="shared" si="0"/>
        <v>24.000960038401537</v>
      </c>
      <c r="K36" s="1588">
        <f t="shared" si="1"/>
        <v>0</v>
      </c>
      <c r="L36" s="1580"/>
      <c r="M36" s="1581">
        <f t="shared" si="2"/>
        <v>0</v>
      </c>
    </row>
    <row r="37" spans="6:16" s="16" customFormat="1" ht="15" thickBot="1" x14ac:dyDescent="0.25">
      <c r="F37" s="1597">
        <v>31</v>
      </c>
      <c r="G37" s="1622">
        <v>0</v>
      </c>
      <c r="H37" s="1577" t="s">
        <v>872</v>
      </c>
      <c r="I37" s="1598"/>
      <c r="J37" s="1599">
        <f t="shared" si="0"/>
        <v>24.000960038401537</v>
      </c>
      <c r="K37" s="1588">
        <f t="shared" si="1"/>
        <v>0</v>
      </c>
      <c r="L37" s="1580"/>
      <c r="M37" s="1581">
        <f t="shared" si="2"/>
        <v>0</v>
      </c>
    </row>
    <row r="38" spans="6:16" s="16" customFormat="1" ht="18" customHeight="1" thickTop="1" thickBot="1" x14ac:dyDescent="0.3">
      <c r="F38" s="1571" t="s">
        <v>160</v>
      </c>
      <c r="G38" s="1623">
        <f>SUM(G7:G37)</f>
        <v>22537679</v>
      </c>
      <c r="H38" s="1624"/>
      <c r="I38" s="1602">
        <f>SUM(I7:I36)</f>
        <v>0</v>
      </c>
      <c r="J38" s="1603">
        <f>SUM(J7:J37)</f>
        <v>473.56679467178702</v>
      </c>
      <c r="K38" s="1602"/>
      <c r="L38" s="1604"/>
      <c r="M38" s="1605">
        <f>AVERAGE(M7:M37)</f>
        <v>30.292579301075275</v>
      </c>
    </row>
    <row r="39" spans="6:16" customFormat="1" ht="15.75" thickTop="1" x14ac:dyDescent="0.25">
      <c r="F39" s="1606"/>
      <c r="G39" s="1607"/>
      <c r="H39" s="1608"/>
      <c r="I39" s="1"/>
      <c r="J39" s="1"/>
      <c r="K39" s="1"/>
      <c r="L39" s="1"/>
      <c r="M39" s="1"/>
    </row>
    <row r="40" spans="6:16" s="16" customFormat="1" x14ac:dyDescent="0.25">
      <c r="G40" s="1609" t="s">
        <v>854</v>
      </c>
    </row>
    <row r="41" spans="6:16" s="16" customFormat="1" x14ac:dyDescent="0.25">
      <c r="G41" s="16" t="s">
        <v>855</v>
      </c>
      <c r="I41" s="1581">
        <v>0</v>
      </c>
      <c r="J41" s="16" t="s">
        <v>856</v>
      </c>
      <c r="P41" s="1610"/>
    </row>
    <row r="42" spans="6:16" s="16" customFormat="1" x14ac:dyDescent="0.25">
      <c r="G42" s="16" t="s">
        <v>857</v>
      </c>
      <c r="I42" s="1581">
        <v>0</v>
      </c>
      <c r="J42" s="16" t="s">
        <v>856</v>
      </c>
    </row>
    <row r="43" spans="6:16" s="16" customFormat="1" x14ac:dyDescent="0.25">
      <c r="G43" s="16" t="s">
        <v>873</v>
      </c>
      <c r="I43" s="1581">
        <v>0</v>
      </c>
      <c r="J43" s="16" t="s">
        <v>856</v>
      </c>
    </row>
    <row r="44" spans="6:16" s="16" customFormat="1" x14ac:dyDescent="0.25">
      <c r="G44" s="16" t="s">
        <v>874</v>
      </c>
      <c r="I44" s="1611">
        <v>0</v>
      </c>
      <c r="J44" s="16" t="s">
        <v>856</v>
      </c>
    </row>
    <row r="45" spans="6:16" s="16" customFormat="1" x14ac:dyDescent="0.25">
      <c r="G45" s="16" t="s">
        <v>875</v>
      </c>
      <c r="I45" s="1611">
        <v>0</v>
      </c>
      <c r="J45" s="16" t="s">
        <v>856</v>
      </c>
    </row>
    <row r="46" spans="6:16" s="16" customFormat="1" x14ac:dyDescent="0.25">
      <c r="G46" s="16" t="s">
        <v>861</v>
      </c>
      <c r="I46" s="1611">
        <v>0</v>
      </c>
      <c r="J46" s="16" t="s">
        <v>856</v>
      </c>
    </row>
    <row r="47" spans="6:16" s="16" customFormat="1" x14ac:dyDescent="0.25">
      <c r="G47" s="16" t="s">
        <v>862</v>
      </c>
      <c r="I47" s="1611">
        <v>0</v>
      </c>
      <c r="J47" s="16" t="s">
        <v>856</v>
      </c>
    </row>
    <row r="48" spans="6:16" s="16" customFormat="1" x14ac:dyDescent="0.25">
      <c r="G48" s="16" t="s">
        <v>863</v>
      </c>
      <c r="I48" s="1611">
        <v>0</v>
      </c>
      <c r="J48" s="16" t="s">
        <v>856</v>
      </c>
    </row>
    <row r="49" spans="7:13" s="16" customFormat="1" x14ac:dyDescent="0.25">
      <c r="G49" s="16" t="s">
        <v>864</v>
      </c>
      <c r="I49" s="1611">
        <v>0</v>
      </c>
      <c r="J49" s="16" t="s">
        <v>856</v>
      </c>
    </row>
    <row r="50" spans="7:13" s="16" customFormat="1" x14ac:dyDescent="0.25">
      <c r="G50" s="1569" t="s">
        <v>876</v>
      </c>
      <c r="I50" s="1611">
        <f>SUM(J7,J8,J9,J10,J11,J12,J13,J14,J15,J22,J23,J24,J25,J26,J27,J28,J29)</f>
        <v>217.2080523220929</v>
      </c>
      <c r="J50" s="16" t="s">
        <v>856</v>
      </c>
    </row>
    <row r="51" spans="7:13" s="16" customFormat="1" x14ac:dyDescent="0.25">
      <c r="G51" s="1569" t="s">
        <v>877</v>
      </c>
      <c r="I51" s="1611">
        <f>SUM(J31,J32,J33,J34,J35,J36,J37)</f>
        <v>168.00672026881074</v>
      </c>
      <c r="J51" s="16" t="s">
        <v>856</v>
      </c>
    </row>
    <row r="52" spans="7:13" s="16" customFormat="1" x14ac:dyDescent="0.25">
      <c r="G52" s="1569" t="s">
        <v>878</v>
      </c>
      <c r="I52" s="1611">
        <f>SUM(J17,J18,J19,J20)</f>
        <v>51.423136925477017</v>
      </c>
      <c r="J52" s="16" t="s">
        <v>856</v>
      </c>
    </row>
    <row r="53" spans="7:13" s="16" customFormat="1" x14ac:dyDescent="0.25">
      <c r="G53" s="1569" t="s">
        <v>879</v>
      </c>
      <c r="I53" s="1611">
        <v>0</v>
      </c>
      <c r="J53" s="16" t="s">
        <v>856</v>
      </c>
    </row>
    <row r="54" spans="7:13" s="16" customFormat="1" x14ac:dyDescent="0.25">
      <c r="G54" s="1569" t="s">
        <v>880</v>
      </c>
      <c r="I54" s="1611">
        <f>SUM(J16,J21,J30)</f>
        <v>36.928885155406213</v>
      </c>
      <c r="J54" s="16" t="s">
        <v>856</v>
      </c>
    </row>
    <row r="55" spans="7:13" ht="15" x14ac:dyDescent="0.25">
      <c r="G55" s="1702" t="s">
        <v>1</v>
      </c>
      <c r="H55" s="1702"/>
      <c r="I55" s="1612">
        <f>SUM(I41:I54)</f>
        <v>473.56679467178685</v>
      </c>
      <c r="J55" s="2" t="s">
        <v>856</v>
      </c>
      <c r="K55" s="2"/>
      <c r="L55" s="2"/>
      <c r="M55" s="2"/>
    </row>
    <row r="56" spans="7:13" x14ac:dyDescent="0.2">
      <c r="G56" s="1701" t="s">
        <v>895</v>
      </c>
      <c r="H56" s="1701"/>
    </row>
    <row r="65" spans="5:11" ht="15" x14ac:dyDescent="0.2">
      <c r="E65" s="1688" t="s">
        <v>779</v>
      </c>
      <c r="F65" s="1688"/>
      <c r="G65" s="1688"/>
      <c r="H65" s="1199" t="s">
        <v>780</v>
      </c>
      <c r="I65" s="1317"/>
      <c r="J65" s="1199" t="s">
        <v>781</v>
      </c>
      <c r="K65" s="1317"/>
    </row>
    <row r="66" spans="5:11" ht="15" x14ac:dyDescent="0.25">
      <c r="E66" s="1196"/>
      <c r="F66" s="1319"/>
      <c r="G66" s="1319"/>
      <c r="H66" s="1319"/>
      <c r="I66" s="1319"/>
      <c r="J66" s="1196"/>
      <c r="K66" s="1319"/>
    </row>
    <row r="67" spans="5:11" ht="15" x14ac:dyDescent="0.25">
      <c r="E67" s="1196"/>
      <c r="F67" s="1319"/>
      <c r="G67" s="1319"/>
      <c r="H67" s="1319"/>
      <c r="I67" s="1319"/>
      <c r="J67" s="1196"/>
      <c r="K67" s="1319"/>
    </row>
    <row r="68" spans="5:11" ht="15" x14ac:dyDescent="0.25">
      <c r="E68" s="1196"/>
      <c r="F68" s="1319"/>
      <c r="G68" s="1319"/>
      <c r="H68" s="1319"/>
      <c r="I68" s="1319"/>
      <c r="J68" s="1196"/>
      <c r="K68" s="1319"/>
    </row>
    <row r="69" spans="5:11" ht="15" x14ac:dyDescent="0.2">
      <c r="E69" s="1689" t="s">
        <v>882</v>
      </c>
      <c r="F69" s="1689"/>
      <c r="G69" s="1689"/>
      <c r="H69" s="1321" t="s">
        <v>782</v>
      </c>
      <c r="I69" s="1322"/>
      <c r="J69" s="1321" t="s">
        <v>783</v>
      </c>
      <c r="K69" s="1322"/>
    </row>
    <row r="70" spans="5:11" x14ac:dyDescent="0.2">
      <c r="E70" s="1690" t="s">
        <v>785</v>
      </c>
      <c r="F70" s="1690"/>
      <c r="G70" s="1690"/>
      <c r="H70" s="1319" t="s">
        <v>786</v>
      </c>
      <c r="I70" s="1324"/>
      <c r="J70" s="1319" t="s">
        <v>787</v>
      </c>
      <c r="K70" s="1324"/>
    </row>
  </sheetData>
  <mergeCells count="10">
    <mergeCell ref="E65:G65"/>
    <mergeCell ref="E69:G69"/>
    <mergeCell ref="E70:G70"/>
    <mergeCell ref="G56:H56"/>
    <mergeCell ref="F2:J2"/>
    <mergeCell ref="F5:F6"/>
    <mergeCell ref="G5:G6"/>
    <mergeCell ref="H5:H6"/>
    <mergeCell ref="I5:K5"/>
    <mergeCell ref="G55:H55"/>
  </mergeCells>
  <printOptions horizontalCentered="1"/>
  <pageMargins left="0.19685039370078741" right="0" top="0" bottom="0" header="0.31496062992125984" footer="0.31496062992125984"/>
  <pageSetup paperSize="9" scale="74" orientation="portrait" horizontalDpi="0" verticalDpi="0" r:id="rId1"/>
  <colBreaks count="1" manualBreakCount="1">
    <brk id="5" max="6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58" zoomScale="115" zoomScaleNormal="115" workbookViewId="0">
      <selection activeCell="H61" sqref="H61"/>
    </sheetView>
  </sheetViews>
  <sheetFormatPr defaultColWidth="9.140625" defaultRowHeight="15" x14ac:dyDescent="0.25"/>
  <cols>
    <col min="1" max="1" width="9.140625" style="1196"/>
    <col min="2" max="2" width="5.5703125" style="1196" customWidth="1"/>
    <col min="3" max="3" width="32.5703125" style="1196" customWidth="1"/>
    <col min="4" max="4" width="9" style="1196" customWidth="1"/>
    <col min="5" max="5" width="15.5703125" style="1196" customWidth="1"/>
    <col min="6" max="6" width="20.5703125" style="1196" customWidth="1"/>
    <col min="7" max="7" width="13.5703125" style="1196" customWidth="1"/>
    <col min="8" max="8" width="21.85546875" style="1197" customWidth="1"/>
    <col min="9" max="9" width="16.42578125" style="1198" customWidth="1"/>
    <col min="10" max="10" width="11.140625" style="1196" bestFit="1" customWidth="1"/>
    <col min="11" max="11" width="11.5703125" style="1196" bestFit="1" customWidth="1"/>
    <col min="12" max="12" width="13.5703125" style="1196" customWidth="1"/>
    <col min="13" max="13" width="13.42578125" style="1196" bestFit="1" customWidth="1"/>
    <col min="14" max="16384" width="9.140625" style="1196"/>
  </cols>
  <sheetData>
    <row r="1" spans="2:12" x14ac:dyDescent="0.25">
      <c r="B1" s="1195"/>
    </row>
    <row r="2" spans="2:12" x14ac:dyDescent="0.25">
      <c r="B2" s="1688" t="s">
        <v>744</v>
      </c>
      <c r="C2" s="1688"/>
      <c r="D2" s="1688"/>
      <c r="E2" s="1688"/>
      <c r="F2" s="1688"/>
      <c r="G2" s="1688"/>
      <c r="H2" s="1688"/>
      <c r="I2" s="1200"/>
    </row>
    <row r="3" spans="2:12" x14ac:dyDescent="0.25">
      <c r="B3" s="1688" t="s">
        <v>745</v>
      </c>
      <c r="C3" s="1688"/>
      <c r="D3" s="1688"/>
      <c r="E3" s="1688"/>
      <c r="F3" s="1688"/>
      <c r="G3" s="1688"/>
      <c r="H3" s="1688"/>
      <c r="I3" s="1200"/>
    </row>
    <row r="4" spans="2:12" ht="15.75" thickBot="1" x14ac:dyDescent="0.3">
      <c r="B4" s="1703" t="s">
        <v>883</v>
      </c>
      <c r="C4" s="1703"/>
      <c r="D4" s="1201"/>
      <c r="E4" s="1201"/>
      <c r="F4" s="1201"/>
      <c r="G4" s="1202"/>
      <c r="H4" s="1203"/>
      <c r="I4" s="1204"/>
    </row>
    <row r="5" spans="2:12" x14ac:dyDescent="0.25">
      <c r="B5" s="1704" t="s">
        <v>179</v>
      </c>
      <c r="C5" s="1706" t="s">
        <v>746</v>
      </c>
      <c r="D5" s="1706" t="s">
        <v>747</v>
      </c>
      <c r="E5" s="1708" t="s">
        <v>881</v>
      </c>
      <c r="F5" s="1709"/>
      <c r="G5" s="1710"/>
      <c r="H5" s="1711" t="s">
        <v>748</v>
      </c>
      <c r="I5" s="1205"/>
    </row>
    <row r="6" spans="2:12" ht="41.25" customHeight="1" x14ac:dyDescent="0.25">
      <c r="B6" s="1705"/>
      <c r="C6" s="1707"/>
      <c r="D6" s="1707"/>
      <c r="E6" s="1206" t="s">
        <v>749</v>
      </c>
      <c r="F6" s="1206" t="s">
        <v>750</v>
      </c>
      <c r="G6" s="1206" t="s">
        <v>751</v>
      </c>
      <c r="H6" s="1712"/>
      <c r="I6" s="1205"/>
    </row>
    <row r="7" spans="2:12" x14ac:dyDescent="0.25">
      <c r="B7" s="1207" t="s">
        <v>752</v>
      </c>
      <c r="C7" s="1208" t="s">
        <v>85</v>
      </c>
      <c r="D7" s="1209"/>
      <c r="E7" s="1210"/>
      <c r="F7" s="1210"/>
      <c r="G7" s="1210"/>
      <c r="H7" s="1211"/>
      <c r="I7" s="1212"/>
    </row>
    <row r="8" spans="2:12" x14ac:dyDescent="0.25">
      <c r="B8" s="1213"/>
      <c r="C8" s="1214" t="s">
        <v>753</v>
      </c>
      <c r="D8" s="1215"/>
      <c r="E8" s="1216"/>
      <c r="F8" s="1217"/>
      <c r="G8" s="1216"/>
      <c r="H8" s="1218"/>
      <c r="I8" s="1212"/>
      <c r="J8" s="1219"/>
      <c r="K8" s="1219"/>
      <c r="L8" s="1220"/>
    </row>
    <row r="9" spans="2:12" x14ac:dyDescent="0.25">
      <c r="B9" s="1213"/>
      <c r="C9" s="1221" t="s">
        <v>84</v>
      </c>
      <c r="D9" s="1222" t="s">
        <v>233</v>
      </c>
      <c r="E9" s="1223">
        <v>18</v>
      </c>
      <c r="F9" s="1223">
        <f>'November 2024'!$AL$6</f>
        <v>22</v>
      </c>
      <c r="G9" s="1224">
        <f>(F9/E9)</f>
        <v>1.2222222222222223</v>
      </c>
      <c r="H9" s="1225" t="s">
        <v>754</v>
      </c>
      <c r="I9" s="1212"/>
      <c r="J9" s="1226"/>
      <c r="K9" s="1219"/>
    </row>
    <row r="10" spans="2:12" x14ac:dyDescent="0.25">
      <c r="B10" s="1213"/>
      <c r="C10" s="1227" t="s">
        <v>755</v>
      </c>
      <c r="D10" s="1228" t="s">
        <v>14</v>
      </c>
      <c r="E10" s="1217"/>
      <c r="F10" s="1217"/>
      <c r="G10" s="1229"/>
      <c r="H10" s="1230"/>
      <c r="I10" s="1231"/>
      <c r="J10" s="1226"/>
      <c r="K10" s="1219"/>
    </row>
    <row r="11" spans="2:12" x14ac:dyDescent="0.25">
      <c r="B11" s="1213"/>
      <c r="C11" s="1221" t="s">
        <v>756</v>
      </c>
      <c r="D11" s="1222" t="s">
        <v>14</v>
      </c>
      <c r="E11" s="1223">
        <f>'November 2024'!E9</f>
        <v>36359000</v>
      </c>
      <c r="F11" s="1223">
        <f>F12+F13</f>
        <v>20377380</v>
      </c>
      <c r="G11" s="1224">
        <f>(F11/E11)</f>
        <v>0.56044940729943071</v>
      </c>
      <c r="H11" s="1232" t="s">
        <v>757</v>
      </c>
      <c r="I11" s="1212"/>
      <c r="J11" s="1233"/>
      <c r="L11" s="1220"/>
    </row>
    <row r="12" spans="2:12" x14ac:dyDescent="0.25">
      <c r="B12" s="1213"/>
      <c r="C12" s="1221" t="s">
        <v>98</v>
      </c>
      <c r="D12" s="1222"/>
      <c r="E12" s="1223"/>
      <c r="F12" s="1223">
        <f>'November 2024'!AL11</f>
        <v>20377380</v>
      </c>
      <c r="G12" s="1224"/>
      <c r="H12" s="1232"/>
      <c r="I12" s="1212"/>
      <c r="J12" s="1233"/>
      <c r="L12" s="1220"/>
    </row>
    <row r="13" spans="2:12" x14ac:dyDescent="0.25">
      <c r="B13" s="1213"/>
      <c r="C13" s="1221" t="s">
        <v>99</v>
      </c>
      <c r="D13" s="1222"/>
      <c r="E13" s="1223"/>
      <c r="F13" s="1223">
        <f>'November 2024'!AL12</f>
        <v>0</v>
      </c>
      <c r="G13" s="1224"/>
      <c r="H13" s="1232"/>
      <c r="I13" s="1212"/>
      <c r="J13" s="1233"/>
      <c r="L13" s="1220"/>
    </row>
    <row r="14" spans="2:12" x14ac:dyDescent="0.25">
      <c r="B14" s="1213"/>
      <c r="C14" s="1234" t="s">
        <v>758</v>
      </c>
      <c r="D14" s="1235" t="s">
        <v>25</v>
      </c>
      <c r="E14" s="1236">
        <v>5</v>
      </c>
      <c r="F14" s="1237">
        <f>'November 2024'!AL13</f>
        <v>3.8712121212121207</v>
      </c>
      <c r="G14" s="1238">
        <f>(F14/E14)</f>
        <v>0.77424242424242418</v>
      </c>
      <c r="H14" s="1239"/>
      <c r="I14" s="1240"/>
      <c r="J14" s="1241"/>
    </row>
    <row r="15" spans="2:12" x14ac:dyDescent="0.25">
      <c r="B15" s="1213"/>
      <c r="C15" s="1234" t="s">
        <v>759</v>
      </c>
      <c r="D15" s="1235" t="s">
        <v>25</v>
      </c>
      <c r="E15" s="1236">
        <v>0.5</v>
      </c>
      <c r="F15" s="1237">
        <f>'November 2024'!AL14</f>
        <v>0.43416666666666665</v>
      </c>
      <c r="G15" s="1238">
        <f t="shared" ref="G15:G19" si="0">(F15/E15)</f>
        <v>0.86833333333333329</v>
      </c>
      <c r="H15" s="1239"/>
      <c r="I15" s="1240"/>
      <c r="J15" s="1241"/>
    </row>
    <row r="16" spans="2:12" x14ac:dyDescent="0.25">
      <c r="B16" s="1213"/>
      <c r="C16" s="1234" t="s">
        <v>760</v>
      </c>
      <c r="D16" s="1235" t="s">
        <v>25</v>
      </c>
      <c r="E16" s="1236">
        <v>22.2</v>
      </c>
      <c r="F16" s="1237">
        <f>'November 2024'!AL15</f>
        <v>2.0150000000000001</v>
      </c>
      <c r="G16" s="1238">
        <f t="shared" si="0"/>
        <v>9.0765765765765768E-2</v>
      </c>
      <c r="H16" s="1239"/>
      <c r="I16" s="1240"/>
    </row>
    <row r="17" spans="2:13" x14ac:dyDescent="0.25">
      <c r="B17" s="1213"/>
      <c r="C17" s="1242" t="s">
        <v>78</v>
      </c>
      <c r="D17" s="1228"/>
      <c r="E17" s="1217"/>
      <c r="F17" s="1217"/>
      <c r="G17" s="1238"/>
      <c r="H17" s="1243"/>
      <c r="I17" s="1240"/>
    </row>
    <row r="18" spans="2:13" x14ac:dyDescent="0.25">
      <c r="B18" s="1213"/>
      <c r="C18" s="1244" t="s">
        <v>197</v>
      </c>
      <c r="D18" s="1245" t="s">
        <v>14</v>
      </c>
      <c r="E18" s="1217">
        <v>33124010.399999999</v>
      </c>
      <c r="F18" s="1217">
        <f>'November 2024'!AL18</f>
        <v>19958156</v>
      </c>
      <c r="G18" s="1238">
        <f t="shared" si="0"/>
        <v>0.60252837017585292</v>
      </c>
      <c r="H18" s="1246"/>
      <c r="I18" s="1212"/>
    </row>
    <row r="19" spans="2:13" x14ac:dyDescent="0.25">
      <c r="B19" s="1213"/>
      <c r="C19" s="1247" t="s">
        <v>64</v>
      </c>
      <c r="D19" s="1248" t="s">
        <v>14</v>
      </c>
      <c r="E19" s="1249">
        <v>1572840</v>
      </c>
      <c r="F19" s="1217">
        <f>'November 2024'!$AL$19</f>
        <v>870458</v>
      </c>
      <c r="G19" s="1238">
        <f t="shared" si="0"/>
        <v>0.55343073675644061</v>
      </c>
      <c r="H19" s="1250"/>
      <c r="I19" s="1212"/>
    </row>
    <row r="20" spans="2:13" ht="8.25" customHeight="1" x14ac:dyDescent="0.25">
      <c r="B20" s="1213"/>
      <c r="C20" s="1251"/>
      <c r="D20" s="1252"/>
      <c r="E20" s="1216"/>
      <c r="F20" s="1253"/>
      <c r="G20" s="1254"/>
      <c r="H20" s="1246"/>
      <c r="I20" s="1212"/>
    </row>
    <row r="21" spans="2:13" s="1255" customFormat="1" ht="14.25" customHeight="1" x14ac:dyDescent="0.25">
      <c r="B21" s="1213"/>
      <c r="C21" s="1214" t="s">
        <v>761</v>
      </c>
      <c r="D21" s="1252"/>
      <c r="E21" s="1216"/>
      <c r="F21" s="1217"/>
      <c r="G21" s="1229"/>
      <c r="H21" s="1246"/>
      <c r="I21" s="1212"/>
    </row>
    <row r="22" spans="2:13" s="1255" customFormat="1" ht="14.25" customHeight="1" x14ac:dyDescent="0.25">
      <c r="B22" s="1213"/>
      <c r="C22" s="1256" t="s">
        <v>361</v>
      </c>
      <c r="D22" s="1252" t="s">
        <v>14</v>
      </c>
      <c r="E22" s="1216">
        <f>E25+E38+E43</f>
        <v>31417000</v>
      </c>
      <c r="F22" s="1217">
        <f>'November 2024'!$AL$25</f>
        <v>22537659</v>
      </c>
      <c r="G22" s="1238">
        <f t="shared" ref="G22:G25" si="1">(F22/E22)</f>
        <v>0.71737145494477517</v>
      </c>
      <c r="H22" s="1246" t="s">
        <v>757</v>
      </c>
      <c r="I22" s="1212"/>
    </row>
    <row r="23" spans="2:13" s="1255" customFormat="1" ht="20.25" customHeight="1" x14ac:dyDescent="0.25">
      <c r="B23" s="1213"/>
      <c r="C23" s="1256" t="s">
        <v>762</v>
      </c>
      <c r="D23" s="1252" t="s">
        <v>14</v>
      </c>
      <c r="E23" s="1216">
        <f>E25+E38+E43</f>
        <v>31417000</v>
      </c>
      <c r="F23" s="1257">
        <f>'November 2024'!$AL$23</f>
        <v>21737836</v>
      </c>
      <c r="G23" s="1238">
        <f t="shared" si="1"/>
        <v>0.69191316803004743</v>
      </c>
      <c r="H23" s="1246" t="s">
        <v>757</v>
      </c>
      <c r="I23" s="1212"/>
    </row>
    <row r="24" spans="2:13" x14ac:dyDescent="0.25">
      <c r="B24" s="1213"/>
      <c r="C24" s="1258" t="s">
        <v>763</v>
      </c>
      <c r="D24" s="1259"/>
      <c r="E24" s="1260"/>
      <c r="F24" s="1253"/>
      <c r="G24" s="1254"/>
      <c r="H24" s="1261"/>
      <c r="I24" s="1212"/>
    </row>
    <row r="25" spans="2:13" x14ac:dyDescent="0.25">
      <c r="B25" s="1213"/>
      <c r="C25" s="1244" t="s">
        <v>75</v>
      </c>
      <c r="D25" s="1245" t="s">
        <v>14</v>
      </c>
      <c r="E25" s="1217">
        <v>7883000</v>
      </c>
      <c r="F25" s="1217">
        <f>F26+F27</f>
        <v>5970222</v>
      </c>
      <c r="G25" s="1238">
        <f t="shared" si="1"/>
        <v>0.75735405302549785</v>
      </c>
      <c r="H25" s="1262" t="s">
        <v>754</v>
      </c>
      <c r="I25" s="1212"/>
      <c r="J25" s="1241"/>
    </row>
    <row r="26" spans="2:13" x14ac:dyDescent="0.25">
      <c r="B26" s="1213"/>
      <c r="C26" s="1263" t="s">
        <v>63</v>
      </c>
      <c r="D26" s="1264" t="s">
        <v>14</v>
      </c>
      <c r="E26" s="1223">
        <v>6464000</v>
      </c>
      <c r="F26" s="1223">
        <f>'November 2024'!$AL$29</f>
        <v>4990754</v>
      </c>
      <c r="G26" s="1224">
        <f>(F26/E26)</f>
        <v>0.77208446782178219</v>
      </c>
      <c r="H26" s="1265" t="s">
        <v>754</v>
      </c>
      <c r="I26" s="1212"/>
      <c r="J26" s="1241"/>
      <c r="M26" s="1266"/>
    </row>
    <row r="27" spans="2:13" x14ac:dyDescent="0.25">
      <c r="B27" s="1213"/>
      <c r="C27" s="1247" t="s">
        <v>62</v>
      </c>
      <c r="D27" s="1248" t="s">
        <v>14</v>
      </c>
      <c r="E27" s="1249">
        <v>1419000</v>
      </c>
      <c r="F27" s="1257">
        <f>'November 2024'!$AL$30</f>
        <v>979468</v>
      </c>
      <c r="G27" s="1238">
        <f t="shared" ref="G27" si="2">(F27/E27)</f>
        <v>0.69025229034531355</v>
      </c>
      <c r="H27" s="1267" t="s">
        <v>754</v>
      </c>
      <c r="I27" s="1212"/>
      <c r="J27" s="1241"/>
      <c r="M27" s="1266"/>
    </row>
    <row r="28" spans="2:13" x14ac:dyDescent="0.25">
      <c r="B28" s="1213"/>
      <c r="C28" s="1258" t="s">
        <v>764</v>
      </c>
      <c r="D28" s="1268"/>
      <c r="E28" s="1260"/>
      <c r="F28" s="1253"/>
      <c r="G28" s="1254"/>
      <c r="H28" s="1246"/>
      <c r="I28" s="1212"/>
      <c r="M28" s="1266"/>
    </row>
    <row r="29" spans="2:13" x14ac:dyDescent="0.25">
      <c r="B29" s="1213"/>
      <c r="C29" s="1227" t="s">
        <v>75</v>
      </c>
      <c r="D29" s="1228" t="s">
        <v>14</v>
      </c>
      <c r="E29" s="1216">
        <v>0</v>
      </c>
      <c r="F29" s="1217"/>
      <c r="G29" s="1229"/>
      <c r="H29" s="1246"/>
      <c r="I29" s="1212"/>
      <c r="J29" s="1241"/>
    </row>
    <row r="30" spans="2:13" x14ac:dyDescent="0.25">
      <c r="B30" s="1213"/>
      <c r="C30" s="1221" t="s">
        <v>765</v>
      </c>
      <c r="D30" s="1222" t="s">
        <v>14</v>
      </c>
      <c r="E30" s="1223">
        <v>0</v>
      </c>
      <c r="F30" s="1223">
        <v>0</v>
      </c>
      <c r="G30" s="1223">
        <v>0</v>
      </c>
      <c r="H30" s="1232"/>
      <c r="I30" s="1212"/>
      <c r="J30" s="1241"/>
    </row>
    <row r="31" spans="2:13" x14ac:dyDescent="0.25">
      <c r="B31" s="1213"/>
      <c r="C31" s="1251" t="s">
        <v>62</v>
      </c>
      <c r="D31" s="1269" t="s">
        <v>14</v>
      </c>
      <c r="E31" s="1216">
        <v>0</v>
      </c>
      <c r="F31" s="1217"/>
      <c r="G31" s="1270"/>
      <c r="H31" s="1246"/>
      <c r="I31" s="1212"/>
      <c r="J31" s="1241"/>
    </row>
    <row r="32" spans="2:13" x14ac:dyDescent="0.25">
      <c r="B32" s="1271"/>
      <c r="C32" s="1258" t="s">
        <v>766</v>
      </c>
      <c r="D32" s="1259"/>
      <c r="E32" s="1260"/>
      <c r="F32" s="1253"/>
      <c r="G32" s="1254"/>
      <c r="H32" s="1272"/>
      <c r="I32" s="1212"/>
    </row>
    <row r="33" spans="2:13" hidden="1" x14ac:dyDescent="0.25">
      <c r="B33" s="1271"/>
      <c r="C33" s="1273" t="s">
        <v>196</v>
      </c>
      <c r="D33" s="1215" t="s">
        <v>14</v>
      </c>
      <c r="E33" s="1216">
        <v>1812101.9108280253</v>
      </c>
      <c r="F33" s="1217"/>
      <c r="G33" s="1274">
        <f t="shared" ref="G33:G68" si="3">(F33/E33)*100</f>
        <v>0</v>
      </c>
      <c r="H33" s="1246"/>
      <c r="I33" s="1212"/>
      <c r="M33" s="1219"/>
    </row>
    <row r="34" spans="2:13" x14ac:dyDescent="0.25">
      <c r="B34" s="1271"/>
      <c r="C34" s="1227" t="s">
        <v>75</v>
      </c>
      <c r="D34" s="1228" t="s">
        <v>14</v>
      </c>
      <c r="E34" s="1217">
        <v>1707000</v>
      </c>
      <c r="F34" s="1217">
        <f>F35+F36</f>
        <v>0</v>
      </c>
      <c r="G34" s="1229">
        <f t="shared" si="3"/>
        <v>0</v>
      </c>
      <c r="H34" s="1246" t="s">
        <v>757</v>
      </c>
      <c r="I34" s="1212"/>
      <c r="J34" s="1241"/>
    </row>
    <row r="35" spans="2:13" x14ac:dyDescent="0.25">
      <c r="B35" s="1271"/>
      <c r="C35" s="1221" t="s">
        <v>765</v>
      </c>
      <c r="D35" s="1222" t="s">
        <v>14</v>
      </c>
      <c r="E35" s="1223">
        <v>1280000</v>
      </c>
      <c r="F35" s="1223"/>
      <c r="G35" s="1274">
        <f t="shared" si="3"/>
        <v>0</v>
      </c>
      <c r="H35" s="1232" t="s">
        <v>757</v>
      </c>
      <c r="I35" s="1212"/>
      <c r="J35" s="1241"/>
    </row>
    <row r="36" spans="2:13" x14ac:dyDescent="0.25">
      <c r="B36" s="1271"/>
      <c r="C36" s="1251" t="s">
        <v>62</v>
      </c>
      <c r="D36" s="1215" t="s">
        <v>14</v>
      </c>
      <c r="E36" s="1216">
        <v>427000</v>
      </c>
      <c r="F36" s="1217"/>
      <c r="G36" s="1270">
        <f t="shared" si="3"/>
        <v>0</v>
      </c>
      <c r="H36" s="1246" t="s">
        <v>757</v>
      </c>
      <c r="I36" s="1212"/>
      <c r="J36" s="1241"/>
    </row>
    <row r="37" spans="2:13" x14ac:dyDescent="0.25">
      <c r="B37" s="1213"/>
      <c r="C37" s="1258" t="s">
        <v>767</v>
      </c>
      <c r="D37" s="1259"/>
      <c r="E37" s="1260"/>
      <c r="F37" s="1253"/>
      <c r="G37" s="1254"/>
      <c r="H37" s="1272"/>
      <c r="I37" s="1212"/>
    </row>
    <row r="38" spans="2:13" x14ac:dyDescent="0.25">
      <c r="B38" s="1213"/>
      <c r="C38" s="1244" t="s">
        <v>75</v>
      </c>
      <c r="D38" s="1245" t="s">
        <v>14</v>
      </c>
      <c r="E38" s="1217">
        <v>21429000</v>
      </c>
      <c r="F38" s="1217">
        <f>F39+F40</f>
        <v>16567437</v>
      </c>
      <c r="G38" s="1229">
        <f t="shared" si="3"/>
        <v>77.313159736805261</v>
      </c>
      <c r="H38" s="1246" t="s">
        <v>757</v>
      </c>
      <c r="I38" s="1212"/>
      <c r="J38" s="1241"/>
    </row>
    <row r="39" spans="2:13" x14ac:dyDescent="0.25">
      <c r="B39" s="1213"/>
      <c r="C39" s="1263" t="s">
        <v>338</v>
      </c>
      <c r="D39" s="1264" t="s">
        <v>14</v>
      </c>
      <c r="E39" s="1223">
        <v>15000000</v>
      </c>
      <c r="F39" s="1223">
        <f>'November 2024'!$AL$42</f>
        <v>12573252</v>
      </c>
      <c r="G39" s="1274">
        <f t="shared" si="3"/>
        <v>83.821680000000001</v>
      </c>
      <c r="H39" s="1232" t="s">
        <v>757</v>
      </c>
      <c r="I39" s="1212"/>
      <c r="J39" s="1241"/>
    </row>
    <row r="40" spans="2:13" x14ac:dyDescent="0.25">
      <c r="B40" s="1213"/>
      <c r="C40" s="1251" t="s">
        <v>62</v>
      </c>
      <c r="D40" s="1252" t="s">
        <v>14</v>
      </c>
      <c r="E40" s="1216">
        <v>6429000</v>
      </c>
      <c r="F40" s="1217">
        <f>'November 2024'!$AL$43</f>
        <v>3994185</v>
      </c>
      <c r="G40" s="1270">
        <f t="shared" si="3"/>
        <v>62.127624825011665</v>
      </c>
      <c r="H40" s="1246" t="s">
        <v>757</v>
      </c>
      <c r="I40" s="1212"/>
      <c r="J40" s="1241"/>
    </row>
    <row r="41" spans="2:13" x14ac:dyDescent="0.25">
      <c r="B41" s="1271"/>
      <c r="C41" s="1258" t="s">
        <v>768</v>
      </c>
      <c r="D41" s="1259"/>
      <c r="E41" s="1260"/>
      <c r="F41" s="1253"/>
      <c r="G41" s="1254"/>
      <c r="H41" s="1272"/>
      <c r="I41" s="1212"/>
    </row>
    <row r="42" spans="2:13" hidden="1" x14ac:dyDescent="0.25">
      <c r="B42" s="1271"/>
      <c r="C42" s="1273" t="s">
        <v>196</v>
      </c>
      <c r="D42" s="1275"/>
      <c r="E42" s="1216">
        <v>2234607.2186836516</v>
      </c>
      <c r="F42" s="1217">
        <v>0</v>
      </c>
      <c r="G42" s="1229">
        <f t="shared" si="3"/>
        <v>0</v>
      </c>
      <c r="H42" s="1246"/>
      <c r="I42" s="1212"/>
    </row>
    <row r="43" spans="2:13" x14ac:dyDescent="0.25">
      <c r="B43" s="1271"/>
      <c r="C43" s="1227" t="s">
        <v>75</v>
      </c>
      <c r="D43" s="1228" t="s">
        <v>14</v>
      </c>
      <c r="E43" s="1217">
        <v>2105000</v>
      </c>
      <c r="F43" s="1217">
        <v>0</v>
      </c>
      <c r="G43" s="1229">
        <f t="shared" si="3"/>
        <v>0</v>
      </c>
      <c r="H43" s="1246" t="s">
        <v>757</v>
      </c>
      <c r="I43" s="1212"/>
      <c r="J43" s="1241"/>
    </row>
    <row r="44" spans="2:13" x14ac:dyDescent="0.25">
      <c r="B44" s="1271"/>
      <c r="C44" s="1221" t="s">
        <v>769</v>
      </c>
      <c r="D44" s="1222" t="s">
        <v>14</v>
      </c>
      <c r="E44" s="1223">
        <v>1263000</v>
      </c>
      <c r="F44" s="1223">
        <f>'November 2024'!AL53</f>
        <v>0</v>
      </c>
      <c r="G44" s="1274">
        <f t="shared" si="3"/>
        <v>0</v>
      </c>
      <c r="H44" s="1232" t="s">
        <v>757</v>
      </c>
      <c r="I44" s="1212"/>
      <c r="J44" s="1241"/>
    </row>
    <row r="45" spans="2:13" x14ac:dyDescent="0.25">
      <c r="B45" s="1271"/>
      <c r="C45" s="1276" t="s">
        <v>60</v>
      </c>
      <c r="D45" s="1269" t="s">
        <v>14</v>
      </c>
      <c r="E45" s="1249">
        <v>842000</v>
      </c>
      <c r="F45" s="1217">
        <f>'November 2024'!AL54</f>
        <v>0</v>
      </c>
      <c r="G45" s="1270">
        <f t="shared" si="3"/>
        <v>0</v>
      </c>
      <c r="H45" s="1246" t="s">
        <v>757</v>
      </c>
      <c r="I45" s="1212"/>
      <c r="J45" s="1241"/>
    </row>
    <row r="46" spans="2:13" x14ac:dyDescent="0.25">
      <c r="B46" s="1277" t="s">
        <v>770</v>
      </c>
      <c r="C46" s="1278" t="s">
        <v>771</v>
      </c>
      <c r="D46" s="1209"/>
      <c r="E46" s="1210"/>
      <c r="F46" s="1210"/>
      <c r="G46" s="1279"/>
      <c r="H46" s="1280"/>
      <c r="I46" s="1212"/>
    </row>
    <row r="47" spans="2:13" x14ac:dyDescent="0.25">
      <c r="B47" s="1281"/>
      <c r="C47" s="1244" t="s">
        <v>65</v>
      </c>
      <c r="D47" s="1245" t="s">
        <v>25</v>
      </c>
      <c r="E47" s="1237">
        <v>94.77</v>
      </c>
      <c r="F47" s="275">
        <f>(F18/F11)*100</f>
        <v>97.94269920863232</v>
      </c>
      <c r="G47" s="1229">
        <f t="shared" si="3"/>
        <v>103.34778854978615</v>
      </c>
      <c r="H47" s="1246" t="s">
        <v>757</v>
      </c>
      <c r="I47" s="1240"/>
    </row>
    <row r="48" spans="2:13" x14ac:dyDescent="0.25">
      <c r="B48" s="1281"/>
      <c r="C48" s="1244" t="s">
        <v>64</v>
      </c>
      <c r="D48" s="1245" t="s">
        <v>25</v>
      </c>
      <c r="E48" s="1237">
        <v>4.5</v>
      </c>
      <c r="F48" s="275">
        <f>(F19/(F11))*100</f>
        <v>4.2716875280335351</v>
      </c>
      <c r="G48" s="1270">
        <f t="shared" si="3"/>
        <v>94.926389511856328</v>
      </c>
      <c r="H48" s="1246" t="s">
        <v>757</v>
      </c>
      <c r="I48" s="1240"/>
    </row>
    <row r="49" spans="2:9" x14ac:dyDescent="0.25">
      <c r="B49" s="1281"/>
      <c r="C49" s="1282" t="s">
        <v>63</v>
      </c>
      <c r="D49" s="1283" t="s">
        <v>25</v>
      </c>
      <c r="E49" s="1284">
        <v>82</v>
      </c>
      <c r="F49" s="1285">
        <f>F26/(F26+F27)*100</f>
        <v>83.594110905758612</v>
      </c>
      <c r="G49" s="1254">
        <f t="shared" si="3"/>
        <v>101.94403768994952</v>
      </c>
      <c r="H49" s="1286" t="s">
        <v>754</v>
      </c>
      <c r="I49" s="1240"/>
    </row>
    <row r="50" spans="2:9" x14ac:dyDescent="0.25">
      <c r="B50" s="1281"/>
      <c r="C50" s="1244" t="s">
        <v>62</v>
      </c>
      <c r="D50" s="1245" t="s">
        <v>25</v>
      </c>
      <c r="E50" s="1237">
        <v>18</v>
      </c>
      <c r="F50" s="1287">
        <f>(F27/F25)*100</f>
        <v>16.405889094241385</v>
      </c>
      <c r="G50" s="1270">
        <f t="shared" si="3"/>
        <v>91.143828301341017</v>
      </c>
      <c r="H50" s="1267" t="s">
        <v>754</v>
      </c>
      <c r="I50" s="1240"/>
    </row>
    <row r="51" spans="2:9" x14ac:dyDescent="0.25">
      <c r="B51" s="1281"/>
      <c r="C51" s="1288" t="s">
        <v>107</v>
      </c>
      <c r="D51" s="1283" t="s">
        <v>25</v>
      </c>
      <c r="E51" s="1284">
        <v>75</v>
      </c>
      <c r="F51" s="1289">
        <v>0</v>
      </c>
      <c r="G51" s="1254">
        <f t="shared" si="3"/>
        <v>0</v>
      </c>
      <c r="H51" s="1290"/>
      <c r="I51" s="1240"/>
    </row>
    <row r="52" spans="2:9" x14ac:dyDescent="0.25">
      <c r="B52" s="1281"/>
      <c r="C52" s="1244" t="s">
        <v>62</v>
      </c>
      <c r="D52" s="1245" t="s">
        <v>25</v>
      </c>
      <c r="E52" s="1237">
        <v>25</v>
      </c>
      <c r="F52" s="1291">
        <v>0</v>
      </c>
      <c r="G52" s="1270">
        <f t="shared" si="3"/>
        <v>0</v>
      </c>
      <c r="H52" s="1292"/>
      <c r="I52" s="1240"/>
    </row>
    <row r="53" spans="2:9" x14ac:dyDescent="0.25">
      <c r="B53" s="1281"/>
      <c r="C53" s="1288" t="s">
        <v>109</v>
      </c>
      <c r="D53" s="1283" t="s">
        <v>25</v>
      </c>
      <c r="E53" s="1284">
        <v>75</v>
      </c>
      <c r="F53" s="1285" t="e">
        <f>F35/(F35+F36)*100</f>
        <v>#DIV/0!</v>
      </c>
      <c r="G53" s="1254" t="e">
        <f t="shared" si="3"/>
        <v>#DIV/0!</v>
      </c>
      <c r="H53" s="1293" t="s">
        <v>754</v>
      </c>
      <c r="I53" s="1240"/>
    </row>
    <row r="54" spans="2:9" x14ac:dyDescent="0.25">
      <c r="B54" s="1281"/>
      <c r="C54" s="1244" t="s">
        <v>62</v>
      </c>
      <c r="D54" s="1245" t="s">
        <v>25</v>
      </c>
      <c r="E54" s="1237">
        <v>25</v>
      </c>
      <c r="F54" s="1287" t="e">
        <f>(F36/F34)*100</f>
        <v>#DIV/0!</v>
      </c>
      <c r="G54" s="1270" t="e">
        <f t="shared" si="3"/>
        <v>#DIV/0!</v>
      </c>
      <c r="H54" s="1293" t="s">
        <v>754</v>
      </c>
      <c r="I54" s="1240"/>
    </row>
    <row r="55" spans="2:9" x14ac:dyDescent="0.25">
      <c r="B55" s="1281"/>
      <c r="C55" s="1288" t="s">
        <v>338</v>
      </c>
      <c r="D55" s="1283" t="s">
        <v>25</v>
      </c>
      <c r="E55" s="1284">
        <v>70</v>
      </c>
      <c r="F55" s="1285">
        <f>F39/(F39+F40)*100</f>
        <v>75.891352416188454</v>
      </c>
      <c r="G55" s="1254">
        <f t="shared" si="3"/>
        <v>108.41621773741208</v>
      </c>
      <c r="H55" s="1286" t="s">
        <v>754</v>
      </c>
      <c r="I55" s="1240"/>
    </row>
    <row r="56" spans="2:9" x14ac:dyDescent="0.25">
      <c r="B56" s="1281"/>
      <c r="C56" s="1244" t="s">
        <v>62</v>
      </c>
      <c r="D56" s="1245" t="s">
        <v>25</v>
      </c>
      <c r="E56" s="1237">
        <v>30</v>
      </c>
      <c r="F56" s="1287">
        <f>(F40/F38)*100</f>
        <v>24.108647583811546</v>
      </c>
      <c r="G56" s="1270">
        <f t="shared" si="3"/>
        <v>80.362158612705159</v>
      </c>
      <c r="H56" s="1267" t="s">
        <v>754</v>
      </c>
      <c r="I56" s="1240"/>
    </row>
    <row r="57" spans="2:9" x14ac:dyDescent="0.25">
      <c r="B57" s="1281"/>
      <c r="C57" s="1282" t="s">
        <v>61</v>
      </c>
      <c r="D57" s="1283" t="s">
        <v>25</v>
      </c>
      <c r="E57" s="1284">
        <v>60</v>
      </c>
      <c r="F57" s="275">
        <v>0</v>
      </c>
      <c r="G57" s="1254">
        <f t="shared" si="3"/>
        <v>0</v>
      </c>
      <c r="H57" s="1294"/>
      <c r="I57" s="1240"/>
    </row>
    <row r="58" spans="2:9" x14ac:dyDescent="0.25">
      <c r="B58" s="1281"/>
      <c r="C58" s="1295" t="s">
        <v>60</v>
      </c>
      <c r="D58" s="1296" t="s">
        <v>25</v>
      </c>
      <c r="E58" s="1291">
        <v>40</v>
      </c>
      <c r="F58" s="275">
        <v>0</v>
      </c>
      <c r="G58" s="1270">
        <f t="shared" si="3"/>
        <v>0</v>
      </c>
      <c r="H58" s="1297"/>
      <c r="I58" s="1240"/>
    </row>
    <row r="59" spans="2:9" x14ac:dyDescent="0.25">
      <c r="B59" s="1207" t="s">
        <v>772</v>
      </c>
      <c r="C59" s="1208" t="s">
        <v>59</v>
      </c>
      <c r="D59" s="1209"/>
      <c r="E59" s="1210"/>
      <c r="F59" s="1210"/>
      <c r="G59" s="1279"/>
      <c r="H59" s="1280"/>
      <c r="I59" s="1212"/>
    </row>
    <row r="60" spans="2:9" x14ac:dyDescent="0.25">
      <c r="B60" s="1298"/>
      <c r="C60" s="1299" t="s">
        <v>773</v>
      </c>
      <c r="D60" s="1215" t="s">
        <v>14</v>
      </c>
      <c r="E60" s="1216">
        <v>232362</v>
      </c>
      <c r="F60" s="1217">
        <f>'November 2024'!$AL$72</f>
        <v>137569</v>
      </c>
      <c r="G60" s="1229">
        <f>(F60/E60)*100</f>
        <v>59.204603162307087</v>
      </c>
      <c r="H60" s="1246"/>
      <c r="I60" s="1212"/>
    </row>
    <row r="61" spans="2:9" x14ac:dyDescent="0.25">
      <c r="B61" s="1298"/>
      <c r="C61" s="1227"/>
      <c r="D61" s="1245" t="s">
        <v>332</v>
      </c>
      <c r="E61" s="1300">
        <v>8</v>
      </c>
      <c r="F61" s="1300">
        <f>(F60/F12)*1000</f>
        <v>6.751064170173005</v>
      </c>
      <c r="G61" s="1274">
        <f t="shared" si="3"/>
        <v>84.388302127162561</v>
      </c>
      <c r="H61" s="1225" t="s">
        <v>754</v>
      </c>
      <c r="I61" s="1240"/>
    </row>
    <row r="62" spans="2:9" x14ac:dyDescent="0.25">
      <c r="B62" s="1298"/>
      <c r="C62" s="1299" t="s">
        <v>774</v>
      </c>
      <c r="D62" s="1215" t="s">
        <v>14</v>
      </c>
      <c r="E62" s="1216">
        <v>106326</v>
      </c>
      <c r="F62" s="1217">
        <f>'November 2024'!AL12</f>
        <v>0</v>
      </c>
      <c r="G62" s="1229">
        <f t="shared" si="3"/>
        <v>0</v>
      </c>
      <c r="H62" s="1293"/>
      <c r="I62" s="1212"/>
    </row>
    <row r="63" spans="2:9" x14ac:dyDescent="0.25">
      <c r="B63" s="1298"/>
      <c r="C63" s="1227"/>
      <c r="D63" s="1245" t="s">
        <v>332</v>
      </c>
      <c r="E63" s="1300">
        <v>18</v>
      </c>
      <c r="F63" s="1300"/>
      <c r="G63" s="1274">
        <f t="shared" si="3"/>
        <v>0</v>
      </c>
      <c r="H63" s="1301"/>
      <c r="I63" s="1240"/>
    </row>
    <row r="64" spans="2:9" x14ac:dyDescent="0.25">
      <c r="B64" s="1298"/>
      <c r="C64" s="1244" t="s">
        <v>775</v>
      </c>
      <c r="D64" s="1245" t="s">
        <v>14</v>
      </c>
      <c r="E64" s="1217">
        <v>20971</v>
      </c>
      <c r="F64" s="1217">
        <f>'November 2024'!$AL$76</f>
        <v>10695.717999999997</v>
      </c>
      <c r="G64" s="1229">
        <f t="shared" si="3"/>
        <v>51.002422392828173</v>
      </c>
      <c r="H64" s="1293"/>
      <c r="I64" s="1212"/>
    </row>
    <row r="65" spans="1:9" x14ac:dyDescent="0.25">
      <c r="B65" s="1298"/>
      <c r="C65" s="1299"/>
      <c r="D65" s="1252" t="s">
        <v>332</v>
      </c>
      <c r="E65" s="1302">
        <v>0.6</v>
      </c>
      <c r="F65" s="1302">
        <f>(F64/F11)*1000</f>
        <v>0.52488190336539819</v>
      </c>
      <c r="G65" s="1303">
        <f t="shared" si="3"/>
        <v>87.480317227566374</v>
      </c>
      <c r="H65" s="1225" t="s">
        <v>754</v>
      </c>
      <c r="I65" s="1240"/>
    </row>
    <row r="66" spans="1:9" x14ac:dyDescent="0.25">
      <c r="B66" s="1207" t="s">
        <v>776</v>
      </c>
      <c r="C66" s="1278" t="s">
        <v>170</v>
      </c>
      <c r="D66" s="1209"/>
      <c r="E66" s="1210"/>
      <c r="F66" s="1210"/>
      <c r="G66" s="1279"/>
      <c r="H66" s="1280"/>
      <c r="I66" s="1212"/>
    </row>
    <row r="67" spans="1:9" x14ac:dyDescent="0.25">
      <c r="B67" s="1304"/>
      <c r="C67" s="1244" t="s">
        <v>777</v>
      </c>
      <c r="D67" s="1245" t="s">
        <v>25</v>
      </c>
      <c r="E67" s="1305">
        <v>-0.73</v>
      </c>
      <c r="F67" s="1302">
        <f>'November 2024'!$AL$78</f>
        <v>2.2143867366658521</v>
      </c>
      <c r="G67" s="1274">
        <f t="shared" si="3"/>
        <v>-303.3406488583359</v>
      </c>
      <c r="H67" s="1232" t="s">
        <v>757</v>
      </c>
      <c r="I67" s="1240"/>
    </row>
    <row r="68" spans="1:9" x14ac:dyDescent="0.25">
      <c r="B68" s="1304"/>
      <c r="C68" s="1244" t="s">
        <v>54</v>
      </c>
      <c r="D68" s="1245" t="s">
        <v>25</v>
      </c>
      <c r="E68" s="1237">
        <v>22</v>
      </c>
      <c r="F68" s="1237">
        <f>'November 2024'!$AL$80</f>
        <v>21.916818181818183</v>
      </c>
      <c r="G68" s="1229">
        <f t="shared" si="3"/>
        <v>99.621900826446279</v>
      </c>
      <c r="H68" s="1239"/>
      <c r="I68" s="1240"/>
    </row>
    <row r="69" spans="1:9" ht="15.75" thickBot="1" x14ac:dyDescent="0.3">
      <c r="B69" s="1306"/>
      <c r="C69" s="1307" t="s">
        <v>53</v>
      </c>
      <c r="D69" s="1308" t="s">
        <v>14</v>
      </c>
      <c r="E69" s="1309">
        <v>413199.35999999999</v>
      </c>
      <c r="F69" s="1309">
        <f>'November 2024'!$AL$81</f>
        <v>138939.48852747935</v>
      </c>
      <c r="G69" s="1310">
        <f>(F69/E69)*100</f>
        <v>33.625291318815052</v>
      </c>
      <c r="H69" s="1311"/>
      <c r="I69" s="1240"/>
    </row>
    <row r="70" spans="1:9" x14ac:dyDescent="0.25">
      <c r="B70" s="1196" t="s">
        <v>778</v>
      </c>
      <c r="C70" s="1312"/>
      <c r="D70" s="1313"/>
      <c r="E70" s="1240"/>
      <c r="F70" s="1240"/>
      <c r="G70" s="1240"/>
      <c r="H70" s="1314"/>
      <c r="I70" s="1240"/>
    </row>
    <row r="71" spans="1:9" x14ac:dyDescent="0.25">
      <c r="B71" s="1713" t="s">
        <v>885</v>
      </c>
      <c r="C71" s="1713"/>
      <c r="D71" s="1713"/>
      <c r="E71" s="1713"/>
      <c r="F71" s="1713"/>
      <c r="G71" s="1713"/>
      <c r="H71" s="1713"/>
      <c r="I71" s="1315"/>
    </row>
    <row r="72" spans="1:9" ht="15" customHeight="1" x14ac:dyDescent="0.25">
      <c r="B72" s="1714" t="s">
        <v>888</v>
      </c>
      <c r="C72" s="1714"/>
      <c r="D72" s="1714"/>
      <c r="E72" s="1714"/>
      <c r="F72" s="1714"/>
      <c r="G72" s="1714"/>
      <c r="H72" s="1714"/>
      <c r="I72" s="1315"/>
    </row>
    <row r="73" spans="1:9" x14ac:dyDescent="0.25">
      <c r="B73" s="1714" t="s">
        <v>889</v>
      </c>
      <c r="C73" s="1714"/>
      <c r="D73" s="1714"/>
      <c r="E73" s="1714"/>
      <c r="F73" s="1714"/>
      <c r="G73" s="1714"/>
      <c r="H73" s="1714"/>
      <c r="I73" s="1315"/>
    </row>
    <row r="74" spans="1:9" x14ac:dyDescent="0.25">
      <c r="B74" s="1713" t="s">
        <v>890</v>
      </c>
      <c r="C74" s="1713"/>
      <c r="D74" s="1713"/>
      <c r="E74" s="1713"/>
      <c r="F74" s="1713"/>
      <c r="G74" s="1713"/>
      <c r="H74" s="1713"/>
      <c r="I74" s="1315"/>
    </row>
    <row r="75" spans="1:9" x14ac:dyDescent="0.25">
      <c r="B75" s="1713" t="s">
        <v>886</v>
      </c>
      <c r="C75" s="1713"/>
      <c r="D75" s="1713"/>
      <c r="E75" s="1713"/>
      <c r="F75" s="1713"/>
      <c r="G75" s="1713"/>
      <c r="H75" s="1713"/>
      <c r="I75" s="1315"/>
    </row>
    <row r="76" spans="1:9" x14ac:dyDescent="0.25">
      <c r="B76" s="1315"/>
      <c r="C76" s="1315"/>
      <c r="D76" s="1315"/>
      <c r="E76" s="1315"/>
      <c r="F76" s="1315"/>
      <c r="G76" s="1315"/>
      <c r="H76" s="1316"/>
      <c r="I76" s="1315"/>
    </row>
    <row r="77" spans="1:9" s="1318" customFormat="1" x14ac:dyDescent="0.25">
      <c r="A77" s="1688" t="s">
        <v>779</v>
      </c>
      <c r="B77" s="1688"/>
      <c r="C77" s="1688"/>
      <c r="D77" s="1688" t="s">
        <v>780</v>
      </c>
      <c r="E77" s="1688"/>
      <c r="F77" s="1688"/>
      <c r="G77" s="1317"/>
      <c r="H77" s="1199" t="s">
        <v>781</v>
      </c>
      <c r="I77" s="1200"/>
    </row>
    <row r="78" spans="1:9" x14ac:dyDescent="0.25">
      <c r="B78" s="1319"/>
      <c r="C78" s="1319"/>
      <c r="D78" s="1319"/>
      <c r="E78" s="1319"/>
      <c r="G78" s="1319"/>
      <c r="H78" s="1319"/>
      <c r="I78" s="1320"/>
    </row>
    <row r="79" spans="1:9" x14ac:dyDescent="0.25">
      <c r="B79" s="1319"/>
      <c r="C79" s="1319"/>
      <c r="D79" s="1319"/>
      <c r="E79" s="1319"/>
      <c r="G79" s="1319"/>
      <c r="H79" s="1319"/>
      <c r="I79" s="1320"/>
    </row>
    <row r="80" spans="1:9" x14ac:dyDescent="0.25">
      <c r="B80" s="1319"/>
      <c r="C80" s="1319"/>
      <c r="D80" s="1319"/>
      <c r="E80" s="1319"/>
      <c r="G80" s="1319"/>
      <c r="H80" s="1319"/>
      <c r="I80" s="1320"/>
    </row>
    <row r="81" spans="1:9" x14ac:dyDescent="0.25">
      <c r="A81" s="1689" t="s">
        <v>882</v>
      </c>
      <c r="B81" s="1689"/>
      <c r="C81" s="1689"/>
      <c r="D81" s="1689" t="s">
        <v>782</v>
      </c>
      <c r="E81" s="1689"/>
      <c r="F81" s="1321" t="s">
        <v>783</v>
      </c>
      <c r="G81" s="1322"/>
      <c r="H81" s="1321" t="s">
        <v>784</v>
      </c>
      <c r="I81" s="1323"/>
    </row>
    <row r="82" spans="1:9" ht="20.45" customHeight="1" x14ac:dyDescent="0.25">
      <c r="A82" s="1690" t="s">
        <v>785</v>
      </c>
      <c r="B82" s="1690"/>
      <c r="C82" s="1690"/>
      <c r="D82" s="1690" t="s">
        <v>786</v>
      </c>
      <c r="E82" s="1690"/>
      <c r="F82" s="1319" t="s">
        <v>787</v>
      </c>
      <c r="G82" s="1324"/>
      <c r="H82" s="1319" t="s">
        <v>788</v>
      </c>
      <c r="I82" s="1320"/>
    </row>
  </sheetData>
  <mergeCells count="19">
    <mergeCell ref="A81:C81"/>
    <mergeCell ref="D81:E81"/>
    <mergeCell ref="A82:C82"/>
    <mergeCell ref="D82:E82"/>
    <mergeCell ref="B71:H71"/>
    <mergeCell ref="B74:H74"/>
    <mergeCell ref="B75:H75"/>
    <mergeCell ref="A77:C77"/>
    <mergeCell ref="D77:F77"/>
    <mergeCell ref="B72:H72"/>
    <mergeCell ref="B73:H73"/>
    <mergeCell ref="B2:H2"/>
    <mergeCell ref="B3:H3"/>
    <mergeCell ref="B4:C4"/>
    <mergeCell ref="B5:B6"/>
    <mergeCell ref="C5:C6"/>
    <mergeCell ref="D5:D6"/>
    <mergeCell ref="E5:G5"/>
    <mergeCell ref="H5:H6"/>
  </mergeCells>
  <printOptions horizontalCentered="1" verticalCentered="1"/>
  <pageMargins left="0" right="0" top="0" bottom="0" header="0" footer="0"/>
  <pageSetup paperSize="9" scale="6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topLeftCell="A31" zoomScale="115" zoomScaleNormal="115" zoomScaleSheetLayoutView="115" workbookViewId="0">
      <selection activeCell="H61" sqref="H61"/>
    </sheetView>
  </sheetViews>
  <sheetFormatPr defaultColWidth="9" defaultRowHeight="14.25" x14ac:dyDescent="0.2"/>
  <cols>
    <col min="1" max="2" width="9" style="1326"/>
    <col min="3" max="3" width="1.5703125" style="1326" customWidth="1"/>
    <col min="4" max="4" width="4.140625" style="1329" customWidth="1"/>
    <col min="5" max="5" width="42.85546875" style="1326" customWidth="1"/>
    <col min="6" max="6" width="9.85546875" style="1327" customWidth="1"/>
    <col min="7" max="7" width="9" style="1326" customWidth="1"/>
    <col min="8" max="8" width="15.42578125" style="1326" customWidth="1"/>
    <col min="9" max="9" width="15.5703125" style="1326" customWidth="1"/>
    <col min="10" max="10" width="16.42578125" style="1328" customWidth="1"/>
    <col min="11" max="11" width="13.5703125" style="1328" customWidth="1"/>
    <col min="12" max="12" width="14" style="1328" customWidth="1"/>
    <col min="13" max="13" width="9" style="1326"/>
    <col min="14" max="14" width="16.42578125" style="1326" bestFit="1" customWidth="1"/>
    <col min="15" max="16384" width="9" style="1326"/>
  </cols>
  <sheetData>
    <row r="1" spans="4:14" x14ac:dyDescent="0.2">
      <c r="D1" s="1325"/>
    </row>
    <row r="2" spans="4:14" ht="17.100000000000001" customHeight="1" x14ac:dyDescent="0.25">
      <c r="D2" s="1716" t="s">
        <v>789</v>
      </c>
      <c r="E2" s="1716"/>
      <c r="F2" s="1716"/>
      <c r="G2" s="1716"/>
      <c r="H2" s="1716"/>
      <c r="I2" s="1716"/>
      <c r="J2" s="1717"/>
      <c r="K2" s="1716"/>
      <c r="L2" s="1716"/>
    </row>
    <row r="3" spans="4:14" ht="17.100000000000001" customHeight="1" x14ac:dyDescent="0.25">
      <c r="D3" s="1716" t="s">
        <v>745</v>
      </c>
      <c r="E3" s="1716"/>
      <c r="F3" s="1716"/>
      <c r="G3" s="1716"/>
      <c r="H3" s="1716"/>
      <c r="I3" s="1716"/>
      <c r="J3" s="1717"/>
      <c r="K3" s="1716"/>
      <c r="L3" s="1716"/>
    </row>
    <row r="4" spans="4:14" ht="10.5" customHeight="1" x14ac:dyDescent="0.2"/>
    <row r="5" spans="4:14" ht="12.95" customHeight="1" thickBot="1" x14ac:dyDescent="0.25">
      <c r="D5" s="1703" t="s">
        <v>883</v>
      </c>
      <c r="E5" s="1703"/>
    </row>
    <row r="6" spans="4:14" ht="15" customHeight="1" x14ac:dyDescent="0.25">
      <c r="D6" s="1718" t="s">
        <v>100</v>
      </c>
      <c r="E6" s="1718" t="s">
        <v>746</v>
      </c>
      <c r="F6" s="1719" t="s">
        <v>790</v>
      </c>
      <c r="G6" s="1719" t="s">
        <v>103</v>
      </c>
      <c r="H6" s="1722" t="s">
        <v>881</v>
      </c>
      <c r="I6" s="1722"/>
      <c r="J6" s="1723"/>
      <c r="K6" s="1724" t="s">
        <v>791</v>
      </c>
      <c r="L6" s="1727" t="s">
        <v>748</v>
      </c>
    </row>
    <row r="7" spans="4:14" ht="15" customHeight="1" x14ac:dyDescent="0.2">
      <c r="D7" s="1718"/>
      <c r="E7" s="1718"/>
      <c r="F7" s="1720"/>
      <c r="G7" s="1720"/>
      <c r="H7" s="1730" t="s">
        <v>749</v>
      </c>
      <c r="I7" s="1732" t="s">
        <v>750</v>
      </c>
      <c r="J7" s="1734" t="s">
        <v>751</v>
      </c>
      <c r="K7" s="1725"/>
      <c r="L7" s="1728"/>
    </row>
    <row r="8" spans="4:14" ht="24" customHeight="1" x14ac:dyDescent="0.2">
      <c r="D8" s="1718"/>
      <c r="E8" s="1718"/>
      <c r="F8" s="1721"/>
      <c r="G8" s="1721"/>
      <c r="H8" s="1731"/>
      <c r="I8" s="1733"/>
      <c r="J8" s="1735"/>
      <c r="K8" s="1726"/>
      <c r="L8" s="1729"/>
    </row>
    <row r="9" spans="4:14" ht="20.25" customHeight="1" x14ac:dyDescent="0.2">
      <c r="D9" s="1330"/>
      <c r="E9" s="1330" t="s">
        <v>792</v>
      </c>
      <c r="F9" s="1330"/>
      <c r="G9" s="1330"/>
      <c r="H9" s="1332"/>
      <c r="I9" s="1333"/>
      <c r="J9" s="1334"/>
      <c r="K9" s="1335">
        <v>24046</v>
      </c>
      <c r="L9" s="1331"/>
    </row>
    <row r="10" spans="4:14" ht="15" x14ac:dyDescent="0.25">
      <c r="D10" s="1336" t="s">
        <v>752</v>
      </c>
      <c r="E10" s="1337" t="s">
        <v>24</v>
      </c>
      <c r="F10" s="1338"/>
      <c r="G10" s="1339"/>
      <c r="H10" s="1340"/>
      <c r="I10" s="1340"/>
      <c r="J10" s="1341"/>
      <c r="K10" s="1341"/>
      <c r="L10" s="1342"/>
    </row>
    <row r="11" spans="4:14" ht="15" x14ac:dyDescent="0.25">
      <c r="D11" s="1343"/>
      <c r="E11" s="1344" t="s">
        <v>793</v>
      </c>
      <c r="F11" s="1345"/>
      <c r="G11" s="1346" t="s">
        <v>19</v>
      </c>
      <c r="H11" s="1347"/>
      <c r="I11" s="1348">
        <f>'November 2024'!$AL$234</f>
        <v>30948.411</v>
      </c>
      <c r="J11" s="1349"/>
      <c r="K11" s="1350"/>
      <c r="L11" s="1351"/>
    </row>
    <row r="12" spans="4:14" s="1361" customFormat="1" ht="15" x14ac:dyDescent="0.25">
      <c r="D12" s="1352"/>
      <c r="E12" s="1353" t="s">
        <v>794</v>
      </c>
      <c r="F12" s="1354">
        <v>1460.001</v>
      </c>
      <c r="G12" s="1355" t="s">
        <v>19</v>
      </c>
      <c r="H12" s="1356">
        <v>26051.47</v>
      </c>
      <c r="I12" s="1357">
        <f>'November 2024'!$AL$232</f>
        <v>28780.462200000002</v>
      </c>
      <c r="J12" s="1358">
        <f>I12/H12</f>
        <v>1.1047538660966156</v>
      </c>
      <c r="K12" s="1359">
        <f>I12/K9</f>
        <v>1.1968918822257342</v>
      </c>
      <c r="L12" s="1360"/>
      <c r="N12" s="1362"/>
    </row>
    <row r="13" spans="4:14" x14ac:dyDescent="0.2">
      <c r="D13" s="1352"/>
      <c r="E13" s="1363" t="s">
        <v>17</v>
      </c>
      <c r="F13" s="1364"/>
      <c r="G13" s="1352"/>
      <c r="H13" s="1365"/>
      <c r="I13" s="1366"/>
      <c r="J13" s="1367"/>
      <c r="K13" s="1368"/>
      <c r="L13" s="1369"/>
    </row>
    <row r="14" spans="4:14" x14ac:dyDescent="0.2">
      <c r="D14" s="1352"/>
      <c r="E14" s="1353" t="s">
        <v>21</v>
      </c>
      <c r="F14" s="1354"/>
      <c r="G14" s="1355" t="s">
        <v>19</v>
      </c>
      <c r="H14" s="1365">
        <v>3907.73</v>
      </c>
      <c r="I14" s="1370">
        <f>'November 2024'!$AL$236</f>
        <v>4004.6777830398883</v>
      </c>
      <c r="J14" s="1367">
        <f t="shared" ref="J14:J42" si="0">I14/H14</f>
        <v>1.0248092327361122</v>
      </c>
      <c r="K14" s="1368">
        <f>I14/K9</f>
        <v>0.16654236808782702</v>
      </c>
      <c r="L14" s="1369"/>
      <c r="N14" s="1371"/>
    </row>
    <row r="15" spans="4:14" x14ac:dyDescent="0.2">
      <c r="D15" s="1352"/>
      <c r="E15" s="1353" t="s">
        <v>795</v>
      </c>
      <c r="F15" s="1354"/>
      <c r="G15" s="1355" t="s">
        <v>19</v>
      </c>
      <c r="H15" s="1365">
        <v>22143.74</v>
      </c>
      <c r="I15" s="1372">
        <f>I12-$I$14</f>
        <v>24775.784416960112</v>
      </c>
      <c r="J15" s="1367">
        <f t="shared" si="0"/>
        <v>1.1188617829219505</v>
      </c>
      <c r="K15" s="1368">
        <f>I15/K9</f>
        <v>1.0303495141379071</v>
      </c>
      <c r="L15" s="1373"/>
      <c r="N15" s="1374"/>
    </row>
    <row r="16" spans="4:14" s="1384" customFormat="1" ht="15" x14ac:dyDescent="0.25">
      <c r="D16" s="1375"/>
      <c r="E16" s="1376" t="s">
        <v>1</v>
      </c>
      <c r="F16" s="1377"/>
      <c r="G16" s="1378" t="s">
        <v>19</v>
      </c>
      <c r="H16" s="1379">
        <v>26051.47</v>
      </c>
      <c r="I16" s="1380">
        <f>$I$12</f>
        <v>28780.462200000002</v>
      </c>
      <c r="J16" s="1381">
        <f t="shared" si="0"/>
        <v>1.1047538660966156</v>
      </c>
      <c r="K16" s="1382">
        <f>SUM(K14+K15)</f>
        <v>1.1968918822257342</v>
      </c>
      <c r="L16" s="1383"/>
    </row>
    <row r="17" spans="4:14" s="1384" customFormat="1" ht="15" x14ac:dyDescent="0.25">
      <c r="D17" s="1385" t="s">
        <v>770</v>
      </c>
      <c r="E17" s="1386" t="s">
        <v>18</v>
      </c>
      <c r="F17" s="1387"/>
      <c r="G17" s="1385"/>
      <c r="H17" s="1388"/>
      <c r="I17" s="1388"/>
      <c r="J17" s="1389"/>
      <c r="K17" s="1390"/>
      <c r="L17" s="1391"/>
    </row>
    <row r="18" spans="4:14" s="1384" customFormat="1" ht="15" x14ac:dyDescent="0.25">
      <c r="D18" s="1392"/>
      <c r="E18" s="1393" t="s">
        <v>4</v>
      </c>
      <c r="F18" s="1394"/>
      <c r="G18" s="1395" t="s">
        <v>14</v>
      </c>
      <c r="H18" s="1396">
        <v>11424000</v>
      </c>
      <c r="I18" s="1396">
        <f>'November 2024'!$AL$241</f>
        <v>5582656</v>
      </c>
      <c r="J18" s="1367">
        <f t="shared" si="0"/>
        <v>0.4886778711484594</v>
      </c>
      <c r="K18" s="1397">
        <f>I18/$K$9</f>
        <v>232.16568244198621</v>
      </c>
      <c r="L18" s="1398"/>
      <c r="N18" s="1362"/>
    </row>
    <row r="19" spans="4:14" s="1384" customFormat="1" ht="15" x14ac:dyDescent="0.25">
      <c r="D19" s="1392"/>
      <c r="E19" s="1399" t="s">
        <v>17</v>
      </c>
      <c r="F19" s="1400"/>
      <c r="G19" s="1392"/>
      <c r="H19" s="1401"/>
      <c r="I19" s="1401"/>
      <c r="J19" s="1367"/>
      <c r="K19" s="1368">
        <f t="shared" ref="K19:K23" si="1">I19/$K$9</f>
        <v>0</v>
      </c>
      <c r="L19" s="1398"/>
    </row>
    <row r="20" spans="4:14" s="1384" customFormat="1" ht="15" x14ac:dyDescent="0.25">
      <c r="D20" s="1392"/>
      <c r="E20" s="1393" t="s">
        <v>16</v>
      </c>
      <c r="F20" s="1394" t="s">
        <v>796</v>
      </c>
      <c r="G20" s="1395" t="s">
        <v>14</v>
      </c>
      <c r="H20" s="1396">
        <v>3420000</v>
      </c>
      <c r="I20" s="1396">
        <f>'November 2024'!$AL$243</f>
        <v>3611900</v>
      </c>
      <c r="J20" s="1367">
        <f t="shared" si="0"/>
        <v>1.056111111111111</v>
      </c>
      <c r="K20" s="1368">
        <f t="shared" si="1"/>
        <v>150.20793479164934</v>
      </c>
      <c r="L20" s="1351"/>
    </row>
    <row r="21" spans="4:14" s="1384" customFormat="1" ht="15" x14ac:dyDescent="0.25">
      <c r="D21" s="1392"/>
      <c r="E21" s="1393" t="s">
        <v>15</v>
      </c>
      <c r="F21" s="1394" t="s">
        <v>797</v>
      </c>
      <c r="G21" s="1395" t="s">
        <v>14</v>
      </c>
      <c r="H21" s="1396">
        <v>2318000</v>
      </c>
      <c r="I21" s="1396">
        <f>'November 2024'!$AL$245</f>
        <v>1796900</v>
      </c>
      <c r="J21" s="1367">
        <f t="shared" si="0"/>
        <v>0.77519413287316652</v>
      </c>
      <c r="K21" s="1368">
        <f t="shared" si="1"/>
        <v>74.727605422939362</v>
      </c>
      <c r="L21" s="1351"/>
    </row>
    <row r="22" spans="4:14" s="1384" customFormat="1" ht="15" x14ac:dyDescent="0.25">
      <c r="D22" s="1392"/>
      <c r="E22" s="1393" t="s">
        <v>7</v>
      </c>
      <c r="F22" s="1402">
        <v>106000</v>
      </c>
      <c r="G22" s="1395" t="s">
        <v>14</v>
      </c>
      <c r="H22" s="1403">
        <v>5686000</v>
      </c>
      <c r="I22" s="1347">
        <f>'November 2024'!$AL$247</f>
        <v>173856</v>
      </c>
      <c r="J22" s="1367">
        <f>I22/H22</f>
        <v>3.0576151952163209E-2</v>
      </c>
      <c r="K22" s="1368">
        <f t="shared" si="1"/>
        <v>7.2301422273974882</v>
      </c>
      <c r="L22" s="1351"/>
    </row>
    <row r="23" spans="4:14" s="1384" customFormat="1" ht="15" x14ac:dyDescent="0.25">
      <c r="D23" s="1343"/>
      <c r="E23" s="1404" t="s">
        <v>1</v>
      </c>
      <c r="F23" s="1405"/>
      <c r="G23" s="1406" t="s">
        <v>14</v>
      </c>
      <c r="H23" s="1407">
        <v>11424000</v>
      </c>
      <c r="I23" s="1407">
        <f>SUM(I20:I22)</f>
        <v>5582656</v>
      </c>
      <c r="J23" s="1381">
        <f t="shared" si="0"/>
        <v>0.4886778711484594</v>
      </c>
      <c r="K23" s="1397">
        <f t="shared" si="1"/>
        <v>232.16568244198621</v>
      </c>
      <c r="L23" s="1398"/>
    </row>
    <row r="24" spans="4:14" ht="15" x14ac:dyDescent="0.25">
      <c r="D24" s="1336" t="s">
        <v>772</v>
      </c>
      <c r="E24" s="1337" t="s">
        <v>13</v>
      </c>
      <c r="F24" s="1338"/>
      <c r="G24" s="1339"/>
      <c r="H24" s="1340"/>
      <c r="I24" s="1340"/>
      <c r="J24" s="1389"/>
      <c r="K24" s="1408"/>
      <c r="L24" s="1409"/>
    </row>
    <row r="25" spans="4:14" ht="15" x14ac:dyDescent="0.25">
      <c r="D25" s="1352"/>
      <c r="E25" s="1344" t="s">
        <v>798</v>
      </c>
      <c r="F25" s="1345"/>
      <c r="G25" s="1346" t="s">
        <v>125</v>
      </c>
      <c r="H25" s="1410">
        <v>19123.689999999999</v>
      </c>
      <c r="I25" s="1411">
        <f>SUM(I26:$I$27)</f>
        <v>17740</v>
      </c>
      <c r="J25" s="1358">
        <f t="shared" si="0"/>
        <v>0.92764524001382587</v>
      </c>
      <c r="K25" s="1359">
        <f t="shared" ref="K25:K32" si="2">I25/$K$9</f>
        <v>0.73775264077185398</v>
      </c>
      <c r="L25" s="1412"/>
      <c r="N25" s="1362"/>
    </row>
    <row r="26" spans="4:14" ht="15" x14ac:dyDescent="0.25">
      <c r="D26" s="1352"/>
      <c r="E26" s="1344" t="s">
        <v>799</v>
      </c>
      <c r="F26" s="1345"/>
      <c r="G26" s="1346"/>
      <c r="H26" s="1413"/>
      <c r="I26" s="1414">
        <f>'November 2024'!$AL$257</f>
        <v>8222</v>
      </c>
      <c r="J26" s="1367"/>
      <c r="K26" s="1414">
        <f t="shared" si="2"/>
        <v>0.34192797138817266</v>
      </c>
      <c r="L26" s="1415"/>
      <c r="N26" s="1362"/>
    </row>
    <row r="27" spans="4:14" ht="15" x14ac:dyDescent="0.25">
      <c r="D27" s="1352"/>
      <c r="E27" s="1344" t="s">
        <v>800</v>
      </c>
      <c r="F27" s="1345"/>
      <c r="G27" s="1346"/>
      <c r="H27" s="1413"/>
      <c r="I27" s="1414">
        <f>SUM(I29:$I$31)</f>
        <v>9518</v>
      </c>
      <c r="J27" s="1367"/>
      <c r="K27" s="1414">
        <f t="shared" si="2"/>
        <v>0.39582466938368127</v>
      </c>
      <c r="L27" s="1415"/>
      <c r="N27" s="1362"/>
    </row>
    <row r="28" spans="4:14" x14ac:dyDescent="0.2">
      <c r="D28" s="1352"/>
      <c r="E28" s="1363" t="s">
        <v>801</v>
      </c>
      <c r="F28" s="1364"/>
      <c r="G28" s="1352"/>
      <c r="H28" s="1366"/>
      <c r="I28" s="1366"/>
      <c r="J28" s="1367"/>
      <c r="K28" s="1414">
        <f t="shared" si="2"/>
        <v>0</v>
      </c>
      <c r="L28" s="1416"/>
    </row>
    <row r="29" spans="4:14" x14ac:dyDescent="0.2">
      <c r="D29" s="1352"/>
      <c r="E29" s="1353" t="s">
        <v>10</v>
      </c>
      <c r="F29" s="1354" t="s">
        <v>802</v>
      </c>
      <c r="G29" s="1355" t="s">
        <v>125</v>
      </c>
      <c r="H29" s="1366">
        <v>1521.33</v>
      </c>
      <c r="I29" s="1366">
        <f>'November 2024'!$AL$253</f>
        <v>2042</v>
      </c>
      <c r="J29" s="1367">
        <f t="shared" si="0"/>
        <v>1.3422465868680695</v>
      </c>
      <c r="K29" s="1414">
        <f t="shared" si="2"/>
        <v>8.4920568909589947E-2</v>
      </c>
      <c r="L29" s="1416"/>
    </row>
    <row r="30" spans="4:14" x14ac:dyDescent="0.2">
      <c r="D30" s="1352"/>
      <c r="E30" s="1353" t="s">
        <v>9</v>
      </c>
      <c r="F30" s="1354" t="s">
        <v>803</v>
      </c>
      <c r="G30" s="1355" t="s">
        <v>125</v>
      </c>
      <c r="H30" s="1366">
        <v>2622</v>
      </c>
      <c r="I30" s="1366">
        <f>'November 2024'!$AL$255</f>
        <v>2158</v>
      </c>
      <c r="J30" s="1367">
        <f t="shared" si="0"/>
        <v>0.82303585049580474</v>
      </c>
      <c r="K30" s="1414">
        <f t="shared" si="2"/>
        <v>8.9744656075854606E-2</v>
      </c>
      <c r="L30" s="1416"/>
    </row>
    <row r="31" spans="4:14" x14ac:dyDescent="0.2">
      <c r="D31" s="1352"/>
      <c r="E31" s="1353" t="s">
        <v>7</v>
      </c>
      <c r="F31" s="1354"/>
      <c r="G31" s="1355" t="s">
        <v>125</v>
      </c>
      <c r="H31" s="1417">
        <v>2730.2999999999997</v>
      </c>
      <c r="I31" s="1366">
        <f>'November 2024'!$AL$258</f>
        <v>5318</v>
      </c>
      <c r="J31" s="1367">
        <f t="shared" si="0"/>
        <v>1.947771307182361</v>
      </c>
      <c r="K31" s="1414">
        <f t="shared" si="2"/>
        <v>0.2211594443982367</v>
      </c>
      <c r="L31" s="1416"/>
    </row>
    <row r="32" spans="4:14" s="1384" customFormat="1" ht="15" x14ac:dyDescent="0.25">
      <c r="D32" s="1343"/>
      <c r="E32" s="1404" t="s">
        <v>1</v>
      </c>
      <c r="F32" s="1405"/>
      <c r="G32" s="1418" t="s">
        <v>125</v>
      </c>
      <c r="H32" s="1419">
        <v>6873.6299999999992</v>
      </c>
      <c r="I32" s="1419">
        <f>SUM(I26:I27)</f>
        <v>17740</v>
      </c>
      <c r="J32" s="1381">
        <f t="shared" si="0"/>
        <v>2.580877934948492</v>
      </c>
      <c r="K32" s="1420">
        <f t="shared" si="2"/>
        <v>0.73775264077185398</v>
      </c>
      <c r="L32" s="1415"/>
    </row>
    <row r="33" spans="4:15" ht="15" x14ac:dyDescent="0.25">
      <c r="D33" s="1336">
        <v>4</v>
      </c>
      <c r="E33" s="1337" t="s">
        <v>5</v>
      </c>
      <c r="F33" s="1338"/>
      <c r="G33" s="1339"/>
      <c r="H33" s="1340"/>
      <c r="I33" s="1340"/>
      <c r="J33" s="1389"/>
      <c r="K33" s="1341"/>
      <c r="L33" s="1342"/>
    </row>
    <row r="34" spans="4:15" ht="15" x14ac:dyDescent="0.25">
      <c r="D34" s="1343"/>
      <c r="E34" s="1404" t="s">
        <v>4</v>
      </c>
      <c r="F34" s="1405"/>
      <c r="G34" s="1421"/>
      <c r="H34" s="1347"/>
      <c r="I34" s="1347"/>
      <c r="J34" s="1367"/>
      <c r="K34" s="1350"/>
      <c r="L34" s="1351"/>
    </row>
    <row r="35" spans="4:15" ht="15" x14ac:dyDescent="0.25">
      <c r="D35" s="1422"/>
      <c r="E35" s="1353" t="s">
        <v>804</v>
      </c>
      <c r="F35" s="1354"/>
      <c r="G35" s="1355" t="s">
        <v>2</v>
      </c>
      <c r="H35" s="1410">
        <v>568099</v>
      </c>
      <c r="I35" s="1411">
        <f>'November 2024'!$AL$263</f>
        <v>556600</v>
      </c>
      <c r="J35" s="1358">
        <f t="shared" si="0"/>
        <v>0.97975880964409368</v>
      </c>
      <c r="K35" s="1359">
        <f>I35/$K$9</f>
        <v>23.14730100640439</v>
      </c>
      <c r="L35" s="1423"/>
      <c r="N35" s="1424"/>
    </row>
    <row r="36" spans="4:15" x14ac:dyDescent="0.2">
      <c r="D36" s="1352"/>
      <c r="E36" s="1425" t="s">
        <v>11</v>
      </c>
      <c r="F36" s="1426"/>
      <c r="G36" s="1352"/>
      <c r="H36" s="1366"/>
      <c r="I36" s="1366"/>
      <c r="J36" s="1367"/>
      <c r="K36" s="1414">
        <f t="shared" ref="K36" si="3">I36/$K$9</f>
        <v>0</v>
      </c>
      <c r="L36" s="1427"/>
    </row>
    <row r="37" spans="4:15" ht="15" x14ac:dyDescent="0.25">
      <c r="D37" s="1428"/>
      <c r="E37" s="1429" t="s">
        <v>805</v>
      </c>
      <c r="F37" s="1345">
        <v>5404.17</v>
      </c>
      <c r="G37" s="1355" t="s">
        <v>2</v>
      </c>
      <c r="H37" s="1366">
        <v>102679</v>
      </c>
      <c r="I37" s="1366">
        <f>'November 2024'!$AL$268</f>
        <v>73300</v>
      </c>
      <c r="J37" s="1367">
        <f t="shared" si="0"/>
        <v>0.71387528121621757</v>
      </c>
      <c r="K37" s="1414">
        <f>I37/$K$9*1000</f>
        <v>3048.3240455793061</v>
      </c>
      <c r="L37" s="1430"/>
      <c r="N37" s="1431"/>
      <c r="O37" s="1432"/>
    </row>
    <row r="38" spans="4:15" ht="15" x14ac:dyDescent="0.25">
      <c r="D38" s="1428"/>
      <c r="E38" s="1429" t="s">
        <v>806</v>
      </c>
      <c r="F38" s="1345">
        <v>3850.42</v>
      </c>
      <c r="G38" s="1355" t="s">
        <v>2</v>
      </c>
      <c r="H38" s="1366">
        <v>73158</v>
      </c>
      <c r="I38" s="1366">
        <f>'November 2024'!$AL$266</f>
        <v>63690</v>
      </c>
      <c r="J38" s="1367">
        <f t="shared" si="0"/>
        <v>0.87058148117772494</v>
      </c>
      <c r="K38" s="1414">
        <f t="shared" ref="K38:K42" si="4">I38/$K$9*1000</f>
        <v>2648.6733760292773</v>
      </c>
      <c r="L38" s="1430"/>
      <c r="N38" s="1431"/>
      <c r="O38" s="1432"/>
    </row>
    <row r="39" spans="4:15" ht="15" x14ac:dyDescent="0.25">
      <c r="D39" s="1428"/>
      <c r="E39" s="1429" t="s">
        <v>807</v>
      </c>
      <c r="F39" s="1345">
        <v>11.81</v>
      </c>
      <c r="G39" s="1355" t="s">
        <v>2</v>
      </c>
      <c r="H39" s="1366">
        <v>212</v>
      </c>
      <c r="I39" s="1366">
        <f>'November 2024'!$AL$276</f>
        <v>18.599999999999994</v>
      </c>
      <c r="J39" s="1367">
        <f t="shared" si="0"/>
        <v>8.773584905660374E-2</v>
      </c>
      <c r="K39" s="1414">
        <f t="shared" si="4"/>
        <v>0.77351742493553999</v>
      </c>
      <c r="L39" s="1430"/>
      <c r="N39" s="1431"/>
      <c r="O39" s="1432"/>
    </row>
    <row r="40" spans="4:15" ht="15" x14ac:dyDescent="0.25">
      <c r="D40" s="1428"/>
      <c r="E40" s="1429" t="s">
        <v>808</v>
      </c>
      <c r="F40" s="1345">
        <v>5759.67</v>
      </c>
      <c r="G40" s="1355" t="s">
        <v>2</v>
      </c>
      <c r="H40" s="1366">
        <v>109440</v>
      </c>
      <c r="I40" s="1366">
        <f>'November 2024'!$AL$273</f>
        <v>96300</v>
      </c>
      <c r="J40" s="1367">
        <f t="shared" si="0"/>
        <v>0.87993421052631582</v>
      </c>
      <c r="K40" s="1414">
        <f t="shared" si="4"/>
        <v>4004.8240871662647</v>
      </c>
      <c r="L40" s="1430"/>
      <c r="N40" s="1431"/>
      <c r="O40" s="1432"/>
    </row>
    <row r="41" spans="4:15" ht="15" x14ac:dyDescent="0.25">
      <c r="D41" s="1428"/>
      <c r="E41" s="1429" t="s">
        <v>809</v>
      </c>
      <c r="F41" s="1345">
        <v>1308.96</v>
      </c>
      <c r="G41" s="1355" t="s">
        <v>2</v>
      </c>
      <c r="H41" s="1366">
        <v>28747</v>
      </c>
      <c r="I41" s="1366">
        <f>'November 2024'!$AL$271</f>
        <v>23460</v>
      </c>
      <c r="J41" s="1367">
        <f t="shared" si="0"/>
        <v>0.81608515671200477</v>
      </c>
      <c r="K41" s="1414">
        <f t="shared" si="4"/>
        <v>975.6300424186976</v>
      </c>
      <c r="L41" s="1430"/>
      <c r="N41" s="1431"/>
      <c r="O41" s="1432"/>
    </row>
    <row r="42" spans="4:15" ht="15" x14ac:dyDescent="0.25">
      <c r="D42" s="1433"/>
      <c r="E42" s="1434" t="s">
        <v>810</v>
      </c>
      <c r="F42" s="1435">
        <v>241.12</v>
      </c>
      <c r="G42" s="1436" t="s">
        <v>2</v>
      </c>
      <c r="H42" s="1437">
        <v>4581</v>
      </c>
      <c r="I42" s="1437">
        <f>'November 2024'!$AL$277</f>
        <v>5868.7000000000007</v>
      </c>
      <c r="J42" s="1381">
        <f t="shared" si="0"/>
        <v>1.2810958306046716</v>
      </c>
      <c r="K42" s="1438">
        <f t="shared" si="4"/>
        <v>244.06138235049491</v>
      </c>
      <c r="L42" s="1439"/>
      <c r="N42" s="1431"/>
      <c r="O42" s="1432"/>
    </row>
    <row r="43" spans="4:15" ht="15" x14ac:dyDescent="0.25">
      <c r="D43" s="1440"/>
      <c r="E43" s="1441"/>
      <c r="F43" s="1442"/>
      <c r="G43" s="1443"/>
      <c r="H43" s="1444"/>
      <c r="I43" s="1444"/>
      <c r="J43" s="1445"/>
      <c r="K43" s="1446"/>
      <c r="L43" s="1447"/>
      <c r="N43" s="1431"/>
      <c r="O43" s="1432"/>
    </row>
    <row r="44" spans="4:15" s="1328" customFormat="1" x14ac:dyDescent="0.2">
      <c r="D44" s="1448" t="s">
        <v>811</v>
      </c>
      <c r="F44" s="1319"/>
    </row>
    <row r="45" spans="4:15" s="1328" customFormat="1" x14ac:dyDescent="0.2">
      <c r="D45" s="1328" t="s">
        <v>812</v>
      </c>
      <c r="F45" s="1319"/>
      <c r="H45" s="1449"/>
      <c r="J45" s="1449"/>
      <c r="K45" s="1449"/>
      <c r="L45" s="1449"/>
    </row>
    <row r="46" spans="4:15" s="1328" customFormat="1" hidden="1" x14ac:dyDescent="0.2">
      <c r="D46" s="1450"/>
      <c r="F46" s="1319"/>
      <c r="H46" s="1446"/>
      <c r="J46" s="1446"/>
      <c r="K46" s="1446"/>
      <c r="L46" s="1446"/>
    </row>
    <row r="47" spans="4:15" s="1328" customFormat="1" x14ac:dyDescent="0.2">
      <c r="D47" s="1736" t="s">
        <v>887</v>
      </c>
      <c r="E47" s="1736"/>
      <c r="F47" s="1736"/>
      <c r="G47" s="1736"/>
      <c r="H47" s="1736"/>
      <c r="I47" s="1736"/>
      <c r="J47" s="1736"/>
      <c r="K47" s="1736"/>
      <c r="L47" s="1736"/>
    </row>
    <row r="48" spans="4:15" ht="15" x14ac:dyDescent="0.2">
      <c r="D48" s="1715"/>
      <c r="E48" s="1715"/>
      <c r="F48" s="1451"/>
      <c r="G48" s="1452"/>
      <c r="J48" s="1446"/>
      <c r="K48" s="1446"/>
      <c r="L48" s="1446"/>
    </row>
    <row r="49" spans="4:12" ht="15" x14ac:dyDescent="0.2">
      <c r="D49" s="1715"/>
      <c r="E49" s="1715"/>
      <c r="F49" s="1451"/>
      <c r="G49" s="1452"/>
      <c r="H49" s="1453"/>
      <c r="J49" s="1446"/>
      <c r="K49" s="1446"/>
      <c r="L49" s="1446"/>
    </row>
    <row r="50" spans="4:12" ht="15" x14ac:dyDescent="0.2">
      <c r="D50" s="1326"/>
      <c r="E50" s="1317" t="s">
        <v>779</v>
      </c>
      <c r="F50" s="1688" t="s">
        <v>780</v>
      </c>
      <c r="G50" s="1688"/>
      <c r="H50" s="1688"/>
      <c r="I50" s="1688"/>
      <c r="K50" s="1688" t="s">
        <v>781</v>
      </c>
      <c r="L50" s="1688"/>
    </row>
    <row r="51" spans="4:12" ht="15" x14ac:dyDescent="0.25">
      <c r="D51" s="1326"/>
      <c r="E51" s="1196"/>
      <c r="F51" s="1319"/>
      <c r="G51" s="1319"/>
      <c r="H51" s="1196"/>
      <c r="I51" s="1319"/>
      <c r="L51" s="1319"/>
    </row>
    <row r="52" spans="4:12" ht="15" x14ac:dyDescent="0.25">
      <c r="D52" s="1326"/>
      <c r="E52" s="1196"/>
      <c r="F52" s="1196"/>
      <c r="G52" s="1196"/>
      <c r="H52" s="1196"/>
      <c r="I52" s="1196"/>
      <c r="L52" s="1196"/>
    </row>
    <row r="53" spans="4:12" ht="15" x14ac:dyDescent="0.25">
      <c r="D53" s="1326"/>
      <c r="E53" s="1196"/>
      <c r="F53" s="1196"/>
      <c r="G53" s="1196"/>
      <c r="H53" s="1196"/>
      <c r="I53" s="1196"/>
      <c r="L53" s="1196"/>
    </row>
    <row r="54" spans="4:12" ht="15" x14ac:dyDescent="0.2">
      <c r="D54" s="1326"/>
      <c r="E54" s="1322" t="s">
        <v>884</v>
      </c>
      <c r="F54" s="1689" t="s">
        <v>782</v>
      </c>
      <c r="G54" s="1689"/>
      <c r="I54" s="1321" t="s">
        <v>783</v>
      </c>
      <c r="K54" s="1689" t="s">
        <v>784</v>
      </c>
      <c r="L54" s="1689"/>
    </row>
    <row r="55" spans="4:12" ht="19.5" customHeight="1" x14ac:dyDescent="0.2">
      <c r="E55" s="1324" t="s">
        <v>785</v>
      </c>
      <c r="F55" s="1690" t="s">
        <v>786</v>
      </c>
      <c r="G55" s="1690"/>
      <c r="I55" s="1319" t="s">
        <v>787</v>
      </c>
      <c r="K55" s="1690" t="s">
        <v>788</v>
      </c>
      <c r="L55" s="1690"/>
    </row>
  </sheetData>
  <mergeCells count="22">
    <mergeCell ref="F50:I50"/>
    <mergeCell ref="K50:L50"/>
    <mergeCell ref="F54:G54"/>
    <mergeCell ref="K54:L54"/>
    <mergeCell ref="F55:G55"/>
    <mergeCell ref="K55:L55"/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7"/>
  <sheetViews>
    <sheetView showGridLines="0" topLeftCell="A31" zoomScale="115" zoomScaleNormal="115" workbookViewId="0">
      <selection activeCell="H61" sqref="H61"/>
    </sheetView>
  </sheetViews>
  <sheetFormatPr defaultColWidth="9.140625" defaultRowHeight="15" x14ac:dyDescent="0.25"/>
  <cols>
    <col min="1" max="3" width="9.140625" style="1454"/>
    <col min="4" max="4" width="33.85546875" style="1454" customWidth="1"/>
    <col min="5" max="5" width="12.140625" style="1454" customWidth="1"/>
    <col min="6" max="8" width="14.42578125" style="1454" customWidth="1"/>
    <col min="9" max="9" width="55.85546875" style="1454" customWidth="1"/>
    <col min="10" max="10" width="9.140625" style="1454"/>
    <col min="11" max="11" width="10.42578125" style="1454" bestFit="1" customWidth="1"/>
    <col min="12" max="16384" width="9.140625" style="1454"/>
  </cols>
  <sheetData>
    <row r="2" spans="4:11" ht="18" x14ac:dyDescent="0.25">
      <c r="D2" s="1738" t="s">
        <v>813</v>
      </c>
      <c r="E2" s="1738"/>
      <c r="F2" s="1738"/>
      <c r="G2" s="1738"/>
      <c r="H2" s="1738"/>
      <c r="I2" s="1738"/>
    </row>
    <row r="3" spans="4:11" ht="18" x14ac:dyDescent="0.25">
      <c r="D3" s="1739" t="s">
        <v>814</v>
      </c>
      <c r="E3" s="1739"/>
      <c r="F3" s="1739"/>
      <c r="G3" s="1739"/>
      <c r="H3" s="1739"/>
      <c r="I3" s="1739"/>
    </row>
    <row r="4" spans="4:11" ht="15.75" thickBot="1" x14ac:dyDescent="0.3">
      <c r="D4" s="1703" t="s">
        <v>883</v>
      </c>
      <c r="E4" s="1703"/>
      <c r="F4" s="1455"/>
      <c r="G4" s="1456"/>
      <c r="H4" s="1457"/>
      <c r="I4" s="1457"/>
    </row>
    <row r="5" spans="4:11" ht="26.25" thickBot="1" x14ac:dyDescent="0.3">
      <c r="D5" s="1458" t="s">
        <v>815</v>
      </c>
      <c r="E5" s="1459" t="s">
        <v>103</v>
      </c>
      <c r="F5" s="1460" t="s">
        <v>816</v>
      </c>
      <c r="G5" s="1460" t="s">
        <v>750</v>
      </c>
      <c r="H5" s="1461" t="s">
        <v>817</v>
      </c>
      <c r="I5" s="1462" t="s">
        <v>818</v>
      </c>
    </row>
    <row r="6" spans="4:11" ht="17.25" customHeight="1" x14ac:dyDescent="0.25">
      <c r="D6" s="1463" t="s">
        <v>71</v>
      </c>
      <c r="E6" s="1464" t="s">
        <v>14</v>
      </c>
      <c r="F6" s="1465">
        <v>34952000</v>
      </c>
      <c r="G6" s="1466">
        <f>'November 2024'!$AL$9</f>
        <v>20377380</v>
      </c>
      <c r="H6" s="1467">
        <f>G6/F6</f>
        <v>0.58301041428244449</v>
      </c>
      <c r="I6" s="1468"/>
      <c r="J6" s="1469"/>
      <c r="K6" s="1470"/>
    </row>
    <row r="7" spans="4:11" ht="17.25" customHeight="1" x14ac:dyDescent="0.25">
      <c r="D7" s="1471" t="s">
        <v>819</v>
      </c>
      <c r="E7" s="1472" t="s">
        <v>14</v>
      </c>
      <c r="F7" s="1473">
        <v>33124010.399999999</v>
      </c>
      <c r="G7" s="1474">
        <f>'November 2024'!$AL$23</f>
        <v>21737836</v>
      </c>
      <c r="H7" s="1475">
        <f>G7/F7</f>
        <v>0.65625616395773145</v>
      </c>
      <c r="I7" s="1476"/>
      <c r="J7" s="1469"/>
      <c r="K7" s="1470"/>
    </row>
    <row r="8" spans="4:11" x14ac:dyDescent="0.25">
      <c r="D8" s="1740" t="s">
        <v>820</v>
      </c>
      <c r="E8" s="1741"/>
      <c r="F8" s="1741"/>
      <c r="G8" s="1741"/>
      <c r="H8" s="1741"/>
      <c r="I8" s="1742"/>
    </row>
    <row r="9" spans="4:11" x14ac:dyDescent="0.25">
      <c r="D9" s="1477" t="s">
        <v>16</v>
      </c>
      <c r="E9" s="1478"/>
      <c r="F9" s="1479"/>
      <c r="G9" s="1480"/>
      <c r="H9" s="1481"/>
      <c r="I9" s="1482"/>
    </row>
    <row r="10" spans="4:11" x14ac:dyDescent="0.25">
      <c r="D10" s="1483" t="s">
        <v>773</v>
      </c>
      <c r="E10" s="1484" t="s">
        <v>14</v>
      </c>
      <c r="F10" s="1485">
        <v>232362</v>
      </c>
      <c r="G10" s="1486">
        <f>'November 2024'!$AL$72</f>
        <v>137569</v>
      </c>
      <c r="H10" s="1487">
        <f>F10-G10</f>
        <v>94793</v>
      </c>
      <c r="I10" s="1488"/>
    </row>
    <row r="11" spans="4:11" x14ac:dyDescent="0.25">
      <c r="D11" s="1483" t="s">
        <v>774</v>
      </c>
      <c r="E11" s="1484" t="s">
        <v>14</v>
      </c>
      <c r="F11" s="1485">
        <v>106326</v>
      </c>
      <c r="G11" s="1486">
        <f>'November 2024'!$AL$74</f>
        <v>0</v>
      </c>
      <c r="H11" s="1487">
        <f t="shared" ref="H11:H23" si="0">F11-G11</f>
        <v>106326</v>
      </c>
      <c r="I11" s="1489"/>
    </row>
    <row r="12" spans="4:11" x14ac:dyDescent="0.25">
      <c r="D12" s="1483" t="s">
        <v>775</v>
      </c>
      <c r="E12" s="1484" t="s">
        <v>14</v>
      </c>
      <c r="F12" s="1485">
        <v>20971</v>
      </c>
      <c r="G12" s="1486">
        <f>'November 2024'!$AL$76</f>
        <v>10695.717999999997</v>
      </c>
      <c r="H12" s="1487">
        <f t="shared" si="0"/>
        <v>10275.282000000003</v>
      </c>
      <c r="I12" s="1489"/>
    </row>
    <row r="13" spans="4:11" x14ac:dyDescent="0.25">
      <c r="D13" s="1483" t="s">
        <v>841</v>
      </c>
      <c r="E13" s="1484" t="s">
        <v>19</v>
      </c>
      <c r="F13" s="1485">
        <v>22143.74</v>
      </c>
      <c r="G13" s="1486">
        <f>'November 2024'!$AL$238+'November 2024'!$AL$237</f>
        <v>24775.980942606831</v>
      </c>
      <c r="H13" s="1487">
        <f t="shared" si="0"/>
        <v>-2632.2409426068298</v>
      </c>
      <c r="I13" s="1488"/>
    </row>
    <row r="14" spans="4:11" x14ac:dyDescent="0.25">
      <c r="D14" s="1483" t="s">
        <v>821</v>
      </c>
      <c r="E14" s="1484" t="s">
        <v>19</v>
      </c>
      <c r="F14" s="1485">
        <v>3907.73</v>
      </c>
      <c r="G14" s="1486">
        <f>'November 2024'!$AL$236</f>
        <v>4004.6777830398883</v>
      </c>
      <c r="H14" s="1487">
        <f t="shared" si="0"/>
        <v>-96.947783039888236</v>
      </c>
      <c r="I14" s="1489"/>
    </row>
    <row r="15" spans="4:11" x14ac:dyDescent="0.25">
      <c r="D15" s="1490" t="s">
        <v>822</v>
      </c>
      <c r="E15" s="1491" t="s">
        <v>125</v>
      </c>
      <c r="F15" s="1485">
        <v>1521.33</v>
      </c>
      <c r="G15" s="1486">
        <f>'November 2024'!$AL$253</f>
        <v>2042</v>
      </c>
      <c r="H15" s="1487">
        <f t="shared" si="0"/>
        <v>-520.67000000000007</v>
      </c>
      <c r="I15" s="1489"/>
    </row>
    <row r="16" spans="4:11" x14ac:dyDescent="0.25">
      <c r="D16" s="1483" t="s">
        <v>134</v>
      </c>
      <c r="E16" s="1484" t="s">
        <v>14</v>
      </c>
      <c r="F16" s="1485">
        <v>11424000</v>
      </c>
      <c r="G16" s="1486">
        <f>'November 2024'!$AL$243</f>
        <v>3611900</v>
      </c>
      <c r="H16" s="1487">
        <f t="shared" si="0"/>
        <v>7812100</v>
      </c>
      <c r="I16" s="1489"/>
    </row>
    <row r="17" spans="4:10" x14ac:dyDescent="0.25">
      <c r="D17" s="1483" t="s">
        <v>823</v>
      </c>
      <c r="E17" s="1484" t="s">
        <v>2</v>
      </c>
      <c r="F17" s="1485">
        <v>102679</v>
      </c>
      <c r="G17" s="1486">
        <f>'November 2024'!$AL$268</f>
        <v>73300</v>
      </c>
      <c r="H17" s="1487">
        <f t="shared" si="0"/>
        <v>29379</v>
      </c>
      <c r="I17" s="1489"/>
    </row>
    <row r="18" spans="4:10" x14ac:dyDescent="0.25">
      <c r="D18" s="1483" t="s">
        <v>824</v>
      </c>
      <c r="E18" s="1484" t="s">
        <v>2</v>
      </c>
      <c r="F18" s="1485">
        <v>73158</v>
      </c>
      <c r="G18" s="1486">
        <f>'November 2024'!$AL$266</f>
        <v>63690</v>
      </c>
      <c r="H18" s="1487">
        <f t="shared" si="0"/>
        <v>9468</v>
      </c>
      <c r="I18" s="1489"/>
    </row>
    <row r="19" spans="4:10" x14ac:dyDescent="0.25">
      <c r="D19" s="1492" t="s">
        <v>15</v>
      </c>
      <c r="E19" s="1493"/>
      <c r="F19" s="1494"/>
      <c r="G19" s="1495"/>
      <c r="H19" s="1496"/>
      <c r="I19" s="1497"/>
    </row>
    <row r="20" spans="4:10" x14ac:dyDescent="0.25">
      <c r="D20" s="1490" t="s">
        <v>822</v>
      </c>
      <c r="E20" s="1491" t="s">
        <v>125</v>
      </c>
      <c r="F20" s="1498">
        <v>2622</v>
      </c>
      <c r="G20" s="1499">
        <f>'November 2024'!$AL$255</f>
        <v>2158</v>
      </c>
      <c r="H20" s="1487">
        <f t="shared" si="0"/>
        <v>464</v>
      </c>
      <c r="I20" s="1500"/>
    </row>
    <row r="21" spans="4:10" x14ac:dyDescent="0.25">
      <c r="D21" s="1490" t="s">
        <v>134</v>
      </c>
      <c r="E21" s="1491" t="s">
        <v>14</v>
      </c>
      <c r="F21" s="1498">
        <v>2318000</v>
      </c>
      <c r="G21" s="1499">
        <f>'November 2024'!$AL$245</f>
        <v>1796900</v>
      </c>
      <c r="H21" s="1487">
        <f t="shared" si="0"/>
        <v>521100</v>
      </c>
      <c r="I21" s="1500"/>
    </row>
    <row r="22" spans="4:10" x14ac:dyDescent="0.25">
      <c r="D22" s="1490" t="s">
        <v>823</v>
      </c>
      <c r="E22" s="1491" t="s">
        <v>2</v>
      </c>
      <c r="F22" s="1498">
        <v>109440</v>
      </c>
      <c r="G22" s="1499">
        <f>'November 2024'!$AL$273</f>
        <v>96300</v>
      </c>
      <c r="H22" s="1487">
        <f t="shared" si="0"/>
        <v>13140</v>
      </c>
      <c r="I22" s="1500"/>
    </row>
    <row r="23" spans="4:10" x14ac:dyDescent="0.25">
      <c r="D23" s="1471" t="s">
        <v>824</v>
      </c>
      <c r="E23" s="1472" t="s">
        <v>2</v>
      </c>
      <c r="F23" s="1501">
        <v>28747</v>
      </c>
      <c r="G23" s="1502">
        <f>'November 2024'!$AL$271</f>
        <v>23460</v>
      </c>
      <c r="H23" s="1487">
        <f t="shared" si="0"/>
        <v>5287</v>
      </c>
      <c r="I23" s="1503"/>
    </row>
    <row r="24" spans="4:10" x14ac:dyDescent="0.25">
      <c r="D24" s="1740" t="s">
        <v>825</v>
      </c>
      <c r="E24" s="1741"/>
      <c r="F24" s="1741"/>
      <c r="G24" s="1741"/>
      <c r="H24" s="1741"/>
      <c r="I24" s="1742"/>
    </row>
    <row r="25" spans="4:10" x14ac:dyDescent="0.25">
      <c r="D25" s="1477" t="s">
        <v>16</v>
      </c>
      <c r="E25" s="1504"/>
      <c r="F25" s="1505"/>
      <c r="G25" s="1506"/>
      <c r="H25" s="1507"/>
      <c r="I25" s="1508"/>
    </row>
    <row r="26" spans="4:10" x14ac:dyDescent="0.25">
      <c r="D26" s="1490" t="s">
        <v>773</v>
      </c>
      <c r="E26" s="1491" t="s">
        <v>332</v>
      </c>
      <c r="F26" s="1509">
        <v>8</v>
      </c>
      <c r="G26" s="1510">
        <f>(G10/$G$6)*1000</f>
        <v>6.751064170173005</v>
      </c>
      <c r="H26" s="1511">
        <f>F26-G26</f>
        <v>1.248935829826995</v>
      </c>
      <c r="I26" s="1512"/>
    </row>
    <row r="27" spans="4:10" x14ac:dyDescent="0.25">
      <c r="D27" s="1490" t="s">
        <v>774</v>
      </c>
      <c r="E27" s="1491" t="s">
        <v>332</v>
      </c>
      <c r="F27" s="1509">
        <v>16</v>
      </c>
      <c r="G27" s="1510">
        <f t="shared" ref="G27:G39" si="1">(G11/$G$6)*1000</f>
        <v>0</v>
      </c>
      <c r="H27" s="1511">
        <f t="shared" ref="H27:H39" si="2">F27-G27</f>
        <v>16</v>
      </c>
      <c r="I27" s="1513"/>
      <c r="J27" s="1454" t="s">
        <v>221</v>
      </c>
    </row>
    <row r="28" spans="4:10" x14ac:dyDescent="0.25">
      <c r="D28" s="1490" t="s">
        <v>775</v>
      </c>
      <c r="E28" s="1491" t="s">
        <v>332</v>
      </c>
      <c r="F28" s="1509">
        <v>0.55000000000000004</v>
      </c>
      <c r="G28" s="1510">
        <f t="shared" si="1"/>
        <v>0.52488190336539819</v>
      </c>
      <c r="H28" s="1511">
        <f t="shared" si="2"/>
        <v>2.511809663460185E-2</v>
      </c>
      <c r="I28" s="1514"/>
    </row>
    <row r="29" spans="4:10" x14ac:dyDescent="0.25">
      <c r="D29" s="1490" t="s">
        <v>821</v>
      </c>
      <c r="E29" s="1491" t="s">
        <v>826</v>
      </c>
      <c r="F29" s="1515">
        <v>4.2</v>
      </c>
      <c r="G29" s="1510">
        <f t="shared" si="1"/>
        <v>1.2158570406306812</v>
      </c>
      <c r="H29" s="1511">
        <f t="shared" si="2"/>
        <v>2.9841429593693189</v>
      </c>
      <c r="I29" s="1743" t="s">
        <v>827</v>
      </c>
    </row>
    <row r="30" spans="4:10" x14ac:dyDescent="0.25">
      <c r="D30" s="1490" t="s">
        <v>828</v>
      </c>
      <c r="E30" s="1491" t="s">
        <v>829</v>
      </c>
      <c r="F30" s="1515">
        <v>0.14729399999999998</v>
      </c>
      <c r="G30" s="1510">
        <f t="shared" si="1"/>
        <v>0.19652564672396003</v>
      </c>
      <c r="H30" s="1511">
        <f t="shared" si="2"/>
        <v>-4.9231646723960049E-2</v>
      </c>
      <c r="I30" s="1744"/>
    </row>
    <row r="31" spans="4:10" x14ac:dyDescent="0.25">
      <c r="D31" s="1490" t="s">
        <v>822</v>
      </c>
      <c r="E31" s="1491" t="s">
        <v>830</v>
      </c>
      <c r="F31" s="1515">
        <v>0.55000000000000004</v>
      </c>
      <c r="G31" s="1510">
        <f t="shared" si="1"/>
        <v>0.10020915348293058</v>
      </c>
      <c r="H31" s="1511">
        <f t="shared" si="2"/>
        <v>0.44979084651706946</v>
      </c>
      <c r="I31" s="1517"/>
    </row>
    <row r="32" spans="4:10" x14ac:dyDescent="0.25">
      <c r="D32" s="1490" t="s">
        <v>831</v>
      </c>
      <c r="E32" s="1491" t="s">
        <v>332</v>
      </c>
      <c r="F32" s="1515">
        <v>90</v>
      </c>
      <c r="G32" s="1510">
        <f t="shared" si="1"/>
        <v>177.25046105043927</v>
      </c>
      <c r="H32" s="1511">
        <f t="shared" si="2"/>
        <v>-87.25046105043927</v>
      </c>
      <c r="I32" s="1516" t="s">
        <v>832</v>
      </c>
    </row>
    <row r="33" spans="3:10" x14ac:dyDescent="0.25">
      <c r="D33" s="1490" t="s">
        <v>823</v>
      </c>
      <c r="E33" s="1491" t="s">
        <v>833</v>
      </c>
      <c r="F33" s="1515">
        <v>3.6133333333333302</v>
      </c>
      <c r="G33" s="1510">
        <f t="shared" si="1"/>
        <v>3.597125832663473</v>
      </c>
      <c r="H33" s="1511">
        <f t="shared" si="2"/>
        <v>1.6207500669857211E-2</v>
      </c>
      <c r="I33" s="1745" t="s">
        <v>834</v>
      </c>
    </row>
    <row r="34" spans="3:10" x14ac:dyDescent="0.25">
      <c r="D34" s="1490" t="s">
        <v>824</v>
      </c>
      <c r="E34" s="1491" t="s">
        <v>833</v>
      </c>
      <c r="F34" s="1515">
        <v>2.1290444444444501</v>
      </c>
      <c r="G34" s="1510">
        <f t="shared" si="1"/>
        <v>3.1255244786130505</v>
      </c>
      <c r="H34" s="1511">
        <f t="shared" si="2"/>
        <v>-0.99648003416860043</v>
      </c>
      <c r="I34" s="1746"/>
    </row>
    <row r="35" spans="3:10" x14ac:dyDescent="0.25">
      <c r="D35" s="1518" t="s">
        <v>15</v>
      </c>
      <c r="E35" s="1519"/>
      <c r="F35" s="1520"/>
      <c r="G35" s="1521"/>
      <c r="H35" s="1522"/>
      <c r="I35" s="1523"/>
    </row>
    <row r="36" spans="3:10" x14ac:dyDescent="0.25">
      <c r="D36" s="1490" t="s">
        <v>822</v>
      </c>
      <c r="E36" s="1491" t="s">
        <v>830</v>
      </c>
      <c r="F36" s="1515">
        <v>0.4</v>
      </c>
      <c r="G36" s="1510">
        <f t="shared" si="1"/>
        <v>0.10590174006668178</v>
      </c>
      <c r="H36" s="1511">
        <f t="shared" si="2"/>
        <v>0.29409825993331823</v>
      </c>
      <c r="I36" s="1517"/>
    </row>
    <row r="37" spans="3:10" x14ac:dyDescent="0.25">
      <c r="D37" s="1490" t="s">
        <v>831</v>
      </c>
      <c r="E37" s="1491" t="s">
        <v>332</v>
      </c>
      <c r="F37" s="1524">
        <v>61</v>
      </c>
      <c r="G37" s="1510">
        <f t="shared" si="1"/>
        <v>88.181110623642496</v>
      </c>
      <c r="H37" s="1511">
        <f t="shared" si="2"/>
        <v>-27.181110623642496</v>
      </c>
      <c r="I37" s="1516" t="s">
        <v>835</v>
      </c>
    </row>
    <row r="38" spans="3:10" x14ac:dyDescent="0.25">
      <c r="D38" s="1490" t="s">
        <v>823</v>
      </c>
      <c r="E38" s="1491" t="s">
        <v>833</v>
      </c>
      <c r="F38" s="1515">
        <v>3.6996983113901298</v>
      </c>
      <c r="G38" s="1510">
        <f t="shared" si="1"/>
        <v>4.7258283449589689</v>
      </c>
      <c r="H38" s="1511">
        <f t="shared" si="2"/>
        <v>-1.026130033568839</v>
      </c>
      <c r="I38" s="1745" t="s">
        <v>834</v>
      </c>
    </row>
    <row r="39" spans="3:10" x14ac:dyDescent="0.25">
      <c r="D39" s="1490" t="s">
        <v>824</v>
      </c>
      <c r="E39" s="1491" t="s">
        <v>833</v>
      </c>
      <c r="F39" s="1515">
        <v>0.98466666666666702</v>
      </c>
      <c r="G39" s="1510">
        <f t="shared" si="1"/>
        <v>1.1512765625414061</v>
      </c>
      <c r="H39" s="1511">
        <f t="shared" si="2"/>
        <v>-0.16660989587473907</v>
      </c>
      <c r="I39" s="1746"/>
    </row>
    <row r="40" spans="3:10" ht="15.75" thickBot="1" x14ac:dyDescent="0.3">
      <c r="D40" s="1525"/>
      <c r="E40" s="1526"/>
      <c r="F40" s="1527"/>
      <c r="G40" s="1634"/>
      <c r="H40" s="1528"/>
      <c r="I40" s="1529"/>
    </row>
    <row r="41" spans="3:10" x14ac:dyDescent="0.25">
      <c r="E41" s="1530"/>
      <c r="F41" s="1530"/>
      <c r="H41" s="1531"/>
      <c r="I41" s="1531"/>
    </row>
    <row r="42" spans="3:10" x14ac:dyDescent="0.25">
      <c r="D42" s="1747" t="s">
        <v>885</v>
      </c>
      <c r="E42" s="1747"/>
      <c r="F42" s="1747"/>
      <c r="G42" s="1747"/>
    </row>
    <row r="43" spans="3:10" x14ac:dyDescent="0.25">
      <c r="D43" s="1737" t="s">
        <v>836</v>
      </c>
      <c r="E43" s="1737"/>
      <c r="F43" s="1737"/>
    </row>
    <row r="44" spans="3:10" x14ac:dyDescent="0.25">
      <c r="D44" s="1737" t="s">
        <v>837</v>
      </c>
      <c r="E44" s="1737"/>
      <c r="F44" s="1737"/>
      <c r="H44" s="1531"/>
      <c r="I44" s="1531"/>
    </row>
    <row r="45" spans="3:10" x14ac:dyDescent="0.25">
      <c r="D45" s="1737" t="s">
        <v>838</v>
      </c>
      <c r="E45" s="1737"/>
      <c r="F45" s="1737"/>
      <c r="H45" s="1531"/>
      <c r="I45" s="1531"/>
    </row>
    <row r="46" spans="3:10" x14ac:dyDescent="0.25">
      <c r="H46" s="1531"/>
      <c r="I46" s="1531"/>
    </row>
    <row r="47" spans="3:10" s="1326" customFormat="1" x14ac:dyDescent="0.2">
      <c r="D47" s="1199" t="s">
        <v>779</v>
      </c>
      <c r="E47" s="1199"/>
      <c r="F47" s="1199"/>
      <c r="G47" s="1199" t="s">
        <v>780</v>
      </c>
      <c r="H47" s="1328"/>
      <c r="I47" s="1199" t="s">
        <v>839</v>
      </c>
      <c r="J47" s="1317"/>
    </row>
    <row r="48" spans="3:10" s="1326" customFormat="1" x14ac:dyDescent="0.25">
      <c r="C48" s="1196"/>
      <c r="D48" s="1319"/>
      <c r="E48" s="1319"/>
      <c r="F48" s="1196"/>
      <c r="G48" s="1319"/>
      <c r="H48" s="1328"/>
      <c r="I48" s="1328"/>
      <c r="J48" s="1319"/>
    </row>
    <row r="49" spans="3:10" s="1326" customFormat="1" x14ac:dyDescent="0.25">
      <c r="C49" s="1196"/>
      <c r="D49" s="1196"/>
      <c r="E49" s="1196"/>
      <c r="F49" s="1196"/>
      <c r="G49" s="1196"/>
      <c r="H49" s="1328"/>
      <c r="I49" s="1328"/>
      <c r="J49" s="1196"/>
    </row>
    <row r="50" spans="3:10" s="1326" customFormat="1" x14ac:dyDescent="0.25">
      <c r="C50" s="1196"/>
      <c r="D50" s="1196"/>
      <c r="E50" s="1196"/>
      <c r="F50" s="1196"/>
      <c r="G50" s="1196"/>
      <c r="H50" s="1328"/>
      <c r="I50" s="1328"/>
      <c r="J50" s="1196"/>
    </row>
    <row r="51" spans="3:10" s="1326" customFormat="1" x14ac:dyDescent="0.2">
      <c r="D51" s="1321" t="s">
        <v>884</v>
      </c>
      <c r="E51" s="1321"/>
      <c r="F51" s="1321" t="s">
        <v>782</v>
      </c>
      <c r="H51" s="1321" t="s">
        <v>783</v>
      </c>
      <c r="I51" s="1321" t="s">
        <v>840</v>
      </c>
      <c r="J51" s="1322"/>
    </row>
    <row r="52" spans="3:10" s="1326" customFormat="1" ht="15" customHeight="1" x14ac:dyDescent="0.2">
      <c r="D52" s="1319" t="s">
        <v>785</v>
      </c>
      <c r="E52" s="1319"/>
      <c r="F52" s="1319" t="s">
        <v>786</v>
      </c>
      <c r="H52" s="1319" t="s">
        <v>787</v>
      </c>
      <c r="I52" s="1327"/>
      <c r="J52" s="1324"/>
    </row>
    <row r="55" spans="3:10" x14ac:dyDescent="0.25">
      <c r="I55" s="1319"/>
    </row>
    <row r="57" spans="3:10" x14ac:dyDescent="0.25">
      <c r="J57" s="1329"/>
    </row>
  </sheetData>
  <mergeCells count="12"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workbookViewId="0">
      <selection activeCell="K15" sqref="K15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140625" customWidth="1"/>
    <col min="9" max="9" width="5.42578125" customWidth="1"/>
    <col min="10" max="10" width="15.42578125" customWidth="1"/>
    <col min="11" max="11" width="10" customWidth="1"/>
    <col min="12" max="12" width="7.140625" customWidth="1"/>
    <col min="13" max="13" width="17.85546875" customWidth="1"/>
    <col min="14" max="14" width="11.8554687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35" t="s">
        <v>222</v>
      </c>
      <c r="C2" s="391"/>
      <c r="D2" s="392"/>
      <c r="E2" s="392"/>
      <c r="F2" s="393"/>
      <c r="G2" s="393"/>
      <c r="H2" s="393"/>
      <c r="I2" s="393"/>
      <c r="J2" s="393"/>
      <c r="K2" s="392"/>
      <c r="L2" s="392"/>
      <c r="M2" s="392"/>
      <c r="N2" s="392"/>
      <c r="O2" s="392"/>
    </row>
    <row r="3" spans="2:15" x14ac:dyDescent="0.25">
      <c r="B3" s="836" t="s">
        <v>369</v>
      </c>
      <c r="C3" s="837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954">
        <f>('November 2024'!AL10)/1000</f>
        <v>926.24454545454546</v>
      </c>
      <c r="O3" s="839" t="s">
        <v>389</v>
      </c>
    </row>
    <row r="4" spans="2:15" x14ac:dyDescent="0.25">
      <c r="B4" s="840" t="s">
        <v>234</v>
      </c>
      <c r="C4" s="394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6">
        <f>'November 2024'!AL6</f>
        <v>22</v>
      </c>
      <c r="O4" s="841" t="s">
        <v>233</v>
      </c>
    </row>
    <row r="5" spans="2:15" x14ac:dyDescent="0.25">
      <c r="B5" s="842" t="s">
        <v>235</v>
      </c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6">
        <f>N4*N3</f>
        <v>20377.38</v>
      </c>
      <c r="O5" s="841" t="s">
        <v>285</v>
      </c>
    </row>
    <row r="6" spans="2:15" ht="15.75" thickBot="1" x14ac:dyDescent="0.3">
      <c r="B6" s="843" t="s">
        <v>236</v>
      </c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1192">
        <f>'SUMMARY HPP '!I9</f>
        <v>15546</v>
      </c>
      <c r="O6" s="844" t="s">
        <v>237</v>
      </c>
    </row>
    <row r="7" spans="2:15" ht="21" customHeight="1" thickBot="1" x14ac:dyDescent="0.3">
      <c r="B7" s="845" t="s">
        <v>100</v>
      </c>
      <c r="C7" s="846" t="s">
        <v>223</v>
      </c>
      <c r="D7" s="1748" t="s">
        <v>224</v>
      </c>
      <c r="E7" s="1748"/>
      <c r="F7" s="1749" t="s">
        <v>225</v>
      </c>
      <c r="G7" s="1749"/>
      <c r="H7" s="1750" t="s">
        <v>226</v>
      </c>
      <c r="I7" s="1751"/>
      <c r="J7" s="848" t="s">
        <v>227</v>
      </c>
      <c r="K7" s="1752" t="s">
        <v>228</v>
      </c>
      <c r="L7" s="1753"/>
      <c r="M7" s="847" t="s">
        <v>229</v>
      </c>
      <c r="N7" s="847" t="s">
        <v>230</v>
      </c>
      <c r="O7" s="849" t="s">
        <v>231</v>
      </c>
    </row>
    <row r="8" spans="2:15" ht="15.75" thickTop="1" x14ac:dyDescent="0.25">
      <c r="B8" s="850">
        <v>1</v>
      </c>
      <c r="C8" s="851" t="s">
        <v>238</v>
      </c>
      <c r="D8" s="967">
        <f>'November 2024'!$AL$73</f>
        <v>0.67510641701730056</v>
      </c>
      <c r="E8" s="852"/>
      <c r="F8" s="853">
        <f>($D$8*$N$3*10)</f>
        <v>6253.136363636364</v>
      </c>
      <c r="G8" s="854" t="s">
        <v>239</v>
      </c>
      <c r="H8" s="853">
        <f>$N$4</f>
        <v>22</v>
      </c>
      <c r="I8" s="853"/>
      <c r="J8" s="957">
        <f>$H$8*$F$8</f>
        <v>137569</v>
      </c>
      <c r="K8" s="855">
        <v>2400</v>
      </c>
      <c r="L8" s="855"/>
      <c r="M8" s="853">
        <f>$J$8*$K$8</f>
        <v>330165600</v>
      </c>
      <c r="N8" s="856">
        <f>$M$8/($N$5*1000)</f>
        <v>16.202554008415213</v>
      </c>
      <c r="O8" s="857">
        <f>($M$8/$N$6)/$N$5</f>
        <v>1.0422329865184106</v>
      </c>
    </row>
    <row r="9" spans="2:15" x14ac:dyDescent="0.25">
      <c r="B9" s="858">
        <v>2</v>
      </c>
      <c r="C9" s="370" t="s">
        <v>240</v>
      </c>
      <c r="D9" s="376">
        <f>'November 2024'!$AL$77</f>
        <v>5.2488190336539814E-2</v>
      </c>
      <c r="E9" s="859"/>
      <c r="F9" s="383">
        <f>($D$9*$N$3*10)</f>
        <v>486.16899999999987</v>
      </c>
      <c r="G9" s="860" t="s">
        <v>239</v>
      </c>
      <c r="H9" s="383">
        <f>$H$8</f>
        <v>22</v>
      </c>
      <c r="I9" s="383"/>
      <c r="J9" s="383">
        <f>$H$9*$F$9</f>
        <v>10695.717999999997</v>
      </c>
      <c r="K9" s="371">
        <v>17420</v>
      </c>
      <c r="L9" s="371"/>
      <c r="M9" s="383">
        <f>$J$9*$K$9</f>
        <v>186319407.55999994</v>
      </c>
      <c r="N9" s="405">
        <f>$M$9/($N$5*1000)</f>
        <v>9.1434427566252356</v>
      </c>
      <c r="O9" s="861">
        <f>($M$9/$N$6)/$N$5</f>
        <v>0.5881540432667719</v>
      </c>
    </row>
    <row r="10" spans="2:15" x14ac:dyDescent="0.25">
      <c r="B10" s="858">
        <v>3</v>
      </c>
      <c r="C10" s="370" t="s">
        <v>241</v>
      </c>
      <c r="D10" s="376">
        <v>29.1666666666667</v>
      </c>
      <c r="E10" s="860" t="s">
        <v>242</v>
      </c>
      <c r="F10" s="383">
        <f>D10</f>
        <v>29.1666666666667</v>
      </c>
      <c r="G10" s="860" t="s">
        <v>242</v>
      </c>
      <c r="H10" s="383">
        <f>$H$8</f>
        <v>22</v>
      </c>
      <c r="I10" s="383"/>
      <c r="J10" s="383">
        <f>$H$10*$F$10</f>
        <v>641.66666666666742</v>
      </c>
      <c r="K10" s="371">
        <v>15700</v>
      </c>
      <c r="L10" s="371"/>
      <c r="M10" s="383">
        <f>$J$10*$K$10</f>
        <v>10074166.666666679</v>
      </c>
      <c r="N10" s="405">
        <f>$M$10/($N$5*1000)</f>
        <v>0.49437987938914024</v>
      </c>
      <c r="O10" s="861">
        <f>($M$10/$N$6)/$N$5</f>
        <v>3.1801098635606602E-2</v>
      </c>
    </row>
    <row r="11" spans="2:15" x14ac:dyDescent="0.25">
      <c r="B11" s="862">
        <v>4</v>
      </c>
      <c r="C11" s="370" t="s">
        <v>243</v>
      </c>
      <c r="D11" s="405"/>
      <c r="E11" s="859"/>
      <c r="F11" s="383"/>
      <c r="G11" s="860"/>
      <c r="H11" s="383"/>
      <c r="I11" s="383"/>
      <c r="J11" s="383"/>
      <c r="K11" s="371"/>
      <c r="L11" s="371"/>
      <c r="M11" s="383"/>
      <c r="N11" s="405"/>
      <c r="O11" s="861"/>
    </row>
    <row r="12" spans="2:15" x14ac:dyDescent="0.25">
      <c r="B12" s="863"/>
      <c r="C12" s="372" t="s">
        <v>244</v>
      </c>
      <c r="D12" s="405">
        <f>'November 2024'!$AL$237</f>
        <v>0.19652564672396003</v>
      </c>
      <c r="E12" s="859" t="s">
        <v>245</v>
      </c>
      <c r="F12" s="383">
        <f>$D$12*$N$3</f>
        <v>182.03080831999495</v>
      </c>
      <c r="G12" s="860" t="s">
        <v>246</v>
      </c>
      <c r="H12" s="383">
        <f t="shared" ref="H12:H14" si="0">$H$8</f>
        <v>22</v>
      </c>
      <c r="I12" s="383"/>
      <c r="J12" s="383">
        <f>$H$12*$F$12</f>
        <v>4004.6777830398887</v>
      </c>
      <c r="K12" s="371">
        <f>11.5*$N$6</f>
        <v>178779</v>
      </c>
      <c r="L12" s="371"/>
      <c r="M12" s="383">
        <f>$J$12*$K$12</f>
        <v>715952289.37408829</v>
      </c>
      <c r="N12" s="405">
        <f>$M$12/($N$5*1000)</f>
        <v>35.134658595662849</v>
      </c>
      <c r="O12" s="861">
        <f>($M$12/$N$6)/$N$5</f>
        <v>2.2600449373255405</v>
      </c>
    </row>
    <row r="13" spans="2:15" x14ac:dyDescent="0.25">
      <c r="B13" s="863"/>
      <c r="C13" s="372" t="s">
        <v>247</v>
      </c>
      <c r="D13" s="405">
        <v>0</v>
      </c>
      <c r="E13" s="859" t="s">
        <v>245</v>
      </c>
      <c r="F13" s="383">
        <f>$D$13*$N$3</f>
        <v>0</v>
      </c>
      <c r="G13" s="860" t="s">
        <v>246</v>
      </c>
      <c r="H13" s="383">
        <f t="shared" si="0"/>
        <v>22</v>
      </c>
      <c r="I13" s="383"/>
      <c r="J13" s="383">
        <f>$H$13*$F$13</f>
        <v>0</v>
      </c>
      <c r="K13" s="371">
        <f>11.5*$N$6</f>
        <v>178779</v>
      </c>
      <c r="L13" s="371"/>
      <c r="M13" s="383">
        <f>$J$13*$K$13</f>
        <v>0</v>
      </c>
      <c r="N13" s="405">
        <f>$M$13/($N$5*1000)</f>
        <v>0</v>
      </c>
      <c r="O13" s="861">
        <f>($M$13/$N$6)/$N$5</f>
        <v>0</v>
      </c>
    </row>
    <row r="14" spans="2:15" x14ac:dyDescent="0.25">
      <c r="B14" s="864"/>
      <c r="C14" s="372" t="s">
        <v>248</v>
      </c>
      <c r="D14" s="405">
        <v>0</v>
      </c>
      <c r="E14" s="859" t="s">
        <v>245</v>
      </c>
      <c r="F14" s="383">
        <f>$D$14*$N$3</f>
        <v>0</v>
      </c>
      <c r="G14" s="860" t="s">
        <v>246</v>
      </c>
      <c r="H14" s="383">
        <f t="shared" si="0"/>
        <v>22</v>
      </c>
      <c r="I14" s="383"/>
      <c r="J14" s="383">
        <f>$H$14*$F$14</f>
        <v>0</v>
      </c>
      <c r="K14" s="371">
        <f>11.5*$N$6</f>
        <v>178779</v>
      </c>
      <c r="L14" s="371"/>
      <c r="M14" s="383">
        <f>$J$14*$K$14</f>
        <v>0</v>
      </c>
      <c r="N14" s="405">
        <f>$M$14/($N$5*1000)</f>
        <v>0</v>
      </c>
      <c r="O14" s="861">
        <f>($M$14/$N$6)/$N$5</f>
        <v>0</v>
      </c>
    </row>
    <row r="15" spans="2:15" x14ac:dyDescent="0.25">
      <c r="B15" s="862">
        <v>5</v>
      </c>
      <c r="C15" s="370" t="s">
        <v>370</v>
      </c>
      <c r="D15" s="405"/>
      <c r="E15" s="859"/>
      <c r="F15" s="383"/>
      <c r="G15" s="860"/>
      <c r="H15" s="383"/>
      <c r="I15" s="383"/>
      <c r="J15" s="383"/>
      <c r="K15" s="371"/>
      <c r="L15" s="371"/>
      <c r="M15" s="383"/>
      <c r="N15" s="405"/>
      <c r="O15" s="861"/>
    </row>
    <row r="16" spans="2:15" x14ac:dyDescent="0.25">
      <c r="B16" s="863"/>
      <c r="C16" s="372" t="s">
        <v>249</v>
      </c>
      <c r="D16" s="373">
        <f>'November 2024'!$AL$244</f>
        <v>177.25046105043927</v>
      </c>
      <c r="E16" s="859" t="s">
        <v>250</v>
      </c>
      <c r="F16" s="383">
        <f>$D$16*$N$3/1000</f>
        <v>164.17727272727274</v>
      </c>
      <c r="G16" s="860" t="s">
        <v>251</v>
      </c>
      <c r="H16" s="383">
        <f t="shared" ref="H16:H17" si="1">$H$8</f>
        <v>22</v>
      </c>
      <c r="I16" s="383"/>
      <c r="J16" s="383">
        <f>$H$16*$F$16</f>
        <v>3611.9</v>
      </c>
      <c r="K16" s="371">
        <f>Steam!H15</f>
        <v>691601.86094173521</v>
      </c>
      <c r="L16" s="371"/>
      <c r="M16" s="383">
        <f>$J$16*$K$16</f>
        <v>2497996761.5354533</v>
      </c>
      <c r="N16" s="405">
        <f>$M$16/($N$5*1000)</f>
        <v>122.58674871526435</v>
      </c>
      <c r="O16" s="861">
        <f>($M$16/$N$6)/$N$5</f>
        <v>7.8854206043525243</v>
      </c>
    </row>
    <row r="17" spans="2:15" x14ac:dyDescent="0.25">
      <c r="B17" s="864"/>
      <c r="C17" s="372" t="s">
        <v>252</v>
      </c>
      <c r="D17" s="373">
        <f>'November 2024'!$AL$248</f>
        <v>85.318132164193827</v>
      </c>
      <c r="E17" s="859" t="s">
        <v>250</v>
      </c>
      <c r="F17" s="383">
        <f>$D$17*$N$3/1000</f>
        <v>79.025454545454551</v>
      </c>
      <c r="G17" s="860" t="s">
        <v>251</v>
      </c>
      <c r="H17" s="383">
        <f t="shared" si="1"/>
        <v>22</v>
      </c>
      <c r="I17" s="383"/>
      <c r="J17" s="383">
        <f>$H$17*$F$17</f>
        <v>1738.5600000000002</v>
      </c>
      <c r="K17" s="371">
        <f>Steam!H15</f>
        <v>691601.86094173521</v>
      </c>
      <c r="L17" s="371"/>
      <c r="M17" s="383">
        <f>$J$17*$K$17</f>
        <v>1202391331.3588634</v>
      </c>
      <c r="N17" s="405">
        <f>$M$17/($N$5*1000)</f>
        <v>59.006178976829375</v>
      </c>
      <c r="O17" s="861">
        <f>($M$17/$N$6)/$N$5</f>
        <v>3.7955859370146259</v>
      </c>
    </row>
    <row r="18" spans="2:15" x14ac:dyDescent="0.25">
      <c r="B18" s="863">
        <v>6</v>
      </c>
      <c r="C18" s="370" t="s">
        <v>371</v>
      </c>
      <c r="D18" s="375"/>
      <c r="E18" s="859"/>
      <c r="F18" s="378"/>
      <c r="G18" s="860"/>
      <c r="H18" s="383"/>
      <c r="I18" s="383"/>
      <c r="J18" s="383"/>
      <c r="K18" s="371"/>
      <c r="L18" s="371"/>
      <c r="M18" s="383"/>
      <c r="N18" s="405"/>
      <c r="O18" s="861"/>
    </row>
    <row r="19" spans="2:15" x14ac:dyDescent="0.25">
      <c r="B19" s="863"/>
      <c r="C19" s="372" t="s">
        <v>249</v>
      </c>
      <c r="D19" s="405">
        <f>'November 2024'!$AL$267</f>
        <v>3.1255244786130505</v>
      </c>
      <c r="E19" s="859" t="s">
        <v>253</v>
      </c>
      <c r="F19" s="383">
        <f>$D$19*$N$3</f>
        <v>2895</v>
      </c>
      <c r="G19" s="860" t="s">
        <v>254</v>
      </c>
      <c r="H19" s="383">
        <f t="shared" ref="H19:H21" si="2">$H$8</f>
        <v>22</v>
      </c>
      <c r="I19" s="383">
        <v>0</v>
      </c>
      <c r="J19" s="383">
        <f>$H$19*$F$19</f>
        <v>63690</v>
      </c>
      <c r="K19" s="371">
        <v>1550</v>
      </c>
      <c r="L19" s="371">
        <f>[23]Electric!H21</f>
        <v>3666.6666666666665</v>
      </c>
      <c r="M19" s="383">
        <f>($F$19*$H$19*$K$19)+($F$19*$I$19*$L$19)</f>
        <v>98719500</v>
      </c>
      <c r="N19" s="405">
        <f>$M$19/($N$5*1000)</f>
        <v>4.8445629418502278</v>
      </c>
      <c r="O19" s="861">
        <f>($M$19/$N$6)/$N$5</f>
        <v>0.31162761751255807</v>
      </c>
    </row>
    <row r="20" spans="2:15" x14ac:dyDescent="0.25">
      <c r="B20" s="863"/>
      <c r="C20" s="372" t="s">
        <v>255</v>
      </c>
      <c r="D20" s="376">
        <f>'November 2024'!$AL$269</f>
        <v>3.597125832663473</v>
      </c>
      <c r="E20" s="859" t="s">
        <v>253</v>
      </c>
      <c r="F20" s="383">
        <f>$D$20*$N$3</f>
        <v>3331.818181818182</v>
      </c>
      <c r="G20" s="860" t="s">
        <v>254</v>
      </c>
      <c r="H20" s="383">
        <f t="shared" si="2"/>
        <v>22</v>
      </c>
      <c r="I20" s="383">
        <v>0</v>
      </c>
      <c r="J20" s="383">
        <f>$H$20*$F$20</f>
        <v>73300</v>
      </c>
      <c r="K20" s="371">
        <v>1550</v>
      </c>
      <c r="L20" s="371">
        <f>L19</f>
        <v>3666.6666666666665</v>
      </c>
      <c r="M20" s="383">
        <f t="shared" ref="M20" si="3">(F20*H20*K20)+(F20*I20*L20)</f>
        <v>113615000</v>
      </c>
      <c r="N20" s="405">
        <f>$M$20/($N$5*1000)</f>
        <v>5.5755450406283833</v>
      </c>
      <c r="O20" s="861">
        <f>($M$20/$N$6)/$N$5</f>
        <v>0.35864820793955893</v>
      </c>
    </row>
    <row r="21" spans="2:15" x14ac:dyDescent="0.25">
      <c r="B21" s="863"/>
      <c r="C21" s="372" t="s">
        <v>256</v>
      </c>
      <c r="D21" s="377">
        <v>0.33778769841269801</v>
      </c>
      <c r="E21" s="859" t="s">
        <v>253</v>
      </c>
      <c r="F21" s="383">
        <f>$D$21*$N$3</f>
        <v>312.87401317640655</v>
      </c>
      <c r="G21" s="860" t="s">
        <v>254</v>
      </c>
      <c r="H21" s="383">
        <f t="shared" si="2"/>
        <v>22</v>
      </c>
      <c r="I21" s="383">
        <v>0</v>
      </c>
      <c r="J21" s="383">
        <f>$H$21*$F$21</f>
        <v>6883.2282898809444</v>
      </c>
      <c r="K21" s="371">
        <v>1550</v>
      </c>
      <c r="L21" s="371">
        <f>L20</f>
        <v>3666.6666666666665</v>
      </c>
      <c r="M21" s="383">
        <f>($F$21*$H$21*$K$21)+($F$21*$I$21*$L$21)</f>
        <v>10669003.849315464</v>
      </c>
      <c r="N21" s="405">
        <f>$M$21/($N$5*1000)</f>
        <v>0.52357093253968201</v>
      </c>
      <c r="O21" s="861">
        <f>($M$21/$N$6)/$N$5</f>
        <v>3.3678819795425315E-2</v>
      </c>
    </row>
    <row r="22" spans="2:15" x14ac:dyDescent="0.25">
      <c r="B22" s="863">
        <v>7</v>
      </c>
      <c r="C22" s="370" t="s">
        <v>372</v>
      </c>
      <c r="D22" s="376"/>
      <c r="E22" s="859"/>
      <c r="F22" s="383"/>
      <c r="G22" s="860"/>
      <c r="H22" s="383"/>
      <c r="I22" s="383"/>
      <c r="J22" s="383"/>
      <c r="K22" s="371"/>
      <c r="L22" s="371"/>
      <c r="M22" s="383"/>
      <c r="N22" s="405"/>
      <c r="O22" s="861"/>
    </row>
    <row r="23" spans="2:15" x14ac:dyDescent="0.25">
      <c r="B23" s="863"/>
      <c r="C23" s="372" t="s">
        <v>258</v>
      </c>
      <c r="D23" s="373">
        <f>'November 2024'!$AL$254</f>
        <v>100.20915348293057</v>
      </c>
      <c r="E23" s="859" t="s">
        <v>259</v>
      </c>
      <c r="F23" s="383">
        <f>$D$23</f>
        <v>100.20915348293057</v>
      </c>
      <c r="G23" s="860" t="s">
        <v>259</v>
      </c>
      <c r="H23" s="383">
        <f>$H$8</f>
        <v>22</v>
      </c>
      <c r="I23" s="383"/>
      <c r="J23" s="383">
        <f>$H$23*$F$23</f>
        <v>2204.6013766244728</v>
      </c>
      <c r="K23" s="371">
        <f>WTP!H13</f>
        <v>16483.4591319053</v>
      </c>
      <c r="L23" s="371"/>
      <c r="M23" s="383">
        <f>$J$23*$K$23</f>
        <v>36339456.693731658</v>
      </c>
      <c r="N23" s="405">
        <f>$M$23/($N$5*1000)</f>
        <v>1.7833233072029702</v>
      </c>
      <c r="O23" s="861">
        <f>($M$23/$N$6)/$N$5</f>
        <v>0.11471267896584136</v>
      </c>
    </row>
    <row r="24" spans="2:15" x14ac:dyDescent="0.25">
      <c r="B24" s="862">
        <v>8</v>
      </c>
      <c r="C24" s="370" t="s">
        <v>260</v>
      </c>
      <c r="D24" s="378"/>
      <c r="E24" s="859"/>
      <c r="F24" s="383"/>
      <c r="G24" s="860"/>
      <c r="H24" s="383"/>
      <c r="I24" s="383"/>
      <c r="J24" s="383"/>
      <c r="K24" s="371"/>
      <c r="L24" s="371"/>
      <c r="M24" s="383"/>
      <c r="N24" s="405">
        <f>$M$24/($N$5*1000)</f>
        <v>0</v>
      </c>
      <c r="O24" s="861">
        <f>($M$24/$N$6)/$N$5</f>
        <v>0</v>
      </c>
    </row>
    <row r="25" spans="2:15" x14ac:dyDescent="0.25">
      <c r="B25" s="863"/>
      <c r="C25" s="372" t="s">
        <v>261</v>
      </c>
      <c r="D25" s="378">
        <v>0.4</v>
      </c>
      <c r="E25" s="859" t="s">
        <v>239</v>
      </c>
      <c r="F25" s="378">
        <f>D25</f>
        <v>0.4</v>
      </c>
      <c r="G25" s="860" t="s">
        <v>239</v>
      </c>
      <c r="H25" s="383">
        <f t="shared" ref="H25:H28" si="4">$H$8</f>
        <v>22</v>
      </c>
      <c r="I25" s="383"/>
      <c r="J25" s="383">
        <f>$H$25*$F$25</f>
        <v>8.8000000000000007</v>
      </c>
      <c r="K25" s="371">
        <v>27240</v>
      </c>
      <c r="L25" s="371"/>
      <c r="M25" s="383">
        <f>$J$25*$K$25</f>
        <v>239712.00000000003</v>
      </c>
      <c r="N25" s="405">
        <f>$M$25/($N$5*1000)</f>
        <v>1.1763632027277307E-2</v>
      </c>
      <c r="O25" s="861">
        <f>($M$25/$N$6)/$N$5</f>
        <v>7.5669831643363601E-4</v>
      </c>
    </row>
    <row r="26" spans="2:15" x14ac:dyDescent="0.25">
      <c r="B26" s="863"/>
      <c r="C26" s="372" t="s">
        <v>262</v>
      </c>
      <c r="D26" s="378">
        <v>0.66</v>
      </c>
      <c r="E26" s="859" t="s">
        <v>239</v>
      </c>
      <c r="F26" s="378">
        <f t="shared" ref="F26:F28" si="5">D26</f>
        <v>0.66</v>
      </c>
      <c r="G26" s="860" t="s">
        <v>239</v>
      </c>
      <c r="H26" s="383">
        <f t="shared" si="4"/>
        <v>22</v>
      </c>
      <c r="I26" s="383"/>
      <c r="J26" s="383">
        <f>$H$26*$F$26</f>
        <v>14.520000000000001</v>
      </c>
      <c r="K26" s="371">
        <v>29120</v>
      </c>
      <c r="L26" s="371"/>
      <c r="M26" s="383">
        <f>$J$26*$K$26</f>
        <v>422822.40000000002</v>
      </c>
      <c r="N26" s="405">
        <f>$M$26/($N$5*1000)</f>
        <v>2.0749595875426578E-2</v>
      </c>
      <c r="O26" s="861">
        <f>($M$26/$N$6)/$N$5</f>
        <v>1.3347224929516645E-3</v>
      </c>
    </row>
    <row r="27" spans="2:15" x14ac:dyDescent="0.25">
      <c r="B27" s="863"/>
      <c r="C27" s="372" t="s">
        <v>263</v>
      </c>
      <c r="D27" s="378">
        <v>0.41</v>
      </c>
      <c r="E27" s="859" t="s">
        <v>239</v>
      </c>
      <c r="F27" s="378">
        <f t="shared" si="5"/>
        <v>0.41</v>
      </c>
      <c r="G27" s="860" t="s">
        <v>239</v>
      </c>
      <c r="H27" s="383">
        <f t="shared" si="4"/>
        <v>22</v>
      </c>
      <c r="I27" s="383"/>
      <c r="J27" s="383">
        <f>$H$27*$F$27</f>
        <v>9.02</v>
      </c>
      <c r="K27" s="371">
        <v>117212</v>
      </c>
      <c r="L27" s="371"/>
      <c r="M27" s="383">
        <f>$J$27*$K$27</f>
        <v>1057252.24</v>
      </c>
      <c r="N27" s="405">
        <f>$M$27/($N$5*1000)</f>
        <v>5.1883619974697433E-2</v>
      </c>
      <c r="O27" s="861">
        <f>($M$27/$N$6)/$N$5</f>
        <v>3.3374257027336566E-3</v>
      </c>
    </row>
    <row r="28" spans="2:15" x14ac:dyDescent="0.25">
      <c r="B28" s="864"/>
      <c r="C28" s="372" t="s">
        <v>264</v>
      </c>
      <c r="D28" s="378">
        <v>0.1</v>
      </c>
      <c r="E28" s="859" t="s">
        <v>239</v>
      </c>
      <c r="F28" s="378">
        <f t="shared" si="5"/>
        <v>0.1</v>
      </c>
      <c r="G28" s="860" t="s">
        <v>239</v>
      </c>
      <c r="H28" s="383">
        <f t="shared" si="4"/>
        <v>22</v>
      </c>
      <c r="I28" s="383"/>
      <c r="J28" s="383">
        <f>$H$28*$F$28</f>
        <v>2.2000000000000002</v>
      </c>
      <c r="K28" s="371">
        <v>45940</v>
      </c>
      <c r="L28" s="371"/>
      <c r="M28" s="383">
        <f>$J$28*$K$28</f>
        <v>101068.00000000001</v>
      </c>
      <c r="N28" s="405">
        <f>$M$28/($N$5*1000)</f>
        <v>4.959813283160054E-3</v>
      </c>
      <c r="O28" s="861">
        <f>($M$28/$N$6)/$N$5</f>
        <v>3.190411220352537E-4</v>
      </c>
    </row>
    <row r="29" spans="2:15" x14ac:dyDescent="0.25">
      <c r="B29" s="862">
        <v>9</v>
      </c>
      <c r="C29" s="370" t="s">
        <v>7</v>
      </c>
      <c r="D29" s="378"/>
      <c r="E29" s="859"/>
      <c r="F29" s="383"/>
      <c r="G29" s="860"/>
      <c r="H29" s="383"/>
      <c r="I29" s="383"/>
      <c r="J29" s="383"/>
      <c r="K29" s="371"/>
      <c r="L29" s="371"/>
      <c r="M29" s="383"/>
      <c r="N29" s="405"/>
      <c r="O29" s="861"/>
    </row>
    <row r="30" spans="2:15" x14ac:dyDescent="0.25">
      <c r="B30" s="863"/>
      <c r="C30" s="379" t="s">
        <v>265</v>
      </c>
      <c r="D30" s="380">
        <v>0.90361445783132532</v>
      </c>
      <c r="E30" s="865" t="s">
        <v>266</v>
      </c>
      <c r="F30" s="380">
        <f>D30</f>
        <v>0.90361445783132532</v>
      </c>
      <c r="G30" s="866" t="s">
        <v>266</v>
      </c>
      <c r="H30" s="383">
        <f t="shared" ref="H30:H34" si="6">$H$8</f>
        <v>22</v>
      </c>
      <c r="I30" s="383"/>
      <c r="J30" s="383">
        <f>$H$30*$F$30</f>
        <v>19.879518072289159</v>
      </c>
      <c r="K30" s="371">
        <v>40000</v>
      </c>
      <c r="L30" s="371"/>
      <c r="M30" s="383">
        <f>$J$30*$K$30</f>
        <v>795180.72289156634</v>
      </c>
      <c r="N30" s="405">
        <f>$M$30/($N$5*1000)</f>
        <v>3.9022716506811293E-2</v>
      </c>
      <c r="O30" s="861">
        <f>($M$30/$N$6)/$N$5</f>
        <v>2.51014515031592E-3</v>
      </c>
    </row>
    <row r="31" spans="2:15" x14ac:dyDescent="0.25">
      <c r="B31" s="863"/>
      <c r="C31" s="379" t="s">
        <v>267</v>
      </c>
      <c r="D31" s="380">
        <v>0.63253012048192769</v>
      </c>
      <c r="E31" s="865" t="s">
        <v>266</v>
      </c>
      <c r="F31" s="380">
        <f t="shared" ref="F31:F33" si="7">D31</f>
        <v>0.63253012048192769</v>
      </c>
      <c r="G31" s="866" t="s">
        <v>266</v>
      </c>
      <c r="H31" s="383">
        <f t="shared" si="6"/>
        <v>22</v>
      </c>
      <c r="I31" s="383"/>
      <c r="J31" s="383">
        <f>$H$31*$F$31</f>
        <v>13.915662650602409</v>
      </c>
      <c r="K31" s="371">
        <v>125000</v>
      </c>
      <c r="L31" s="371"/>
      <c r="M31" s="383">
        <f>$J$31*$K$31</f>
        <v>1739457.831325301</v>
      </c>
      <c r="N31" s="405">
        <f>$M$31/($N$5*1000)</f>
        <v>8.5362192358649683E-2</v>
      </c>
      <c r="O31" s="861">
        <f>($M$31/$N$6)/$N$5</f>
        <v>5.4909425163160736E-3</v>
      </c>
    </row>
    <row r="32" spans="2:15" x14ac:dyDescent="0.25">
      <c r="B32" s="863"/>
      <c r="C32" s="379" t="s">
        <v>268</v>
      </c>
      <c r="D32" s="380">
        <v>1.5666666666666667</v>
      </c>
      <c r="E32" s="865" t="s">
        <v>266</v>
      </c>
      <c r="F32" s="380">
        <f t="shared" si="7"/>
        <v>1.5666666666666667</v>
      </c>
      <c r="G32" s="866" t="s">
        <v>266</v>
      </c>
      <c r="H32" s="383">
        <f t="shared" si="6"/>
        <v>22</v>
      </c>
      <c r="I32" s="383"/>
      <c r="J32" s="383">
        <f>$H$32*$F$32</f>
        <v>34.466666666666669</v>
      </c>
      <c r="K32" s="371">
        <v>145000</v>
      </c>
      <c r="L32" s="371"/>
      <c r="M32" s="383">
        <f>$J$32*$K$32</f>
        <v>4997666.666666667</v>
      </c>
      <c r="N32" s="405">
        <f>$M$32/($N$5*1000)</f>
        <v>0.24525560531661417</v>
      </c>
      <c r="O32" s="861">
        <f>($M$32/$N$6)/$N$5</f>
        <v>1.5776122817227206E-2</v>
      </c>
    </row>
    <row r="33" spans="2:15" x14ac:dyDescent="0.25">
      <c r="B33" s="863"/>
      <c r="C33" s="379" t="s">
        <v>269</v>
      </c>
      <c r="D33" s="380">
        <v>0.12048192771084337</v>
      </c>
      <c r="E33" s="865" t="s">
        <v>266</v>
      </c>
      <c r="F33" s="380">
        <f t="shared" si="7"/>
        <v>0.12048192771084337</v>
      </c>
      <c r="G33" s="866" t="s">
        <v>266</v>
      </c>
      <c r="H33" s="383">
        <f t="shared" si="6"/>
        <v>22</v>
      </c>
      <c r="I33" s="383"/>
      <c r="J33" s="383">
        <f>$H$33*$F$33</f>
        <v>2.6506024096385543</v>
      </c>
      <c r="K33" s="371">
        <v>682500</v>
      </c>
      <c r="L33" s="371"/>
      <c r="M33" s="383">
        <f>$J$33*$K$33</f>
        <v>1809036.1445783132</v>
      </c>
      <c r="N33" s="405">
        <f>$M$33/($N$5*1000)</f>
        <v>8.8776680052995688E-2</v>
      </c>
      <c r="O33" s="861">
        <f>($M$33/$N$6)/$N$5</f>
        <v>5.710580216968718E-3</v>
      </c>
    </row>
    <row r="34" spans="2:15" x14ac:dyDescent="0.25">
      <c r="B34" s="864"/>
      <c r="C34" s="379" t="s">
        <v>270</v>
      </c>
      <c r="D34" s="381">
        <v>3.6144578313253013</v>
      </c>
      <c r="E34" s="865" t="s">
        <v>266</v>
      </c>
      <c r="F34" s="380">
        <f>D34</f>
        <v>3.6144578313253013</v>
      </c>
      <c r="G34" s="866" t="s">
        <v>266</v>
      </c>
      <c r="H34" s="383">
        <f t="shared" si="6"/>
        <v>22</v>
      </c>
      <c r="I34" s="383"/>
      <c r="J34" s="383">
        <f>$H$34*$F$34</f>
        <v>79.518072289156635</v>
      </c>
      <c r="K34" s="371">
        <v>14500</v>
      </c>
      <c r="L34" s="371"/>
      <c r="M34" s="383">
        <f>$J$34*$K$34</f>
        <v>1153012.0481927712</v>
      </c>
      <c r="N34" s="405">
        <f>$M$34/($N$5*1000)</f>
        <v>5.6582938934876377E-2</v>
      </c>
      <c r="O34" s="861">
        <f>($M$34/$N$6)/$N$5</f>
        <v>3.6397104679580842E-3</v>
      </c>
    </row>
    <row r="35" spans="2:15" x14ac:dyDescent="0.25">
      <c r="B35" s="858">
        <v>10</v>
      </c>
      <c r="C35" s="382" t="s">
        <v>373</v>
      </c>
      <c r="D35" s="383">
        <f>'November 2024'!$AL$260</f>
        <v>277.77272727272725</v>
      </c>
      <c r="E35" s="859" t="s">
        <v>259</v>
      </c>
      <c r="F35" s="402">
        <f>D35</f>
        <v>277.77272727272725</v>
      </c>
      <c r="G35" s="866" t="s">
        <v>259</v>
      </c>
      <c r="H35" s="383">
        <f>$H$8</f>
        <v>22</v>
      </c>
      <c r="I35" s="383"/>
      <c r="J35" s="383">
        <f>$H$35*$F$35</f>
        <v>6111</v>
      </c>
      <c r="K35" s="371">
        <f>WWTP!H17</f>
        <v>15205.392641123637</v>
      </c>
      <c r="L35" s="371"/>
      <c r="M35" s="383">
        <f>$J$35*$K$35</f>
        <v>92920154.429906547</v>
      </c>
      <c r="N35" s="405">
        <f>$M$35/($N$5*1000)</f>
        <v>4.5599657281704786</v>
      </c>
      <c r="O35" s="861">
        <f>($M$35/$N$6)/$N$5</f>
        <v>0.29332083675353648</v>
      </c>
    </row>
    <row r="36" spans="2:15" x14ac:dyDescent="0.25">
      <c r="B36" s="863">
        <v>11</v>
      </c>
      <c r="C36" s="384" t="s">
        <v>271</v>
      </c>
      <c r="D36" s="381"/>
      <c r="E36" s="865"/>
      <c r="F36" s="386"/>
      <c r="G36" s="866"/>
      <c r="H36" s="383"/>
      <c r="I36" s="383"/>
      <c r="J36" s="383"/>
      <c r="K36" s="385"/>
      <c r="L36" s="385"/>
      <c r="M36" s="383"/>
      <c r="N36" s="405"/>
      <c r="O36" s="861"/>
    </row>
    <row r="37" spans="2:15" x14ac:dyDescent="0.25">
      <c r="B37" s="863"/>
      <c r="C37" s="379" t="s">
        <v>272</v>
      </c>
      <c r="D37" s="386">
        <f>'November 2024'!$AL$81</f>
        <v>138939.48852747935</v>
      </c>
      <c r="E37" s="865" t="s">
        <v>239</v>
      </c>
      <c r="F37" s="386">
        <f>D37</f>
        <v>138939.48852747935</v>
      </c>
      <c r="G37" s="866" t="s">
        <v>239</v>
      </c>
      <c r="H37" s="383">
        <f t="shared" ref="H37:H38" si="8">$H$8</f>
        <v>22</v>
      </c>
      <c r="I37" s="383"/>
      <c r="J37" s="383">
        <f>$F$37</f>
        <v>138939.48852747935</v>
      </c>
      <c r="K37" s="385">
        <v>275</v>
      </c>
      <c r="L37" s="385"/>
      <c r="M37" s="383">
        <f>$J$37*$K$37</f>
        <v>38208359.345056824</v>
      </c>
      <c r="N37" s="405">
        <f>$M$37/($N$5*1000)</f>
        <v>1.8750378775415104</v>
      </c>
      <c r="O37" s="861">
        <f>($M$37/$N$6)/$N$5</f>
        <v>0.12061223964630839</v>
      </c>
    </row>
    <row r="38" spans="2:15" x14ac:dyDescent="0.25">
      <c r="B38" s="863"/>
      <c r="C38" s="379" t="s">
        <v>273</v>
      </c>
      <c r="D38" s="380">
        <v>0.1</v>
      </c>
      <c r="E38" s="865" t="s">
        <v>274</v>
      </c>
      <c r="F38" s="380">
        <f>D38</f>
        <v>0.1</v>
      </c>
      <c r="G38" s="866" t="s">
        <v>274</v>
      </c>
      <c r="H38" s="383">
        <f t="shared" si="8"/>
        <v>22</v>
      </c>
      <c r="I38" s="383"/>
      <c r="J38" s="383">
        <f>$H$38*$F$38</f>
        <v>2.2000000000000002</v>
      </c>
      <c r="K38" s="385">
        <v>303030.30303030298</v>
      </c>
      <c r="L38" s="385"/>
      <c r="M38" s="383">
        <f>$J$38*$K$38</f>
        <v>666666.66666666663</v>
      </c>
      <c r="N38" s="405">
        <f>$M$38/($N$5*1000)</f>
        <v>3.2716014849144819E-2</v>
      </c>
      <c r="O38" s="861">
        <f>($M$38/$N$6)/$N$5</f>
        <v>2.104465126022438E-3</v>
      </c>
    </row>
    <row r="39" spans="2:15" x14ac:dyDescent="0.25">
      <c r="B39" s="867">
        <v>12</v>
      </c>
      <c r="C39" s="387" t="s">
        <v>374</v>
      </c>
      <c r="D39" s="388"/>
      <c r="E39" s="868"/>
      <c r="F39" s="388"/>
      <c r="G39" s="869"/>
      <c r="H39" s="383"/>
      <c r="I39" s="870"/>
      <c r="J39" s="383"/>
      <c r="K39" s="389"/>
      <c r="L39" s="389"/>
      <c r="M39" s="383"/>
      <c r="N39" s="405">
        <f>$M$39/($N$5*1000)</f>
        <v>0</v>
      </c>
      <c r="O39" s="861">
        <f>($M$39/$N$6)/$N$5</f>
        <v>0</v>
      </c>
    </row>
    <row r="40" spans="2:15" x14ac:dyDescent="0.25">
      <c r="B40" s="871"/>
      <c r="C40" s="390" t="s">
        <v>275</v>
      </c>
      <c r="D40" s="388">
        <f>lab!H33</f>
        <v>745255.21064425772</v>
      </c>
      <c r="E40" s="868" t="s">
        <v>276</v>
      </c>
      <c r="F40" s="388">
        <f>D40</f>
        <v>745255.21064425772</v>
      </c>
      <c r="G40" s="869" t="s">
        <v>276</v>
      </c>
      <c r="H40" s="383">
        <f t="shared" ref="H40:H44" si="9">$H$8</f>
        <v>22</v>
      </c>
      <c r="I40" s="870"/>
      <c r="J40" s="383"/>
      <c r="K40" s="389"/>
      <c r="L40" s="389"/>
      <c r="M40" s="383">
        <f>$H$40*$F$40</f>
        <v>16395614.634173669</v>
      </c>
      <c r="N40" s="405">
        <f>$M$40/($N$5*1000)</f>
        <v>0.8045987577487228</v>
      </c>
      <c r="O40" s="861">
        <f>($M$40/$N$6)/$N$5</f>
        <v>5.1755998825982426E-2</v>
      </c>
    </row>
    <row r="41" spans="2:15" x14ac:dyDescent="0.25">
      <c r="B41" s="871"/>
      <c r="C41" s="390" t="s">
        <v>375</v>
      </c>
      <c r="D41" s="388">
        <f>lab!H54</f>
        <v>259161.44425770309</v>
      </c>
      <c r="E41" s="868" t="s">
        <v>276</v>
      </c>
      <c r="F41" s="388">
        <f t="shared" ref="F41:F44" si="10">D41</f>
        <v>259161.44425770309</v>
      </c>
      <c r="G41" s="869" t="s">
        <v>276</v>
      </c>
      <c r="H41" s="383">
        <f t="shared" si="9"/>
        <v>22</v>
      </c>
      <c r="I41" s="870"/>
      <c r="J41" s="383"/>
      <c r="K41" s="389"/>
      <c r="L41" s="389"/>
      <c r="M41" s="383">
        <f>$H$41*$F$41</f>
        <v>5701551.7736694682</v>
      </c>
      <c r="N41" s="405">
        <f>$M$41/($N$5*1000)</f>
        <v>0.27979807873580748</v>
      </c>
      <c r="O41" s="861">
        <f>($M$41/$N$6)/$N$5</f>
        <v>1.7998075307848155E-2</v>
      </c>
    </row>
    <row r="42" spans="2:15" x14ac:dyDescent="0.25">
      <c r="B42" s="871"/>
      <c r="C42" s="390" t="s">
        <v>277</v>
      </c>
      <c r="D42" s="388">
        <v>13909.09090909091</v>
      </c>
      <c r="E42" s="868" t="s">
        <v>276</v>
      </c>
      <c r="F42" s="388">
        <f t="shared" si="10"/>
        <v>13909.09090909091</v>
      </c>
      <c r="G42" s="869" t="s">
        <v>276</v>
      </c>
      <c r="H42" s="383">
        <f t="shared" si="9"/>
        <v>22</v>
      </c>
      <c r="I42" s="870"/>
      <c r="J42" s="383"/>
      <c r="K42" s="389"/>
      <c r="L42" s="389"/>
      <c r="M42" s="383">
        <f>$H$42*$F$42</f>
        <v>306000</v>
      </c>
      <c r="N42" s="405">
        <f>$M$42/($N$5*1000)</f>
        <v>1.5016650815757471E-2</v>
      </c>
      <c r="O42" s="861">
        <f>($M$42/$N$6)/$N$5</f>
        <v>9.6594949284429903E-4</v>
      </c>
    </row>
    <row r="43" spans="2:15" x14ac:dyDescent="0.25">
      <c r="B43" s="871"/>
      <c r="C43" s="390" t="s">
        <v>376</v>
      </c>
      <c r="D43" s="388">
        <f>[23]Chemical!$H$61</f>
        <v>27103.641456582631</v>
      </c>
      <c r="E43" s="868" t="s">
        <v>276</v>
      </c>
      <c r="F43" s="388">
        <f t="shared" si="10"/>
        <v>27103.641456582631</v>
      </c>
      <c r="G43" s="869" t="s">
        <v>276</v>
      </c>
      <c r="H43" s="383">
        <f t="shared" si="9"/>
        <v>22</v>
      </c>
      <c r="I43" s="870"/>
      <c r="J43" s="383"/>
      <c r="K43" s="389"/>
      <c r="L43" s="389"/>
      <c r="M43" s="383">
        <f>$H$43*$F$43</f>
        <v>596280.11204481788</v>
      </c>
      <c r="N43" s="405">
        <f>$M$43/($N$5*1000)</f>
        <v>2.9261863499861998E-2</v>
      </c>
      <c r="O43" s="861">
        <f>($M$43/$N$6)/$N$5</f>
        <v>1.8822760517086066E-3</v>
      </c>
    </row>
    <row r="44" spans="2:15" x14ac:dyDescent="0.25">
      <c r="B44" s="872"/>
      <c r="C44" s="390" t="s">
        <v>278</v>
      </c>
      <c r="D44" s="388">
        <f>lab!I111</f>
        <v>135770.30812324933</v>
      </c>
      <c r="E44" s="868" t="s">
        <v>276</v>
      </c>
      <c r="F44" s="388">
        <f t="shared" si="10"/>
        <v>135770.30812324933</v>
      </c>
      <c r="G44" s="869" t="s">
        <v>276</v>
      </c>
      <c r="H44" s="383">
        <f t="shared" si="9"/>
        <v>22</v>
      </c>
      <c r="I44" s="870"/>
      <c r="J44" s="383"/>
      <c r="K44" s="389"/>
      <c r="L44" s="389"/>
      <c r="M44" s="383">
        <f>$H$44*$F$44</f>
        <v>2986946.7787114852</v>
      </c>
      <c r="N44" s="405">
        <f>$M$44/($N$5*1000)</f>
        <v>0.14658149274889534</v>
      </c>
      <c r="O44" s="861">
        <f>($M$44/$N$6)/$N$5</f>
        <v>9.4288879936250698E-3</v>
      </c>
    </row>
    <row r="45" spans="2:15" x14ac:dyDescent="0.25">
      <c r="B45" s="863">
        <v>13</v>
      </c>
      <c r="C45" s="382" t="s">
        <v>279</v>
      </c>
      <c r="D45" s="383"/>
      <c r="E45" s="859"/>
      <c r="F45" s="378"/>
      <c r="G45" s="860"/>
      <c r="H45" s="383"/>
      <c r="I45" s="383"/>
      <c r="J45" s="383"/>
      <c r="K45" s="371"/>
      <c r="L45" s="371"/>
      <c r="M45" s="383"/>
      <c r="N45" s="405"/>
      <c r="O45" s="861"/>
    </row>
    <row r="46" spans="2:15" x14ac:dyDescent="0.25">
      <c r="B46" s="863"/>
      <c r="C46" s="372" t="s">
        <v>280</v>
      </c>
      <c r="D46" s="378">
        <v>15.4</v>
      </c>
      <c r="E46" s="860" t="s">
        <v>281</v>
      </c>
      <c r="F46" s="383">
        <f>D46</f>
        <v>15.4</v>
      </c>
      <c r="G46" s="860" t="s">
        <v>281</v>
      </c>
      <c r="H46" s="383">
        <f t="shared" ref="H46:H47" si="11">$H$8</f>
        <v>22</v>
      </c>
      <c r="I46" s="383"/>
      <c r="J46" s="383">
        <f>$H$46*$F$46</f>
        <v>338.8</v>
      </c>
      <c r="K46" s="371">
        <v>14500</v>
      </c>
      <c r="L46" s="371"/>
      <c r="M46" s="383">
        <f>$J$46*$K$46</f>
        <v>4912600</v>
      </c>
      <c r="N46" s="405">
        <f>$M$46/($N$5*1000)</f>
        <v>0.24108104182186327</v>
      </c>
      <c r="O46" s="861">
        <f>($M$46/$N$6)/$N$5</f>
        <v>1.5507593067146741E-2</v>
      </c>
    </row>
    <row r="47" spans="2:15" ht="15.75" thickBot="1" x14ac:dyDescent="0.3">
      <c r="B47" s="873"/>
      <c r="C47" s="874" t="s">
        <v>282</v>
      </c>
      <c r="D47" s="875">
        <v>0</v>
      </c>
      <c r="E47" s="876" t="s">
        <v>281</v>
      </c>
      <c r="F47" s="877">
        <f>D47</f>
        <v>0</v>
      </c>
      <c r="G47" s="876" t="s">
        <v>281</v>
      </c>
      <c r="H47" s="877">
        <f t="shared" si="11"/>
        <v>22</v>
      </c>
      <c r="I47" s="877"/>
      <c r="J47" s="877">
        <f>$H$47*$F$47</f>
        <v>0</v>
      </c>
      <c r="K47" s="878">
        <v>14500</v>
      </c>
      <c r="L47" s="878"/>
      <c r="M47" s="877">
        <f>$J$47*$K$47</f>
        <v>0</v>
      </c>
      <c r="N47" s="879">
        <f>$M$47/($N$5*1000)</f>
        <v>0</v>
      </c>
      <c r="O47" s="880">
        <f>($M$47/$N$6)/$N$5</f>
        <v>0</v>
      </c>
    </row>
    <row r="48" spans="2:15" ht="21.6" customHeight="1" thickBot="1" x14ac:dyDescent="0.3">
      <c r="B48" s="408"/>
      <c r="C48" s="391"/>
      <c r="D48" s="392"/>
      <c r="E48" s="392"/>
      <c r="F48" s="393"/>
      <c r="G48" s="393"/>
      <c r="H48" s="393"/>
      <c r="I48" s="393"/>
      <c r="J48" s="393"/>
      <c r="K48" s="392"/>
      <c r="L48" s="392"/>
      <c r="M48" s="881">
        <f>SUM($M$8:$M$47)</f>
        <v>5377251898.8320026</v>
      </c>
      <c r="N48" s="882">
        <f>SUM($N$8:$N$47)</f>
        <v>263.88337945466998</v>
      </c>
      <c r="O48" s="882">
        <f>SUM($O$8:$O$47)</f>
        <v>16.974358642394833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K11" sqref="K11"/>
    </sheetView>
  </sheetViews>
  <sheetFormatPr defaultRowHeight="15" x14ac:dyDescent="0.25"/>
  <cols>
    <col min="1" max="1" width="7.1406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140625" customWidth="1"/>
    <col min="10" max="10" width="17" customWidth="1"/>
    <col min="11" max="11" width="11.8554687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35" t="s">
        <v>283</v>
      </c>
      <c r="C2" s="391"/>
      <c r="D2" s="392"/>
      <c r="E2" s="392"/>
      <c r="F2" s="393"/>
      <c r="G2" s="393"/>
      <c r="H2" s="393"/>
      <c r="I2" s="393"/>
      <c r="J2" s="393"/>
      <c r="K2" s="392"/>
      <c r="L2" s="392"/>
      <c r="M2" s="392"/>
      <c r="N2" s="392"/>
      <c r="O2" s="392"/>
    </row>
    <row r="3" spans="2:15" x14ac:dyDescent="0.25">
      <c r="B3" s="836" t="s">
        <v>284</v>
      </c>
      <c r="C3" s="837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83" t="s">
        <v>389</v>
      </c>
      <c r="O3" s="884">
        <f>('November 2024'!AL24)/1000</f>
        <v>905.74316666666664</v>
      </c>
    </row>
    <row r="4" spans="2:15" x14ac:dyDescent="0.25">
      <c r="B4" s="840" t="s">
        <v>286</v>
      </c>
      <c r="C4" s="394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7" t="s">
        <v>233</v>
      </c>
      <c r="O4" s="885">
        <f>'November 2024'!AL21</f>
        <v>24</v>
      </c>
    </row>
    <row r="5" spans="2:15" x14ac:dyDescent="0.25">
      <c r="B5" s="842" t="s">
        <v>235</v>
      </c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7" t="s">
        <v>285</v>
      </c>
      <c r="O5" s="885">
        <f>O3*O4</f>
        <v>21737.835999999999</v>
      </c>
    </row>
    <row r="6" spans="2:15" ht="15.75" thickBot="1" x14ac:dyDescent="0.3">
      <c r="B6" s="843" t="s">
        <v>236</v>
      </c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886" t="s">
        <v>237</v>
      </c>
      <c r="O6" s="1190">
        <f>'SUMMARY HPP '!I9</f>
        <v>15546</v>
      </c>
    </row>
    <row r="7" spans="2:15" ht="15.75" thickBot="1" x14ac:dyDescent="0.3">
      <c r="B7" s="845" t="s">
        <v>100</v>
      </c>
      <c r="C7" s="846" t="s">
        <v>223</v>
      </c>
      <c r="D7" s="1748" t="s">
        <v>224</v>
      </c>
      <c r="E7" s="1748"/>
      <c r="F7" s="1749" t="s">
        <v>225</v>
      </c>
      <c r="G7" s="1749"/>
      <c r="H7" s="1750" t="s">
        <v>226</v>
      </c>
      <c r="I7" s="1751"/>
      <c r="J7" s="848" t="s">
        <v>227</v>
      </c>
      <c r="K7" s="1752" t="s">
        <v>228</v>
      </c>
      <c r="L7" s="1753"/>
      <c r="M7" s="847" t="s">
        <v>229</v>
      </c>
      <c r="N7" s="847" t="s">
        <v>230</v>
      </c>
      <c r="O7" s="849" t="s">
        <v>231</v>
      </c>
    </row>
    <row r="8" spans="2:15" ht="15.75" thickTop="1" x14ac:dyDescent="0.25">
      <c r="B8" s="864">
        <v>1</v>
      </c>
      <c r="C8" s="399" t="s">
        <v>134</v>
      </c>
      <c r="D8" s="400">
        <f>'November 2024'!$AL$246</f>
        <v>82.662322045303867</v>
      </c>
      <c r="E8" s="401" t="s">
        <v>250</v>
      </c>
      <c r="F8" s="402">
        <f>$D$8*$O$3/1000</f>
        <v>74.870833333333323</v>
      </c>
      <c r="G8" s="402" t="s">
        <v>251</v>
      </c>
      <c r="H8" s="402">
        <f>$O$4</f>
        <v>24</v>
      </c>
      <c r="I8" s="402"/>
      <c r="J8" s="402">
        <f>$H$8*$F$8</f>
        <v>1796.8999999999996</v>
      </c>
      <c r="K8" s="403">
        <f>Steam!H15</f>
        <v>691601.86094173521</v>
      </c>
      <c r="L8" s="403"/>
      <c r="M8" s="402">
        <f>$K$8*$J$8</f>
        <v>1242739383.9262037</v>
      </c>
      <c r="N8" s="404">
        <f>$M$8/($O$5*1000)</f>
        <v>57.169415756297163</v>
      </c>
      <c r="O8" s="887">
        <f>($M$8/$O$6)/$O$5</f>
        <v>3.6774357234206332</v>
      </c>
    </row>
    <row r="9" spans="2:15" x14ac:dyDescent="0.25">
      <c r="B9" s="862">
        <v>2</v>
      </c>
      <c r="C9" s="382" t="s">
        <v>287</v>
      </c>
      <c r="D9" s="377"/>
      <c r="E9" s="374"/>
      <c r="F9" s="383"/>
      <c r="G9" s="383"/>
      <c r="H9" s="383"/>
      <c r="I9" s="383"/>
      <c r="J9" s="383"/>
      <c r="K9" s="371"/>
      <c r="L9" s="371"/>
      <c r="M9" s="383"/>
      <c r="N9" s="405"/>
      <c r="O9" s="861"/>
    </row>
    <row r="10" spans="2:15" x14ac:dyDescent="0.25">
      <c r="B10" s="863"/>
      <c r="C10" s="372" t="s">
        <v>249</v>
      </c>
      <c r="D10" s="376">
        <f>'November 2024'!$AL$274</f>
        <v>4.4300637837179373</v>
      </c>
      <c r="E10" s="374" t="s">
        <v>253</v>
      </c>
      <c r="F10" s="383">
        <f>$D$10*$O$3</f>
        <v>4012.4999999999995</v>
      </c>
      <c r="G10" s="383" t="s">
        <v>254</v>
      </c>
      <c r="H10" s="383">
        <f>$O$4</f>
        <v>24</v>
      </c>
      <c r="I10" s="383">
        <v>0</v>
      </c>
      <c r="J10" s="383">
        <f>$H$10*$F$10</f>
        <v>96299.999999999985</v>
      </c>
      <c r="K10" s="371">
        <f>[23]Electric!$L$5</f>
        <v>1550</v>
      </c>
      <c r="L10" s="371">
        <v>3666.6666666666665</v>
      </c>
      <c r="M10" s="383">
        <f>($F$10*$H$10*$K$10)+($F$10*$I$10*$L$10)</f>
        <v>149264999.99999997</v>
      </c>
      <c r="N10" s="404">
        <f>$M$10/($O$5*1000)</f>
        <v>6.8665988647628025</v>
      </c>
      <c r="O10" s="887">
        <f>($M$10/$O$6)/$O$5</f>
        <v>0.44169553999503425</v>
      </c>
    </row>
    <row r="11" spans="2:15" x14ac:dyDescent="0.25">
      <c r="B11" s="864"/>
      <c r="C11" s="372" t="s">
        <v>255</v>
      </c>
      <c r="D11" s="376">
        <f>'November 2024'!$AL$272</f>
        <v>1.0792242613294165</v>
      </c>
      <c r="E11" s="374" t="s">
        <v>253</v>
      </c>
      <c r="F11" s="383">
        <f>$D$11*$O$3</f>
        <v>977.49999999999989</v>
      </c>
      <c r="G11" s="383" t="s">
        <v>254</v>
      </c>
      <c r="H11" s="383">
        <f>$H$10</f>
        <v>24</v>
      </c>
      <c r="I11" s="383">
        <v>0</v>
      </c>
      <c r="J11" s="383">
        <f>$H$11*$F$11</f>
        <v>23459.999999999996</v>
      </c>
      <c r="K11" s="371">
        <f>$K$10</f>
        <v>1550</v>
      </c>
      <c r="L11" s="371">
        <v>3666.6666666666665</v>
      </c>
      <c r="M11" s="383">
        <f>($F$11*$H$11*$K$11)+($F$11*$I$11*$L$11)</f>
        <v>36362999.999999993</v>
      </c>
      <c r="N11" s="404">
        <f>$M$11/($O$5*1000)</f>
        <v>1.6727976050605955</v>
      </c>
      <c r="O11" s="887">
        <f>($M$11/$O$6)/$O$5</f>
        <v>0.10760308793648499</v>
      </c>
    </row>
    <row r="12" spans="2:15" x14ac:dyDescent="0.25">
      <c r="B12" s="863">
        <v>3</v>
      </c>
      <c r="C12" s="370" t="s">
        <v>257</v>
      </c>
      <c r="D12" s="376"/>
      <c r="E12" s="374"/>
      <c r="F12" s="383"/>
      <c r="G12" s="383"/>
      <c r="H12" s="383"/>
      <c r="I12" s="383"/>
      <c r="J12" s="383"/>
      <c r="K12" s="371"/>
      <c r="L12" s="371"/>
      <c r="M12" s="383"/>
      <c r="N12" s="405"/>
      <c r="O12" s="861"/>
    </row>
    <row r="13" spans="2:15" x14ac:dyDescent="0.25">
      <c r="B13" s="863"/>
      <c r="C13" s="372" t="s">
        <v>258</v>
      </c>
      <c r="D13" s="373">
        <f>'November 2024'!$AL$256</f>
        <v>99.273911165766449</v>
      </c>
      <c r="E13" s="374" t="s">
        <v>259</v>
      </c>
      <c r="F13" s="383">
        <f>$D$13</f>
        <v>99.273911165766449</v>
      </c>
      <c r="G13" s="383" t="s">
        <v>259</v>
      </c>
      <c r="H13" s="383">
        <f>$H$11</f>
        <v>24</v>
      </c>
      <c r="I13" s="383"/>
      <c r="J13" s="383">
        <f>$H$13*$F$13</f>
        <v>2382.5738679783949</v>
      </c>
      <c r="K13" s="371">
        <f>WTP!H13</f>
        <v>16483.4591319053</v>
      </c>
      <c r="L13" s="371"/>
      <c r="M13" s="402">
        <f>$K$13*$J$13</f>
        <v>39273058.981567405</v>
      </c>
      <c r="N13" s="404">
        <f>$M$13/($O$5*1000)</f>
        <v>1.8066682894087251</v>
      </c>
      <c r="O13" s="887">
        <f>($M$13/$O$6)/$O$5</f>
        <v>0.11621435027715973</v>
      </c>
    </row>
    <row r="14" spans="2:15" x14ac:dyDescent="0.25">
      <c r="B14" s="862">
        <v>4</v>
      </c>
      <c r="C14" s="370" t="s">
        <v>260</v>
      </c>
      <c r="D14" s="383"/>
      <c r="E14" s="374"/>
      <c r="F14" s="383"/>
      <c r="G14" s="383"/>
      <c r="H14" s="383"/>
      <c r="I14" s="383"/>
      <c r="J14" s="383"/>
      <c r="K14" s="371"/>
      <c r="L14" s="371"/>
      <c r="M14" s="383"/>
      <c r="N14" s="405"/>
      <c r="O14" s="861"/>
    </row>
    <row r="15" spans="2:15" x14ac:dyDescent="0.25">
      <c r="B15" s="863"/>
      <c r="C15" s="372" t="s">
        <v>261</v>
      </c>
      <c r="D15" s="378">
        <v>0.4</v>
      </c>
      <c r="E15" s="374" t="s">
        <v>239</v>
      </c>
      <c r="F15" s="378">
        <f>$D$15</f>
        <v>0.4</v>
      </c>
      <c r="G15" s="383" t="s">
        <v>239</v>
      </c>
      <c r="H15" s="383">
        <f>$H$13</f>
        <v>24</v>
      </c>
      <c r="I15" s="383"/>
      <c r="J15" s="383">
        <f>$H$15*$F$15</f>
        <v>9.6000000000000014</v>
      </c>
      <c r="K15" s="371">
        <v>27240</v>
      </c>
      <c r="L15" s="371"/>
      <c r="M15" s="402">
        <f>$K$15*$J$15</f>
        <v>261504.00000000003</v>
      </c>
      <c r="N15" s="404">
        <f>$M$15/($O$5*1000)</f>
        <v>1.2029900308383964E-2</v>
      </c>
      <c r="O15" s="887">
        <f>($M$15/$O$6)/$O$5</f>
        <v>7.7382608441939815E-4</v>
      </c>
    </row>
    <row r="16" spans="2:15" x14ac:dyDescent="0.25">
      <c r="B16" s="863"/>
      <c r="C16" s="372" t="s">
        <v>262</v>
      </c>
      <c r="D16" s="378">
        <v>0.66</v>
      </c>
      <c r="E16" s="374" t="s">
        <v>239</v>
      </c>
      <c r="F16" s="378">
        <f>$D$16</f>
        <v>0.66</v>
      </c>
      <c r="G16" s="383" t="s">
        <v>239</v>
      </c>
      <c r="H16" s="383">
        <f>$H$15</f>
        <v>24</v>
      </c>
      <c r="I16" s="383"/>
      <c r="J16" s="383">
        <f>$H$16*$F$16</f>
        <v>15.84</v>
      </c>
      <c r="K16" s="371">
        <v>29120</v>
      </c>
      <c r="L16" s="371"/>
      <c r="M16" s="402">
        <f>$K$16*$J$16</f>
        <v>461260.79999999999</v>
      </c>
      <c r="N16" s="404">
        <f>$M$16/($O$5*1000)</f>
        <v>2.121926027963409E-2</v>
      </c>
      <c r="O16" s="887">
        <f>($M$16/$O$6)/$O$5</f>
        <v>1.3649337630023215E-3</v>
      </c>
    </row>
    <row r="17" spans="2:15" x14ac:dyDescent="0.25">
      <c r="B17" s="863"/>
      <c r="C17" s="372" t="s">
        <v>263</v>
      </c>
      <c r="D17" s="378">
        <v>0.41</v>
      </c>
      <c r="E17" s="374" t="s">
        <v>239</v>
      </c>
      <c r="F17" s="378">
        <f>$D$17</f>
        <v>0.41</v>
      </c>
      <c r="G17" s="383" t="s">
        <v>239</v>
      </c>
      <c r="H17" s="383">
        <f>$H$15</f>
        <v>24</v>
      </c>
      <c r="I17" s="383"/>
      <c r="J17" s="383">
        <f>$H$17*$F$17</f>
        <v>9.84</v>
      </c>
      <c r="K17" s="371">
        <v>117212</v>
      </c>
      <c r="L17" s="371"/>
      <c r="M17" s="402">
        <f>$K$17*$J$17</f>
        <v>1153366.08</v>
      </c>
      <c r="N17" s="404">
        <f>$M$17/($O$5*1000)</f>
        <v>5.3057998965490405E-2</v>
      </c>
      <c r="O17" s="887">
        <f>($M$17/$O$6)/$O$5</f>
        <v>3.412967899491214E-3</v>
      </c>
    </row>
    <row r="18" spans="2:15" x14ac:dyDescent="0.25">
      <c r="B18" s="863"/>
      <c r="C18" s="379" t="s">
        <v>264</v>
      </c>
      <c r="D18" s="378">
        <v>0.1</v>
      </c>
      <c r="E18" s="374" t="s">
        <v>239</v>
      </c>
      <c r="F18" s="378">
        <f>$D$18</f>
        <v>0.1</v>
      </c>
      <c r="G18" s="383" t="s">
        <v>239</v>
      </c>
      <c r="H18" s="383">
        <f>$H$16</f>
        <v>24</v>
      </c>
      <c r="I18" s="383"/>
      <c r="J18" s="383">
        <f>$H$18*$F$18</f>
        <v>2.4000000000000004</v>
      </c>
      <c r="K18" s="371">
        <v>45940</v>
      </c>
      <c r="L18" s="371"/>
      <c r="M18" s="402">
        <f>$K$18*$J$18</f>
        <v>110256.00000000001</v>
      </c>
      <c r="N18" s="404">
        <f>$M$18/($O$5*1000)</f>
        <v>5.0720780118131362E-3</v>
      </c>
      <c r="O18" s="887">
        <f>($M$18/$O$6)/$O$5</f>
        <v>3.2626257634202604E-4</v>
      </c>
    </row>
    <row r="19" spans="2:15" x14ac:dyDescent="0.25">
      <c r="B19" s="862">
        <v>5</v>
      </c>
      <c r="C19" s="406" t="s">
        <v>7</v>
      </c>
      <c r="D19" s="383"/>
      <c r="E19" s="374"/>
      <c r="F19" s="383"/>
      <c r="G19" s="383"/>
      <c r="H19" s="383"/>
      <c r="I19" s="383"/>
      <c r="J19" s="383"/>
      <c r="K19" s="371"/>
      <c r="L19" s="371"/>
      <c r="M19" s="383"/>
      <c r="N19" s="405"/>
      <c r="O19" s="861"/>
    </row>
    <row r="20" spans="2:15" x14ac:dyDescent="0.25">
      <c r="B20" s="863"/>
      <c r="C20" s="407" t="s">
        <v>288</v>
      </c>
      <c r="D20" s="378">
        <v>0.33333333333333331</v>
      </c>
      <c r="E20" s="374" t="s">
        <v>266</v>
      </c>
      <c r="F20" s="378">
        <f>$D$20</f>
        <v>0.33333333333333331</v>
      </c>
      <c r="G20" s="383" t="s">
        <v>266</v>
      </c>
      <c r="H20" s="383">
        <f>$H$18</f>
        <v>24</v>
      </c>
      <c r="I20" s="383"/>
      <c r="J20" s="383">
        <f>$H$20*$F$20</f>
        <v>8</v>
      </c>
      <c r="K20" s="371">
        <v>895000</v>
      </c>
      <c r="L20" s="371"/>
      <c r="M20" s="402">
        <f>$K$20*$J$20</f>
        <v>7160000</v>
      </c>
      <c r="N20" s="404">
        <f>$M$20/($O$5*1000)</f>
        <v>0.32937961257965143</v>
      </c>
      <c r="O20" s="887">
        <f>($M$20/$O$6)/$O$5</f>
        <v>2.1187418794522801E-2</v>
      </c>
    </row>
    <row r="21" spans="2:15" ht="15.75" thickBot="1" x14ac:dyDescent="0.3">
      <c r="B21" s="873"/>
      <c r="C21" s="888" t="s">
        <v>267</v>
      </c>
      <c r="D21" s="875">
        <v>0.63253012048192769</v>
      </c>
      <c r="E21" s="889" t="s">
        <v>266</v>
      </c>
      <c r="F21" s="875">
        <f>$D$21</f>
        <v>0.63253012048192769</v>
      </c>
      <c r="G21" s="877" t="s">
        <v>266</v>
      </c>
      <c r="H21" s="877">
        <f>$H$20</f>
        <v>24</v>
      </c>
      <c r="I21" s="877"/>
      <c r="J21" s="877">
        <f>$H$21*$F$21</f>
        <v>15.180722891566266</v>
      </c>
      <c r="K21" s="878">
        <v>125000</v>
      </c>
      <c r="L21" s="878"/>
      <c r="M21" s="890">
        <f>$K$21*$J$21</f>
        <v>1897590.3614457832</v>
      </c>
      <c r="N21" s="891">
        <f>$M$21/($O$5*1000)</f>
        <v>8.7294354481549277E-2</v>
      </c>
      <c r="O21" s="892">
        <f>($M$21/$O$6)/$O$5</f>
        <v>5.6152292860896227E-3</v>
      </c>
    </row>
    <row r="22" spans="2:15" ht="15.75" thickBot="1" x14ac:dyDescent="0.3">
      <c r="B22" s="408"/>
      <c r="C22" s="391"/>
      <c r="D22" s="392"/>
      <c r="E22" s="392"/>
      <c r="F22" s="393"/>
      <c r="G22" s="393"/>
      <c r="H22" s="393"/>
      <c r="I22" s="393"/>
      <c r="M22" s="881">
        <f>SUM(M8:M21)</f>
        <v>1478684420.1492167</v>
      </c>
      <c r="N22" s="882">
        <f t="shared" ref="N22" si="0">SUM(N8:N21)</f>
        <v>68.023533720155783</v>
      </c>
      <c r="O22" s="882">
        <f>SUM($O$8:$O$21)</f>
        <v>4.3756293400331794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E22" sqref="E22"/>
    </sheetView>
  </sheetViews>
  <sheetFormatPr defaultColWidth="8.5703125" defaultRowHeight="15" x14ac:dyDescent="0.25"/>
  <cols>
    <col min="1" max="1" width="4.42578125" style="920" customWidth="1"/>
    <col min="2" max="2" width="38.42578125" style="920" customWidth="1"/>
    <col min="3" max="3" width="17.42578125" style="920" bestFit="1" customWidth="1"/>
    <col min="4" max="4" width="13.5703125" style="920" customWidth="1"/>
    <col min="5" max="5" width="22" style="920" customWidth="1"/>
    <col min="6" max="6" width="10" style="920" customWidth="1"/>
    <col min="7" max="7" width="16.42578125" style="920" customWidth="1"/>
    <col min="8" max="8" width="17.42578125" style="920" customWidth="1"/>
    <col min="9" max="9" width="16.42578125" style="920" bestFit="1" customWidth="1"/>
    <col min="10" max="10" width="12.42578125" style="920" customWidth="1"/>
    <col min="11" max="11" width="17.42578125" style="920" bestFit="1" customWidth="1"/>
    <col min="12" max="12" width="12.42578125" style="920" customWidth="1"/>
    <col min="13" max="13" width="10.5703125" style="920" bestFit="1" customWidth="1"/>
    <col min="14" max="14" width="20.42578125" style="920" bestFit="1" customWidth="1"/>
    <col min="15" max="15" width="14.42578125" style="920" customWidth="1"/>
    <col min="16" max="28" width="7.5703125" style="920" customWidth="1"/>
    <col min="29" max="29" width="11" style="920" customWidth="1"/>
    <col min="30" max="41" width="13.42578125" style="920" hidden="1" customWidth="1"/>
    <col min="42" max="42" width="15.5703125" style="920" customWidth="1"/>
    <col min="43" max="16384" width="8.5703125" style="920"/>
  </cols>
  <sheetData>
    <row r="2" spans="2:13" ht="20.85" customHeight="1" x14ac:dyDescent="0.25">
      <c r="B2" s="1082" t="s">
        <v>572</v>
      </c>
      <c r="C2" s="1083"/>
      <c r="E2" s="1083"/>
      <c r="F2" s="1083"/>
      <c r="G2" s="920" t="s">
        <v>573</v>
      </c>
      <c r="H2" s="1189">
        <f>'SUMMARY HPP '!I9</f>
        <v>15546</v>
      </c>
    </row>
    <row r="3" spans="2:13" ht="23.85" customHeight="1" x14ac:dyDescent="0.25">
      <c r="B3" s="1084" t="s">
        <v>394</v>
      </c>
      <c r="C3" s="1754" t="s">
        <v>224</v>
      </c>
      <c r="D3" s="1755"/>
      <c r="E3" s="1085" t="s">
        <v>574</v>
      </c>
      <c r="F3" s="1756" t="s">
        <v>575</v>
      </c>
      <c r="G3" s="1757"/>
      <c r="H3" s="1086" t="s">
        <v>576</v>
      </c>
    </row>
    <row r="4" spans="2:13" ht="21" customHeight="1" x14ac:dyDescent="0.25">
      <c r="B4" s="1087" t="s">
        <v>577</v>
      </c>
      <c r="C4" s="1088">
        <f>408/24</f>
        <v>17</v>
      </c>
      <c r="D4" s="1089" t="s">
        <v>578</v>
      </c>
      <c r="E4" s="1194">
        <f>'November 2024'!AL242</f>
        <v>345.23091525993698</v>
      </c>
      <c r="F4" s="1758"/>
      <c r="G4" s="1759"/>
      <c r="H4" s="1090" t="s">
        <v>276</v>
      </c>
    </row>
    <row r="5" spans="2:13" x14ac:dyDescent="0.25">
      <c r="B5" s="1091" t="s">
        <v>579</v>
      </c>
      <c r="C5" s="1092">
        <v>1000</v>
      </c>
      <c r="D5" s="1093" t="s">
        <v>246</v>
      </c>
      <c r="E5" s="1094">
        <f>'November 2024'!$AL$233</f>
        <v>1308.2028272727273</v>
      </c>
      <c r="F5" s="1095">
        <v>11.5</v>
      </c>
      <c r="G5" s="1093" t="s">
        <v>580</v>
      </c>
      <c r="H5" s="1096">
        <f>E5*H2*F5</f>
        <v>233879193.25699091</v>
      </c>
      <c r="I5" s="1097" t="s">
        <v>581</v>
      </c>
      <c r="J5" s="1097"/>
    </row>
    <row r="6" spans="2:13" x14ac:dyDescent="0.25">
      <c r="B6" s="1098" t="s">
        <v>582</v>
      </c>
      <c r="C6" s="1099"/>
      <c r="D6" s="1100"/>
      <c r="E6" s="1101"/>
      <c r="F6" s="1099"/>
      <c r="G6" s="1100"/>
      <c r="H6" s="1102"/>
    </row>
    <row r="7" spans="2:13" x14ac:dyDescent="0.25">
      <c r="B7" s="1103" t="s">
        <v>583</v>
      </c>
      <c r="C7" s="1104">
        <v>7.3</v>
      </c>
      <c r="D7" s="1100" t="s">
        <v>584</v>
      </c>
      <c r="E7" s="1105">
        <f>C7</f>
        <v>7.3</v>
      </c>
      <c r="F7" s="1099">
        <v>25340</v>
      </c>
      <c r="G7" s="1100" t="s">
        <v>585</v>
      </c>
      <c r="H7" s="1102">
        <f t="shared" ref="H7:H12" si="0">E7*F7</f>
        <v>184982</v>
      </c>
      <c r="K7" s="1106"/>
    </row>
    <row r="8" spans="2:13" x14ac:dyDescent="0.25">
      <c r="B8" s="1103" t="s">
        <v>586</v>
      </c>
      <c r="C8" s="1104">
        <v>2.4</v>
      </c>
      <c r="D8" s="1100" t="s">
        <v>584</v>
      </c>
      <c r="E8" s="1105">
        <f t="shared" ref="E8:E10" si="1">C8</f>
        <v>2.4</v>
      </c>
      <c r="F8" s="1099">
        <v>110000</v>
      </c>
      <c r="G8" s="1100" t="s">
        <v>585</v>
      </c>
      <c r="H8" s="1102">
        <f t="shared" si="0"/>
        <v>264000</v>
      </c>
      <c r="K8" s="1106"/>
    </row>
    <row r="9" spans="2:13" x14ac:dyDescent="0.25">
      <c r="B9" s="1103" t="s">
        <v>587</v>
      </c>
      <c r="C9" s="1104">
        <v>2.4</v>
      </c>
      <c r="D9" s="1100" t="s">
        <v>584</v>
      </c>
      <c r="E9" s="1105">
        <f t="shared" si="1"/>
        <v>2.4</v>
      </c>
      <c r="F9" s="1099">
        <v>20160</v>
      </c>
      <c r="G9" s="1100" t="s">
        <v>585</v>
      </c>
      <c r="H9" s="1102">
        <f t="shared" si="0"/>
        <v>48384</v>
      </c>
      <c r="K9" s="1106"/>
    </row>
    <row r="10" spans="2:13" x14ac:dyDescent="0.25">
      <c r="B10" s="1103" t="s">
        <v>588</v>
      </c>
      <c r="C10" s="1104">
        <v>5.8</v>
      </c>
      <c r="D10" s="1100" t="s">
        <v>584</v>
      </c>
      <c r="E10" s="1105">
        <f t="shared" si="1"/>
        <v>5.8</v>
      </c>
      <c r="F10" s="1099">
        <v>31800</v>
      </c>
      <c r="G10" s="1100" t="s">
        <v>585</v>
      </c>
      <c r="H10" s="1102">
        <f t="shared" si="0"/>
        <v>184440</v>
      </c>
      <c r="K10" s="1106"/>
    </row>
    <row r="11" spans="2:13" x14ac:dyDescent="0.25">
      <c r="B11" s="1103" t="s">
        <v>589</v>
      </c>
      <c r="C11" s="1104">
        <v>1.4</v>
      </c>
      <c r="D11" s="1100" t="s">
        <v>584</v>
      </c>
      <c r="E11" s="1105">
        <f>C11</f>
        <v>1.4</v>
      </c>
      <c r="F11" s="1099">
        <v>39320</v>
      </c>
      <c r="G11" s="1100" t="s">
        <v>585</v>
      </c>
      <c r="H11" s="1102">
        <f>E11*F11</f>
        <v>55048</v>
      </c>
      <c r="K11" s="1106"/>
    </row>
    <row r="12" spans="2:13" x14ac:dyDescent="0.25">
      <c r="B12" s="1098" t="s">
        <v>590</v>
      </c>
      <c r="C12" s="1107">
        <f>[32]L.Water!C12*83%</f>
        <v>408.01969999999994</v>
      </c>
      <c r="D12" s="1100" t="s">
        <v>259</v>
      </c>
      <c r="E12" s="1101">
        <f>C12</f>
        <v>408.01969999999994</v>
      </c>
      <c r="F12" s="1099">
        <f>[32]L.Water!F12</f>
        <v>10162</v>
      </c>
      <c r="G12" s="1100" t="s">
        <v>591</v>
      </c>
      <c r="H12" s="1102">
        <f t="shared" si="0"/>
        <v>4146296.1913999994</v>
      </c>
      <c r="K12" s="1106"/>
    </row>
    <row r="13" spans="2:13" x14ac:dyDescent="0.25">
      <c r="B13" s="1098" t="s">
        <v>592</v>
      </c>
      <c r="C13" s="1099"/>
      <c r="D13" s="1100" t="s">
        <v>276</v>
      </c>
      <c r="E13" s="1101"/>
      <c r="F13" s="1099"/>
      <c r="G13" s="1100"/>
      <c r="H13" s="1102">
        <f>C13</f>
        <v>0</v>
      </c>
      <c r="J13" s="1097"/>
    </row>
    <row r="14" spans="2:13" x14ac:dyDescent="0.25">
      <c r="B14" s="1108" t="s">
        <v>593</v>
      </c>
      <c r="C14" s="1109"/>
      <c r="D14" s="1110"/>
      <c r="E14" s="1109"/>
      <c r="F14" s="1109"/>
      <c r="G14" s="1110"/>
      <c r="H14" s="1111">
        <f>IFERROR(SUM(H5:H13),"")</f>
        <v>238762343.4483909</v>
      </c>
    </row>
    <row r="15" spans="2:13" ht="21" customHeight="1" x14ac:dyDescent="0.25">
      <c r="C15" s="1083"/>
      <c r="E15" s="1083"/>
      <c r="F15" s="1760" t="s">
        <v>594</v>
      </c>
      <c r="G15" s="1761"/>
      <c r="H15" s="1112">
        <f>H14/E4</f>
        <v>691601.86094173521</v>
      </c>
    </row>
    <row r="16" spans="2:13" x14ac:dyDescent="0.25">
      <c r="M16" s="1106"/>
    </row>
    <row r="17" spans="2:41" x14ac:dyDescent="0.25">
      <c r="B17" s="920" t="s">
        <v>595</v>
      </c>
      <c r="M17" s="1106"/>
      <c r="O17" s="1106"/>
      <c r="P17" s="1106"/>
      <c r="Q17" s="1106"/>
      <c r="R17" s="1106"/>
      <c r="S17" s="1106"/>
      <c r="T17" s="1106"/>
      <c r="U17" s="1106"/>
      <c r="V17" s="1106"/>
      <c r="W17" s="1106"/>
      <c r="X17" s="1106"/>
      <c r="Y17" s="1106"/>
      <c r="Z17" s="1106"/>
      <c r="AA17" s="1106"/>
      <c r="AB17" s="1106"/>
      <c r="AC17" s="1106"/>
      <c r="AD17" s="1106"/>
      <c r="AE17" s="1106"/>
      <c r="AF17" s="1106"/>
      <c r="AG17" s="1106"/>
      <c r="AH17" s="1106"/>
      <c r="AI17" s="1106"/>
      <c r="AJ17" s="1106"/>
      <c r="AK17" s="1106"/>
      <c r="AL17" s="1106"/>
      <c r="AM17" s="1106"/>
      <c r="AN17" s="1106"/>
      <c r="AO17" s="1106"/>
    </row>
    <row r="18" spans="2:41" x14ac:dyDescent="0.25">
      <c r="B18" s="920" t="s">
        <v>596</v>
      </c>
      <c r="M18" s="1106"/>
      <c r="O18" s="1106"/>
      <c r="P18" s="1106"/>
      <c r="Q18" s="1106"/>
      <c r="R18" s="1106"/>
      <c r="S18" s="1106"/>
      <c r="T18" s="1106"/>
      <c r="U18" s="1106"/>
      <c r="V18" s="1106"/>
      <c r="W18" s="1106"/>
      <c r="X18" s="1106"/>
      <c r="Y18" s="1106"/>
      <c r="Z18" s="1106"/>
      <c r="AA18" s="1106"/>
      <c r="AB18" s="1106"/>
      <c r="AC18" s="1106"/>
      <c r="AD18" s="1106"/>
      <c r="AE18" s="1106"/>
      <c r="AF18" s="1106"/>
      <c r="AG18" s="1106"/>
      <c r="AH18" s="1106"/>
      <c r="AI18" s="1106"/>
      <c r="AJ18" s="1106"/>
      <c r="AK18" s="1106"/>
      <c r="AL18" s="1106"/>
      <c r="AM18" s="1106"/>
      <c r="AN18" s="1106"/>
      <c r="AO18" s="1106"/>
    </row>
    <row r="19" spans="2:41" x14ac:dyDescent="0.25">
      <c r="M19" s="1106"/>
      <c r="N19" s="1106"/>
    </row>
    <row r="20" spans="2:41" x14ac:dyDescent="0.25">
      <c r="M20" s="1106"/>
      <c r="N20" s="1106"/>
    </row>
    <row r="21" spans="2:41" x14ac:dyDescent="0.25">
      <c r="M21" s="1106"/>
    </row>
    <row r="22" spans="2:41" x14ac:dyDescent="0.25">
      <c r="M22" s="1106"/>
    </row>
    <row r="26" spans="2:41" x14ac:dyDescent="0.25">
      <c r="C26" s="920" t="s">
        <v>597</v>
      </c>
    </row>
    <row r="29" spans="2:41" x14ac:dyDescent="0.25">
      <c r="AB29" s="1106"/>
      <c r="AC29" s="1106"/>
      <c r="AD29" s="1106"/>
      <c r="AE29" s="1106"/>
      <c r="AF29" s="1106"/>
      <c r="AG29" s="1106"/>
      <c r="AH29" s="1106"/>
      <c r="AI29" s="1106"/>
      <c r="AJ29" s="1106"/>
      <c r="AK29" s="1106"/>
      <c r="AL29" s="1106"/>
      <c r="AM29" s="1106"/>
      <c r="AN29" s="1106"/>
      <c r="AO29" s="1113"/>
    </row>
    <row r="30" spans="2:41" x14ac:dyDescent="0.25">
      <c r="AB30" s="1106"/>
      <c r="AC30" s="1106"/>
      <c r="AD30" s="1106"/>
      <c r="AE30" s="1106"/>
      <c r="AF30" s="1106"/>
      <c r="AG30" s="1106"/>
      <c r="AH30" s="1106"/>
      <c r="AI30" s="1106"/>
      <c r="AJ30" s="1106"/>
      <c r="AK30" s="1106"/>
      <c r="AL30" s="1106"/>
      <c r="AM30" s="1106"/>
      <c r="AN30" s="1106"/>
      <c r="AO30" s="1113"/>
    </row>
    <row r="31" spans="2:41" x14ac:dyDescent="0.25">
      <c r="AB31" s="1106"/>
      <c r="AC31" s="1106"/>
      <c r="AD31" s="1106"/>
      <c r="AE31" s="1106"/>
      <c r="AF31" s="1106"/>
      <c r="AG31" s="1106"/>
      <c r="AH31" s="1106"/>
      <c r="AI31" s="1106"/>
      <c r="AJ31" s="1106"/>
      <c r="AK31" s="1106"/>
      <c r="AL31" s="1106"/>
      <c r="AM31" s="1106"/>
      <c r="AN31" s="1106"/>
      <c r="AO31" s="1113"/>
    </row>
    <row r="32" spans="2:41" x14ac:dyDescent="0.25">
      <c r="AB32" s="1106"/>
      <c r="AC32" s="1106"/>
      <c r="AD32" s="1106"/>
      <c r="AE32" s="1106"/>
      <c r="AF32" s="1106"/>
      <c r="AG32" s="1106"/>
      <c r="AH32" s="1106"/>
      <c r="AI32" s="1106"/>
      <c r="AJ32" s="1106"/>
      <c r="AK32" s="1106"/>
      <c r="AL32" s="1106"/>
      <c r="AM32" s="1106"/>
      <c r="AN32" s="1106"/>
      <c r="AO32" s="1113"/>
    </row>
    <row r="33" spans="28:41" x14ac:dyDescent="0.25">
      <c r="AB33" s="1106"/>
      <c r="AC33" s="1106"/>
      <c r="AD33" s="1106"/>
      <c r="AE33" s="1106"/>
      <c r="AF33" s="1106"/>
      <c r="AG33" s="1106"/>
      <c r="AH33" s="1106"/>
      <c r="AI33" s="1106"/>
      <c r="AJ33" s="1106"/>
      <c r="AK33" s="1106"/>
      <c r="AL33" s="1106"/>
      <c r="AM33" s="1106"/>
      <c r="AN33" s="1106"/>
      <c r="AO33" s="1113"/>
    </row>
    <row r="34" spans="28:41" x14ac:dyDescent="0.25">
      <c r="AB34" s="1106"/>
      <c r="AC34" s="1106"/>
      <c r="AD34" s="1106"/>
      <c r="AE34" s="1106"/>
      <c r="AF34" s="1106"/>
      <c r="AG34" s="1106"/>
      <c r="AH34" s="1106"/>
      <c r="AI34" s="1106"/>
      <c r="AJ34" s="1106"/>
      <c r="AK34" s="1106"/>
      <c r="AL34" s="1106"/>
      <c r="AM34" s="1106"/>
      <c r="AN34" s="1106"/>
      <c r="AO34" s="1113"/>
    </row>
    <row r="35" spans="28:41" x14ac:dyDescent="0.25">
      <c r="AB35" s="1106"/>
      <c r="AC35" s="1106"/>
      <c r="AD35" s="1106"/>
      <c r="AE35" s="1106"/>
      <c r="AF35" s="1106"/>
      <c r="AG35" s="1106"/>
      <c r="AH35" s="1106"/>
      <c r="AI35" s="1106"/>
      <c r="AJ35" s="1106"/>
      <c r="AK35" s="1106"/>
      <c r="AL35" s="1106"/>
      <c r="AM35" s="1106"/>
      <c r="AN35" s="1106"/>
      <c r="AO35" s="1113"/>
    </row>
    <row r="36" spans="28:41" x14ac:dyDescent="0.25">
      <c r="AB36" s="1106"/>
      <c r="AC36" s="1106"/>
      <c r="AD36" s="1106"/>
      <c r="AE36" s="1106"/>
      <c r="AF36" s="1106"/>
      <c r="AG36" s="1106"/>
      <c r="AH36" s="1106"/>
      <c r="AI36" s="1106"/>
      <c r="AJ36" s="1106"/>
      <c r="AK36" s="1106"/>
      <c r="AL36" s="1106"/>
      <c r="AM36" s="1106"/>
      <c r="AN36" s="1106"/>
      <c r="AO36" s="1113"/>
    </row>
    <row r="37" spans="28:41" x14ac:dyDescent="0.25">
      <c r="AB37" s="1106"/>
      <c r="AC37" s="1106"/>
      <c r="AD37" s="1106"/>
      <c r="AE37" s="1106"/>
      <c r="AF37" s="1106"/>
      <c r="AG37" s="1106"/>
      <c r="AH37" s="1106"/>
      <c r="AI37" s="1106"/>
      <c r="AJ37" s="1106"/>
      <c r="AK37" s="1106"/>
      <c r="AL37" s="1106"/>
      <c r="AM37" s="1106"/>
      <c r="AN37" s="1106"/>
      <c r="AO37" s="1113"/>
    </row>
    <row r="38" spans="28:41" x14ac:dyDescent="0.25">
      <c r="AB38" s="1106"/>
      <c r="AC38" s="1106"/>
      <c r="AD38" s="1106"/>
      <c r="AE38" s="1106"/>
      <c r="AF38" s="1106"/>
      <c r="AG38" s="1106"/>
      <c r="AH38" s="1106"/>
      <c r="AI38" s="1106"/>
      <c r="AJ38" s="1106"/>
      <c r="AK38" s="1106"/>
      <c r="AL38" s="1106"/>
      <c r="AM38" s="1106"/>
      <c r="AN38" s="1106"/>
      <c r="AO38" s="1113"/>
    </row>
    <row r="39" spans="28:41" x14ac:dyDescent="0.25">
      <c r="AB39" s="1106"/>
      <c r="AC39" s="1106"/>
      <c r="AD39" s="1106"/>
      <c r="AE39" s="1106"/>
      <c r="AF39" s="1106"/>
      <c r="AG39" s="1106"/>
      <c r="AH39" s="1106"/>
      <c r="AI39" s="1106"/>
      <c r="AJ39" s="1106"/>
      <c r="AK39" s="1106"/>
      <c r="AL39" s="1106"/>
      <c r="AM39" s="1106"/>
      <c r="AN39" s="1106"/>
      <c r="AO39" s="1113"/>
    </row>
    <row r="40" spans="28:41" x14ac:dyDescent="0.25">
      <c r="AB40" s="1106"/>
      <c r="AC40" s="1106"/>
      <c r="AD40" s="1106"/>
      <c r="AE40" s="1106"/>
      <c r="AF40" s="1106"/>
      <c r="AG40" s="1106"/>
      <c r="AH40" s="1106"/>
      <c r="AI40" s="1106"/>
      <c r="AJ40" s="1106"/>
      <c r="AK40" s="1106"/>
      <c r="AL40" s="1106"/>
      <c r="AM40" s="1106"/>
      <c r="AN40" s="1106"/>
      <c r="AO40" s="1113"/>
    </row>
    <row r="41" spans="28:41" x14ac:dyDescent="0.25">
      <c r="AB41" s="1106"/>
      <c r="AC41" s="1106"/>
      <c r="AD41" s="1106"/>
      <c r="AE41" s="1106"/>
      <c r="AF41" s="1106"/>
      <c r="AG41" s="1106"/>
      <c r="AH41" s="1106"/>
      <c r="AI41" s="1106"/>
      <c r="AJ41" s="1106"/>
      <c r="AK41" s="1106"/>
      <c r="AL41" s="1106"/>
      <c r="AM41" s="1106"/>
      <c r="AN41" s="1106"/>
      <c r="AO41" s="1113"/>
    </row>
    <row r="119" spans="29:42" x14ac:dyDescent="0.25">
      <c r="AC119" s="1106"/>
      <c r="AD119" s="1106"/>
      <c r="AE119" s="1106"/>
      <c r="AF119" s="1106"/>
      <c r="AG119" s="1106"/>
      <c r="AH119" s="1106"/>
      <c r="AI119" s="1106"/>
      <c r="AJ119" s="1106"/>
      <c r="AK119" s="1106"/>
      <c r="AL119" s="1106"/>
      <c r="AM119" s="1106"/>
      <c r="AN119" s="1106"/>
      <c r="AO119" s="1106"/>
      <c r="AP119" s="1113"/>
    </row>
    <row r="120" spans="29:42" x14ac:dyDescent="0.25">
      <c r="AC120" s="1106"/>
      <c r="AD120" s="1106"/>
      <c r="AE120" s="1106"/>
      <c r="AF120" s="1106"/>
      <c r="AG120" s="1106"/>
      <c r="AH120" s="1106"/>
      <c r="AI120" s="1106"/>
      <c r="AJ120" s="1106"/>
      <c r="AK120" s="1106"/>
      <c r="AL120" s="1106"/>
      <c r="AM120" s="1106"/>
      <c r="AN120" s="1106"/>
      <c r="AO120" s="1106"/>
      <c r="AP120" s="1113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H10" sqref="H10"/>
    </sheetView>
  </sheetViews>
  <sheetFormatPr defaultColWidth="8.5703125" defaultRowHeight="15" x14ac:dyDescent="0.25"/>
  <cols>
    <col min="1" max="1" width="4.42578125" style="920" customWidth="1"/>
    <col min="2" max="2" width="38.42578125" style="920" customWidth="1"/>
    <col min="3" max="4" width="13.5703125" style="920" customWidth="1"/>
    <col min="5" max="5" width="21" style="920" customWidth="1"/>
    <col min="6" max="6" width="10" style="920" customWidth="1"/>
    <col min="7" max="7" width="16.42578125" style="920" customWidth="1"/>
    <col min="8" max="8" width="19.42578125" style="920" customWidth="1"/>
    <col min="9" max="9" width="16.42578125" style="920" bestFit="1" customWidth="1"/>
    <col min="10" max="10" width="12.42578125" style="920" customWidth="1"/>
    <col min="11" max="11" width="17.42578125" style="920" bestFit="1" customWidth="1"/>
    <col min="12" max="12" width="12.42578125" style="920" customWidth="1"/>
    <col min="13" max="13" width="10.5703125" style="920" bestFit="1" customWidth="1"/>
    <col min="14" max="14" width="20.42578125" style="920" bestFit="1" customWidth="1"/>
    <col min="15" max="15" width="14.42578125" style="920" customWidth="1"/>
    <col min="16" max="28" width="7.5703125" style="920" customWidth="1"/>
    <col min="29" max="29" width="11" style="920" customWidth="1"/>
    <col min="30" max="41" width="13.42578125" style="920" hidden="1" customWidth="1"/>
    <col min="42" max="42" width="15.5703125" style="920" customWidth="1"/>
    <col min="43" max="16384" width="8.5703125" style="920"/>
  </cols>
  <sheetData>
    <row r="2" spans="2:10" ht="20.85" customHeight="1" x14ac:dyDescent="0.25">
      <c r="B2" s="1114" t="s">
        <v>598</v>
      </c>
      <c r="C2" s="1083"/>
      <c r="E2" s="1083"/>
      <c r="F2" s="1083"/>
      <c r="G2" s="920" t="s">
        <v>573</v>
      </c>
      <c r="H2" s="1189">
        <f>'SUMMARY HPP '!I9</f>
        <v>15546</v>
      </c>
    </row>
    <row r="3" spans="2:10" x14ac:dyDescent="0.25">
      <c r="B3" s="1084" t="s">
        <v>394</v>
      </c>
      <c r="C3" s="1754" t="s">
        <v>224</v>
      </c>
      <c r="D3" s="1755"/>
      <c r="E3" s="1085" t="s">
        <v>599</v>
      </c>
      <c r="F3" s="1756" t="s">
        <v>575</v>
      </c>
      <c r="G3" s="1757"/>
      <c r="H3" s="1086" t="s">
        <v>576</v>
      </c>
    </row>
    <row r="4" spans="2:10" x14ac:dyDescent="0.25">
      <c r="B4" s="1087" t="s">
        <v>600</v>
      </c>
      <c r="C4" s="1088">
        <f>200/24</f>
        <v>8.3333333333333339</v>
      </c>
      <c r="D4" s="1089" t="s">
        <v>601</v>
      </c>
      <c r="E4" s="1194">
        <f>'November 2024'!AL260</f>
        <v>277.77272727272725</v>
      </c>
      <c r="F4" s="1762"/>
      <c r="G4" s="1763"/>
      <c r="H4" s="1086" t="s">
        <v>276</v>
      </c>
    </row>
    <row r="5" spans="2:10" s="1121" customFormat="1" x14ac:dyDescent="0.25">
      <c r="B5" s="1116" t="s">
        <v>602</v>
      </c>
      <c r="C5" s="1117"/>
      <c r="D5" s="1118"/>
      <c r="E5" s="1119"/>
      <c r="F5" s="1099">
        <v>0</v>
      </c>
      <c r="G5" s="1120" t="s">
        <v>591</v>
      </c>
      <c r="H5" s="1102">
        <v>8700</v>
      </c>
    </row>
    <row r="6" spans="2:10" x14ac:dyDescent="0.25">
      <c r="B6" s="1098" t="s">
        <v>582</v>
      </c>
      <c r="C6" s="1099"/>
      <c r="D6" s="1100"/>
      <c r="E6" s="1101"/>
      <c r="F6" s="1099"/>
      <c r="G6" s="1100"/>
      <c r="H6" s="1102"/>
    </row>
    <row r="7" spans="2:10" x14ac:dyDescent="0.25">
      <c r="B7" s="1103" t="s">
        <v>603</v>
      </c>
      <c r="C7" s="1104">
        <v>0</v>
      </c>
      <c r="D7" s="1100" t="s">
        <v>242</v>
      </c>
      <c r="E7" s="1105">
        <f>C7</f>
        <v>0</v>
      </c>
      <c r="F7" s="1099">
        <v>24890</v>
      </c>
      <c r="G7" s="1100" t="s">
        <v>604</v>
      </c>
      <c r="H7" s="1102">
        <f t="shared" ref="H7:H15" si="0">E7*F7</f>
        <v>0</v>
      </c>
    </row>
    <row r="8" spans="2:10" x14ac:dyDescent="0.25">
      <c r="B8" s="1103" t="s">
        <v>605</v>
      </c>
      <c r="C8" s="1104">
        <f>E8*C4</f>
        <v>0.62305295950155759</v>
      </c>
      <c r="D8" s="1100" t="s">
        <v>242</v>
      </c>
      <c r="E8" s="1105">
        <v>7.476635514018691E-2</v>
      </c>
      <c r="F8" s="1099">
        <v>65340</v>
      </c>
      <c r="G8" s="1100" t="s">
        <v>604</v>
      </c>
      <c r="H8" s="1102">
        <f t="shared" si="0"/>
        <v>4885.2336448598126</v>
      </c>
    </row>
    <row r="9" spans="2:10" x14ac:dyDescent="0.25">
      <c r="B9" s="1103" t="s">
        <v>606</v>
      </c>
      <c r="C9" s="1104">
        <f>E9*C4</f>
        <v>46.728971962616825</v>
      </c>
      <c r="D9" s="1100" t="s">
        <v>242</v>
      </c>
      <c r="E9" s="1105">
        <v>5.6074766355140184</v>
      </c>
      <c r="F9" s="1099">
        <v>7702</v>
      </c>
      <c r="G9" s="1100" t="s">
        <v>604</v>
      </c>
      <c r="H9" s="1102">
        <f t="shared" si="0"/>
        <v>43188.785046728968</v>
      </c>
    </row>
    <row r="10" spans="2:10" x14ac:dyDescent="0.25">
      <c r="B10" s="1103" t="s">
        <v>607</v>
      </c>
      <c r="C10" s="1104">
        <f>E10*C4</f>
        <v>6.230529595015577</v>
      </c>
      <c r="D10" s="1100" t="s">
        <v>242</v>
      </c>
      <c r="E10" s="1105">
        <v>0.74766355140186924</v>
      </c>
      <c r="F10" s="1099">
        <v>18634</v>
      </c>
      <c r="G10" s="1100" t="s">
        <v>604</v>
      </c>
      <c r="H10" s="1102">
        <f t="shared" si="0"/>
        <v>13931.962616822431</v>
      </c>
    </row>
    <row r="11" spans="2:10" x14ac:dyDescent="0.25">
      <c r="B11" s="1103" t="s">
        <v>608</v>
      </c>
      <c r="C11" s="1104">
        <f>E11*C4</f>
        <v>1.2461059190031152</v>
      </c>
      <c r="D11" s="1100" t="s">
        <v>242</v>
      </c>
      <c r="E11" s="1105">
        <v>0.14953271028037382</v>
      </c>
      <c r="F11" s="1099">
        <v>44722</v>
      </c>
      <c r="G11" s="1100" t="s">
        <v>604</v>
      </c>
      <c r="H11" s="1102">
        <f t="shared" si="0"/>
        <v>6687.4018691588781</v>
      </c>
    </row>
    <row r="12" spans="2:10" x14ac:dyDescent="0.25">
      <c r="B12" s="1103" t="s">
        <v>609</v>
      </c>
      <c r="C12" s="1104">
        <v>0</v>
      </c>
      <c r="D12" s="1100" t="s">
        <v>242</v>
      </c>
      <c r="E12" s="1105">
        <f t="shared" ref="E12:E14" si="1">C12</f>
        <v>0</v>
      </c>
      <c r="F12" s="1099">
        <v>5700</v>
      </c>
      <c r="G12" s="1100" t="s">
        <v>604</v>
      </c>
      <c r="H12" s="1102">
        <f t="shared" si="0"/>
        <v>0</v>
      </c>
    </row>
    <row r="13" spans="2:10" x14ac:dyDescent="0.25">
      <c r="B13" s="1103" t="s">
        <v>610</v>
      </c>
      <c r="C13" s="1104">
        <v>0</v>
      </c>
      <c r="D13" s="1100" t="s">
        <v>242</v>
      </c>
      <c r="E13" s="1105">
        <f t="shared" si="1"/>
        <v>0</v>
      </c>
      <c r="F13" s="1099">
        <v>15700</v>
      </c>
      <c r="G13" s="1100" t="s">
        <v>604</v>
      </c>
      <c r="H13" s="1102">
        <f t="shared" si="0"/>
        <v>0</v>
      </c>
    </row>
    <row r="14" spans="2:10" x14ac:dyDescent="0.25">
      <c r="B14" s="1098" t="s">
        <v>136</v>
      </c>
      <c r="C14" s="1122">
        <v>2675</v>
      </c>
      <c r="D14" s="1100" t="s">
        <v>254</v>
      </c>
      <c r="E14" s="1105">
        <f t="shared" si="1"/>
        <v>2675</v>
      </c>
      <c r="F14" s="1099">
        <f>[33]UP.E!C28</f>
        <v>1550</v>
      </c>
      <c r="G14" s="1100" t="s">
        <v>611</v>
      </c>
      <c r="H14" s="1102">
        <f t="shared" si="0"/>
        <v>4146250</v>
      </c>
    </row>
    <row r="15" spans="2:10" x14ac:dyDescent="0.25">
      <c r="B15" s="1098" t="s">
        <v>592</v>
      </c>
      <c r="C15" s="1099"/>
      <c r="D15" s="1100" t="s">
        <v>276</v>
      </c>
      <c r="E15" s="1101"/>
      <c r="F15" s="1099"/>
      <c r="G15" s="1100"/>
      <c r="H15" s="1102">
        <f t="shared" si="0"/>
        <v>0</v>
      </c>
      <c r="I15" s="1123"/>
      <c r="J15" s="1097"/>
    </row>
    <row r="16" spans="2:10" x14ac:dyDescent="0.25">
      <c r="B16" s="1108"/>
      <c r="C16" s="1109"/>
      <c r="D16" s="1110"/>
      <c r="E16" s="1109"/>
      <c r="F16" s="1109"/>
      <c r="G16" s="1110"/>
      <c r="H16" s="1124">
        <f>IFERROR(SUM(H5:H15),"")</f>
        <v>4223643.3831775701</v>
      </c>
      <c r="I16" s="1125"/>
      <c r="J16" s="1106"/>
    </row>
    <row r="17" spans="3:41" x14ac:dyDescent="0.25">
      <c r="C17" s="1083"/>
      <c r="E17" s="1083"/>
      <c r="F17" s="1760" t="s">
        <v>612</v>
      </c>
      <c r="G17" s="1761"/>
      <c r="H17" s="1112">
        <f>H16/E4</f>
        <v>15205.392641123637</v>
      </c>
    </row>
    <row r="18" spans="3:41" x14ac:dyDescent="0.25">
      <c r="M18" s="1106"/>
    </row>
    <row r="19" spans="3:41" x14ac:dyDescent="0.25">
      <c r="M19" s="1106"/>
      <c r="O19" s="1106"/>
      <c r="P19" s="1106"/>
      <c r="Q19" s="1106"/>
      <c r="R19" s="1106"/>
      <c r="S19" s="1106"/>
      <c r="T19" s="1106"/>
      <c r="U19" s="1106"/>
      <c r="V19" s="1106"/>
      <c r="W19" s="1106"/>
      <c r="X19" s="1106"/>
      <c r="Y19" s="1106"/>
      <c r="Z19" s="1106"/>
      <c r="AA19" s="1106"/>
      <c r="AB19" s="1106"/>
      <c r="AC19" s="1106"/>
      <c r="AD19" s="1106"/>
      <c r="AE19" s="1106"/>
      <c r="AF19" s="1106"/>
      <c r="AG19" s="1106"/>
      <c r="AH19" s="1106"/>
      <c r="AI19" s="1106"/>
      <c r="AJ19" s="1106"/>
      <c r="AK19" s="1106"/>
      <c r="AL19" s="1106"/>
      <c r="AM19" s="1106"/>
      <c r="AN19" s="1106"/>
      <c r="AO19" s="1106"/>
    </row>
    <row r="20" spans="3:41" x14ac:dyDescent="0.25">
      <c r="M20" s="1106"/>
      <c r="O20" s="1106"/>
      <c r="P20" s="1106"/>
      <c r="Q20" s="1106"/>
      <c r="R20" s="1106"/>
      <c r="S20" s="1106"/>
      <c r="T20" s="1106"/>
      <c r="U20" s="1106"/>
      <c r="V20" s="1106"/>
      <c r="W20" s="1106"/>
      <c r="X20" s="1106"/>
      <c r="Y20" s="1106"/>
      <c r="Z20" s="1106"/>
      <c r="AA20" s="1106"/>
      <c r="AB20" s="1106"/>
      <c r="AC20" s="1106"/>
      <c r="AD20" s="1106"/>
      <c r="AE20" s="1106"/>
      <c r="AF20" s="1106"/>
      <c r="AG20" s="1106"/>
      <c r="AH20" s="1106"/>
      <c r="AI20" s="1106"/>
      <c r="AJ20" s="1106"/>
      <c r="AK20" s="1106"/>
      <c r="AL20" s="1106"/>
      <c r="AM20" s="1106"/>
      <c r="AN20" s="1106"/>
      <c r="AO20" s="1106"/>
    </row>
    <row r="21" spans="3:41" x14ac:dyDescent="0.25">
      <c r="M21" s="1106"/>
    </row>
    <row r="22" spans="3:41" x14ac:dyDescent="0.25">
      <c r="M22" s="1106"/>
      <c r="N22" s="1106"/>
    </row>
    <row r="23" spans="3:41" x14ac:dyDescent="0.25">
      <c r="M23" s="1106"/>
      <c r="N23" s="1106"/>
    </row>
    <row r="24" spans="3:41" x14ac:dyDescent="0.25">
      <c r="M24" s="1106"/>
    </row>
    <row r="25" spans="3:41" x14ac:dyDescent="0.25">
      <c r="M25" s="1106"/>
    </row>
    <row r="29" spans="3:41" x14ac:dyDescent="0.25">
      <c r="C29" s="920" t="s">
        <v>597</v>
      </c>
    </row>
    <row r="32" spans="3:41" x14ac:dyDescent="0.25">
      <c r="AB32" s="1106"/>
      <c r="AC32" s="1106"/>
      <c r="AD32" s="1106"/>
      <c r="AE32" s="1106"/>
      <c r="AF32" s="1106"/>
      <c r="AG32" s="1106"/>
      <c r="AH32" s="1106"/>
      <c r="AI32" s="1106"/>
      <c r="AJ32" s="1106"/>
      <c r="AK32" s="1106"/>
      <c r="AL32" s="1106"/>
      <c r="AM32" s="1106"/>
      <c r="AN32" s="1106"/>
      <c r="AO32" s="1113"/>
    </row>
    <row r="33" spans="28:41" x14ac:dyDescent="0.25">
      <c r="AB33" s="1106"/>
      <c r="AC33" s="1106"/>
      <c r="AD33" s="1106"/>
      <c r="AE33" s="1106"/>
      <c r="AF33" s="1106"/>
      <c r="AG33" s="1106"/>
      <c r="AH33" s="1106"/>
      <c r="AI33" s="1106"/>
      <c r="AJ33" s="1106"/>
      <c r="AK33" s="1106"/>
      <c r="AL33" s="1106"/>
      <c r="AM33" s="1106"/>
      <c r="AN33" s="1106"/>
      <c r="AO33" s="1113"/>
    </row>
    <row r="34" spans="28:41" x14ac:dyDescent="0.25">
      <c r="AB34" s="1106"/>
      <c r="AC34" s="1106"/>
      <c r="AD34" s="1106"/>
      <c r="AE34" s="1106"/>
      <c r="AF34" s="1106"/>
      <c r="AG34" s="1106"/>
      <c r="AH34" s="1106"/>
      <c r="AI34" s="1106"/>
      <c r="AJ34" s="1106"/>
      <c r="AK34" s="1106"/>
      <c r="AL34" s="1106"/>
      <c r="AM34" s="1106"/>
      <c r="AN34" s="1106"/>
      <c r="AO34" s="1113"/>
    </row>
    <row r="35" spans="28:41" x14ac:dyDescent="0.25">
      <c r="AB35" s="1106"/>
      <c r="AC35" s="1106"/>
      <c r="AD35" s="1106"/>
      <c r="AE35" s="1106"/>
      <c r="AF35" s="1106"/>
      <c r="AG35" s="1106"/>
      <c r="AH35" s="1106"/>
      <c r="AI35" s="1106"/>
      <c r="AJ35" s="1106"/>
      <c r="AK35" s="1106"/>
      <c r="AL35" s="1106"/>
      <c r="AM35" s="1106"/>
      <c r="AN35" s="1106"/>
      <c r="AO35" s="1113"/>
    </row>
    <row r="36" spans="28:41" x14ac:dyDescent="0.25">
      <c r="AB36" s="1106"/>
      <c r="AC36" s="1106"/>
      <c r="AD36" s="1106"/>
      <c r="AE36" s="1106"/>
      <c r="AF36" s="1106"/>
      <c r="AG36" s="1106"/>
      <c r="AH36" s="1106"/>
      <c r="AI36" s="1106"/>
      <c r="AJ36" s="1106"/>
      <c r="AK36" s="1106"/>
      <c r="AL36" s="1106"/>
      <c r="AM36" s="1106"/>
      <c r="AN36" s="1106"/>
      <c r="AO36" s="1113"/>
    </row>
    <row r="37" spans="28:41" x14ac:dyDescent="0.25">
      <c r="AB37" s="1106"/>
      <c r="AC37" s="1106"/>
      <c r="AD37" s="1106"/>
      <c r="AE37" s="1106"/>
      <c r="AF37" s="1106"/>
      <c r="AG37" s="1106"/>
      <c r="AH37" s="1106"/>
      <c r="AI37" s="1106"/>
      <c r="AJ37" s="1106"/>
      <c r="AK37" s="1106"/>
      <c r="AL37" s="1106"/>
      <c r="AM37" s="1106"/>
      <c r="AN37" s="1106"/>
      <c r="AO37" s="1113"/>
    </row>
    <row r="38" spans="28:41" x14ac:dyDescent="0.25">
      <c r="AB38" s="1106"/>
      <c r="AC38" s="1106"/>
      <c r="AD38" s="1106"/>
      <c r="AE38" s="1106"/>
      <c r="AF38" s="1106"/>
      <c r="AG38" s="1106"/>
      <c r="AH38" s="1106"/>
      <c r="AI38" s="1106"/>
      <c r="AJ38" s="1106"/>
      <c r="AK38" s="1106"/>
      <c r="AL38" s="1106"/>
      <c r="AM38" s="1106"/>
      <c r="AN38" s="1106"/>
      <c r="AO38" s="1113"/>
    </row>
    <row r="39" spans="28:41" x14ac:dyDescent="0.25">
      <c r="AB39" s="1106"/>
      <c r="AC39" s="1106"/>
      <c r="AD39" s="1106"/>
      <c r="AE39" s="1106"/>
      <c r="AF39" s="1106"/>
      <c r="AG39" s="1106"/>
      <c r="AH39" s="1106"/>
      <c r="AI39" s="1106"/>
      <c r="AJ39" s="1106"/>
      <c r="AK39" s="1106"/>
      <c r="AL39" s="1106"/>
      <c r="AM39" s="1106"/>
      <c r="AN39" s="1106"/>
      <c r="AO39" s="1113"/>
    </row>
    <row r="40" spans="28:41" x14ac:dyDescent="0.25">
      <c r="AB40" s="1106"/>
      <c r="AC40" s="1106"/>
      <c r="AD40" s="1106"/>
      <c r="AE40" s="1106"/>
      <c r="AF40" s="1106"/>
      <c r="AG40" s="1106"/>
      <c r="AH40" s="1106"/>
      <c r="AI40" s="1106"/>
      <c r="AJ40" s="1106"/>
      <c r="AK40" s="1106"/>
      <c r="AL40" s="1106"/>
      <c r="AM40" s="1106"/>
      <c r="AN40" s="1106"/>
      <c r="AO40" s="1113"/>
    </row>
    <row r="41" spans="28:41" x14ac:dyDescent="0.25">
      <c r="AB41" s="1106"/>
      <c r="AC41" s="1106"/>
      <c r="AD41" s="1106"/>
      <c r="AE41" s="1106"/>
      <c r="AF41" s="1106"/>
      <c r="AG41" s="1106"/>
      <c r="AH41" s="1106"/>
      <c r="AI41" s="1106"/>
      <c r="AJ41" s="1106"/>
      <c r="AK41" s="1106"/>
      <c r="AL41" s="1106"/>
      <c r="AM41" s="1106"/>
      <c r="AN41" s="1106"/>
      <c r="AO41" s="1113"/>
    </row>
    <row r="42" spans="28:41" x14ac:dyDescent="0.25">
      <c r="AB42" s="1106"/>
      <c r="AC42" s="1106"/>
      <c r="AD42" s="1106"/>
      <c r="AE42" s="1106"/>
      <c r="AF42" s="1106"/>
      <c r="AG42" s="1106"/>
      <c r="AH42" s="1106"/>
      <c r="AI42" s="1106"/>
      <c r="AJ42" s="1106"/>
      <c r="AK42" s="1106"/>
      <c r="AL42" s="1106"/>
      <c r="AM42" s="1106"/>
      <c r="AN42" s="1106"/>
      <c r="AO42" s="1113"/>
    </row>
    <row r="43" spans="28:41" x14ac:dyDescent="0.25">
      <c r="AB43" s="1106"/>
      <c r="AC43" s="1106"/>
      <c r="AD43" s="1106"/>
      <c r="AE43" s="1106"/>
      <c r="AF43" s="1106"/>
      <c r="AG43" s="1106"/>
      <c r="AH43" s="1106"/>
      <c r="AI43" s="1106"/>
      <c r="AJ43" s="1106"/>
      <c r="AK43" s="1106"/>
      <c r="AL43" s="1106"/>
      <c r="AM43" s="1106"/>
      <c r="AN43" s="1106"/>
      <c r="AO43" s="1113"/>
    </row>
    <row r="44" spans="28:41" x14ac:dyDescent="0.25">
      <c r="AB44" s="1106"/>
      <c r="AC44" s="1106"/>
      <c r="AD44" s="1106"/>
      <c r="AE44" s="1106"/>
      <c r="AF44" s="1106"/>
      <c r="AG44" s="1106"/>
      <c r="AH44" s="1106"/>
      <c r="AI44" s="1106"/>
      <c r="AJ44" s="1106"/>
      <c r="AK44" s="1106"/>
      <c r="AL44" s="1106"/>
      <c r="AM44" s="1106"/>
      <c r="AN44" s="1106"/>
      <c r="AO44" s="1113"/>
    </row>
    <row r="122" spans="29:42" x14ac:dyDescent="0.25">
      <c r="AC122" s="1106"/>
      <c r="AD122" s="1106"/>
      <c r="AE122" s="1106"/>
      <c r="AF122" s="1106"/>
      <c r="AG122" s="1106"/>
      <c r="AH122" s="1106"/>
      <c r="AI122" s="1106"/>
      <c r="AJ122" s="1106"/>
      <c r="AK122" s="1106"/>
      <c r="AL122" s="1106"/>
      <c r="AM122" s="1106"/>
      <c r="AN122" s="1106"/>
      <c r="AO122" s="1106"/>
      <c r="AP122" s="1113"/>
    </row>
    <row r="123" spans="29:42" x14ac:dyDescent="0.25">
      <c r="AC123" s="1106"/>
      <c r="AD123" s="1106"/>
      <c r="AE123" s="1106"/>
      <c r="AF123" s="1106"/>
      <c r="AG123" s="1106"/>
      <c r="AH123" s="1106"/>
      <c r="AI123" s="1106"/>
      <c r="AJ123" s="1106"/>
      <c r="AK123" s="1106"/>
      <c r="AL123" s="1106"/>
      <c r="AM123" s="1106"/>
      <c r="AN123" s="1106"/>
      <c r="AO123" s="1106"/>
      <c r="AP123" s="1113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E17" sqref="E17"/>
    </sheetView>
  </sheetViews>
  <sheetFormatPr defaultColWidth="8.5703125" defaultRowHeight="15" x14ac:dyDescent="0.25"/>
  <cols>
    <col min="1" max="1" width="4.42578125" style="920" customWidth="1"/>
    <col min="2" max="2" width="38.42578125" style="920" customWidth="1"/>
    <col min="3" max="4" width="13.5703125" style="920" customWidth="1"/>
    <col min="5" max="5" width="21" style="920" customWidth="1"/>
    <col min="6" max="6" width="10" style="920" customWidth="1"/>
    <col min="7" max="7" width="16.42578125" style="920" customWidth="1"/>
    <col min="8" max="8" width="19.42578125" style="920" customWidth="1"/>
    <col min="9" max="9" width="16.42578125" style="920" bestFit="1" customWidth="1"/>
    <col min="10" max="10" width="12.42578125" style="920" customWidth="1"/>
    <col min="11" max="11" width="17.42578125" style="920" bestFit="1" customWidth="1"/>
    <col min="12" max="12" width="12.42578125" style="920" customWidth="1"/>
    <col min="13" max="13" width="10.5703125" style="920" bestFit="1" customWidth="1"/>
    <col min="14" max="14" width="20.42578125" style="920" bestFit="1" customWidth="1"/>
    <col min="15" max="15" width="14.42578125" style="920" customWidth="1"/>
    <col min="16" max="28" width="7.5703125" style="920" customWidth="1"/>
    <col min="29" max="29" width="11" style="920" customWidth="1"/>
    <col min="30" max="41" width="13.42578125" style="920" hidden="1" customWidth="1"/>
    <col min="42" max="42" width="15.5703125" style="920" customWidth="1"/>
    <col min="43" max="16384" width="8.5703125" style="920"/>
  </cols>
  <sheetData>
    <row r="2" spans="2:41" ht="20.85" customHeight="1" x14ac:dyDescent="0.25">
      <c r="B2" s="1114" t="s">
        <v>613</v>
      </c>
      <c r="C2" s="1083"/>
      <c r="E2" s="1083"/>
      <c r="F2" s="1083"/>
      <c r="G2" s="920" t="s">
        <v>573</v>
      </c>
      <c r="H2" s="1189">
        <f>'SUMMARY HPP '!I9</f>
        <v>15546</v>
      </c>
    </row>
    <row r="3" spans="2:41" x14ac:dyDescent="0.25">
      <c r="B3" s="1084" t="s">
        <v>394</v>
      </c>
      <c r="C3" s="1754" t="s">
        <v>224</v>
      </c>
      <c r="D3" s="1755"/>
      <c r="E3" s="1085" t="s">
        <v>599</v>
      </c>
      <c r="F3" s="1756" t="s">
        <v>575</v>
      </c>
      <c r="G3" s="1757"/>
      <c r="H3" s="1086" t="s">
        <v>576</v>
      </c>
    </row>
    <row r="4" spans="2:41" x14ac:dyDescent="0.25">
      <c r="B4" s="1087" t="s">
        <v>613</v>
      </c>
      <c r="C4" s="1088">
        <f>1000/24</f>
        <v>41.666666666666664</v>
      </c>
      <c r="D4" s="1089" t="s">
        <v>601</v>
      </c>
      <c r="E4" s="1194">
        <f>'November 2024'!AL252</f>
        <v>1774</v>
      </c>
      <c r="F4" s="1762"/>
      <c r="G4" s="1763"/>
      <c r="H4" s="1086" t="s">
        <v>276</v>
      </c>
    </row>
    <row r="5" spans="2:41" x14ac:dyDescent="0.25">
      <c r="B5" s="1098" t="s">
        <v>614</v>
      </c>
      <c r="C5" s="1099"/>
      <c r="D5" s="1100"/>
      <c r="E5" s="1101"/>
      <c r="F5" s="1099">
        <v>8700</v>
      </c>
      <c r="G5" s="1100" t="s">
        <v>591</v>
      </c>
      <c r="H5" s="1102">
        <f>F5*E4</f>
        <v>15433800</v>
      </c>
    </row>
    <row r="6" spans="2:41" x14ac:dyDescent="0.25">
      <c r="B6" s="1103" t="s">
        <v>615</v>
      </c>
      <c r="C6" s="1104">
        <v>0.1</v>
      </c>
      <c r="D6" s="1100" t="s">
        <v>242</v>
      </c>
      <c r="E6" s="1105">
        <f>C6</f>
        <v>0.1</v>
      </c>
      <c r="F6" s="1099">
        <v>44500</v>
      </c>
      <c r="G6" s="1100" t="s">
        <v>604</v>
      </c>
      <c r="H6" s="1102">
        <f t="shared" ref="H6:H11" si="0">E6*F6</f>
        <v>4450</v>
      </c>
    </row>
    <row r="7" spans="2:41" x14ac:dyDescent="0.25">
      <c r="B7" s="1103" t="s">
        <v>616</v>
      </c>
      <c r="C7" s="1104">
        <v>0.1</v>
      </c>
      <c r="D7" s="1100" t="s">
        <v>242</v>
      </c>
      <c r="E7" s="1105">
        <f>C7</f>
        <v>0.1</v>
      </c>
      <c r="F7" s="1099">
        <v>65340</v>
      </c>
      <c r="G7" s="1100" t="s">
        <v>604</v>
      </c>
      <c r="H7" s="1102">
        <f>E7*F7</f>
        <v>6534</v>
      </c>
    </row>
    <row r="8" spans="2:41" x14ac:dyDescent="0.25">
      <c r="B8" s="1103" t="s">
        <v>617</v>
      </c>
      <c r="C8" s="1104">
        <v>0.1</v>
      </c>
      <c r="D8" s="1100" t="s">
        <v>242</v>
      </c>
      <c r="E8" s="1105">
        <f>C8</f>
        <v>0.1</v>
      </c>
      <c r="F8" s="1099">
        <v>33275</v>
      </c>
      <c r="G8" s="1100" t="s">
        <v>604</v>
      </c>
      <c r="H8" s="1102">
        <f>E8*F8</f>
        <v>3327.5</v>
      </c>
    </row>
    <row r="9" spans="2:41" x14ac:dyDescent="0.25">
      <c r="B9" s="1103" t="s">
        <v>618</v>
      </c>
      <c r="C9" s="1104">
        <v>0.1</v>
      </c>
      <c r="D9" s="1100" t="s">
        <v>242</v>
      </c>
      <c r="E9" s="1105">
        <f>C9</f>
        <v>0.1</v>
      </c>
      <c r="F9" s="1099">
        <v>47450</v>
      </c>
      <c r="G9" s="1100" t="s">
        <v>604</v>
      </c>
      <c r="H9" s="1102">
        <f>E9*F9</f>
        <v>4745</v>
      </c>
    </row>
    <row r="10" spans="2:41" x14ac:dyDescent="0.25">
      <c r="B10" s="1098" t="s">
        <v>136</v>
      </c>
      <c r="C10" s="1122">
        <v>8896</v>
      </c>
      <c r="D10" s="1100" t="s">
        <v>254</v>
      </c>
      <c r="E10" s="1105">
        <f>C10</f>
        <v>8896</v>
      </c>
      <c r="F10" s="1099">
        <f>[33]UP.E!C28</f>
        <v>1550</v>
      </c>
      <c r="G10" s="1100" t="s">
        <v>611</v>
      </c>
      <c r="H10" s="1102">
        <f>E10*F10</f>
        <v>13788800</v>
      </c>
    </row>
    <row r="11" spans="2:41" x14ac:dyDescent="0.25">
      <c r="B11" s="1098" t="s">
        <v>592</v>
      </c>
      <c r="C11" s="1099"/>
      <c r="D11" s="1100" t="s">
        <v>276</v>
      </c>
      <c r="E11" s="1101"/>
      <c r="F11" s="1099"/>
      <c r="G11" s="1100"/>
      <c r="H11" s="1126">
        <f t="shared" si="0"/>
        <v>0</v>
      </c>
      <c r="I11" s="1123"/>
      <c r="J11" s="1097"/>
    </row>
    <row r="12" spans="2:41" x14ac:dyDescent="0.25">
      <c r="B12" s="1108"/>
      <c r="C12" s="1109"/>
      <c r="D12" s="1110"/>
      <c r="E12" s="1109"/>
      <c r="F12" s="1109"/>
      <c r="G12" s="1110"/>
      <c r="H12" s="1124">
        <f>IFERROR(SUM(H5:H11),"")</f>
        <v>29241656.5</v>
      </c>
      <c r="I12" s="1125"/>
      <c r="J12" s="1106"/>
    </row>
    <row r="13" spans="2:41" x14ac:dyDescent="0.25">
      <c r="C13" s="1083"/>
      <c r="E13" s="1083"/>
      <c r="F13" s="1760" t="s">
        <v>612</v>
      </c>
      <c r="G13" s="1761"/>
      <c r="H13" s="1112">
        <f>H12/E4</f>
        <v>16483.4591319053</v>
      </c>
    </row>
    <row r="14" spans="2:41" x14ac:dyDescent="0.25">
      <c r="M14" s="1106"/>
    </row>
    <row r="15" spans="2:41" x14ac:dyDescent="0.25">
      <c r="M15" s="1106"/>
      <c r="O15" s="1106"/>
      <c r="P15" s="1106"/>
      <c r="Q15" s="1106"/>
      <c r="R15" s="1106"/>
      <c r="S15" s="1106"/>
      <c r="T15" s="1106"/>
      <c r="U15" s="1106"/>
      <c r="V15" s="1106"/>
      <c r="W15" s="1106"/>
      <c r="X15" s="1106"/>
      <c r="Y15" s="1106"/>
      <c r="Z15" s="1106"/>
      <c r="AA15" s="1106"/>
      <c r="AB15" s="1106"/>
      <c r="AC15" s="1106"/>
      <c r="AD15" s="1106"/>
      <c r="AE15" s="1106"/>
      <c r="AF15" s="1106"/>
      <c r="AG15" s="1106"/>
      <c r="AH15" s="1106"/>
      <c r="AI15" s="1106"/>
      <c r="AJ15" s="1106"/>
      <c r="AK15" s="1106"/>
      <c r="AL15" s="1106"/>
      <c r="AM15" s="1106"/>
      <c r="AN15" s="1106"/>
      <c r="AO15" s="1106"/>
    </row>
    <row r="16" spans="2:41" x14ac:dyDescent="0.25">
      <c r="M16" s="1106"/>
      <c r="O16" s="1106"/>
      <c r="P16" s="1106"/>
      <c r="Q16" s="1106"/>
      <c r="R16" s="1106"/>
      <c r="S16" s="1106"/>
      <c r="T16" s="1106"/>
      <c r="U16" s="1106"/>
      <c r="V16" s="1106"/>
      <c r="W16" s="1106"/>
      <c r="X16" s="1106"/>
      <c r="Y16" s="1106"/>
      <c r="Z16" s="1106"/>
      <c r="AA16" s="1106"/>
      <c r="AB16" s="1106"/>
      <c r="AC16" s="1106"/>
      <c r="AD16" s="1106"/>
      <c r="AE16" s="1106"/>
      <c r="AF16" s="1106"/>
      <c r="AG16" s="1106"/>
      <c r="AH16" s="1106"/>
      <c r="AI16" s="1106"/>
      <c r="AJ16" s="1106"/>
      <c r="AK16" s="1106"/>
      <c r="AL16" s="1106"/>
      <c r="AM16" s="1106"/>
      <c r="AN16" s="1106"/>
      <c r="AO16" s="1106"/>
    </row>
    <row r="17" spans="3:41" x14ac:dyDescent="0.25">
      <c r="M17" s="1106"/>
    </row>
    <row r="18" spans="3:41" x14ac:dyDescent="0.25">
      <c r="M18" s="1106"/>
      <c r="N18" s="1106"/>
    </row>
    <row r="19" spans="3:41" x14ac:dyDescent="0.25">
      <c r="M19" s="1106"/>
      <c r="N19" s="1106"/>
    </row>
    <row r="20" spans="3:41" x14ac:dyDescent="0.25">
      <c r="M20" s="1106"/>
    </row>
    <row r="21" spans="3:41" x14ac:dyDescent="0.25">
      <c r="M21" s="1106"/>
    </row>
    <row r="25" spans="3:41" x14ac:dyDescent="0.25">
      <c r="C25" s="920" t="s">
        <v>597</v>
      </c>
    </row>
    <row r="28" spans="3:41" x14ac:dyDescent="0.25">
      <c r="AB28" s="1106"/>
      <c r="AC28" s="1106"/>
      <c r="AD28" s="1106"/>
      <c r="AE28" s="1106"/>
      <c r="AF28" s="1106"/>
      <c r="AG28" s="1106"/>
      <c r="AH28" s="1106"/>
      <c r="AI28" s="1106"/>
      <c r="AJ28" s="1106"/>
      <c r="AK28" s="1106"/>
      <c r="AL28" s="1106"/>
      <c r="AM28" s="1106"/>
      <c r="AN28" s="1106"/>
      <c r="AO28" s="1113"/>
    </row>
    <row r="29" spans="3:41" x14ac:dyDescent="0.25">
      <c r="AB29" s="1106"/>
      <c r="AC29" s="1106"/>
      <c r="AD29" s="1106"/>
      <c r="AE29" s="1106"/>
      <c r="AF29" s="1106"/>
      <c r="AG29" s="1106"/>
      <c r="AH29" s="1106"/>
      <c r="AI29" s="1106"/>
      <c r="AJ29" s="1106"/>
      <c r="AK29" s="1106"/>
      <c r="AL29" s="1106"/>
      <c r="AM29" s="1106"/>
      <c r="AN29" s="1106"/>
      <c r="AO29" s="1113"/>
    </row>
    <row r="30" spans="3:41" x14ac:dyDescent="0.25">
      <c r="AB30" s="1106"/>
      <c r="AC30" s="1106"/>
      <c r="AD30" s="1106"/>
      <c r="AE30" s="1106"/>
      <c r="AF30" s="1106"/>
      <c r="AG30" s="1106"/>
      <c r="AH30" s="1106"/>
      <c r="AI30" s="1106"/>
      <c r="AJ30" s="1106"/>
      <c r="AK30" s="1106"/>
      <c r="AL30" s="1106"/>
      <c r="AM30" s="1106"/>
      <c r="AN30" s="1106"/>
      <c r="AO30" s="1113"/>
    </row>
    <row r="31" spans="3:41" x14ac:dyDescent="0.25">
      <c r="AB31" s="1106"/>
      <c r="AC31" s="1106"/>
      <c r="AD31" s="1106"/>
      <c r="AE31" s="1106"/>
      <c r="AF31" s="1106"/>
      <c r="AG31" s="1106"/>
      <c r="AH31" s="1106"/>
      <c r="AI31" s="1106"/>
      <c r="AJ31" s="1106"/>
      <c r="AK31" s="1106"/>
      <c r="AL31" s="1106"/>
      <c r="AM31" s="1106"/>
      <c r="AN31" s="1106"/>
      <c r="AO31" s="1113"/>
    </row>
    <row r="32" spans="3:41" x14ac:dyDescent="0.25">
      <c r="AB32" s="1106"/>
      <c r="AC32" s="1106"/>
      <c r="AD32" s="1106"/>
      <c r="AE32" s="1106"/>
      <c r="AF32" s="1106"/>
      <c r="AG32" s="1106"/>
      <c r="AH32" s="1106"/>
      <c r="AI32" s="1106"/>
      <c r="AJ32" s="1106"/>
      <c r="AK32" s="1106"/>
      <c r="AL32" s="1106"/>
      <c r="AM32" s="1106"/>
      <c r="AN32" s="1106"/>
      <c r="AO32" s="1113"/>
    </row>
    <row r="33" spans="28:41" x14ac:dyDescent="0.25">
      <c r="AB33" s="1106"/>
      <c r="AC33" s="1106"/>
      <c r="AD33" s="1106"/>
      <c r="AE33" s="1106"/>
      <c r="AF33" s="1106"/>
      <c r="AG33" s="1106"/>
      <c r="AH33" s="1106"/>
      <c r="AI33" s="1106"/>
      <c r="AJ33" s="1106"/>
      <c r="AK33" s="1106"/>
      <c r="AL33" s="1106"/>
      <c r="AM33" s="1106"/>
      <c r="AN33" s="1106"/>
      <c r="AO33" s="1113"/>
    </row>
    <row r="34" spans="28:41" x14ac:dyDescent="0.25">
      <c r="AB34" s="1106"/>
      <c r="AC34" s="1106"/>
      <c r="AD34" s="1106"/>
      <c r="AE34" s="1106"/>
      <c r="AF34" s="1106"/>
      <c r="AG34" s="1106"/>
      <c r="AH34" s="1106"/>
      <c r="AI34" s="1106"/>
      <c r="AJ34" s="1106"/>
      <c r="AK34" s="1106"/>
      <c r="AL34" s="1106"/>
      <c r="AM34" s="1106"/>
      <c r="AN34" s="1106"/>
      <c r="AO34" s="1113"/>
    </row>
    <row r="35" spans="28:41" x14ac:dyDescent="0.25">
      <c r="AB35" s="1106"/>
      <c r="AC35" s="1106"/>
      <c r="AD35" s="1106"/>
      <c r="AE35" s="1106"/>
      <c r="AF35" s="1106"/>
      <c r="AG35" s="1106"/>
      <c r="AH35" s="1106"/>
      <c r="AI35" s="1106"/>
      <c r="AJ35" s="1106"/>
      <c r="AK35" s="1106"/>
      <c r="AL35" s="1106"/>
      <c r="AM35" s="1106"/>
      <c r="AN35" s="1106"/>
      <c r="AO35" s="1113"/>
    </row>
    <row r="36" spans="28:41" x14ac:dyDescent="0.25">
      <c r="AB36" s="1106"/>
      <c r="AC36" s="1106"/>
      <c r="AD36" s="1106"/>
      <c r="AE36" s="1106"/>
      <c r="AF36" s="1106"/>
      <c r="AG36" s="1106"/>
      <c r="AH36" s="1106"/>
      <c r="AI36" s="1106"/>
      <c r="AJ36" s="1106"/>
      <c r="AK36" s="1106"/>
      <c r="AL36" s="1106"/>
      <c r="AM36" s="1106"/>
      <c r="AN36" s="1106"/>
      <c r="AO36" s="1113"/>
    </row>
    <row r="37" spans="28:41" x14ac:dyDescent="0.25">
      <c r="AB37" s="1106"/>
      <c r="AC37" s="1106"/>
      <c r="AD37" s="1106"/>
      <c r="AE37" s="1106"/>
      <c r="AF37" s="1106"/>
      <c r="AG37" s="1106"/>
      <c r="AH37" s="1106"/>
      <c r="AI37" s="1106"/>
      <c r="AJ37" s="1106"/>
      <c r="AK37" s="1106"/>
      <c r="AL37" s="1106"/>
      <c r="AM37" s="1106"/>
      <c r="AN37" s="1106"/>
      <c r="AO37" s="1113"/>
    </row>
    <row r="38" spans="28:41" x14ac:dyDescent="0.25">
      <c r="AB38" s="1106"/>
      <c r="AC38" s="1106"/>
      <c r="AD38" s="1106"/>
      <c r="AE38" s="1106"/>
      <c r="AF38" s="1106"/>
      <c r="AG38" s="1106"/>
      <c r="AH38" s="1106"/>
      <c r="AI38" s="1106"/>
      <c r="AJ38" s="1106"/>
      <c r="AK38" s="1106"/>
      <c r="AL38" s="1106"/>
      <c r="AM38" s="1106"/>
      <c r="AN38" s="1106"/>
      <c r="AO38" s="1113"/>
    </row>
    <row r="39" spans="28:41" x14ac:dyDescent="0.25">
      <c r="AB39" s="1106"/>
      <c r="AC39" s="1106"/>
      <c r="AD39" s="1106"/>
      <c r="AE39" s="1106"/>
      <c r="AF39" s="1106"/>
      <c r="AG39" s="1106"/>
      <c r="AH39" s="1106"/>
      <c r="AI39" s="1106"/>
      <c r="AJ39" s="1106"/>
      <c r="AK39" s="1106"/>
      <c r="AL39" s="1106"/>
      <c r="AM39" s="1106"/>
      <c r="AN39" s="1106"/>
      <c r="AO39" s="1113"/>
    </row>
    <row r="40" spans="28:41" x14ac:dyDescent="0.25">
      <c r="AB40" s="1106"/>
      <c r="AC40" s="1106"/>
      <c r="AD40" s="1106"/>
      <c r="AE40" s="1106"/>
      <c r="AF40" s="1106"/>
      <c r="AG40" s="1106"/>
      <c r="AH40" s="1106"/>
      <c r="AI40" s="1106"/>
      <c r="AJ40" s="1106"/>
      <c r="AK40" s="1106"/>
      <c r="AL40" s="1106"/>
      <c r="AM40" s="1106"/>
      <c r="AN40" s="1106"/>
      <c r="AO40" s="1113"/>
    </row>
    <row r="118" spans="29:42" x14ac:dyDescent="0.25">
      <c r="AC118" s="1106"/>
      <c r="AD118" s="1106"/>
      <c r="AE118" s="1106"/>
      <c r="AF118" s="1106"/>
      <c r="AG118" s="1106"/>
      <c r="AH118" s="1106"/>
      <c r="AI118" s="1106"/>
      <c r="AJ118" s="1106"/>
      <c r="AK118" s="1106"/>
      <c r="AL118" s="1106"/>
      <c r="AM118" s="1106"/>
      <c r="AN118" s="1106"/>
      <c r="AO118" s="1106"/>
      <c r="AP118" s="1113"/>
    </row>
    <row r="119" spans="29:42" x14ac:dyDescent="0.25">
      <c r="AC119" s="1106"/>
      <c r="AD119" s="1106"/>
      <c r="AE119" s="1106"/>
      <c r="AF119" s="1106"/>
      <c r="AG119" s="1106"/>
      <c r="AH119" s="1106"/>
      <c r="AI119" s="1106"/>
      <c r="AJ119" s="1106"/>
      <c r="AK119" s="1106"/>
      <c r="AL119" s="1106"/>
      <c r="AM119" s="1106"/>
      <c r="AN119" s="1106"/>
      <c r="AO119" s="1106"/>
      <c r="AP119" s="1113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64" workbookViewId="0">
      <selection activeCell="I115" sqref="I115"/>
    </sheetView>
  </sheetViews>
  <sheetFormatPr defaultColWidth="8.5703125" defaultRowHeight="15" x14ac:dyDescent="0.25"/>
  <cols>
    <col min="1" max="1" width="11" style="920" customWidth="1"/>
    <col min="2" max="2" width="63.85546875" style="920" customWidth="1"/>
    <col min="3" max="3" width="13.85546875" style="1083" customWidth="1"/>
    <col min="4" max="4" width="7.42578125" style="920" customWidth="1"/>
    <col min="5" max="5" width="18.42578125" style="920" customWidth="1"/>
    <col min="6" max="6" width="14.5703125" style="920" customWidth="1"/>
    <col min="7" max="7" width="11.42578125" style="920" customWidth="1"/>
    <col min="8" max="8" width="15.5703125" style="920" customWidth="1"/>
    <col min="9" max="9" width="13.5703125" style="920" customWidth="1"/>
    <col min="10" max="10" width="24.42578125" style="920" customWidth="1"/>
    <col min="11" max="11" width="12.42578125" style="920" customWidth="1"/>
    <col min="12" max="12" width="22.42578125" style="920" customWidth="1"/>
    <col min="13" max="16384" width="8.5703125" style="920"/>
  </cols>
  <sheetData>
    <row r="2" spans="2:12" ht="21.6" customHeight="1" x14ac:dyDescent="0.25">
      <c r="B2" s="1127" t="s">
        <v>619</v>
      </c>
      <c r="J2" s="1128"/>
      <c r="K2" s="1128"/>
    </row>
    <row r="3" spans="2:12" ht="18.600000000000001" customHeight="1" x14ac:dyDescent="0.25">
      <c r="B3" s="1772" t="s">
        <v>394</v>
      </c>
      <c r="C3" s="1772" t="s">
        <v>224</v>
      </c>
      <c r="D3" s="1772"/>
      <c r="E3" s="1774" t="s">
        <v>620</v>
      </c>
      <c r="F3" s="1772" t="s">
        <v>575</v>
      </c>
      <c r="G3" s="1772"/>
      <c r="H3" s="1129" t="s">
        <v>229</v>
      </c>
      <c r="K3" s="1106"/>
      <c r="L3" s="1130"/>
    </row>
    <row r="4" spans="2:12" ht="18.600000000000001" customHeight="1" x14ac:dyDescent="0.25">
      <c r="B4" s="1773"/>
      <c r="C4" s="1773"/>
      <c r="D4" s="1773"/>
      <c r="E4" s="1775"/>
      <c r="F4" s="1773"/>
      <c r="G4" s="1773"/>
      <c r="H4" s="1129" t="s">
        <v>621</v>
      </c>
      <c r="K4" s="1106"/>
    </row>
    <row r="5" spans="2:12" ht="18.600000000000001" customHeight="1" x14ac:dyDescent="0.25">
      <c r="B5" s="1131" t="s">
        <v>622</v>
      </c>
      <c r="C5" s="1132"/>
      <c r="D5" s="1132"/>
      <c r="E5" s="1133"/>
      <c r="F5" s="1134"/>
      <c r="G5" s="1132"/>
      <c r="H5" s="1134"/>
      <c r="K5" s="1106"/>
    </row>
    <row r="6" spans="2:12" x14ac:dyDescent="0.25">
      <c r="B6" s="1098" t="s">
        <v>623</v>
      </c>
      <c r="C6" s="412">
        <v>50</v>
      </c>
      <c r="D6" s="1135" t="s">
        <v>624</v>
      </c>
      <c r="E6" s="412">
        <f>C6</f>
        <v>50</v>
      </c>
      <c r="F6" s="1099">
        <v>374</v>
      </c>
      <c r="G6" s="1099" t="s">
        <v>624</v>
      </c>
      <c r="H6" s="1136">
        <f>E6*F6</f>
        <v>18700</v>
      </c>
      <c r="I6" s="1137"/>
      <c r="K6" s="1106"/>
    </row>
    <row r="7" spans="2:12" x14ac:dyDescent="0.25">
      <c r="B7" s="1098" t="s">
        <v>625</v>
      </c>
      <c r="C7" s="412">
        <v>2</v>
      </c>
      <c r="D7" s="1135" t="s">
        <v>626</v>
      </c>
      <c r="E7" s="412">
        <f>C7</f>
        <v>2</v>
      </c>
      <c r="F7" s="1099">
        <v>7250</v>
      </c>
      <c r="G7" s="1099" t="s">
        <v>626</v>
      </c>
      <c r="H7" s="1136">
        <f t="shared" ref="H7:H32" si="0">E7*F7</f>
        <v>14500</v>
      </c>
    </row>
    <row r="8" spans="2:12" x14ac:dyDescent="0.25">
      <c r="B8" s="1098" t="s">
        <v>627</v>
      </c>
      <c r="C8" s="412">
        <v>0.5</v>
      </c>
      <c r="D8" s="1135" t="s">
        <v>624</v>
      </c>
      <c r="E8" s="412">
        <f t="shared" ref="E8:E32" si="1">C8</f>
        <v>0.5</v>
      </c>
      <c r="F8" s="1099">
        <v>500</v>
      </c>
      <c r="G8" s="1099" t="s">
        <v>624</v>
      </c>
      <c r="H8" s="1136">
        <f t="shared" si="0"/>
        <v>250</v>
      </c>
    </row>
    <row r="9" spans="2:12" x14ac:dyDescent="0.25">
      <c r="B9" s="1098" t="s">
        <v>628</v>
      </c>
      <c r="C9" s="412">
        <v>70</v>
      </c>
      <c r="D9" s="1135" t="s">
        <v>624</v>
      </c>
      <c r="E9" s="412">
        <f t="shared" si="1"/>
        <v>70</v>
      </c>
      <c r="F9" s="1099">
        <v>388</v>
      </c>
      <c r="G9" s="1099" t="s">
        <v>624</v>
      </c>
      <c r="H9" s="1136">
        <f t="shared" si="0"/>
        <v>27160</v>
      </c>
    </row>
    <row r="10" spans="2:12" x14ac:dyDescent="0.25">
      <c r="B10" s="1098" t="s">
        <v>629</v>
      </c>
      <c r="C10" s="412">
        <v>70</v>
      </c>
      <c r="D10" s="1135" t="s">
        <v>624</v>
      </c>
      <c r="E10" s="412">
        <f t="shared" si="1"/>
        <v>70</v>
      </c>
      <c r="F10" s="1099">
        <v>612</v>
      </c>
      <c r="G10" s="1099" t="s">
        <v>624</v>
      </c>
      <c r="H10" s="1136">
        <f t="shared" si="0"/>
        <v>42840</v>
      </c>
    </row>
    <row r="11" spans="2:12" x14ac:dyDescent="0.25">
      <c r="B11" s="1098" t="s">
        <v>630</v>
      </c>
      <c r="C11" s="412">
        <v>0.05</v>
      </c>
      <c r="D11" s="1135" t="s">
        <v>631</v>
      </c>
      <c r="E11" s="412">
        <f t="shared" si="1"/>
        <v>0.05</v>
      </c>
      <c r="F11" s="1099">
        <v>21000</v>
      </c>
      <c r="G11" s="1099" t="s">
        <v>631</v>
      </c>
      <c r="H11" s="1136">
        <f t="shared" si="0"/>
        <v>1050</v>
      </c>
    </row>
    <row r="12" spans="2:12" x14ac:dyDescent="0.25">
      <c r="B12" s="1098" t="s">
        <v>632</v>
      </c>
      <c r="C12" s="412">
        <v>2.6</v>
      </c>
      <c r="D12" s="1135" t="s">
        <v>624</v>
      </c>
      <c r="E12" s="412">
        <f t="shared" si="1"/>
        <v>2.6</v>
      </c>
      <c r="F12" s="1099">
        <v>236</v>
      </c>
      <c r="G12" s="1099" t="s">
        <v>624</v>
      </c>
      <c r="H12" s="1136">
        <f t="shared" si="0"/>
        <v>613.6</v>
      </c>
    </row>
    <row r="13" spans="2:12" x14ac:dyDescent="0.25">
      <c r="B13" s="1098" t="s">
        <v>633</v>
      </c>
      <c r="C13" s="412">
        <v>5.5</v>
      </c>
      <c r="D13" s="1135" t="s">
        <v>626</v>
      </c>
      <c r="E13" s="412">
        <f t="shared" si="1"/>
        <v>5.5</v>
      </c>
      <c r="F13" s="1099">
        <v>35000</v>
      </c>
      <c r="G13" s="1099" t="s">
        <v>626</v>
      </c>
      <c r="H13" s="1136">
        <f t="shared" si="0"/>
        <v>192500</v>
      </c>
    </row>
    <row r="14" spans="2:12" x14ac:dyDescent="0.25">
      <c r="B14" s="1098" t="s">
        <v>634</v>
      </c>
      <c r="C14" s="412">
        <v>150</v>
      </c>
      <c r="D14" s="1135" t="s">
        <v>624</v>
      </c>
      <c r="E14" s="412">
        <f t="shared" si="1"/>
        <v>150</v>
      </c>
      <c r="F14" s="1099">
        <v>480</v>
      </c>
      <c r="G14" s="1099" t="s">
        <v>624</v>
      </c>
      <c r="H14" s="1136">
        <f t="shared" si="0"/>
        <v>72000</v>
      </c>
    </row>
    <row r="15" spans="2:12" x14ac:dyDescent="0.25">
      <c r="B15" s="1098" t="s">
        <v>635</v>
      </c>
      <c r="C15" s="412">
        <v>0.3</v>
      </c>
      <c r="D15" s="1135" t="s">
        <v>631</v>
      </c>
      <c r="E15" s="412">
        <f t="shared" si="1"/>
        <v>0.3</v>
      </c>
      <c r="F15" s="1099">
        <v>6750</v>
      </c>
      <c r="G15" s="1099" t="s">
        <v>631</v>
      </c>
      <c r="H15" s="1136">
        <f t="shared" si="0"/>
        <v>2025</v>
      </c>
    </row>
    <row r="16" spans="2:12" x14ac:dyDescent="0.25">
      <c r="B16" s="1098" t="s">
        <v>636</v>
      </c>
      <c r="C16" s="412">
        <f>36/357</f>
        <v>0.10084033613445378</v>
      </c>
      <c r="D16" s="1135" t="s">
        <v>631</v>
      </c>
      <c r="E16" s="412">
        <f t="shared" si="1"/>
        <v>0.10084033613445378</v>
      </c>
      <c r="F16" s="1099">
        <v>90000</v>
      </c>
      <c r="G16" s="1099" t="s">
        <v>631</v>
      </c>
      <c r="H16" s="1136">
        <f t="shared" si="0"/>
        <v>9075.6302521008402</v>
      </c>
    </row>
    <row r="17" spans="2:8" x14ac:dyDescent="0.25">
      <c r="B17" s="1098" t="s">
        <v>637</v>
      </c>
      <c r="C17" s="412">
        <f>107/357</f>
        <v>0.29971988795518206</v>
      </c>
      <c r="D17" s="1135" t="s">
        <v>631</v>
      </c>
      <c r="E17" s="412">
        <f t="shared" si="1"/>
        <v>0.29971988795518206</v>
      </c>
      <c r="F17" s="1099">
        <v>3000</v>
      </c>
      <c r="G17" s="1099" t="s">
        <v>631</v>
      </c>
      <c r="H17" s="1136">
        <f t="shared" si="0"/>
        <v>899.15966386554624</v>
      </c>
    </row>
    <row r="18" spans="2:8" x14ac:dyDescent="0.25">
      <c r="B18" s="1098" t="s">
        <v>638</v>
      </c>
      <c r="C18" s="412">
        <v>0.1</v>
      </c>
      <c r="D18" s="1135" t="s">
        <v>624</v>
      </c>
      <c r="E18" s="412">
        <f t="shared" si="1"/>
        <v>0.1</v>
      </c>
      <c r="F18" s="1099">
        <v>70000</v>
      </c>
      <c r="G18" s="1099" t="s">
        <v>624</v>
      </c>
      <c r="H18" s="1136">
        <f t="shared" si="0"/>
        <v>7000</v>
      </c>
    </row>
    <row r="19" spans="2:8" x14ac:dyDescent="0.25">
      <c r="B19" s="1098" t="s">
        <v>639</v>
      </c>
      <c r="C19" s="412">
        <v>0.1</v>
      </c>
      <c r="D19" s="1135" t="s">
        <v>624</v>
      </c>
      <c r="E19" s="412">
        <f t="shared" si="1"/>
        <v>0.1</v>
      </c>
      <c r="F19" s="1099">
        <v>70000</v>
      </c>
      <c r="G19" s="1099" t="s">
        <v>624</v>
      </c>
      <c r="H19" s="1136">
        <f t="shared" si="0"/>
        <v>7000</v>
      </c>
    </row>
    <row r="20" spans="2:8" x14ac:dyDescent="0.25">
      <c r="B20" s="1098" t="s">
        <v>640</v>
      </c>
      <c r="C20" s="412">
        <v>0.5</v>
      </c>
      <c r="D20" s="1135" t="s">
        <v>626</v>
      </c>
      <c r="E20" s="412">
        <f t="shared" si="1"/>
        <v>0.5</v>
      </c>
      <c r="F20" s="1099">
        <v>19300</v>
      </c>
      <c r="G20" s="1099" t="s">
        <v>626</v>
      </c>
      <c r="H20" s="1136">
        <f t="shared" si="0"/>
        <v>9650</v>
      </c>
    </row>
    <row r="21" spans="2:8" x14ac:dyDescent="0.25">
      <c r="B21" s="1098" t="s">
        <v>641</v>
      </c>
      <c r="C21" s="412">
        <f>48/357</f>
        <v>0.13445378151260504</v>
      </c>
      <c r="D21" s="1135" t="s">
        <v>631</v>
      </c>
      <c r="E21" s="412">
        <f t="shared" si="1"/>
        <v>0.13445378151260504</v>
      </c>
      <c r="F21" s="1099">
        <v>7600</v>
      </c>
      <c r="G21" s="1099" t="s">
        <v>631</v>
      </c>
      <c r="H21" s="1136">
        <f t="shared" si="0"/>
        <v>1021.8487394957983</v>
      </c>
    </row>
    <row r="22" spans="2:8" x14ac:dyDescent="0.25">
      <c r="B22" s="1098" t="s">
        <v>642</v>
      </c>
      <c r="C22" s="412">
        <v>120</v>
      </c>
      <c r="D22" s="1135" t="s">
        <v>624</v>
      </c>
      <c r="E22" s="412">
        <f t="shared" si="1"/>
        <v>120</v>
      </c>
      <c r="F22" s="1099">
        <v>502</v>
      </c>
      <c r="G22" s="1099" t="s">
        <v>624</v>
      </c>
      <c r="H22" s="1136">
        <f t="shared" si="0"/>
        <v>60240</v>
      </c>
    </row>
    <row r="23" spans="2:8" x14ac:dyDescent="0.25">
      <c r="B23" s="1098" t="s">
        <v>643</v>
      </c>
      <c r="C23" s="1138">
        <v>0.02</v>
      </c>
      <c r="D23" s="1135" t="s">
        <v>644</v>
      </c>
      <c r="E23" s="1138">
        <f t="shared" si="1"/>
        <v>0.02</v>
      </c>
      <c r="F23" s="1099">
        <v>5000000</v>
      </c>
      <c r="G23" s="1099" t="s">
        <v>644</v>
      </c>
      <c r="H23" s="1136">
        <f t="shared" si="0"/>
        <v>100000</v>
      </c>
    </row>
    <row r="24" spans="2:8" x14ac:dyDescent="0.25">
      <c r="B24" s="1098" t="s">
        <v>645</v>
      </c>
      <c r="C24" s="1138">
        <v>0.03</v>
      </c>
      <c r="D24" s="1135" t="s">
        <v>644</v>
      </c>
      <c r="E24" s="1138">
        <f t="shared" si="1"/>
        <v>0.03</v>
      </c>
      <c r="F24" s="1099">
        <v>2500000</v>
      </c>
      <c r="G24" s="1099" t="s">
        <v>644</v>
      </c>
      <c r="H24" s="1136">
        <f t="shared" si="0"/>
        <v>75000</v>
      </c>
    </row>
    <row r="25" spans="2:8" x14ac:dyDescent="0.25">
      <c r="B25" s="1098" t="s">
        <v>646</v>
      </c>
      <c r="C25" s="1138">
        <v>0.03</v>
      </c>
      <c r="D25" s="1135" t="s">
        <v>644</v>
      </c>
      <c r="E25" s="1138">
        <f t="shared" si="1"/>
        <v>0.03</v>
      </c>
      <c r="F25" s="1099">
        <v>1250000</v>
      </c>
      <c r="G25" s="1099" t="s">
        <v>644</v>
      </c>
      <c r="H25" s="1136">
        <f t="shared" si="0"/>
        <v>37500</v>
      </c>
    </row>
    <row r="26" spans="2:8" x14ac:dyDescent="0.25">
      <c r="B26" s="1098" t="s">
        <v>647</v>
      </c>
      <c r="C26" s="412">
        <f>179/357</f>
        <v>0.50140056022408963</v>
      </c>
      <c r="D26" s="1135" t="s">
        <v>631</v>
      </c>
      <c r="E26" s="412">
        <f t="shared" si="1"/>
        <v>0.50140056022408963</v>
      </c>
      <c r="F26" s="1099">
        <v>2000</v>
      </c>
      <c r="G26" s="1099" t="s">
        <v>631</v>
      </c>
      <c r="H26" s="1136">
        <f t="shared" si="0"/>
        <v>1002.8011204481793</v>
      </c>
    </row>
    <row r="27" spans="2:8" x14ac:dyDescent="0.25">
      <c r="B27" s="1098" t="s">
        <v>648</v>
      </c>
      <c r="C27" s="412">
        <f>250/357</f>
        <v>0.70028011204481788</v>
      </c>
      <c r="D27" s="1135" t="s">
        <v>631</v>
      </c>
      <c r="E27" s="412">
        <f t="shared" si="1"/>
        <v>0.70028011204481788</v>
      </c>
      <c r="F27" s="1099">
        <v>765</v>
      </c>
      <c r="G27" s="1099" t="s">
        <v>631</v>
      </c>
      <c r="H27" s="1136">
        <f t="shared" si="0"/>
        <v>535.71428571428567</v>
      </c>
    </row>
    <row r="28" spans="2:8" x14ac:dyDescent="0.25">
      <c r="B28" s="1098" t="s">
        <v>649</v>
      </c>
      <c r="C28" s="412">
        <f>250/357</f>
        <v>0.70028011204481788</v>
      </c>
      <c r="D28" s="1135" t="s">
        <v>631</v>
      </c>
      <c r="E28" s="412">
        <f t="shared" si="1"/>
        <v>0.70028011204481788</v>
      </c>
      <c r="F28" s="1099">
        <v>5200</v>
      </c>
      <c r="G28" s="1099" t="s">
        <v>631</v>
      </c>
      <c r="H28" s="1136">
        <f t="shared" si="0"/>
        <v>3641.4565826330531</v>
      </c>
    </row>
    <row r="29" spans="2:8" x14ac:dyDescent="0.25">
      <c r="B29" s="1098" t="s">
        <v>650</v>
      </c>
      <c r="C29" s="412">
        <f>6069/357</f>
        <v>17</v>
      </c>
      <c r="D29" s="1135" t="s">
        <v>631</v>
      </c>
      <c r="E29" s="412">
        <f t="shared" si="1"/>
        <v>17</v>
      </c>
      <c r="F29" s="1099">
        <v>950</v>
      </c>
      <c r="G29" s="1099" t="s">
        <v>631</v>
      </c>
      <c r="H29" s="1136">
        <f t="shared" si="0"/>
        <v>16150</v>
      </c>
    </row>
    <row r="30" spans="2:8" x14ac:dyDescent="0.25">
      <c r="B30" s="1098" t="s">
        <v>651</v>
      </c>
      <c r="C30" s="412">
        <v>12</v>
      </c>
      <c r="D30" s="1135" t="s">
        <v>631</v>
      </c>
      <c r="E30" s="412">
        <f t="shared" si="1"/>
        <v>12</v>
      </c>
      <c r="F30" s="1099">
        <v>2400</v>
      </c>
      <c r="G30" s="1099" t="s">
        <v>631</v>
      </c>
      <c r="H30" s="1136">
        <f t="shared" si="0"/>
        <v>28800</v>
      </c>
    </row>
    <row r="31" spans="2:8" x14ac:dyDescent="0.25">
      <c r="B31" s="1098" t="s">
        <v>652</v>
      </c>
      <c r="C31" s="412">
        <f>357/357</f>
        <v>1</v>
      </c>
      <c r="D31" s="1135" t="s">
        <v>631</v>
      </c>
      <c r="E31" s="412">
        <f t="shared" si="1"/>
        <v>1</v>
      </c>
      <c r="F31" s="1099">
        <v>4200</v>
      </c>
      <c r="G31" s="1099" t="s">
        <v>631</v>
      </c>
      <c r="H31" s="1136">
        <f t="shared" si="0"/>
        <v>4200</v>
      </c>
    </row>
    <row r="32" spans="2:8" ht="15.75" thickBot="1" x14ac:dyDescent="0.3">
      <c r="B32" s="1098" t="s">
        <v>653</v>
      </c>
      <c r="C32" s="412">
        <f>6069/357</f>
        <v>17</v>
      </c>
      <c r="D32" s="1135" t="s">
        <v>631</v>
      </c>
      <c r="E32" s="412">
        <f t="shared" si="1"/>
        <v>17</v>
      </c>
      <c r="F32" s="1099">
        <v>700</v>
      </c>
      <c r="G32" s="1099" t="s">
        <v>631</v>
      </c>
      <c r="H32" s="1136">
        <f t="shared" si="0"/>
        <v>11900</v>
      </c>
    </row>
    <row r="33" spans="2:12" ht="21" customHeight="1" thickTop="1" thickBot="1" x14ac:dyDescent="0.3">
      <c r="B33" s="1776" t="s">
        <v>654</v>
      </c>
      <c r="C33" s="1777"/>
      <c r="D33" s="1777"/>
      <c r="E33" s="1777"/>
      <c r="F33" s="1777"/>
      <c r="G33" s="1778"/>
      <c r="H33" s="1139">
        <f>SUM(H6:H32)</f>
        <v>745255.21064425772</v>
      </c>
    </row>
    <row r="34" spans="2:12" x14ac:dyDescent="0.25">
      <c r="B34" s="345"/>
      <c r="C34" s="345"/>
      <c r="D34" s="345"/>
      <c r="E34" s="345"/>
      <c r="F34" s="345"/>
      <c r="G34" s="345"/>
      <c r="H34" s="345"/>
    </row>
    <row r="35" spans="2:12" ht="18.600000000000001" customHeight="1" x14ac:dyDescent="0.25">
      <c r="B35" s="1772" t="s">
        <v>394</v>
      </c>
      <c r="C35" s="1772" t="s">
        <v>224</v>
      </c>
      <c r="D35" s="1772"/>
      <c r="E35" s="1774" t="s">
        <v>655</v>
      </c>
      <c r="F35" s="1772" t="s">
        <v>575</v>
      </c>
      <c r="G35" s="1772"/>
      <c r="H35" s="1129" t="s">
        <v>395</v>
      </c>
      <c r="K35" s="1106"/>
      <c r="L35" s="1130"/>
    </row>
    <row r="36" spans="2:12" ht="18.600000000000001" customHeight="1" x14ac:dyDescent="0.25">
      <c r="B36" s="1773"/>
      <c r="C36" s="1773"/>
      <c r="D36" s="1773"/>
      <c r="E36" s="1775"/>
      <c r="F36" s="1773"/>
      <c r="G36" s="1773"/>
      <c r="H36" s="1129" t="s">
        <v>396</v>
      </c>
      <c r="K36" s="1106"/>
    </row>
    <row r="37" spans="2:12" ht="18.600000000000001" customHeight="1" x14ac:dyDescent="0.25">
      <c r="B37" s="1131" t="s">
        <v>656</v>
      </c>
      <c r="C37" s="1132"/>
      <c r="D37" s="1132"/>
      <c r="E37" s="1133"/>
      <c r="F37" s="1132"/>
      <c r="G37" s="1132"/>
      <c r="H37" s="1132"/>
      <c r="K37" s="1106"/>
    </row>
    <row r="38" spans="2:12" x14ac:dyDescent="0.25">
      <c r="B38" s="1098" t="s">
        <v>657</v>
      </c>
      <c r="C38" s="412">
        <f>286/357</f>
        <v>0.80112044817927175</v>
      </c>
      <c r="D38" s="1135" t="s">
        <v>631</v>
      </c>
      <c r="E38" s="412">
        <f t="shared" ref="E38:E53" si="2">C38</f>
        <v>0.80112044817927175</v>
      </c>
      <c r="F38" s="1099">
        <v>4000</v>
      </c>
      <c r="G38" s="1099" t="s">
        <v>631</v>
      </c>
      <c r="H38" s="1140">
        <f t="shared" ref="H38:H53" si="3">E38*F38</f>
        <v>3204.481792717087</v>
      </c>
    </row>
    <row r="39" spans="2:12" x14ac:dyDescent="0.25">
      <c r="B39" s="1098" t="s">
        <v>658</v>
      </c>
      <c r="C39" s="412">
        <f>1785/357</f>
        <v>5</v>
      </c>
      <c r="D39" s="1135" t="s">
        <v>659</v>
      </c>
      <c r="E39" s="412">
        <f t="shared" si="2"/>
        <v>5</v>
      </c>
      <c r="F39" s="1099">
        <v>10100</v>
      </c>
      <c r="G39" s="1099" t="s">
        <v>659</v>
      </c>
      <c r="H39" s="1140">
        <f t="shared" si="3"/>
        <v>50500</v>
      </c>
    </row>
    <row r="40" spans="2:12" x14ac:dyDescent="0.25">
      <c r="B40" s="1098" t="s">
        <v>660</v>
      </c>
      <c r="C40" s="412">
        <f>714/357</f>
        <v>2</v>
      </c>
      <c r="D40" s="1135" t="s">
        <v>661</v>
      </c>
      <c r="E40" s="412">
        <f t="shared" si="2"/>
        <v>2</v>
      </c>
      <c r="F40" s="1099">
        <v>8160</v>
      </c>
      <c r="G40" s="1099" t="s">
        <v>661</v>
      </c>
      <c r="H40" s="1140">
        <f t="shared" si="3"/>
        <v>16320</v>
      </c>
    </row>
    <row r="41" spans="2:12" x14ac:dyDescent="0.25">
      <c r="B41" s="1098" t="s">
        <v>662</v>
      </c>
      <c r="C41" s="412">
        <f>360/357</f>
        <v>1.0084033613445378</v>
      </c>
      <c r="D41" s="1135" t="s">
        <v>663</v>
      </c>
      <c r="E41" s="412">
        <f t="shared" si="2"/>
        <v>1.0084033613445378</v>
      </c>
      <c r="F41" s="1099">
        <v>26550</v>
      </c>
      <c r="G41" s="1099" t="s">
        <v>663</v>
      </c>
      <c r="H41" s="1140">
        <f t="shared" si="3"/>
        <v>26773.10924369748</v>
      </c>
    </row>
    <row r="42" spans="2:12" x14ac:dyDescent="0.25">
      <c r="B42" s="1098" t="s">
        <v>664</v>
      </c>
      <c r="C42" s="412">
        <f>714/357</f>
        <v>2</v>
      </c>
      <c r="D42" s="1135" t="s">
        <v>661</v>
      </c>
      <c r="E42" s="412">
        <f t="shared" si="2"/>
        <v>2</v>
      </c>
      <c r="F42" s="1099">
        <v>31700</v>
      </c>
      <c r="G42" s="1099" t="s">
        <v>661</v>
      </c>
      <c r="H42" s="1140">
        <f t="shared" si="3"/>
        <v>63400</v>
      </c>
    </row>
    <row r="43" spans="2:12" x14ac:dyDescent="0.25">
      <c r="B43" s="1098" t="s">
        <v>665</v>
      </c>
      <c r="C43" s="412">
        <v>2.5</v>
      </c>
      <c r="D43" s="1135" t="s">
        <v>661</v>
      </c>
      <c r="E43" s="412">
        <f t="shared" si="2"/>
        <v>2.5</v>
      </c>
      <c r="F43" s="1099">
        <v>31006</v>
      </c>
      <c r="G43" s="1099" t="s">
        <v>661</v>
      </c>
      <c r="H43" s="1140">
        <f t="shared" si="3"/>
        <v>77515</v>
      </c>
    </row>
    <row r="44" spans="2:12" x14ac:dyDescent="0.25">
      <c r="B44" s="1098" t="s">
        <v>666</v>
      </c>
      <c r="C44" s="412">
        <f>179/357</f>
        <v>0.50140056022408963</v>
      </c>
      <c r="D44" s="1135" t="s">
        <v>631</v>
      </c>
      <c r="E44" s="412">
        <f t="shared" si="2"/>
        <v>0.50140056022408963</v>
      </c>
      <c r="F44" s="1099">
        <v>11950</v>
      </c>
      <c r="G44" s="1099" t="s">
        <v>631</v>
      </c>
      <c r="H44" s="1140">
        <f t="shared" si="3"/>
        <v>5991.7366946778711</v>
      </c>
    </row>
    <row r="45" spans="2:12" x14ac:dyDescent="0.25">
      <c r="B45" s="1098" t="s">
        <v>667</v>
      </c>
      <c r="C45" s="412">
        <f>214/357</f>
        <v>0.59943977591036413</v>
      </c>
      <c r="D45" s="1135" t="s">
        <v>631</v>
      </c>
      <c r="E45" s="412">
        <f t="shared" si="2"/>
        <v>0.59943977591036413</v>
      </c>
      <c r="F45" s="1099">
        <v>2545</v>
      </c>
      <c r="G45" s="1099" t="s">
        <v>631</v>
      </c>
      <c r="H45" s="1140">
        <f t="shared" si="3"/>
        <v>1525.5742296918768</v>
      </c>
    </row>
    <row r="46" spans="2:12" x14ac:dyDescent="0.25">
      <c r="B46" s="1098" t="s">
        <v>668</v>
      </c>
      <c r="C46" s="412">
        <f>1714/357</f>
        <v>4.8011204481792715</v>
      </c>
      <c r="D46" s="1135" t="s">
        <v>669</v>
      </c>
      <c r="E46" s="412">
        <f t="shared" si="2"/>
        <v>4.8011204481792715</v>
      </c>
      <c r="F46" s="1099">
        <v>930</v>
      </c>
      <c r="G46" s="1099" t="s">
        <v>669</v>
      </c>
      <c r="H46" s="1140">
        <f t="shared" si="3"/>
        <v>4465.0420168067221</v>
      </c>
    </row>
    <row r="47" spans="2:12" x14ac:dyDescent="0.25">
      <c r="B47" s="1098" t="s">
        <v>670</v>
      </c>
      <c r="C47" s="412">
        <f>71/357</f>
        <v>0.19887955182072828</v>
      </c>
      <c r="D47" s="1135" t="s">
        <v>631</v>
      </c>
      <c r="E47" s="412">
        <f t="shared" si="2"/>
        <v>0.19887955182072828</v>
      </c>
      <c r="F47" s="1099">
        <v>21050</v>
      </c>
      <c r="G47" s="1099" t="s">
        <v>631</v>
      </c>
      <c r="H47" s="1140">
        <f t="shared" si="3"/>
        <v>4186.4145658263305</v>
      </c>
    </row>
    <row r="48" spans="2:12" x14ac:dyDescent="0.25">
      <c r="B48" s="1098" t="s">
        <v>671</v>
      </c>
      <c r="C48" s="412">
        <f>12/357</f>
        <v>3.3613445378151259E-2</v>
      </c>
      <c r="D48" s="1135" t="s">
        <v>631</v>
      </c>
      <c r="E48" s="412">
        <f t="shared" si="2"/>
        <v>3.3613445378151259E-2</v>
      </c>
      <c r="F48" s="1099">
        <v>12500</v>
      </c>
      <c r="G48" s="1099" t="s">
        <v>631</v>
      </c>
      <c r="H48" s="1140">
        <f t="shared" si="3"/>
        <v>420.16806722689074</v>
      </c>
    </row>
    <row r="49" spans="1:12" x14ac:dyDescent="0.25">
      <c r="B49" s="1098" t="s">
        <v>672</v>
      </c>
      <c r="C49" s="412">
        <v>0.08</v>
      </c>
      <c r="D49" s="1135" t="s">
        <v>669</v>
      </c>
      <c r="E49" s="412">
        <f t="shared" si="2"/>
        <v>0.08</v>
      </c>
      <c r="F49" s="1099">
        <v>8160</v>
      </c>
      <c r="G49" s="1099" t="s">
        <v>669</v>
      </c>
      <c r="H49" s="1140">
        <f t="shared" si="3"/>
        <v>652.80000000000007</v>
      </c>
    </row>
    <row r="50" spans="1:12" x14ac:dyDescent="0.25">
      <c r="B50" s="1098" t="s">
        <v>673</v>
      </c>
      <c r="C50" s="412">
        <f>12/357</f>
        <v>3.3613445378151259E-2</v>
      </c>
      <c r="D50" s="1135" t="s">
        <v>631</v>
      </c>
      <c r="E50" s="412">
        <f t="shared" si="2"/>
        <v>3.3613445378151259E-2</v>
      </c>
      <c r="F50" s="1099">
        <v>23400</v>
      </c>
      <c r="G50" s="1099" t="s">
        <v>631</v>
      </c>
      <c r="H50" s="1140">
        <f t="shared" si="3"/>
        <v>786.55462184873943</v>
      </c>
    </row>
    <row r="51" spans="1:12" x14ac:dyDescent="0.25">
      <c r="B51" s="1098" t="s">
        <v>674</v>
      </c>
      <c r="C51" s="412">
        <f>12/357</f>
        <v>3.3613445378151259E-2</v>
      </c>
      <c r="D51" s="1135" t="s">
        <v>631</v>
      </c>
      <c r="E51" s="412">
        <f t="shared" si="2"/>
        <v>3.3613445378151259E-2</v>
      </c>
      <c r="F51" s="1099">
        <v>50800</v>
      </c>
      <c r="G51" s="1099" t="s">
        <v>631</v>
      </c>
      <c r="H51" s="1140">
        <f t="shared" si="3"/>
        <v>1707.5630252100839</v>
      </c>
    </row>
    <row r="52" spans="1:12" x14ac:dyDescent="0.25">
      <c r="B52" s="1098" t="s">
        <v>675</v>
      </c>
      <c r="C52" s="412">
        <v>0.08</v>
      </c>
      <c r="D52" s="1135" t="s">
        <v>631</v>
      </c>
      <c r="E52" s="412">
        <f t="shared" si="2"/>
        <v>0.08</v>
      </c>
      <c r="F52" s="1099">
        <v>6250</v>
      </c>
      <c r="G52" s="1099" t="s">
        <v>631</v>
      </c>
      <c r="H52" s="1140">
        <f t="shared" si="3"/>
        <v>500</v>
      </c>
    </row>
    <row r="53" spans="1:12" ht="15.75" thickBot="1" x14ac:dyDescent="0.3">
      <c r="B53" s="1098" t="s">
        <v>676</v>
      </c>
      <c r="C53" s="412">
        <v>0.05</v>
      </c>
      <c r="D53" s="1135" t="s">
        <v>631</v>
      </c>
      <c r="E53" s="412">
        <f t="shared" si="2"/>
        <v>0.05</v>
      </c>
      <c r="F53" s="1099">
        <v>24260</v>
      </c>
      <c r="G53" s="1099" t="s">
        <v>631</v>
      </c>
      <c r="H53" s="1140">
        <f t="shared" si="3"/>
        <v>1213</v>
      </c>
    </row>
    <row r="54" spans="1:12" ht="16.5" thickTop="1" thickBot="1" x14ac:dyDescent="0.3">
      <c r="B54" s="1776" t="s">
        <v>654</v>
      </c>
      <c r="C54" s="1777"/>
      <c r="D54" s="1777"/>
      <c r="E54" s="1777"/>
      <c r="F54" s="1777"/>
      <c r="G54" s="1778"/>
      <c r="H54" s="1139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1772" t="s">
        <v>394</v>
      </c>
      <c r="C56" s="1772" t="s">
        <v>224</v>
      </c>
      <c r="D56" s="1772"/>
      <c r="E56" s="1774" t="s">
        <v>655</v>
      </c>
      <c r="F56" s="1772" t="s">
        <v>575</v>
      </c>
      <c r="G56" s="1772"/>
      <c r="H56" s="1129" t="s">
        <v>395</v>
      </c>
      <c r="K56" s="1106"/>
      <c r="L56" s="1130"/>
    </row>
    <row r="57" spans="1:12" ht="18.600000000000001" customHeight="1" x14ac:dyDescent="0.25">
      <c r="B57" s="1773"/>
      <c r="C57" s="1773"/>
      <c r="D57" s="1773"/>
      <c r="E57" s="1775"/>
      <c r="F57" s="1773"/>
      <c r="G57" s="1773"/>
      <c r="H57" s="1129" t="s">
        <v>396</v>
      </c>
      <c r="K57" s="1106"/>
    </row>
    <row r="58" spans="1:12" ht="18.600000000000001" customHeight="1" x14ac:dyDescent="0.25">
      <c r="B58" s="1131" t="s">
        <v>376</v>
      </c>
      <c r="C58" s="1132"/>
      <c r="D58" s="1132"/>
      <c r="E58" s="1133"/>
      <c r="F58" s="1132"/>
      <c r="G58" s="1132"/>
      <c r="H58" s="1141"/>
      <c r="K58" s="1106"/>
    </row>
    <row r="59" spans="1:12" x14ac:dyDescent="0.25">
      <c r="B59" s="1098" t="s">
        <v>677</v>
      </c>
      <c r="C59" s="412">
        <f>59/357</f>
        <v>0.16526610644257703</v>
      </c>
      <c r="D59" s="1135" t="s">
        <v>661</v>
      </c>
      <c r="E59" s="412">
        <f t="shared" ref="E59:E60" si="4">C59</f>
        <v>0.16526610644257703</v>
      </c>
      <c r="F59" s="1099">
        <v>82000</v>
      </c>
      <c r="G59" s="1099" t="s">
        <v>661</v>
      </c>
      <c r="H59" s="1140">
        <f t="shared" ref="H59:H60" si="5">E59*F59</f>
        <v>13551.820728291315</v>
      </c>
    </row>
    <row r="60" spans="1:12" ht="15.75" thickBot="1" x14ac:dyDescent="0.3">
      <c r="B60" s="1098" t="s">
        <v>678</v>
      </c>
      <c r="C60" s="412">
        <f>59/357</f>
        <v>0.16526610644257703</v>
      </c>
      <c r="D60" s="1135" t="s">
        <v>661</v>
      </c>
      <c r="E60" s="412">
        <f t="shared" si="4"/>
        <v>0.16526610644257703</v>
      </c>
      <c r="F60" s="1099">
        <v>82000</v>
      </c>
      <c r="G60" s="1099" t="s">
        <v>661</v>
      </c>
      <c r="H60" s="1140">
        <f t="shared" si="5"/>
        <v>13551.820728291315</v>
      </c>
    </row>
    <row r="61" spans="1:12" ht="16.5" thickTop="1" thickBot="1" x14ac:dyDescent="0.3">
      <c r="B61" s="1776" t="s">
        <v>654</v>
      </c>
      <c r="C61" s="1777"/>
      <c r="D61" s="1777"/>
      <c r="E61" s="1777"/>
      <c r="F61" s="1777"/>
      <c r="G61" s="1778"/>
      <c r="H61" s="1139">
        <f>SUM(H59:H60)</f>
        <v>27103.641456582631</v>
      </c>
    </row>
    <row r="62" spans="1:12" ht="16.5" thickTop="1" thickBot="1" x14ac:dyDescent="0.3">
      <c r="B62" s="1142"/>
      <c r="C62" s="1142"/>
      <c r="D62" s="1142"/>
      <c r="E62" s="1142"/>
      <c r="F62" s="1142"/>
      <c r="G62" s="1142"/>
      <c r="H62" s="1143"/>
    </row>
    <row r="63" spans="1:12" ht="15.75" thickTop="1" x14ac:dyDescent="0.25">
      <c r="B63" s="1766" t="s">
        <v>679</v>
      </c>
      <c r="C63" s="1767"/>
      <c r="D63" s="1767"/>
      <c r="E63" s="1767"/>
      <c r="F63" s="1767"/>
      <c r="G63" s="1767"/>
      <c r="H63" s="1770">
        <f>H61+H54+H33</f>
        <v>1031520.2963585434</v>
      </c>
    </row>
    <row r="64" spans="1:12" ht="6.6" customHeight="1" thickBot="1" x14ac:dyDescent="0.3">
      <c r="B64" s="1768"/>
      <c r="C64" s="1769"/>
      <c r="D64" s="1769"/>
      <c r="E64" s="1769"/>
      <c r="F64" s="1769"/>
      <c r="G64" s="1769"/>
      <c r="H64" s="1771"/>
    </row>
    <row r="65" spans="2:9" ht="15.75" thickTop="1" x14ac:dyDescent="0.25"/>
    <row r="67" spans="2:9" ht="21" x14ac:dyDescent="0.25">
      <c r="B67" s="977"/>
      <c r="C67" s="1127" t="s">
        <v>680</v>
      </c>
      <c r="D67" s="977"/>
      <c r="E67" s="977"/>
      <c r="F67" s="345"/>
      <c r="G67" s="977"/>
      <c r="H67" s="977"/>
      <c r="I67" s="977"/>
    </row>
    <row r="68" spans="2:9" x14ac:dyDescent="0.25">
      <c r="B68" s="1772" t="s">
        <v>100</v>
      </c>
      <c r="C68" s="1772" t="s">
        <v>394</v>
      </c>
      <c r="D68" s="1772" t="s">
        <v>224</v>
      </c>
      <c r="E68" s="1772"/>
      <c r="F68" s="1774" t="s">
        <v>655</v>
      </c>
      <c r="G68" s="1772" t="s">
        <v>575</v>
      </c>
      <c r="H68" s="1772"/>
      <c r="I68" s="1144" t="s">
        <v>395</v>
      </c>
    </row>
    <row r="69" spans="2:9" ht="15.75" thickBot="1" x14ac:dyDescent="0.3">
      <c r="B69" s="1773"/>
      <c r="C69" s="1773"/>
      <c r="D69" s="1773"/>
      <c r="E69" s="1773"/>
      <c r="F69" s="1775"/>
      <c r="G69" s="1773"/>
      <c r="H69" s="1773"/>
      <c r="I69" s="1144" t="s">
        <v>396</v>
      </c>
    </row>
    <row r="70" spans="2:9" ht="15.75" thickTop="1" x14ac:dyDescent="0.25">
      <c r="B70" s="1145">
        <v>1</v>
      </c>
      <c r="C70" s="1146" t="s">
        <v>681</v>
      </c>
      <c r="D70" s="1147">
        <v>12</v>
      </c>
      <c r="E70" s="1147" t="s">
        <v>682</v>
      </c>
      <c r="F70" s="1148">
        <f>D70/357</f>
        <v>3.3613445378151259E-2</v>
      </c>
      <c r="G70" s="1149">
        <v>35000</v>
      </c>
      <c r="H70" s="1149" t="s">
        <v>683</v>
      </c>
      <c r="I70" s="1150">
        <f>F70*G70</f>
        <v>1176.4705882352941</v>
      </c>
    </row>
    <row r="71" spans="2:9" x14ac:dyDescent="0.25">
      <c r="B71" s="1151">
        <f>B70+1</f>
        <v>2</v>
      </c>
      <c r="C71" s="1152" t="s">
        <v>684</v>
      </c>
      <c r="D71" s="1153">
        <v>72</v>
      </c>
      <c r="E71" s="1153" t="s">
        <v>682</v>
      </c>
      <c r="F71" s="1154">
        <f t="shared" ref="F71:F110" si="6">D71/357</f>
        <v>0.20168067226890757</v>
      </c>
      <c r="G71" s="1155">
        <v>48000</v>
      </c>
      <c r="H71" s="1155" t="s">
        <v>683</v>
      </c>
      <c r="I71" s="1156">
        <f t="shared" ref="I71:I110" si="7">F71*G71</f>
        <v>9680.6722689075632</v>
      </c>
    </row>
    <row r="72" spans="2:9" x14ac:dyDescent="0.25">
      <c r="B72" s="1151">
        <f t="shared" ref="B72:B110" si="8">B71+1</f>
        <v>3</v>
      </c>
      <c r="C72" s="1152" t="s">
        <v>685</v>
      </c>
      <c r="D72" s="1153">
        <v>12</v>
      </c>
      <c r="E72" s="1153" t="s">
        <v>682</v>
      </c>
      <c r="F72" s="1154">
        <f t="shared" si="6"/>
        <v>3.3613445378151259E-2</v>
      </c>
      <c r="G72" s="1155">
        <v>100000</v>
      </c>
      <c r="H72" s="1155" t="s">
        <v>683</v>
      </c>
      <c r="I72" s="1156">
        <f t="shared" si="7"/>
        <v>3361.3445378151259</v>
      </c>
    </row>
    <row r="73" spans="2:9" x14ac:dyDescent="0.25">
      <c r="B73" s="1151">
        <f t="shared" si="8"/>
        <v>4</v>
      </c>
      <c r="C73" s="1152" t="s">
        <v>686</v>
      </c>
      <c r="D73" s="1153">
        <v>6</v>
      </c>
      <c r="E73" s="1153" t="s">
        <v>682</v>
      </c>
      <c r="F73" s="1154">
        <f t="shared" si="6"/>
        <v>1.680672268907563E-2</v>
      </c>
      <c r="G73" s="1155">
        <v>120000</v>
      </c>
      <c r="H73" s="1155" t="s">
        <v>683</v>
      </c>
      <c r="I73" s="1156">
        <f t="shared" si="7"/>
        <v>2016.8067226890755</v>
      </c>
    </row>
    <row r="74" spans="2:9" x14ac:dyDescent="0.25">
      <c r="B74" s="1151">
        <f t="shared" si="8"/>
        <v>5</v>
      </c>
      <c r="C74" s="1152" t="s">
        <v>687</v>
      </c>
      <c r="D74" s="1153">
        <v>6</v>
      </c>
      <c r="E74" s="1153" t="s">
        <v>682</v>
      </c>
      <c r="F74" s="1154">
        <f t="shared" si="6"/>
        <v>1.680672268907563E-2</v>
      </c>
      <c r="G74" s="1155">
        <v>142000</v>
      </c>
      <c r="H74" s="1155" t="s">
        <v>683</v>
      </c>
      <c r="I74" s="1156">
        <f t="shared" si="7"/>
        <v>2386.5546218487393</v>
      </c>
    </row>
    <row r="75" spans="2:9" x14ac:dyDescent="0.25">
      <c r="B75" s="1151">
        <f t="shared" si="8"/>
        <v>6</v>
      </c>
      <c r="C75" s="1152" t="s">
        <v>688</v>
      </c>
      <c r="D75" s="1153">
        <v>6</v>
      </c>
      <c r="E75" s="1153" t="s">
        <v>682</v>
      </c>
      <c r="F75" s="1154">
        <f t="shared" si="6"/>
        <v>1.680672268907563E-2</v>
      </c>
      <c r="G75" s="1155">
        <v>70000</v>
      </c>
      <c r="H75" s="1155" t="s">
        <v>683</v>
      </c>
      <c r="I75" s="1156">
        <f t="shared" si="7"/>
        <v>1176.4705882352941</v>
      </c>
    </row>
    <row r="76" spans="2:9" x14ac:dyDescent="0.25">
      <c r="B76" s="1151">
        <f t="shared" si="8"/>
        <v>7</v>
      </c>
      <c r="C76" s="1152" t="s">
        <v>689</v>
      </c>
      <c r="D76" s="1153">
        <v>6</v>
      </c>
      <c r="E76" s="1153" t="s">
        <v>682</v>
      </c>
      <c r="F76" s="1154">
        <f t="shared" si="6"/>
        <v>1.680672268907563E-2</v>
      </c>
      <c r="G76" s="1155">
        <v>180000</v>
      </c>
      <c r="H76" s="1155" t="s">
        <v>683</v>
      </c>
      <c r="I76" s="1156">
        <f t="shared" si="7"/>
        <v>3025.2100840336134</v>
      </c>
    </row>
    <row r="77" spans="2:9" x14ac:dyDescent="0.25">
      <c r="B77" s="1151">
        <f t="shared" si="8"/>
        <v>8</v>
      </c>
      <c r="C77" s="1152" t="s">
        <v>690</v>
      </c>
      <c r="D77" s="1153">
        <v>2</v>
      </c>
      <c r="E77" s="1153" t="s">
        <v>682</v>
      </c>
      <c r="F77" s="1154">
        <f t="shared" si="6"/>
        <v>5.6022408963585435E-3</v>
      </c>
      <c r="G77" s="1155">
        <v>350000</v>
      </c>
      <c r="H77" s="1155" t="s">
        <v>683</v>
      </c>
      <c r="I77" s="1156">
        <f t="shared" si="7"/>
        <v>1960.7843137254902</v>
      </c>
    </row>
    <row r="78" spans="2:9" x14ac:dyDescent="0.25">
      <c r="B78" s="1151">
        <f t="shared" si="8"/>
        <v>9</v>
      </c>
      <c r="C78" s="1152" t="s">
        <v>691</v>
      </c>
      <c r="D78" s="1153">
        <v>2</v>
      </c>
      <c r="E78" s="1153" t="s">
        <v>682</v>
      </c>
      <c r="F78" s="1154">
        <f t="shared" si="6"/>
        <v>5.6022408963585435E-3</v>
      </c>
      <c r="G78" s="1155">
        <v>350000</v>
      </c>
      <c r="H78" s="1155" t="s">
        <v>683</v>
      </c>
      <c r="I78" s="1156">
        <f t="shared" si="7"/>
        <v>1960.7843137254902</v>
      </c>
    </row>
    <row r="79" spans="2:9" x14ac:dyDescent="0.25">
      <c r="B79" s="1151">
        <f t="shared" si="8"/>
        <v>10</v>
      </c>
      <c r="C79" s="1152" t="s">
        <v>692</v>
      </c>
      <c r="D79" s="1153">
        <v>6</v>
      </c>
      <c r="E79" s="1153" t="s">
        <v>682</v>
      </c>
      <c r="F79" s="1154">
        <f t="shared" si="6"/>
        <v>1.680672268907563E-2</v>
      </c>
      <c r="G79" s="1155">
        <v>75000</v>
      </c>
      <c r="H79" s="1155" t="s">
        <v>683</v>
      </c>
      <c r="I79" s="1156">
        <f t="shared" si="7"/>
        <v>1260.5042016806722</v>
      </c>
    </row>
    <row r="80" spans="2:9" x14ac:dyDescent="0.25">
      <c r="B80" s="1151">
        <f t="shared" si="8"/>
        <v>11</v>
      </c>
      <c r="C80" s="1152" t="s">
        <v>693</v>
      </c>
      <c r="D80" s="1153">
        <v>72</v>
      </c>
      <c r="E80" s="1153" t="s">
        <v>682</v>
      </c>
      <c r="F80" s="1154">
        <f t="shared" si="6"/>
        <v>0.20168067226890757</v>
      </c>
      <c r="G80" s="1155">
        <v>90000</v>
      </c>
      <c r="H80" s="1155" t="s">
        <v>683</v>
      </c>
      <c r="I80" s="1156">
        <f t="shared" si="7"/>
        <v>18151.26050420168</v>
      </c>
    </row>
    <row r="81" spans="2:9" x14ac:dyDescent="0.25">
      <c r="B81" s="1151">
        <f t="shared" si="8"/>
        <v>12</v>
      </c>
      <c r="C81" s="1152" t="s">
        <v>694</v>
      </c>
      <c r="D81" s="1153">
        <v>2</v>
      </c>
      <c r="E81" s="1153" t="s">
        <v>682</v>
      </c>
      <c r="F81" s="1154">
        <f t="shared" si="6"/>
        <v>5.6022408963585435E-3</v>
      </c>
      <c r="G81" s="1155">
        <v>400000</v>
      </c>
      <c r="H81" s="1155" t="s">
        <v>683</v>
      </c>
      <c r="I81" s="1156">
        <f t="shared" si="7"/>
        <v>2240.8963585434176</v>
      </c>
    </row>
    <row r="82" spans="2:9" x14ac:dyDescent="0.25">
      <c r="B82" s="1151">
        <f t="shared" si="8"/>
        <v>13</v>
      </c>
      <c r="C82" s="1152" t="s">
        <v>695</v>
      </c>
      <c r="D82" s="1153">
        <v>2</v>
      </c>
      <c r="E82" s="1153" t="s">
        <v>682</v>
      </c>
      <c r="F82" s="1154">
        <f t="shared" si="6"/>
        <v>5.6022408963585435E-3</v>
      </c>
      <c r="G82" s="1155">
        <v>85000</v>
      </c>
      <c r="H82" s="1155" t="s">
        <v>683</v>
      </c>
      <c r="I82" s="1156">
        <f t="shared" si="7"/>
        <v>476.1904761904762</v>
      </c>
    </row>
    <row r="83" spans="2:9" x14ac:dyDescent="0.25">
      <c r="B83" s="1151">
        <f t="shared" si="8"/>
        <v>14</v>
      </c>
      <c r="C83" s="1152" t="s">
        <v>696</v>
      </c>
      <c r="D83" s="1153">
        <v>2</v>
      </c>
      <c r="E83" s="1153" t="s">
        <v>682</v>
      </c>
      <c r="F83" s="1154">
        <f t="shared" si="6"/>
        <v>5.6022408963585435E-3</v>
      </c>
      <c r="G83" s="1155">
        <v>550000</v>
      </c>
      <c r="H83" s="1155" t="s">
        <v>683</v>
      </c>
      <c r="I83" s="1156">
        <f t="shared" si="7"/>
        <v>3081.2324929971987</v>
      </c>
    </row>
    <row r="84" spans="2:9" x14ac:dyDescent="0.25">
      <c r="B84" s="1151">
        <f t="shared" si="8"/>
        <v>15</v>
      </c>
      <c r="C84" s="1152" t="s">
        <v>697</v>
      </c>
      <c r="D84" s="1153">
        <v>2</v>
      </c>
      <c r="E84" s="1153" t="s">
        <v>682</v>
      </c>
      <c r="F84" s="1154">
        <f t="shared" si="6"/>
        <v>5.6022408963585435E-3</v>
      </c>
      <c r="G84" s="1155">
        <v>600000</v>
      </c>
      <c r="H84" s="1155" t="s">
        <v>683</v>
      </c>
      <c r="I84" s="1156">
        <f t="shared" si="7"/>
        <v>3361.3445378151259</v>
      </c>
    </row>
    <row r="85" spans="2:9" x14ac:dyDescent="0.25">
      <c r="B85" s="1151">
        <f t="shared" si="8"/>
        <v>16</v>
      </c>
      <c r="C85" s="1152" t="s">
        <v>698</v>
      </c>
      <c r="D85" s="1153">
        <v>48</v>
      </c>
      <c r="E85" s="1153" t="s">
        <v>682</v>
      </c>
      <c r="F85" s="1154">
        <f t="shared" si="6"/>
        <v>0.13445378151260504</v>
      </c>
      <c r="G85" s="1155">
        <v>60000</v>
      </c>
      <c r="H85" s="1155" t="s">
        <v>683</v>
      </c>
      <c r="I85" s="1156">
        <f t="shared" si="7"/>
        <v>8067.2268907563021</v>
      </c>
    </row>
    <row r="86" spans="2:9" x14ac:dyDescent="0.25">
      <c r="B86" s="1151">
        <f t="shared" si="8"/>
        <v>17</v>
      </c>
      <c r="C86" s="1152" t="s">
        <v>699</v>
      </c>
      <c r="D86" s="1153">
        <v>2</v>
      </c>
      <c r="E86" s="1153" t="s">
        <v>682</v>
      </c>
      <c r="F86" s="1154">
        <f t="shared" si="6"/>
        <v>5.6022408963585435E-3</v>
      </c>
      <c r="G86" s="1155">
        <v>710000</v>
      </c>
      <c r="H86" s="1155" t="s">
        <v>683</v>
      </c>
      <c r="I86" s="1156">
        <f t="shared" si="7"/>
        <v>3977.5910364145657</v>
      </c>
    </row>
    <row r="87" spans="2:9" x14ac:dyDescent="0.25">
      <c r="B87" s="1151">
        <f t="shared" si="8"/>
        <v>18</v>
      </c>
      <c r="C87" s="1152" t="s">
        <v>700</v>
      </c>
      <c r="D87" s="1153">
        <v>2</v>
      </c>
      <c r="E87" s="1153" t="s">
        <v>682</v>
      </c>
      <c r="F87" s="1154">
        <f t="shared" si="6"/>
        <v>5.6022408963585435E-3</v>
      </c>
      <c r="G87" s="1155">
        <v>135000</v>
      </c>
      <c r="H87" s="1155" t="s">
        <v>683</v>
      </c>
      <c r="I87" s="1156">
        <f t="shared" si="7"/>
        <v>756.30252100840335</v>
      </c>
    </row>
    <row r="88" spans="2:9" x14ac:dyDescent="0.25">
      <c r="B88" s="1151">
        <f t="shared" si="8"/>
        <v>19</v>
      </c>
      <c r="C88" s="1152" t="s">
        <v>701</v>
      </c>
      <c r="D88" s="1153">
        <v>2</v>
      </c>
      <c r="E88" s="1153" t="s">
        <v>682</v>
      </c>
      <c r="F88" s="1154">
        <f t="shared" si="6"/>
        <v>5.6022408963585435E-3</v>
      </c>
      <c r="G88" s="1155">
        <v>520000</v>
      </c>
      <c r="H88" s="1155" t="s">
        <v>683</v>
      </c>
      <c r="I88" s="1156">
        <f t="shared" si="7"/>
        <v>2913.1652661064427</v>
      </c>
    </row>
    <row r="89" spans="2:9" x14ac:dyDescent="0.25">
      <c r="B89" s="1151">
        <f t="shared" si="8"/>
        <v>20</v>
      </c>
      <c r="C89" s="1152" t="s">
        <v>702</v>
      </c>
      <c r="D89" s="1153">
        <v>6</v>
      </c>
      <c r="E89" s="1153" t="s">
        <v>682</v>
      </c>
      <c r="F89" s="1154">
        <f t="shared" si="6"/>
        <v>1.680672268907563E-2</v>
      </c>
      <c r="G89" s="1155">
        <v>60000</v>
      </c>
      <c r="H89" s="1155" t="s">
        <v>683</v>
      </c>
      <c r="I89" s="1156">
        <f t="shared" si="7"/>
        <v>1008.4033613445378</v>
      </c>
    </row>
    <row r="90" spans="2:9" x14ac:dyDescent="0.25">
      <c r="B90" s="1151">
        <f t="shared" si="8"/>
        <v>21</v>
      </c>
      <c r="C90" s="1152" t="s">
        <v>703</v>
      </c>
      <c r="D90" s="1153">
        <v>6</v>
      </c>
      <c r="E90" s="1153" t="s">
        <v>682</v>
      </c>
      <c r="F90" s="1154">
        <f t="shared" si="6"/>
        <v>1.680672268907563E-2</v>
      </c>
      <c r="G90" s="1155">
        <v>65000</v>
      </c>
      <c r="H90" s="1155" t="s">
        <v>683</v>
      </c>
      <c r="I90" s="1156">
        <f t="shared" si="7"/>
        <v>1092.4369747899159</v>
      </c>
    </row>
    <row r="91" spans="2:9" x14ac:dyDescent="0.25">
      <c r="B91" s="1151">
        <f t="shared" si="8"/>
        <v>22</v>
      </c>
      <c r="C91" s="1152" t="s">
        <v>704</v>
      </c>
      <c r="D91" s="1153">
        <v>6</v>
      </c>
      <c r="E91" s="1153" t="s">
        <v>682</v>
      </c>
      <c r="F91" s="1154">
        <f t="shared" si="6"/>
        <v>1.680672268907563E-2</v>
      </c>
      <c r="G91" s="1155">
        <v>80000</v>
      </c>
      <c r="H91" s="1155" t="s">
        <v>683</v>
      </c>
      <c r="I91" s="1156">
        <f t="shared" si="7"/>
        <v>1344.5378151260504</v>
      </c>
    </row>
    <row r="92" spans="2:9" x14ac:dyDescent="0.25">
      <c r="B92" s="1151">
        <f t="shared" si="8"/>
        <v>23</v>
      </c>
      <c r="C92" s="1152" t="s">
        <v>705</v>
      </c>
      <c r="D92" s="1153">
        <v>6</v>
      </c>
      <c r="E92" s="1153" t="s">
        <v>682</v>
      </c>
      <c r="F92" s="1154">
        <f t="shared" si="6"/>
        <v>1.680672268907563E-2</v>
      </c>
      <c r="G92" s="1155">
        <v>130000</v>
      </c>
      <c r="H92" s="1155" t="s">
        <v>683</v>
      </c>
      <c r="I92" s="1156">
        <f t="shared" si="7"/>
        <v>2184.8739495798318</v>
      </c>
    </row>
    <row r="93" spans="2:9" x14ac:dyDescent="0.25">
      <c r="B93" s="1151">
        <f t="shared" si="8"/>
        <v>24</v>
      </c>
      <c r="C93" s="1152" t="s">
        <v>706</v>
      </c>
      <c r="D93" s="1153">
        <v>24</v>
      </c>
      <c r="E93" s="1153" t="s">
        <v>682</v>
      </c>
      <c r="F93" s="1154">
        <f t="shared" si="6"/>
        <v>6.7226890756302518E-2</v>
      </c>
      <c r="G93" s="1155">
        <v>130000</v>
      </c>
      <c r="H93" s="1155" t="s">
        <v>683</v>
      </c>
      <c r="I93" s="1156">
        <f t="shared" si="7"/>
        <v>8739.4957983193272</v>
      </c>
    </row>
    <row r="94" spans="2:9" x14ac:dyDescent="0.25">
      <c r="B94" s="1151">
        <f t="shared" si="8"/>
        <v>25</v>
      </c>
      <c r="C94" s="1152" t="s">
        <v>707</v>
      </c>
      <c r="D94" s="1153">
        <v>6</v>
      </c>
      <c r="E94" s="1153" t="s">
        <v>682</v>
      </c>
      <c r="F94" s="1154">
        <f t="shared" si="6"/>
        <v>1.680672268907563E-2</v>
      </c>
      <c r="G94" s="1155">
        <v>150000</v>
      </c>
      <c r="H94" s="1155" t="s">
        <v>683</v>
      </c>
      <c r="I94" s="1156">
        <f t="shared" si="7"/>
        <v>2521.0084033613443</v>
      </c>
    </row>
    <row r="95" spans="2:9" x14ac:dyDescent="0.25">
      <c r="B95" s="1151">
        <f t="shared" si="8"/>
        <v>26</v>
      </c>
      <c r="C95" s="1152" t="s">
        <v>708</v>
      </c>
      <c r="D95" s="1153">
        <v>6</v>
      </c>
      <c r="E95" s="1153" t="s">
        <v>682</v>
      </c>
      <c r="F95" s="1154">
        <f t="shared" si="6"/>
        <v>1.680672268907563E-2</v>
      </c>
      <c r="G95" s="1155">
        <v>180000</v>
      </c>
      <c r="H95" s="1155" t="s">
        <v>683</v>
      </c>
      <c r="I95" s="1156">
        <f t="shared" si="7"/>
        <v>3025.2100840336134</v>
      </c>
    </row>
    <row r="96" spans="2:9" x14ac:dyDescent="0.25">
      <c r="B96" s="1151">
        <f t="shared" si="8"/>
        <v>27</v>
      </c>
      <c r="C96" s="1152" t="s">
        <v>709</v>
      </c>
      <c r="D96" s="1153">
        <v>3</v>
      </c>
      <c r="E96" s="1153" t="s">
        <v>682</v>
      </c>
      <c r="F96" s="1154">
        <f t="shared" si="6"/>
        <v>8.4033613445378148E-3</v>
      </c>
      <c r="G96" s="1155">
        <v>210000</v>
      </c>
      <c r="H96" s="1155" t="s">
        <v>683</v>
      </c>
      <c r="I96" s="1156">
        <f t="shared" si="7"/>
        <v>1764.705882352941</v>
      </c>
    </row>
    <row r="97" spans="2:9" x14ac:dyDescent="0.25">
      <c r="B97" s="1151">
        <f t="shared" si="8"/>
        <v>28</v>
      </c>
      <c r="C97" s="1152" t="s">
        <v>710</v>
      </c>
      <c r="D97" s="1153">
        <v>3</v>
      </c>
      <c r="E97" s="1153" t="s">
        <v>682</v>
      </c>
      <c r="F97" s="1154">
        <f t="shared" si="6"/>
        <v>8.4033613445378148E-3</v>
      </c>
      <c r="G97" s="1155">
        <v>580000</v>
      </c>
      <c r="H97" s="1155" t="s">
        <v>683</v>
      </c>
      <c r="I97" s="1156">
        <f t="shared" si="7"/>
        <v>4873.9495798319322</v>
      </c>
    </row>
    <row r="98" spans="2:9" x14ac:dyDescent="0.25">
      <c r="B98" s="1151">
        <f t="shared" si="8"/>
        <v>29</v>
      </c>
      <c r="C98" s="1152" t="s">
        <v>711</v>
      </c>
      <c r="D98" s="1153">
        <v>3</v>
      </c>
      <c r="E98" s="1153" t="s">
        <v>682</v>
      </c>
      <c r="F98" s="1154">
        <f t="shared" si="6"/>
        <v>8.4033613445378148E-3</v>
      </c>
      <c r="G98" s="1155">
        <v>580000</v>
      </c>
      <c r="H98" s="1155" t="s">
        <v>683</v>
      </c>
      <c r="I98" s="1156">
        <f t="shared" si="7"/>
        <v>4873.9495798319322</v>
      </c>
    </row>
    <row r="99" spans="2:9" x14ac:dyDescent="0.25">
      <c r="B99" s="1151">
        <f t="shared" si="8"/>
        <v>30</v>
      </c>
      <c r="C99" s="1152" t="s">
        <v>712</v>
      </c>
      <c r="D99" s="1153">
        <v>500</v>
      </c>
      <c r="E99" s="1153" t="s">
        <v>682</v>
      </c>
      <c r="F99" s="1154">
        <f t="shared" si="6"/>
        <v>1.4005602240896358</v>
      </c>
      <c r="G99" s="1155">
        <v>10000</v>
      </c>
      <c r="H99" s="1155" t="s">
        <v>683</v>
      </c>
      <c r="I99" s="1156">
        <f t="shared" si="7"/>
        <v>14005.602240896358</v>
      </c>
    </row>
    <row r="100" spans="2:9" x14ac:dyDescent="0.25">
      <c r="B100" s="1151">
        <f t="shared" si="8"/>
        <v>31</v>
      </c>
      <c r="C100" s="1152" t="s">
        <v>713</v>
      </c>
      <c r="D100" s="1153">
        <v>12</v>
      </c>
      <c r="E100" s="1153" t="s">
        <v>682</v>
      </c>
      <c r="F100" s="1154">
        <f t="shared" si="6"/>
        <v>3.3613445378151259E-2</v>
      </c>
      <c r="G100" s="1155">
        <v>75000</v>
      </c>
      <c r="H100" s="1155" t="s">
        <v>683</v>
      </c>
      <c r="I100" s="1156">
        <f t="shared" si="7"/>
        <v>2521.0084033613443</v>
      </c>
    </row>
    <row r="101" spans="2:9" x14ac:dyDescent="0.25">
      <c r="B101" s="1151">
        <f t="shared" si="8"/>
        <v>32</v>
      </c>
      <c r="C101" s="1152" t="s">
        <v>714</v>
      </c>
      <c r="D101" s="1153">
        <v>4</v>
      </c>
      <c r="E101" s="1153" t="s">
        <v>682</v>
      </c>
      <c r="F101" s="1154">
        <f t="shared" si="6"/>
        <v>1.1204481792717087E-2</v>
      </c>
      <c r="G101" s="1155">
        <v>138000</v>
      </c>
      <c r="H101" s="1155" t="s">
        <v>683</v>
      </c>
      <c r="I101" s="1156">
        <f t="shared" si="7"/>
        <v>1546.2184873949579</v>
      </c>
    </row>
    <row r="102" spans="2:9" x14ac:dyDescent="0.25">
      <c r="B102" s="1151">
        <f t="shared" si="8"/>
        <v>33</v>
      </c>
      <c r="C102" s="1152" t="s">
        <v>715</v>
      </c>
      <c r="D102" s="1153">
        <v>2</v>
      </c>
      <c r="E102" s="1153" t="s">
        <v>682</v>
      </c>
      <c r="F102" s="1154">
        <f t="shared" si="6"/>
        <v>5.6022408963585435E-3</v>
      </c>
      <c r="G102" s="1155">
        <v>110000</v>
      </c>
      <c r="H102" s="1155" t="s">
        <v>683</v>
      </c>
      <c r="I102" s="1156">
        <f t="shared" si="7"/>
        <v>616.24649859943975</v>
      </c>
    </row>
    <row r="103" spans="2:9" x14ac:dyDescent="0.25">
      <c r="B103" s="1151">
        <f t="shared" si="8"/>
        <v>34</v>
      </c>
      <c r="C103" s="1152" t="s">
        <v>716</v>
      </c>
      <c r="D103" s="1153">
        <v>2</v>
      </c>
      <c r="E103" s="1153" t="s">
        <v>682</v>
      </c>
      <c r="F103" s="1154">
        <f t="shared" si="6"/>
        <v>5.6022408963585435E-3</v>
      </c>
      <c r="G103" s="1155">
        <v>125000</v>
      </c>
      <c r="H103" s="1155" t="s">
        <v>683</v>
      </c>
      <c r="I103" s="1156">
        <f t="shared" si="7"/>
        <v>700.28011204481788</v>
      </c>
    </row>
    <row r="104" spans="2:9" x14ac:dyDescent="0.25">
      <c r="B104" s="1151">
        <f t="shared" si="8"/>
        <v>35</v>
      </c>
      <c r="C104" s="1152" t="s">
        <v>717</v>
      </c>
      <c r="D104" s="1153">
        <v>2</v>
      </c>
      <c r="E104" s="1153" t="s">
        <v>682</v>
      </c>
      <c r="F104" s="1154">
        <f t="shared" si="6"/>
        <v>5.6022408963585435E-3</v>
      </c>
      <c r="G104" s="1155">
        <v>70000</v>
      </c>
      <c r="H104" s="1155" t="s">
        <v>683</v>
      </c>
      <c r="I104" s="1156">
        <f t="shared" si="7"/>
        <v>392.15686274509807</v>
      </c>
    </row>
    <row r="105" spans="2:9" x14ac:dyDescent="0.25">
      <c r="B105" s="1151">
        <f t="shared" si="8"/>
        <v>36</v>
      </c>
      <c r="C105" s="1152" t="s">
        <v>718</v>
      </c>
      <c r="D105" s="1153">
        <v>2</v>
      </c>
      <c r="E105" s="1153" t="s">
        <v>682</v>
      </c>
      <c r="F105" s="1154">
        <f t="shared" si="6"/>
        <v>5.6022408963585435E-3</v>
      </c>
      <c r="G105" s="1155">
        <v>210000</v>
      </c>
      <c r="H105" s="1155" t="s">
        <v>683</v>
      </c>
      <c r="I105" s="1156">
        <f t="shared" si="7"/>
        <v>1176.4705882352941</v>
      </c>
    </row>
    <row r="106" spans="2:9" x14ac:dyDescent="0.25">
      <c r="B106" s="1151">
        <f t="shared" si="8"/>
        <v>37</v>
      </c>
      <c r="C106" s="1152" t="s">
        <v>719</v>
      </c>
      <c r="D106" s="1153">
        <v>2</v>
      </c>
      <c r="E106" s="1153" t="s">
        <v>682</v>
      </c>
      <c r="F106" s="1154">
        <f t="shared" si="6"/>
        <v>5.6022408963585435E-3</v>
      </c>
      <c r="G106" s="1155">
        <v>325000</v>
      </c>
      <c r="H106" s="1155" t="s">
        <v>683</v>
      </c>
      <c r="I106" s="1156">
        <f t="shared" si="7"/>
        <v>1820.7282913165266</v>
      </c>
    </row>
    <row r="107" spans="2:9" x14ac:dyDescent="0.25">
      <c r="B107" s="1151">
        <f t="shared" si="8"/>
        <v>38</v>
      </c>
      <c r="C107" s="1152" t="s">
        <v>720</v>
      </c>
      <c r="D107" s="1153">
        <v>2</v>
      </c>
      <c r="E107" s="1153" t="s">
        <v>682</v>
      </c>
      <c r="F107" s="1154">
        <f t="shared" si="6"/>
        <v>5.6022408963585435E-3</v>
      </c>
      <c r="G107" s="1155">
        <v>400000</v>
      </c>
      <c r="H107" s="1155" t="s">
        <v>683</v>
      </c>
      <c r="I107" s="1156">
        <f t="shared" si="7"/>
        <v>2240.8963585434176</v>
      </c>
    </row>
    <row r="108" spans="2:9" x14ac:dyDescent="0.25">
      <c r="B108" s="1151">
        <f t="shared" si="8"/>
        <v>39</v>
      </c>
      <c r="C108" s="1152" t="s">
        <v>721</v>
      </c>
      <c r="D108" s="1153">
        <v>2</v>
      </c>
      <c r="E108" s="1153" t="s">
        <v>682</v>
      </c>
      <c r="F108" s="1154">
        <f t="shared" si="6"/>
        <v>5.6022408963585435E-3</v>
      </c>
      <c r="G108" s="1155">
        <v>520000</v>
      </c>
      <c r="H108" s="1155" t="s">
        <v>683</v>
      </c>
      <c r="I108" s="1156">
        <f t="shared" si="7"/>
        <v>2913.1652661064427</v>
      </c>
    </row>
    <row r="109" spans="2:9" x14ac:dyDescent="0.25">
      <c r="B109" s="1151">
        <f t="shared" si="8"/>
        <v>40</v>
      </c>
      <c r="C109" s="1152" t="s">
        <v>722</v>
      </c>
      <c r="D109" s="1153">
        <v>12</v>
      </c>
      <c r="E109" s="1153" t="s">
        <v>682</v>
      </c>
      <c r="F109" s="1154">
        <f t="shared" si="6"/>
        <v>3.3613445378151259E-2</v>
      </c>
      <c r="G109" s="1155">
        <v>75000</v>
      </c>
      <c r="H109" s="1155" t="s">
        <v>683</v>
      </c>
      <c r="I109" s="1156">
        <f t="shared" si="7"/>
        <v>2521.0084033613443</v>
      </c>
    </row>
    <row r="110" spans="2:9" ht="15.75" thickBot="1" x14ac:dyDescent="0.3">
      <c r="B110" s="1157">
        <f t="shared" si="8"/>
        <v>41</v>
      </c>
      <c r="C110" s="1158" t="s">
        <v>723</v>
      </c>
      <c r="D110" s="1159">
        <v>12</v>
      </c>
      <c r="E110" s="1159" t="s">
        <v>682</v>
      </c>
      <c r="F110" s="1160">
        <f t="shared" si="6"/>
        <v>3.3613445378151259E-2</v>
      </c>
      <c r="G110" s="1161">
        <v>85000</v>
      </c>
      <c r="H110" s="1161" t="s">
        <v>683</v>
      </c>
      <c r="I110" s="1162">
        <f t="shared" si="7"/>
        <v>2857.1428571428569</v>
      </c>
    </row>
    <row r="111" spans="2:9" ht="15.75" x14ac:dyDescent="0.25">
      <c r="B111" s="977"/>
      <c r="C111" s="920"/>
      <c r="D111" s="1083"/>
      <c r="E111" s="1083"/>
      <c r="G111" s="1764" t="s">
        <v>724</v>
      </c>
      <c r="H111" s="1765"/>
      <c r="I111" s="1163">
        <f>SUM(I70:I110)</f>
        <v>135770.30812324933</v>
      </c>
    </row>
  </sheetData>
  <mergeCells count="23"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  <mergeCell ref="G111:H111"/>
    <mergeCell ref="B63:G64"/>
    <mergeCell ref="H63:H64"/>
    <mergeCell ref="B68:B69"/>
    <mergeCell ref="C68:C69"/>
    <mergeCell ref="D68:E69"/>
    <mergeCell ref="F68:F69"/>
    <mergeCell ref="G68:H6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140625" customWidth="1"/>
    <col min="8" max="8" width="16.1406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82" t="s">
        <v>725</v>
      </c>
    </row>
    <row r="3" spans="2:13" x14ac:dyDescent="0.25">
      <c r="B3" s="1084" t="s">
        <v>394</v>
      </c>
      <c r="C3" s="1754" t="s">
        <v>224</v>
      </c>
      <c r="D3" s="1755"/>
      <c r="E3" s="1164" t="s">
        <v>655</v>
      </c>
      <c r="F3" s="1756" t="s">
        <v>575</v>
      </c>
      <c r="G3" s="1757"/>
      <c r="H3" s="1090" t="s">
        <v>576</v>
      </c>
      <c r="K3" s="1130" t="s">
        <v>726</v>
      </c>
    </row>
    <row r="4" spans="2:13" ht="21.6" customHeight="1" x14ac:dyDescent="0.25">
      <c r="B4" s="1165" t="s">
        <v>727</v>
      </c>
      <c r="C4" s="1166"/>
      <c r="D4" s="1115" t="s">
        <v>728</v>
      </c>
      <c r="E4" s="1167">
        <v>0</v>
      </c>
      <c r="F4" s="1762"/>
      <c r="G4" s="1763"/>
      <c r="H4" s="1086" t="s">
        <v>276</v>
      </c>
      <c r="K4" s="1168" t="s">
        <v>394</v>
      </c>
      <c r="L4" s="1754" t="s">
        <v>575</v>
      </c>
      <c r="M4" s="1755"/>
    </row>
    <row r="5" spans="2:13" ht="17.45" customHeight="1" x14ac:dyDescent="0.25">
      <c r="B5" s="1091" t="s">
        <v>279</v>
      </c>
      <c r="C5" s="1095"/>
      <c r="D5" s="1169"/>
      <c r="E5" s="1170"/>
      <c r="F5" s="1092"/>
      <c r="G5" s="1169"/>
      <c r="H5" s="1171">
        <v>0</v>
      </c>
      <c r="K5" s="1172" t="s">
        <v>729</v>
      </c>
      <c r="L5" s="1173">
        <v>1550</v>
      </c>
      <c r="M5" s="1174" t="s">
        <v>730</v>
      </c>
    </row>
    <row r="6" spans="2:13" x14ac:dyDescent="0.25">
      <c r="B6" s="1098" t="s">
        <v>731</v>
      </c>
      <c r="C6" s="1099">
        <v>100</v>
      </c>
      <c r="D6" s="1135" t="s">
        <v>732</v>
      </c>
      <c r="E6" s="412">
        <f>(C6*25%*4)/30</f>
        <v>3.3333333333333335</v>
      </c>
      <c r="F6" s="1099">
        <v>14500</v>
      </c>
      <c r="G6" s="1135" t="s">
        <v>733</v>
      </c>
      <c r="H6" s="1175">
        <f>F6*E6</f>
        <v>48333.333333333336</v>
      </c>
    </row>
    <row r="7" spans="2:13" x14ac:dyDescent="0.25">
      <c r="B7" s="1098" t="s">
        <v>734</v>
      </c>
      <c r="C7" s="1099">
        <v>100</v>
      </c>
      <c r="D7" s="1135" t="s">
        <v>732</v>
      </c>
      <c r="E7" s="412">
        <f t="shared" ref="E7:E8" si="0">(C7*25%*4)/30</f>
        <v>3.3333333333333335</v>
      </c>
      <c r="F7" s="1099">
        <v>14500</v>
      </c>
      <c r="G7" s="1135" t="s">
        <v>733</v>
      </c>
      <c r="H7" s="1175">
        <f t="shared" ref="H7:H8" si="1">F7*E7</f>
        <v>48333.333333333336</v>
      </c>
    </row>
    <row r="8" spans="2:13" x14ac:dyDescent="0.25">
      <c r="B8" s="1098" t="s">
        <v>735</v>
      </c>
      <c r="C8" s="1099">
        <v>100</v>
      </c>
      <c r="D8" s="1135" t="s">
        <v>732</v>
      </c>
      <c r="E8" s="412">
        <f t="shared" si="0"/>
        <v>3.3333333333333335</v>
      </c>
      <c r="F8" s="1099">
        <v>14500</v>
      </c>
      <c r="G8" s="1135" t="s">
        <v>733</v>
      </c>
      <c r="H8" s="1175">
        <f t="shared" si="1"/>
        <v>48333.333333333336</v>
      </c>
    </row>
    <row r="9" spans="2:13" x14ac:dyDescent="0.25">
      <c r="B9" s="1098" t="s">
        <v>592</v>
      </c>
      <c r="C9" s="1099"/>
      <c r="D9" s="1135" t="s">
        <v>276</v>
      </c>
      <c r="E9" s="1099"/>
      <c r="F9" s="1099"/>
      <c r="G9" s="1135"/>
      <c r="H9" s="1175">
        <v>0</v>
      </c>
      <c r="I9" s="1176"/>
    </row>
    <row r="10" spans="2:13" x14ac:dyDescent="0.25">
      <c r="B10" s="1108" t="s">
        <v>736</v>
      </c>
      <c r="C10" s="1109"/>
      <c r="D10" s="1110"/>
      <c r="E10" s="1109"/>
      <c r="F10" s="1109"/>
      <c r="G10" s="1110"/>
      <c r="H10" s="1177">
        <f>SUM(H5:H9)</f>
        <v>145000</v>
      </c>
    </row>
    <row r="11" spans="2:13" x14ac:dyDescent="0.25">
      <c r="H11" s="1178" t="s">
        <v>737</v>
      </c>
    </row>
    <row r="12" spans="2:13" x14ac:dyDescent="0.25">
      <c r="B12" s="1130" t="s">
        <v>738</v>
      </c>
    </row>
    <row r="13" spans="2:13" ht="23.1" customHeight="1" x14ac:dyDescent="0.25">
      <c r="B13" s="1084" t="s">
        <v>394</v>
      </c>
      <c r="C13" s="1754" t="s">
        <v>224</v>
      </c>
      <c r="D13" s="1755"/>
      <c r="E13" s="1086" t="s">
        <v>739</v>
      </c>
      <c r="F13" s="1756" t="s">
        <v>575</v>
      </c>
      <c r="G13" s="1757"/>
      <c r="H13" s="1090" t="s">
        <v>576</v>
      </c>
    </row>
    <row r="14" spans="2:13" ht="21" customHeight="1" x14ac:dyDescent="0.25">
      <c r="B14" s="1165" t="s">
        <v>740</v>
      </c>
      <c r="C14" s="1166">
        <v>2088</v>
      </c>
      <c r="D14" s="1086" t="s">
        <v>728</v>
      </c>
      <c r="E14" s="1167">
        <f>C14*24</f>
        <v>50112</v>
      </c>
      <c r="F14" s="1762"/>
      <c r="G14" s="1763"/>
      <c r="H14" s="1086" t="s">
        <v>276</v>
      </c>
    </row>
    <row r="15" spans="2:13" x14ac:dyDescent="0.25">
      <c r="B15" s="1091" t="s">
        <v>279</v>
      </c>
      <c r="C15" s="1179"/>
      <c r="D15" s="1093"/>
      <c r="E15" s="1170"/>
      <c r="F15" s="1180"/>
      <c r="G15" s="1093"/>
      <c r="H15" s="1181">
        <v>0</v>
      </c>
    </row>
    <row r="16" spans="2:13" x14ac:dyDescent="0.25">
      <c r="B16" s="1098" t="s">
        <v>731</v>
      </c>
      <c r="C16" s="1099">
        <v>800</v>
      </c>
      <c r="D16" s="1135" t="s">
        <v>732</v>
      </c>
      <c r="E16" s="412">
        <f>C16*24</f>
        <v>19200</v>
      </c>
      <c r="F16" s="1099">
        <v>14500</v>
      </c>
      <c r="G16" s="1135" t="s">
        <v>733</v>
      </c>
      <c r="H16" s="1175">
        <f t="shared" ref="H16:H18" si="2">F16*E16</f>
        <v>278400000</v>
      </c>
    </row>
    <row r="17" spans="2:9" x14ac:dyDescent="0.25">
      <c r="B17" s="1098" t="s">
        <v>734</v>
      </c>
      <c r="C17" s="1099">
        <v>800</v>
      </c>
      <c r="D17" s="1135" t="s">
        <v>732</v>
      </c>
      <c r="E17" s="412">
        <f>C17*24</f>
        <v>19200</v>
      </c>
      <c r="F17" s="1099">
        <v>14500</v>
      </c>
      <c r="G17" s="1135" t="s">
        <v>733</v>
      </c>
      <c r="H17" s="1175">
        <f t="shared" si="2"/>
        <v>278400000</v>
      </c>
    </row>
    <row r="18" spans="2:9" x14ac:dyDescent="0.25">
      <c r="B18" s="1098" t="s">
        <v>735</v>
      </c>
      <c r="C18" s="1099"/>
      <c r="D18" s="1135" t="s">
        <v>732</v>
      </c>
      <c r="E18" s="412">
        <v>0</v>
      </c>
      <c r="F18" s="1099">
        <v>14500</v>
      </c>
      <c r="G18" s="1135" t="s">
        <v>733</v>
      </c>
      <c r="H18" s="1175">
        <f t="shared" si="2"/>
        <v>0</v>
      </c>
    </row>
    <row r="19" spans="2:9" x14ac:dyDescent="0.25">
      <c r="B19" s="1098" t="s">
        <v>592</v>
      </c>
      <c r="C19" s="1099"/>
      <c r="D19" s="1135" t="s">
        <v>276</v>
      </c>
      <c r="E19" s="1099"/>
      <c r="F19" s="1099"/>
      <c r="G19" s="1135"/>
      <c r="H19" s="1182">
        <v>0</v>
      </c>
      <c r="I19" s="1176"/>
    </row>
    <row r="20" spans="2:9" x14ac:dyDescent="0.25">
      <c r="B20" s="1108" t="s">
        <v>736</v>
      </c>
      <c r="C20" s="1109"/>
      <c r="D20" s="1110"/>
      <c r="E20" s="1109"/>
      <c r="F20" s="1109"/>
      <c r="G20" s="1110"/>
      <c r="H20" s="1177">
        <f>SUM(H15:H19)</f>
        <v>556800000</v>
      </c>
    </row>
    <row r="21" spans="2:9" x14ac:dyDescent="0.25">
      <c r="B21" s="1183"/>
      <c r="C21" s="1083"/>
      <c r="E21" s="1083"/>
      <c r="F21" s="1779" t="s">
        <v>741</v>
      </c>
      <c r="G21" s="1780"/>
      <c r="H21" s="1184">
        <f>H20/E14</f>
        <v>11111.111111111111</v>
      </c>
      <c r="I21" s="1130" t="s">
        <v>742</v>
      </c>
    </row>
    <row r="22" spans="2:9" x14ac:dyDescent="0.25">
      <c r="H22" s="1185"/>
    </row>
    <row r="23" spans="2:9" x14ac:dyDescent="0.25">
      <c r="B23" s="920" t="s">
        <v>595</v>
      </c>
      <c r="E23" s="1128"/>
    </row>
    <row r="24" spans="2:9" x14ac:dyDescent="0.25">
      <c r="B24" s="920" t="s">
        <v>743</v>
      </c>
      <c r="E24" s="1186"/>
    </row>
    <row r="25" spans="2:9" x14ac:dyDescent="0.25">
      <c r="E25" s="920"/>
      <c r="G25" s="1187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85546875" defaultRowHeight="12.75" x14ac:dyDescent="0.25"/>
  <cols>
    <col min="1" max="1" width="8.85546875" style="994"/>
    <col min="2" max="2" width="5.5703125" style="993" customWidth="1"/>
    <col min="3" max="3" width="63.5703125" style="994" customWidth="1"/>
    <col min="4" max="4" width="15.5703125" style="994" customWidth="1"/>
    <col min="5" max="5" width="15" style="994" customWidth="1"/>
    <col min="6" max="6" width="15.140625" style="994" customWidth="1"/>
    <col min="7" max="7" width="14.5703125" style="994" customWidth="1"/>
    <col min="8" max="8" width="11.42578125" style="994" customWidth="1"/>
    <col min="9" max="9" width="12.42578125" style="994" customWidth="1"/>
    <col min="10" max="10" width="11" style="994" bestFit="1" customWidth="1"/>
    <col min="11" max="16384" width="8.85546875" style="994"/>
  </cols>
  <sheetData>
    <row r="2" spans="2:10" ht="19.5" thickBot="1" x14ac:dyDescent="0.3">
      <c r="B2" s="995" t="s">
        <v>553</v>
      </c>
    </row>
    <row r="3" spans="2:10" x14ac:dyDescent="0.25">
      <c r="B3" s="1785" t="s">
        <v>369</v>
      </c>
      <c r="C3" s="1786"/>
      <c r="D3" s="996"/>
      <c r="E3" s="996"/>
      <c r="F3" s="996"/>
      <c r="G3" s="996"/>
      <c r="H3" s="998" t="s">
        <v>389</v>
      </c>
      <c r="I3" s="999">
        <f>'HPP REF '!N3</f>
        <v>926.24454545454546</v>
      </c>
    </row>
    <row r="4" spans="2:10" x14ac:dyDescent="0.25">
      <c r="B4" s="1787" t="s">
        <v>422</v>
      </c>
      <c r="C4" s="1788"/>
      <c r="H4" s="1000" t="s">
        <v>83</v>
      </c>
      <c r="I4" s="1001">
        <f>'HPP REF '!N4</f>
        <v>22</v>
      </c>
    </row>
    <row r="5" spans="2:10" x14ac:dyDescent="0.25">
      <c r="B5" s="1787" t="s">
        <v>423</v>
      </c>
      <c r="C5" s="1788"/>
      <c r="H5" s="1000" t="s">
        <v>424</v>
      </c>
      <c r="I5" s="1001">
        <f>I4*I3</f>
        <v>20377.38</v>
      </c>
    </row>
    <row r="6" spans="2:10" ht="13.5" thickBot="1" x14ac:dyDescent="0.3">
      <c r="B6" s="972" t="s">
        <v>425</v>
      </c>
      <c r="C6" s="973"/>
      <c r="D6" s="1002"/>
      <c r="E6" s="1002"/>
      <c r="F6" s="1002"/>
      <c r="G6" s="1002"/>
      <c r="H6" s="1004"/>
      <c r="I6" s="1191">
        <f>'SUMMARY HPP '!I9</f>
        <v>15546</v>
      </c>
    </row>
    <row r="7" spans="2:10" ht="15" x14ac:dyDescent="0.25">
      <c r="B7" s="1789" t="s">
        <v>100</v>
      </c>
      <c r="C7" s="1791" t="s">
        <v>290</v>
      </c>
      <c r="D7" s="1781" t="s">
        <v>554</v>
      </c>
      <c r="E7" s="1793"/>
      <c r="F7" s="1781" t="s">
        <v>450</v>
      </c>
      <c r="G7" s="1781"/>
      <c r="H7" s="1781"/>
      <c r="I7" s="1782"/>
    </row>
    <row r="8" spans="2:10" ht="15.75" thickBot="1" x14ac:dyDescent="0.3">
      <c r="B8" s="1790"/>
      <c r="C8" s="1792"/>
      <c r="D8" s="1048" t="s">
        <v>451</v>
      </c>
      <c r="E8" s="1048" t="s">
        <v>452</v>
      </c>
      <c r="F8" s="1048" t="s">
        <v>451</v>
      </c>
      <c r="G8" s="1048" t="s">
        <v>452</v>
      </c>
      <c r="H8" s="1049" t="s">
        <v>427</v>
      </c>
      <c r="I8" s="1060" t="s">
        <v>231</v>
      </c>
    </row>
    <row r="9" spans="2:10" ht="13.5" thickTop="1" x14ac:dyDescent="0.25">
      <c r="B9" s="1050">
        <v>1</v>
      </c>
      <c r="C9" s="1070" t="s">
        <v>555</v>
      </c>
      <c r="D9" s="1066">
        <v>962709313.75999999</v>
      </c>
      <c r="E9" s="1066">
        <f>D9/12</f>
        <v>80225776.146666661</v>
      </c>
      <c r="F9" s="1066">
        <f>G9*12</f>
        <v>531927347.99999374</v>
      </c>
      <c r="G9" s="1066">
        <v>44327278.999999478</v>
      </c>
      <c r="H9" s="1067">
        <f>$G$9/($I$5*1000)</f>
        <v>2.1753178769792525</v>
      </c>
      <c r="I9" s="1067">
        <f>($G$9/$I$6)/$I$5</f>
        <v>0.1399278191804485</v>
      </c>
      <c r="J9" s="994">
        <f>D9/12</f>
        <v>80225776.146666661</v>
      </c>
    </row>
    <row r="10" spans="2:10" x14ac:dyDescent="0.25">
      <c r="B10" s="1015">
        <f>B9+1</f>
        <v>2</v>
      </c>
      <c r="C10" s="1070" t="s">
        <v>556</v>
      </c>
      <c r="D10" s="1020">
        <v>269614444.44</v>
      </c>
      <c r="E10" s="1020">
        <f>D10/12</f>
        <v>22467870.370000001</v>
      </c>
      <c r="F10" s="1020">
        <v>0</v>
      </c>
      <c r="G10" s="1020">
        <v>0</v>
      </c>
      <c r="H10" s="1021">
        <f>$G$10/($I$5*1000)</f>
        <v>0</v>
      </c>
      <c r="I10" s="1021">
        <f>($G$10/$I$6)/$I$5</f>
        <v>0</v>
      </c>
    </row>
    <row r="11" spans="2:10" x14ac:dyDescent="0.25">
      <c r="B11" s="1015">
        <f t="shared" ref="B11:B15" si="0">B10+1</f>
        <v>3</v>
      </c>
      <c r="C11" s="1070" t="s">
        <v>557</v>
      </c>
      <c r="D11" s="1020">
        <v>0</v>
      </c>
      <c r="E11" s="1020">
        <f t="shared" ref="E11:E15" si="1">D11/12</f>
        <v>0</v>
      </c>
      <c r="F11" s="1020">
        <v>0</v>
      </c>
      <c r="G11" s="1020">
        <v>0</v>
      </c>
      <c r="H11" s="1021">
        <f>$G$11/($I$5*1000)</f>
        <v>0</v>
      </c>
      <c r="I11" s="1021">
        <f>($G$11/$I$6)/$I$5</f>
        <v>0</v>
      </c>
    </row>
    <row r="12" spans="2:10" x14ac:dyDescent="0.25">
      <c r="B12" s="1015">
        <f t="shared" si="0"/>
        <v>4</v>
      </c>
      <c r="C12" s="1070" t="s">
        <v>558</v>
      </c>
      <c r="D12" s="1020">
        <v>0</v>
      </c>
      <c r="E12" s="1020">
        <f t="shared" si="1"/>
        <v>0</v>
      </c>
      <c r="F12" s="1020">
        <v>0</v>
      </c>
      <c r="G12" s="1020">
        <v>0</v>
      </c>
      <c r="H12" s="1021">
        <f>$G$12/($I$5*1000)</f>
        <v>0</v>
      </c>
      <c r="I12" s="1021">
        <f>($G$12/$I$6)/$I$5</f>
        <v>0</v>
      </c>
    </row>
    <row r="13" spans="2:10" x14ac:dyDescent="0.25">
      <c r="B13" s="1015">
        <f t="shared" si="0"/>
        <v>5</v>
      </c>
      <c r="C13" s="1070" t="s">
        <v>559</v>
      </c>
      <c r="D13" s="1020">
        <v>0</v>
      </c>
      <c r="E13" s="1020">
        <f t="shared" si="1"/>
        <v>0</v>
      </c>
      <c r="F13" s="1020">
        <v>0</v>
      </c>
      <c r="G13" s="1020">
        <v>0</v>
      </c>
      <c r="H13" s="1021">
        <f>$G$13/($I$5*1000)</f>
        <v>0</v>
      </c>
      <c r="I13" s="1021">
        <f>($G$13/$I$6)/$I$5</f>
        <v>0</v>
      </c>
    </row>
    <row r="14" spans="2:10" x14ac:dyDescent="0.25">
      <c r="B14" s="1015">
        <f t="shared" si="0"/>
        <v>6</v>
      </c>
      <c r="C14" s="1070" t="s">
        <v>560</v>
      </c>
      <c r="D14" s="1020">
        <v>0</v>
      </c>
      <c r="E14" s="1020">
        <f t="shared" si="1"/>
        <v>0</v>
      </c>
      <c r="F14" s="1071">
        <v>0</v>
      </c>
      <c r="G14" s="1020">
        <v>0</v>
      </c>
      <c r="H14" s="1021">
        <f>$G$14/($I$5*1000)</f>
        <v>0</v>
      </c>
      <c r="I14" s="1021">
        <f>($G$14/$I$6)/$I$5</f>
        <v>0</v>
      </c>
    </row>
    <row r="15" spans="2:10" x14ac:dyDescent="0.25">
      <c r="B15" s="1015">
        <f t="shared" si="0"/>
        <v>7</v>
      </c>
      <c r="C15" s="1070" t="s">
        <v>561</v>
      </c>
      <c r="D15" s="1020">
        <v>12576902836.549999</v>
      </c>
      <c r="E15" s="1020">
        <f t="shared" si="1"/>
        <v>1048075236.3791666</v>
      </c>
      <c r="F15" s="1012">
        <f>G15*12</f>
        <v>12048990312</v>
      </c>
      <c r="G15" s="1020">
        <v>1004082526</v>
      </c>
      <c r="H15" s="1021">
        <f>$G$15/($I$5*1000)</f>
        <v>49.274368245574259</v>
      </c>
      <c r="I15" s="1021">
        <f>($G$15/$I$6)/$I$5</f>
        <v>3.1695849894232766</v>
      </c>
    </row>
    <row r="16" spans="2:10" x14ac:dyDescent="0.25">
      <c r="B16" s="1015"/>
      <c r="C16" s="1022"/>
      <c r="D16" s="1020"/>
      <c r="E16" s="1020"/>
      <c r="F16" s="1020"/>
      <c r="G16" s="1020"/>
      <c r="H16" s="1021"/>
      <c r="I16" s="1021"/>
    </row>
    <row r="17" spans="2:9" x14ac:dyDescent="0.25">
      <c r="B17" s="1015"/>
      <c r="C17" s="1022"/>
      <c r="D17" s="1020"/>
      <c r="E17" s="1020"/>
      <c r="F17" s="1020"/>
      <c r="G17" s="1020"/>
      <c r="H17" s="1021"/>
      <c r="I17" s="1021"/>
    </row>
    <row r="18" spans="2:9" x14ac:dyDescent="0.25">
      <c r="B18" s="1015"/>
      <c r="C18" s="1022"/>
      <c r="D18" s="1020"/>
      <c r="E18" s="1020"/>
      <c r="F18" s="1020"/>
      <c r="G18" s="1020"/>
      <c r="H18" s="1021"/>
      <c r="I18" s="1021"/>
    </row>
    <row r="19" spans="2:9" ht="13.5" thickBot="1" x14ac:dyDescent="0.3">
      <c r="B19" s="1053"/>
      <c r="C19" s="1054"/>
      <c r="D19" s="1055"/>
      <c r="E19" s="1055"/>
      <c r="F19" s="1055"/>
      <c r="G19" s="1055"/>
      <c r="H19" s="1069"/>
      <c r="I19" s="1069"/>
    </row>
    <row r="20" spans="2:9" ht="16.5" thickTop="1" thickBot="1" x14ac:dyDescent="0.3">
      <c r="B20" s="1783" t="s">
        <v>497</v>
      </c>
      <c r="C20" s="1784"/>
      <c r="D20" s="1061">
        <f t="shared" ref="D20:I20" si="2">SUM(D9:D19)</f>
        <v>13809226594.75</v>
      </c>
      <c r="E20" s="1061">
        <f t="shared" si="2"/>
        <v>1150768882.8958333</v>
      </c>
      <c r="F20" s="1062">
        <f t="shared" si="2"/>
        <v>12580917659.999994</v>
      </c>
      <c r="G20" s="1062">
        <f t="shared" si="2"/>
        <v>1048409804.9999995</v>
      </c>
      <c r="H20" s="1063">
        <f t="shared" si="2"/>
        <v>51.449686122553508</v>
      </c>
      <c r="I20" s="1063">
        <f t="shared" si="2"/>
        <v>3.3095128086037251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35" activePane="bottomLeft" state="frozen"/>
      <selection activeCell="K11" sqref="K11"/>
      <selection pane="bottomLeft" activeCell="K11" sqref="K11"/>
    </sheetView>
  </sheetViews>
  <sheetFormatPr defaultColWidth="8.85546875" defaultRowHeight="12.75" x14ac:dyDescent="0.25"/>
  <cols>
    <col min="1" max="1" width="8.85546875" style="994"/>
    <col min="2" max="2" width="5.5703125" style="993" customWidth="1"/>
    <col min="3" max="3" width="49.140625" style="994" customWidth="1"/>
    <col min="4" max="4" width="16.5703125" style="994" customWidth="1"/>
    <col min="5" max="5" width="15.5703125" style="994" customWidth="1"/>
    <col min="6" max="7" width="15" style="994" customWidth="1"/>
    <col min="8" max="8" width="15.140625" style="994" customWidth="1"/>
    <col min="9" max="9" width="14.5703125" style="994" customWidth="1"/>
    <col min="10" max="10" width="11.42578125" style="994" customWidth="1"/>
    <col min="11" max="11" width="12.42578125" style="994" customWidth="1"/>
    <col min="12" max="12" width="17.5703125" style="994" customWidth="1"/>
    <col min="13" max="16384" width="8.85546875" style="994"/>
  </cols>
  <sheetData>
    <row r="1" spans="2:11" ht="5.0999999999999996" customHeight="1" x14ac:dyDescent="0.25"/>
    <row r="2" spans="2:11" ht="23.45" customHeight="1" thickBot="1" x14ac:dyDescent="0.3">
      <c r="B2" s="995" t="s">
        <v>495</v>
      </c>
    </row>
    <row r="3" spans="2:11" ht="14.45" customHeight="1" x14ac:dyDescent="0.25">
      <c r="B3" s="1785" t="s">
        <v>369</v>
      </c>
      <c r="C3" s="1786"/>
      <c r="D3" s="894"/>
      <c r="E3" s="996"/>
      <c r="F3" s="996"/>
      <c r="G3" s="996"/>
      <c r="H3" s="996"/>
      <c r="I3" s="996"/>
      <c r="J3" s="998" t="s">
        <v>389</v>
      </c>
      <c r="K3" s="999">
        <f>'HPP REF '!N3</f>
        <v>926.24454545454546</v>
      </c>
    </row>
    <row r="4" spans="2:11" ht="14.45" customHeight="1" x14ac:dyDescent="0.25">
      <c r="B4" s="1787" t="s">
        <v>422</v>
      </c>
      <c r="C4" s="1788"/>
      <c r="D4" s="899"/>
      <c r="J4" s="1000" t="s">
        <v>83</v>
      </c>
      <c r="K4" s="1001">
        <f>'HPP REF '!N4</f>
        <v>22</v>
      </c>
    </row>
    <row r="5" spans="2:11" ht="14.45" customHeight="1" x14ac:dyDescent="0.25">
      <c r="B5" s="1787" t="s">
        <v>423</v>
      </c>
      <c r="C5" s="1788"/>
      <c r="D5" s="899"/>
      <c r="J5" s="1000" t="s">
        <v>424</v>
      </c>
      <c r="K5" s="1001">
        <f>K4*K3</f>
        <v>20377.38</v>
      </c>
    </row>
    <row r="6" spans="2:11" ht="14.45" customHeight="1" thickBot="1" x14ac:dyDescent="0.3">
      <c r="B6" s="972" t="s">
        <v>425</v>
      </c>
      <c r="C6" s="973"/>
      <c r="D6" s="973"/>
      <c r="E6" s="1002"/>
      <c r="F6" s="1002"/>
      <c r="G6" s="1002"/>
      <c r="H6" s="1002"/>
      <c r="I6" s="1002"/>
      <c r="J6" s="1004"/>
      <c r="K6" s="1191">
        <f>'SUMMARY HPP '!I9</f>
        <v>15546</v>
      </c>
    </row>
    <row r="7" spans="2:11" ht="15.6" customHeight="1" x14ac:dyDescent="0.25">
      <c r="B7" s="1789" t="s">
        <v>100</v>
      </c>
      <c r="C7" s="1791" t="s">
        <v>290</v>
      </c>
      <c r="D7" s="1794" t="s">
        <v>449</v>
      </c>
      <c r="E7" s="1781"/>
      <c r="F7" s="1793"/>
      <c r="G7" s="1794" t="s">
        <v>450</v>
      </c>
      <c r="H7" s="1781"/>
      <c r="I7" s="1781"/>
      <c r="J7" s="1781"/>
      <c r="K7" s="1782"/>
    </row>
    <row r="8" spans="2:11" ht="15" customHeight="1" thickBot="1" x14ac:dyDescent="0.3">
      <c r="B8" s="1790"/>
      <c r="C8" s="1792"/>
      <c r="D8" s="1047" t="s">
        <v>496</v>
      </c>
      <c r="E8" s="1048" t="s">
        <v>451</v>
      </c>
      <c r="F8" s="1048" t="s">
        <v>452</v>
      </c>
      <c r="G8" s="1047" t="s">
        <v>496</v>
      </c>
      <c r="H8" s="1048" t="s">
        <v>451</v>
      </c>
      <c r="I8" s="1048" t="s">
        <v>452</v>
      </c>
      <c r="J8" s="1049" t="s">
        <v>427</v>
      </c>
      <c r="K8" s="1060" t="s">
        <v>231</v>
      </c>
    </row>
    <row r="9" spans="2:11" ht="23.45" customHeight="1" thickTop="1" thickBot="1" x14ac:dyDescent="0.3">
      <c r="B9" s="1783" t="s">
        <v>497</v>
      </c>
      <c r="C9" s="1784"/>
      <c r="D9" s="1061">
        <f t="shared" ref="D9:K9" si="0">SUM(D10:D75)</f>
        <v>679712126808.7334</v>
      </c>
      <c r="E9" s="1061">
        <f t="shared" si="0"/>
        <v>41807174181.37001</v>
      </c>
      <c r="F9" s="1061">
        <f t="shared" si="0"/>
        <v>3483931181.7808337</v>
      </c>
      <c r="G9" s="1062">
        <f t="shared" si="0"/>
        <v>775031394297.89551</v>
      </c>
      <c r="H9" s="1062">
        <f t="shared" si="0"/>
        <v>50174217449.730003</v>
      </c>
      <c r="I9" s="1062">
        <f t="shared" si="0"/>
        <v>4181184787.4775009</v>
      </c>
      <c r="J9" s="1063">
        <f t="shared" si="0"/>
        <v>205.18755539119849</v>
      </c>
      <c r="K9" s="1063">
        <f t="shared" si="0"/>
        <v>13.19873635605291</v>
      </c>
    </row>
    <row r="10" spans="2:11" ht="13.5" thickTop="1" x14ac:dyDescent="0.25">
      <c r="B10" s="1050">
        <v>1</v>
      </c>
      <c r="C10" s="1064" t="s">
        <v>498</v>
      </c>
      <c r="D10" s="1065">
        <v>3844320790</v>
      </c>
      <c r="E10" s="1066">
        <v>192216039.49999997</v>
      </c>
      <c r="F10" s="1066">
        <v>16018003.291666664</v>
      </c>
      <c r="G10" s="1066">
        <v>3844320789.5999999</v>
      </c>
      <c r="H10" s="1066">
        <f>I10*12</f>
        <v>192216039.48000002</v>
      </c>
      <c r="I10" s="1066">
        <v>16018003.290000001</v>
      </c>
      <c r="J10" s="1067">
        <f>$I$10/($K$5*1000)</f>
        <v>0.78606785023393588</v>
      </c>
      <c r="K10" s="1067">
        <f>($I$10/$K$6)/$K$5</f>
        <v>5.0563993968476516E-2</v>
      </c>
    </row>
    <row r="11" spans="2:11" x14ac:dyDescent="0.25">
      <c r="B11" s="1015">
        <f>B10+1</f>
        <v>2</v>
      </c>
      <c r="C11" s="1068" t="s">
        <v>499</v>
      </c>
      <c r="D11" s="1018">
        <v>247144032</v>
      </c>
      <c r="E11" s="1020">
        <v>12357201.600000001</v>
      </c>
      <c r="F11" s="1020">
        <v>1029766.8000000002</v>
      </c>
      <c r="G11" s="1020">
        <v>247144031.75</v>
      </c>
      <c r="H11" s="1020">
        <f>I11*12</f>
        <v>12357201.5875</v>
      </c>
      <c r="I11" s="1020">
        <v>1029766.7989583333</v>
      </c>
      <c r="J11" s="1021">
        <f>$I$11/($K$5*1000)</f>
        <v>5.0534798828815744E-2</v>
      </c>
      <c r="K11" s="1021">
        <f>($I$11/$K$6)/$K$5</f>
        <v>3.2506624745153568E-3</v>
      </c>
    </row>
    <row r="12" spans="2:11" x14ac:dyDescent="0.25">
      <c r="B12" s="1015">
        <f t="shared" ref="B12:B71" si="1">B11+1</f>
        <v>3</v>
      </c>
      <c r="C12" s="1068" t="s">
        <v>500</v>
      </c>
      <c r="D12" s="1018">
        <v>199088248</v>
      </c>
      <c r="E12" s="1020">
        <v>12429395.071824417</v>
      </c>
      <c r="F12" s="1020">
        <v>1035782.9226520347</v>
      </c>
      <c r="G12" s="1020">
        <v>397086862.12595332</v>
      </c>
      <c r="H12" s="1020">
        <f t="shared" ref="H12:H71" si="2">I12*12</f>
        <v>19854343.106297664</v>
      </c>
      <c r="I12" s="1020">
        <v>1654528.5921914722</v>
      </c>
      <c r="J12" s="1021">
        <f>$I$12/($K$5*1000)</f>
        <v>8.1194372985706323E-2</v>
      </c>
      <c r="K12" s="1021">
        <f>($I$12/$K$6)/$K$5</f>
        <v>5.2228465834109295E-3</v>
      </c>
    </row>
    <row r="13" spans="2:11" x14ac:dyDescent="0.25">
      <c r="B13" s="1015">
        <f t="shared" si="1"/>
        <v>4</v>
      </c>
      <c r="C13" s="1068" t="s">
        <v>501</v>
      </c>
      <c r="D13" s="1018">
        <v>53111657402</v>
      </c>
      <c r="E13" s="1020">
        <v>2655582870.099999</v>
      </c>
      <c r="F13" s="1020">
        <v>221298572.50833324</v>
      </c>
      <c r="G13" s="1020">
        <v>53111657403.529999</v>
      </c>
      <c r="H13" s="1020">
        <f t="shared" si="2"/>
        <v>2655582870.1764994</v>
      </c>
      <c r="I13" s="1020">
        <v>221298572.51470828</v>
      </c>
      <c r="J13" s="1021">
        <f>$I$13/($K$5*1000)</f>
        <v>10.860011076728622</v>
      </c>
      <c r="K13" s="1021">
        <f>($I$13/$K$6)/$K$5</f>
        <v>0.69857269244362674</v>
      </c>
    </row>
    <row r="14" spans="2:11" x14ac:dyDescent="0.25">
      <c r="B14" s="1015">
        <f t="shared" si="1"/>
        <v>5</v>
      </c>
      <c r="C14" s="1068" t="s">
        <v>502</v>
      </c>
      <c r="D14" s="1018">
        <v>1392076443.1299996</v>
      </c>
      <c r="E14" s="1020">
        <v>70956821.50959149</v>
      </c>
      <c r="F14" s="1020">
        <v>5913068.4591326239</v>
      </c>
      <c r="G14" s="1020">
        <v>1500316391.3773193</v>
      </c>
      <c r="H14" s="1020">
        <f t="shared" si="2"/>
        <v>75015819.56886597</v>
      </c>
      <c r="I14" s="1020">
        <v>6251318.2974054972</v>
      </c>
      <c r="J14" s="1021">
        <f>$I$14/($K$5*1000)</f>
        <v>0.30677733336697344</v>
      </c>
      <c r="K14" s="1021">
        <f>($I$14/$K$6)/$K$5</f>
        <v>1.9733522022833745E-2</v>
      </c>
    </row>
    <row r="15" spans="2:11" x14ac:dyDescent="0.25">
      <c r="B15" s="1015">
        <f t="shared" si="1"/>
        <v>6</v>
      </c>
      <c r="C15" s="1068" t="s">
        <v>503</v>
      </c>
      <c r="D15" s="1018">
        <v>22378266872</v>
      </c>
      <c r="E15" s="1020">
        <v>1118913343.5999999</v>
      </c>
      <c r="F15" s="1020">
        <v>93242778.633333325</v>
      </c>
      <c r="G15" s="1020">
        <v>22378266872.27499</v>
      </c>
      <c r="H15" s="1020">
        <f t="shared" si="2"/>
        <v>1118913343.6137495</v>
      </c>
      <c r="I15" s="1020">
        <v>93242778.63447912</v>
      </c>
      <c r="J15" s="1021">
        <f>$I$15/($K$5*1000)</f>
        <v>4.5757981955717133</v>
      </c>
      <c r="K15" s="1021">
        <f>($I$15/$K$6)/$K$5</f>
        <v>0.29433926383453707</v>
      </c>
    </row>
    <row r="16" spans="2:11" x14ac:dyDescent="0.25">
      <c r="B16" s="1015">
        <f t="shared" si="1"/>
        <v>7</v>
      </c>
      <c r="C16" s="1068" t="s">
        <v>504</v>
      </c>
      <c r="D16" s="1018">
        <v>22378266872</v>
      </c>
      <c r="E16" s="1020">
        <v>1118913343.5999999</v>
      </c>
      <c r="F16" s="1020">
        <v>93242778.633333325</v>
      </c>
      <c r="G16" s="1020">
        <v>22378266872.274998</v>
      </c>
      <c r="H16" s="1020">
        <f t="shared" si="2"/>
        <v>1118913343.61375</v>
      </c>
      <c r="I16" s="1020">
        <v>93242778.634479165</v>
      </c>
      <c r="J16" s="1021">
        <f>$I$16/($K$5*1000)</f>
        <v>4.575798195571716</v>
      </c>
      <c r="K16" s="1021">
        <f>($I$16/$K$6)/$K$5</f>
        <v>0.29433926383453718</v>
      </c>
    </row>
    <row r="17" spans="2:11" x14ac:dyDescent="0.25">
      <c r="B17" s="1015">
        <f t="shared" si="1"/>
        <v>8</v>
      </c>
      <c r="C17" s="1068" t="s">
        <v>505</v>
      </c>
      <c r="D17" s="1018">
        <v>22548996820</v>
      </c>
      <c r="E17" s="1020">
        <v>1127449840.9999998</v>
      </c>
      <c r="F17" s="1020">
        <v>93954153.416666642</v>
      </c>
      <c r="G17" s="1020">
        <v>22548996819.889999</v>
      </c>
      <c r="H17" s="1020">
        <f t="shared" si="2"/>
        <v>1127449840.9944999</v>
      </c>
      <c r="I17" s="1020">
        <v>93954153.416208327</v>
      </c>
      <c r="J17" s="1021">
        <f>$I$17/($K$5*1000)</f>
        <v>4.6107082174552536</v>
      </c>
      <c r="K17" s="1021">
        <f>($I$17/$K$6)/$K$5</f>
        <v>0.29658485896405845</v>
      </c>
    </row>
    <row r="18" spans="2:11" x14ac:dyDescent="0.25">
      <c r="B18" s="1015">
        <f t="shared" si="1"/>
        <v>9</v>
      </c>
      <c r="C18" s="1068" t="s">
        <v>506</v>
      </c>
      <c r="D18" s="1018">
        <v>3242778116</v>
      </c>
      <c r="E18" s="1020">
        <v>166633458.44554368</v>
      </c>
      <c r="F18" s="1020">
        <v>13886121.53712864</v>
      </c>
      <c r="G18" s="1020">
        <v>3602342327.2934937</v>
      </c>
      <c r="H18" s="1020">
        <f t="shared" si="2"/>
        <v>180117116.36467469</v>
      </c>
      <c r="I18" s="1020">
        <v>15009759.697056225</v>
      </c>
      <c r="J18" s="1021">
        <f>$I$18/($K$5*1000)</f>
        <v>0.7365892816964803</v>
      </c>
      <c r="K18" s="1021">
        <f>($I$18/$K$6)/$K$5</f>
        <v>4.7381273748647902E-2</v>
      </c>
    </row>
    <row r="19" spans="2:11" x14ac:dyDescent="0.25">
      <c r="B19" s="1015">
        <f t="shared" si="1"/>
        <v>10</v>
      </c>
      <c r="C19" s="1068" t="s">
        <v>507</v>
      </c>
      <c r="D19" s="1018">
        <v>3088358215.0299997</v>
      </c>
      <c r="E19" s="1020">
        <v>167987620.50608689</v>
      </c>
      <c r="F19" s="1020">
        <v>13998968.375507241</v>
      </c>
      <c r="G19" s="1020">
        <v>4173934995.3969541</v>
      </c>
      <c r="H19" s="1020">
        <f t="shared" si="2"/>
        <v>208696749.76984769</v>
      </c>
      <c r="I19" s="1020">
        <v>17391395.814153973</v>
      </c>
      <c r="J19" s="1021">
        <f>$I$19/($K$5*1000)</f>
        <v>0.85346574555482468</v>
      </c>
      <c r="K19" s="1021">
        <f>($I$19/$K$6)/$K$5</f>
        <v>5.4899378975609453E-2</v>
      </c>
    </row>
    <row r="20" spans="2:11" x14ac:dyDescent="0.25">
      <c r="B20" s="1015">
        <f t="shared" si="1"/>
        <v>11</v>
      </c>
      <c r="C20" s="1068" t="s">
        <v>508</v>
      </c>
      <c r="D20" s="1018">
        <v>1306714556.04</v>
      </c>
      <c r="E20" s="1020">
        <v>65335727.801999979</v>
      </c>
      <c r="F20" s="1020">
        <v>5444643.9834999982</v>
      </c>
      <c r="G20" s="1020">
        <v>1306714556.04</v>
      </c>
      <c r="H20" s="1020">
        <f t="shared" si="2"/>
        <v>65335727.801999986</v>
      </c>
      <c r="I20" s="1020">
        <v>5444643.9834999992</v>
      </c>
      <c r="J20" s="1021">
        <f>$I$20/($K$5*1000)</f>
        <v>0.26719058011873947</v>
      </c>
      <c r="K20" s="1021">
        <f>($I$20/$K$6)/$K$5</f>
        <v>1.7187095080325451E-2</v>
      </c>
    </row>
    <row r="21" spans="2:11" x14ac:dyDescent="0.25">
      <c r="B21" s="1015">
        <f t="shared" si="1"/>
        <v>12</v>
      </c>
      <c r="C21" s="1068" t="s">
        <v>501</v>
      </c>
      <c r="D21" s="1018">
        <v>0</v>
      </c>
      <c r="E21" s="1020">
        <v>0</v>
      </c>
      <c r="F21" s="1020">
        <v>0</v>
      </c>
      <c r="G21" s="1020">
        <v>0</v>
      </c>
      <c r="H21" s="1020">
        <f t="shared" si="2"/>
        <v>0</v>
      </c>
      <c r="I21" s="1020">
        <v>0</v>
      </c>
      <c r="J21" s="1021">
        <f>$I$21/($K$5*1000)</f>
        <v>0</v>
      </c>
      <c r="K21" s="1021">
        <f>($I$21/$K$6)/$K$5</f>
        <v>0</v>
      </c>
    </row>
    <row r="22" spans="2:11" x14ac:dyDescent="0.25">
      <c r="B22" s="1015">
        <f t="shared" si="1"/>
        <v>13</v>
      </c>
      <c r="C22" s="1068" t="s">
        <v>509</v>
      </c>
      <c r="D22" s="1018">
        <v>26865966199</v>
      </c>
      <c r="E22" s="1020">
        <v>1343298309.95</v>
      </c>
      <c r="F22" s="1020">
        <v>111941525.82916667</v>
      </c>
      <c r="G22" s="1020">
        <v>26865966198.669998</v>
      </c>
      <c r="H22" s="1020">
        <f t="shared" si="2"/>
        <v>1895783032.6504397</v>
      </c>
      <c r="I22" s="1020">
        <v>157981919.38753664</v>
      </c>
      <c r="J22" s="1021">
        <f>$I$22/($K$5*1000)</f>
        <v>7.7528082308685731</v>
      </c>
      <c r="K22" s="1021">
        <f>($I$22/$K$6)/$K$5</f>
        <v>0.49870115983973834</v>
      </c>
    </row>
    <row r="23" spans="2:11" x14ac:dyDescent="0.25">
      <c r="B23" s="1015">
        <f t="shared" si="1"/>
        <v>14</v>
      </c>
      <c r="C23" s="1068" t="s">
        <v>510</v>
      </c>
      <c r="D23" s="1018">
        <v>808088751</v>
      </c>
      <c r="E23" s="1020">
        <v>52164852.670642003</v>
      </c>
      <c r="F23" s="1020">
        <v>4347071.0558868339</v>
      </c>
      <c r="G23" s="1020">
        <v>1748921960.5313604</v>
      </c>
      <c r="H23" s="1020">
        <f t="shared" si="2"/>
        <v>87446098.026568025</v>
      </c>
      <c r="I23" s="1020">
        <v>7287174.8355473354</v>
      </c>
      <c r="J23" s="1021">
        <f>$I$23/($K$5*1000)</f>
        <v>0.35761098019212162</v>
      </c>
      <c r="K23" s="1021">
        <f>($I$23/$K$6)/$K$5</f>
        <v>2.3003407962956492E-2</v>
      </c>
    </row>
    <row r="24" spans="2:11" x14ac:dyDescent="0.25">
      <c r="B24" s="1015">
        <f t="shared" si="1"/>
        <v>15</v>
      </c>
      <c r="C24" s="1068" t="s">
        <v>511</v>
      </c>
      <c r="D24" s="1018">
        <v>669445527</v>
      </c>
      <c r="E24" s="1020">
        <v>33472276.350000005</v>
      </c>
      <c r="F24" s="1020">
        <v>2789356.3625000003</v>
      </c>
      <c r="G24" s="1020">
        <v>669445526.98000002</v>
      </c>
      <c r="H24" s="1020">
        <f t="shared" si="2"/>
        <v>33472276.348999999</v>
      </c>
      <c r="I24" s="1020">
        <v>2789356.3624166665</v>
      </c>
      <c r="J24" s="1021">
        <f>$I$24/($K$5*1000)</f>
        <v>0.13688493625857037</v>
      </c>
      <c r="K24" s="1021">
        <f>($I$24/$K$6)/$K$5</f>
        <v>8.8051547831320184E-3</v>
      </c>
    </row>
    <row r="25" spans="2:11" x14ac:dyDescent="0.25">
      <c r="B25" s="1015">
        <f t="shared" si="1"/>
        <v>16</v>
      </c>
      <c r="C25" s="1068" t="s">
        <v>501</v>
      </c>
      <c r="D25" s="1018">
        <v>0</v>
      </c>
      <c r="E25" s="1020">
        <v>0</v>
      </c>
      <c r="F25" s="1020">
        <v>0</v>
      </c>
      <c r="G25" s="1020">
        <v>0</v>
      </c>
      <c r="H25" s="1020">
        <f t="shared" si="2"/>
        <v>0</v>
      </c>
      <c r="I25" s="1020">
        <v>0</v>
      </c>
      <c r="J25" s="1021">
        <f>$I$25/($K$5*1000)</f>
        <v>0</v>
      </c>
      <c r="K25" s="1021">
        <f>($I$25/$K$6)/$K$5</f>
        <v>0</v>
      </c>
    </row>
    <row r="26" spans="2:11" x14ac:dyDescent="0.25">
      <c r="B26" s="1015">
        <f t="shared" si="1"/>
        <v>17</v>
      </c>
      <c r="C26" s="1068" t="s">
        <v>512</v>
      </c>
      <c r="D26" s="1018">
        <v>35739000</v>
      </c>
      <c r="E26" s="1020">
        <v>3573900</v>
      </c>
      <c r="F26" s="1020">
        <v>297825</v>
      </c>
      <c r="G26" s="1020">
        <v>35739000</v>
      </c>
      <c r="H26" s="1020">
        <f t="shared" si="2"/>
        <v>3573900</v>
      </c>
      <c r="I26" s="1020">
        <v>297825</v>
      </c>
      <c r="J26" s="1021">
        <f>$I$26/($K$5*1000)</f>
        <v>1.4615470683669834E-2</v>
      </c>
      <c r="K26" s="1021">
        <f>($I$26/$K$6)/$K$5</f>
        <v>9.4014348923644883E-4</v>
      </c>
    </row>
    <row r="27" spans="2:11" x14ac:dyDescent="0.25">
      <c r="B27" s="1015">
        <f t="shared" si="1"/>
        <v>18</v>
      </c>
      <c r="C27" s="1068" t="s">
        <v>513</v>
      </c>
      <c r="D27" s="1018">
        <v>537402145</v>
      </c>
      <c r="E27" s="1020">
        <v>26870107.250000004</v>
      </c>
      <c r="F27" s="1020">
        <v>2239175.604166667</v>
      </c>
      <c r="G27" s="1020">
        <v>537402145</v>
      </c>
      <c r="H27" s="1020">
        <f t="shared" si="2"/>
        <v>26870107.25</v>
      </c>
      <c r="I27" s="1020">
        <v>2239175.6041666665</v>
      </c>
      <c r="J27" s="1021">
        <f>$I$27/($K$5*1000)</f>
        <v>0.10988535347363923</v>
      </c>
      <c r="K27" s="1021">
        <f>($I$27/$K$6)/$K$5</f>
        <v>7.0684004550134582E-3</v>
      </c>
    </row>
    <row r="28" spans="2:11" x14ac:dyDescent="0.25">
      <c r="B28" s="1015">
        <f t="shared" si="1"/>
        <v>19</v>
      </c>
      <c r="C28" s="1068" t="s">
        <v>514</v>
      </c>
      <c r="D28" s="1018">
        <v>1071796228</v>
      </c>
      <c r="E28" s="1020">
        <v>26794905.699999999</v>
      </c>
      <c r="F28" s="1020">
        <v>2232908.8083333331</v>
      </c>
      <c r="G28" s="1020">
        <v>1071796228</v>
      </c>
      <c r="H28" s="1020">
        <f t="shared" si="2"/>
        <v>53589811.399999991</v>
      </c>
      <c r="I28" s="1020">
        <v>4465817.6166666662</v>
      </c>
      <c r="J28" s="1021">
        <f>$I$28/($K$5*1000)</f>
        <v>0.21915563319065878</v>
      </c>
      <c r="K28" s="1021">
        <f>($I$28/$K$6)/$K$5</f>
        <v>1.4097236150177456E-2</v>
      </c>
    </row>
    <row r="29" spans="2:11" x14ac:dyDescent="0.25">
      <c r="B29" s="1015">
        <f t="shared" si="1"/>
        <v>20</v>
      </c>
      <c r="C29" s="1068" t="s">
        <v>515</v>
      </c>
      <c r="D29" s="1018">
        <v>236594750</v>
      </c>
      <c r="E29" s="1020">
        <v>67601093.483989701</v>
      </c>
      <c r="F29" s="1020">
        <v>5633424.4569991417</v>
      </c>
      <c r="G29" s="1020">
        <v>3751924228.7191768</v>
      </c>
      <c r="H29" s="1020">
        <f t="shared" si="2"/>
        <v>199425948.93595883</v>
      </c>
      <c r="I29" s="1020">
        <v>16618829.077996569</v>
      </c>
      <c r="J29" s="1021">
        <f>$I$29/($K$5*1000)</f>
        <v>0.81555278833670319</v>
      </c>
      <c r="K29" s="1021">
        <f>($I$29/$K$6)/$K$5</f>
        <v>5.2460619344957105E-2</v>
      </c>
    </row>
    <row r="30" spans="2:11" x14ac:dyDescent="0.25">
      <c r="B30" s="1015">
        <f t="shared" si="1"/>
        <v>21</v>
      </c>
      <c r="C30" s="1068" t="s">
        <v>516</v>
      </c>
      <c r="D30" s="1018">
        <v>30414179484</v>
      </c>
      <c r="E30" s="1020">
        <v>1612030479.5500002</v>
      </c>
      <c r="F30" s="1020">
        <v>134335873.29583335</v>
      </c>
      <c r="G30" s="1020">
        <v>30414179484.479996</v>
      </c>
      <c r="H30" s="1020">
        <f t="shared" si="2"/>
        <v>1710615892.4508348</v>
      </c>
      <c r="I30" s="1020">
        <v>142551324.3709029</v>
      </c>
      <c r="J30" s="1021">
        <f>$I$30/($K$5*1000)</f>
        <v>6.9955668673255786</v>
      </c>
      <c r="K30" s="1021">
        <f>($I$30/$K$6)/$K$5</f>
        <v>0.4499914362103164</v>
      </c>
    </row>
    <row r="31" spans="2:11" x14ac:dyDescent="0.25">
      <c r="B31" s="1015">
        <f t="shared" si="1"/>
        <v>22</v>
      </c>
      <c r="C31" s="1068" t="s">
        <v>517</v>
      </c>
      <c r="D31" s="1018">
        <v>15714477178</v>
      </c>
      <c r="E31" s="1020">
        <v>1590698081.0625</v>
      </c>
      <c r="F31" s="1020">
        <v>132558173.421875</v>
      </c>
      <c r="G31" s="1020">
        <v>15714477178.919996</v>
      </c>
      <c r="H31" s="1020">
        <f t="shared" si="2"/>
        <v>1689283494.0092032</v>
      </c>
      <c r="I31" s="1020">
        <v>140773624.50076693</v>
      </c>
      <c r="J31" s="1021">
        <f>$I$31/($K$5*1000)</f>
        <v>6.9083279843025416</v>
      </c>
      <c r="K31" s="1021">
        <f>($I$31/$K$6)/$K$5</f>
        <v>0.44437977513846277</v>
      </c>
    </row>
    <row r="32" spans="2:11" x14ac:dyDescent="0.25">
      <c r="B32" s="1015">
        <f t="shared" si="1"/>
        <v>23</v>
      </c>
      <c r="C32" s="1068" t="s">
        <v>518</v>
      </c>
      <c r="D32" s="1018">
        <v>39160256164.880692</v>
      </c>
      <c r="E32" s="1020">
        <v>1815696823.0725431</v>
      </c>
      <c r="F32" s="1020">
        <v>151308068.5893786</v>
      </c>
      <c r="G32" s="1020">
        <v>39160256163.939995</v>
      </c>
      <c r="H32" s="1020">
        <f t="shared" si="2"/>
        <v>1914282235.9513264</v>
      </c>
      <c r="I32" s="1020">
        <v>159523519.66261053</v>
      </c>
      <c r="J32" s="1021">
        <f>$I$32/($K$5*1000)</f>
        <v>7.8284607571047173</v>
      </c>
      <c r="K32" s="1021">
        <f>($I$32/$K$6)/$K$5</f>
        <v>0.50356752586547782</v>
      </c>
    </row>
    <row r="33" spans="2:12" x14ac:dyDescent="0.25">
      <c r="B33" s="1015">
        <f t="shared" si="1"/>
        <v>24</v>
      </c>
      <c r="C33" s="1068" t="s">
        <v>519</v>
      </c>
      <c r="D33" s="1018">
        <v>26158484525</v>
      </c>
      <c r="E33" s="1020">
        <v>1546139031.6360409</v>
      </c>
      <c r="F33" s="1020">
        <v>128844919.30300342</v>
      </c>
      <c r="G33" s="1020">
        <v>26158484522.87001</v>
      </c>
      <c r="H33" s="1020">
        <f t="shared" si="2"/>
        <v>2104335894.8711185</v>
      </c>
      <c r="I33" s="1020">
        <v>175361324.57259321</v>
      </c>
      <c r="J33" s="1021">
        <f>$I$33/($K$5*1000)</f>
        <v>8.6056855480239953</v>
      </c>
      <c r="K33" s="1021">
        <f>($I$33/$K$6)/$K$5</f>
        <v>0.55356268802418596</v>
      </c>
    </row>
    <row r="34" spans="2:12" x14ac:dyDescent="0.25">
      <c r="B34" s="1015">
        <f t="shared" si="1"/>
        <v>25</v>
      </c>
      <c r="C34" s="1068" t="s">
        <v>520</v>
      </c>
      <c r="D34" s="1018">
        <v>44700543389</v>
      </c>
      <c r="E34" s="1020">
        <v>2525781268.3374996</v>
      </c>
      <c r="F34" s="1020">
        <v>210481772.3614583</v>
      </c>
      <c r="G34" s="1020">
        <v>44700543388.480034</v>
      </c>
      <c r="H34" s="1020">
        <f t="shared" si="2"/>
        <v>2624366681.1205378</v>
      </c>
      <c r="I34" s="1020">
        <v>218697223.4267115</v>
      </c>
      <c r="J34" s="1021">
        <f>$I$34/($K$5*1000)</f>
        <v>10.732352413642554</v>
      </c>
      <c r="K34" s="1021">
        <f>($I$34/$K$6)/$K$5</f>
        <v>0.69036101978917752</v>
      </c>
    </row>
    <row r="35" spans="2:12" x14ac:dyDescent="0.25">
      <c r="B35" s="1015">
        <f t="shared" si="1"/>
        <v>26</v>
      </c>
      <c r="C35" s="1068" t="s">
        <v>521</v>
      </c>
      <c r="D35" s="1018">
        <v>12406716786</v>
      </c>
      <c r="E35" s="1020">
        <v>697263539.22500026</v>
      </c>
      <c r="F35" s="1020">
        <v>58105294.935416691</v>
      </c>
      <c r="G35" s="1020">
        <v>12406716785.500004</v>
      </c>
      <c r="H35" s="1020">
        <f t="shared" si="2"/>
        <v>697263539.18067789</v>
      </c>
      <c r="I35" s="1020">
        <v>58105294.931723163</v>
      </c>
      <c r="J35" s="1021">
        <f>$I$35/($K$5*1000)</f>
        <v>2.8514605377002913</v>
      </c>
      <c r="K35" s="1021">
        <f>($I$35/$K$6)/$K$5</f>
        <v>0.18342085023158955</v>
      </c>
    </row>
    <row r="36" spans="2:12" x14ac:dyDescent="0.25">
      <c r="B36" s="1015">
        <f t="shared" si="1"/>
        <v>27</v>
      </c>
      <c r="C36" s="1068" t="s">
        <v>522</v>
      </c>
      <c r="D36" s="1018">
        <v>2279256408</v>
      </c>
      <c r="E36" s="1020">
        <v>168443707.171875</v>
      </c>
      <c r="F36" s="1020">
        <v>14036975.59765625</v>
      </c>
      <c r="G36" s="1020">
        <v>2279256406.4351387</v>
      </c>
      <c r="H36" s="1020">
        <f t="shared" si="2"/>
        <v>203668384.116157</v>
      </c>
      <c r="I36" s="1020">
        <v>16972365.343013082</v>
      </c>
      <c r="J36" s="1021">
        <f>$I$36/($K$5*1000)</f>
        <v>0.83290223488069037</v>
      </c>
      <c r="K36" s="1021">
        <f>($I$36/$K$6)/$K$5</f>
        <v>5.3576626455724315E-2</v>
      </c>
    </row>
    <row r="37" spans="2:12" x14ac:dyDescent="0.25">
      <c r="B37" s="1015">
        <f t="shared" si="1"/>
        <v>28</v>
      </c>
      <c r="C37" s="1068" t="s">
        <v>523</v>
      </c>
      <c r="D37" s="1018">
        <v>8173671310</v>
      </c>
      <c r="E37" s="1020">
        <v>501654825.27499992</v>
      </c>
      <c r="F37" s="1020">
        <v>41804568.77291666</v>
      </c>
      <c r="G37" s="1020">
        <v>8173671308.9999981</v>
      </c>
      <c r="H37" s="1020">
        <f t="shared" si="2"/>
        <v>518407225.14050961</v>
      </c>
      <c r="I37" s="1020">
        <v>43200602.095042467</v>
      </c>
      <c r="J37" s="1021">
        <f>$I$37/($K$5*1000)</f>
        <v>2.1200273094501094</v>
      </c>
      <c r="K37" s="1021">
        <f>($I$37/$K$6)/$K$5</f>
        <v>0.13637124079828311</v>
      </c>
    </row>
    <row r="38" spans="2:12" x14ac:dyDescent="0.25">
      <c r="B38" s="1015">
        <f t="shared" si="1"/>
        <v>29</v>
      </c>
      <c r="C38" s="1068" t="s">
        <v>524</v>
      </c>
      <c r="D38" s="1018">
        <v>8136945794.652689</v>
      </c>
      <c r="E38" s="1020">
        <v>469788395.43263459</v>
      </c>
      <c r="F38" s="1020">
        <v>39149032.952719547</v>
      </c>
      <c r="G38" s="1020">
        <v>8136945802.1199989</v>
      </c>
      <c r="H38" s="1020">
        <f t="shared" si="2"/>
        <v>469788395.77994156</v>
      </c>
      <c r="I38" s="1020">
        <v>39149032.981661797</v>
      </c>
      <c r="J38" s="1021">
        <f>$I$38/($K$5*1000)</f>
        <v>1.9212005165365615</v>
      </c>
      <c r="K38" s="1021">
        <f>($I$38/$K$6)/$K$5</f>
        <v>0.1235816619411142</v>
      </c>
    </row>
    <row r="39" spans="2:12" x14ac:dyDescent="0.25">
      <c r="B39" s="1015">
        <f t="shared" si="1"/>
        <v>30</v>
      </c>
      <c r="C39" s="1068" t="s">
        <v>525</v>
      </c>
      <c r="D39" s="1018">
        <v>5554219736</v>
      </c>
      <c r="E39" s="1020">
        <v>370213728.22500008</v>
      </c>
      <c r="F39" s="1020">
        <v>30851144.018750008</v>
      </c>
      <c r="G39" s="1020">
        <v>5554219736.7600012</v>
      </c>
      <c r="H39" s="1020">
        <f t="shared" si="2"/>
        <v>370213728.37244105</v>
      </c>
      <c r="I39" s="1020">
        <v>30851144.031036757</v>
      </c>
      <c r="J39" s="1021">
        <f>$I$39/($K$5*1000)</f>
        <v>1.5139897293487561</v>
      </c>
      <c r="K39" s="1021">
        <f>($I$39/$K$6)/$K$5</f>
        <v>9.7387735066818235E-2</v>
      </c>
    </row>
    <row r="40" spans="2:12" x14ac:dyDescent="0.25">
      <c r="B40" s="1015">
        <f t="shared" si="1"/>
        <v>31</v>
      </c>
      <c r="C40" s="1068" t="s">
        <v>526</v>
      </c>
      <c r="D40" s="1018">
        <v>28411905935</v>
      </c>
      <c r="E40" s="1020">
        <v>1600990284.1625001</v>
      </c>
      <c r="F40" s="1020">
        <v>133415857.01354168</v>
      </c>
      <c r="G40" s="1020">
        <v>28411905934.010002</v>
      </c>
      <c r="H40" s="1020">
        <f t="shared" si="2"/>
        <v>1600990284.0066733</v>
      </c>
      <c r="I40" s="1020">
        <v>133415857.00055611</v>
      </c>
      <c r="J40" s="1021">
        <f>$I$40/($K$5*1000)</f>
        <v>6.5472527381123635</v>
      </c>
      <c r="K40" s="1021">
        <f>($I$40/$K$6)/$K$5</f>
        <v>0.42115352747410034</v>
      </c>
      <c r="L40" s="994">
        <f>H40/12</f>
        <v>133415857.00055611</v>
      </c>
    </row>
    <row r="41" spans="2:12" x14ac:dyDescent="0.25">
      <c r="B41" s="1015">
        <f t="shared" si="1"/>
        <v>32</v>
      </c>
      <c r="C41" s="1068" t="s">
        <v>527</v>
      </c>
      <c r="D41" s="1018">
        <v>8813632097</v>
      </c>
      <c r="E41" s="1020">
        <v>557196884.82499993</v>
      </c>
      <c r="F41" s="1020">
        <v>46433073.735416658</v>
      </c>
      <c r="G41" s="1020">
        <v>8813632095.9899998</v>
      </c>
      <c r="H41" s="1020">
        <f t="shared" si="2"/>
        <v>557196884.7227875</v>
      </c>
      <c r="I41" s="1020">
        <v>46433073.726898961</v>
      </c>
      <c r="J41" s="1021">
        <f>$I$41/($K$5*1000)</f>
        <v>2.278657694310994</v>
      </c>
      <c r="K41" s="1021">
        <f>($I$41/$K$6)/$K$5</f>
        <v>0.14657517652843136</v>
      </c>
    </row>
    <row r="42" spans="2:12" x14ac:dyDescent="0.25">
      <c r="B42" s="1015">
        <f t="shared" si="1"/>
        <v>33</v>
      </c>
      <c r="C42" s="1068" t="s">
        <v>528</v>
      </c>
      <c r="D42" s="1018">
        <v>4990631887</v>
      </c>
      <c r="E42" s="1020">
        <v>359915737.76250005</v>
      </c>
      <c r="F42" s="1020">
        <v>29992978.146875005</v>
      </c>
      <c r="G42" s="1020">
        <v>4990631885.8800001</v>
      </c>
      <c r="H42" s="1020">
        <f t="shared" si="2"/>
        <v>359915737.56721592</v>
      </c>
      <c r="I42" s="1020">
        <v>29992978.130601324</v>
      </c>
      <c r="J42" s="1021">
        <f>$I$42/($K$5*1000)</f>
        <v>1.4718760768362431</v>
      </c>
      <c r="K42" s="1021">
        <f>($I$42/$K$6)/$K$5</f>
        <v>9.4678764752106195E-2</v>
      </c>
    </row>
    <row r="43" spans="2:12" x14ac:dyDescent="0.25">
      <c r="B43" s="1015">
        <f t="shared" si="1"/>
        <v>34</v>
      </c>
      <c r="C43" s="1068" t="s">
        <v>529</v>
      </c>
      <c r="D43" s="1018">
        <v>11752092639</v>
      </c>
      <c r="E43" s="1020">
        <v>611861933.47500002</v>
      </c>
      <c r="F43" s="1020">
        <v>50988494.456250004</v>
      </c>
      <c r="G43" s="1020">
        <v>11752092638.839998</v>
      </c>
      <c r="H43" s="1020">
        <f t="shared" si="2"/>
        <v>611861933.53528774</v>
      </c>
      <c r="I43" s="1020">
        <v>50988494.461273976</v>
      </c>
      <c r="J43" s="1021">
        <f>$I$43/($K$5*1000)</f>
        <v>2.5022105128958665</v>
      </c>
      <c r="K43" s="1021">
        <f>($I$43/$K$6)/$K$5</f>
        <v>0.16095526263320897</v>
      </c>
    </row>
    <row r="44" spans="2:12" x14ac:dyDescent="0.25">
      <c r="B44" s="1015">
        <f t="shared" si="1"/>
        <v>35</v>
      </c>
      <c r="C44" s="1068" t="s">
        <v>530</v>
      </c>
      <c r="D44" s="1018">
        <v>9891619567</v>
      </c>
      <c r="E44" s="1020">
        <v>899876594.18749964</v>
      </c>
      <c r="F44" s="1020">
        <v>74989716.182291642</v>
      </c>
      <c r="G44" s="1020">
        <v>9891619567.5300026</v>
      </c>
      <c r="H44" s="1020">
        <f t="shared" si="2"/>
        <v>899876594.12820303</v>
      </c>
      <c r="I44" s="1020">
        <v>74989716.177350253</v>
      </c>
      <c r="J44" s="1021">
        <f>$I$44/($K$5*1000)</f>
        <v>3.6800470019870195</v>
      </c>
      <c r="K44" s="1021">
        <f>($I$44/$K$6)/$K$5</f>
        <v>0.23671986375833134</v>
      </c>
    </row>
    <row r="45" spans="2:12" x14ac:dyDescent="0.25">
      <c r="B45" s="1015">
        <f t="shared" si="1"/>
        <v>36</v>
      </c>
      <c r="C45" s="1068" t="s">
        <v>531</v>
      </c>
      <c r="D45" s="1018">
        <v>4518985787</v>
      </c>
      <c r="E45" s="1020">
        <v>244637940.60000005</v>
      </c>
      <c r="F45" s="1020">
        <v>20386495.050000004</v>
      </c>
      <c r="G45" s="1020">
        <v>4518985787.3899994</v>
      </c>
      <c r="H45" s="1020">
        <f t="shared" si="2"/>
        <v>244637940.5848676</v>
      </c>
      <c r="I45" s="1020">
        <v>20386495.048738968</v>
      </c>
      <c r="J45" s="1021">
        <f>$I$45/($K$5*1000)</f>
        <v>1.0004473121048421</v>
      </c>
      <c r="K45" s="1021">
        <f>($I$45/$K$6)/$K$5</f>
        <v>6.4354001807850378E-2</v>
      </c>
    </row>
    <row r="46" spans="2:12" x14ac:dyDescent="0.25">
      <c r="B46" s="1015">
        <f t="shared" si="1"/>
        <v>37</v>
      </c>
      <c r="C46" s="1068" t="s">
        <v>532</v>
      </c>
      <c r="D46" s="1018">
        <v>34206697993</v>
      </c>
      <c r="E46" s="1020">
        <v>3139434562.2500439</v>
      </c>
      <c r="F46" s="1020">
        <v>261619546.85417032</v>
      </c>
      <c r="G46" s="1020">
        <v>121634364373.43024</v>
      </c>
      <c r="H46" s="1020">
        <f t="shared" si="2"/>
        <v>7874623587.8125553</v>
      </c>
      <c r="I46" s="1020">
        <v>656218632.3177129</v>
      </c>
      <c r="J46" s="1021">
        <f>$I$46/($K$5*1000)</f>
        <v>32.203287778787697</v>
      </c>
      <c r="K46" s="1021">
        <f>($I$46/$K$6)/$K$5</f>
        <v>2.0714838401381512</v>
      </c>
    </row>
    <row r="47" spans="2:12" x14ac:dyDescent="0.25">
      <c r="B47" s="1015">
        <f t="shared" si="1"/>
        <v>38</v>
      </c>
      <c r="C47" s="1068" t="s">
        <v>533</v>
      </c>
      <c r="D47" s="1018">
        <v>93804025615</v>
      </c>
      <c r="E47" s="1020">
        <v>6310838834.0541668</v>
      </c>
      <c r="F47" s="1020">
        <v>525903236.17118055</v>
      </c>
      <c r="G47" s="1020">
        <v>93804025613.289978</v>
      </c>
      <c r="H47" s="1020">
        <f t="shared" si="2"/>
        <v>6332772167.2313156</v>
      </c>
      <c r="I47" s="1020">
        <v>527731013.93594301</v>
      </c>
      <c r="J47" s="1021">
        <f>$I$47/($K$5*1000)</f>
        <v>25.897883532423844</v>
      </c>
      <c r="K47" s="1021">
        <f>($I$47/$K$6)/$K$5</f>
        <v>1.6658872721229798</v>
      </c>
    </row>
    <row r="48" spans="2:12" x14ac:dyDescent="0.25">
      <c r="B48" s="1015">
        <f t="shared" si="1"/>
        <v>39</v>
      </c>
      <c r="C48" s="1068" t="s">
        <v>534</v>
      </c>
      <c r="D48" s="1018">
        <v>69305898501</v>
      </c>
      <c r="E48" s="1020">
        <v>4714142216.8125</v>
      </c>
      <c r="F48" s="1020">
        <v>392845184.734375</v>
      </c>
      <c r="G48" s="1020">
        <v>69305898500.289993</v>
      </c>
      <c r="H48" s="1020">
        <f t="shared" si="2"/>
        <v>4714142216.7859001</v>
      </c>
      <c r="I48" s="1020">
        <v>392845184.7321583</v>
      </c>
      <c r="J48" s="1021">
        <f>$I$48/($K$5*1000)</f>
        <v>19.278493345668497</v>
      </c>
      <c r="K48" s="1021">
        <f>($I$48/$K$6)/$K$5</f>
        <v>1.2400934867920039</v>
      </c>
    </row>
    <row r="49" spans="2:11" x14ac:dyDescent="0.25">
      <c r="B49" s="1015">
        <f t="shared" si="1"/>
        <v>40</v>
      </c>
      <c r="C49" s="1068" t="s">
        <v>535</v>
      </c>
      <c r="D49" s="1018">
        <v>1222833568</v>
      </c>
      <c r="E49" s="1020">
        <v>76427098</v>
      </c>
      <c r="F49" s="1020">
        <v>6368924.833333333</v>
      </c>
      <c r="G49" s="1020">
        <v>1222833567.6900001</v>
      </c>
      <c r="H49" s="1020">
        <f t="shared" si="2"/>
        <v>76427097.980625004</v>
      </c>
      <c r="I49" s="1020">
        <v>6368924.8317187503</v>
      </c>
      <c r="J49" s="1021">
        <f>$I$49/($K$5*1000)</f>
        <v>0.31254875905139673</v>
      </c>
      <c r="K49" s="1021">
        <f>($I$49/$K$6)/$K$5</f>
        <v>2.0104770297915651E-2</v>
      </c>
    </row>
    <row r="50" spans="2:11" x14ac:dyDescent="0.25">
      <c r="B50" s="1015">
        <f t="shared" si="1"/>
        <v>41</v>
      </c>
      <c r="C50" s="1068" t="s">
        <v>536</v>
      </c>
      <c r="D50" s="1018">
        <v>2557397646</v>
      </c>
      <c r="E50" s="1020">
        <v>127869882.30000001</v>
      </c>
      <c r="F50" s="1020">
        <v>10655823.525</v>
      </c>
      <c r="G50" s="1020">
        <v>2557397645.6100001</v>
      </c>
      <c r="H50" s="1020">
        <f t="shared" si="2"/>
        <v>127869882.28050001</v>
      </c>
      <c r="I50" s="1020">
        <v>10655823.523375001</v>
      </c>
      <c r="J50" s="1021">
        <f>$I$50/($K$5*1000)</f>
        <v>0.52292412093090479</v>
      </c>
      <c r="K50" s="1021">
        <f>($I$50/$K$6)/$K$5</f>
        <v>3.3637213490988339E-2</v>
      </c>
    </row>
    <row r="51" spans="2:11" x14ac:dyDescent="0.25">
      <c r="B51" s="1015">
        <f t="shared" si="1"/>
        <v>42</v>
      </c>
      <c r="C51" s="1068" t="s">
        <v>537</v>
      </c>
      <c r="D51" s="1018">
        <v>30580769059</v>
      </c>
      <c r="E51" s="1020">
        <v>1658149317.4009175</v>
      </c>
      <c r="F51" s="1020">
        <v>138179109.7834098</v>
      </c>
      <c r="G51" s="1020">
        <v>30797884415.073391</v>
      </c>
      <c r="H51" s="1020">
        <f t="shared" si="2"/>
        <v>2888992764.2857904</v>
      </c>
      <c r="I51" s="1020">
        <v>240749397.02381587</v>
      </c>
      <c r="J51" s="1021">
        <f>$I$51/($K$5*1000)</f>
        <v>11.814541271930732</v>
      </c>
      <c r="K51" s="1021">
        <f>($I$51/$K$6)/$K$5</f>
        <v>0.75997306522132591</v>
      </c>
    </row>
    <row r="52" spans="2:11" x14ac:dyDescent="0.25">
      <c r="B52" s="1015">
        <f t="shared" si="1"/>
        <v>43</v>
      </c>
      <c r="C52" s="1068" t="s">
        <v>538</v>
      </c>
      <c r="D52" s="1018">
        <v>2460303143</v>
      </c>
      <c r="E52" s="1020">
        <v>153768946.4375</v>
      </c>
      <c r="F52" s="1020">
        <v>12814078.869791666</v>
      </c>
      <c r="G52" s="1020">
        <v>2460303143</v>
      </c>
      <c r="H52" s="1020">
        <f t="shared" si="2"/>
        <v>153768946.4375</v>
      </c>
      <c r="I52" s="1020">
        <v>12814078.869791666</v>
      </c>
      <c r="J52" s="1021">
        <f>$I$52/($K$5*1000)</f>
        <v>0.62883839187332558</v>
      </c>
      <c r="K52" s="1021">
        <f>($I$52/$K$6)/$K$5</f>
        <v>4.0450173155366365E-2</v>
      </c>
    </row>
    <row r="53" spans="2:11" x14ac:dyDescent="0.25">
      <c r="B53" s="1015">
        <f t="shared" si="1"/>
        <v>44</v>
      </c>
      <c r="C53" s="1068" t="s">
        <v>537</v>
      </c>
      <c r="D53" s="1018">
        <v>0</v>
      </c>
      <c r="E53" s="1020">
        <v>0</v>
      </c>
      <c r="F53" s="1020">
        <v>0</v>
      </c>
      <c r="G53" s="1020">
        <v>0</v>
      </c>
      <c r="H53" s="1020">
        <f t="shared" si="2"/>
        <v>0</v>
      </c>
      <c r="I53" s="1020">
        <v>0</v>
      </c>
      <c r="J53" s="1021">
        <f>$I$53/($K$5*1000)</f>
        <v>0</v>
      </c>
      <c r="K53" s="1021">
        <f>($I$53/$K$6)/$K$5</f>
        <v>0</v>
      </c>
    </row>
    <row r="54" spans="2:11" x14ac:dyDescent="0.25">
      <c r="B54" s="1015">
        <f t="shared" si="1"/>
        <v>45</v>
      </c>
      <c r="C54" s="1068" t="s">
        <v>537</v>
      </c>
      <c r="D54" s="1018">
        <v>0</v>
      </c>
      <c r="E54" s="1020">
        <v>0</v>
      </c>
      <c r="F54" s="1020">
        <v>0</v>
      </c>
      <c r="G54" s="1020">
        <v>0</v>
      </c>
      <c r="H54" s="1020">
        <f t="shared" si="2"/>
        <v>0</v>
      </c>
      <c r="I54" s="1020">
        <v>0</v>
      </c>
      <c r="J54" s="1021">
        <f>$I$54/($K$5*1000)</f>
        <v>0</v>
      </c>
      <c r="K54" s="1021">
        <f>($I$54/$K$6)/$K$5</f>
        <v>0</v>
      </c>
    </row>
    <row r="55" spans="2:11" x14ac:dyDescent="0.25">
      <c r="B55" s="1015">
        <f t="shared" si="1"/>
        <v>46</v>
      </c>
      <c r="C55" s="1068" t="s">
        <v>519</v>
      </c>
      <c r="D55" s="1018">
        <v>0</v>
      </c>
      <c r="E55" s="1020">
        <v>0</v>
      </c>
      <c r="F55" s="1020">
        <v>0</v>
      </c>
      <c r="G55" s="1020">
        <v>0</v>
      </c>
      <c r="H55" s="1020">
        <f t="shared" si="2"/>
        <v>0</v>
      </c>
      <c r="I55" s="1020">
        <v>0</v>
      </c>
      <c r="J55" s="1021">
        <f>$I$55/($K$5*1000)</f>
        <v>0</v>
      </c>
      <c r="K55" s="1021">
        <f>($I$55/$K$6)/$K$5</f>
        <v>0</v>
      </c>
    </row>
    <row r="56" spans="2:11" x14ac:dyDescent="0.25">
      <c r="B56" s="1015">
        <f t="shared" si="1"/>
        <v>47</v>
      </c>
      <c r="C56" s="1068" t="s">
        <v>539</v>
      </c>
      <c r="D56" s="1018">
        <v>814629325</v>
      </c>
      <c r="E56" s="1020">
        <v>138420459.72499999</v>
      </c>
      <c r="F56" s="1020">
        <v>11535038.310416667</v>
      </c>
      <c r="G56" s="1020">
        <v>814629325</v>
      </c>
      <c r="H56" s="1020">
        <f t="shared" si="2"/>
        <v>138420459.72499999</v>
      </c>
      <c r="I56" s="1020">
        <v>11535038.310416667</v>
      </c>
      <c r="J56" s="1021">
        <f>$I$56/($K$5*1000)</f>
        <v>0.56607072697356908</v>
      </c>
      <c r="K56" s="1021">
        <f>($I$56/$K$6)/$K$5</f>
        <v>3.6412628777406988E-2</v>
      </c>
    </row>
    <row r="57" spans="2:11" x14ac:dyDescent="0.25">
      <c r="B57" s="1015">
        <f t="shared" si="1"/>
        <v>48</v>
      </c>
      <c r="C57" s="1068" t="s">
        <v>501</v>
      </c>
      <c r="D57" s="1018">
        <v>0</v>
      </c>
      <c r="E57" s="1020">
        <v>0</v>
      </c>
      <c r="F57" s="1020">
        <v>0</v>
      </c>
      <c r="G57" s="1020">
        <v>0</v>
      </c>
      <c r="H57" s="1020">
        <f t="shared" si="2"/>
        <v>0</v>
      </c>
      <c r="I57" s="1020">
        <v>0</v>
      </c>
      <c r="J57" s="1021">
        <f>$I$57/($K$5*1000)</f>
        <v>0</v>
      </c>
      <c r="K57" s="1021">
        <f>($I$57/$K$6)/$K$5</f>
        <v>0</v>
      </c>
    </row>
    <row r="58" spans="2:11" x14ac:dyDescent="0.25">
      <c r="B58" s="1015">
        <f t="shared" si="1"/>
        <v>49</v>
      </c>
      <c r="C58" s="1068" t="s">
        <v>540</v>
      </c>
      <c r="D58" s="1018">
        <v>3324550757</v>
      </c>
      <c r="E58" s="1020">
        <v>166227537.84999993</v>
      </c>
      <c r="F58" s="1020">
        <v>13852294.820833327</v>
      </c>
      <c r="G58" s="1020">
        <v>3324550757.3499999</v>
      </c>
      <c r="H58" s="1020">
        <f t="shared" si="2"/>
        <v>166227537.86750001</v>
      </c>
      <c r="I58" s="1020">
        <v>13852294.822291667</v>
      </c>
      <c r="J58" s="1021">
        <f>$I$58/($K$5*1000)</f>
        <v>0.6797878246512391</v>
      </c>
      <c r="K58" s="1021">
        <f>($I$58/$K$6)/$K$5</f>
        <v>4.3727507053340997E-2</v>
      </c>
    </row>
    <row r="59" spans="2:11" x14ac:dyDescent="0.25">
      <c r="B59" s="1015">
        <f t="shared" si="1"/>
        <v>50</v>
      </c>
      <c r="C59" s="1068" t="s">
        <v>541</v>
      </c>
      <c r="D59" s="1018">
        <v>1457273906</v>
      </c>
      <c r="E59" s="1020">
        <v>72863695.299999997</v>
      </c>
      <c r="F59" s="1020">
        <v>6071974.6083333334</v>
      </c>
      <c r="G59" s="1020">
        <v>1457273906</v>
      </c>
      <c r="H59" s="1020">
        <f t="shared" si="2"/>
        <v>72863695.299999997</v>
      </c>
      <c r="I59" s="1020">
        <v>6071974.6083333334</v>
      </c>
      <c r="J59" s="1021">
        <f>$I$59/($K$5*1000)</f>
        <v>0.29797621717479544</v>
      </c>
      <c r="K59" s="1021">
        <f>($I$59/$K$6)/$K$5</f>
        <v>1.9167388213996876E-2</v>
      </c>
    </row>
    <row r="60" spans="2:11" x14ac:dyDescent="0.25">
      <c r="B60" s="1015">
        <f t="shared" si="1"/>
        <v>51</v>
      </c>
      <c r="C60" s="1068" t="s">
        <v>501</v>
      </c>
      <c r="D60" s="1018">
        <v>0</v>
      </c>
      <c r="E60" s="1020">
        <v>0</v>
      </c>
      <c r="F60" s="1020">
        <v>0</v>
      </c>
      <c r="G60" s="1020">
        <v>0</v>
      </c>
      <c r="H60" s="1020">
        <f t="shared" si="2"/>
        <v>0</v>
      </c>
      <c r="I60" s="1020">
        <v>0</v>
      </c>
      <c r="J60" s="1021">
        <f>$I$60/($K$5*1000)</f>
        <v>0</v>
      </c>
      <c r="K60" s="1021">
        <f>($I$60/$K$6)/$K$5</f>
        <v>0</v>
      </c>
    </row>
    <row r="61" spans="2:11" x14ac:dyDescent="0.25">
      <c r="B61" s="1015">
        <f t="shared" si="1"/>
        <v>52</v>
      </c>
      <c r="C61" s="1068" t="s">
        <v>542</v>
      </c>
      <c r="D61" s="1018">
        <v>702420000</v>
      </c>
      <c r="E61" s="1020">
        <v>58515250</v>
      </c>
      <c r="F61" s="1020">
        <v>4876270.833333333</v>
      </c>
      <c r="G61" s="1020">
        <v>702420000</v>
      </c>
      <c r="H61" s="1020">
        <f t="shared" si="2"/>
        <v>92109000</v>
      </c>
      <c r="I61" s="1020">
        <v>7675750</v>
      </c>
      <c r="J61" s="1021">
        <f>$I$61/($K$5*1000)</f>
        <v>0.37667992646748505</v>
      </c>
      <c r="K61" s="1021">
        <f>($I$61/$K$6)/$K$5</f>
        <v>2.4230022286600091E-2</v>
      </c>
    </row>
    <row r="62" spans="2:11" x14ac:dyDescent="0.25">
      <c r="B62" s="1015">
        <f t="shared" si="1"/>
        <v>53</v>
      </c>
      <c r="C62" s="1068" t="s">
        <v>543</v>
      </c>
      <c r="D62" s="1018">
        <v>2093240354</v>
      </c>
      <c r="E62" s="1020">
        <v>287495712.54999989</v>
      </c>
      <c r="F62" s="1020">
        <v>23957976.045833323</v>
      </c>
      <c r="G62" s="1020">
        <v>2093240354</v>
      </c>
      <c r="H62" s="1020">
        <f t="shared" si="2"/>
        <v>287495712.54999995</v>
      </c>
      <c r="I62" s="1020">
        <v>23957976.045833331</v>
      </c>
      <c r="J62" s="1021">
        <f>$I$62/($K$5*1000)</f>
        <v>1.1757142501064086</v>
      </c>
      <c r="K62" s="1021">
        <f>($I$62/$K$6)/$K$5</f>
        <v>7.5628087617805775E-2</v>
      </c>
    </row>
    <row r="63" spans="2:11" x14ac:dyDescent="0.25">
      <c r="B63" s="1015">
        <f t="shared" si="1"/>
        <v>54</v>
      </c>
      <c r="C63" s="1068" t="s">
        <v>544</v>
      </c>
      <c r="D63" s="1018">
        <v>0</v>
      </c>
      <c r="E63" s="1020">
        <v>0</v>
      </c>
      <c r="F63" s="1020">
        <v>0</v>
      </c>
      <c r="G63" s="1020">
        <v>0</v>
      </c>
      <c r="H63" s="1020">
        <f t="shared" si="2"/>
        <v>0</v>
      </c>
      <c r="I63" s="1020">
        <v>0</v>
      </c>
      <c r="J63" s="1021">
        <f>$I$63/($K$5*1000)</f>
        <v>0</v>
      </c>
      <c r="K63" s="1021">
        <f>($I$63/$K$6)/$K$5</f>
        <v>0</v>
      </c>
    </row>
    <row r="64" spans="2:11" x14ac:dyDescent="0.25">
      <c r="B64" s="1015">
        <f t="shared" si="1"/>
        <v>55</v>
      </c>
      <c r="C64" s="1068" t="s">
        <v>545</v>
      </c>
      <c r="D64" s="1018">
        <v>68073000</v>
      </c>
      <c r="E64" s="1020">
        <v>13614600</v>
      </c>
      <c r="F64" s="1020">
        <v>1134550</v>
      </c>
      <c r="G64" s="1020">
        <v>68073000</v>
      </c>
      <c r="H64" s="1020">
        <f t="shared" si="2"/>
        <v>13614600</v>
      </c>
      <c r="I64" s="1020">
        <v>1134550</v>
      </c>
      <c r="J64" s="1021">
        <f>$I$64/($K$5*1000)</f>
        <v>5.5676931970645882E-2</v>
      </c>
      <c r="K64" s="1021">
        <f>($I$64/$K$6)/$K$5</f>
        <v>3.5814313630931349E-3</v>
      </c>
    </row>
    <row r="65" spans="2:11" x14ac:dyDescent="0.25">
      <c r="B65" s="1015">
        <f t="shared" si="1"/>
        <v>56</v>
      </c>
      <c r="C65" s="1068" t="s">
        <v>546</v>
      </c>
      <c r="D65" s="1018">
        <v>140550000</v>
      </c>
      <c r="E65" s="1020">
        <v>28110000</v>
      </c>
      <c r="F65" s="1020">
        <v>2342500</v>
      </c>
      <c r="G65" s="1020">
        <v>140550000</v>
      </c>
      <c r="H65" s="1020">
        <f t="shared" si="2"/>
        <v>28110000</v>
      </c>
      <c r="I65" s="1020">
        <v>2342500</v>
      </c>
      <c r="J65" s="1021">
        <f>$I$65/($K$5*1000)</f>
        <v>0.11495589717618261</v>
      </c>
      <c r="K65" s="1021">
        <f>($I$65/$K$6)/$K$5</f>
        <v>7.3945643365613406E-3</v>
      </c>
    </row>
    <row r="66" spans="2:11" x14ac:dyDescent="0.25">
      <c r="B66" s="1015">
        <f t="shared" si="1"/>
        <v>57</v>
      </c>
      <c r="C66" s="1068" t="s">
        <v>547</v>
      </c>
      <c r="D66" s="1018">
        <v>3453064640</v>
      </c>
      <c r="E66" s="1020">
        <v>373988923.72499996</v>
      </c>
      <c r="F66" s="1020">
        <v>31165743.643749997</v>
      </c>
      <c r="G66" s="1020">
        <v>4405170868</v>
      </c>
      <c r="H66" s="1020">
        <f t="shared" si="2"/>
        <v>896034173.60000002</v>
      </c>
      <c r="I66" s="1020">
        <v>74669514.466666669</v>
      </c>
      <c r="J66" s="1021">
        <f>$I$66/($K$5*1000)</f>
        <v>3.6643334161048511</v>
      </c>
      <c r="K66" s="1021">
        <f>($I$66/$K$6)/$K$5</f>
        <v>0.23570908375819188</v>
      </c>
    </row>
    <row r="67" spans="2:11" x14ac:dyDescent="0.25">
      <c r="B67" s="1015">
        <f t="shared" si="1"/>
        <v>58</v>
      </c>
      <c r="C67" s="1068" t="s">
        <v>548</v>
      </c>
      <c r="D67" s="1018">
        <v>1542535419</v>
      </c>
      <c r="E67" s="1020">
        <v>294442763.82414317</v>
      </c>
      <c r="F67" s="1020">
        <v>24536896.985345263</v>
      </c>
      <c r="G67" s="1020">
        <v>1976060354.2647929</v>
      </c>
      <c r="H67" s="1020">
        <f t="shared" si="2"/>
        <v>298253959.59197366</v>
      </c>
      <c r="I67" s="1020">
        <v>24854496.632664472</v>
      </c>
      <c r="J67" s="1021">
        <f>$I$67/($K$5*1000)</f>
        <v>1.2197101213534061</v>
      </c>
      <c r="K67" s="1021">
        <f>($I$67/$K$6)/$K$5</f>
        <v>7.8458132082426746E-2</v>
      </c>
    </row>
    <row r="68" spans="2:11" x14ac:dyDescent="0.25">
      <c r="B68" s="1015">
        <f t="shared" si="1"/>
        <v>59</v>
      </c>
      <c r="C68" s="1068" t="s">
        <v>549</v>
      </c>
      <c r="D68" s="1018">
        <v>11270000</v>
      </c>
      <c r="E68" s="1020">
        <v>2253999.9999999995</v>
      </c>
      <c r="F68" s="1020">
        <v>187833.33333333328</v>
      </c>
      <c r="G68" s="1020">
        <v>11270000</v>
      </c>
      <c r="H68" s="1020">
        <f t="shared" si="2"/>
        <v>2254000</v>
      </c>
      <c r="I68" s="1020">
        <v>187833.33333333334</v>
      </c>
      <c r="J68" s="1021">
        <f>$I$68/($K$5*1000)</f>
        <v>9.2177371837465528E-3</v>
      </c>
      <c r="K68" s="1021">
        <f>($I$68/$K$6)/$K$5</f>
        <v>5.9293304925682195E-4</v>
      </c>
    </row>
    <row r="69" spans="2:11" x14ac:dyDescent="0.25">
      <c r="B69" s="1015">
        <f t="shared" si="1"/>
        <v>60</v>
      </c>
      <c r="C69" s="1068" t="s">
        <v>550</v>
      </c>
      <c r="D69" s="1018">
        <v>26932688</v>
      </c>
      <c r="E69" s="1020">
        <v>5386537.5999999996</v>
      </c>
      <c r="F69" s="1020">
        <v>448878.1333333333</v>
      </c>
      <c r="G69" s="1020">
        <v>26932688</v>
      </c>
      <c r="H69" s="1020">
        <f t="shared" si="2"/>
        <v>5386537.5380002018</v>
      </c>
      <c r="I69" s="1020">
        <v>448878.12816668348</v>
      </c>
      <c r="J69" s="1021">
        <f>$I$69/($K$5*1000)</f>
        <v>2.2028255259836323E-2</v>
      </c>
      <c r="K69" s="1021">
        <f>($I$69/$K$6)/$K$5</f>
        <v>1.4169725498415233E-3</v>
      </c>
    </row>
    <row r="70" spans="2:11" x14ac:dyDescent="0.25">
      <c r="B70" s="1015">
        <f t="shared" si="1"/>
        <v>61</v>
      </c>
      <c r="C70" s="1068" t="s">
        <v>551</v>
      </c>
      <c r="D70" s="1018">
        <v>30000000</v>
      </c>
      <c r="E70" s="1020">
        <v>6000000</v>
      </c>
      <c r="F70" s="1020">
        <v>500000</v>
      </c>
      <c r="G70" s="1020">
        <v>30000000.340209961</v>
      </c>
      <c r="H70" s="1020">
        <f t="shared" si="2"/>
        <v>6000000.0680419924</v>
      </c>
      <c r="I70" s="1020">
        <v>500000.00567016605</v>
      </c>
      <c r="J70" s="1021">
        <f>$I$70/($K$5*1000)</f>
        <v>2.453701141511647E-2</v>
      </c>
      <c r="K70" s="1021">
        <f>($I$70/$K$6)/$K$5</f>
        <v>1.5783488624158285E-3</v>
      </c>
    </row>
    <row r="71" spans="2:11" x14ac:dyDescent="0.25">
      <c r="B71" s="1015">
        <f t="shared" si="1"/>
        <v>62</v>
      </c>
      <c r="C71" s="1068" t="s">
        <v>552</v>
      </c>
      <c r="D71" s="1018">
        <v>6869341541</v>
      </c>
      <c r="E71" s="1020">
        <v>344483481.40046716</v>
      </c>
      <c r="F71" s="1020">
        <v>28706956.783372264</v>
      </c>
      <c r="G71" s="1020">
        <v>6950653888.9573593</v>
      </c>
      <c r="H71" s="1020">
        <f t="shared" si="2"/>
        <v>347532694.44786799</v>
      </c>
      <c r="I71" s="1020">
        <v>28961057.870655663</v>
      </c>
      <c r="J71" s="1021">
        <f>$I$71/($K$5*1000)</f>
        <v>1.4212355990149697</v>
      </c>
      <c r="K71" s="1021">
        <f>($I$71/$K$6)/$K$5</f>
        <v>9.1421304452268731E-2</v>
      </c>
    </row>
    <row r="72" spans="2:11" x14ac:dyDescent="0.25">
      <c r="B72" s="1015"/>
      <c r="C72" s="1022"/>
      <c r="D72" s="1022"/>
      <c r="E72" s="1020"/>
      <c r="F72" s="1020"/>
      <c r="G72" s="1020"/>
      <c r="H72" s="1020"/>
      <c r="I72" s="1020"/>
      <c r="J72" s="1021"/>
      <c r="K72" s="1021"/>
    </row>
    <row r="73" spans="2:11" x14ac:dyDescent="0.25">
      <c r="B73" s="1015"/>
      <c r="C73" s="1022"/>
      <c r="D73" s="1022"/>
      <c r="E73" s="1020"/>
      <c r="F73" s="1020"/>
      <c r="G73" s="1020"/>
      <c r="H73" s="1020"/>
      <c r="I73" s="1020"/>
      <c r="J73" s="1021"/>
      <c r="K73" s="1021"/>
    </row>
    <row r="74" spans="2:11" x14ac:dyDescent="0.25">
      <c r="B74" s="1015"/>
      <c r="C74" s="1022"/>
      <c r="D74" s="1022"/>
      <c r="E74" s="1020"/>
      <c r="F74" s="1020"/>
      <c r="G74" s="1020"/>
      <c r="H74" s="1020"/>
      <c r="I74" s="1020"/>
      <c r="J74" s="1021"/>
      <c r="K74" s="1021"/>
    </row>
    <row r="75" spans="2:11" ht="13.5" thickBot="1" x14ac:dyDescent="0.3">
      <c r="B75" s="1053"/>
      <c r="C75" s="1054"/>
      <c r="D75" s="1054"/>
      <c r="E75" s="1055"/>
      <c r="F75" s="1055"/>
      <c r="G75" s="1055"/>
      <c r="H75" s="1055"/>
      <c r="I75" s="1055"/>
      <c r="J75" s="1069"/>
      <c r="K75" s="1069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G9" sqref="G9"/>
    </sheetView>
  </sheetViews>
  <sheetFormatPr defaultColWidth="8.85546875" defaultRowHeight="15" x14ac:dyDescent="0.25"/>
  <cols>
    <col min="1" max="1" width="8.85546875" style="345"/>
    <col min="2" max="2" width="52.85546875" style="345" customWidth="1"/>
    <col min="3" max="4" width="17.5703125" style="977" customWidth="1"/>
    <col min="5" max="5" width="55.42578125" style="345" customWidth="1"/>
    <col min="6" max="6" width="17.5703125" style="977" customWidth="1"/>
    <col min="7" max="16384" width="8.85546875" style="345"/>
  </cols>
  <sheetData>
    <row r="1" spans="2:6" x14ac:dyDescent="0.25">
      <c r="C1" s="977" t="s">
        <v>418</v>
      </c>
      <c r="F1" s="977" t="s">
        <v>418</v>
      </c>
    </row>
    <row r="2" spans="2:6" ht="19.5" thickBot="1" x14ac:dyDescent="0.3">
      <c r="B2" s="976" t="s">
        <v>392</v>
      </c>
      <c r="C2" s="1046">
        <f>'November 2024'!AL6</f>
        <v>22</v>
      </c>
      <c r="E2" s="976" t="s">
        <v>393</v>
      </c>
      <c r="F2" s="1046">
        <f>'November 2024'!AL6</f>
        <v>22</v>
      </c>
    </row>
    <row r="3" spans="2:6" x14ac:dyDescent="0.25">
      <c r="B3" s="1795" t="s">
        <v>394</v>
      </c>
      <c r="C3" s="978" t="s">
        <v>395</v>
      </c>
      <c r="E3" s="1795" t="s">
        <v>394</v>
      </c>
      <c r="F3" s="978" t="s">
        <v>395</v>
      </c>
    </row>
    <row r="4" spans="2:6" ht="15.75" thickBot="1" x14ac:dyDescent="0.3">
      <c r="B4" s="1796"/>
      <c r="C4" s="979" t="s">
        <v>396</v>
      </c>
      <c r="E4" s="1796"/>
      <c r="F4" s="979" t="s">
        <v>396</v>
      </c>
    </row>
    <row r="5" spans="2:6" ht="15.75" thickTop="1" x14ac:dyDescent="0.25">
      <c r="B5" s="980" t="s">
        <v>397</v>
      </c>
      <c r="C5" s="981">
        <v>1648879.5518207287</v>
      </c>
      <c r="E5" s="982" t="s">
        <v>398</v>
      </c>
      <c r="F5" s="983">
        <v>4911824.2689075638</v>
      </c>
    </row>
    <row r="6" spans="2:6" x14ac:dyDescent="0.25">
      <c r="B6" s="980" t="s">
        <v>150</v>
      </c>
      <c r="C6" s="981">
        <v>2678431.3725490198</v>
      </c>
      <c r="E6" s="980" t="s">
        <v>399</v>
      </c>
      <c r="F6" s="981">
        <v>1230672.2689075631</v>
      </c>
    </row>
    <row r="7" spans="2:6" x14ac:dyDescent="0.25">
      <c r="B7" s="980" t="s">
        <v>400</v>
      </c>
      <c r="C7" s="981">
        <v>288459.3837535014</v>
      </c>
      <c r="E7" s="980" t="s">
        <v>401</v>
      </c>
      <c r="F7" s="981">
        <v>1084733.893557423</v>
      </c>
    </row>
    <row r="8" spans="2:6" x14ac:dyDescent="0.25">
      <c r="B8" s="980" t="s">
        <v>402</v>
      </c>
      <c r="C8" s="981">
        <v>404271.70868347352</v>
      </c>
      <c r="E8" s="980" t="s">
        <v>403</v>
      </c>
      <c r="F8" s="981">
        <v>833815.51820728299</v>
      </c>
    </row>
    <row r="9" spans="2:6" x14ac:dyDescent="0.25">
      <c r="B9" s="980" t="s">
        <v>404</v>
      </c>
      <c r="C9" s="981">
        <v>150891.40056022411</v>
      </c>
      <c r="E9" s="980" t="s">
        <v>405</v>
      </c>
      <c r="F9" s="981">
        <v>949299.71988795535</v>
      </c>
    </row>
    <row r="10" spans="2:6" x14ac:dyDescent="0.25">
      <c r="B10" s="980" t="s">
        <v>406</v>
      </c>
      <c r="C10" s="981">
        <v>58543.417366946771</v>
      </c>
      <c r="E10" s="980" t="s">
        <v>407</v>
      </c>
      <c r="F10" s="981">
        <v>1106022.4089635855</v>
      </c>
    </row>
    <row r="11" spans="2:6" x14ac:dyDescent="0.25">
      <c r="B11" s="980" t="s">
        <v>408</v>
      </c>
      <c r="C11" s="981">
        <v>87425.770308123247</v>
      </c>
      <c r="E11" s="980" t="s">
        <v>409</v>
      </c>
      <c r="F11" s="981">
        <v>5634698.8795518195</v>
      </c>
    </row>
    <row r="12" spans="2:6" ht="15.75" thickBot="1" x14ac:dyDescent="0.3">
      <c r="B12" s="980" t="s">
        <v>410</v>
      </c>
      <c r="C12" s="981">
        <v>254341.73669467788</v>
      </c>
      <c r="E12" s="984"/>
      <c r="F12" s="985"/>
    </row>
    <row r="13" spans="2:6" x14ac:dyDescent="0.25">
      <c r="B13" s="980" t="s">
        <v>411</v>
      </c>
      <c r="C13" s="981">
        <v>114733.89355742298</v>
      </c>
      <c r="E13" s="986" t="s">
        <v>1</v>
      </c>
      <c r="F13" s="987">
        <f>SUM(F5:F12)</f>
        <v>15751066.957983192</v>
      </c>
    </row>
    <row r="14" spans="2:6" x14ac:dyDescent="0.25">
      <c r="B14" s="980" t="s">
        <v>412</v>
      </c>
      <c r="C14" s="981">
        <v>203159.6638655462</v>
      </c>
      <c r="E14" s="988" t="s">
        <v>413</v>
      </c>
      <c r="F14" s="989">
        <f>F13*F2</f>
        <v>346523473.07563025</v>
      </c>
    </row>
    <row r="15" spans="2:6" ht="15.75" thickBot="1" x14ac:dyDescent="0.3">
      <c r="B15" s="980" t="s">
        <v>414</v>
      </c>
      <c r="C15" s="981">
        <v>580672.26890756306</v>
      </c>
      <c r="E15" s="990" t="s">
        <v>415</v>
      </c>
      <c r="F15" s="991">
        <f>F14*12</f>
        <v>4158281676.9075632</v>
      </c>
    </row>
    <row r="16" spans="2:6" ht="15.75" thickBot="1" x14ac:dyDescent="0.3">
      <c r="B16" s="984" t="s">
        <v>416</v>
      </c>
      <c r="C16" s="985">
        <v>4089635.8543417375</v>
      </c>
    </row>
    <row r="17" spans="2:6" x14ac:dyDescent="0.25">
      <c r="B17" s="986" t="s">
        <v>417</v>
      </c>
      <c r="C17" s="987">
        <f>SUM(C5:C16)</f>
        <v>10559446.022408964</v>
      </c>
      <c r="E17" s="345" t="s">
        <v>420</v>
      </c>
    </row>
    <row r="18" spans="2:6" x14ac:dyDescent="0.25">
      <c r="B18" s="988" t="s">
        <v>413</v>
      </c>
      <c r="C18" s="989">
        <f>C17*C2</f>
        <v>232307812.4929972</v>
      </c>
      <c r="E18" s="345" t="s">
        <v>419</v>
      </c>
      <c r="F18" s="992">
        <f>F14+C18</f>
        <v>578831285.56862748</v>
      </c>
    </row>
    <row r="19" spans="2:6" ht="15.75" thickBot="1" x14ac:dyDescent="0.3">
      <c r="B19" s="990" t="s">
        <v>415</v>
      </c>
      <c r="C19" s="991">
        <f>C18*12</f>
        <v>2787693749.9159665</v>
      </c>
      <c r="E19" s="345" t="s">
        <v>192</v>
      </c>
      <c r="F19" s="992">
        <f>F18*12</f>
        <v>6945975426.8235302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I17" sqref="I17"/>
    </sheetView>
  </sheetViews>
  <sheetFormatPr defaultColWidth="8.85546875" defaultRowHeight="12.75" x14ac:dyDescent="0.25"/>
  <cols>
    <col min="1" max="1" width="8.85546875" style="994"/>
    <col min="2" max="2" width="6.42578125" style="993" customWidth="1"/>
    <col min="3" max="3" width="48.42578125" style="994" customWidth="1"/>
    <col min="4" max="4" width="4.5703125" style="993" customWidth="1"/>
    <col min="5" max="5" width="23.85546875" style="994" customWidth="1"/>
    <col min="6" max="6" width="9.5703125" style="993" customWidth="1"/>
    <col min="7" max="7" width="9.42578125" style="994" customWidth="1"/>
    <col min="8" max="8" width="9.5703125" style="993" customWidth="1"/>
    <col min="9" max="9" width="16.5703125" style="994" customWidth="1"/>
    <col min="10" max="10" width="16.42578125" style="993" customWidth="1"/>
    <col min="11" max="11" width="13.85546875" style="993" customWidth="1"/>
    <col min="12" max="12" width="18.5703125" style="993" customWidth="1"/>
    <col min="13" max="16384" width="8.85546875" style="994"/>
  </cols>
  <sheetData>
    <row r="2" spans="2:12" ht="19.5" thickBot="1" x14ac:dyDescent="0.3">
      <c r="B2" s="995" t="s">
        <v>421</v>
      </c>
    </row>
    <row r="3" spans="2:12" x14ac:dyDescent="0.25">
      <c r="B3" s="1785" t="s">
        <v>369</v>
      </c>
      <c r="C3" s="1786"/>
      <c r="D3" s="896"/>
      <c r="E3" s="996"/>
      <c r="F3" s="997"/>
      <c r="G3" s="996"/>
      <c r="H3" s="997"/>
      <c r="I3" s="996"/>
      <c r="J3" s="998" t="s">
        <v>389</v>
      </c>
      <c r="K3" s="999">
        <f>'HPP REF '!N3</f>
        <v>926.24454545454546</v>
      </c>
    </row>
    <row r="4" spans="2:12" x14ac:dyDescent="0.25">
      <c r="B4" s="1787" t="s">
        <v>422</v>
      </c>
      <c r="C4" s="1788"/>
      <c r="D4" s="900"/>
      <c r="J4" s="1000" t="s">
        <v>83</v>
      </c>
      <c r="K4" s="1001">
        <f>'HPP REF '!N4</f>
        <v>22</v>
      </c>
    </row>
    <row r="5" spans="2:12" x14ac:dyDescent="0.25">
      <c r="B5" s="1787" t="s">
        <v>423</v>
      </c>
      <c r="C5" s="1788"/>
      <c r="D5" s="900"/>
      <c r="J5" s="1000" t="s">
        <v>424</v>
      </c>
      <c r="K5" s="1001">
        <f>K4*K3</f>
        <v>20377.38</v>
      </c>
    </row>
    <row r="6" spans="2:12" ht="13.5" thickBot="1" x14ac:dyDescent="0.3">
      <c r="B6" s="972" t="s">
        <v>425</v>
      </c>
      <c r="C6" s="973"/>
      <c r="D6" s="974"/>
      <c r="E6" s="1002"/>
      <c r="F6" s="1003"/>
      <c r="G6" s="1002"/>
      <c r="H6" s="1003"/>
      <c r="I6" s="1002"/>
      <c r="J6" s="1004"/>
      <c r="K6" s="1191">
        <f>'SUMMARY HPP '!I9</f>
        <v>15546</v>
      </c>
    </row>
    <row r="7" spans="2:12" ht="13.5" thickBot="1" x14ac:dyDescent="0.3">
      <c r="B7" s="1005" t="s">
        <v>100</v>
      </c>
      <c r="C7" s="1798" t="s">
        <v>290</v>
      </c>
      <c r="D7" s="1798"/>
      <c r="E7" s="1798"/>
      <c r="F7" s="1798"/>
      <c r="G7" s="1799" t="s">
        <v>224</v>
      </c>
      <c r="H7" s="1800"/>
      <c r="I7" s="1005" t="s">
        <v>426</v>
      </c>
      <c r="J7" s="1005" t="s">
        <v>427</v>
      </c>
      <c r="K7" s="1005" t="s">
        <v>231</v>
      </c>
    </row>
    <row r="8" spans="2:12" ht="13.5" thickTop="1" x14ac:dyDescent="0.25">
      <c r="B8" s="1006">
        <v>1</v>
      </c>
      <c r="C8" s="1007" t="s">
        <v>381</v>
      </c>
      <c r="D8" s="1008"/>
      <c r="E8" s="1009" t="s">
        <v>428</v>
      </c>
      <c r="F8" s="1010">
        <f>(100%-0.8%-1.1*5%)*80%*K5</f>
        <v>15274.884048000002</v>
      </c>
      <c r="G8" s="1011" t="s">
        <v>291</v>
      </c>
      <c r="H8" s="1011">
        <v>90</v>
      </c>
      <c r="I8" s="1012">
        <f>H8*F8*1000</f>
        <v>1374739564.3200002</v>
      </c>
      <c r="J8" s="1013">
        <f>I8/($K$5*1000)</f>
        <v>67.464000000000013</v>
      </c>
      <c r="K8" s="1013">
        <f t="shared" ref="K8:K21" si="0">(I8/$K$6)/$K$5</f>
        <v>4.33963720571208</v>
      </c>
      <c r="L8" s="1014"/>
    </row>
    <row r="9" spans="2:12" x14ac:dyDescent="0.25">
      <c r="B9" s="1015"/>
      <c r="C9" s="1016"/>
      <c r="D9" s="409"/>
      <c r="E9" s="1017" t="s">
        <v>429</v>
      </c>
      <c r="F9" s="1018">
        <f>(100%-0.8%-1.1*5%)*20%*K5</f>
        <v>3818.7210120000004</v>
      </c>
      <c r="G9" s="1019" t="s">
        <v>291</v>
      </c>
      <c r="H9" s="1019">
        <v>150</v>
      </c>
      <c r="I9" s="1020">
        <f t="shared" ref="I9:I10" si="1">H9*F9*1000</f>
        <v>572808151.80000007</v>
      </c>
      <c r="J9" s="1021">
        <f t="shared" ref="J9:J21" si="2">I9/($K$5*1000)</f>
        <v>28.110000000000003</v>
      </c>
      <c r="K9" s="1021">
        <f t="shared" si="0"/>
        <v>1.8081821690467001</v>
      </c>
      <c r="L9" s="1014"/>
    </row>
    <row r="10" spans="2:12" x14ac:dyDescent="0.25">
      <c r="B10" s="1022"/>
      <c r="C10" s="1023"/>
      <c r="D10" s="1024"/>
      <c r="E10" s="1025" t="s">
        <v>430</v>
      </c>
      <c r="F10" s="1026">
        <f>1.1*5%*K5</f>
        <v>1120.7559000000001</v>
      </c>
      <c r="G10" s="1019" t="s">
        <v>291</v>
      </c>
      <c r="H10" s="1015">
        <v>150</v>
      </c>
      <c r="I10" s="1020">
        <f t="shared" si="1"/>
        <v>168113385</v>
      </c>
      <c r="J10" s="1021">
        <f t="shared" si="2"/>
        <v>8.25</v>
      </c>
      <c r="K10" s="1021">
        <f t="shared" si="0"/>
        <v>0.53068313392512545</v>
      </c>
      <c r="L10" s="1014"/>
    </row>
    <row r="11" spans="2:12" x14ac:dyDescent="0.25">
      <c r="B11" s="1015">
        <v>2</v>
      </c>
      <c r="C11" s="1027" t="s">
        <v>382</v>
      </c>
      <c r="D11" s="1028"/>
      <c r="E11" s="1025" t="s">
        <v>431</v>
      </c>
      <c r="F11" s="1026">
        <v>1</v>
      </c>
      <c r="G11" s="1026" t="s">
        <v>291</v>
      </c>
      <c r="H11" s="1015">
        <v>77</v>
      </c>
      <c r="I11" s="1020">
        <f>H11*8000*F11*1000</f>
        <v>616000000</v>
      </c>
      <c r="J11" s="1021">
        <f t="shared" si="2"/>
        <v>30.229597720609814</v>
      </c>
      <c r="K11" s="1021">
        <f t="shared" si="0"/>
        <v>1.9445257764447323</v>
      </c>
      <c r="L11" s="1014"/>
    </row>
    <row r="12" spans="2:12" x14ac:dyDescent="0.25">
      <c r="B12" s="1015"/>
      <c r="C12" s="1023"/>
      <c r="D12" s="1024"/>
      <c r="E12" s="1025" t="s">
        <v>432</v>
      </c>
      <c r="F12" s="1015">
        <v>2</v>
      </c>
      <c r="G12" s="1026" t="s">
        <v>291</v>
      </c>
      <c r="H12" s="1015">
        <v>79</v>
      </c>
      <c r="I12" s="1020">
        <f>H12*5000*F12*1000</f>
        <v>790000000</v>
      </c>
      <c r="J12" s="1021">
        <f t="shared" si="2"/>
        <v>38.768477596236615</v>
      </c>
      <c r="K12" s="1021">
        <f t="shared" si="0"/>
        <v>2.493791174336589</v>
      </c>
      <c r="L12" s="1014"/>
    </row>
    <row r="13" spans="2:12" x14ac:dyDescent="0.25">
      <c r="B13" s="1015"/>
      <c r="C13" s="1023"/>
      <c r="D13" s="1024"/>
      <c r="E13" s="1025" t="s">
        <v>433</v>
      </c>
      <c r="F13" s="1015">
        <v>1</v>
      </c>
      <c r="G13" s="1026" t="s">
        <v>291</v>
      </c>
      <c r="H13" s="1015">
        <v>77</v>
      </c>
      <c r="I13" s="1020">
        <f>H13*3000*F13*1000</f>
        <v>231000000</v>
      </c>
      <c r="J13" s="1021">
        <f t="shared" si="2"/>
        <v>11.33609914522868</v>
      </c>
      <c r="K13" s="1021">
        <f t="shared" si="0"/>
        <v>0.72919716616677466</v>
      </c>
      <c r="L13" s="1014"/>
    </row>
    <row r="14" spans="2:12" x14ac:dyDescent="0.25">
      <c r="B14" s="1015"/>
      <c r="C14" s="1023"/>
      <c r="D14" s="1024"/>
      <c r="E14" s="1025" t="s">
        <v>434</v>
      </c>
      <c r="F14" s="1015">
        <v>1</v>
      </c>
      <c r="G14" s="1026" t="s">
        <v>291</v>
      </c>
      <c r="H14" s="1015">
        <v>83</v>
      </c>
      <c r="I14" s="1020">
        <f>H14*3000*F14*1000</f>
        <v>249000000</v>
      </c>
      <c r="J14" s="1021">
        <f t="shared" si="2"/>
        <v>12.21943154615559</v>
      </c>
      <c r="K14" s="1021">
        <f t="shared" si="0"/>
        <v>0.78601772456938057</v>
      </c>
      <c r="L14" s="1014"/>
    </row>
    <row r="15" spans="2:12" x14ac:dyDescent="0.25">
      <c r="B15" s="1015">
        <v>3</v>
      </c>
      <c r="C15" s="1023" t="s">
        <v>435</v>
      </c>
      <c r="D15" s="1024">
        <v>0</v>
      </c>
      <c r="E15" s="1025" t="s">
        <v>436</v>
      </c>
      <c r="F15" s="1020">
        <f>F8-(8000*D15)</f>
        <v>15274.884048000002</v>
      </c>
      <c r="G15" s="1026" t="s">
        <v>291</v>
      </c>
      <c r="H15" s="1029">
        <v>43</v>
      </c>
      <c r="I15" s="1020">
        <f>H15*F15*1000</f>
        <v>656820014.06400013</v>
      </c>
      <c r="J15" s="1021">
        <f>I15/($K$5*1000)</f>
        <v>32.232800000000005</v>
      </c>
      <c r="K15" s="1021">
        <f>(I15/$K$6)/$K$5</f>
        <v>2.073382220506883</v>
      </c>
      <c r="L15" s="1014"/>
    </row>
    <row r="16" spans="2:12" x14ac:dyDescent="0.25">
      <c r="B16" s="1015"/>
      <c r="C16" s="1023"/>
      <c r="D16" s="1024">
        <v>0</v>
      </c>
      <c r="E16" s="1025" t="s">
        <v>437</v>
      </c>
      <c r="F16" s="1020">
        <f>F9-(10000*D16)</f>
        <v>3818.7210120000004</v>
      </c>
      <c r="G16" s="1026" t="s">
        <v>291</v>
      </c>
      <c r="H16" s="1029">
        <v>43</v>
      </c>
      <c r="I16" s="1020">
        <f t="shared" ref="I16:I17" si="3">H16*F16*1000</f>
        <v>164205003.51600003</v>
      </c>
      <c r="J16" s="1021">
        <f t="shared" ref="J16:J17" si="4">I16/($K$5*1000)</f>
        <v>8.0582000000000011</v>
      </c>
      <c r="K16" s="1021">
        <f t="shared" ref="K16:K17" si="5">(I16/$K$6)/$K$5</f>
        <v>0.51834555512672076</v>
      </c>
      <c r="L16" s="1014"/>
    </row>
    <row r="17" spans="2:12" x14ac:dyDescent="0.25">
      <c r="B17" s="1015"/>
      <c r="C17" s="1023"/>
      <c r="D17" s="1024">
        <v>0</v>
      </c>
      <c r="E17" s="1025" t="s">
        <v>438</v>
      </c>
      <c r="F17" s="1020">
        <f>F10-(3000*D17)</f>
        <v>1120.7559000000001</v>
      </c>
      <c r="G17" s="1026" t="s">
        <v>291</v>
      </c>
      <c r="H17" s="1029">
        <v>43</v>
      </c>
      <c r="I17" s="1020">
        <f t="shared" si="3"/>
        <v>48192503.700000003</v>
      </c>
      <c r="J17" s="1021">
        <f t="shared" si="4"/>
        <v>2.3650000000000002</v>
      </c>
      <c r="K17" s="1021">
        <f t="shared" si="5"/>
        <v>0.15212916505853596</v>
      </c>
      <c r="L17" s="1014"/>
    </row>
    <row r="18" spans="2:12" x14ac:dyDescent="0.25">
      <c r="B18" s="1015">
        <v>3</v>
      </c>
      <c r="C18" s="1027" t="s">
        <v>439</v>
      </c>
      <c r="D18" s="1028"/>
      <c r="E18" s="1025" t="s">
        <v>440</v>
      </c>
      <c r="F18" s="1026">
        <f>SUM(F8:F10)</f>
        <v>20214.360960000002</v>
      </c>
      <c r="G18" s="1026" t="s">
        <v>291</v>
      </c>
      <c r="H18" s="1015">
        <v>22</v>
      </c>
      <c r="I18" s="1020">
        <f>H18*F18*1000</f>
        <v>444715941.12</v>
      </c>
      <c r="J18" s="1021">
        <f t="shared" si="2"/>
        <v>21.824000000000002</v>
      </c>
      <c r="K18" s="1021">
        <f t="shared" si="0"/>
        <v>1.4038337836099317</v>
      </c>
      <c r="L18" s="1014"/>
    </row>
    <row r="19" spans="2:12" x14ac:dyDescent="0.25">
      <c r="B19" s="1015">
        <f t="shared" ref="B19:B24" si="6">B18+1</f>
        <v>4</v>
      </c>
      <c r="C19" s="1027" t="s">
        <v>441</v>
      </c>
      <c r="D19" s="1028"/>
      <c r="E19" s="1025" t="s">
        <v>440</v>
      </c>
      <c r="F19" s="1020">
        <f>F18</f>
        <v>20214.360960000002</v>
      </c>
      <c r="G19" s="1026" t="s">
        <v>291</v>
      </c>
      <c r="H19" s="1015">
        <v>26</v>
      </c>
      <c r="I19" s="1020">
        <f>H19*F18*1000</f>
        <v>525573384.96000004</v>
      </c>
      <c r="J19" s="1021">
        <f t="shared" si="2"/>
        <v>25.792000000000002</v>
      </c>
      <c r="K19" s="1021">
        <f t="shared" si="0"/>
        <v>1.6590762897208287</v>
      </c>
    </row>
    <row r="20" spans="2:12" x14ac:dyDescent="0.25">
      <c r="B20" s="1015">
        <f t="shared" si="6"/>
        <v>5</v>
      </c>
      <c r="C20" s="1027" t="s">
        <v>442</v>
      </c>
      <c r="D20" s="1028"/>
      <c r="E20" s="1025" t="s">
        <v>440</v>
      </c>
      <c r="F20" s="1026">
        <f>F18</f>
        <v>20214.360960000002</v>
      </c>
      <c r="G20" s="1026" t="s">
        <v>291</v>
      </c>
      <c r="H20" s="1015">
        <v>3</v>
      </c>
      <c r="I20" s="1020">
        <f t="shared" ref="I20:I21" si="7">H20*F20*1000</f>
        <v>60643082.880000003</v>
      </c>
      <c r="J20" s="1021">
        <f t="shared" si="2"/>
        <v>2.976</v>
      </c>
      <c r="K20" s="1021">
        <f t="shared" si="0"/>
        <v>0.19143187958317254</v>
      </c>
    </row>
    <row r="21" spans="2:12" x14ac:dyDescent="0.25">
      <c r="B21" s="1015">
        <f t="shared" si="6"/>
        <v>6</v>
      </c>
      <c r="C21" s="1027" t="s">
        <v>443</v>
      </c>
      <c r="D21" s="1028"/>
      <c r="E21" s="1025" t="s">
        <v>440</v>
      </c>
      <c r="F21" s="1026">
        <f>F20</f>
        <v>20214.360960000002</v>
      </c>
      <c r="G21" s="1026" t="s">
        <v>291</v>
      </c>
      <c r="H21" s="1015">
        <v>3</v>
      </c>
      <c r="I21" s="1020">
        <f t="shared" si="7"/>
        <v>60643082.880000003</v>
      </c>
      <c r="J21" s="1021">
        <f t="shared" si="2"/>
        <v>2.976</v>
      </c>
      <c r="K21" s="1021">
        <f t="shared" si="0"/>
        <v>0.19143187958317254</v>
      </c>
    </row>
    <row r="22" spans="2:12" x14ac:dyDescent="0.25">
      <c r="B22" s="1015">
        <f t="shared" si="6"/>
        <v>7</v>
      </c>
      <c r="C22" s="1027" t="s">
        <v>444</v>
      </c>
      <c r="D22" s="1028"/>
      <c r="E22" s="1022"/>
      <c r="F22" s="1022"/>
      <c r="G22" s="1022"/>
      <c r="H22" s="1022"/>
      <c r="I22" s="1020"/>
      <c r="J22" s="1021"/>
      <c r="K22" s="1021"/>
    </row>
    <row r="23" spans="2:12" x14ac:dyDescent="0.25">
      <c r="B23" s="1015">
        <f t="shared" si="6"/>
        <v>8</v>
      </c>
      <c r="C23" s="1027" t="s">
        <v>445</v>
      </c>
      <c r="D23" s="1028"/>
      <c r="E23" s="1022"/>
      <c r="F23" s="1022"/>
      <c r="G23" s="1022"/>
      <c r="H23" s="1015"/>
      <c r="I23" s="1020"/>
      <c r="J23" s="1021"/>
      <c r="K23" s="1021"/>
    </row>
    <row r="24" spans="2:12" ht="13.5" thickBot="1" x14ac:dyDescent="0.3">
      <c r="B24" s="1030">
        <f t="shared" si="6"/>
        <v>9</v>
      </c>
      <c r="C24" s="1031" t="s">
        <v>446</v>
      </c>
      <c r="D24" s="1032"/>
      <c r="E24" s="1033"/>
      <c r="F24" s="1034"/>
      <c r="G24" s="1035"/>
      <c r="H24" s="1030"/>
      <c r="I24" s="1036"/>
      <c r="J24" s="1037"/>
      <c r="K24" s="1030"/>
    </row>
    <row r="25" spans="2:12" ht="14.25" thickTop="1" thickBot="1" x14ac:dyDescent="0.3">
      <c r="B25" s="1797" t="s">
        <v>447</v>
      </c>
      <c r="C25" s="1797"/>
      <c r="D25" s="1797"/>
      <c r="E25" s="1797"/>
      <c r="F25" s="1797"/>
      <c r="G25" s="1797"/>
      <c r="H25" s="1797"/>
      <c r="I25" s="1038">
        <f>SUM(I8:I24)</f>
        <v>5962454114.2399998</v>
      </c>
      <c r="J25" s="1039">
        <f>SUM(J8:J24)</f>
        <v>292.60160600823065</v>
      </c>
      <c r="K25" s="1039">
        <f>SUM(K8:K24)</f>
        <v>18.821665123390634</v>
      </c>
      <c r="L25" s="1040"/>
    </row>
    <row r="26" spans="2:12" x14ac:dyDescent="0.25">
      <c r="C26" s="937"/>
      <c r="D26" s="1041"/>
      <c r="E26" s="937"/>
      <c r="F26" s="1041"/>
      <c r="G26" s="1042"/>
      <c r="J26" s="1041"/>
    </row>
    <row r="27" spans="2:12" x14ac:dyDescent="0.25">
      <c r="C27" s="937"/>
      <c r="D27" s="1041"/>
      <c r="E27" s="937"/>
      <c r="F27" s="1041"/>
      <c r="G27" s="1042"/>
      <c r="J27" s="1041"/>
    </row>
    <row r="28" spans="2:12" x14ac:dyDescent="0.25">
      <c r="C28" s="937"/>
      <c r="D28" s="1041"/>
      <c r="E28" s="937"/>
      <c r="F28" s="1043"/>
      <c r="G28" s="1044"/>
      <c r="J28" s="1041"/>
    </row>
    <row r="29" spans="2:12" x14ac:dyDescent="0.25">
      <c r="C29" s="1045"/>
      <c r="D29" s="1043"/>
      <c r="E29" s="1045"/>
      <c r="F29" s="1041"/>
      <c r="G29" s="1042"/>
      <c r="J29" s="1041"/>
    </row>
    <row r="30" spans="2:12" x14ac:dyDescent="0.25">
      <c r="E30" s="937"/>
      <c r="F30" s="1041"/>
      <c r="G30" s="1042"/>
      <c r="J30" s="1041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F7" sqref="F7:I7"/>
    </sheetView>
  </sheetViews>
  <sheetFormatPr defaultColWidth="8.85546875" defaultRowHeight="12.75" x14ac:dyDescent="0.25"/>
  <cols>
    <col min="1" max="1" width="8.85546875" style="994"/>
    <col min="2" max="2" width="5.5703125" style="993" customWidth="1"/>
    <col min="3" max="3" width="64.42578125" style="994" customWidth="1"/>
    <col min="4" max="4" width="15.5703125" style="994" customWidth="1"/>
    <col min="5" max="5" width="15" style="994" customWidth="1"/>
    <col min="6" max="6" width="15.140625" style="994" customWidth="1"/>
    <col min="7" max="7" width="14.5703125" style="994" customWidth="1"/>
    <col min="8" max="8" width="11.42578125" style="994" customWidth="1"/>
    <col min="9" max="9" width="12.42578125" style="994" customWidth="1"/>
    <col min="10" max="16384" width="8.85546875" style="994"/>
  </cols>
  <sheetData>
    <row r="1" spans="2:9" ht="5.0999999999999996" customHeight="1" x14ac:dyDescent="0.25"/>
    <row r="2" spans="2:9" ht="26.45" customHeight="1" thickBot="1" x14ac:dyDescent="0.3">
      <c r="B2" s="995" t="s">
        <v>448</v>
      </c>
    </row>
    <row r="3" spans="2:9" ht="14.45" customHeight="1" x14ac:dyDescent="0.25">
      <c r="B3" s="1785" t="s">
        <v>369</v>
      </c>
      <c r="C3" s="1786"/>
      <c r="D3" s="996"/>
      <c r="E3" s="996"/>
      <c r="F3" s="996"/>
      <c r="G3" s="996"/>
      <c r="H3" s="998" t="s">
        <v>389</v>
      </c>
      <c r="I3" s="999">
        <f>'HPP REF '!N3</f>
        <v>926.24454545454546</v>
      </c>
    </row>
    <row r="4" spans="2:9" ht="14.45" customHeight="1" x14ac:dyDescent="0.25">
      <c r="B4" s="1787" t="s">
        <v>422</v>
      </c>
      <c r="C4" s="1788"/>
      <c r="H4" s="1000" t="s">
        <v>83</v>
      </c>
      <c r="I4" s="1001">
        <f>'SUMMARY HPP '!I4</f>
        <v>22</v>
      </c>
    </row>
    <row r="5" spans="2:9" ht="14.45" customHeight="1" x14ac:dyDescent="0.25">
      <c r="B5" s="1787" t="s">
        <v>423</v>
      </c>
      <c r="C5" s="1788"/>
      <c r="H5" s="1000" t="s">
        <v>424</v>
      </c>
      <c r="I5" s="1001">
        <f>I4*I3</f>
        <v>20377.38</v>
      </c>
    </row>
    <row r="6" spans="2:9" ht="14.45" customHeight="1" thickBot="1" x14ac:dyDescent="0.3">
      <c r="B6" s="972" t="s">
        <v>425</v>
      </c>
      <c r="C6" s="973"/>
      <c r="D6" s="1002"/>
      <c r="E6" s="1002"/>
      <c r="F6" s="1002"/>
      <c r="G6" s="1002"/>
      <c r="H6" s="1004"/>
      <c r="I6" s="1191">
        <f>'SUMMARY HPP '!I9</f>
        <v>15546</v>
      </c>
    </row>
    <row r="7" spans="2:9" ht="15.6" customHeight="1" x14ac:dyDescent="0.25">
      <c r="B7" s="1791" t="s">
        <v>100</v>
      </c>
      <c r="C7" s="1791" t="s">
        <v>290</v>
      </c>
      <c r="D7" s="1801" t="s">
        <v>449</v>
      </c>
      <c r="E7" s="1801"/>
      <c r="F7" s="1801" t="s">
        <v>450</v>
      </c>
      <c r="G7" s="1801"/>
      <c r="H7" s="1801"/>
      <c r="I7" s="1801"/>
    </row>
    <row r="8" spans="2:9" ht="15" customHeight="1" thickBot="1" x14ac:dyDescent="0.3">
      <c r="B8" s="1792"/>
      <c r="C8" s="1792"/>
      <c r="D8" s="1048" t="s">
        <v>451</v>
      </c>
      <c r="E8" s="1048" t="s">
        <v>452</v>
      </c>
      <c r="F8" s="1048" t="s">
        <v>451</v>
      </c>
      <c r="G8" s="1048" t="s">
        <v>452</v>
      </c>
      <c r="H8" s="1049" t="s">
        <v>427</v>
      </c>
      <c r="I8" s="1049" t="s">
        <v>231</v>
      </c>
    </row>
    <row r="9" spans="2:9" ht="13.5" thickTop="1" x14ac:dyDescent="0.25">
      <c r="B9" s="1050">
        <v>1</v>
      </c>
      <c r="C9" s="1051" t="s">
        <v>453</v>
      </c>
      <c r="D9" s="1012">
        <v>305458258</v>
      </c>
      <c r="E9" s="1012">
        <f>IFERROR(D9/12,0)</f>
        <v>25454854.833333332</v>
      </c>
      <c r="F9" s="1052">
        <f>G9*12</f>
        <v>366549909.59999996</v>
      </c>
      <c r="G9" s="1052">
        <v>30545825.799999997</v>
      </c>
      <c r="H9" s="1013">
        <f>G9/($I$5*1000)</f>
        <v>1.4990065356782862</v>
      </c>
      <c r="I9" s="1013">
        <f>(G9/$I$6)/$I$5</f>
        <v>9.6423937712484628E-2</v>
      </c>
    </row>
    <row r="10" spans="2:9" x14ac:dyDescent="0.25">
      <c r="B10" s="1015">
        <f>B9+1</f>
        <v>2</v>
      </c>
      <c r="C10" s="1022" t="s">
        <v>454</v>
      </c>
      <c r="D10" s="1020">
        <v>2628729528.8000002</v>
      </c>
      <c r="E10" s="1020">
        <f t="shared" ref="E10:E50" si="0">IFERROR(D10/12,0)</f>
        <v>219060794.06666669</v>
      </c>
      <c r="F10" s="1052">
        <f>G10*12</f>
        <v>3548784863.8800001</v>
      </c>
      <c r="G10" s="1052">
        <v>295732071.99000001</v>
      </c>
      <c r="H10" s="1013">
        <f t="shared" ref="H10:H50" si="1">G10/($I$5*1000)</f>
        <v>14.512762287889808</v>
      </c>
      <c r="I10" s="1013">
        <f t="shared" ref="I10:I50" si="2">(G10/$I$6)/$I$5</f>
        <v>0.93353674822396804</v>
      </c>
    </row>
    <row r="11" spans="2:9" x14ac:dyDescent="0.25">
      <c r="B11" s="1015">
        <f t="shared" ref="B11:B50" si="3">B10+1</f>
        <v>3</v>
      </c>
      <c r="C11" s="1022" t="s">
        <v>455</v>
      </c>
      <c r="D11" s="1020">
        <v>720175678</v>
      </c>
      <c r="E11" s="1020">
        <f t="shared" si="0"/>
        <v>60014639.833333336</v>
      </c>
      <c r="F11" s="1052">
        <f t="shared" ref="F11:F49" si="4">G11*12</f>
        <v>756184461.9000001</v>
      </c>
      <c r="G11" s="1052">
        <v>63015371.825000003</v>
      </c>
      <c r="H11" s="1013">
        <f t="shared" si="1"/>
        <v>3.0924177605266232</v>
      </c>
      <c r="I11" s="1013">
        <f t="shared" si="2"/>
        <v>0.19892047861357412</v>
      </c>
    </row>
    <row r="12" spans="2:9" x14ac:dyDescent="0.25">
      <c r="B12" s="1015">
        <f t="shared" si="3"/>
        <v>4</v>
      </c>
      <c r="C12" s="1022" t="s">
        <v>456</v>
      </c>
      <c r="D12" s="1020">
        <v>2428347903</v>
      </c>
      <c r="E12" s="1020">
        <f t="shared" si="0"/>
        <v>202362325.25</v>
      </c>
      <c r="F12" s="1052">
        <f t="shared" si="4"/>
        <v>2220000000</v>
      </c>
      <c r="G12" s="1052">
        <v>185000000</v>
      </c>
      <c r="H12" s="1013">
        <f t="shared" si="1"/>
        <v>9.078694120637687</v>
      </c>
      <c r="I12" s="1013">
        <f t="shared" si="2"/>
        <v>0.58398907247122656</v>
      </c>
    </row>
    <row r="13" spans="2:9" x14ac:dyDescent="0.25">
      <c r="B13" s="1015">
        <f t="shared" si="3"/>
        <v>5</v>
      </c>
      <c r="C13" s="1022" t="s">
        <v>457</v>
      </c>
      <c r="D13" s="1020">
        <v>110862850</v>
      </c>
      <c r="E13" s="1020">
        <f t="shared" si="0"/>
        <v>9238570.833333334</v>
      </c>
      <c r="F13" s="1052">
        <f t="shared" si="4"/>
        <v>110862850</v>
      </c>
      <c r="G13" s="1052">
        <v>9238570.833333334</v>
      </c>
      <c r="H13" s="1013">
        <f t="shared" si="1"/>
        <v>0.45337383085231436</v>
      </c>
      <c r="I13" s="1013">
        <f t="shared" si="2"/>
        <v>2.9163375199557081E-2</v>
      </c>
    </row>
    <row r="14" spans="2:9" x14ac:dyDescent="0.25">
      <c r="B14" s="1015">
        <f t="shared" si="3"/>
        <v>6</v>
      </c>
      <c r="C14" s="1022" t="s">
        <v>458</v>
      </c>
      <c r="D14" s="1020">
        <v>126990400</v>
      </c>
      <c r="E14" s="1020">
        <f t="shared" si="0"/>
        <v>10582533.333333334</v>
      </c>
      <c r="F14" s="1052">
        <f t="shared" si="4"/>
        <v>110000400</v>
      </c>
      <c r="G14" s="1052">
        <v>9166700</v>
      </c>
      <c r="H14" s="1013">
        <f t="shared" si="1"/>
        <v>0.44984683997648373</v>
      </c>
      <c r="I14" s="1013">
        <f t="shared" si="2"/>
        <v>2.8936500706064822E-2</v>
      </c>
    </row>
    <row r="15" spans="2:9" x14ac:dyDescent="0.25">
      <c r="B15" s="1015">
        <f t="shared" si="3"/>
        <v>7</v>
      </c>
      <c r="C15" s="1022" t="s">
        <v>459</v>
      </c>
      <c r="D15" s="1020">
        <v>108868060</v>
      </c>
      <c r="E15" s="1020">
        <f t="shared" si="0"/>
        <v>9072338.333333334</v>
      </c>
      <c r="F15" s="1052">
        <f t="shared" si="4"/>
        <v>100000000</v>
      </c>
      <c r="G15" s="1052">
        <v>8333333.333333333</v>
      </c>
      <c r="H15" s="1013">
        <f t="shared" si="1"/>
        <v>0.40895018561431024</v>
      </c>
      <c r="I15" s="1013">
        <f t="shared" si="2"/>
        <v>2.630581407528047E-2</v>
      </c>
    </row>
    <row r="16" spans="2:9" x14ac:dyDescent="0.25">
      <c r="B16" s="1015">
        <f t="shared" si="3"/>
        <v>8</v>
      </c>
      <c r="C16" s="1022" t="s">
        <v>460</v>
      </c>
      <c r="D16" s="1020">
        <v>203000</v>
      </c>
      <c r="E16" s="1020">
        <f t="shared" si="0"/>
        <v>16916.666666666668</v>
      </c>
      <c r="F16" s="1052">
        <f t="shared" si="4"/>
        <v>0</v>
      </c>
      <c r="G16" s="1052">
        <v>0</v>
      </c>
      <c r="H16" s="1013">
        <f t="shared" si="1"/>
        <v>0</v>
      </c>
      <c r="I16" s="1013">
        <f t="shared" si="2"/>
        <v>0</v>
      </c>
    </row>
    <row r="17" spans="2:9" x14ac:dyDescent="0.25">
      <c r="B17" s="1015">
        <f t="shared" si="3"/>
        <v>9</v>
      </c>
      <c r="C17" s="1022" t="s">
        <v>461</v>
      </c>
      <c r="D17" s="1020">
        <v>108952486</v>
      </c>
      <c r="E17" s="1020">
        <f t="shared" si="0"/>
        <v>9079373.833333334</v>
      </c>
      <c r="F17" s="1052">
        <f t="shared" si="4"/>
        <v>114400110.30000001</v>
      </c>
      <c r="G17" s="1052">
        <v>9533342.5250000004</v>
      </c>
      <c r="H17" s="1013">
        <f t="shared" si="1"/>
        <v>0.46783946341482568</v>
      </c>
      <c r="I17" s="1013">
        <f t="shared" si="2"/>
        <v>3.0093880317433784E-2</v>
      </c>
    </row>
    <row r="18" spans="2:9" x14ac:dyDescent="0.25">
      <c r="B18" s="1015">
        <f t="shared" si="3"/>
        <v>10</v>
      </c>
      <c r="C18" s="1022" t="s">
        <v>462</v>
      </c>
      <c r="D18" s="1020">
        <v>32369030</v>
      </c>
      <c r="E18" s="1020">
        <f t="shared" si="0"/>
        <v>2697419.1666666665</v>
      </c>
      <c r="F18" s="1052">
        <f t="shared" si="4"/>
        <v>33987481.5</v>
      </c>
      <c r="G18" s="1052">
        <v>2832290.125</v>
      </c>
      <c r="H18" s="1013">
        <f t="shared" si="1"/>
        <v>0.13899186867987937</v>
      </c>
      <c r="I18" s="1013">
        <f t="shared" si="2"/>
        <v>8.9406836922603476E-3</v>
      </c>
    </row>
    <row r="19" spans="2:9" x14ac:dyDescent="0.25">
      <c r="B19" s="1015">
        <f t="shared" si="3"/>
        <v>11</v>
      </c>
      <c r="C19" s="1022" t="s">
        <v>463</v>
      </c>
      <c r="D19" s="1020">
        <v>179265600</v>
      </c>
      <c r="E19" s="1020">
        <f t="shared" si="0"/>
        <v>14938800</v>
      </c>
      <c r="F19" s="1052">
        <f t="shared" si="4"/>
        <v>188228880</v>
      </c>
      <c r="G19" s="1052">
        <v>15685740</v>
      </c>
      <c r="H19" s="1013">
        <f t="shared" si="1"/>
        <v>0.76976235413973726</v>
      </c>
      <c r="I19" s="1013">
        <f t="shared" si="2"/>
        <v>4.9515139208782789E-2</v>
      </c>
    </row>
    <row r="20" spans="2:9" x14ac:dyDescent="0.25">
      <c r="B20" s="1015">
        <f t="shared" si="3"/>
        <v>12</v>
      </c>
      <c r="C20" s="1022" t="s">
        <v>464</v>
      </c>
      <c r="D20" s="1020">
        <v>253700695</v>
      </c>
      <c r="E20" s="1020">
        <f t="shared" si="0"/>
        <v>21141724.583333332</v>
      </c>
      <c r="F20" s="1052">
        <f t="shared" si="4"/>
        <v>266385729.75</v>
      </c>
      <c r="G20" s="1052">
        <v>22198810.8125</v>
      </c>
      <c r="H20" s="1013">
        <f t="shared" si="1"/>
        <v>1.08938493626266</v>
      </c>
      <c r="I20" s="1013">
        <f t="shared" si="2"/>
        <v>7.0074934791114096E-2</v>
      </c>
    </row>
    <row r="21" spans="2:9" x14ac:dyDescent="0.25">
      <c r="B21" s="1015">
        <f t="shared" si="3"/>
        <v>13</v>
      </c>
      <c r="C21" s="1022" t="s">
        <v>465</v>
      </c>
      <c r="D21" s="1020">
        <v>1859843066</v>
      </c>
      <c r="E21" s="1020">
        <f t="shared" si="0"/>
        <v>154986922.16666666</v>
      </c>
      <c r="F21" s="1052">
        <f t="shared" si="4"/>
        <v>335473201</v>
      </c>
      <c r="G21" s="1052">
        <v>27956100.083333332</v>
      </c>
      <c r="H21" s="1013">
        <f t="shared" si="1"/>
        <v>1.3719182781757679</v>
      </c>
      <c r="I21" s="1013">
        <f t="shared" si="2"/>
        <v>8.8248956527451947E-2</v>
      </c>
    </row>
    <row r="22" spans="2:9" x14ac:dyDescent="0.25">
      <c r="B22" s="1015">
        <f t="shared" si="3"/>
        <v>14</v>
      </c>
      <c r="C22" s="1022" t="s">
        <v>466</v>
      </c>
      <c r="D22" s="1020">
        <v>694460474</v>
      </c>
      <c r="E22" s="1020">
        <f t="shared" si="0"/>
        <v>57871706.166666664</v>
      </c>
      <c r="F22" s="1052">
        <f t="shared" si="4"/>
        <v>268391053.16000003</v>
      </c>
      <c r="G22" s="1052">
        <v>22365921.096666668</v>
      </c>
      <c r="H22" s="1013">
        <f t="shared" si="1"/>
        <v>1.0975857100700221</v>
      </c>
      <c r="I22" s="1013">
        <f t="shared" si="2"/>
        <v>7.060245143895677E-2</v>
      </c>
    </row>
    <row r="23" spans="2:9" x14ac:dyDescent="0.25">
      <c r="B23" s="1015">
        <f t="shared" si="3"/>
        <v>15</v>
      </c>
      <c r="C23" s="1022" t="s">
        <v>467</v>
      </c>
      <c r="D23" s="1020"/>
      <c r="E23" s="1020">
        <f t="shared" si="0"/>
        <v>0</v>
      </c>
      <c r="F23" s="1052">
        <f t="shared" si="4"/>
        <v>60000000</v>
      </c>
      <c r="G23" s="1052">
        <v>5000000</v>
      </c>
      <c r="H23" s="1013">
        <f t="shared" si="1"/>
        <v>0.24537011136858614</v>
      </c>
      <c r="I23" s="1013">
        <f t="shared" si="2"/>
        <v>1.5783488445168282E-2</v>
      </c>
    </row>
    <row r="24" spans="2:9" x14ac:dyDescent="0.25">
      <c r="B24" s="1015">
        <f t="shared" si="3"/>
        <v>16</v>
      </c>
      <c r="C24" s="1022" t="s">
        <v>468</v>
      </c>
      <c r="D24" s="1020">
        <v>659276883</v>
      </c>
      <c r="E24" s="1020">
        <f t="shared" si="0"/>
        <v>54939740.25</v>
      </c>
      <c r="F24" s="1052">
        <f t="shared" si="4"/>
        <v>1518332400</v>
      </c>
      <c r="G24" s="1052">
        <v>126527700</v>
      </c>
      <c r="H24" s="1013">
        <f t="shared" si="1"/>
        <v>6.2092231680422119</v>
      </c>
      <c r="I24" s="1013">
        <f t="shared" si="2"/>
        <v>0.39940969818874383</v>
      </c>
    </row>
    <row r="25" spans="2:9" x14ac:dyDescent="0.25">
      <c r="B25" s="1015">
        <f t="shared" si="3"/>
        <v>17</v>
      </c>
      <c r="C25" s="1022" t="s">
        <v>469</v>
      </c>
      <c r="D25" s="1020"/>
      <c r="E25" s="1020">
        <f t="shared" si="0"/>
        <v>0</v>
      </c>
      <c r="F25" s="1052">
        <f t="shared" si="4"/>
        <v>197000000</v>
      </c>
      <c r="G25" s="1052">
        <v>16416666.666666666</v>
      </c>
      <c r="H25" s="1013">
        <f t="shared" si="1"/>
        <v>0.80563186566019118</v>
      </c>
      <c r="I25" s="1013">
        <f t="shared" si="2"/>
        <v>5.1822453728302534E-2</v>
      </c>
    </row>
    <row r="26" spans="2:9" x14ac:dyDescent="0.25">
      <c r="B26" s="1015">
        <f t="shared" si="3"/>
        <v>18</v>
      </c>
      <c r="C26" s="1022" t="s">
        <v>470</v>
      </c>
      <c r="D26" s="1020">
        <v>62716328</v>
      </c>
      <c r="E26" s="1020">
        <f t="shared" si="0"/>
        <v>5226360.666666667</v>
      </c>
      <c r="F26" s="1052">
        <f t="shared" si="4"/>
        <v>80400000</v>
      </c>
      <c r="G26" s="1052">
        <v>6700000</v>
      </c>
      <c r="H26" s="1013">
        <f t="shared" si="1"/>
        <v>0.32879594923390543</v>
      </c>
      <c r="I26" s="1013">
        <f t="shared" si="2"/>
        <v>2.1149874516525499E-2</v>
      </c>
    </row>
    <row r="27" spans="2:9" x14ac:dyDescent="0.25">
      <c r="B27" s="1015">
        <f t="shared" si="3"/>
        <v>19</v>
      </c>
      <c r="C27" s="1022" t="s">
        <v>471</v>
      </c>
      <c r="D27" s="1020">
        <v>1756590</v>
      </c>
      <c r="E27" s="1020">
        <f t="shared" si="0"/>
        <v>146382.5</v>
      </c>
      <c r="F27" s="1052">
        <f t="shared" si="4"/>
        <v>6840000</v>
      </c>
      <c r="G27" s="1052">
        <v>570000</v>
      </c>
      <c r="H27" s="1013">
        <f t="shared" si="1"/>
        <v>2.7972192696018822E-2</v>
      </c>
      <c r="I27" s="1013">
        <f t="shared" si="2"/>
        <v>1.7993176827491842E-3</v>
      </c>
    </row>
    <row r="28" spans="2:9" x14ac:dyDescent="0.25">
      <c r="B28" s="1015">
        <f t="shared" si="3"/>
        <v>20</v>
      </c>
      <c r="C28" s="1022" t="s">
        <v>472</v>
      </c>
      <c r="D28" s="1020">
        <v>1193620819.1700001</v>
      </c>
      <c r="E28" s="1020">
        <f t="shared" si="0"/>
        <v>99468401.597500011</v>
      </c>
      <c r="F28" s="1052">
        <f t="shared" si="4"/>
        <v>1193620819.1700001</v>
      </c>
      <c r="G28" s="1052">
        <v>99468401.597500011</v>
      </c>
      <c r="H28" s="1013">
        <f t="shared" si="1"/>
        <v>4.8813145555267656</v>
      </c>
      <c r="I28" s="1013">
        <f t="shared" si="2"/>
        <v>0.31399167345469997</v>
      </c>
    </row>
    <row r="29" spans="2:9" x14ac:dyDescent="0.25">
      <c r="B29" s="1015">
        <f t="shared" si="3"/>
        <v>21</v>
      </c>
      <c r="C29" s="1022" t="s">
        <v>473</v>
      </c>
      <c r="D29" s="1020">
        <v>488020500</v>
      </c>
      <c r="E29" s="1020">
        <f t="shared" si="0"/>
        <v>40668375</v>
      </c>
      <c r="F29" s="1052">
        <f t="shared" si="4"/>
        <v>264000000</v>
      </c>
      <c r="G29" s="1052">
        <v>22000000</v>
      </c>
      <c r="H29" s="1013">
        <f t="shared" si="1"/>
        <v>1.079628490021779</v>
      </c>
      <c r="I29" s="1013">
        <f t="shared" si="2"/>
        <v>6.9447349158740443E-2</v>
      </c>
    </row>
    <row r="30" spans="2:9" x14ac:dyDescent="0.25">
      <c r="B30" s="1015">
        <f t="shared" si="3"/>
        <v>22</v>
      </c>
      <c r="C30" s="1022" t="s">
        <v>474</v>
      </c>
      <c r="D30" s="1020">
        <v>68171900</v>
      </c>
      <c r="E30" s="1020">
        <f t="shared" si="0"/>
        <v>5680991.666666667</v>
      </c>
      <c r="F30" s="1052">
        <f t="shared" si="4"/>
        <v>258000000</v>
      </c>
      <c r="G30" s="1052">
        <v>21500000</v>
      </c>
      <c r="H30" s="1013">
        <f t="shared" si="1"/>
        <v>1.0550914788849204</v>
      </c>
      <c r="I30" s="1013">
        <f t="shared" si="2"/>
        <v>6.7869000314223618E-2</v>
      </c>
    </row>
    <row r="31" spans="2:9" x14ac:dyDescent="0.25">
      <c r="B31" s="1015">
        <f t="shared" si="3"/>
        <v>23</v>
      </c>
      <c r="C31" s="1022" t="s">
        <v>475</v>
      </c>
      <c r="D31" s="1020">
        <v>1186354647</v>
      </c>
      <c r="E31" s="1020">
        <f t="shared" si="0"/>
        <v>98862887.25</v>
      </c>
      <c r="F31" s="1052">
        <f t="shared" si="4"/>
        <v>10000000</v>
      </c>
      <c r="G31" s="1052">
        <v>833333.33333333337</v>
      </c>
      <c r="H31" s="1013">
        <f t="shared" si="1"/>
        <v>4.0895018561431025E-2</v>
      </c>
      <c r="I31" s="1013">
        <f t="shared" si="2"/>
        <v>2.6305814075280472E-3</v>
      </c>
    </row>
    <row r="32" spans="2:9" x14ac:dyDescent="0.25">
      <c r="B32" s="1015">
        <f t="shared" si="3"/>
        <v>24</v>
      </c>
      <c r="C32" s="1022" t="s">
        <v>476</v>
      </c>
      <c r="D32" s="1020">
        <v>847778298.30999994</v>
      </c>
      <c r="E32" s="1020">
        <f t="shared" si="0"/>
        <v>70648191.525833324</v>
      </c>
      <c r="F32" s="1052">
        <f t="shared" si="4"/>
        <v>907122779.19169986</v>
      </c>
      <c r="G32" s="1052">
        <v>75593564.932641655</v>
      </c>
      <c r="H32" s="1013">
        <f t="shared" si="1"/>
        <v>3.7096802892541461</v>
      </c>
      <c r="I32" s="1013">
        <f t="shared" si="2"/>
        <v>0.23862603172868557</v>
      </c>
    </row>
    <row r="33" spans="2:9" x14ac:dyDescent="0.25">
      <c r="B33" s="1015">
        <f t="shared" si="3"/>
        <v>25</v>
      </c>
      <c r="C33" s="1022" t="s">
        <v>477</v>
      </c>
      <c r="D33" s="1020">
        <v>245454645</v>
      </c>
      <c r="E33" s="1020">
        <f t="shared" si="0"/>
        <v>20454553.75</v>
      </c>
      <c r="F33" s="1052">
        <f t="shared" si="4"/>
        <v>270000109.5</v>
      </c>
      <c r="G33" s="1052">
        <v>22500009.125</v>
      </c>
      <c r="H33" s="1013">
        <f t="shared" si="1"/>
        <v>1.1041659489590909</v>
      </c>
      <c r="I33" s="1013">
        <f t="shared" si="2"/>
        <v>7.102572680812369E-2</v>
      </c>
    </row>
    <row r="34" spans="2:9" x14ac:dyDescent="0.25">
      <c r="B34" s="1015">
        <f t="shared" si="3"/>
        <v>26</v>
      </c>
      <c r="C34" s="1022" t="s">
        <v>478</v>
      </c>
      <c r="D34" s="1020"/>
      <c r="E34" s="1020">
        <f t="shared" si="0"/>
        <v>0</v>
      </c>
      <c r="F34" s="1052">
        <f t="shared" si="4"/>
        <v>0</v>
      </c>
      <c r="G34" s="1052">
        <v>0</v>
      </c>
      <c r="H34" s="1013">
        <f t="shared" si="1"/>
        <v>0</v>
      </c>
      <c r="I34" s="1013">
        <f t="shared" si="2"/>
        <v>0</v>
      </c>
    </row>
    <row r="35" spans="2:9" x14ac:dyDescent="0.25">
      <c r="B35" s="1015">
        <f t="shared" si="3"/>
        <v>27</v>
      </c>
      <c r="C35" s="1022" t="s">
        <v>479</v>
      </c>
      <c r="D35" s="1020"/>
      <c r="E35" s="1020">
        <f t="shared" si="0"/>
        <v>0</v>
      </c>
      <c r="F35" s="1052">
        <f t="shared" si="4"/>
        <v>0</v>
      </c>
      <c r="G35" s="1052">
        <v>0</v>
      </c>
      <c r="H35" s="1013">
        <f t="shared" si="1"/>
        <v>0</v>
      </c>
      <c r="I35" s="1013">
        <f t="shared" si="2"/>
        <v>0</v>
      </c>
    </row>
    <row r="36" spans="2:9" x14ac:dyDescent="0.25">
      <c r="B36" s="1015">
        <f t="shared" si="3"/>
        <v>28</v>
      </c>
      <c r="C36" s="1022" t="s">
        <v>480</v>
      </c>
      <c r="D36" s="1020">
        <v>188207400</v>
      </c>
      <c r="E36" s="1020">
        <f t="shared" si="0"/>
        <v>15683950</v>
      </c>
      <c r="F36" s="1052">
        <f t="shared" si="4"/>
        <v>207028140</v>
      </c>
      <c r="G36" s="1052">
        <v>17252345</v>
      </c>
      <c r="H36" s="1013">
        <f t="shared" si="1"/>
        <v>0.84664196280385406</v>
      </c>
      <c r="I36" s="1013">
        <f t="shared" si="2"/>
        <v>5.4460437591911361E-2</v>
      </c>
    </row>
    <row r="37" spans="2:9" x14ac:dyDescent="0.25">
      <c r="B37" s="1015">
        <f t="shared" si="3"/>
        <v>29</v>
      </c>
      <c r="C37" s="1022" t="s">
        <v>481</v>
      </c>
      <c r="D37" s="1020">
        <v>4384212523</v>
      </c>
      <c r="E37" s="1020">
        <f t="shared" si="0"/>
        <v>365351043.58333331</v>
      </c>
      <c r="F37" s="1052">
        <f t="shared" si="4"/>
        <v>666345107</v>
      </c>
      <c r="G37" s="1052">
        <v>55528758.916666664</v>
      </c>
      <c r="H37" s="1013">
        <f t="shared" si="1"/>
        <v>2.7250195519083742</v>
      </c>
      <c r="I37" s="1013">
        <f t="shared" si="2"/>
        <v>0.17528750494714873</v>
      </c>
    </row>
    <row r="38" spans="2:9" x14ac:dyDescent="0.25">
      <c r="B38" s="1015">
        <f t="shared" si="3"/>
        <v>30</v>
      </c>
      <c r="C38" s="1022" t="s">
        <v>482</v>
      </c>
      <c r="D38" s="1020">
        <v>108648500</v>
      </c>
      <c r="E38" s="1020">
        <f t="shared" si="0"/>
        <v>9054041.666666666</v>
      </c>
      <c r="F38" s="1052">
        <f t="shared" si="4"/>
        <v>114080925</v>
      </c>
      <c r="G38" s="1052">
        <v>9506743.75</v>
      </c>
      <c r="H38" s="1013">
        <f t="shared" si="1"/>
        <v>0.46653415453802205</v>
      </c>
      <c r="I38" s="1013">
        <f t="shared" si="2"/>
        <v>3.0009916025860162E-2</v>
      </c>
    </row>
    <row r="39" spans="2:9" x14ac:dyDescent="0.25">
      <c r="B39" s="1015">
        <f t="shared" si="3"/>
        <v>31</v>
      </c>
      <c r="C39" s="1022" t="s">
        <v>483</v>
      </c>
      <c r="D39" s="1020">
        <v>80056015</v>
      </c>
      <c r="E39" s="1020">
        <f t="shared" si="0"/>
        <v>6671334.583333333</v>
      </c>
      <c r="F39" s="1052">
        <f t="shared" si="4"/>
        <v>0</v>
      </c>
      <c r="G39" s="1052">
        <v>0</v>
      </c>
      <c r="H39" s="1013">
        <f t="shared" si="1"/>
        <v>0</v>
      </c>
      <c r="I39" s="1013">
        <f t="shared" si="2"/>
        <v>0</v>
      </c>
    </row>
    <row r="40" spans="2:9" x14ac:dyDescent="0.25">
      <c r="B40" s="1015">
        <f t="shared" si="3"/>
        <v>32</v>
      </c>
      <c r="C40" s="1022" t="s">
        <v>484</v>
      </c>
      <c r="D40" s="1020">
        <v>84564877</v>
      </c>
      <c r="E40" s="1020">
        <f t="shared" si="0"/>
        <v>7047073.083333333</v>
      </c>
      <c r="F40" s="1052">
        <f t="shared" si="4"/>
        <v>88793120.849999994</v>
      </c>
      <c r="G40" s="1052">
        <v>7399426.7374999998</v>
      </c>
      <c r="H40" s="1013">
        <f t="shared" si="1"/>
        <v>0.3631196325288138</v>
      </c>
      <c r="I40" s="1013">
        <f t="shared" si="2"/>
        <v>2.3357753282440098E-2</v>
      </c>
    </row>
    <row r="41" spans="2:9" x14ac:dyDescent="0.25">
      <c r="B41" s="1015">
        <f t="shared" si="3"/>
        <v>33</v>
      </c>
      <c r="C41" s="1022" t="s">
        <v>485</v>
      </c>
      <c r="D41" s="1020"/>
      <c r="E41" s="1020">
        <f t="shared" si="0"/>
        <v>0</v>
      </c>
      <c r="F41" s="1052">
        <f t="shared" si="4"/>
        <v>0</v>
      </c>
      <c r="G41" s="1052">
        <v>0</v>
      </c>
      <c r="H41" s="1013">
        <f t="shared" si="1"/>
        <v>0</v>
      </c>
      <c r="I41" s="1013">
        <f t="shared" si="2"/>
        <v>0</v>
      </c>
    </row>
    <row r="42" spans="2:9" x14ac:dyDescent="0.25">
      <c r="B42" s="1015">
        <f t="shared" si="3"/>
        <v>34</v>
      </c>
      <c r="C42" s="1022" t="s">
        <v>486</v>
      </c>
      <c r="D42" s="1020"/>
      <c r="E42" s="1020">
        <f t="shared" si="0"/>
        <v>0</v>
      </c>
      <c r="F42" s="1052">
        <f t="shared" si="4"/>
        <v>0</v>
      </c>
      <c r="G42" s="1052">
        <v>0</v>
      </c>
      <c r="H42" s="1013">
        <f t="shared" si="1"/>
        <v>0</v>
      </c>
      <c r="I42" s="1013">
        <f t="shared" si="2"/>
        <v>0</v>
      </c>
    </row>
    <row r="43" spans="2:9" x14ac:dyDescent="0.25">
      <c r="B43" s="1015">
        <f t="shared" si="3"/>
        <v>35</v>
      </c>
      <c r="C43" s="1022" t="s">
        <v>487</v>
      </c>
      <c r="D43" s="1020">
        <v>3864122096</v>
      </c>
      <c r="E43" s="1020">
        <f t="shared" si="0"/>
        <v>322010174.66666669</v>
      </c>
      <c r="F43" s="1052">
        <f t="shared" si="4"/>
        <v>2223000000</v>
      </c>
      <c r="G43" s="1052">
        <v>185250000</v>
      </c>
      <c r="H43" s="1013">
        <f t="shared" si="1"/>
        <v>9.0909626262061174</v>
      </c>
      <c r="I43" s="1013">
        <f t="shared" si="2"/>
        <v>0.5847782468934849</v>
      </c>
    </row>
    <row r="44" spans="2:9" x14ac:dyDescent="0.25">
      <c r="B44" s="1015">
        <f t="shared" si="3"/>
        <v>36</v>
      </c>
      <c r="C44" s="1022" t="s">
        <v>488</v>
      </c>
      <c r="D44" s="1020">
        <v>810000</v>
      </c>
      <c r="E44" s="1020">
        <f t="shared" si="0"/>
        <v>67500</v>
      </c>
      <c r="F44" s="1052">
        <f t="shared" si="4"/>
        <v>0</v>
      </c>
      <c r="G44" s="1052">
        <v>0</v>
      </c>
      <c r="H44" s="1013">
        <f t="shared" si="1"/>
        <v>0</v>
      </c>
      <c r="I44" s="1013">
        <f t="shared" si="2"/>
        <v>0</v>
      </c>
    </row>
    <row r="45" spans="2:9" x14ac:dyDescent="0.25">
      <c r="B45" s="1015">
        <f t="shared" si="3"/>
        <v>37</v>
      </c>
      <c r="C45" s="1022" t="s">
        <v>489</v>
      </c>
      <c r="D45" s="1020">
        <v>185612516</v>
      </c>
      <c r="E45" s="1020">
        <f t="shared" si="0"/>
        <v>15467709.666666666</v>
      </c>
      <c r="F45" s="1052">
        <f t="shared" si="4"/>
        <v>41405668</v>
      </c>
      <c r="G45" s="1052">
        <v>3450472.3333333335</v>
      </c>
      <c r="H45" s="1013">
        <f t="shared" si="1"/>
        <v>0.16932855614084508</v>
      </c>
      <c r="I45" s="1013">
        <f t="shared" si="2"/>
        <v>1.0892098040707903E-2</v>
      </c>
    </row>
    <row r="46" spans="2:9" x14ac:dyDescent="0.25">
      <c r="B46" s="1015">
        <f t="shared" si="3"/>
        <v>38</v>
      </c>
      <c r="C46" s="1022" t="s">
        <v>490</v>
      </c>
      <c r="D46" s="1020">
        <v>300000</v>
      </c>
      <c r="E46" s="1020">
        <f t="shared" si="0"/>
        <v>25000</v>
      </c>
      <c r="F46" s="1052">
        <f t="shared" si="4"/>
        <v>25000000</v>
      </c>
      <c r="G46" s="1052">
        <v>2083333.3333333333</v>
      </c>
      <c r="H46" s="1013">
        <f t="shared" si="1"/>
        <v>0.10223754640357756</v>
      </c>
      <c r="I46" s="1013">
        <f t="shared" si="2"/>
        <v>6.5764535188201174E-3</v>
      </c>
    </row>
    <row r="47" spans="2:9" x14ac:dyDescent="0.25">
      <c r="B47" s="1015">
        <f t="shared" si="3"/>
        <v>39</v>
      </c>
      <c r="C47" s="1022" t="s">
        <v>491</v>
      </c>
      <c r="D47" s="1020">
        <v>497881607</v>
      </c>
      <c r="E47" s="1020">
        <f t="shared" si="0"/>
        <v>41490133.916666664</v>
      </c>
      <c r="F47" s="1052">
        <f t="shared" si="4"/>
        <v>420000000</v>
      </c>
      <c r="G47" s="1052">
        <v>35000000</v>
      </c>
      <c r="H47" s="1013">
        <f t="shared" si="1"/>
        <v>1.7175907795801031</v>
      </c>
      <c r="I47" s="1013">
        <f t="shared" si="2"/>
        <v>0.11048441911617798</v>
      </c>
    </row>
    <row r="48" spans="2:9" x14ac:dyDescent="0.25">
      <c r="B48" s="1015">
        <f t="shared" si="3"/>
        <v>40</v>
      </c>
      <c r="C48" s="1022" t="s">
        <v>492</v>
      </c>
      <c r="D48" s="1020">
        <v>79298165</v>
      </c>
      <c r="E48" s="1020">
        <f t="shared" si="0"/>
        <v>6608180.416666667</v>
      </c>
      <c r="F48" s="1052">
        <f t="shared" si="4"/>
        <v>12458700</v>
      </c>
      <c r="G48" s="1052">
        <v>1038225</v>
      </c>
      <c r="H48" s="1013">
        <f t="shared" si="1"/>
        <v>5.0949876775130069E-2</v>
      </c>
      <c r="I48" s="1013">
        <f t="shared" si="2"/>
        <v>3.277362458196968E-3</v>
      </c>
    </row>
    <row r="49" spans="2:9" x14ac:dyDescent="0.25">
      <c r="B49" s="1015">
        <f t="shared" si="3"/>
        <v>41</v>
      </c>
      <c r="C49" s="1022" t="s">
        <v>493</v>
      </c>
      <c r="D49" s="1020"/>
      <c r="E49" s="1020">
        <f t="shared" si="0"/>
        <v>0</v>
      </c>
      <c r="F49" s="1052">
        <f t="shared" si="4"/>
        <v>250000000</v>
      </c>
      <c r="G49" s="1052">
        <v>20833333.333333332</v>
      </c>
      <c r="H49" s="1013">
        <f t="shared" si="1"/>
        <v>1.0223754640357756</v>
      </c>
      <c r="I49" s="1013">
        <f t="shared" si="2"/>
        <v>6.5764535188201176E-2</v>
      </c>
    </row>
    <row r="50" spans="2:9" ht="13.5" thickBot="1" x14ac:dyDescent="0.3">
      <c r="B50" s="1053">
        <f t="shared" si="3"/>
        <v>42</v>
      </c>
      <c r="C50" s="1054" t="s">
        <v>494</v>
      </c>
      <c r="D50" s="1055">
        <v>11059767</v>
      </c>
      <c r="E50" s="1055">
        <f t="shared" si="0"/>
        <v>921647.25</v>
      </c>
      <c r="F50" s="1056">
        <f>G50*12</f>
        <v>0</v>
      </c>
      <c r="G50" s="1056">
        <v>0</v>
      </c>
      <c r="H50" s="1013">
        <f t="shared" si="1"/>
        <v>0</v>
      </c>
      <c r="I50" s="1013">
        <f t="shared" si="2"/>
        <v>0</v>
      </c>
    </row>
    <row r="51" spans="2:9" ht="19.350000000000001" customHeight="1" thickBot="1" x14ac:dyDescent="0.3">
      <c r="D51" s="1057">
        <f>SUM(D9:D50)</f>
        <v>23796151105.279999</v>
      </c>
      <c r="E51" s="1057">
        <f>SUM(E9:E50)</f>
        <v>1983012592.1066668</v>
      </c>
      <c r="F51" s="1058">
        <f t="shared" ref="F51:I51" si="5">SUM(F9:F50)</f>
        <v>17232676709.801701</v>
      </c>
      <c r="G51" s="1058">
        <f t="shared" si="5"/>
        <v>1436056392.483475</v>
      </c>
      <c r="H51" s="1059">
        <f t="shared" si="5"/>
        <v>70.473063391048058</v>
      </c>
      <c r="I51" s="1059">
        <f t="shared" si="5"/>
        <v>4.533195895474595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77" bestFit="1" customWidth="1"/>
    <col min="2" max="2" width="13.140625" style="977" customWidth="1"/>
    <col min="3" max="3" width="49.5703125" style="977" bestFit="1" customWidth="1"/>
    <col min="4" max="4" width="39.140625" style="977" bestFit="1" customWidth="1"/>
    <col min="5" max="5" width="9.140625" style="977"/>
  </cols>
  <sheetData>
    <row r="1" spans="1:5" ht="24" customHeight="1" x14ac:dyDescent="0.25">
      <c r="A1" s="1802" t="s">
        <v>564</v>
      </c>
      <c r="B1" s="1802" t="s">
        <v>173</v>
      </c>
      <c r="C1" s="1802" t="s">
        <v>565</v>
      </c>
      <c r="D1" s="1802"/>
      <c r="E1" s="1081"/>
    </row>
    <row r="2" spans="1:5" ht="21" customHeight="1" x14ac:dyDescent="0.25">
      <c r="A2" s="1802"/>
      <c r="B2" s="1802"/>
      <c r="C2" s="1081" t="s">
        <v>16</v>
      </c>
      <c r="D2" s="1081" t="s">
        <v>566</v>
      </c>
      <c r="E2" s="1081"/>
    </row>
    <row r="3" spans="1:5" x14ac:dyDescent="0.25">
      <c r="A3" s="1075">
        <v>1</v>
      </c>
      <c r="B3" s="1076">
        <v>45536</v>
      </c>
      <c r="C3" s="1075"/>
      <c r="D3" s="1075"/>
      <c r="E3" s="309"/>
    </row>
    <row r="4" spans="1:5" x14ac:dyDescent="0.25">
      <c r="A4" s="1075">
        <v>2</v>
      </c>
      <c r="B4" s="1076">
        <v>45537</v>
      </c>
      <c r="C4" s="1075"/>
      <c r="D4" s="1075"/>
      <c r="E4" s="309"/>
    </row>
    <row r="5" spans="1:5" x14ac:dyDescent="0.25">
      <c r="A5" s="1075">
        <v>3</v>
      </c>
      <c r="B5" s="1076">
        <v>45538</v>
      </c>
      <c r="C5" s="1075"/>
      <c r="D5" s="1075"/>
      <c r="E5" s="309"/>
    </row>
    <row r="6" spans="1:5" x14ac:dyDescent="0.25">
      <c r="A6" s="1075">
        <v>4</v>
      </c>
      <c r="B6" s="1076">
        <v>45539</v>
      </c>
      <c r="C6" s="1075"/>
      <c r="D6" s="1075"/>
      <c r="E6" s="309"/>
    </row>
    <row r="7" spans="1:5" x14ac:dyDescent="0.25">
      <c r="A7" s="1075">
        <v>5</v>
      </c>
      <c r="B7" s="1076">
        <v>45540</v>
      </c>
      <c r="C7" s="1075"/>
      <c r="D7" s="1075"/>
      <c r="E7" s="309"/>
    </row>
    <row r="8" spans="1:5" x14ac:dyDescent="0.25">
      <c r="A8" s="1075">
        <v>6</v>
      </c>
      <c r="B8" s="1076">
        <v>45541</v>
      </c>
      <c r="C8" s="1075"/>
      <c r="D8" s="1075"/>
      <c r="E8" s="309"/>
    </row>
    <row r="9" spans="1:5" x14ac:dyDescent="0.25">
      <c r="A9" s="1075">
        <v>7</v>
      </c>
      <c r="B9" s="1076">
        <v>45542</v>
      </c>
      <c r="C9" s="1075"/>
      <c r="D9" s="1075"/>
      <c r="E9" s="309"/>
    </row>
    <row r="10" spans="1:5" x14ac:dyDescent="0.25">
      <c r="A10" s="1075">
        <v>8</v>
      </c>
      <c r="B10" s="1076">
        <v>45543</v>
      </c>
      <c r="C10" s="1075"/>
      <c r="D10" s="1075"/>
      <c r="E10" s="309"/>
    </row>
    <row r="11" spans="1:5" x14ac:dyDescent="0.25">
      <c r="A11" s="1075">
        <v>9</v>
      </c>
      <c r="B11" s="1076">
        <v>45544</v>
      </c>
      <c r="C11" s="1075"/>
      <c r="D11" s="1075"/>
      <c r="E11" s="309"/>
    </row>
    <row r="12" spans="1:5" x14ac:dyDescent="0.25">
      <c r="A12" s="1075">
        <v>10</v>
      </c>
      <c r="B12" s="1076">
        <v>45545</v>
      </c>
      <c r="C12" s="1075"/>
      <c r="D12" s="1075"/>
      <c r="E12" s="309"/>
    </row>
    <row r="13" spans="1:5" x14ac:dyDescent="0.25">
      <c r="A13" s="1075">
        <v>11</v>
      </c>
      <c r="B13" s="1076">
        <v>45546</v>
      </c>
      <c r="C13" s="1075"/>
      <c r="D13" s="1075"/>
      <c r="E13" s="309"/>
    </row>
    <row r="14" spans="1:5" x14ac:dyDescent="0.25">
      <c r="A14" s="1075">
        <v>12</v>
      </c>
      <c r="B14" s="1076">
        <v>45547</v>
      </c>
      <c r="C14" s="1075"/>
      <c r="D14" s="1075"/>
      <c r="E14" s="309"/>
    </row>
    <row r="15" spans="1:5" x14ac:dyDescent="0.25">
      <c r="A15" s="1075">
        <v>13</v>
      </c>
      <c r="B15" s="1076">
        <v>45548</v>
      </c>
      <c r="C15" s="1075"/>
      <c r="D15" s="1075"/>
      <c r="E15" s="309"/>
    </row>
    <row r="16" spans="1:5" x14ac:dyDescent="0.25">
      <c r="A16" s="1075">
        <v>14</v>
      </c>
      <c r="B16" s="1076">
        <v>45549</v>
      </c>
      <c r="C16" s="1075"/>
      <c r="D16" s="1075"/>
      <c r="E16" s="309"/>
    </row>
    <row r="17" spans="1:5" x14ac:dyDescent="0.25">
      <c r="A17" s="1075">
        <v>15</v>
      </c>
      <c r="B17" s="1076">
        <v>45550</v>
      </c>
      <c r="C17" s="1075"/>
      <c r="D17" s="1075"/>
      <c r="E17" s="309"/>
    </row>
    <row r="18" spans="1:5" x14ac:dyDescent="0.25">
      <c r="A18" s="1075">
        <v>16</v>
      </c>
      <c r="B18" s="1076">
        <v>45551</v>
      </c>
      <c r="C18" s="1075"/>
      <c r="D18" s="1075"/>
      <c r="E18" s="309"/>
    </row>
    <row r="19" spans="1:5" x14ac:dyDescent="0.25">
      <c r="A19" s="1075">
        <v>17</v>
      </c>
      <c r="B19" s="1076">
        <v>45552</v>
      </c>
      <c r="C19" s="1075"/>
      <c r="D19" s="1075"/>
      <c r="E19" s="309"/>
    </row>
    <row r="20" spans="1:5" x14ac:dyDescent="0.25">
      <c r="A20" s="1075">
        <v>18</v>
      </c>
      <c r="B20" s="1076">
        <v>45553</v>
      </c>
      <c r="C20" s="1075"/>
      <c r="D20" s="1075"/>
      <c r="E20" s="309"/>
    </row>
    <row r="21" spans="1:5" x14ac:dyDescent="0.25">
      <c r="A21" s="1075">
        <v>19</v>
      </c>
      <c r="B21" s="1076">
        <v>45554</v>
      </c>
      <c r="C21" s="1075"/>
      <c r="D21" s="1075"/>
      <c r="E21" s="309"/>
    </row>
    <row r="22" spans="1:5" x14ac:dyDescent="0.25">
      <c r="A22" s="1075">
        <v>20</v>
      </c>
      <c r="B22" s="1076">
        <v>45555</v>
      </c>
      <c r="C22" s="1075"/>
      <c r="D22" s="1075"/>
      <c r="E22" s="309"/>
    </row>
    <row r="23" spans="1:5" x14ac:dyDescent="0.25">
      <c r="A23" s="1075">
        <v>21</v>
      </c>
      <c r="B23" s="1076">
        <v>45556</v>
      </c>
      <c r="C23" s="1075"/>
      <c r="D23" s="1075"/>
      <c r="E23" s="309"/>
    </row>
    <row r="24" spans="1:5" x14ac:dyDescent="0.25">
      <c r="A24" s="1075">
        <v>22</v>
      </c>
      <c r="B24" s="1076">
        <v>45557</v>
      </c>
      <c r="C24" s="1075"/>
      <c r="D24" s="1075"/>
      <c r="E24" s="309"/>
    </row>
    <row r="25" spans="1:5" x14ac:dyDescent="0.25">
      <c r="A25" s="1075">
        <v>23</v>
      </c>
      <c r="B25" s="1076">
        <v>45558</v>
      </c>
      <c r="C25" s="1075"/>
      <c r="D25" s="1075"/>
      <c r="E25" s="309"/>
    </row>
    <row r="26" spans="1:5" ht="120" x14ac:dyDescent="0.25">
      <c r="A26" s="1075">
        <v>24</v>
      </c>
      <c r="B26" s="1076">
        <v>45559</v>
      </c>
      <c r="C26" s="1077" t="s">
        <v>570</v>
      </c>
      <c r="D26" s="1078" t="s">
        <v>567</v>
      </c>
      <c r="E26" s="309"/>
    </row>
    <row r="27" spans="1:5" ht="45" x14ac:dyDescent="0.25">
      <c r="A27" s="1075">
        <v>25</v>
      </c>
      <c r="B27" s="1076">
        <v>45560</v>
      </c>
      <c r="C27" s="1077" t="s">
        <v>568</v>
      </c>
      <c r="D27" s="1079" t="s">
        <v>569</v>
      </c>
      <c r="E27" s="309"/>
    </row>
    <row r="28" spans="1:5" x14ac:dyDescent="0.25">
      <c r="A28" s="1075">
        <v>26</v>
      </c>
      <c r="B28" s="1076">
        <v>45561</v>
      </c>
      <c r="C28" s="1080"/>
      <c r="D28" s="1075"/>
      <c r="E28" s="309"/>
    </row>
    <row r="29" spans="1:5" x14ac:dyDescent="0.25">
      <c r="A29" s="1075">
        <v>27</v>
      </c>
      <c r="B29" s="1076">
        <v>45562</v>
      </c>
      <c r="C29" s="1080"/>
      <c r="D29" s="1075"/>
      <c r="E29" s="309"/>
    </row>
    <row r="30" spans="1:5" x14ac:dyDescent="0.25">
      <c r="A30" s="1075">
        <v>28</v>
      </c>
      <c r="B30" s="1076">
        <v>45563</v>
      </c>
      <c r="C30" s="1080"/>
      <c r="D30" s="1075"/>
      <c r="E30" s="309"/>
    </row>
    <row r="31" spans="1:5" x14ac:dyDescent="0.25">
      <c r="A31" s="1075">
        <v>29</v>
      </c>
      <c r="B31" s="1076">
        <v>45564</v>
      </c>
      <c r="C31" s="1080"/>
      <c r="D31" s="1075"/>
      <c r="E31" s="309"/>
    </row>
    <row r="32" spans="1:5" x14ac:dyDescent="0.25">
      <c r="A32" s="1075">
        <v>30</v>
      </c>
      <c r="B32" s="1076">
        <v>45565</v>
      </c>
      <c r="C32" s="1080"/>
      <c r="D32" s="1075"/>
      <c r="E32" s="309"/>
    </row>
    <row r="33" spans="3:3" x14ac:dyDescent="0.25">
      <c r="C33" s="327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85546875" bestFit="1" customWidth="1"/>
    <col min="20" max="20" width="10.5703125" customWidth="1"/>
    <col min="23" max="23" width="10.5703125" hidden="1" customWidth="1"/>
  </cols>
  <sheetData>
    <row r="2" spans="1:23" ht="19.5" x14ac:dyDescent="0.3">
      <c r="A2" s="1804" t="s">
        <v>176</v>
      </c>
      <c r="B2" s="1804"/>
      <c r="C2" s="1804"/>
      <c r="D2" s="1804"/>
      <c r="E2" s="1804"/>
      <c r="F2" s="1804"/>
      <c r="G2" s="1804"/>
      <c r="H2" s="1804"/>
      <c r="I2" s="1804"/>
      <c r="J2" s="1804"/>
      <c r="K2" s="1804"/>
      <c r="L2" s="1804"/>
      <c r="M2" s="1804"/>
      <c r="N2" s="1804"/>
      <c r="O2" s="1804"/>
      <c r="P2" s="1804"/>
      <c r="Q2" s="1804"/>
      <c r="R2" s="1804"/>
      <c r="S2" s="1804"/>
      <c r="T2" s="1804"/>
    </row>
    <row r="3" spans="1:23" ht="19.5" x14ac:dyDescent="0.3">
      <c r="A3" s="1804" t="s">
        <v>177</v>
      </c>
      <c r="B3" s="1804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</row>
    <row r="4" spans="1:23" x14ac:dyDescent="0.25">
      <c r="A4" s="352"/>
      <c r="B4" s="353"/>
      <c r="C4" s="354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6"/>
      <c r="S4" s="357"/>
      <c r="T4" s="358"/>
      <c r="U4" s="358"/>
    </row>
    <row r="5" spans="1:23" ht="15.75" x14ac:dyDescent="0.25">
      <c r="A5" s="1805" t="s">
        <v>216</v>
      </c>
      <c r="B5" s="1806"/>
      <c r="C5" s="1806"/>
      <c r="D5" s="1806"/>
      <c r="E5" s="1806"/>
      <c r="F5" s="1806"/>
      <c r="G5" s="1806"/>
      <c r="H5" s="1806"/>
      <c r="I5" s="1806"/>
      <c r="J5" s="1806"/>
      <c r="K5" s="1806"/>
      <c r="L5" s="1806"/>
      <c r="M5" s="1806"/>
      <c r="N5" s="1806"/>
      <c r="O5" s="1806"/>
      <c r="P5" s="1806"/>
      <c r="Q5" s="1806"/>
      <c r="R5" s="1806"/>
      <c r="S5" s="1806"/>
      <c r="T5" s="1806"/>
      <c r="U5" s="1806"/>
    </row>
    <row r="6" spans="1:23" s="320" customFormat="1" ht="38.450000000000003" customHeight="1" x14ac:dyDescent="0.25">
      <c r="A6" s="318" t="s">
        <v>179</v>
      </c>
      <c r="B6" s="318" t="s">
        <v>180</v>
      </c>
      <c r="C6" s="318" t="s">
        <v>181</v>
      </c>
      <c r="D6" s="318" t="s">
        <v>182</v>
      </c>
      <c r="E6" s="318" t="s">
        <v>183</v>
      </c>
      <c r="F6" s="318" t="s">
        <v>184</v>
      </c>
      <c r="G6" s="318" t="s">
        <v>185</v>
      </c>
      <c r="H6" s="318" t="s">
        <v>186</v>
      </c>
      <c r="I6" s="318" t="s">
        <v>187</v>
      </c>
      <c r="J6" s="318" t="s">
        <v>188</v>
      </c>
      <c r="K6" s="318" t="s">
        <v>189</v>
      </c>
      <c r="L6" s="318" t="s">
        <v>190</v>
      </c>
      <c r="M6" s="318" t="s">
        <v>191</v>
      </c>
      <c r="N6" s="341" t="s">
        <v>201</v>
      </c>
      <c r="O6" s="341" t="s">
        <v>202</v>
      </c>
      <c r="P6" s="341" t="s">
        <v>203</v>
      </c>
      <c r="Q6" s="318" t="s">
        <v>204</v>
      </c>
      <c r="R6" s="319" t="s">
        <v>192</v>
      </c>
      <c r="S6" s="318" t="s">
        <v>193</v>
      </c>
      <c r="T6" s="318" t="s">
        <v>194</v>
      </c>
      <c r="U6" s="318" t="s">
        <v>195</v>
      </c>
    </row>
    <row r="7" spans="1:23" x14ac:dyDescent="0.25">
      <c r="A7" s="321">
        <v>1</v>
      </c>
      <c r="B7" s="321" t="s">
        <v>196</v>
      </c>
      <c r="C7" s="322">
        <f>'[34]01 '!$Q$14</f>
        <v>744924</v>
      </c>
      <c r="D7" s="323">
        <f>'[34]02'!$Q$14</f>
        <v>743972</v>
      </c>
      <c r="E7" s="323">
        <f>'[34]03'!$Q$14</f>
        <v>1048435</v>
      </c>
      <c r="F7" s="323">
        <f>'[34]04'!$Q$14</f>
        <v>1114821</v>
      </c>
      <c r="G7" s="323">
        <v>248126</v>
      </c>
      <c r="H7" s="351">
        <v>389481</v>
      </c>
      <c r="I7" s="351">
        <v>104168</v>
      </c>
      <c r="J7" s="351">
        <v>320907</v>
      </c>
      <c r="K7" s="351">
        <v>100743</v>
      </c>
      <c r="L7" s="323">
        <v>512647</v>
      </c>
      <c r="M7" s="351">
        <v>441064</v>
      </c>
      <c r="N7" s="359">
        <v>524002</v>
      </c>
      <c r="O7" s="323">
        <v>568358</v>
      </c>
      <c r="P7" s="323">
        <v>430750</v>
      </c>
      <c r="Q7" s="323"/>
      <c r="R7" s="324">
        <f>SUM(C7:Q7)</f>
        <v>7292398</v>
      </c>
      <c r="S7" s="350"/>
      <c r="T7" s="1803"/>
      <c r="U7" s="1803"/>
    </row>
    <row r="8" spans="1:23" x14ac:dyDescent="0.25">
      <c r="A8" s="321">
        <v>2</v>
      </c>
      <c r="B8" s="321" t="s">
        <v>197</v>
      </c>
      <c r="C8" s="360">
        <v>713300</v>
      </c>
      <c r="D8" s="351">
        <v>708000</v>
      </c>
      <c r="E8" s="351">
        <v>993100</v>
      </c>
      <c r="F8" s="323">
        <v>1056000</v>
      </c>
      <c r="G8" s="351">
        <v>237021</v>
      </c>
      <c r="H8" s="351">
        <v>365100</v>
      </c>
      <c r="I8" s="351">
        <v>44001</v>
      </c>
      <c r="J8" s="351">
        <v>300010</v>
      </c>
      <c r="K8" s="361">
        <v>94507</v>
      </c>
      <c r="L8" s="362">
        <v>488153</v>
      </c>
      <c r="M8" s="361">
        <v>414337</v>
      </c>
      <c r="N8" s="323">
        <v>492952</v>
      </c>
      <c r="O8" s="323">
        <v>532902</v>
      </c>
      <c r="P8" s="323">
        <v>497845</v>
      </c>
      <c r="Q8" s="323"/>
      <c r="R8" s="324">
        <f>SUM(C8:Q8)</f>
        <v>6937228</v>
      </c>
      <c r="S8" s="351"/>
      <c r="T8" s="325">
        <f>R8/R7</f>
        <v>0.95129585631502833</v>
      </c>
      <c r="U8" s="325" t="e">
        <f>S8/S7</f>
        <v>#DIV/0!</v>
      </c>
      <c r="W8" s="323" t="e">
        <f>4984655+#REF!</f>
        <v>#REF!</v>
      </c>
    </row>
    <row r="9" spans="1:23" x14ac:dyDescent="0.25">
      <c r="A9" s="321">
        <v>3</v>
      </c>
      <c r="B9" s="321" t="s">
        <v>64</v>
      </c>
      <c r="C9" s="322">
        <f>'[34]01 '!$P$25</f>
        <v>25659</v>
      </c>
      <c r="D9" s="351">
        <v>28786</v>
      </c>
      <c r="E9" s="323">
        <f>'[34]03'!$P$25</f>
        <v>46938</v>
      </c>
      <c r="F9" s="323">
        <f>'[34]04'!$P$24</f>
        <v>48667</v>
      </c>
      <c r="G9" s="351">
        <v>8070</v>
      </c>
      <c r="H9" s="351">
        <v>19280</v>
      </c>
      <c r="I9" s="351">
        <v>3234</v>
      </c>
      <c r="J9" s="351">
        <v>18283</v>
      </c>
      <c r="K9" s="351">
        <v>5131</v>
      </c>
      <c r="L9" s="323">
        <v>20426</v>
      </c>
      <c r="M9" s="323">
        <v>23275</v>
      </c>
      <c r="N9" s="323">
        <v>27655</v>
      </c>
      <c r="O9" s="323">
        <v>25803</v>
      </c>
      <c r="P9" s="323">
        <v>20173</v>
      </c>
      <c r="Q9" s="323"/>
      <c r="R9" s="324">
        <f>SUM(C9:Q9)</f>
        <v>321380</v>
      </c>
      <c r="S9" s="351"/>
      <c r="T9" s="325">
        <f>R9/R7</f>
        <v>4.4070551278194085E-2</v>
      </c>
      <c r="U9" s="325" t="e">
        <f>S9/S7</f>
        <v>#DIV/0!</v>
      </c>
    </row>
    <row r="10" spans="1:23" x14ac:dyDescent="0.25">
      <c r="A10" s="352"/>
      <c r="B10" s="353"/>
      <c r="C10" s="349">
        <f>C8/C7</f>
        <v>0.95754734711192013</v>
      </c>
      <c r="D10" s="349">
        <f t="shared" ref="D10:P10" si="0">D8/D7</f>
        <v>0.95164871796250394</v>
      </c>
      <c r="E10" s="349">
        <f t="shared" si="0"/>
        <v>0.94722133465593961</v>
      </c>
      <c r="F10" s="349">
        <f t="shared" si="0"/>
        <v>0.94723726948093012</v>
      </c>
      <c r="G10" s="349">
        <f t="shared" si="0"/>
        <v>0.95524451286846201</v>
      </c>
      <c r="H10" s="349">
        <f t="shared" si="0"/>
        <v>0.93740131097537494</v>
      </c>
      <c r="I10" s="349">
        <f t="shared" si="0"/>
        <v>0.42240419322632672</v>
      </c>
      <c r="J10" s="349">
        <f t="shared" si="0"/>
        <v>0.9348814454031853</v>
      </c>
      <c r="K10" s="349">
        <f t="shared" si="0"/>
        <v>0.93809991761214173</v>
      </c>
      <c r="L10" s="349">
        <f t="shared" si="0"/>
        <v>0.95222053381761718</v>
      </c>
      <c r="M10" s="349">
        <f t="shared" si="0"/>
        <v>0.93940335189450963</v>
      </c>
      <c r="N10" s="349">
        <f t="shared" si="0"/>
        <v>0.94074450097518714</v>
      </c>
      <c r="O10" s="349">
        <f t="shared" si="0"/>
        <v>0.93761678378768309</v>
      </c>
      <c r="P10" s="349">
        <f t="shared" si="0"/>
        <v>1.1557632037144516</v>
      </c>
      <c r="Q10" s="355"/>
      <c r="R10" s="356"/>
      <c r="S10" s="357"/>
      <c r="T10" s="358"/>
      <c r="U10" s="358"/>
    </row>
    <row r="11" spans="1:23" x14ac:dyDescent="0.25">
      <c r="A11" s="352"/>
      <c r="B11" s="353"/>
      <c r="C11" s="349">
        <f>C9/C7*1</f>
        <v>3.4445124603315239E-2</v>
      </c>
      <c r="D11" s="349">
        <f t="shared" ref="D11:P11" si="1">D9/D7*1</f>
        <v>3.8692316377498079E-2</v>
      </c>
      <c r="E11" s="349">
        <f t="shared" si="1"/>
        <v>4.4769585143571135E-2</v>
      </c>
      <c r="F11" s="349">
        <f t="shared" si="1"/>
        <v>4.3654541850216312E-2</v>
      </c>
      <c r="G11" s="349">
        <f t="shared" si="1"/>
        <v>3.2523798392752067E-2</v>
      </c>
      <c r="H11" s="349">
        <f t="shared" si="1"/>
        <v>4.9501772872104159E-2</v>
      </c>
      <c r="I11" s="349">
        <f t="shared" si="1"/>
        <v>3.1046002611166579E-2</v>
      </c>
      <c r="J11" s="349">
        <f t="shared" si="1"/>
        <v>5.6972892457939531E-2</v>
      </c>
      <c r="K11" s="349">
        <f t="shared" si="1"/>
        <v>5.0931578372690904E-2</v>
      </c>
      <c r="L11" s="349">
        <f t="shared" si="1"/>
        <v>3.9844181278735659E-2</v>
      </c>
      <c r="M11" s="349">
        <f t="shared" si="1"/>
        <v>5.2770119529138626E-2</v>
      </c>
      <c r="N11" s="349">
        <f t="shared" si="1"/>
        <v>5.2776516120167483E-2</v>
      </c>
      <c r="O11" s="349">
        <f t="shared" si="1"/>
        <v>4.5399202615253063E-2</v>
      </c>
      <c r="P11" s="349">
        <f t="shared" si="1"/>
        <v>4.6832269297736505E-2</v>
      </c>
      <c r="Q11" s="355"/>
      <c r="R11" s="356"/>
      <c r="S11" s="357"/>
      <c r="T11" s="358"/>
      <c r="U11" s="358"/>
    </row>
    <row r="12" spans="1:23" x14ac:dyDescent="0.25">
      <c r="A12" s="352"/>
      <c r="B12" s="353" t="s">
        <v>217</v>
      </c>
      <c r="C12" s="349">
        <f>(C7-C8-C9)/C7</f>
        <v>8.0075282847646197E-3</v>
      </c>
      <c r="D12" s="349">
        <f t="shared" ref="D12:P12" si="2">(D7-D8-D9)/D7</f>
        <v>9.6589656599979576E-3</v>
      </c>
      <c r="E12" s="349">
        <f t="shared" si="2"/>
        <v>8.0090802004893005E-3</v>
      </c>
      <c r="F12" s="349">
        <f t="shared" si="2"/>
        <v>9.1081886688535642E-3</v>
      </c>
      <c r="G12" s="349">
        <f t="shared" si="2"/>
        <v>1.223168873878594E-2</v>
      </c>
      <c r="H12" s="349">
        <f t="shared" si="2"/>
        <v>1.309691615252092E-2</v>
      </c>
      <c r="I12" s="349">
        <f>(I7-I8-I9)/I7</f>
        <v>0.54654980416250676</v>
      </c>
      <c r="J12" s="349">
        <f t="shared" si="2"/>
        <v>8.1456621388751264E-3</v>
      </c>
      <c r="K12" s="349">
        <f t="shared" si="2"/>
        <v>1.0968504015167307E-2</v>
      </c>
      <c r="L12" s="349">
        <f t="shared" si="2"/>
        <v>7.9352849036471492E-3</v>
      </c>
      <c r="M12" s="349">
        <f t="shared" si="2"/>
        <v>7.8265285763517312E-3</v>
      </c>
      <c r="N12" s="349">
        <f t="shared" si="2"/>
        <v>6.4789829046454023E-3</v>
      </c>
      <c r="O12" s="349">
        <f t="shared" si="2"/>
        <v>1.6984013597063821E-2</v>
      </c>
      <c r="P12" s="349">
        <f t="shared" si="2"/>
        <v>-0.20259547301218805</v>
      </c>
      <c r="Q12" s="355"/>
      <c r="R12" s="356"/>
      <c r="S12" s="357"/>
      <c r="T12" s="358"/>
      <c r="U12" s="358"/>
    </row>
    <row r="13" spans="1:23" x14ac:dyDescent="0.25">
      <c r="A13" s="352"/>
      <c r="B13" s="353"/>
      <c r="C13" s="349"/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55"/>
      <c r="R13" s="356"/>
      <c r="S13" s="357"/>
      <c r="T13" s="358"/>
      <c r="U13" s="358"/>
    </row>
    <row r="14" spans="1:23" ht="15.75" x14ac:dyDescent="0.25">
      <c r="A14" s="1805" t="s">
        <v>218</v>
      </c>
      <c r="B14" s="1806"/>
      <c r="C14" s="1806"/>
      <c r="D14" s="1806"/>
      <c r="E14" s="1806"/>
      <c r="F14" s="1806"/>
      <c r="G14" s="1806"/>
      <c r="H14" s="1806"/>
      <c r="I14" s="1806"/>
      <c r="J14" s="1806"/>
      <c r="K14" s="1806"/>
      <c r="L14" s="1806"/>
      <c r="M14" s="1806"/>
      <c r="N14" s="1806"/>
      <c r="O14" s="1806"/>
      <c r="P14" s="1806"/>
      <c r="Q14" s="1806"/>
      <c r="R14" s="1806"/>
      <c r="S14" s="1806"/>
      <c r="T14" s="1806"/>
      <c r="U14" s="1806"/>
    </row>
    <row r="15" spans="1:23" s="320" customFormat="1" ht="38.450000000000003" customHeight="1" x14ac:dyDescent="0.25">
      <c r="A15" s="318" t="s">
        <v>179</v>
      </c>
      <c r="B15" s="318" t="s">
        <v>180</v>
      </c>
      <c r="C15" s="318" t="s">
        <v>181</v>
      </c>
      <c r="D15" s="318" t="s">
        <v>182</v>
      </c>
      <c r="E15" s="318" t="s">
        <v>183</v>
      </c>
      <c r="F15" s="318" t="s">
        <v>184</v>
      </c>
      <c r="G15" s="318" t="s">
        <v>185</v>
      </c>
      <c r="H15" s="318" t="s">
        <v>186</v>
      </c>
      <c r="I15" s="318" t="s">
        <v>187</v>
      </c>
      <c r="J15" s="318" t="s">
        <v>188</v>
      </c>
      <c r="K15" s="318" t="s">
        <v>189</v>
      </c>
      <c r="L15" s="318" t="s">
        <v>190</v>
      </c>
      <c r="M15" s="318" t="s">
        <v>191</v>
      </c>
      <c r="N15" s="341" t="s">
        <v>201</v>
      </c>
      <c r="O15" s="341" t="s">
        <v>202</v>
      </c>
      <c r="P15" s="341" t="s">
        <v>203</v>
      </c>
      <c r="Q15" s="318" t="s">
        <v>204</v>
      </c>
      <c r="R15" s="319" t="s">
        <v>192</v>
      </c>
      <c r="S15" s="318" t="s">
        <v>193</v>
      </c>
      <c r="T15" s="318" t="s">
        <v>194</v>
      </c>
      <c r="U15" s="318" t="s">
        <v>195</v>
      </c>
    </row>
    <row r="16" spans="1:23" x14ac:dyDescent="0.25">
      <c r="A16" s="321">
        <v>1</v>
      </c>
      <c r="B16" s="321" t="s">
        <v>196</v>
      </c>
      <c r="C16" s="322">
        <v>680800</v>
      </c>
      <c r="D16" s="323">
        <v>806400</v>
      </c>
      <c r="E16" s="323">
        <v>858600</v>
      </c>
      <c r="F16" s="323">
        <v>898100</v>
      </c>
      <c r="G16" s="323">
        <v>26100</v>
      </c>
      <c r="H16" s="323">
        <v>513200</v>
      </c>
      <c r="I16" s="323">
        <v>119200</v>
      </c>
      <c r="J16" s="323">
        <v>208900</v>
      </c>
      <c r="K16" s="323">
        <v>147700</v>
      </c>
      <c r="L16" s="323">
        <v>425800</v>
      </c>
      <c r="M16" s="323">
        <v>347900</v>
      </c>
      <c r="N16" s="323">
        <v>459100</v>
      </c>
      <c r="O16" s="323">
        <v>509200</v>
      </c>
      <c r="P16" s="323">
        <v>396700</v>
      </c>
      <c r="Q16" s="323">
        <v>20200</v>
      </c>
      <c r="R16" s="324">
        <f>SUM(C16:Q16)</f>
        <v>6417900</v>
      </c>
      <c r="S16" s="350">
        <f>5745000+14073+R19</f>
        <v>7292813</v>
      </c>
      <c r="T16" s="1803"/>
      <c r="U16" s="1803"/>
    </row>
    <row r="17" spans="1:23" x14ac:dyDescent="0.25">
      <c r="A17" s="321">
        <v>2</v>
      </c>
      <c r="B17" s="321" t="s">
        <v>197</v>
      </c>
      <c r="C17" s="322">
        <v>722400</v>
      </c>
      <c r="D17" s="323">
        <v>826700</v>
      </c>
      <c r="E17" s="323">
        <v>980700</v>
      </c>
      <c r="F17" s="323">
        <v>980600</v>
      </c>
      <c r="G17" s="323">
        <v>19900</v>
      </c>
      <c r="H17" s="323">
        <v>582000</v>
      </c>
      <c r="I17" s="323">
        <v>150500</v>
      </c>
      <c r="J17" s="323">
        <v>215300</v>
      </c>
      <c r="K17" s="346">
        <v>70837</v>
      </c>
      <c r="L17" s="346">
        <v>488153</v>
      </c>
      <c r="M17" s="346">
        <v>379337</v>
      </c>
      <c r="N17" s="323">
        <v>502200</v>
      </c>
      <c r="O17" s="323">
        <v>535800</v>
      </c>
      <c r="P17" s="323">
        <v>412600</v>
      </c>
      <c r="Q17" s="323">
        <v>92100</v>
      </c>
      <c r="R17" s="324">
        <f>SUM(C17:Q17)</f>
        <v>6959127</v>
      </c>
      <c r="S17" s="351">
        <f>SUM(C17:M17)+R20</f>
        <v>6940126</v>
      </c>
      <c r="T17" s="325">
        <f>R17/R16</f>
        <v>1.0843308558874398</v>
      </c>
      <c r="U17" s="325">
        <f>S17/S16</f>
        <v>0.95163910002902863</v>
      </c>
      <c r="W17" s="323">
        <f>4984655+R20</f>
        <v>6508354</v>
      </c>
    </row>
    <row r="18" spans="1:23" x14ac:dyDescent="0.25">
      <c r="A18" s="321">
        <v>3</v>
      </c>
      <c r="B18" s="321" t="s">
        <v>64</v>
      </c>
      <c r="C18" s="322">
        <v>37300</v>
      </c>
      <c r="D18" s="323">
        <v>38700</v>
      </c>
      <c r="E18" s="323">
        <v>49500</v>
      </c>
      <c r="F18" s="323">
        <v>47100</v>
      </c>
      <c r="G18" s="323">
        <v>3800</v>
      </c>
      <c r="H18" s="323">
        <v>30300</v>
      </c>
      <c r="I18" s="323">
        <v>9300</v>
      </c>
      <c r="J18" s="323">
        <v>14000</v>
      </c>
      <c r="K18" s="323">
        <v>14800</v>
      </c>
      <c r="L18" s="323">
        <v>25100</v>
      </c>
      <c r="M18" s="323">
        <v>23400</v>
      </c>
      <c r="N18" s="323">
        <v>23900</v>
      </c>
      <c r="O18" s="323">
        <v>26800</v>
      </c>
      <c r="P18" s="323">
        <v>22200</v>
      </c>
      <c r="Q18" s="323">
        <v>5900</v>
      </c>
      <c r="R18" s="324">
        <f>SUM(C18:Q18)</f>
        <v>372100</v>
      </c>
      <c r="S18" s="351">
        <f>248746+R21</f>
        <v>322377</v>
      </c>
      <c r="T18" s="325">
        <f>R18/R16</f>
        <v>5.7978466476573336E-2</v>
      </c>
      <c r="U18" s="325">
        <f>S18/S16</f>
        <v>4.4204753364716742E-2</v>
      </c>
    </row>
    <row r="19" spans="1:23" x14ac:dyDescent="0.25">
      <c r="A19" s="326"/>
      <c r="B19" s="326"/>
      <c r="C19" s="349">
        <f>C17/C16</f>
        <v>1.0611045828437133</v>
      </c>
      <c r="D19" s="349">
        <f t="shared" ref="D19:K19" si="3">D17/D16</f>
        <v>1.0251736111111112</v>
      </c>
      <c r="E19" s="349">
        <f t="shared" si="3"/>
        <v>1.1422082459818308</v>
      </c>
      <c r="F19" s="349">
        <f t="shared" si="3"/>
        <v>1.091860594588576</v>
      </c>
      <c r="G19" s="349">
        <f t="shared" si="3"/>
        <v>0.76245210727969348</v>
      </c>
      <c r="H19" s="349">
        <f t="shared" si="3"/>
        <v>1.1340607950116914</v>
      </c>
      <c r="I19" s="349">
        <f t="shared" si="3"/>
        <v>1.2625838926174497</v>
      </c>
      <c r="J19" s="349">
        <f t="shared" si="3"/>
        <v>1.0306366682623265</v>
      </c>
      <c r="K19" s="349">
        <f t="shared" si="3"/>
        <v>0.47960054163845633</v>
      </c>
      <c r="L19" s="337">
        <v>269515</v>
      </c>
      <c r="M19" s="327" t="s">
        <v>205</v>
      </c>
      <c r="N19" s="338">
        <v>534002</v>
      </c>
      <c r="O19" s="339">
        <v>568773</v>
      </c>
      <c r="P19" s="339">
        <v>430750</v>
      </c>
      <c r="Q19" s="339">
        <v>269300</v>
      </c>
      <c r="R19" s="328">
        <f>L19+N19+O19+P19-Q19</f>
        <v>1533740</v>
      </c>
      <c r="S19" s="328"/>
      <c r="U19" s="329">
        <f>100%-U17-U18</f>
        <v>4.1561466062546293E-3</v>
      </c>
      <c r="V19" t="s">
        <v>198</v>
      </c>
    </row>
    <row r="20" spans="1:23" x14ac:dyDescent="0.25">
      <c r="A20" s="326"/>
      <c r="B20" s="326"/>
      <c r="C20" s="327"/>
      <c r="M20" s="327" t="s">
        <v>197</v>
      </c>
      <c r="N20" s="338">
        <v>492952</v>
      </c>
      <c r="O20" s="339">
        <v>532902</v>
      </c>
      <c r="P20" s="339">
        <v>497845</v>
      </c>
      <c r="Q20" s="339"/>
      <c r="R20" s="328">
        <f>SUM(N20:P20)</f>
        <v>1523699</v>
      </c>
    </row>
    <row r="21" spans="1:23" x14ac:dyDescent="0.25">
      <c r="A21" s="326"/>
      <c r="B21" s="326"/>
      <c r="C21" s="327"/>
      <c r="M21" s="327"/>
      <c r="N21" s="365">
        <v>27655</v>
      </c>
      <c r="O21" s="339">
        <v>25803</v>
      </c>
      <c r="P21" s="339">
        <v>20173</v>
      </c>
      <c r="Q21" s="339"/>
      <c r="R21" s="328">
        <f>SUM(N21:P21)</f>
        <v>73631</v>
      </c>
    </row>
    <row r="22" spans="1:23" ht="19.5" x14ac:dyDescent="0.3">
      <c r="A22" s="316"/>
      <c r="B22" s="348" t="s">
        <v>212</v>
      </c>
      <c r="C22" s="1807" t="s">
        <v>213</v>
      </c>
      <c r="D22" s="1807"/>
      <c r="E22" s="1807"/>
      <c r="F22" s="1807"/>
      <c r="G22" s="1807"/>
      <c r="H22" s="1807"/>
      <c r="I22" s="1807"/>
      <c r="J22" s="1807"/>
      <c r="K22" s="1807"/>
      <c r="L22" s="1807"/>
      <c r="M22" s="327"/>
      <c r="N22" s="347"/>
      <c r="O22" s="347"/>
      <c r="P22" s="340"/>
      <c r="Q22" s="340"/>
      <c r="R22" s="328"/>
    </row>
    <row r="23" spans="1:23" ht="19.5" x14ac:dyDescent="0.3">
      <c r="A23" s="316"/>
      <c r="B23" s="316"/>
      <c r="C23" s="1808" t="s">
        <v>214</v>
      </c>
      <c r="D23" s="1808"/>
      <c r="E23" s="1808"/>
      <c r="F23" s="1808"/>
      <c r="G23" s="1808"/>
      <c r="H23" s="1808"/>
      <c r="I23" s="1808"/>
      <c r="J23" s="1808"/>
      <c r="K23" s="1808"/>
      <c r="L23" s="1808"/>
      <c r="M23" s="327"/>
      <c r="N23" s="347"/>
      <c r="O23" s="347"/>
      <c r="P23" s="340"/>
      <c r="Q23" s="340"/>
      <c r="R23" s="328"/>
    </row>
    <row r="24" spans="1:23" ht="19.5" x14ac:dyDescent="0.3">
      <c r="A24" s="316"/>
      <c r="B24" s="316"/>
      <c r="C24" s="1808" t="s">
        <v>215</v>
      </c>
      <c r="D24" s="1808"/>
      <c r="E24" s="1808"/>
      <c r="F24" s="1808"/>
      <c r="G24" s="1808"/>
      <c r="H24" s="1808"/>
      <c r="I24" s="1808"/>
      <c r="J24" s="1808"/>
      <c r="K24" s="326"/>
      <c r="L24" s="326"/>
      <c r="M24" s="327"/>
      <c r="N24" s="347"/>
      <c r="O24" s="347"/>
      <c r="P24" s="340"/>
      <c r="Q24" s="340"/>
      <c r="R24" s="328"/>
    </row>
    <row r="25" spans="1:23" ht="19.5" x14ac:dyDescent="0.3">
      <c r="A25" s="1804" t="s">
        <v>199</v>
      </c>
      <c r="B25" s="1804"/>
      <c r="C25" s="317"/>
      <c r="D25" s="317"/>
      <c r="E25" s="317"/>
      <c r="F25" s="317"/>
      <c r="G25" s="317"/>
      <c r="H25" s="316"/>
      <c r="I25" s="317"/>
      <c r="J25" s="317"/>
      <c r="K25" s="317"/>
      <c r="L25" s="317"/>
      <c r="M25" s="327"/>
      <c r="N25" s="340"/>
      <c r="O25" s="340"/>
      <c r="P25" s="340"/>
      <c r="Q25" s="340"/>
      <c r="R25" s="328"/>
    </row>
    <row r="26" spans="1:23" ht="15.75" x14ac:dyDescent="0.25">
      <c r="A26" s="1809" t="s">
        <v>178</v>
      </c>
      <c r="B26" s="1809"/>
      <c r="C26" s="1809"/>
      <c r="D26" s="1809"/>
      <c r="E26" s="1809"/>
      <c r="F26" s="1809"/>
      <c r="G26" s="1809"/>
      <c r="H26" s="1809"/>
      <c r="I26" s="1809"/>
      <c r="J26" s="1809"/>
      <c r="K26" s="1809"/>
      <c r="L26" s="1809"/>
      <c r="M26" s="1809"/>
      <c r="N26" s="1809"/>
      <c r="O26" s="1809"/>
      <c r="P26" s="1809"/>
      <c r="Q26" s="1809"/>
      <c r="R26" s="1809"/>
      <c r="S26" s="1809"/>
      <c r="T26" s="1809"/>
    </row>
    <row r="27" spans="1:23" s="320" customFormat="1" ht="38.450000000000003" customHeight="1" x14ac:dyDescent="0.25">
      <c r="A27" s="318" t="s">
        <v>179</v>
      </c>
      <c r="B27" s="318" t="s">
        <v>180</v>
      </c>
      <c r="C27" s="318" t="s">
        <v>181</v>
      </c>
      <c r="D27" s="318" t="s">
        <v>182</v>
      </c>
      <c r="E27" s="318" t="s">
        <v>183</v>
      </c>
      <c r="F27" s="318" t="s">
        <v>184</v>
      </c>
      <c r="G27" s="318" t="s">
        <v>185</v>
      </c>
      <c r="H27" s="318" t="s">
        <v>186</v>
      </c>
      <c r="I27" s="318" t="s">
        <v>187</v>
      </c>
      <c r="J27" s="318" t="s">
        <v>188</v>
      </c>
      <c r="K27" s="318" t="s">
        <v>189</v>
      </c>
      <c r="L27" s="318" t="s">
        <v>190</v>
      </c>
      <c r="M27" s="318" t="s">
        <v>191</v>
      </c>
      <c r="N27" s="318" t="s">
        <v>201</v>
      </c>
      <c r="O27" s="318" t="s">
        <v>202</v>
      </c>
      <c r="P27" s="318" t="s">
        <v>203</v>
      </c>
      <c r="Q27" s="318" t="s">
        <v>204</v>
      </c>
      <c r="R27" s="319" t="s">
        <v>192</v>
      </c>
      <c r="S27" s="318" t="s">
        <v>193</v>
      </c>
      <c r="T27" s="318" t="s">
        <v>129</v>
      </c>
    </row>
    <row r="28" spans="1:23" s="334" customFormat="1" ht="15" customHeight="1" x14ac:dyDescent="0.25">
      <c r="A28" s="318">
        <v>1</v>
      </c>
      <c r="B28" s="330" t="s">
        <v>197</v>
      </c>
      <c r="C28" s="331">
        <v>667300</v>
      </c>
      <c r="D28" s="331">
        <v>695000</v>
      </c>
      <c r="E28" s="331">
        <v>814100</v>
      </c>
      <c r="F28" s="331">
        <v>760000</v>
      </c>
      <c r="G28" s="331">
        <v>620300</v>
      </c>
      <c r="H28" s="331">
        <v>587100</v>
      </c>
      <c r="I28" s="331">
        <v>118500</v>
      </c>
      <c r="J28" s="331">
        <v>0</v>
      </c>
      <c r="K28" s="331">
        <v>253000</v>
      </c>
      <c r="L28" s="331">
        <v>0</v>
      </c>
      <c r="M28" s="331">
        <v>466900</v>
      </c>
      <c r="N28" s="331">
        <v>258400</v>
      </c>
      <c r="O28" s="331">
        <v>584400</v>
      </c>
      <c r="P28" s="331">
        <v>680200</v>
      </c>
      <c r="Q28" s="331"/>
      <c r="R28" s="332">
        <f>SUM(C28:Q28)</f>
        <v>6505200</v>
      </c>
      <c r="S28" s="332"/>
      <c r="T28" s="333"/>
    </row>
    <row r="29" spans="1:23" x14ac:dyDescent="0.25">
      <c r="A29" s="318">
        <v>2</v>
      </c>
      <c r="B29" s="321" t="s">
        <v>200</v>
      </c>
      <c r="C29" s="322">
        <v>518400</v>
      </c>
      <c r="D29" s="335">
        <v>487200</v>
      </c>
      <c r="E29" s="335">
        <v>539100</v>
      </c>
      <c r="F29" s="335">
        <v>571900</v>
      </c>
      <c r="G29" s="335">
        <v>554300</v>
      </c>
      <c r="H29" s="335">
        <v>449900</v>
      </c>
      <c r="I29" s="335">
        <v>209900</v>
      </c>
      <c r="J29" s="335">
        <v>0</v>
      </c>
      <c r="K29" s="335">
        <v>297100</v>
      </c>
      <c r="L29" s="335">
        <v>0</v>
      </c>
      <c r="M29" s="322">
        <v>472500</v>
      </c>
      <c r="N29" s="322">
        <v>207400</v>
      </c>
      <c r="O29" s="322">
        <v>239100</v>
      </c>
      <c r="P29" s="322">
        <v>414100</v>
      </c>
      <c r="Q29" s="322"/>
      <c r="R29" s="332">
        <f>SUM(C29:Q29)</f>
        <v>4960900</v>
      </c>
      <c r="S29" s="336"/>
      <c r="T29" s="336"/>
    </row>
    <row r="30" spans="1:23" x14ac:dyDescent="0.25">
      <c r="A30" s="318">
        <v>3</v>
      </c>
      <c r="B30" s="321" t="s">
        <v>73</v>
      </c>
      <c r="C30" s="322">
        <v>207500</v>
      </c>
      <c r="D30" s="335">
        <v>202900</v>
      </c>
      <c r="E30" s="335">
        <v>215500</v>
      </c>
      <c r="F30" s="335">
        <f>27400+151100+55600</f>
        <v>234100</v>
      </c>
      <c r="G30" s="335">
        <v>213300</v>
      </c>
      <c r="H30" s="335">
        <v>183700</v>
      </c>
      <c r="I30" s="335">
        <v>104800</v>
      </c>
      <c r="J30" s="335">
        <v>0</v>
      </c>
      <c r="K30" s="335">
        <v>93900</v>
      </c>
      <c r="L30" s="335">
        <v>0</v>
      </c>
      <c r="M30" s="322">
        <v>172400</v>
      </c>
      <c r="N30" s="322">
        <v>111100</v>
      </c>
      <c r="O30" s="322">
        <v>81200</v>
      </c>
      <c r="P30" s="322">
        <v>193200</v>
      </c>
      <c r="Q30" s="322"/>
      <c r="R30" s="332">
        <f>SUM(C30:Q30)</f>
        <v>2013600</v>
      </c>
      <c r="S30" s="336"/>
      <c r="T30" s="336"/>
    </row>
    <row r="31" spans="1:23" x14ac:dyDescent="0.25">
      <c r="A31" s="320"/>
      <c r="B31" s="326"/>
      <c r="C31" s="342"/>
      <c r="D31" s="343"/>
      <c r="E31" s="343"/>
      <c r="F31" s="343"/>
      <c r="G31" s="343"/>
      <c r="H31" s="343"/>
      <c r="I31" s="343"/>
      <c r="J31" s="343"/>
      <c r="K31" s="343"/>
      <c r="L31" s="343"/>
      <c r="M31" s="342"/>
      <c r="N31" s="342"/>
      <c r="O31" s="342"/>
      <c r="P31" s="342"/>
      <c r="Q31" s="342"/>
      <c r="R31" s="344"/>
      <c r="S31" s="345"/>
      <c r="T31" s="345"/>
    </row>
    <row r="32" spans="1:23" x14ac:dyDescent="0.25">
      <c r="O32" s="1810" t="s">
        <v>206</v>
      </c>
      <c r="P32" s="1810"/>
      <c r="Q32" s="1810"/>
      <c r="R32" s="337">
        <f>1311190</f>
        <v>1311190</v>
      </c>
      <c r="S32" s="337"/>
    </row>
    <row r="33" spans="2:19" x14ac:dyDescent="0.25">
      <c r="B33" s="321"/>
      <c r="O33" s="1810" t="s">
        <v>207</v>
      </c>
      <c r="P33" s="1810"/>
      <c r="Q33" s="1810"/>
      <c r="R33" s="337">
        <v>3865830</v>
      </c>
      <c r="S33" s="337"/>
    </row>
    <row r="34" spans="2:19" x14ac:dyDescent="0.25">
      <c r="O34" s="1810" t="s">
        <v>208</v>
      </c>
      <c r="P34" s="1810"/>
      <c r="Q34" s="1810"/>
      <c r="R34" s="337">
        <v>1888995</v>
      </c>
      <c r="S34" s="337"/>
    </row>
    <row r="35" spans="2:19" x14ac:dyDescent="0.25">
      <c r="O35" s="1810" t="s">
        <v>209</v>
      </c>
      <c r="P35" s="1810"/>
      <c r="Q35" s="1810"/>
      <c r="R35" s="337">
        <v>1320540.5602713902</v>
      </c>
      <c r="S35" s="337"/>
    </row>
    <row r="36" spans="2:19" x14ac:dyDescent="0.25">
      <c r="O36" s="363"/>
      <c r="P36" s="363"/>
      <c r="Q36" s="363"/>
      <c r="R36" s="337">
        <f>R32+R33+R34-R35</f>
        <v>5745474.4397286102</v>
      </c>
      <c r="S36" s="337"/>
    </row>
    <row r="37" spans="2:19" x14ac:dyDescent="0.25">
      <c r="O37" s="363"/>
      <c r="P37" s="363"/>
      <c r="Q37" s="363"/>
      <c r="R37" s="337"/>
      <c r="S37" s="337"/>
    </row>
    <row r="38" spans="2:19" x14ac:dyDescent="0.25">
      <c r="O38" s="1808" t="s">
        <v>210</v>
      </c>
      <c r="P38" s="1808"/>
      <c r="Q38" s="1808"/>
      <c r="R38" s="337">
        <v>178489.21760545607</v>
      </c>
      <c r="S38" s="337"/>
    </row>
    <row r="39" spans="2:19" x14ac:dyDescent="0.25">
      <c r="O39" s="1808" t="s">
        <v>211</v>
      </c>
      <c r="P39" s="1808"/>
      <c r="Q39" s="1808"/>
      <c r="R39" s="337">
        <f>SUM(C28:M28)</f>
        <v>4982200</v>
      </c>
      <c r="S39" s="337"/>
    </row>
    <row r="40" spans="2:19" x14ac:dyDescent="0.25">
      <c r="O40" s="1808" t="s">
        <v>209</v>
      </c>
      <c r="P40" s="1808"/>
      <c r="Q40" s="1808"/>
      <c r="R40" s="337"/>
      <c r="S40" s="337"/>
    </row>
    <row r="41" spans="2:19" x14ac:dyDescent="0.25">
      <c r="R41" s="337"/>
      <c r="S41" s="337"/>
    </row>
    <row r="42" spans="2:19" x14ac:dyDescent="0.25">
      <c r="R42" s="337"/>
      <c r="S42" s="337"/>
    </row>
  </sheetData>
  <mergeCells count="18">
    <mergeCell ref="O38:Q38"/>
    <mergeCell ref="O39:Q39"/>
    <mergeCell ref="O40:Q40"/>
    <mergeCell ref="O33:Q33"/>
    <mergeCell ref="O32:Q32"/>
    <mergeCell ref="O34:Q34"/>
    <mergeCell ref="O35:Q35"/>
    <mergeCell ref="C22:L22"/>
    <mergeCell ref="C23:L23"/>
    <mergeCell ref="C24:J24"/>
    <mergeCell ref="A25:B25"/>
    <mergeCell ref="A26:T26"/>
    <mergeCell ref="T16:U16"/>
    <mergeCell ref="A2:T2"/>
    <mergeCell ref="A3:B3"/>
    <mergeCell ref="A5:U5"/>
    <mergeCell ref="T7:U7"/>
    <mergeCell ref="A14:U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25</vt:i4>
      </vt:variant>
      <vt:variant>
        <vt:lpstr>Rentang Bernama</vt:lpstr>
      </vt:variant>
      <vt:variant>
        <vt:i4>6</vt:i4>
      </vt:variant>
    </vt:vector>
  </HeadingPairs>
  <TitlesOfParts>
    <vt:vector size="31" baseType="lpstr">
      <vt:lpstr>November 2024</vt:lpstr>
      <vt:lpstr>SUMMARY HPP </vt:lpstr>
      <vt:lpstr>Convert Gas</vt:lpstr>
      <vt:lpstr>OIP Refinery</vt:lpstr>
      <vt:lpstr>OIP Fract</vt:lpstr>
      <vt:lpstr>2024</vt:lpstr>
      <vt:lpstr>Downtime Ref Nov</vt:lpstr>
      <vt:lpstr>Downtime Fract Oktober</vt:lpstr>
      <vt:lpstr>Prod</vt:lpstr>
      <vt:lpstr>Utility</vt:lpstr>
      <vt:lpstr>Qty cons analysis</vt:lpstr>
      <vt:lpstr>HPP REF </vt:lpstr>
      <vt:lpstr>HPP FRACT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Oktober'!Print_Area</vt:lpstr>
      <vt:lpstr>'Downtime Ref Nov'!Print_Area</vt:lpstr>
      <vt:lpstr>'November 2024'!Print_Area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2024-12-05T07:59:33Z</cp:lastPrinted>
  <dcterms:created xsi:type="dcterms:W3CDTF">2022-09-06T08:59:53Z</dcterms:created>
  <dcterms:modified xsi:type="dcterms:W3CDTF">2025-01-03T10:07:13Z</dcterms:modified>
</cp:coreProperties>
</file>