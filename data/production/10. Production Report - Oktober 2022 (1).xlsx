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13_ncr:1_{2B40033A-D52D-4979-983C-DA4D098819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kt-22" sheetId="1" r:id="rId1"/>
  </sheets>
  <definedNames>
    <definedName name="_xlnm.Print_Area" localSheetId="0">'Okt-22'!$A$1:$AP$219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03" i="1" l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AP218" i="1"/>
  <c r="AP215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AP213" i="1"/>
  <c r="H213" i="1"/>
  <c r="H214" i="1" s="1"/>
  <c r="AP212" i="1"/>
  <c r="AGP212" i="1" s="1"/>
  <c r="AP211" i="1"/>
  <c r="AGP211" i="1" s="1"/>
  <c r="AP209" i="1"/>
  <c r="AN206" i="1"/>
  <c r="AN207" i="1" s="1"/>
  <c r="AM206" i="1"/>
  <c r="AM207" i="1" s="1"/>
  <c r="AL206" i="1"/>
  <c r="AL207" i="1" s="1"/>
  <c r="AK206" i="1"/>
  <c r="AK207" i="1" s="1"/>
  <c r="AJ206" i="1"/>
  <c r="AJ207" i="1" s="1"/>
  <c r="AI206" i="1"/>
  <c r="AI207" i="1" s="1"/>
  <c r="AH206" i="1"/>
  <c r="AH207" i="1" s="1"/>
  <c r="AG206" i="1"/>
  <c r="AG207" i="1" s="1"/>
  <c r="AF206" i="1"/>
  <c r="AF207" i="1" s="1"/>
  <c r="AE206" i="1"/>
  <c r="AE207" i="1" s="1"/>
  <c r="AD206" i="1"/>
  <c r="AD207" i="1" s="1"/>
  <c r="AC206" i="1"/>
  <c r="AC207" i="1" s="1"/>
  <c r="AB206" i="1"/>
  <c r="AB207" i="1" s="1"/>
  <c r="AA206" i="1"/>
  <c r="AA207" i="1" s="1"/>
  <c r="Z206" i="1"/>
  <c r="Z207" i="1" s="1"/>
  <c r="Y206" i="1"/>
  <c r="Y207" i="1" s="1"/>
  <c r="X206" i="1"/>
  <c r="X207" i="1" s="1"/>
  <c r="W206" i="1"/>
  <c r="W207" i="1" s="1"/>
  <c r="V206" i="1"/>
  <c r="V207" i="1" s="1"/>
  <c r="U206" i="1"/>
  <c r="U207" i="1" s="1"/>
  <c r="T206" i="1"/>
  <c r="T207" i="1" s="1"/>
  <c r="S206" i="1"/>
  <c r="S207" i="1" s="1"/>
  <c r="R206" i="1"/>
  <c r="R207" i="1" s="1"/>
  <c r="Q206" i="1"/>
  <c r="Q207" i="1" s="1"/>
  <c r="P206" i="1"/>
  <c r="P207" i="1" s="1"/>
  <c r="O206" i="1"/>
  <c r="O207" i="1" s="1"/>
  <c r="N206" i="1"/>
  <c r="N207" i="1" s="1"/>
  <c r="M206" i="1"/>
  <c r="M207" i="1" s="1"/>
  <c r="L206" i="1"/>
  <c r="L207" i="1" s="1"/>
  <c r="K206" i="1"/>
  <c r="K207" i="1" s="1"/>
  <c r="J206" i="1"/>
  <c r="J207" i="1" s="1"/>
  <c r="AP205" i="1"/>
  <c r="AP204" i="1"/>
  <c r="AP202" i="1"/>
  <c r="H202" i="1"/>
  <c r="H206" i="1" s="1"/>
  <c r="H207" i="1" s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H200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AP198" i="1"/>
  <c r="AP196" i="1"/>
  <c r="AP195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P188" i="1"/>
  <c r="AP186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I181" i="1"/>
  <c r="AI176" i="1" s="1"/>
  <c r="AI177" i="1" s="1"/>
  <c r="AH181" i="1"/>
  <c r="AH176" i="1" s="1"/>
  <c r="AH177" i="1" s="1"/>
  <c r="AG181" i="1"/>
  <c r="AG176" i="1" s="1"/>
  <c r="AG177" i="1" s="1"/>
  <c r="AF181" i="1"/>
  <c r="AF176" i="1" s="1"/>
  <c r="AF177" i="1" s="1"/>
  <c r="AE181" i="1"/>
  <c r="AE176" i="1" s="1"/>
  <c r="AE177" i="1" s="1"/>
  <c r="AD181" i="1"/>
  <c r="AD176" i="1" s="1"/>
  <c r="AD177" i="1" s="1"/>
  <c r="AC181" i="1"/>
  <c r="AC176" i="1" s="1"/>
  <c r="AC177" i="1" s="1"/>
  <c r="AB181" i="1"/>
  <c r="AA181" i="1"/>
  <c r="AA176" i="1" s="1"/>
  <c r="AA177" i="1" s="1"/>
  <c r="Z181" i="1"/>
  <c r="Z176" i="1" s="1"/>
  <c r="Z177" i="1" s="1"/>
  <c r="Y181" i="1"/>
  <c r="Y176" i="1" s="1"/>
  <c r="Y177" i="1" s="1"/>
  <c r="X181" i="1"/>
  <c r="X176" i="1" s="1"/>
  <c r="X177" i="1" s="1"/>
  <c r="W181" i="1"/>
  <c r="W176" i="1" s="1"/>
  <c r="W177" i="1" s="1"/>
  <c r="V181" i="1"/>
  <c r="U181" i="1"/>
  <c r="U176" i="1" s="1"/>
  <c r="U177" i="1" s="1"/>
  <c r="T181" i="1"/>
  <c r="T176" i="1" s="1"/>
  <c r="T177" i="1" s="1"/>
  <c r="S181" i="1"/>
  <c r="S176" i="1" s="1"/>
  <c r="S177" i="1" s="1"/>
  <c r="R181" i="1"/>
  <c r="Q181" i="1"/>
  <c r="Q176" i="1" s="1"/>
  <c r="Q177" i="1" s="1"/>
  <c r="P181" i="1"/>
  <c r="P176" i="1" s="1"/>
  <c r="P177" i="1" s="1"/>
  <c r="O181" i="1"/>
  <c r="O176" i="1" s="1"/>
  <c r="O177" i="1" s="1"/>
  <c r="N181" i="1"/>
  <c r="M181" i="1"/>
  <c r="M176" i="1" s="1"/>
  <c r="M177" i="1" s="1"/>
  <c r="L181" i="1"/>
  <c r="L176" i="1" s="1"/>
  <c r="L177" i="1" s="1"/>
  <c r="K181" i="1"/>
  <c r="K176" i="1" s="1"/>
  <c r="J181" i="1"/>
  <c r="J176" i="1" s="1"/>
  <c r="J177" i="1" s="1"/>
  <c r="AP179" i="1"/>
  <c r="AP181" i="1" s="1"/>
  <c r="AB176" i="1"/>
  <c r="AB177" i="1" s="1"/>
  <c r="V176" i="1"/>
  <c r="V177" i="1" s="1"/>
  <c r="R176" i="1"/>
  <c r="R177" i="1" s="1"/>
  <c r="N176" i="1"/>
  <c r="N177" i="1" s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P165" i="1"/>
  <c r="AP164" i="1"/>
  <c r="AP162" i="1"/>
  <c r="AP161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N156" i="1"/>
  <c r="AN172" i="1" s="1"/>
  <c r="AM156" i="1"/>
  <c r="AM172" i="1" s="1"/>
  <c r="AL156" i="1"/>
  <c r="AL172" i="1" s="1"/>
  <c r="AK156" i="1"/>
  <c r="AK172" i="1" s="1"/>
  <c r="AJ156" i="1"/>
  <c r="AJ172" i="1" s="1"/>
  <c r="AI156" i="1"/>
  <c r="AI172" i="1" s="1"/>
  <c r="AH156" i="1"/>
  <c r="AH172" i="1" s="1"/>
  <c r="AG156" i="1"/>
  <c r="AG172" i="1" s="1"/>
  <c r="AF156" i="1"/>
  <c r="AF172" i="1" s="1"/>
  <c r="AE156" i="1"/>
  <c r="AE172" i="1" s="1"/>
  <c r="AD156" i="1"/>
  <c r="AD172" i="1" s="1"/>
  <c r="AC156" i="1"/>
  <c r="AC172" i="1" s="1"/>
  <c r="AB156" i="1"/>
  <c r="AB172" i="1" s="1"/>
  <c r="AA156" i="1"/>
  <c r="AA172" i="1" s="1"/>
  <c r="Z156" i="1"/>
  <c r="Z172" i="1" s="1"/>
  <c r="Y156" i="1"/>
  <c r="Y172" i="1" s="1"/>
  <c r="X156" i="1"/>
  <c r="X172" i="1" s="1"/>
  <c r="W156" i="1"/>
  <c r="W172" i="1" s="1"/>
  <c r="V156" i="1"/>
  <c r="V172" i="1" s="1"/>
  <c r="U156" i="1"/>
  <c r="U172" i="1" s="1"/>
  <c r="T156" i="1"/>
  <c r="T172" i="1" s="1"/>
  <c r="S156" i="1"/>
  <c r="S172" i="1" s="1"/>
  <c r="R156" i="1"/>
  <c r="R172" i="1" s="1"/>
  <c r="Q156" i="1"/>
  <c r="Q172" i="1" s="1"/>
  <c r="P156" i="1"/>
  <c r="P172" i="1" s="1"/>
  <c r="O156" i="1"/>
  <c r="O172" i="1" s="1"/>
  <c r="N156" i="1"/>
  <c r="N172" i="1" s="1"/>
  <c r="M156" i="1"/>
  <c r="M172" i="1" s="1"/>
  <c r="L156" i="1"/>
  <c r="L172" i="1" s="1"/>
  <c r="K156" i="1"/>
  <c r="K172" i="1" s="1"/>
  <c r="J156" i="1"/>
  <c r="J172" i="1" s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N154" i="1"/>
  <c r="AN171" i="1" s="1"/>
  <c r="AM154" i="1"/>
  <c r="AM171" i="1" s="1"/>
  <c r="AL154" i="1"/>
  <c r="AL171" i="1" s="1"/>
  <c r="AK154" i="1"/>
  <c r="AK171" i="1" s="1"/>
  <c r="AJ154" i="1"/>
  <c r="AJ171" i="1" s="1"/>
  <c r="AI154" i="1"/>
  <c r="AI171" i="1" s="1"/>
  <c r="AH154" i="1"/>
  <c r="AH171" i="1" s="1"/>
  <c r="AG154" i="1"/>
  <c r="AG171" i="1" s="1"/>
  <c r="AF154" i="1"/>
  <c r="AF171" i="1" s="1"/>
  <c r="AE154" i="1"/>
  <c r="AE171" i="1" s="1"/>
  <c r="AD154" i="1"/>
  <c r="AD171" i="1" s="1"/>
  <c r="AC154" i="1"/>
  <c r="AC171" i="1" s="1"/>
  <c r="AB154" i="1"/>
  <c r="AB171" i="1" s="1"/>
  <c r="AA154" i="1"/>
  <c r="AA171" i="1" s="1"/>
  <c r="Z154" i="1"/>
  <c r="Z171" i="1" s="1"/>
  <c r="Y154" i="1"/>
  <c r="Y171" i="1" s="1"/>
  <c r="X154" i="1"/>
  <c r="X171" i="1" s="1"/>
  <c r="W154" i="1"/>
  <c r="W171" i="1" s="1"/>
  <c r="V154" i="1"/>
  <c r="V171" i="1" s="1"/>
  <c r="U154" i="1"/>
  <c r="U171" i="1" s="1"/>
  <c r="T154" i="1"/>
  <c r="T171" i="1" s="1"/>
  <c r="S154" i="1"/>
  <c r="S171" i="1" s="1"/>
  <c r="R154" i="1"/>
  <c r="R171" i="1" s="1"/>
  <c r="Q154" i="1"/>
  <c r="Q171" i="1" s="1"/>
  <c r="P154" i="1"/>
  <c r="P171" i="1" s="1"/>
  <c r="O154" i="1"/>
  <c r="O171" i="1" s="1"/>
  <c r="N154" i="1"/>
  <c r="N171" i="1" s="1"/>
  <c r="M154" i="1"/>
  <c r="M171" i="1" s="1"/>
  <c r="L154" i="1"/>
  <c r="L171" i="1" s="1"/>
  <c r="K154" i="1"/>
  <c r="K171" i="1" s="1"/>
  <c r="J154" i="1"/>
  <c r="J171" i="1" s="1"/>
  <c r="AP152" i="1"/>
  <c r="AP151" i="1"/>
  <c r="AP155" i="1" s="1"/>
  <c r="AP150" i="1"/>
  <c r="AP154" i="1" s="1"/>
  <c r="AN147" i="1"/>
  <c r="AN148" i="1" s="1"/>
  <c r="AM147" i="1"/>
  <c r="AM148" i="1" s="1"/>
  <c r="AL147" i="1"/>
  <c r="AL148" i="1" s="1"/>
  <c r="AK147" i="1"/>
  <c r="AK148" i="1" s="1"/>
  <c r="AJ147" i="1"/>
  <c r="AJ148" i="1" s="1"/>
  <c r="AI147" i="1"/>
  <c r="AI148" i="1" s="1"/>
  <c r="AH147" i="1"/>
  <c r="AH148" i="1" s="1"/>
  <c r="AG147" i="1"/>
  <c r="AG148" i="1" s="1"/>
  <c r="AF147" i="1"/>
  <c r="AF148" i="1" s="1"/>
  <c r="AE147" i="1"/>
  <c r="AE148" i="1" s="1"/>
  <c r="AD147" i="1"/>
  <c r="AD148" i="1" s="1"/>
  <c r="AC147" i="1"/>
  <c r="AC148" i="1" s="1"/>
  <c r="AB147" i="1"/>
  <c r="AB148" i="1" s="1"/>
  <c r="AA147" i="1"/>
  <c r="AA148" i="1" s="1"/>
  <c r="Z147" i="1"/>
  <c r="Z148" i="1" s="1"/>
  <c r="Y147" i="1"/>
  <c r="Y148" i="1" s="1"/>
  <c r="X147" i="1"/>
  <c r="X148" i="1" s="1"/>
  <c r="W147" i="1"/>
  <c r="W148" i="1" s="1"/>
  <c r="V147" i="1"/>
  <c r="V148" i="1" s="1"/>
  <c r="U147" i="1"/>
  <c r="U148" i="1" s="1"/>
  <c r="T147" i="1"/>
  <c r="T148" i="1" s="1"/>
  <c r="S147" i="1"/>
  <c r="S148" i="1" s="1"/>
  <c r="R147" i="1"/>
  <c r="R148" i="1" s="1"/>
  <c r="Q147" i="1"/>
  <c r="Q148" i="1" s="1"/>
  <c r="P147" i="1"/>
  <c r="P148" i="1" s="1"/>
  <c r="O147" i="1"/>
  <c r="O148" i="1" s="1"/>
  <c r="N147" i="1"/>
  <c r="N148" i="1" s="1"/>
  <c r="M147" i="1"/>
  <c r="M148" i="1" s="1"/>
  <c r="L147" i="1"/>
  <c r="L148" i="1" s="1"/>
  <c r="K147" i="1"/>
  <c r="K148" i="1" s="1"/>
  <c r="J147" i="1"/>
  <c r="J148" i="1" s="1"/>
  <c r="AP144" i="1"/>
  <c r="G144" i="1"/>
  <c r="AP143" i="1"/>
  <c r="G143" i="1"/>
  <c r="AP141" i="1"/>
  <c r="AP140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P132" i="1"/>
  <c r="AP135" i="1" s="1"/>
  <c r="AP131" i="1"/>
  <c r="AP134" i="1" s="1"/>
  <c r="GV129" i="1"/>
  <c r="AW128" i="1"/>
  <c r="AX128" i="1" s="1"/>
  <c r="AN128" i="1"/>
  <c r="AN129" i="1" s="1"/>
  <c r="AM128" i="1"/>
  <c r="AM129" i="1" s="1"/>
  <c r="AL128" i="1"/>
  <c r="AL129" i="1" s="1"/>
  <c r="AK128" i="1"/>
  <c r="AK129" i="1" s="1"/>
  <c r="AJ128" i="1"/>
  <c r="AJ129" i="1" s="1"/>
  <c r="AI128" i="1"/>
  <c r="AI129" i="1" s="1"/>
  <c r="AH128" i="1"/>
  <c r="AH129" i="1" s="1"/>
  <c r="AG128" i="1"/>
  <c r="AG129" i="1" s="1"/>
  <c r="AF128" i="1"/>
  <c r="AF129" i="1" s="1"/>
  <c r="AE128" i="1"/>
  <c r="AE129" i="1" s="1"/>
  <c r="AD128" i="1"/>
  <c r="AD129" i="1" s="1"/>
  <c r="AC128" i="1"/>
  <c r="AC129" i="1" s="1"/>
  <c r="AB128" i="1"/>
  <c r="AB129" i="1" s="1"/>
  <c r="AA128" i="1"/>
  <c r="AA129" i="1" s="1"/>
  <c r="Z128" i="1"/>
  <c r="Z129" i="1" s="1"/>
  <c r="Y128" i="1"/>
  <c r="Y129" i="1" s="1"/>
  <c r="X128" i="1"/>
  <c r="X129" i="1" s="1"/>
  <c r="W128" i="1"/>
  <c r="W129" i="1" s="1"/>
  <c r="V128" i="1"/>
  <c r="V129" i="1" s="1"/>
  <c r="U128" i="1"/>
  <c r="U129" i="1" s="1"/>
  <c r="T128" i="1"/>
  <c r="T129" i="1" s="1"/>
  <c r="S128" i="1"/>
  <c r="S129" i="1" s="1"/>
  <c r="R128" i="1"/>
  <c r="R129" i="1" s="1"/>
  <c r="Q128" i="1"/>
  <c r="Q129" i="1" s="1"/>
  <c r="P128" i="1"/>
  <c r="P129" i="1" s="1"/>
  <c r="O128" i="1"/>
  <c r="O129" i="1" s="1"/>
  <c r="N128" i="1"/>
  <c r="N129" i="1" s="1"/>
  <c r="M128" i="1"/>
  <c r="M129" i="1" s="1"/>
  <c r="L128" i="1"/>
  <c r="L129" i="1" s="1"/>
  <c r="K128" i="1"/>
  <c r="K129" i="1" s="1"/>
  <c r="J128" i="1"/>
  <c r="J129" i="1" s="1"/>
  <c r="AW127" i="1"/>
  <c r="AX127" i="1" s="1"/>
  <c r="AP126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P117" i="1"/>
  <c r="AP116" i="1"/>
  <c r="AP114" i="1"/>
  <c r="AP113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N108" i="1"/>
  <c r="AN124" i="1" s="1"/>
  <c r="AM108" i="1"/>
  <c r="AM124" i="1" s="1"/>
  <c r="AL108" i="1"/>
  <c r="AL124" i="1" s="1"/>
  <c r="AK108" i="1"/>
  <c r="AK124" i="1" s="1"/>
  <c r="AJ108" i="1"/>
  <c r="AJ124" i="1" s="1"/>
  <c r="AI108" i="1"/>
  <c r="AI124" i="1" s="1"/>
  <c r="AH108" i="1"/>
  <c r="AH124" i="1" s="1"/>
  <c r="AG108" i="1"/>
  <c r="AG124" i="1" s="1"/>
  <c r="AF108" i="1"/>
  <c r="AF124" i="1" s="1"/>
  <c r="AE108" i="1"/>
  <c r="AE124" i="1" s="1"/>
  <c r="AD108" i="1"/>
  <c r="AD124" i="1" s="1"/>
  <c r="AC108" i="1"/>
  <c r="AC124" i="1" s="1"/>
  <c r="AB108" i="1"/>
  <c r="AB124" i="1" s="1"/>
  <c r="AA108" i="1"/>
  <c r="AA124" i="1" s="1"/>
  <c r="Z108" i="1"/>
  <c r="Z124" i="1" s="1"/>
  <c r="Y108" i="1"/>
  <c r="Y124" i="1" s="1"/>
  <c r="X108" i="1"/>
  <c r="X124" i="1" s="1"/>
  <c r="W108" i="1"/>
  <c r="W124" i="1" s="1"/>
  <c r="V108" i="1"/>
  <c r="V124" i="1" s="1"/>
  <c r="U108" i="1"/>
  <c r="U124" i="1" s="1"/>
  <c r="T108" i="1"/>
  <c r="T124" i="1" s="1"/>
  <c r="S108" i="1"/>
  <c r="S124" i="1" s="1"/>
  <c r="R108" i="1"/>
  <c r="R124" i="1" s="1"/>
  <c r="Q108" i="1"/>
  <c r="Q124" i="1" s="1"/>
  <c r="P108" i="1"/>
  <c r="P124" i="1" s="1"/>
  <c r="O108" i="1"/>
  <c r="O124" i="1" s="1"/>
  <c r="N108" i="1"/>
  <c r="N124" i="1" s="1"/>
  <c r="M108" i="1"/>
  <c r="M124" i="1" s="1"/>
  <c r="L108" i="1"/>
  <c r="L124" i="1" s="1"/>
  <c r="K108" i="1"/>
  <c r="K124" i="1" s="1"/>
  <c r="J108" i="1"/>
  <c r="J124" i="1" s="1"/>
  <c r="AN107" i="1"/>
  <c r="AN123" i="1" s="1"/>
  <c r="AM107" i="1"/>
  <c r="AM123" i="1" s="1"/>
  <c r="AL107" i="1"/>
  <c r="AL123" i="1" s="1"/>
  <c r="AK107" i="1"/>
  <c r="AK123" i="1" s="1"/>
  <c r="AJ107" i="1"/>
  <c r="AJ123" i="1" s="1"/>
  <c r="AI107" i="1"/>
  <c r="AI123" i="1" s="1"/>
  <c r="AH107" i="1"/>
  <c r="AH123" i="1" s="1"/>
  <c r="AG107" i="1"/>
  <c r="AG123" i="1" s="1"/>
  <c r="AF107" i="1"/>
  <c r="AF123" i="1" s="1"/>
  <c r="AE107" i="1"/>
  <c r="AE123" i="1" s="1"/>
  <c r="AD107" i="1"/>
  <c r="AD123" i="1" s="1"/>
  <c r="AC107" i="1"/>
  <c r="AC123" i="1" s="1"/>
  <c r="AB107" i="1"/>
  <c r="AB123" i="1" s="1"/>
  <c r="AA107" i="1"/>
  <c r="AA123" i="1" s="1"/>
  <c r="Z107" i="1"/>
  <c r="Z123" i="1" s="1"/>
  <c r="Y107" i="1"/>
  <c r="Y123" i="1" s="1"/>
  <c r="X107" i="1"/>
  <c r="X123" i="1" s="1"/>
  <c r="W107" i="1"/>
  <c r="W123" i="1" s="1"/>
  <c r="V107" i="1"/>
  <c r="V123" i="1" s="1"/>
  <c r="U107" i="1"/>
  <c r="U123" i="1" s="1"/>
  <c r="T107" i="1"/>
  <c r="T123" i="1" s="1"/>
  <c r="S107" i="1"/>
  <c r="S123" i="1" s="1"/>
  <c r="R107" i="1"/>
  <c r="R123" i="1" s="1"/>
  <c r="Q107" i="1"/>
  <c r="Q123" i="1" s="1"/>
  <c r="P107" i="1"/>
  <c r="P123" i="1" s="1"/>
  <c r="O107" i="1"/>
  <c r="O123" i="1" s="1"/>
  <c r="N107" i="1"/>
  <c r="N123" i="1" s="1"/>
  <c r="M107" i="1"/>
  <c r="M123" i="1" s="1"/>
  <c r="L107" i="1"/>
  <c r="L123" i="1" s="1"/>
  <c r="K107" i="1"/>
  <c r="K123" i="1" s="1"/>
  <c r="J107" i="1"/>
  <c r="J123" i="1" s="1"/>
  <c r="AP105" i="1"/>
  <c r="AP108" i="1" s="1"/>
  <c r="AP104" i="1"/>
  <c r="AP107" i="1" s="1"/>
  <c r="W102" i="1"/>
  <c r="V102" i="1"/>
  <c r="AN101" i="1"/>
  <c r="AN102" i="1" s="1"/>
  <c r="AM101" i="1"/>
  <c r="AM102" i="1" s="1"/>
  <c r="AL101" i="1"/>
  <c r="AL102" i="1" s="1"/>
  <c r="AK101" i="1"/>
  <c r="AK102" i="1" s="1"/>
  <c r="AJ101" i="1"/>
  <c r="AJ102" i="1" s="1"/>
  <c r="AI101" i="1"/>
  <c r="AI102" i="1" s="1"/>
  <c r="AH101" i="1"/>
  <c r="AH102" i="1" s="1"/>
  <c r="AG101" i="1"/>
  <c r="AG102" i="1" s="1"/>
  <c r="AF101" i="1"/>
  <c r="AF102" i="1" s="1"/>
  <c r="AE101" i="1"/>
  <c r="AE102" i="1" s="1"/>
  <c r="AD101" i="1"/>
  <c r="AD102" i="1" s="1"/>
  <c r="AC101" i="1"/>
  <c r="AC102" i="1" s="1"/>
  <c r="AB101" i="1"/>
  <c r="AB102" i="1" s="1"/>
  <c r="AA101" i="1"/>
  <c r="AA102" i="1" s="1"/>
  <c r="Z101" i="1"/>
  <c r="Z102" i="1" s="1"/>
  <c r="Y101" i="1"/>
  <c r="Y102" i="1" s="1"/>
  <c r="X101" i="1"/>
  <c r="X102" i="1" s="1"/>
  <c r="U101" i="1"/>
  <c r="U102" i="1" s="1"/>
  <c r="T101" i="1"/>
  <c r="T102" i="1" s="1"/>
  <c r="S101" i="1"/>
  <c r="S102" i="1" s="1"/>
  <c r="R101" i="1"/>
  <c r="R102" i="1" s="1"/>
  <c r="Q101" i="1"/>
  <c r="Q102" i="1" s="1"/>
  <c r="P101" i="1"/>
  <c r="P102" i="1" s="1"/>
  <c r="O101" i="1"/>
  <c r="O102" i="1" s="1"/>
  <c r="N101" i="1"/>
  <c r="N102" i="1" s="1"/>
  <c r="M101" i="1"/>
  <c r="M102" i="1" s="1"/>
  <c r="L101" i="1"/>
  <c r="L102" i="1" s="1"/>
  <c r="K101" i="1"/>
  <c r="K102" i="1" s="1"/>
  <c r="J101" i="1"/>
  <c r="J102" i="1" s="1"/>
  <c r="AG98" i="1"/>
  <c r="L98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P91" i="1"/>
  <c r="AR90" i="1"/>
  <c r="AP90" i="1"/>
  <c r="AP88" i="1"/>
  <c r="AP87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N82" i="1"/>
  <c r="AN98" i="1" s="1"/>
  <c r="AM82" i="1"/>
  <c r="AM98" i="1" s="1"/>
  <c r="AL82" i="1"/>
  <c r="AL98" i="1" s="1"/>
  <c r="AK82" i="1"/>
  <c r="AK98" i="1" s="1"/>
  <c r="AJ82" i="1"/>
  <c r="AJ98" i="1" s="1"/>
  <c r="AI82" i="1"/>
  <c r="AI98" i="1" s="1"/>
  <c r="AH82" i="1"/>
  <c r="AH98" i="1" s="1"/>
  <c r="AF82" i="1"/>
  <c r="AF98" i="1" s="1"/>
  <c r="AE82" i="1"/>
  <c r="AE98" i="1" s="1"/>
  <c r="AD82" i="1"/>
  <c r="AD98" i="1" s="1"/>
  <c r="AC82" i="1"/>
  <c r="AC98" i="1" s="1"/>
  <c r="AB82" i="1"/>
  <c r="AB98" i="1" s="1"/>
  <c r="AA82" i="1"/>
  <c r="AA98" i="1" s="1"/>
  <c r="Z82" i="1"/>
  <c r="Z98" i="1" s="1"/>
  <c r="Y82" i="1"/>
  <c r="Y98" i="1" s="1"/>
  <c r="X82" i="1"/>
  <c r="X98" i="1" s="1"/>
  <c r="W82" i="1"/>
  <c r="W98" i="1" s="1"/>
  <c r="V82" i="1"/>
  <c r="V98" i="1" s="1"/>
  <c r="U82" i="1"/>
  <c r="U98" i="1" s="1"/>
  <c r="T82" i="1"/>
  <c r="T98" i="1" s="1"/>
  <c r="S82" i="1"/>
  <c r="S98" i="1" s="1"/>
  <c r="R82" i="1"/>
  <c r="R98" i="1" s="1"/>
  <c r="Q82" i="1"/>
  <c r="Q98" i="1" s="1"/>
  <c r="P82" i="1"/>
  <c r="P98" i="1" s="1"/>
  <c r="O82" i="1"/>
  <c r="O98" i="1" s="1"/>
  <c r="N82" i="1"/>
  <c r="N98" i="1" s="1"/>
  <c r="M82" i="1"/>
  <c r="M98" i="1" s="1"/>
  <c r="K82" i="1"/>
  <c r="K98" i="1" s="1"/>
  <c r="J82" i="1"/>
  <c r="J98" i="1" s="1"/>
  <c r="AN81" i="1"/>
  <c r="AN97" i="1" s="1"/>
  <c r="AM81" i="1"/>
  <c r="AM97" i="1" s="1"/>
  <c r="AL81" i="1"/>
  <c r="AL97" i="1" s="1"/>
  <c r="AK81" i="1"/>
  <c r="AK97" i="1" s="1"/>
  <c r="AJ81" i="1"/>
  <c r="AJ97" i="1" s="1"/>
  <c r="AI81" i="1"/>
  <c r="AI97" i="1" s="1"/>
  <c r="AH81" i="1"/>
  <c r="AH97" i="1" s="1"/>
  <c r="AG81" i="1"/>
  <c r="AG97" i="1" s="1"/>
  <c r="AF81" i="1"/>
  <c r="AF97" i="1" s="1"/>
  <c r="AE81" i="1"/>
  <c r="AE97" i="1" s="1"/>
  <c r="AD81" i="1"/>
  <c r="AD97" i="1" s="1"/>
  <c r="AC81" i="1"/>
  <c r="AC97" i="1" s="1"/>
  <c r="AB81" i="1"/>
  <c r="AB97" i="1" s="1"/>
  <c r="AA81" i="1"/>
  <c r="AA97" i="1" s="1"/>
  <c r="Z81" i="1"/>
  <c r="Z97" i="1" s="1"/>
  <c r="Y81" i="1"/>
  <c r="Y97" i="1" s="1"/>
  <c r="X81" i="1"/>
  <c r="X97" i="1" s="1"/>
  <c r="W81" i="1"/>
  <c r="W97" i="1" s="1"/>
  <c r="V81" i="1"/>
  <c r="V97" i="1" s="1"/>
  <c r="U81" i="1"/>
  <c r="U97" i="1" s="1"/>
  <c r="T81" i="1"/>
  <c r="T97" i="1" s="1"/>
  <c r="S81" i="1"/>
  <c r="S97" i="1" s="1"/>
  <c r="R81" i="1"/>
  <c r="R97" i="1" s="1"/>
  <c r="Q81" i="1"/>
  <c r="Q97" i="1" s="1"/>
  <c r="P81" i="1"/>
  <c r="P97" i="1" s="1"/>
  <c r="O81" i="1"/>
  <c r="O97" i="1" s="1"/>
  <c r="N81" i="1"/>
  <c r="N97" i="1" s="1"/>
  <c r="M81" i="1"/>
  <c r="M97" i="1" s="1"/>
  <c r="L81" i="1"/>
  <c r="L97" i="1" s="1"/>
  <c r="K81" i="1"/>
  <c r="K97" i="1" s="1"/>
  <c r="J81" i="1"/>
  <c r="J97" i="1" s="1"/>
  <c r="AP79" i="1"/>
  <c r="AP82" i="1" s="1"/>
  <c r="AP78" i="1"/>
  <c r="AP81" i="1" s="1"/>
  <c r="AR77" i="1"/>
  <c r="AW76" i="1"/>
  <c r="AX76" i="1" s="1"/>
  <c r="AP76" i="1"/>
  <c r="AW75" i="1"/>
  <c r="AX75" i="1" s="1"/>
  <c r="P75" i="1"/>
  <c r="AN74" i="1"/>
  <c r="AM74" i="1"/>
  <c r="AM75" i="1" s="1"/>
  <c r="AL74" i="1"/>
  <c r="AL75" i="1" s="1"/>
  <c r="AK74" i="1"/>
  <c r="AK75" i="1" s="1"/>
  <c r="AJ74" i="1"/>
  <c r="AJ75" i="1" s="1"/>
  <c r="AI74" i="1"/>
  <c r="AI75" i="1" s="1"/>
  <c r="AH74" i="1"/>
  <c r="AH75" i="1" s="1"/>
  <c r="AG74" i="1"/>
  <c r="AG75" i="1" s="1"/>
  <c r="AF74" i="1"/>
  <c r="AF75" i="1" s="1"/>
  <c r="AE74" i="1"/>
  <c r="AE75" i="1" s="1"/>
  <c r="AD74" i="1"/>
  <c r="AD75" i="1" s="1"/>
  <c r="AC74" i="1"/>
  <c r="AC75" i="1" s="1"/>
  <c r="AB74" i="1"/>
  <c r="AB75" i="1" s="1"/>
  <c r="AA74" i="1"/>
  <c r="AA75" i="1" s="1"/>
  <c r="Z74" i="1"/>
  <c r="Z75" i="1" s="1"/>
  <c r="Y74" i="1"/>
  <c r="Y75" i="1" s="1"/>
  <c r="X74" i="1"/>
  <c r="X75" i="1" s="1"/>
  <c r="W74" i="1"/>
  <c r="W75" i="1" s="1"/>
  <c r="V74" i="1"/>
  <c r="V75" i="1" s="1"/>
  <c r="U74" i="1"/>
  <c r="U75" i="1" s="1"/>
  <c r="T74" i="1"/>
  <c r="T75" i="1" s="1"/>
  <c r="S74" i="1"/>
  <c r="S75" i="1" s="1"/>
  <c r="R74" i="1"/>
  <c r="R75" i="1" s="1"/>
  <c r="Q74" i="1"/>
  <c r="Q75" i="1" s="1"/>
  <c r="O74" i="1"/>
  <c r="O75" i="1" s="1"/>
  <c r="N74" i="1"/>
  <c r="N75" i="1" s="1"/>
  <c r="M74" i="1"/>
  <c r="M75" i="1" s="1"/>
  <c r="L74" i="1"/>
  <c r="L75" i="1" s="1"/>
  <c r="K74" i="1"/>
  <c r="K75" i="1" s="1"/>
  <c r="J74" i="1"/>
  <c r="J75" i="1" s="1"/>
  <c r="AN73" i="1"/>
  <c r="AP73" i="1" s="1"/>
  <c r="AP72" i="1"/>
  <c r="PW71" i="1"/>
  <c r="GV70" i="1"/>
  <c r="W70" i="1"/>
  <c r="V70" i="1"/>
  <c r="U70" i="1"/>
  <c r="T70" i="1"/>
  <c r="S70" i="1"/>
  <c r="Q70" i="1"/>
  <c r="P70" i="1"/>
  <c r="O70" i="1"/>
  <c r="N70" i="1"/>
  <c r="M70" i="1"/>
  <c r="L70" i="1"/>
  <c r="K70" i="1"/>
  <c r="J70" i="1"/>
  <c r="AP69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Y68" i="1"/>
  <c r="X68" i="1"/>
  <c r="W68" i="1"/>
  <c r="V68" i="1"/>
  <c r="U68" i="1"/>
  <c r="T68" i="1"/>
  <c r="S68" i="1"/>
  <c r="Q68" i="1"/>
  <c r="P68" i="1"/>
  <c r="O68" i="1"/>
  <c r="N68" i="1"/>
  <c r="M68" i="1"/>
  <c r="L68" i="1"/>
  <c r="K68" i="1"/>
  <c r="J68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GV67" i="1" s="1"/>
  <c r="S67" i="1"/>
  <c r="R67" i="1"/>
  <c r="Q67" i="1"/>
  <c r="P67" i="1"/>
  <c r="O67" i="1"/>
  <c r="N67" i="1"/>
  <c r="M67" i="1"/>
  <c r="L67" i="1"/>
  <c r="K67" i="1"/>
  <c r="J67" i="1"/>
  <c r="AP66" i="1"/>
  <c r="AN65" i="1"/>
  <c r="AM65" i="1"/>
  <c r="AL65" i="1"/>
  <c r="AK65" i="1"/>
  <c r="AJ65" i="1"/>
  <c r="AI65" i="1"/>
  <c r="AH65" i="1"/>
  <c r="AG65" i="1"/>
  <c r="AF65" i="1"/>
  <c r="AE65" i="1"/>
  <c r="AD65" i="1"/>
  <c r="AB65" i="1"/>
  <c r="AA65" i="1"/>
  <c r="Y65" i="1"/>
  <c r="X65" i="1"/>
  <c r="W65" i="1"/>
  <c r="V65" i="1"/>
  <c r="U65" i="1"/>
  <c r="T65" i="1"/>
  <c r="S65" i="1"/>
  <c r="Q65" i="1"/>
  <c r="P65" i="1"/>
  <c r="O65" i="1"/>
  <c r="N65" i="1"/>
  <c r="M65" i="1"/>
  <c r="L65" i="1"/>
  <c r="K65" i="1"/>
  <c r="J65" i="1"/>
  <c r="AC64" i="1"/>
  <c r="AC65" i="1" s="1"/>
  <c r="Z64" i="1"/>
  <c r="Z65" i="1" s="1"/>
  <c r="R64" i="1"/>
  <c r="W63" i="1"/>
  <c r="V63" i="1"/>
  <c r="GV63" i="1" s="1"/>
  <c r="U63" i="1"/>
  <c r="T63" i="1"/>
  <c r="S63" i="1"/>
  <c r="Q63" i="1"/>
  <c r="P63" i="1"/>
  <c r="O63" i="1"/>
  <c r="N63" i="1"/>
  <c r="M63" i="1"/>
  <c r="L63" i="1"/>
  <c r="K63" i="1"/>
  <c r="J63" i="1"/>
  <c r="AN62" i="1"/>
  <c r="AN70" i="1" s="1"/>
  <c r="AM62" i="1"/>
  <c r="AM63" i="1" s="1"/>
  <c r="AL62" i="1"/>
  <c r="AL70" i="1" s="1"/>
  <c r="AK62" i="1"/>
  <c r="AK70" i="1" s="1"/>
  <c r="AJ62" i="1"/>
  <c r="AJ70" i="1" s="1"/>
  <c r="AI62" i="1"/>
  <c r="AI63" i="1" s="1"/>
  <c r="AH62" i="1"/>
  <c r="AH70" i="1" s="1"/>
  <c r="AG62" i="1"/>
  <c r="AG70" i="1" s="1"/>
  <c r="AF62" i="1"/>
  <c r="AF70" i="1" s="1"/>
  <c r="AE62" i="1"/>
  <c r="AE63" i="1" s="1"/>
  <c r="AD62" i="1"/>
  <c r="AD70" i="1" s="1"/>
  <c r="AC62" i="1"/>
  <c r="AB62" i="1"/>
  <c r="AB70" i="1" s="1"/>
  <c r="AA62" i="1"/>
  <c r="AA63" i="1" s="1"/>
  <c r="Z62" i="1"/>
  <c r="Y62" i="1"/>
  <c r="Y70" i="1" s="1"/>
  <c r="X62" i="1"/>
  <c r="X70" i="1" s="1"/>
  <c r="R62" i="1"/>
  <c r="R70" i="1" s="1"/>
  <c r="PZ60" i="1"/>
  <c r="GV60" i="1"/>
  <c r="AN60" i="1"/>
  <c r="V60" i="1"/>
  <c r="PZ59" i="1"/>
  <c r="PZ61" i="1" s="1"/>
  <c r="AN59" i="1"/>
  <c r="V59" i="1"/>
  <c r="AN58" i="1"/>
  <c r="AN57" i="1"/>
  <c r="PX54" i="1"/>
  <c r="PZ54" i="1" s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PZ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Y53" i="1"/>
  <c r="X53" i="1"/>
  <c r="W53" i="1"/>
  <c r="V53" i="1"/>
  <c r="U53" i="1"/>
  <c r="T53" i="1"/>
  <c r="S53" i="1"/>
  <c r="Q53" i="1"/>
  <c r="P53" i="1"/>
  <c r="O53" i="1"/>
  <c r="N53" i="1"/>
  <c r="M53" i="1"/>
  <c r="L53" i="1"/>
  <c r="K53" i="1"/>
  <c r="J53" i="1"/>
  <c r="EO51" i="1"/>
  <c r="CD51" i="1"/>
  <c r="AP51" i="1"/>
  <c r="CD50" i="1"/>
  <c r="AP50" i="1"/>
  <c r="AP49" i="1"/>
  <c r="AM48" i="1"/>
  <c r="AM60" i="1" s="1"/>
  <c r="AL48" i="1"/>
  <c r="AL60" i="1" s="1"/>
  <c r="AK48" i="1"/>
  <c r="AK60" i="1" s="1"/>
  <c r="AJ48" i="1"/>
  <c r="AJ60" i="1" s="1"/>
  <c r="AI48" i="1"/>
  <c r="AI60" i="1" s="1"/>
  <c r="AH48" i="1"/>
  <c r="AH59" i="1" s="1"/>
  <c r="AG48" i="1"/>
  <c r="AG60" i="1" s="1"/>
  <c r="AF48" i="1"/>
  <c r="AF60" i="1" s="1"/>
  <c r="AE48" i="1"/>
  <c r="AE60" i="1" s="1"/>
  <c r="AD48" i="1"/>
  <c r="AD60" i="1" s="1"/>
  <c r="AC48" i="1"/>
  <c r="AC60" i="1" s="1"/>
  <c r="AB48" i="1"/>
  <c r="AB60" i="1" s="1"/>
  <c r="AA48" i="1"/>
  <c r="AA60" i="1" s="1"/>
  <c r="Z48" i="1"/>
  <c r="Z59" i="1" s="1"/>
  <c r="Y48" i="1"/>
  <c r="Y60" i="1" s="1"/>
  <c r="X48" i="1"/>
  <c r="X60" i="1" s="1"/>
  <c r="W48" i="1"/>
  <c r="W60" i="1" s="1"/>
  <c r="U48" i="1"/>
  <c r="U60" i="1" s="1"/>
  <c r="T48" i="1"/>
  <c r="T60" i="1" s="1"/>
  <c r="S48" i="1"/>
  <c r="S60" i="1" s="1"/>
  <c r="R48" i="1"/>
  <c r="R59" i="1" s="1"/>
  <c r="Q48" i="1"/>
  <c r="Q60" i="1" s="1"/>
  <c r="P48" i="1"/>
  <c r="P60" i="1" s="1"/>
  <c r="O48" i="1"/>
  <c r="O60" i="1" s="1"/>
  <c r="N48" i="1"/>
  <c r="N60" i="1" s="1"/>
  <c r="M48" i="1"/>
  <c r="M60" i="1" s="1"/>
  <c r="L48" i="1"/>
  <c r="L60" i="1" s="1"/>
  <c r="K48" i="1"/>
  <c r="K59" i="1" s="1"/>
  <c r="J48" i="1"/>
  <c r="J60" i="1" s="1"/>
  <c r="H48" i="1"/>
  <c r="AP47" i="1"/>
  <c r="AP45" i="1"/>
  <c r="AP44" i="1"/>
  <c r="AM43" i="1"/>
  <c r="AM58" i="1" s="1"/>
  <c r="AL43" i="1"/>
  <c r="AL58" i="1" s="1"/>
  <c r="AK43" i="1"/>
  <c r="AK58" i="1" s="1"/>
  <c r="AJ43" i="1"/>
  <c r="AJ58" i="1" s="1"/>
  <c r="AI43" i="1"/>
  <c r="AI58" i="1" s="1"/>
  <c r="AH43" i="1"/>
  <c r="AH58" i="1" s="1"/>
  <c r="AG43" i="1"/>
  <c r="AG58" i="1" s="1"/>
  <c r="AF43" i="1"/>
  <c r="AF58" i="1" s="1"/>
  <c r="AE43" i="1"/>
  <c r="AE58" i="1" s="1"/>
  <c r="AD43" i="1"/>
  <c r="AD58" i="1" s="1"/>
  <c r="AC43" i="1"/>
  <c r="AC58" i="1" s="1"/>
  <c r="AB43" i="1"/>
  <c r="AB58" i="1" s="1"/>
  <c r="AA43" i="1"/>
  <c r="AA58" i="1" s="1"/>
  <c r="Z43" i="1"/>
  <c r="Z58" i="1" s="1"/>
  <c r="Y43" i="1"/>
  <c r="Y58" i="1" s="1"/>
  <c r="X43" i="1"/>
  <c r="X58" i="1" s="1"/>
  <c r="W43" i="1"/>
  <c r="W58" i="1" s="1"/>
  <c r="V43" i="1"/>
  <c r="V58" i="1" s="1"/>
  <c r="U43" i="1"/>
  <c r="U58" i="1" s="1"/>
  <c r="T43" i="1"/>
  <c r="T58" i="1" s="1"/>
  <c r="S43" i="1"/>
  <c r="S58" i="1" s="1"/>
  <c r="R43" i="1"/>
  <c r="R58" i="1" s="1"/>
  <c r="Q43" i="1"/>
  <c r="Q58" i="1" s="1"/>
  <c r="P43" i="1"/>
  <c r="P58" i="1" s="1"/>
  <c r="O43" i="1"/>
  <c r="O58" i="1" s="1"/>
  <c r="N43" i="1"/>
  <c r="N58" i="1" s="1"/>
  <c r="M43" i="1"/>
  <c r="M58" i="1" s="1"/>
  <c r="L43" i="1"/>
  <c r="L58" i="1" s="1"/>
  <c r="K43" i="1"/>
  <c r="K58" i="1" s="1"/>
  <c r="J43" i="1"/>
  <c r="J58" i="1" s="1"/>
  <c r="H43" i="1"/>
  <c r="EQ42" i="1"/>
  <c r="EP42" i="1"/>
  <c r="EO42" i="1"/>
  <c r="AP42" i="1"/>
  <c r="QN41" i="1"/>
  <c r="EQ41" i="1"/>
  <c r="EP41" i="1"/>
  <c r="EO41" i="1"/>
  <c r="QN40" i="1"/>
  <c r="CD40" i="1"/>
  <c r="AS40" i="1"/>
  <c r="AL40" i="1"/>
  <c r="AL38" i="1" s="1"/>
  <c r="AL55" i="1" s="1"/>
  <c r="AH40" i="1"/>
  <c r="AC40" i="1"/>
  <c r="AA40" i="1"/>
  <c r="S40" i="1"/>
  <c r="S38" i="1" s="1"/>
  <c r="S55" i="1" s="1"/>
  <c r="AFO39" i="1"/>
  <c r="QN39" i="1"/>
  <c r="PW39" i="1"/>
  <c r="PW41" i="1" s="1"/>
  <c r="CD39" i="1"/>
  <c r="AS39" i="1"/>
  <c r="AH39" i="1"/>
  <c r="AP39" i="1" s="1"/>
  <c r="AU39" i="1" s="1"/>
  <c r="AFO38" i="1"/>
  <c r="AN38" i="1"/>
  <c r="AN56" i="1" s="1"/>
  <c r="AM38" i="1"/>
  <c r="AM56" i="1" s="1"/>
  <c r="AK38" i="1"/>
  <c r="AK56" i="1" s="1"/>
  <c r="AJ38" i="1"/>
  <c r="AJ56" i="1" s="1"/>
  <c r="AI38" i="1"/>
  <c r="AI56" i="1" s="1"/>
  <c r="AG38" i="1"/>
  <c r="AG56" i="1" s="1"/>
  <c r="AF38" i="1"/>
  <c r="AF56" i="1" s="1"/>
  <c r="AE38" i="1"/>
  <c r="AE56" i="1" s="1"/>
  <c r="AD38" i="1"/>
  <c r="AD56" i="1" s="1"/>
  <c r="AB38" i="1"/>
  <c r="AB56" i="1" s="1"/>
  <c r="AA38" i="1"/>
  <c r="AA55" i="1" s="1"/>
  <c r="Z38" i="1"/>
  <c r="Z56" i="1" s="1"/>
  <c r="Y38" i="1"/>
  <c r="Y56" i="1" s="1"/>
  <c r="X38" i="1"/>
  <c r="X56" i="1" s="1"/>
  <c r="W38" i="1"/>
  <c r="W56" i="1" s="1"/>
  <c r="V38" i="1"/>
  <c r="V56" i="1" s="1"/>
  <c r="U38" i="1"/>
  <c r="U56" i="1" s="1"/>
  <c r="T38" i="1"/>
  <c r="T56" i="1" s="1"/>
  <c r="R38" i="1"/>
  <c r="R56" i="1" s="1"/>
  <c r="Q38" i="1"/>
  <c r="Q56" i="1" s="1"/>
  <c r="P38" i="1"/>
  <c r="P56" i="1" s="1"/>
  <c r="O38" i="1"/>
  <c r="O56" i="1" s="1"/>
  <c r="N38" i="1"/>
  <c r="N56" i="1" s="1"/>
  <c r="M38" i="1"/>
  <c r="M56" i="1" s="1"/>
  <c r="L38" i="1"/>
  <c r="L56" i="1" s="1"/>
  <c r="K38" i="1"/>
  <c r="K56" i="1" s="1"/>
  <c r="J38" i="1"/>
  <c r="J56" i="1" s="1"/>
  <c r="H38" i="1"/>
  <c r="AFO36" i="1"/>
  <c r="AFZ36" i="1" s="1"/>
  <c r="QN36" i="1"/>
  <c r="CD36" i="1"/>
  <c r="AP36" i="1"/>
  <c r="AKD29" i="1" s="1"/>
  <c r="AKE29" i="1" s="1"/>
  <c r="H36" i="1"/>
  <c r="AFO35" i="1"/>
  <c r="AFZ35" i="1" s="1"/>
  <c r="CD35" i="1"/>
  <c r="Z35" i="1"/>
  <c r="Z68" i="1" s="1"/>
  <c r="R35" i="1"/>
  <c r="R68" i="1" s="1"/>
  <c r="H35" i="1"/>
  <c r="AID33" i="1"/>
  <c r="PZ33" i="1"/>
  <c r="AP33" i="1"/>
  <c r="AID32" i="1"/>
  <c r="AID35" i="1" s="1"/>
  <c r="PZ32" i="1"/>
  <c r="EQ32" i="1"/>
  <c r="EP32" i="1"/>
  <c r="EO32" i="1"/>
  <c r="AP32" i="1"/>
  <c r="AP31" i="1"/>
  <c r="AP30" i="1"/>
  <c r="AFM29" i="1"/>
  <c r="AFM38" i="1" s="1"/>
  <c r="AP29" i="1"/>
  <c r="PW31" i="1" s="1"/>
  <c r="PW33" i="1" s="1"/>
  <c r="AP28" i="1"/>
  <c r="AN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N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P23" i="1"/>
  <c r="AP22" i="1"/>
  <c r="AN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AP19" i="1"/>
  <c r="AP18" i="1"/>
  <c r="AN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AP15" i="1"/>
  <c r="AP14" i="1"/>
  <c r="AN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AP11" i="1"/>
  <c r="AP10" i="1"/>
  <c r="AN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AP7" i="1"/>
  <c r="AP6" i="1"/>
  <c r="Z70" i="1" l="1"/>
  <c r="PZ31" i="1"/>
  <c r="QA33" i="1" s="1"/>
  <c r="AP97" i="1"/>
  <c r="AP95" i="1"/>
  <c r="AP16" i="1"/>
  <c r="AP20" i="1"/>
  <c r="AR29" i="1"/>
  <c r="AT29" i="1" s="1"/>
  <c r="AP168" i="1"/>
  <c r="AR28" i="1"/>
  <c r="AP124" i="1"/>
  <c r="AS38" i="1"/>
  <c r="AR218" i="1"/>
  <c r="AH63" i="1"/>
  <c r="AP190" i="1"/>
  <c r="QN43" i="1"/>
  <c r="QA37" i="1" s="1"/>
  <c r="QN37" i="1" s="1"/>
  <c r="X59" i="1"/>
  <c r="AP8" i="1"/>
  <c r="AP12" i="1"/>
  <c r="AP24" i="1"/>
  <c r="AP120" i="1"/>
  <c r="AA70" i="1"/>
  <c r="AP121" i="1"/>
  <c r="AM70" i="1"/>
  <c r="AX77" i="1"/>
  <c r="AX80" i="1" s="1"/>
  <c r="AX82" i="1" s="1"/>
  <c r="AP94" i="1"/>
  <c r="AP123" i="1"/>
  <c r="S56" i="1"/>
  <c r="AP157" i="1"/>
  <c r="AA56" i="1"/>
  <c r="AB59" i="1"/>
  <c r="Z60" i="1"/>
  <c r="R63" i="1"/>
  <c r="AP67" i="1"/>
  <c r="AR67" i="1" s="1"/>
  <c r="AP98" i="1"/>
  <c r="AX129" i="1"/>
  <c r="AX132" i="1" s="1"/>
  <c r="AX134" i="1" s="1"/>
  <c r="AR146" i="1"/>
  <c r="AP109" i="1"/>
  <c r="AF59" i="1"/>
  <c r="AH60" i="1"/>
  <c r="AP219" i="1"/>
  <c r="AP129" i="1"/>
  <c r="AP199" i="1"/>
  <c r="AP200" i="1" s="1"/>
  <c r="AJ59" i="1"/>
  <c r="AP54" i="1"/>
  <c r="AL56" i="1"/>
  <c r="AP191" i="1"/>
  <c r="AP214" i="1"/>
  <c r="K60" i="1"/>
  <c r="AE70" i="1"/>
  <c r="AP84" i="1"/>
  <c r="AP101" i="1"/>
  <c r="AP189" i="1"/>
  <c r="AFM39" i="1"/>
  <c r="AP35" i="1"/>
  <c r="AP68" i="1" s="1"/>
  <c r="R60" i="1"/>
  <c r="Z63" i="1"/>
  <c r="AI70" i="1"/>
  <c r="AP110" i="1"/>
  <c r="AP169" i="1"/>
  <c r="AP158" i="1"/>
  <c r="AP183" i="1"/>
  <c r="AT39" i="1"/>
  <c r="AT40" i="1"/>
  <c r="QA32" i="1"/>
  <c r="PW34" i="1"/>
  <c r="PW36" i="1"/>
  <c r="AID36" i="1"/>
  <c r="AID37" i="1"/>
  <c r="AP43" i="1"/>
  <c r="AP57" i="1" s="1"/>
  <c r="L55" i="1"/>
  <c r="P55" i="1"/>
  <c r="T55" i="1"/>
  <c r="X55" i="1"/>
  <c r="AB55" i="1"/>
  <c r="AF55" i="1"/>
  <c r="AJ55" i="1"/>
  <c r="AN55" i="1"/>
  <c r="L57" i="1"/>
  <c r="P57" i="1"/>
  <c r="T57" i="1"/>
  <c r="X57" i="1"/>
  <c r="AB57" i="1"/>
  <c r="AF57" i="1"/>
  <c r="AJ57" i="1"/>
  <c r="L59" i="1"/>
  <c r="P59" i="1"/>
  <c r="T59" i="1"/>
  <c r="AP25" i="1"/>
  <c r="AR25" i="1" s="1"/>
  <c r="AKD28" i="1"/>
  <c r="AKE28" i="1" s="1"/>
  <c r="AKD32" i="1"/>
  <c r="AKE32" i="1" s="1"/>
  <c r="AC38" i="1"/>
  <c r="AC55" i="1" s="1"/>
  <c r="M55" i="1"/>
  <c r="Q55" i="1"/>
  <c r="U55" i="1"/>
  <c r="Y55" i="1"/>
  <c r="AG55" i="1"/>
  <c r="AK55" i="1"/>
  <c r="M57" i="1"/>
  <c r="Q57" i="1"/>
  <c r="U57" i="1"/>
  <c r="Y57" i="1"/>
  <c r="AC57" i="1"/>
  <c r="AG57" i="1"/>
  <c r="AK57" i="1"/>
  <c r="M59" i="1"/>
  <c r="Q59" i="1"/>
  <c r="U59" i="1"/>
  <c r="Y59" i="1"/>
  <c r="AC59" i="1"/>
  <c r="AG59" i="1"/>
  <c r="AK59" i="1"/>
  <c r="AC70" i="1"/>
  <c r="AB63" i="1"/>
  <c r="AJ63" i="1"/>
  <c r="K177" i="1"/>
  <c r="AP177" i="1" s="1"/>
  <c r="AP176" i="1"/>
  <c r="AR196" i="1"/>
  <c r="AH38" i="1"/>
  <c r="AH55" i="1" s="1"/>
  <c r="AP40" i="1"/>
  <c r="R53" i="1"/>
  <c r="Z53" i="1"/>
  <c r="J55" i="1"/>
  <c r="N55" i="1"/>
  <c r="R55" i="1"/>
  <c r="V55" i="1"/>
  <c r="Z55" i="1"/>
  <c r="AD55" i="1"/>
  <c r="J57" i="1"/>
  <c r="N57" i="1"/>
  <c r="R57" i="1"/>
  <c r="V57" i="1"/>
  <c r="Z57" i="1"/>
  <c r="AD57" i="1"/>
  <c r="AH57" i="1"/>
  <c r="AL57" i="1"/>
  <c r="J59" i="1"/>
  <c r="N59" i="1"/>
  <c r="AD59" i="1"/>
  <c r="AL59" i="1"/>
  <c r="PZ63" i="1"/>
  <c r="AD63" i="1"/>
  <c r="AL63" i="1"/>
  <c r="AP64" i="1"/>
  <c r="PZ64" i="1" s="1"/>
  <c r="R65" i="1"/>
  <c r="AP74" i="1"/>
  <c r="AP102" i="1"/>
  <c r="AP48" i="1"/>
  <c r="AP59" i="1" s="1"/>
  <c r="K55" i="1"/>
  <c r="O55" i="1"/>
  <c r="W55" i="1"/>
  <c r="AE55" i="1"/>
  <c r="AI55" i="1"/>
  <c r="AM55" i="1"/>
  <c r="K57" i="1"/>
  <c r="O57" i="1"/>
  <c r="S57" i="1"/>
  <c r="W57" i="1"/>
  <c r="AA57" i="1"/>
  <c r="AE57" i="1"/>
  <c r="AI57" i="1"/>
  <c r="AM57" i="1"/>
  <c r="O59" i="1"/>
  <c r="S59" i="1"/>
  <c r="W59" i="1"/>
  <c r="AA59" i="1"/>
  <c r="AE59" i="1"/>
  <c r="AI59" i="1"/>
  <c r="AM59" i="1"/>
  <c r="X63" i="1"/>
  <c r="AF63" i="1"/>
  <c r="AN63" i="1"/>
  <c r="AP148" i="1"/>
  <c r="AP62" i="1"/>
  <c r="AP63" i="1" s="1"/>
  <c r="Y63" i="1"/>
  <c r="AC63" i="1"/>
  <c r="AG63" i="1"/>
  <c r="AK63" i="1"/>
  <c r="AN75" i="1"/>
  <c r="AP75" i="1" s="1"/>
  <c r="AP137" i="1"/>
  <c r="AP156" i="1"/>
  <c r="AP172" i="1" s="1"/>
  <c r="AP182" i="1"/>
  <c r="AN193" i="1"/>
  <c r="AP193" i="1" s="1"/>
  <c r="AR209" i="1"/>
  <c r="AN83" i="1"/>
  <c r="AP83" i="1" s="1"/>
  <c r="AP136" i="1"/>
  <c r="AP171" i="1"/>
  <c r="AR202" i="1"/>
  <c r="AR203" i="1" s="1"/>
  <c r="AR204" i="1" s="1"/>
  <c r="AP206" i="1"/>
  <c r="AP207" i="1" s="1"/>
  <c r="AP128" i="1"/>
  <c r="AP147" i="1"/>
  <c r="AP146" i="1" s="1"/>
  <c r="AP100" i="1" l="1"/>
  <c r="AR74" i="1"/>
  <c r="GV74" i="1" s="1"/>
  <c r="PX74" i="1" s="1"/>
  <c r="AP53" i="1"/>
  <c r="AP192" i="1"/>
  <c r="AP175" i="1"/>
  <c r="AC56" i="1"/>
  <c r="AR54" i="1"/>
  <c r="AP38" i="1"/>
  <c r="AP55" i="1" s="1"/>
  <c r="PZ65" i="1"/>
  <c r="PZ67" i="1" s="1"/>
  <c r="AH56" i="1"/>
  <c r="AR63" i="1"/>
  <c r="AQ63" i="1"/>
  <c r="AP65" i="1"/>
  <c r="AR65" i="1" s="1"/>
  <c r="AT64" i="1"/>
  <c r="AP58" i="1"/>
  <c r="AU40" i="1"/>
  <c r="AKD33" i="1"/>
  <c r="AKE33" i="1" s="1"/>
  <c r="AP127" i="1"/>
  <c r="AR128" i="1" s="1"/>
  <c r="AR75" i="1"/>
  <c r="GV75" i="1" s="1"/>
  <c r="PX75" i="1" s="1"/>
  <c r="AP60" i="1"/>
  <c r="AP70" i="1"/>
  <c r="PX31" i="1" l="1"/>
  <c r="PX33" i="1" s="1"/>
  <c r="PX36" i="1" s="1"/>
  <c r="AU38" i="1"/>
  <c r="AV38" i="1" s="1"/>
  <c r="AP56" i="1"/>
  <c r="AR73" i="1"/>
  <c r="AR81" i="1"/>
  <c r="PX34" i="1" l="1"/>
</calcChain>
</file>

<file path=xl/sharedStrings.xml><?xml version="1.0" encoding="utf-8"?>
<sst xmlns="http://schemas.openxmlformats.org/spreadsheetml/2006/main" count="505" uniqueCount="173">
  <si>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</si>
  <si>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</si>
  <si>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</si>
  <si>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</si>
  <si>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</si>
  <si>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</si>
  <si>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</si>
  <si>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</si>
  <si>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</si>
  <si>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</si>
  <si>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</si>
  <si>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</si>
  <si>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</si>
  <si>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</si>
  <si>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</si>
  <si>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</si>
  <si>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</si>
  <si>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</si>
  <si>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</si>
  <si>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</si>
  <si>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</si>
  <si>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</si>
  <si>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</si>
  <si>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</si>
  <si>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</si>
  <si>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</si>
  <si>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</si>
  <si>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</si>
  <si>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</si>
  <si>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</si>
  <si>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</si>
  <si>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</si>
  <si>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</si>
  <si>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</si>
  <si>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</si>
  <si>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</si>
  <si>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</si>
  <si>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</si>
  <si>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</si>
  <si>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</si>
  <si>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</si>
  <si>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</si>
  <si>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</si>
  <si>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</si>
  <si>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</si>
  <si>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Olein IV 58 Consume</t>
  </si>
  <si>
    <t>Olein IV 58 Received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</si>
  <si>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</si>
  <si>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</si>
  <si>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</si>
  <si>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</si>
  <si>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</si>
  <si>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</si>
  <si>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</si>
  <si>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</si>
  <si>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</si>
  <si>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</si>
  <si>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</si>
  <si>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</si>
  <si>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Filling to Packaging</t>
  </si>
  <si>
    <t>Olein IV 60 Received</t>
  </si>
  <si>
    <t>PACKAGING (Brand Salvaco)</t>
  </si>
  <si>
    <t>Spent Bleaching Earth</t>
  </si>
  <si>
    <t>% Oil Content</t>
  </si>
  <si>
    <t>Oil Losses</t>
  </si>
  <si>
    <t>Over (Kg/MT)</t>
  </si>
  <si>
    <t>Budget (Kg/MT)</t>
  </si>
  <si>
    <t>Phosporic Acid (PA)</t>
  </si>
  <si>
    <t>Kg/MT CPO</t>
  </si>
  <si>
    <t>Total BE Brand</t>
  </si>
  <si>
    <t xml:space="preserve">Kg </t>
  </si>
  <si>
    <t>Bleaching Earth (BE) to Branded Spec</t>
  </si>
  <si>
    <t>Total CPO Brand</t>
  </si>
  <si>
    <t>Bleaching Earth (BE) to Poram Spec</t>
  </si>
  <si>
    <t>Chemical</t>
  </si>
  <si>
    <t>CHEMICAL CONSUMABLE</t>
  </si>
  <si>
    <t>MT RBDPO Brand</t>
  </si>
  <si>
    <t>Soft Stearin</t>
  </si>
  <si>
    <t>MT CPO</t>
  </si>
  <si>
    <t>Olein IV 60</t>
  </si>
  <si>
    <t>Stearin</t>
  </si>
  <si>
    <t>Olein IV 58</t>
  </si>
  <si>
    <t>Olein IV 56</t>
  </si>
  <si>
    <t>PFAD</t>
  </si>
  <si>
    <t xml:space="preserve">RBDPO </t>
  </si>
  <si>
    <t xml:space="preserve">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</si>
  <si>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</si>
  <si>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</si>
  <si>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</si>
  <si>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</si>
  <si>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</si>
  <si>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</si>
  <si>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</si>
  <si>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</si>
  <si>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</si>
  <si>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58</t>
  </si>
  <si>
    <t>Kg/MT</t>
  </si>
  <si>
    <t>Diff</t>
  </si>
  <si>
    <t>Salvaco 2L</t>
  </si>
  <si>
    <t>Fractionation OLEIN IV 58</t>
  </si>
  <si>
    <t>Report Prod</t>
  </si>
  <si>
    <t>Salvaco 1L</t>
  </si>
  <si>
    <t>Steam Ref</t>
  </si>
  <si>
    <t>INL 900 ml</t>
  </si>
  <si>
    <t xml:space="preserve">HP Boiler </t>
  </si>
  <si>
    <t>OLEIN IV 56</t>
  </si>
  <si>
    <t>CPO Feed - Sounding</t>
  </si>
  <si>
    <t>CPO Olah</t>
  </si>
  <si>
    <t>RBDPO Consume</t>
  </si>
  <si>
    <t>Fractionation OLEIN IV 56</t>
  </si>
  <si>
    <t>Oktober</t>
  </si>
  <si>
    <t>Agustus</t>
  </si>
  <si>
    <t>Items</t>
  </si>
  <si>
    <t>Tahun 2021</t>
  </si>
  <si>
    <t>RbdPO</t>
  </si>
  <si>
    <t>Sisa Product OIP</t>
  </si>
  <si>
    <t>Juni</t>
  </si>
  <si>
    <t>Product OIP</t>
  </si>
  <si>
    <t>Product</t>
  </si>
  <si>
    <t>2,20 Min</t>
  </si>
  <si>
    <t>- DOBI</t>
  </si>
  <si>
    <t>- Moist &amp; Impurities</t>
  </si>
  <si>
    <t>- FFA</t>
  </si>
  <si>
    <t>COL Consume</t>
  </si>
  <si>
    <t>RBDPO Olah</t>
  </si>
  <si>
    <t>CPO</t>
  </si>
  <si>
    <t>15 Juni</t>
  </si>
  <si>
    <t>14 Juni</t>
  </si>
  <si>
    <t>Poram</t>
  </si>
  <si>
    <t>Day</t>
  </si>
  <si>
    <t>Running Days</t>
  </si>
  <si>
    <t>Production</t>
  </si>
  <si>
    <t>Sounding</t>
  </si>
  <si>
    <t>PRODUCTION</t>
  </si>
  <si>
    <t>Maret 2022</t>
  </si>
  <si>
    <t>Total  Received</t>
  </si>
  <si>
    <t>Transportation (Loss)/Gain</t>
  </si>
  <si>
    <t>Receiving Weight</t>
  </si>
  <si>
    <t>D/O Weight</t>
  </si>
  <si>
    <t>CPO Swasta</t>
  </si>
  <si>
    <t>Inc. CPO Tolling UOI</t>
  </si>
  <si>
    <t>Tahun 2022</t>
  </si>
  <si>
    <t>Incoming CPO (Swasta) WB</t>
  </si>
  <si>
    <t>Transfer (Loss)/Gain</t>
  </si>
  <si>
    <t>Receiving (base on Sounding)</t>
  </si>
  <si>
    <t>Delivery (base on Sounding)</t>
  </si>
  <si>
    <t>CPO Group</t>
  </si>
  <si>
    <t>Inc. CPO Piping Line -Dryport</t>
  </si>
  <si>
    <t>Inc. CPO Piping Line -PKS Sei Mangkei</t>
  </si>
  <si>
    <t>Incoming CPO (Group) WB</t>
  </si>
  <si>
    <t>TOTAL
(Kg)</t>
  </si>
  <si>
    <t>UoM</t>
  </si>
  <si>
    <t>Budget / Norma</t>
  </si>
  <si>
    <t>ITEM</t>
  </si>
  <si>
    <t>No</t>
  </si>
  <si>
    <t>PRODUCTION REPORT</t>
  </si>
  <si>
    <t>,</t>
  </si>
  <si>
    <t>box</t>
  </si>
  <si>
    <t>kg</t>
  </si>
  <si>
    <t>actual</t>
  </si>
  <si>
    <t>budget</t>
  </si>
  <si>
    <t>PACKAGING (Minyakita Standing Pouch)</t>
  </si>
  <si>
    <t>Olein IV 57 Consume</t>
  </si>
  <si>
    <t xml:space="preserve">Minyakita SP 1 L  </t>
  </si>
  <si>
    <t>Total Pemakaian Olein</t>
  </si>
  <si>
    <r>
      <t>m</t>
    </r>
    <r>
      <rPr>
        <vertAlign val="superscript"/>
        <sz val="11"/>
        <rFont val="Arial"/>
        <family val="2"/>
      </rPr>
      <t>3</t>
    </r>
  </si>
  <si>
    <t>Olein IV 57 Received</t>
  </si>
  <si>
    <t>INL 900 mL</t>
  </si>
  <si>
    <t>INL 1.8 L</t>
  </si>
  <si>
    <t>Olein Received IV 57</t>
  </si>
  <si>
    <t>Olein Received IV 58</t>
  </si>
  <si>
    <t>Olein Received IV 60</t>
  </si>
  <si>
    <t>Total Olein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</si>
</sst>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-* #,##0.0000_-;\-* #,##0.0000_-;_-* &quot;-&quot;_-;_-@_-"/>
    <numFmt numFmtId="172" formatCode="_(* #,##0.0000_);_(* \(#,##0.0000\);_(* &quot;-&quot;??.000_);_(@_)"/>
    <numFmt numFmtId="173" formatCode="_(* #,##0.0000_);_(* \(#,##0.0000\);_(* &quot;-&quot;??.00_);_(@_)"/>
    <numFmt numFmtId="174" formatCode="_(* #,##0.0000_);_(* \(#,##0.0000\);_(* &quot;-&quot;??.0000_);_(@_)"/>
    <numFmt numFmtId="175" formatCode="_(* #,##0.00_);_(* \(#,##0.00\);_(* &quot;-&quot;??.0_);_(@_)"/>
    <numFmt numFmtId="176" formatCode="_-* #,##0_-;\-* #,##0_-;_-* &quot;-&quot;??_-;_-@_-"/>
    <numFmt numFmtId="177" formatCode="0.000"/>
    <numFmt numFmtId="178" formatCode="_(* #,##0.0_);_(* \(#,##0.0\);_(* &quot;-&quot;??.0_);_(@_)"/>
    <numFmt numFmtId="179" formatCode="_(* #,##0.000_);_(* \(#,##0.000\);_(* &quot;-&quot;??.00_);_(@_)"/>
    <numFmt numFmtId="180" formatCode="_(* #.##0_);_(* \(#.##0\);_(* &quot;-&quot;??_);_(@_)"/>
    <numFmt numFmtId="181" formatCode="0.00_);\(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vertAlign val="superscript"/>
      <sz val="1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8">
    <xf numFmtId="0" fontId="0" fillId="0" borderId="0" xfId="0"/>
    <xf numFmtId="0" fontId="2" fillId="0" borderId="0" xfId="0" applyFont="1"/>
    <xf numFmtId="0" fontId="2" fillId="2" borderId="0" xfId="0" applyFont="1" applyFill="1"/>
    <xf numFmtId="165" fontId="2" fillId="2" borderId="0" xfId="2" applyNumberFormat="1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5" fontId="2" fillId="0" borderId="0" xfId="2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41" fontId="3" fillId="0" borderId="0" xfId="2" applyFont="1"/>
    <xf numFmtId="165" fontId="3" fillId="0" borderId="0" xfId="2" applyNumberFormat="1" applyFont="1"/>
    <xf numFmtId="0" fontId="3" fillId="0" borderId="0" xfId="0" applyFont="1" applyAlignment="1">
      <alignment horizontal="center"/>
    </xf>
    <xf numFmtId="166" fontId="3" fillId="0" borderId="0" xfId="1" applyNumberFormat="1" applyFont="1"/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5" fontId="2" fillId="0" borderId="0" xfId="2" applyNumberFormat="1" applyFont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0" fontId="2" fillId="2" borderId="0" xfId="0" applyFont="1" applyFill="1" applyAlignment="1">
      <alignment horizontal="center"/>
    </xf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6" fontId="2" fillId="0" borderId="0" xfId="1" applyNumberFormat="1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5" fontId="2" fillId="0" borderId="0" xfId="2" applyNumberFormat="1" applyFont="1" applyFill="1" applyAlignment="1">
      <alignment vertical="center"/>
    </xf>
    <xf numFmtId="41" fontId="2" fillId="0" borderId="0" xfId="2" applyFont="1" applyFill="1" applyAlignment="1">
      <alignment vertical="center"/>
    </xf>
    <xf numFmtId="166" fontId="2" fillId="0" borderId="0" xfId="1" applyNumberFormat="1" applyFont="1" applyFill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2" fillId="2" borderId="0" xfId="2" applyFont="1" applyFill="1" applyAlignment="1">
      <alignment vertical="center"/>
    </xf>
    <xf numFmtId="176" fontId="2" fillId="2" borderId="0" xfId="0" applyNumberFormat="1" applyFont="1" applyFill="1"/>
    <xf numFmtId="177" fontId="2" fillId="2" borderId="0" xfId="0" applyNumberFormat="1" applyFont="1" applyFill="1"/>
    <xf numFmtId="166" fontId="2" fillId="0" borderId="0" xfId="1" applyNumberFormat="1" applyFont="1" applyFill="1" applyAlignment="1">
      <alignment horizontal="right"/>
    </xf>
    <xf numFmtId="41" fontId="3" fillId="2" borderId="0" xfId="2" applyFont="1" applyFill="1"/>
    <xf numFmtId="41" fontId="3" fillId="2" borderId="0" xfId="2" applyFont="1" applyFill="1" applyAlignment="1">
      <alignment horizontal="center"/>
    </xf>
    <xf numFmtId="165" fontId="3" fillId="0" borderId="0" xfId="2" applyNumberFormat="1" applyFont="1" applyFill="1"/>
    <xf numFmtId="41" fontId="3" fillId="0" borderId="0" xfId="2" applyFont="1" applyFill="1"/>
    <xf numFmtId="166" fontId="3" fillId="0" borderId="0" xfId="1" applyNumberFormat="1" applyFont="1" applyFill="1"/>
    <xf numFmtId="167" fontId="2" fillId="0" borderId="3" xfId="0" applyNumberFormat="1" applyFont="1" applyBorder="1"/>
    <xf numFmtId="9" fontId="2" fillId="0" borderId="0" xfId="2" applyNumberFormat="1" applyFont="1" applyFill="1"/>
    <xf numFmtId="41" fontId="2" fillId="2" borderId="0" xfId="2" applyFont="1" applyFill="1" applyAlignment="1">
      <alignment horizontal="center"/>
    </xf>
    <xf numFmtId="171" fontId="2" fillId="0" borderId="0" xfId="2" applyNumberFormat="1" applyFont="1" applyFill="1" applyAlignment="1">
      <alignment vertical="center"/>
    </xf>
    <xf numFmtId="43" fontId="2" fillId="0" borderId="0" xfId="0" applyNumberFormat="1" applyFont="1"/>
    <xf numFmtId="164" fontId="2" fillId="0" borderId="0" xfId="0" applyNumberFormat="1" applyFont="1"/>
    <xf numFmtId="165" fontId="3" fillId="2" borderId="0" xfId="2" applyNumberFormat="1" applyFont="1" applyFill="1"/>
    <xf numFmtId="165" fontId="3" fillId="2" borderId="0" xfId="2" applyNumberFormat="1" applyFont="1" applyFill="1" applyAlignment="1">
      <alignment horizontal="center"/>
    </xf>
    <xf numFmtId="165" fontId="3" fillId="2" borderId="3" xfId="2" applyNumberFormat="1" applyFont="1" applyFill="1" applyBorder="1"/>
    <xf numFmtId="165" fontId="8" fillId="2" borderId="0" xfId="2" applyNumberFormat="1" applyFont="1" applyFill="1"/>
    <xf numFmtId="166" fontId="2" fillId="2" borderId="0" xfId="0" applyNumberFormat="1" applyFont="1" applyFill="1"/>
    <xf numFmtId="166" fontId="2" fillId="2" borderId="0" xfId="1" applyNumberFormat="1" applyFont="1" applyFill="1"/>
    <xf numFmtId="164" fontId="2" fillId="2" borderId="3" xfId="0" applyNumberFormat="1" applyFont="1" applyFill="1" applyBorder="1"/>
    <xf numFmtId="164" fontId="2" fillId="2" borderId="0" xfId="0" applyNumberFormat="1" applyFont="1" applyFill="1"/>
    <xf numFmtId="0" fontId="9" fillId="2" borderId="0" xfId="0" applyFont="1" applyFill="1"/>
    <xf numFmtId="179" fontId="2" fillId="0" borderId="3" xfId="1" applyNumberFormat="1" applyFont="1" applyBorder="1"/>
    <xf numFmtId="0" fontId="5" fillId="0" borderId="0" xfId="0" applyFont="1"/>
    <xf numFmtId="179" fontId="5" fillId="0" borderId="4" xfId="1" applyNumberFormat="1" applyFont="1" applyFill="1" applyBorder="1"/>
    <xf numFmtId="166" fontId="2" fillId="0" borderId="9" xfId="0" applyNumberFormat="1" applyFont="1" applyBorder="1"/>
    <xf numFmtId="41" fontId="3" fillId="3" borderId="0" xfId="2" applyFont="1" applyFill="1"/>
    <xf numFmtId="165" fontId="3" fillId="3" borderId="0" xfId="2" applyNumberFormat="1" applyFont="1" applyFill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6" fontId="10" fillId="0" borderId="5" xfId="0" applyNumberFormat="1" applyFont="1" applyBorder="1"/>
    <xf numFmtId="166" fontId="2" fillId="0" borderId="3" xfId="1" applyNumberFormat="1" applyFont="1" applyBorder="1" applyAlignment="1">
      <alignment vertical="center"/>
    </xf>
    <xf numFmtId="0" fontId="3" fillId="0" borderId="0" xfId="0" applyFont="1"/>
    <xf numFmtId="165" fontId="2" fillId="2" borderId="0" xfId="2" applyNumberFormat="1" applyFont="1" applyFill="1" applyAlignment="1">
      <alignment vertical="center"/>
    </xf>
    <xf numFmtId="41" fontId="2" fillId="3" borderId="0" xfId="2" applyFont="1" applyFill="1"/>
    <xf numFmtId="41" fontId="2" fillId="0" borderId="0" xfId="2" applyFont="1" applyAlignment="1">
      <alignment horizontal="left"/>
    </xf>
    <xf numFmtId="165" fontId="2" fillId="0" borderId="13" xfId="2" applyNumberFormat="1" applyFont="1" applyFill="1" applyBorder="1"/>
    <xf numFmtId="165" fontId="2" fillId="0" borderId="14" xfId="2" applyNumberFormat="1" applyFont="1" applyFill="1" applyBorder="1"/>
    <xf numFmtId="165" fontId="2" fillId="0" borderId="15" xfId="2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41" fontId="2" fillId="0" borderId="16" xfId="2" applyFont="1" applyBorder="1"/>
    <xf numFmtId="41" fontId="2" fillId="0" borderId="0" xfId="2" applyFont="1" applyBorder="1"/>
    <xf numFmtId="41" fontId="2" fillId="0" borderId="17" xfId="2" applyFont="1" applyBorder="1"/>
    <xf numFmtId="0" fontId="3" fillId="0" borderId="17" xfId="0" applyFont="1" applyBorder="1"/>
    <xf numFmtId="165" fontId="5" fillId="0" borderId="16" xfId="2" applyNumberFormat="1" applyFont="1" applyBorder="1"/>
    <xf numFmtId="165" fontId="2" fillId="0" borderId="0" xfId="2" applyNumberFormat="1" applyFont="1" applyBorder="1"/>
    <xf numFmtId="165" fontId="5" fillId="0" borderId="17" xfId="2" applyNumberFormat="1" applyFont="1" applyBorder="1"/>
    <xf numFmtId="0" fontId="5" fillId="0" borderId="0" xfId="0" applyFont="1" applyAlignment="1">
      <alignment horizontal="center"/>
    </xf>
    <xf numFmtId="0" fontId="11" fillId="0" borderId="17" xfId="0" applyFont="1" applyBorder="1"/>
    <xf numFmtId="41" fontId="2" fillId="0" borderId="0" xfId="2" applyFont="1" applyFill="1" applyBorder="1"/>
    <xf numFmtId="9" fontId="2" fillId="0" borderId="0" xfId="0" applyNumberFormat="1" applyFont="1"/>
    <xf numFmtId="165" fontId="2" fillId="3" borderId="0" xfId="2" applyNumberFormat="1" applyFont="1" applyFill="1"/>
    <xf numFmtId="41" fontId="2" fillId="0" borderId="0" xfId="2" applyFont="1" applyAlignment="1">
      <alignment horizontal="center"/>
    </xf>
    <xf numFmtId="41" fontId="2" fillId="0" borderId="13" xfId="2" applyFont="1" applyBorder="1"/>
    <xf numFmtId="41" fontId="2" fillId="0" borderId="14" xfId="2" applyFont="1" applyBorder="1"/>
    <xf numFmtId="41" fontId="2" fillId="0" borderId="15" xfId="2" applyFont="1" applyBorder="1"/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1" fontId="3" fillId="3" borderId="0" xfId="0" applyNumberFormat="1" applyFont="1" applyFill="1"/>
    <xf numFmtId="176" fontId="2" fillId="3" borderId="0" xfId="0" applyNumberFormat="1" applyFont="1" applyFill="1"/>
    <xf numFmtId="41" fontId="2" fillId="0" borderId="18" xfId="2" applyFont="1" applyBorder="1" applyAlignment="1">
      <alignment horizontal="center"/>
    </xf>
    <xf numFmtId="41" fontId="2" fillId="0" borderId="19" xfId="2" applyFont="1" applyBorder="1" applyAlignment="1">
      <alignment horizontal="center"/>
    </xf>
    <xf numFmtId="41" fontId="2" fillId="0" borderId="20" xfId="2" applyFont="1" applyBorder="1" applyAlignment="1"/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0" xfId="0" applyFont="1" applyFill="1"/>
    <xf numFmtId="0" fontId="2" fillId="0" borderId="0" xfId="0" applyFont="1" applyAlignment="1">
      <alignment horizontal="left"/>
    </xf>
    <xf numFmtId="43" fontId="2" fillId="2" borderId="0" xfId="0" applyNumberFormat="1" applyFont="1" applyFill="1"/>
    <xf numFmtId="165" fontId="3" fillId="2" borderId="0" xfId="0" applyNumberFormat="1" applyFont="1" applyFill="1"/>
    <xf numFmtId="41" fontId="5" fillId="0" borderId="0" xfId="2" applyFont="1"/>
    <xf numFmtId="165" fontId="5" fillId="0" borderId="4" xfId="2" applyNumberFormat="1" applyFont="1" applyFill="1" applyBorder="1"/>
    <xf numFmtId="10" fontId="2" fillId="0" borderId="0" xfId="0" applyNumberFormat="1" applyFont="1"/>
    <xf numFmtId="165" fontId="7" fillId="0" borderId="13" xfId="2" applyNumberFormat="1" applyFont="1" applyFill="1" applyBorder="1"/>
    <xf numFmtId="165" fontId="7" fillId="0" borderId="14" xfId="2" applyNumberFormat="1" applyFont="1" applyFill="1" applyBorder="1"/>
    <xf numFmtId="165" fontId="7" fillId="0" borderId="15" xfId="2" applyNumberFormat="1" applyFont="1" applyFill="1" applyBorder="1"/>
    <xf numFmtId="0" fontId="11" fillId="0" borderId="0" xfId="0" applyFont="1"/>
    <xf numFmtId="165" fontId="5" fillId="0" borderId="0" xfId="2" applyNumberFormat="1" applyFont="1"/>
    <xf numFmtId="41" fontId="11" fillId="2" borderId="0" xfId="2" applyFont="1" applyFill="1"/>
    <xf numFmtId="166" fontId="5" fillId="0" borderId="0" xfId="1" applyNumberFormat="1" applyFont="1"/>
    <xf numFmtId="0" fontId="5" fillId="0" borderId="4" xfId="0" applyFont="1" applyBorder="1" applyAlignment="1">
      <alignment horizontal="center"/>
    </xf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41" fontId="2" fillId="0" borderId="16" xfId="2" applyFont="1" applyFill="1" applyBorder="1"/>
    <xf numFmtId="41" fontId="2" fillId="0" borderId="17" xfId="2" applyFont="1" applyFill="1" applyBorder="1"/>
    <xf numFmtId="165" fontId="5" fillId="0" borderId="0" xfId="2" applyNumberFormat="1" applyFont="1" applyBorder="1"/>
    <xf numFmtId="166" fontId="2" fillId="0" borderId="0" xfId="1" applyNumberFormat="1" applyFont="1" applyAlignment="1">
      <alignment horizontal="center"/>
    </xf>
    <xf numFmtId="0" fontId="10" fillId="0" borderId="3" xfId="0" applyFont="1" applyBorder="1"/>
    <xf numFmtId="0" fontId="2" fillId="0" borderId="14" xfId="0" applyFont="1" applyBorder="1" applyAlignment="1">
      <alignment horizontal="center" vertical="center"/>
    </xf>
    <xf numFmtId="0" fontId="3" fillId="3" borderId="3" xfId="0" quotePrefix="1" applyFont="1" applyFill="1" applyBorder="1"/>
    <xf numFmtId="41" fontId="2" fillId="0" borderId="20" xfId="2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66" fontId="3" fillId="0" borderId="21" xfId="1" applyNumberFormat="1" applyFont="1" applyBorder="1" applyAlignment="1">
      <alignment vertical="center"/>
    </xf>
    <xf numFmtId="164" fontId="12" fillId="0" borderId="3" xfId="0" applyNumberFormat="1" applyFont="1" applyBorder="1"/>
    <xf numFmtId="164" fontId="12" fillId="0" borderId="0" xfId="0" applyNumberFormat="1" applyFont="1"/>
    <xf numFmtId="0" fontId="6" fillId="3" borderId="5" xfId="0" applyFont="1" applyFill="1" applyBorder="1" applyAlignment="1">
      <alignment vertical="center"/>
    </xf>
    <xf numFmtId="181" fontId="13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0" fontId="3" fillId="0" borderId="7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180" fontId="2" fillId="0" borderId="0" xfId="0" applyNumberFormat="1" applyFont="1"/>
    <xf numFmtId="167" fontId="2" fillId="0" borderId="0" xfId="0" applyNumberFormat="1" applyFont="1"/>
    <xf numFmtId="164" fontId="2" fillId="3" borderId="3" xfId="0" applyNumberFormat="1" applyFont="1" applyFill="1" applyBorder="1"/>
    <xf numFmtId="166" fontId="2" fillId="3" borderId="7" xfId="0" applyNumberFormat="1" applyFont="1" applyFill="1" applyBorder="1"/>
    <xf numFmtId="0" fontId="11" fillId="5" borderId="2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top"/>
    </xf>
    <xf numFmtId="0" fontId="11" fillId="3" borderId="6" xfId="0" applyFont="1" applyFill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6" fontId="11" fillId="3" borderId="22" xfId="1" applyNumberFormat="1" applyFont="1" applyFill="1" applyBorder="1" applyAlignment="1">
      <alignment horizontal="right" vertical="center"/>
    </xf>
    <xf numFmtId="166" fontId="11" fillId="0" borderId="22" xfId="1" applyNumberFormat="1" applyFont="1" applyFill="1" applyBorder="1" applyAlignment="1">
      <alignment horizontal="right" vertical="center"/>
    </xf>
    <xf numFmtId="166" fontId="11" fillId="2" borderId="22" xfId="1" applyNumberFormat="1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166" fontId="5" fillId="3" borderId="6" xfId="1" applyNumberFormat="1" applyFont="1" applyFill="1" applyBorder="1"/>
    <xf numFmtId="166" fontId="5" fillId="3" borderId="6" xfId="1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166" fontId="5" fillId="0" borderId="6" xfId="1" applyNumberFormat="1" applyFont="1" applyFill="1" applyBorder="1"/>
    <xf numFmtId="166" fontId="11" fillId="0" borderId="6" xfId="1" applyNumberFormat="1" applyFont="1" applyFill="1" applyBorder="1"/>
    <xf numFmtId="166" fontId="11" fillId="2" borderId="6" xfId="1" applyNumberFormat="1" applyFont="1" applyFill="1" applyBorder="1"/>
    <xf numFmtId="0" fontId="5" fillId="4" borderId="4" xfId="0" applyFont="1" applyFill="1" applyBorder="1"/>
    <xf numFmtId="166" fontId="5" fillId="6" borderId="4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6" fontId="5" fillId="4" borderId="4" xfId="1" applyNumberFormat="1" applyFont="1" applyFill="1" applyBorder="1"/>
    <xf numFmtId="0" fontId="16" fillId="2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4" borderId="4" xfId="0" quotePrefix="1" applyFont="1" applyFill="1" applyBorder="1"/>
    <xf numFmtId="0" fontId="5" fillId="4" borderId="4" xfId="0" quotePrefix="1" applyFont="1" applyFill="1" applyBorder="1" applyAlignment="1">
      <alignment horizontal="center"/>
    </xf>
    <xf numFmtId="0" fontId="15" fillId="0" borderId="6" xfId="0" applyFont="1" applyBorder="1"/>
    <xf numFmtId="0" fontId="17" fillId="6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41" fontId="5" fillId="6" borderId="4" xfId="2" applyFont="1" applyFill="1" applyBorder="1" applyAlignment="1">
      <alignment horizontal="center"/>
    </xf>
    <xf numFmtId="166" fontId="5" fillId="4" borderId="2" xfId="1" applyNumberFormat="1" applyFont="1" applyFill="1" applyBorder="1"/>
    <xf numFmtId="41" fontId="17" fillId="6" borderId="6" xfId="2" applyFont="1" applyFill="1" applyBorder="1" applyAlignment="1">
      <alignment horizontal="center"/>
    </xf>
    <xf numFmtId="180" fontId="5" fillId="0" borderId="6" xfId="1" applyNumberFormat="1" applyFont="1" applyFill="1" applyBorder="1"/>
    <xf numFmtId="166" fontId="11" fillId="0" borderId="6" xfId="1" applyNumberFormat="1" applyFont="1" applyFill="1" applyBorder="1" applyAlignment="1">
      <alignment horizontal="center"/>
    </xf>
    <xf numFmtId="166" fontId="11" fillId="2" borderId="6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vertical="center"/>
    </xf>
    <xf numFmtId="41" fontId="17" fillId="6" borderId="4" xfId="2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6" fontId="5" fillId="4" borderId="4" xfId="1" applyNumberFormat="1" applyFont="1" applyFill="1" applyBorder="1" applyAlignment="1">
      <alignment horizontal="center" vertical="center"/>
    </xf>
    <xf numFmtId="0" fontId="11" fillId="3" borderId="6" xfId="0" quotePrefix="1" applyFont="1" applyFill="1" applyBorder="1"/>
    <xf numFmtId="0" fontId="5" fillId="3" borderId="6" xfId="0" applyFont="1" applyFill="1" applyBorder="1" applyAlignment="1">
      <alignment horizontal="center"/>
    </xf>
    <xf numFmtId="0" fontId="5" fillId="2" borderId="4" xfId="0" quotePrefix="1" applyFont="1" applyFill="1" applyBorder="1"/>
    <xf numFmtId="0" fontId="5" fillId="2" borderId="4" xfId="0" quotePrefix="1" applyFont="1" applyFill="1" applyBorder="1" applyAlignment="1">
      <alignment horizontal="center"/>
    </xf>
    <xf numFmtId="0" fontId="11" fillId="3" borderId="6" xfId="0" applyFont="1" applyFill="1" applyBorder="1"/>
    <xf numFmtId="0" fontId="5" fillId="0" borderId="4" xfId="0" quotePrefix="1" applyFont="1" applyBorder="1" applyAlignment="1">
      <alignment horizontal="center"/>
    </xf>
    <xf numFmtId="0" fontId="5" fillId="0" borderId="4" xfId="0" applyFont="1" applyBorder="1"/>
    <xf numFmtId="0" fontId="5" fillId="0" borderId="12" xfId="0" quotePrefix="1" applyFont="1" applyBorder="1"/>
    <xf numFmtId="0" fontId="5" fillId="0" borderId="12" xfId="0" quotePrefix="1" applyFont="1" applyBorder="1" applyAlignment="1">
      <alignment horizontal="center"/>
    </xf>
    <xf numFmtId="166" fontId="5" fillId="0" borderId="12" xfId="1" applyNumberFormat="1" applyFont="1" applyFill="1" applyBorder="1"/>
    <xf numFmtId="0" fontId="5" fillId="0" borderId="11" xfId="0" applyFont="1" applyBorder="1"/>
    <xf numFmtId="0" fontId="5" fillId="6" borderId="11" xfId="0" applyFont="1" applyFill="1" applyBorder="1" applyAlignment="1">
      <alignment horizontal="center"/>
    </xf>
    <xf numFmtId="0" fontId="5" fillId="0" borderId="11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quotePrefix="1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6" xfId="0" quotePrefix="1" applyFont="1" applyFill="1" applyBorder="1"/>
    <xf numFmtId="175" fontId="5" fillId="6" borderId="6" xfId="1" applyNumberFormat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178" fontId="5" fillId="6" borderId="4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quotePrefix="1" applyFont="1" applyFill="1" applyBorder="1"/>
    <xf numFmtId="0" fontId="5" fillId="2" borderId="2" xfId="0" quotePrefix="1" applyFont="1" applyFill="1" applyBorder="1" applyAlignment="1">
      <alignment horizontal="center"/>
    </xf>
    <xf numFmtId="0" fontId="11" fillId="0" borderId="4" xfId="0" applyFont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4" xfId="2" applyNumberFormat="1" applyFont="1" applyFill="1" applyBorder="1"/>
    <xf numFmtId="41" fontId="11" fillId="0" borderId="4" xfId="2" applyFont="1" applyFill="1" applyBorder="1"/>
    <xf numFmtId="165" fontId="5" fillId="2" borderId="4" xfId="2" applyNumberFormat="1" applyFont="1" applyFill="1" applyBorder="1" applyAlignment="1">
      <alignment horizontal="center"/>
    </xf>
    <xf numFmtId="165" fontId="11" fillId="2" borderId="4" xfId="2" quotePrefix="1" applyNumberFormat="1" applyFont="1" applyFill="1" applyBorder="1"/>
    <xf numFmtId="165" fontId="11" fillId="2" borderId="4" xfId="2" applyNumberFormat="1" applyFont="1" applyFill="1" applyBorder="1" applyAlignment="1">
      <alignment horizontal="center"/>
    </xf>
    <xf numFmtId="165" fontId="11" fillId="2" borderId="4" xfId="2" quotePrefix="1" applyNumberFormat="1" applyFont="1" applyFill="1" applyBorder="1" applyAlignment="1">
      <alignment horizontal="center"/>
    </xf>
    <xf numFmtId="165" fontId="5" fillId="2" borderId="4" xfId="2" applyNumberFormat="1" applyFont="1" applyFill="1" applyBorder="1"/>
    <xf numFmtId="165" fontId="11" fillId="2" borderId="4" xfId="2" applyNumberFormat="1" applyFont="1" applyFill="1" applyBorder="1"/>
    <xf numFmtId="0" fontId="18" fillId="0" borderId="4" xfId="0" quotePrefix="1" applyFont="1" applyBorder="1"/>
    <xf numFmtId="165" fontId="5" fillId="0" borderId="4" xfId="1" applyNumberFormat="1" applyFont="1" applyFill="1" applyBorder="1"/>
    <xf numFmtId="0" fontId="5" fillId="0" borderId="4" xfId="0" quotePrefix="1" applyFont="1" applyBorder="1" applyAlignment="1">
      <alignment vertical="center"/>
    </xf>
    <xf numFmtId="0" fontId="5" fillId="0" borderId="4" xfId="0" quotePrefix="1" applyFont="1" applyBorder="1" applyAlignment="1">
      <alignment horizontal="center" vertical="center"/>
    </xf>
    <xf numFmtId="166" fontId="5" fillId="0" borderId="4" xfId="1" applyNumberFormat="1" applyFont="1" applyFill="1" applyBorder="1" applyAlignment="1">
      <alignment vertical="center"/>
    </xf>
    <xf numFmtId="166" fontId="5" fillId="0" borderId="8" xfId="1" applyNumberFormat="1" applyFont="1" applyFill="1" applyBorder="1" applyAlignment="1">
      <alignment wrapText="1"/>
    </xf>
    <xf numFmtId="41" fontId="5" fillId="0" borderId="8" xfId="2" applyFont="1" applyFill="1" applyBorder="1" applyAlignment="1">
      <alignment wrapText="1"/>
    </xf>
    <xf numFmtId="0" fontId="11" fillId="0" borderId="4" xfId="0" quotePrefix="1" applyFont="1" applyBorder="1"/>
    <xf numFmtId="0" fontId="11" fillId="6" borderId="4" xfId="0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/>
    </xf>
    <xf numFmtId="166" fontId="11" fillId="0" borderId="4" xfId="1" applyNumberFormat="1" applyFont="1" applyFill="1" applyBorder="1" applyAlignment="1">
      <alignment vertical="center"/>
    </xf>
    <xf numFmtId="167" fontId="5" fillId="0" borderId="4" xfId="1" applyNumberFormat="1" applyFont="1" applyFill="1" applyBorder="1"/>
    <xf numFmtId="41" fontId="5" fillId="0" borderId="4" xfId="2" applyFont="1" applyFill="1" applyBorder="1"/>
    <xf numFmtId="0" fontId="5" fillId="3" borderId="6" xfId="0" quotePrefix="1" applyFont="1" applyFill="1" applyBorder="1" applyAlignment="1">
      <alignment horizontal="center"/>
    </xf>
    <xf numFmtId="0" fontId="5" fillId="3" borderId="4" xfId="0" applyFont="1" applyFill="1" applyBorder="1" applyAlignment="1">
      <alignment vertical="center"/>
    </xf>
    <xf numFmtId="166" fontId="5" fillId="3" borderId="4" xfId="1" applyNumberFormat="1" applyFont="1" applyFill="1" applyBorder="1"/>
    <xf numFmtId="175" fontId="5" fillId="6" borderId="4" xfId="1" applyNumberFormat="1" applyFont="1" applyFill="1" applyBorder="1" applyAlignment="1">
      <alignment horizontal="center"/>
    </xf>
    <xf numFmtId="171" fontId="5" fillId="0" borderId="4" xfId="2" applyNumberFormat="1" applyFont="1" applyFill="1" applyBorder="1"/>
    <xf numFmtId="174" fontId="5" fillId="0" borderId="4" xfId="1" applyNumberFormat="1" applyFont="1" applyFill="1" applyBorder="1"/>
    <xf numFmtId="173" fontId="5" fillId="0" borderId="4" xfId="1" applyNumberFormat="1" applyFont="1" applyFill="1" applyBorder="1"/>
    <xf numFmtId="172" fontId="5" fillId="0" borderId="4" xfId="1" applyNumberFormat="1" applyFont="1" applyFill="1" applyBorder="1"/>
    <xf numFmtId="0" fontId="11" fillId="0" borderId="2" xfId="0" applyFont="1" applyBorder="1" applyAlignment="1">
      <alignment horizontal="center"/>
    </xf>
    <xf numFmtId="0" fontId="11" fillId="0" borderId="2" xfId="0" quotePrefix="1" applyFont="1" applyBorder="1"/>
    <xf numFmtId="0" fontId="11" fillId="0" borderId="2" xfId="0" quotePrefix="1" applyFont="1" applyBorder="1" applyAlignment="1">
      <alignment horizontal="center"/>
    </xf>
    <xf numFmtId="168" fontId="11" fillId="0" borderId="2" xfId="1" applyNumberFormat="1" applyFont="1" applyFill="1" applyBorder="1"/>
    <xf numFmtId="0" fontId="11" fillId="3" borderId="4" xfId="0" quotePrefix="1" applyFont="1" applyFill="1" applyBorder="1"/>
    <xf numFmtId="0" fontId="11" fillId="3" borderId="4" xfId="0" applyFont="1" applyFill="1" applyBorder="1" applyAlignment="1">
      <alignment horizontal="center"/>
    </xf>
    <xf numFmtId="168" fontId="11" fillId="3" borderId="4" xfId="1" applyNumberFormat="1" applyFont="1" applyFill="1" applyBorder="1"/>
    <xf numFmtId="166" fontId="5" fillId="2" borderId="4" xfId="1" applyNumberFormat="1" applyFont="1" applyFill="1" applyBorder="1"/>
    <xf numFmtId="166" fontId="11" fillId="0" borderId="4" xfId="1" applyNumberFormat="1" applyFont="1" applyFill="1" applyBorder="1"/>
    <xf numFmtId="166" fontId="11" fillId="6" borderId="4" xfId="1" applyNumberFormat="1" applyFont="1" applyFill="1" applyBorder="1" applyAlignment="1">
      <alignment horizontal="center"/>
    </xf>
    <xf numFmtId="0" fontId="11" fillId="0" borderId="4" xfId="0" quotePrefix="1" applyFont="1" applyBorder="1" applyAlignment="1">
      <alignment vertical="center"/>
    </xf>
    <xf numFmtId="165" fontId="5" fillId="0" borderId="4" xfId="2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horizontal="center"/>
    </xf>
    <xf numFmtId="0" fontId="11" fillId="2" borderId="4" xfId="0" quotePrefix="1" applyFont="1" applyFill="1" applyBorder="1"/>
    <xf numFmtId="0" fontId="5" fillId="6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center"/>
    </xf>
    <xf numFmtId="0" fontId="11" fillId="2" borderId="2" xfId="0" quotePrefix="1" applyFont="1" applyFill="1" applyBorder="1"/>
    <xf numFmtId="0" fontId="11" fillId="6" borderId="2" xfId="0" applyFont="1" applyFill="1" applyBorder="1" applyAlignment="1">
      <alignment horizontal="center"/>
    </xf>
    <xf numFmtId="0" fontId="11" fillId="2" borderId="2" xfId="0" quotePrefix="1" applyFont="1" applyFill="1" applyBorder="1" applyAlignment="1">
      <alignment horizontal="center"/>
    </xf>
    <xf numFmtId="166" fontId="11" fillId="0" borderId="2" xfId="1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11" fillId="3" borderId="4" xfId="0" quotePrefix="1" applyFont="1" applyFill="1" applyBorder="1" applyAlignment="1">
      <alignment horizontal="center"/>
    </xf>
    <xf numFmtId="166" fontId="2" fillId="3" borderId="3" xfId="0" applyNumberFormat="1" applyFont="1" applyFill="1" applyBorder="1"/>
    <xf numFmtId="166" fontId="7" fillId="0" borderId="4" xfId="1" applyNumberFormat="1" applyFont="1" applyFill="1" applyBorder="1"/>
    <xf numFmtId="166" fontId="5" fillId="2" borderId="4" xfId="1" applyNumberFormat="1" applyFont="1" applyFill="1" applyBorder="1" applyAlignment="1">
      <alignment horizontal="right" vertical="center"/>
    </xf>
    <xf numFmtId="166" fontId="5" fillId="0" borderId="2" xfId="1" applyNumberFormat="1" applyFont="1" applyFill="1" applyBorder="1"/>
    <xf numFmtId="43" fontId="5" fillId="0" borderId="2" xfId="1" applyFont="1" applyFill="1" applyBorder="1" applyAlignment="1">
      <alignment horizontal="right" vertical="center"/>
    </xf>
    <xf numFmtId="43" fontId="5" fillId="0" borderId="4" xfId="1" applyFont="1" applyFill="1" applyBorder="1" applyAlignment="1">
      <alignment horizontal="right" vertical="center"/>
    </xf>
    <xf numFmtId="43" fontId="5" fillId="0" borderId="6" xfId="1" applyFont="1" applyFill="1" applyBorder="1"/>
    <xf numFmtId="43" fontId="5" fillId="6" borderId="4" xfId="1" applyFont="1" applyFill="1" applyBorder="1" applyAlignment="1">
      <alignment horizontal="center"/>
    </xf>
    <xf numFmtId="43" fontId="5" fillId="6" borderId="4" xfId="1" applyFont="1" applyFill="1" applyBorder="1" applyAlignment="1">
      <alignment horizontal="right"/>
    </xf>
    <xf numFmtId="43" fontId="5" fillId="0" borderId="4" xfId="1" applyFont="1" applyFill="1" applyBorder="1"/>
    <xf numFmtId="43" fontId="2" fillId="0" borderId="3" xfId="1" applyFont="1" applyBorder="1"/>
    <xf numFmtId="43" fontId="2" fillId="0" borderId="0" xfId="1" applyFont="1" applyFill="1" applyBorder="1"/>
    <xf numFmtId="43" fontId="7" fillId="0" borderId="4" xfId="1" applyFont="1" applyFill="1" applyBorder="1"/>
    <xf numFmtId="43" fontId="7" fillId="0" borderId="3" xfId="1" applyFont="1" applyBorder="1"/>
    <xf numFmtId="43" fontId="2" fillId="0" borderId="0" xfId="1" applyFont="1"/>
    <xf numFmtId="43" fontId="5" fillId="6" borderId="12" xfId="1" applyFont="1" applyFill="1" applyBorder="1" applyAlignment="1">
      <alignment horizontal="center"/>
    </xf>
    <xf numFmtId="43" fontId="5" fillId="0" borderId="11" xfId="1" applyFont="1" applyFill="1" applyBorder="1"/>
    <xf numFmtId="43" fontId="2" fillId="0" borderId="10" xfId="1" applyFont="1" applyBorder="1"/>
    <xf numFmtId="43" fontId="9" fillId="0" borderId="5" xfId="1" applyFont="1" applyFill="1" applyBorder="1"/>
    <xf numFmtId="43" fontId="2" fillId="0" borderId="0" xfId="1" applyFont="1" applyFill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5" fillId="3" borderId="6" xfId="1" applyFont="1" applyFill="1" applyBorder="1" applyAlignment="1">
      <alignment horizontal="center"/>
    </xf>
    <xf numFmtId="43" fontId="5" fillId="3" borderId="6" xfId="1" applyFont="1" applyFill="1" applyBorder="1"/>
    <xf numFmtId="43" fontId="5" fillId="3" borderId="4" xfId="1" applyFont="1" applyFill="1" applyBorder="1"/>
    <xf numFmtId="43" fontId="5" fillId="3" borderId="4" xfId="1" applyFont="1" applyFill="1" applyBorder="1" applyAlignment="1">
      <alignment horizontal="center"/>
    </xf>
    <xf numFmtId="43" fontId="5" fillId="2" borderId="4" xfId="1" applyFont="1" applyFill="1" applyBorder="1"/>
    <xf numFmtId="43" fontId="5" fillId="6" borderId="2" xfId="1" applyFont="1" applyFill="1" applyBorder="1" applyAlignment="1">
      <alignment horizontal="center"/>
    </xf>
    <xf numFmtId="43" fontId="5" fillId="0" borderId="2" xfId="1" applyFont="1" applyFill="1" applyBorder="1"/>
    <xf numFmtId="43" fontId="11" fillId="6" borderId="2" xfId="1" applyFont="1" applyFill="1" applyBorder="1" applyAlignment="1">
      <alignment horizontal="center"/>
    </xf>
    <xf numFmtId="43" fontId="3" fillId="3" borderId="5" xfId="1" applyFont="1" applyFill="1" applyBorder="1"/>
    <xf numFmtId="43" fontId="5" fillId="6" borderId="4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vertical="center"/>
    </xf>
    <xf numFmtId="43" fontId="3" fillId="0" borderId="3" xfId="1" applyFont="1" applyBorder="1" applyAlignment="1">
      <alignment vertical="center"/>
    </xf>
    <xf numFmtId="43" fontId="5" fillId="6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11" fillId="2" borderId="4" xfId="1" applyNumberFormat="1" applyFont="1" applyFill="1" applyBorder="1"/>
    <xf numFmtId="165" fontId="11" fillId="0" borderId="4" xfId="2" applyNumberFormat="1" applyFont="1" applyBorder="1" applyAlignment="1">
      <alignment horizontal="center"/>
    </xf>
    <xf numFmtId="165" fontId="11" fillId="3" borderId="22" xfId="2" applyNumberFormat="1" applyFont="1" applyFill="1" applyBorder="1" applyAlignment="1">
      <alignment vertical="center"/>
    </xf>
    <xf numFmtId="165" fontId="11" fillId="3" borderId="22" xfId="2" applyNumberFormat="1" applyFont="1" applyFill="1" applyBorder="1" applyAlignment="1">
      <alignment horizontal="center"/>
    </xf>
    <xf numFmtId="165" fontId="11" fillId="3" borderId="22" xfId="2" quotePrefix="1" applyNumberFormat="1" applyFont="1" applyFill="1" applyBorder="1" applyAlignment="1">
      <alignment horizontal="center"/>
    </xf>
    <xf numFmtId="165" fontId="11" fillId="3" borderId="22" xfId="2" applyNumberFormat="1" applyFont="1" applyFill="1" applyBorder="1"/>
    <xf numFmtId="165" fontId="8" fillId="0" borderId="0" xfId="2" applyNumberFormat="1" applyFont="1"/>
    <xf numFmtId="41" fontId="3" fillId="3" borderId="7" xfId="2" applyFont="1" applyFill="1" applyBorder="1"/>
    <xf numFmtId="165" fontId="20" fillId="0" borderId="0" xfId="2" applyNumberFormat="1" applyFont="1"/>
    <xf numFmtId="165" fontId="3" fillId="0" borderId="0" xfId="2" applyNumberFormat="1" applyFont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2" fillId="3" borderId="0" xfId="0" applyFont="1" applyFill="1"/>
    <xf numFmtId="0" fontId="11" fillId="3" borderId="22" xfId="0" applyFont="1" applyFill="1" applyBorder="1" applyAlignment="1">
      <alignment horizontal="center" vertical="center" wrapText="1"/>
    </xf>
    <xf numFmtId="166" fontId="5" fillId="3" borderId="4" xfId="1" applyNumberFormat="1" applyFont="1" applyFill="1" applyBorder="1" applyAlignment="1">
      <alignment horizontal="right" vertical="center"/>
    </xf>
    <xf numFmtId="43" fontId="5" fillId="3" borderId="2" xfId="1" applyFont="1" applyFill="1" applyBorder="1" applyAlignment="1">
      <alignment horizontal="right" vertical="center"/>
    </xf>
    <xf numFmtId="43" fontId="5" fillId="3" borderId="4" xfId="1" applyFont="1" applyFill="1" applyBorder="1" applyAlignment="1">
      <alignment horizontal="right" vertical="center"/>
    </xf>
    <xf numFmtId="165" fontId="5" fillId="3" borderId="4" xfId="2" applyNumberFormat="1" applyFont="1" applyFill="1" applyBorder="1"/>
    <xf numFmtId="166" fontId="7" fillId="3" borderId="4" xfId="1" applyNumberFormat="1" applyFont="1" applyFill="1" applyBorder="1"/>
    <xf numFmtId="43" fontId="7" fillId="3" borderId="4" xfId="1" applyFont="1" applyFill="1" applyBorder="1"/>
    <xf numFmtId="166" fontId="5" fillId="3" borderId="12" xfId="1" applyNumberFormat="1" applyFont="1" applyFill="1" applyBorder="1"/>
    <xf numFmtId="43" fontId="5" fillId="3" borderId="11" xfId="1" applyFont="1" applyFill="1" applyBorder="1"/>
    <xf numFmtId="179" fontId="5" fillId="3" borderId="4" xfId="1" applyNumberFormat="1" applyFont="1" applyFill="1" applyBorder="1"/>
    <xf numFmtId="165" fontId="11" fillId="3" borderId="4" xfId="2" applyNumberFormat="1" applyFont="1" applyFill="1" applyBorder="1"/>
    <xf numFmtId="166" fontId="5" fillId="3" borderId="4" xfId="1" applyNumberFormat="1" applyFont="1" applyFill="1" applyBorder="1" applyAlignment="1">
      <alignment vertical="center"/>
    </xf>
    <xf numFmtId="41" fontId="5" fillId="3" borderId="8" xfId="2" applyFont="1" applyFill="1" applyBorder="1" applyAlignment="1">
      <alignment wrapText="1"/>
    </xf>
    <xf numFmtId="166" fontId="11" fillId="3" borderId="4" xfId="1" applyNumberFormat="1" applyFont="1" applyFill="1" applyBorder="1" applyAlignment="1">
      <alignment vertical="center"/>
    </xf>
    <xf numFmtId="43" fontId="11" fillId="3" borderId="4" xfId="1" applyFont="1" applyFill="1" applyBorder="1"/>
    <xf numFmtId="43" fontId="5" fillId="3" borderId="2" xfId="1" applyFont="1" applyFill="1" applyBorder="1"/>
    <xf numFmtId="168" fontId="5" fillId="3" borderId="4" xfId="1" applyNumberFormat="1" applyFont="1" applyFill="1" applyBorder="1"/>
    <xf numFmtId="171" fontId="5" fillId="3" borderId="4" xfId="2" applyNumberFormat="1" applyFont="1" applyFill="1" applyBorder="1"/>
    <xf numFmtId="172" fontId="5" fillId="3" borderId="4" xfId="1" applyNumberFormat="1" applyFont="1" applyFill="1" applyBorder="1"/>
    <xf numFmtId="168" fontId="11" fillId="3" borderId="2" xfId="1" applyNumberFormat="1" applyFont="1" applyFill="1" applyBorder="1"/>
    <xf numFmtId="166" fontId="11" fillId="3" borderId="4" xfId="1" applyNumberFormat="1" applyFont="1" applyFill="1" applyBorder="1"/>
    <xf numFmtId="43" fontId="5" fillId="3" borderId="4" xfId="1" applyFont="1" applyFill="1" applyBorder="1" applyAlignment="1">
      <alignment vertical="center"/>
    </xf>
    <xf numFmtId="165" fontId="5" fillId="3" borderId="4" xfId="2" applyNumberFormat="1" applyFont="1" applyFill="1" applyBorder="1" applyAlignment="1">
      <alignment vertical="center"/>
    </xf>
    <xf numFmtId="166" fontId="11" fillId="3" borderId="2" xfId="1" applyNumberFormat="1" applyFont="1" applyFill="1" applyBorder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VCW230"/>
  <sheetViews>
    <sheetView tabSelected="1" view="pageBreakPreview" topLeftCell="Y4" zoomScale="80" zoomScaleNormal="80" zoomScaleSheetLayoutView="80" workbookViewId="0">
      <selection activeCell="AN37" sqref="AN37"/>
    </sheetView>
  </sheetViews>
  <sheetFormatPr defaultColWidth="9.109375" defaultRowHeight="14.4" x14ac:dyDescent="0.3"/>
  <cols>
    <col min="1" max="4" width="9.109375" style="1"/>
    <col min="5" max="5" width="3.5546875" style="1" customWidth="1"/>
    <col min="6" max="6" width="4.88671875" style="1" customWidth="1"/>
    <col min="7" max="7" width="42.33203125" style="1" customWidth="1"/>
    <col min="8" max="8" width="11" style="1" customWidth="1"/>
    <col min="9" max="9" width="8.33203125" style="1" customWidth="1"/>
    <col min="10" max="10" width="17" style="1" customWidth="1"/>
    <col min="11" max="11" width="13.6640625" style="1" customWidth="1"/>
    <col min="12" max="12" width="15.109375" style="1" customWidth="1"/>
    <col min="13" max="13" width="14.5546875" style="1" customWidth="1"/>
    <col min="14" max="14" width="13.6640625" style="1" customWidth="1"/>
    <col min="15" max="15" width="13.6640625" style="343" customWidth="1"/>
    <col min="16" max="16" width="13.6640625" style="1" customWidth="1"/>
    <col min="17" max="17" width="13.5546875" style="1" customWidth="1"/>
    <col min="18" max="18" width="14" style="1" customWidth="1"/>
    <col min="19" max="20" width="13.6640625" style="1" customWidth="1"/>
    <col min="21" max="22" width="13.44140625" style="1" customWidth="1"/>
    <col min="23" max="23" width="16.44140625" style="1" customWidth="1"/>
    <col min="24" max="26" width="13.6640625" style="1" customWidth="1"/>
    <col min="27" max="31" width="13.5546875" style="1" customWidth="1"/>
    <col min="32" max="32" width="13.6640625" style="1" customWidth="1"/>
    <col min="33" max="33" width="14.5546875" style="1" customWidth="1"/>
    <col min="34" max="34" width="14" style="1" customWidth="1"/>
    <col min="35" max="40" width="13.6640625" style="1" customWidth="1"/>
    <col min="41" max="41" width="9.109375" style="1" customWidth="1"/>
    <col min="42" max="42" width="16.44140625" style="1" customWidth="1"/>
    <col min="43" max="44" width="13.6640625" style="1" hidden="1" customWidth="1"/>
    <col min="45" max="45" width="9.44140625" style="2" hidden="1" customWidth="1"/>
    <col min="46" max="46" width="12.44140625" style="3" hidden="1" customWidth="1"/>
    <col min="47" max="47" width="12.44140625" style="2" hidden="1" customWidth="1"/>
    <col min="48" max="48" width="9.44140625" style="2" hidden="1" customWidth="1"/>
    <col min="49" max="49" width="12.44140625" style="2" hidden="1" customWidth="1"/>
    <col min="50" max="50" width="9.44140625" style="2" hidden="1" customWidth="1"/>
    <col min="51" max="51" width="8.109375" style="2" hidden="1" customWidth="1"/>
    <col min="52" max="52" width="10.6640625" style="2" hidden="1" customWidth="1"/>
    <col min="53" max="53" width="12" style="2" customWidth="1"/>
    <col min="54" max="64" width="5.33203125" style="2" customWidth="1"/>
    <col min="65" max="79" width="9.109375" style="2" customWidth="1"/>
    <col min="80" max="81" width="9.109375" style="1" customWidth="1"/>
    <col min="82" max="82" width="8.109375" style="1" customWidth="1"/>
    <col min="83" max="91" width="9.109375" style="1" customWidth="1"/>
    <col min="92" max="92" width="14.5546875" style="1" customWidth="1"/>
    <col min="93" max="104" width="9.109375" style="1" customWidth="1"/>
    <col min="105" max="105" width="9.88671875" style="1" customWidth="1"/>
    <col min="106" max="106" width="9.109375" style="1" customWidth="1"/>
    <col min="107" max="107" width="9.109375" customWidth="1"/>
    <col min="108" max="115" width="9.109375" style="1" customWidth="1"/>
    <col min="116" max="144" width="9.109375" style="1"/>
    <col min="145" max="147" width="12.44140625" style="1" customWidth="1"/>
    <col min="148" max="203" width="9.109375" style="1"/>
    <col min="204" max="204" width="9.44140625" style="1" customWidth="1"/>
    <col min="205" max="438" width="9.109375" style="1"/>
    <col min="439" max="440" width="9.44140625" style="1" customWidth="1"/>
    <col min="441" max="441" width="9.109375" style="1"/>
    <col min="442" max="443" width="9.44140625" style="1" customWidth="1"/>
    <col min="444" max="454" width="9.109375" style="1"/>
    <col min="455" max="456" width="9.33203125" style="1" customWidth="1"/>
    <col min="457" max="844" width="9.109375" style="1"/>
    <col min="845" max="847" width="10.6640625" style="1" customWidth="1"/>
    <col min="848" max="856" width="9.109375" style="1"/>
    <col min="857" max="857" width="9.44140625" style="1" customWidth="1"/>
    <col min="858" max="858" width="10.6640625" style="1" customWidth="1"/>
    <col min="859" max="873" width="9.109375" style="1"/>
    <col min="874" max="874" width="11.33203125" style="1" customWidth="1"/>
    <col min="875" max="912" width="9.109375" style="1"/>
    <col min="913" max="914" width="9.33203125" style="1" customWidth="1"/>
    <col min="915" max="964" width="9.109375" style="1"/>
    <col min="965" max="965" width="13.6640625" style="1" customWidth="1"/>
    <col min="966" max="967" width="12.44140625" style="1" customWidth="1"/>
    <col min="968" max="16384" width="9.109375" style="1"/>
  </cols>
  <sheetData>
    <row r="1" spans="6:42" ht="17.399999999999999" x14ac:dyDescent="0.3">
      <c r="F1" s="340" t="s">
        <v>155</v>
      </c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  <c r="AI1" s="340"/>
      <c r="AJ1" s="340"/>
      <c r="AK1" s="340"/>
      <c r="AL1" s="340"/>
      <c r="AM1" s="340"/>
      <c r="AN1" s="340"/>
      <c r="AO1" s="340"/>
      <c r="AP1" s="340"/>
    </row>
    <row r="2" spans="6:42" ht="15" thickBot="1" x14ac:dyDescent="0.35">
      <c r="G2" s="155"/>
      <c r="H2" s="8"/>
      <c r="AE2" s="31"/>
      <c r="AF2" s="31"/>
    </row>
    <row r="3" spans="6:42" ht="15.75" customHeight="1" x14ac:dyDescent="0.3">
      <c r="F3" s="336" t="s">
        <v>154</v>
      </c>
      <c r="G3" s="336" t="s">
        <v>153</v>
      </c>
      <c r="H3" s="338" t="s">
        <v>152</v>
      </c>
      <c r="I3" s="336" t="s">
        <v>151</v>
      </c>
      <c r="J3" s="341" t="s">
        <v>110</v>
      </c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P3" s="154" t="s">
        <v>150</v>
      </c>
    </row>
    <row r="4" spans="6:42" x14ac:dyDescent="0.3">
      <c r="F4" s="337"/>
      <c r="G4" s="337"/>
      <c r="H4" s="339"/>
      <c r="I4" s="337"/>
      <c r="J4" s="159">
        <v>1</v>
      </c>
      <c r="K4" s="159">
        <v>2</v>
      </c>
      <c r="L4" s="159">
        <v>3</v>
      </c>
      <c r="M4" s="159">
        <v>4</v>
      </c>
      <c r="N4" s="159">
        <v>5</v>
      </c>
      <c r="O4" s="344">
        <v>6</v>
      </c>
      <c r="P4" s="159">
        <v>7</v>
      </c>
      <c r="Q4" s="159">
        <v>8</v>
      </c>
      <c r="R4" s="159">
        <v>9</v>
      </c>
      <c r="S4" s="159">
        <v>10</v>
      </c>
      <c r="T4" s="159">
        <v>11</v>
      </c>
      <c r="U4" s="159">
        <v>12</v>
      </c>
      <c r="V4" s="159">
        <v>13</v>
      </c>
      <c r="W4" s="159">
        <v>14</v>
      </c>
      <c r="X4" s="159">
        <v>15</v>
      </c>
      <c r="Y4" s="159">
        <v>16</v>
      </c>
      <c r="Z4" s="159">
        <v>17</v>
      </c>
      <c r="AA4" s="159">
        <v>18</v>
      </c>
      <c r="AB4" s="159">
        <v>19</v>
      </c>
      <c r="AC4" s="159">
        <v>20</v>
      </c>
      <c r="AD4" s="159">
        <v>21</v>
      </c>
      <c r="AE4" s="159">
        <v>22</v>
      </c>
      <c r="AF4" s="159">
        <v>23</v>
      </c>
      <c r="AG4" s="159">
        <v>24</v>
      </c>
      <c r="AH4" s="159">
        <v>25</v>
      </c>
      <c r="AI4" s="159">
        <v>26</v>
      </c>
      <c r="AJ4" s="159">
        <v>27</v>
      </c>
      <c r="AK4" s="159">
        <v>28</v>
      </c>
      <c r="AL4" s="159">
        <v>29</v>
      </c>
      <c r="AM4" s="159">
        <v>30</v>
      </c>
      <c r="AN4" s="159">
        <v>31</v>
      </c>
      <c r="AP4" s="153"/>
    </row>
    <row r="5" spans="6:42" ht="15" hidden="1" customHeight="1" x14ac:dyDescent="0.3">
      <c r="F5" s="160">
        <v>1</v>
      </c>
      <c r="G5" s="161" t="s">
        <v>149</v>
      </c>
      <c r="H5" s="162"/>
      <c r="I5" s="163"/>
      <c r="J5" s="164"/>
      <c r="K5" s="164"/>
      <c r="L5" s="164"/>
      <c r="M5" s="164"/>
      <c r="N5" s="164"/>
      <c r="O5" s="182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31"/>
      <c r="AP5" s="152" t="s">
        <v>146</v>
      </c>
    </row>
    <row r="6" spans="6:42" ht="15" hidden="1" customHeight="1" x14ac:dyDescent="0.3">
      <c r="F6" s="160"/>
      <c r="G6" s="165" t="s">
        <v>138</v>
      </c>
      <c r="H6" s="166"/>
      <c r="I6" s="167" t="s">
        <v>16</v>
      </c>
      <c r="J6" s="168"/>
      <c r="K6" s="168"/>
      <c r="L6" s="168"/>
      <c r="M6" s="168"/>
      <c r="N6" s="168"/>
      <c r="O6" s="345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31"/>
      <c r="AP6" s="9">
        <f>SUM(J6:AN6)</f>
        <v>0</v>
      </c>
    </row>
    <row r="7" spans="6:42" ht="15" hidden="1" customHeight="1" x14ac:dyDescent="0.3">
      <c r="F7" s="160"/>
      <c r="G7" s="165" t="s">
        <v>137</v>
      </c>
      <c r="H7" s="166"/>
      <c r="I7" s="167" t="s">
        <v>16</v>
      </c>
      <c r="J7" s="168"/>
      <c r="K7" s="168"/>
      <c r="L7" s="168"/>
      <c r="M7" s="168"/>
      <c r="N7" s="168"/>
      <c r="O7" s="345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31"/>
      <c r="AP7" s="9">
        <f>SUM(J7:AN7)</f>
        <v>0</v>
      </c>
    </row>
    <row r="8" spans="6:42" ht="15" hidden="1" customHeight="1" x14ac:dyDescent="0.3">
      <c r="F8" s="160"/>
      <c r="G8" s="169" t="s">
        <v>136</v>
      </c>
      <c r="H8" s="170"/>
      <c r="I8" s="171" t="s">
        <v>29</v>
      </c>
      <c r="J8" s="292" t="e">
        <f t="shared" ref="J8:AN8" si="0">((J7-J6)/J6)*100</f>
        <v>#DIV/0!</v>
      </c>
      <c r="K8" s="292" t="e">
        <f t="shared" si="0"/>
        <v>#DIV/0!</v>
      </c>
      <c r="L8" s="292" t="e">
        <f t="shared" si="0"/>
        <v>#DIV/0!</v>
      </c>
      <c r="M8" s="292" t="e">
        <f t="shared" si="0"/>
        <v>#DIV/0!</v>
      </c>
      <c r="N8" s="292" t="e">
        <f t="shared" si="0"/>
        <v>#DIV/0!</v>
      </c>
      <c r="O8" s="346" t="e">
        <f t="shared" si="0"/>
        <v>#DIV/0!</v>
      </c>
      <c r="P8" s="292" t="e">
        <f t="shared" si="0"/>
        <v>#DIV/0!</v>
      </c>
      <c r="Q8" s="292" t="e">
        <f t="shared" si="0"/>
        <v>#DIV/0!</v>
      </c>
      <c r="R8" s="292" t="e">
        <f t="shared" si="0"/>
        <v>#DIV/0!</v>
      </c>
      <c r="S8" s="292" t="e">
        <f t="shared" si="0"/>
        <v>#DIV/0!</v>
      </c>
      <c r="T8" s="292" t="e">
        <f t="shared" si="0"/>
        <v>#DIV/0!</v>
      </c>
      <c r="U8" s="292" t="e">
        <f t="shared" si="0"/>
        <v>#DIV/0!</v>
      </c>
      <c r="V8" s="292" t="e">
        <f t="shared" si="0"/>
        <v>#DIV/0!</v>
      </c>
      <c r="W8" s="292" t="e">
        <f t="shared" si="0"/>
        <v>#DIV/0!</v>
      </c>
      <c r="X8" s="292" t="e">
        <f t="shared" si="0"/>
        <v>#DIV/0!</v>
      </c>
      <c r="Y8" s="292" t="e">
        <f t="shared" si="0"/>
        <v>#DIV/0!</v>
      </c>
      <c r="Z8" s="292" t="e">
        <f t="shared" si="0"/>
        <v>#DIV/0!</v>
      </c>
      <c r="AA8" s="292" t="e">
        <f t="shared" si="0"/>
        <v>#DIV/0!</v>
      </c>
      <c r="AB8" s="292" t="e">
        <f t="shared" si="0"/>
        <v>#DIV/0!</v>
      </c>
      <c r="AC8" s="292" t="e">
        <f t="shared" si="0"/>
        <v>#DIV/0!</v>
      </c>
      <c r="AD8" s="292" t="e">
        <f t="shared" si="0"/>
        <v>#DIV/0!</v>
      </c>
      <c r="AE8" s="292" t="e">
        <f t="shared" si="0"/>
        <v>#DIV/0!</v>
      </c>
      <c r="AF8" s="292" t="e">
        <f t="shared" si="0"/>
        <v>#DIV/0!</v>
      </c>
      <c r="AG8" s="292" t="e">
        <f t="shared" si="0"/>
        <v>#DIV/0!</v>
      </c>
      <c r="AH8" s="292" t="e">
        <f t="shared" si="0"/>
        <v>#DIV/0!</v>
      </c>
      <c r="AI8" s="292" t="e">
        <f t="shared" si="0"/>
        <v>#DIV/0!</v>
      </c>
      <c r="AJ8" s="292" t="e">
        <f t="shared" si="0"/>
        <v>#DIV/0!</v>
      </c>
      <c r="AK8" s="292" t="e">
        <f t="shared" si="0"/>
        <v>#DIV/0!</v>
      </c>
      <c r="AL8" s="292" t="e">
        <f t="shared" si="0"/>
        <v>#DIV/0!</v>
      </c>
      <c r="AM8" s="292"/>
      <c r="AN8" s="292" t="e">
        <f t="shared" si="0"/>
        <v>#DIV/0!</v>
      </c>
      <c r="AO8" s="31"/>
      <c r="AP8" s="151" t="e">
        <f>((AP7-AP6)/AP6)*100</f>
        <v>#DIV/0!</v>
      </c>
    </row>
    <row r="9" spans="6:42" ht="15" hidden="1" customHeight="1" x14ac:dyDescent="0.3">
      <c r="F9" s="160"/>
      <c r="G9" s="161" t="s">
        <v>148</v>
      </c>
      <c r="H9" s="162"/>
      <c r="I9" s="163"/>
      <c r="J9" s="164"/>
      <c r="K9" s="164"/>
      <c r="L9" s="164"/>
      <c r="M9" s="164"/>
      <c r="N9" s="164"/>
      <c r="O9" s="182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31"/>
      <c r="AP9" s="152" t="s">
        <v>146</v>
      </c>
    </row>
    <row r="10" spans="6:42" ht="15" hidden="1" customHeight="1" x14ac:dyDescent="0.3">
      <c r="F10" s="160"/>
      <c r="G10" s="165" t="s">
        <v>145</v>
      </c>
      <c r="H10" s="166"/>
      <c r="I10" s="167" t="s">
        <v>16</v>
      </c>
      <c r="J10" s="168"/>
      <c r="K10" s="168"/>
      <c r="L10" s="168"/>
      <c r="M10" s="168"/>
      <c r="N10" s="168"/>
      <c r="O10" s="345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31"/>
      <c r="AP10" s="9">
        <f>SUM(J10:AN10)</f>
        <v>0</v>
      </c>
    </row>
    <row r="11" spans="6:42" ht="15" hidden="1" customHeight="1" x14ac:dyDescent="0.3">
      <c r="F11" s="160"/>
      <c r="G11" s="165" t="s">
        <v>144</v>
      </c>
      <c r="H11" s="166"/>
      <c r="I11" s="167" t="s">
        <v>16</v>
      </c>
      <c r="J11" s="168"/>
      <c r="K11" s="168"/>
      <c r="L11" s="168"/>
      <c r="M11" s="168"/>
      <c r="N11" s="168"/>
      <c r="O11" s="345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31"/>
      <c r="AP11" s="9">
        <f>SUM(J11:AN11)</f>
        <v>0</v>
      </c>
    </row>
    <row r="12" spans="6:42" ht="15" hidden="1" customHeight="1" x14ac:dyDescent="0.3">
      <c r="F12" s="160"/>
      <c r="G12" s="169" t="s">
        <v>143</v>
      </c>
      <c r="H12" s="170"/>
      <c r="I12" s="171" t="s">
        <v>29</v>
      </c>
      <c r="J12" s="292" t="e">
        <f t="shared" ref="J12:AN12" si="1">((J11-J10)/J10)*100</f>
        <v>#DIV/0!</v>
      </c>
      <c r="K12" s="292" t="e">
        <f t="shared" si="1"/>
        <v>#DIV/0!</v>
      </c>
      <c r="L12" s="292" t="e">
        <f t="shared" si="1"/>
        <v>#DIV/0!</v>
      </c>
      <c r="M12" s="292" t="e">
        <f t="shared" si="1"/>
        <v>#DIV/0!</v>
      </c>
      <c r="N12" s="292" t="e">
        <f t="shared" si="1"/>
        <v>#DIV/0!</v>
      </c>
      <c r="O12" s="346" t="e">
        <f t="shared" si="1"/>
        <v>#DIV/0!</v>
      </c>
      <c r="P12" s="292" t="e">
        <f t="shared" si="1"/>
        <v>#DIV/0!</v>
      </c>
      <c r="Q12" s="292" t="e">
        <f t="shared" si="1"/>
        <v>#DIV/0!</v>
      </c>
      <c r="R12" s="292" t="e">
        <f t="shared" si="1"/>
        <v>#DIV/0!</v>
      </c>
      <c r="S12" s="292" t="e">
        <f t="shared" si="1"/>
        <v>#DIV/0!</v>
      </c>
      <c r="T12" s="292" t="e">
        <f t="shared" si="1"/>
        <v>#DIV/0!</v>
      </c>
      <c r="U12" s="292" t="e">
        <f t="shared" si="1"/>
        <v>#DIV/0!</v>
      </c>
      <c r="V12" s="292" t="e">
        <f t="shared" si="1"/>
        <v>#DIV/0!</v>
      </c>
      <c r="W12" s="292" t="e">
        <f t="shared" si="1"/>
        <v>#DIV/0!</v>
      </c>
      <c r="X12" s="292" t="e">
        <f t="shared" si="1"/>
        <v>#DIV/0!</v>
      </c>
      <c r="Y12" s="292" t="e">
        <f t="shared" si="1"/>
        <v>#DIV/0!</v>
      </c>
      <c r="Z12" s="292" t="e">
        <f t="shared" si="1"/>
        <v>#DIV/0!</v>
      </c>
      <c r="AA12" s="292" t="e">
        <f t="shared" si="1"/>
        <v>#DIV/0!</v>
      </c>
      <c r="AB12" s="292" t="e">
        <f t="shared" si="1"/>
        <v>#DIV/0!</v>
      </c>
      <c r="AC12" s="292" t="e">
        <f t="shared" si="1"/>
        <v>#DIV/0!</v>
      </c>
      <c r="AD12" s="292" t="e">
        <f t="shared" si="1"/>
        <v>#DIV/0!</v>
      </c>
      <c r="AE12" s="292" t="e">
        <f t="shared" si="1"/>
        <v>#DIV/0!</v>
      </c>
      <c r="AF12" s="292" t="e">
        <f t="shared" si="1"/>
        <v>#DIV/0!</v>
      </c>
      <c r="AG12" s="292" t="e">
        <f t="shared" si="1"/>
        <v>#DIV/0!</v>
      </c>
      <c r="AH12" s="292" t="e">
        <f t="shared" si="1"/>
        <v>#DIV/0!</v>
      </c>
      <c r="AI12" s="292" t="e">
        <f t="shared" si="1"/>
        <v>#DIV/0!</v>
      </c>
      <c r="AJ12" s="292" t="e">
        <f t="shared" si="1"/>
        <v>#DIV/0!</v>
      </c>
      <c r="AK12" s="292" t="e">
        <f t="shared" si="1"/>
        <v>#DIV/0!</v>
      </c>
      <c r="AL12" s="292" t="e">
        <f t="shared" si="1"/>
        <v>#DIV/0!</v>
      </c>
      <c r="AM12" s="292"/>
      <c r="AN12" s="292" t="e">
        <f t="shared" si="1"/>
        <v>#DIV/0!</v>
      </c>
      <c r="AO12" s="31"/>
      <c r="AP12" s="151" t="e">
        <f>((AP11-AP10)/AP10)*100</f>
        <v>#DIV/0!</v>
      </c>
    </row>
    <row r="13" spans="6:42" ht="15" hidden="1" customHeight="1" x14ac:dyDescent="0.3">
      <c r="F13" s="160"/>
      <c r="G13" s="161" t="s">
        <v>147</v>
      </c>
      <c r="H13" s="162"/>
      <c r="I13" s="163"/>
      <c r="J13" s="164"/>
      <c r="K13" s="164"/>
      <c r="L13" s="164"/>
      <c r="M13" s="164"/>
      <c r="N13" s="164"/>
      <c r="O13" s="182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31"/>
      <c r="AP13" s="152" t="s">
        <v>146</v>
      </c>
    </row>
    <row r="14" spans="6:42" ht="15" hidden="1" customHeight="1" x14ac:dyDescent="0.3">
      <c r="F14" s="160"/>
      <c r="G14" s="165" t="s">
        <v>145</v>
      </c>
      <c r="H14" s="166"/>
      <c r="I14" s="167" t="s">
        <v>16</v>
      </c>
      <c r="J14" s="168"/>
      <c r="K14" s="168"/>
      <c r="L14" s="168"/>
      <c r="M14" s="168"/>
      <c r="N14" s="168"/>
      <c r="O14" s="345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31"/>
      <c r="AP14" s="9">
        <f>SUM(J14:AN14)</f>
        <v>0</v>
      </c>
    </row>
    <row r="15" spans="6:42" ht="15" hidden="1" customHeight="1" x14ac:dyDescent="0.3">
      <c r="F15" s="160"/>
      <c r="G15" s="165" t="s">
        <v>144</v>
      </c>
      <c r="H15" s="166"/>
      <c r="I15" s="167" t="s">
        <v>16</v>
      </c>
      <c r="J15" s="168"/>
      <c r="K15" s="168"/>
      <c r="L15" s="168"/>
      <c r="M15" s="168"/>
      <c r="N15" s="168"/>
      <c r="O15" s="345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31"/>
      <c r="AP15" s="9">
        <f>SUM(J15:AN15)</f>
        <v>0</v>
      </c>
    </row>
    <row r="16" spans="6:42" ht="15" hidden="1" customHeight="1" x14ac:dyDescent="0.3">
      <c r="F16" s="160"/>
      <c r="G16" s="169" t="s">
        <v>143</v>
      </c>
      <c r="H16" s="170"/>
      <c r="I16" s="171" t="s">
        <v>29</v>
      </c>
      <c r="J16" s="292" t="e">
        <f t="shared" ref="J16:AN16" si="2">((J15-J14)/J14)*100</f>
        <v>#DIV/0!</v>
      </c>
      <c r="K16" s="292" t="e">
        <f t="shared" si="2"/>
        <v>#DIV/0!</v>
      </c>
      <c r="L16" s="292" t="e">
        <f t="shared" si="2"/>
        <v>#DIV/0!</v>
      </c>
      <c r="M16" s="292" t="e">
        <f t="shared" si="2"/>
        <v>#DIV/0!</v>
      </c>
      <c r="N16" s="292" t="e">
        <f t="shared" si="2"/>
        <v>#DIV/0!</v>
      </c>
      <c r="O16" s="346" t="e">
        <f t="shared" si="2"/>
        <v>#DIV/0!</v>
      </c>
      <c r="P16" s="292" t="e">
        <f t="shared" si="2"/>
        <v>#DIV/0!</v>
      </c>
      <c r="Q16" s="292" t="e">
        <f t="shared" si="2"/>
        <v>#DIV/0!</v>
      </c>
      <c r="R16" s="292" t="e">
        <f t="shared" si="2"/>
        <v>#DIV/0!</v>
      </c>
      <c r="S16" s="292" t="e">
        <f t="shared" si="2"/>
        <v>#DIV/0!</v>
      </c>
      <c r="T16" s="292" t="e">
        <f t="shared" si="2"/>
        <v>#DIV/0!</v>
      </c>
      <c r="U16" s="292" t="e">
        <f t="shared" si="2"/>
        <v>#DIV/0!</v>
      </c>
      <c r="V16" s="292" t="e">
        <f t="shared" si="2"/>
        <v>#DIV/0!</v>
      </c>
      <c r="W16" s="292" t="e">
        <f t="shared" si="2"/>
        <v>#DIV/0!</v>
      </c>
      <c r="X16" s="292" t="e">
        <f t="shared" si="2"/>
        <v>#DIV/0!</v>
      </c>
      <c r="Y16" s="292" t="e">
        <f t="shared" si="2"/>
        <v>#DIV/0!</v>
      </c>
      <c r="Z16" s="292" t="e">
        <f t="shared" si="2"/>
        <v>#DIV/0!</v>
      </c>
      <c r="AA16" s="292" t="e">
        <f t="shared" si="2"/>
        <v>#DIV/0!</v>
      </c>
      <c r="AB16" s="292" t="e">
        <f t="shared" si="2"/>
        <v>#DIV/0!</v>
      </c>
      <c r="AC16" s="292" t="e">
        <f t="shared" si="2"/>
        <v>#DIV/0!</v>
      </c>
      <c r="AD16" s="292" t="e">
        <f t="shared" si="2"/>
        <v>#DIV/0!</v>
      </c>
      <c r="AE16" s="292" t="e">
        <f t="shared" si="2"/>
        <v>#DIV/0!</v>
      </c>
      <c r="AF16" s="292" t="e">
        <f t="shared" si="2"/>
        <v>#DIV/0!</v>
      </c>
      <c r="AG16" s="292" t="e">
        <f t="shared" si="2"/>
        <v>#DIV/0!</v>
      </c>
      <c r="AH16" s="292" t="e">
        <f t="shared" si="2"/>
        <v>#DIV/0!</v>
      </c>
      <c r="AI16" s="292" t="e">
        <f t="shared" si="2"/>
        <v>#DIV/0!</v>
      </c>
      <c r="AJ16" s="292" t="e">
        <f t="shared" si="2"/>
        <v>#DIV/0!</v>
      </c>
      <c r="AK16" s="292" t="e">
        <f t="shared" si="2"/>
        <v>#DIV/0!</v>
      </c>
      <c r="AL16" s="292" t="e">
        <f t="shared" si="2"/>
        <v>#DIV/0!</v>
      </c>
      <c r="AM16" s="292"/>
      <c r="AN16" s="292" t="e">
        <f t="shared" si="2"/>
        <v>#DIV/0!</v>
      </c>
      <c r="AO16" s="31"/>
      <c r="AP16" s="151" t="e">
        <f>((AP15-AP14)/AP14)*100</f>
        <v>#DIV/0!</v>
      </c>
    </row>
    <row r="17" spans="6:967" ht="15" hidden="1" customHeight="1" x14ac:dyDescent="0.3">
      <c r="F17" s="160"/>
      <c r="G17" s="172" t="s">
        <v>142</v>
      </c>
      <c r="H17" s="166"/>
      <c r="I17" s="167"/>
      <c r="J17" s="168"/>
      <c r="K17" s="168"/>
      <c r="L17" s="168"/>
      <c r="M17" s="168"/>
      <c r="N17" s="168"/>
      <c r="O17" s="345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31"/>
      <c r="AP17" s="150" t="s">
        <v>139</v>
      </c>
    </row>
    <row r="18" spans="6:967" ht="15" hidden="1" customHeight="1" x14ac:dyDescent="0.3">
      <c r="F18" s="160"/>
      <c r="G18" s="165" t="s">
        <v>138</v>
      </c>
      <c r="H18" s="166"/>
      <c r="I18" s="167" t="s">
        <v>16</v>
      </c>
      <c r="J18" s="168"/>
      <c r="K18" s="168"/>
      <c r="L18" s="168"/>
      <c r="M18" s="168"/>
      <c r="N18" s="168"/>
      <c r="O18" s="345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31"/>
      <c r="AP18" s="9">
        <f>SUM(J18:AN18)</f>
        <v>0</v>
      </c>
      <c r="AQ18" s="31"/>
    </row>
    <row r="19" spans="6:967" ht="15" hidden="1" customHeight="1" x14ac:dyDescent="0.3">
      <c r="F19" s="160"/>
      <c r="G19" s="165" t="s">
        <v>137</v>
      </c>
      <c r="H19" s="166"/>
      <c r="I19" s="167" t="s">
        <v>16</v>
      </c>
      <c r="J19" s="168"/>
      <c r="K19" s="168"/>
      <c r="L19" s="168"/>
      <c r="M19" s="168"/>
      <c r="N19" s="168"/>
      <c r="O19" s="345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31"/>
      <c r="AP19" s="9">
        <f>SUM(J19:AN19)</f>
        <v>0</v>
      </c>
    </row>
    <row r="20" spans="6:967" ht="15" hidden="1" customHeight="1" x14ac:dyDescent="0.3">
      <c r="F20" s="160"/>
      <c r="G20" s="165" t="s">
        <v>136</v>
      </c>
      <c r="H20" s="166"/>
      <c r="I20" s="167" t="s">
        <v>29</v>
      </c>
      <c r="J20" s="293" t="e">
        <f t="shared" ref="J20:AN20" si="3">((J19-J18)/J18)*100</f>
        <v>#DIV/0!</v>
      </c>
      <c r="K20" s="293" t="e">
        <f t="shared" si="3"/>
        <v>#DIV/0!</v>
      </c>
      <c r="L20" s="293" t="e">
        <f t="shared" si="3"/>
        <v>#DIV/0!</v>
      </c>
      <c r="M20" s="293" t="e">
        <f t="shared" si="3"/>
        <v>#DIV/0!</v>
      </c>
      <c r="N20" s="293" t="e">
        <f t="shared" si="3"/>
        <v>#DIV/0!</v>
      </c>
      <c r="O20" s="347" t="e">
        <f t="shared" si="3"/>
        <v>#DIV/0!</v>
      </c>
      <c r="P20" s="293" t="e">
        <f t="shared" si="3"/>
        <v>#DIV/0!</v>
      </c>
      <c r="Q20" s="293" t="e">
        <f t="shared" si="3"/>
        <v>#DIV/0!</v>
      </c>
      <c r="R20" s="293" t="e">
        <f t="shared" si="3"/>
        <v>#DIV/0!</v>
      </c>
      <c r="S20" s="293" t="e">
        <f t="shared" si="3"/>
        <v>#DIV/0!</v>
      </c>
      <c r="T20" s="293" t="e">
        <f t="shared" si="3"/>
        <v>#DIV/0!</v>
      </c>
      <c r="U20" s="293" t="e">
        <f t="shared" si="3"/>
        <v>#DIV/0!</v>
      </c>
      <c r="V20" s="293" t="e">
        <f t="shared" si="3"/>
        <v>#DIV/0!</v>
      </c>
      <c r="W20" s="293" t="e">
        <f t="shared" si="3"/>
        <v>#DIV/0!</v>
      </c>
      <c r="X20" s="293" t="e">
        <f t="shared" si="3"/>
        <v>#DIV/0!</v>
      </c>
      <c r="Y20" s="293" t="e">
        <f t="shared" si="3"/>
        <v>#DIV/0!</v>
      </c>
      <c r="Z20" s="293" t="e">
        <f t="shared" si="3"/>
        <v>#DIV/0!</v>
      </c>
      <c r="AA20" s="293" t="e">
        <f t="shared" si="3"/>
        <v>#DIV/0!</v>
      </c>
      <c r="AB20" s="293" t="e">
        <f t="shared" si="3"/>
        <v>#DIV/0!</v>
      </c>
      <c r="AC20" s="293" t="e">
        <f t="shared" si="3"/>
        <v>#DIV/0!</v>
      </c>
      <c r="AD20" s="293" t="e">
        <f t="shared" si="3"/>
        <v>#DIV/0!</v>
      </c>
      <c r="AE20" s="293" t="e">
        <f t="shared" si="3"/>
        <v>#DIV/0!</v>
      </c>
      <c r="AF20" s="293" t="e">
        <f t="shared" si="3"/>
        <v>#DIV/0!</v>
      </c>
      <c r="AG20" s="293" t="e">
        <f t="shared" si="3"/>
        <v>#DIV/0!</v>
      </c>
      <c r="AH20" s="293" t="e">
        <f t="shared" si="3"/>
        <v>#DIV/0!</v>
      </c>
      <c r="AI20" s="293" t="e">
        <f t="shared" si="3"/>
        <v>#DIV/0!</v>
      </c>
      <c r="AJ20" s="293" t="e">
        <f t="shared" si="3"/>
        <v>#DIV/0!</v>
      </c>
      <c r="AK20" s="293" t="e">
        <f t="shared" si="3"/>
        <v>#DIV/0!</v>
      </c>
      <c r="AL20" s="293" t="e">
        <f t="shared" si="3"/>
        <v>#DIV/0!</v>
      </c>
      <c r="AM20" s="293"/>
      <c r="AN20" s="293" t="e">
        <f t="shared" si="3"/>
        <v>#DIV/0!</v>
      </c>
      <c r="AO20" s="149"/>
      <c r="AP20" s="148" t="e">
        <f>((AP19-AP18)/AP18)*100</f>
        <v>#DIV/0!</v>
      </c>
      <c r="EM20" s="121" t="s">
        <v>141</v>
      </c>
    </row>
    <row r="21" spans="6:967" ht="15" hidden="1" customHeight="1" x14ac:dyDescent="0.3">
      <c r="F21" s="160"/>
      <c r="G21" s="161" t="s">
        <v>140</v>
      </c>
      <c r="H21" s="162"/>
      <c r="I21" s="163"/>
      <c r="J21" s="164"/>
      <c r="K21" s="164"/>
      <c r="L21" s="164"/>
      <c r="M21" s="164"/>
      <c r="N21" s="164"/>
      <c r="O21" s="182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31"/>
      <c r="AP21" s="150" t="s">
        <v>139</v>
      </c>
    </row>
    <row r="22" spans="6:967" ht="15" hidden="1" customHeight="1" x14ac:dyDescent="0.3">
      <c r="F22" s="160"/>
      <c r="G22" s="165" t="s">
        <v>138</v>
      </c>
      <c r="H22" s="166"/>
      <c r="I22" s="167" t="s">
        <v>16</v>
      </c>
      <c r="J22" s="168"/>
      <c r="K22" s="168"/>
      <c r="L22" s="168"/>
      <c r="M22" s="168"/>
      <c r="N22" s="168"/>
      <c r="O22" s="345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31"/>
      <c r="AP22" s="9">
        <f>SUM(J22:AN22)</f>
        <v>0</v>
      </c>
    </row>
    <row r="23" spans="6:967" ht="15" hidden="1" customHeight="1" x14ac:dyDescent="0.3">
      <c r="F23" s="160"/>
      <c r="G23" s="165" t="s">
        <v>137</v>
      </c>
      <c r="H23" s="166"/>
      <c r="I23" s="167" t="s">
        <v>16</v>
      </c>
      <c r="J23" s="168"/>
      <c r="K23" s="168"/>
      <c r="L23" s="168"/>
      <c r="M23" s="168"/>
      <c r="N23" s="168"/>
      <c r="O23" s="345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31"/>
      <c r="AP23" s="9">
        <f>SUM(J23:AN23)</f>
        <v>0</v>
      </c>
    </row>
    <row r="24" spans="6:967" ht="15" hidden="1" customHeight="1" x14ac:dyDescent="0.3">
      <c r="F24" s="160"/>
      <c r="G24" s="169" t="s">
        <v>136</v>
      </c>
      <c r="H24" s="170"/>
      <c r="I24" s="171" t="s">
        <v>29</v>
      </c>
      <c r="J24" s="292" t="e">
        <f t="shared" ref="J24:AN24" si="4">((J23-J22)/J22)*100</f>
        <v>#DIV/0!</v>
      </c>
      <c r="K24" s="292" t="e">
        <f t="shared" si="4"/>
        <v>#DIV/0!</v>
      </c>
      <c r="L24" s="292" t="e">
        <f t="shared" si="4"/>
        <v>#DIV/0!</v>
      </c>
      <c r="M24" s="292" t="e">
        <f t="shared" si="4"/>
        <v>#DIV/0!</v>
      </c>
      <c r="N24" s="292" t="e">
        <f t="shared" si="4"/>
        <v>#DIV/0!</v>
      </c>
      <c r="O24" s="346" t="e">
        <f t="shared" si="4"/>
        <v>#DIV/0!</v>
      </c>
      <c r="P24" s="292" t="e">
        <f t="shared" si="4"/>
        <v>#DIV/0!</v>
      </c>
      <c r="Q24" s="292" t="e">
        <f t="shared" si="4"/>
        <v>#DIV/0!</v>
      </c>
      <c r="R24" s="292" t="e">
        <f t="shared" si="4"/>
        <v>#DIV/0!</v>
      </c>
      <c r="S24" s="292" t="e">
        <f t="shared" si="4"/>
        <v>#DIV/0!</v>
      </c>
      <c r="T24" s="292" t="e">
        <f t="shared" si="4"/>
        <v>#DIV/0!</v>
      </c>
      <c r="U24" s="292" t="e">
        <f t="shared" si="4"/>
        <v>#DIV/0!</v>
      </c>
      <c r="V24" s="292" t="e">
        <f t="shared" si="4"/>
        <v>#DIV/0!</v>
      </c>
      <c r="W24" s="292" t="e">
        <f t="shared" si="4"/>
        <v>#DIV/0!</v>
      </c>
      <c r="X24" s="292" t="e">
        <f t="shared" si="4"/>
        <v>#DIV/0!</v>
      </c>
      <c r="Y24" s="292" t="e">
        <f t="shared" si="4"/>
        <v>#DIV/0!</v>
      </c>
      <c r="Z24" s="292" t="e">
        <f t="shared" si="4"/>
        <v>#DIV/0!</v>
      </c>
      <c r="AA24" s="292" t="e">
        <f t="shared" si="4"/>
        <v>#DIV/0!</v>
      </c>
      <c r="AB24" s="292" t="e">
        <f t="shared" si="4"/>
        <v>#DIV/0!</v>
      </c>
      <c r="AC24" s="292" t="e">
        <f t="shared" si="4"/>
        <v>#DIV/0!</v>
      </c>
      <c r="AD24" s="292" t="e">
        <f t="shared" si="4"/>
        <v>#DIV/0!</v>
      </c>
      <c r="AE24" s="292" t="e">
        <f t="shared" si="4"/>
        <v>#DIV/0!</v>
      </c>
      <c r="AF24" s="292" t="e">
        <f t="shared" si="4"/>
        <v>#DIV/0!</v>
      </c>
      <c r="AG24" s="292" t="e">
        <f t="shared" si="4"/>
        <v>#DIV/0!</v>
      </c>
      <c r="AH24" s="292" t="e">
        <f t="shared" si="4"/>
        <v>#DIV/0!</v>
      </c>
      <c r="AI24" s="292" t="e">
        <f t="shared" si="4"/>
        <v>#DIV/0!</v>
      </c>
      <c r="AJ24" s="292" t="e">
        <f t="shared" si="4"/>
        <v>#DIV/0!</v>
      </c>
      <c r="AK24" s="292" t="e">
        <f t="shared" si="4"/>
        <v>#DIV/0!</v>
      </c>
      <c r="AL24" s="292" t="e">
        <f t="shared" si="4"/>
        <v>#DIV/0!</v>
      </c>
      <c r="AM24" s="292"/>
      <c r="AN24" s="292" t="e">
        <f t="shared" si="4"/>
        <v>#DIV/0!</v>
      </c>
      <c r="AO24" s="149"/>
      <c r="AP24" s="148" t="e">
        <f>((AP23-AP22)/AP22)*100</f>
        <v>#DIV/0!</v>
      </c>
      <c r="BD24" s="72"/>
    </row>
    <row r="25" spans="6:967" ht="15" hidden="1" customHeight="1" x14ac:dyDescent="0.3">
      <c r="F25" s="160"/>
      <c r="G25" s="173" t="s">
        <v>135</v>
      </c>
      <c r="H25" s="174"/>
      <c r="I25" s="175" t="s">
        <v>16</v>
      </c>
      <c r="J25" s="176">
        <f>SUM(J7,J15,J19)+J11+J23</f>
        <v>0</v>
      </c>
      <c r="K25" s="176">
        <f t="shared" ref="K25:AN25" si="5">SUM(K7,K15,K19)+K11+K23</f>
        <v>0</v>
      </c>
      <c r="L25" s="177">
        <f t="shared" si="5"/>
        <v>0</v>
      </c>
      <c r="M25" s="177">
        <f t="shared" si="5"/>
        <v>0</v>
      </c>
      <c r="N25" s="177">
        <f t="shared" si="5"/>
        <v>0</v>
      </c>
      <c r="O25" s="176">
        <f t="shared" si="5"/>
        <v>0</v>
      </c>
      <c r="P25" s="177">
        <f t="shared" si="5"/>
        <v>0</v>
      </c>
      <c r="Q25" s="176">
        <f t="shared" si="5"/>
        <v>0</v>
      </c>
      <c r="R25" s="177">
        <f t="shared" si="5"/>
        <v>0</v>
      </c>
      <c r="S25" s="177">
        <f t="shared" si="5"/>
        <v>0</v>
      </c>
      <c r="T25" s="177">
        <f t="shared" si="5"/>
        <v>0</v>
      </c>
      <c r="U25" s="177">
        <f t="shared" si="5"/>
        <v>0</v>
      </c>
      <c r="V25" s="177">
        <f t="shared" si="5"/>
        <v>0</v>
      </c>
      <c r="W25" s="177">
        <f t="shared" si="5"/>
        <v>0</v>
      </c>
      <c r="X25" s="177">
        <f t="shared" si="5"/>
        <v>0</v>
      </c>
      <c r="Y25" s="177">
        <f t="shared" si="5"/>
        <v>0</v>
      </c>
      <c r="Z25" s="177">
        <f t="shared" si="5"/>
        <v>0</v>
      </c>
      <c r="AA25" s="177">
        <f t="shared" si="5"/>
        <v>0</v>
      </c>
      <c r="AB25" s="176">
        <f t="shared" si="5"/>
        <v>0</v>
      </c>
      <c r="AC25" s="177">
        <f t="shared" si="5"/>
        <v>0</v>
      </c>
      <c r="AD25" s="176">
        <f t="shared" si="5"/>
        <v>0</v>
      </c>
      <c r="AE25" s="176">
        <f t="shared" si="5"/>
        <v>0</v>
      </c>
      <c r="AF25" s="177">
        <f t="shared" si="5"/>
        <v>0</v>
      </c>
      <c r="AG25" s="177">
        <f t="shared" si="5"/>
        <v>0</v>
      </c>
      <c r="AH25" s="177">
        <f t="shared" si="5"/>
        <v>0</v>
      </c>
      <c r="AI25" s="177">
        <f t="shared" si="5"/>
        <v>0</v>
      </c>
      <c r="AJ25" s="177">
        <f t="shared" si="5"/>
        <v>0</v>
      </c>
      <c r="AK25" s="178">
        <f t="shared" si="5"/>
        <v>0</v>
      </c>
      <c r="AL25" s="177">
        <f t="shared" si="5"/>
        <v>0</v>
      </c>
      <c r="AM25" s="177"/>
      <c r="AN25" s="177">
        <f t="shared" si="5"/>
        <v>0</v>
      </c>
      <c r="AO25" s="31"/>
      <c r="AP25" s="147">
        <f>SUM(AP7,AP15,AP19)+AP11+AP23</f>
        <v>0</v>
      </c>
      <c r="AQ25" s="31"/>
      <c r="AR25" s="8">
        <f>AP25/AP28/1000</f>
        <v>0</v>
      </c>
      <c r="EM25" s="120" t="s">
        <v>112</v>
      </c>
      <c r="EN25" s="146"/>
      <c r="EO25" s="145" t="s">
        <v>134</v>
      </c>
      <c r="EP25" s="117"/>
      <c r="EQ25" s="116"/>
    </row>
    <row r="26" spans="6:967" ht="15" thickBot="1" x14ac:dyDescent="0.35">
      <c r="F26" s="179">
        <v>2</v>
      </c>
      <c r="G26" s="161" t="s">
        <v>133</v>
      </c>
      <c r="H26" s="180"/>
      <c r="I26" s="180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2"/>
      <c r="AH26" s="181"/>
      <c r="AI26" s="181"/>
      <c r="AJ26" s="181"/>
      <c r="AK26" s="181"/>
      <c r="AL26" s="181"/>
      <c r="AM26" s="181"/>
      <c r="AN26" s="181"/>
      <c r="AO26" s="31"/>
      <c r="AP26" s="144" t="s">
        <v>131</v>
      </c>
      <c r="EM26" s="113"/>
      <c r="EN26" s="143"/>
      <c r="EO26" s="111">
        <v>29</v>
      </c>
      <c r="EP26" s="110">
        <v>30</v>
      </c>
      <c r="EQ26" s="109">
        <v>31</v>
      </c>
    </row>
    <row r="27" spans="6:967" x14ac:dyDescent="0.3">
      <c r="F27" s="137"/>
      <c r="G27" s="183" t="s">
        <v>18</v>
      </c>
      <c r="H27" s="162"/>
      <c r="I27" s="163"/>
      <c r="J27" s="184"/>
      <c r="K27" s="294"/>
      <c r="L27" s="184"/>
      <c r="M27" s="184"/>
      <c r="N27" s="185"/>
      <c r="O27" s="181"/>
      <c r="P27" s="184"/>
      <c r="Q27" s="184"/>
      <c r="R27" s="184"/>
      <c r="S27" s="184"/>
      <c r="T27" s="184"/>
      <c r="U27" s="184"/>
      <c r="V27" s="184"/>
      <c r="W27" s="184"/>
      <c r="X27" s="185"/>
      <c r="Y27" s="186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31"/>
      <c r="AP27" s="142" t="s">
        <v>18</v>
      </c>
      <c r="EM27" s="99" t="s">
        <v>107</v>
      </c>
      <c r="EN27" s="30" t="s">
        <v>16</v>
      </c>
      <c r="EO27" s="98">
        <v>1971319.99999999</v>
      </c>
      <c r="EP27" s="97">
        <v>2015120.00000001</v>
      </c>
      <c r="EQ27" s="96">
        <v>2015230</v>
      </c>
      <c r="AKC27" s="22" t="s">
        <v>132</v>
      </c>
      <c r="AKD27" s="22" t="s">
        <v>131</v>
      </c>
      <c r="AKE27" s="22" t="s">
        <v>97</v>
      </c>
    </row>
    <row r="28" spans="6:967" x14ac:dyDescent="0.3">
      <c r="F28" s="137"/>
      <c r="G28" s="165" t="s">
        <v>130</v>
      </c>
      <c r="H28" s="166"/>
      <c r="I28" s="167" t="s">
        <v>129</v>
      </c>
      <c r="J28" s="11">
        <v>1</v>
      </c>
      <c r="K28" s="11">
        <v>1</v>
      </c>
      <c r="L28" s="11">
        <v>1</v>
      </c>
      <c r="M28" s="11">
        <v>1</v>
      </c>
      <c r="N28" s="11">
        <v>1</v>
      </c>
      <c r="O28" s="259">
        <v>1</v>
      </c>
      <c r="P28" s="11">
        <v>1</v>
      </c>
      <c r="Q28" s="11">
        <v>1</v>
      </c>
      <c r="R28" s="11">
        <v>1</v>
      </c>
      <c r="S28" s="11">
        <v>1</v>
      </c>
      <c r="T28" s="11">
        <v>1</v>
      </c>
      <c r="U28" s="11">
        <v>1</v>
      </c>
      <c r="V28" s="11">
        <v>1</v>
      </c>
      <c r="W28" s="11">
        <v>1</v>
      </c>
      <c r="X28" s="11">
        <v>1</v>
      </c>
      <c r="Y28" s="11">
        <v>1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1">
        <v>1</v>
      </c>
      <c r="AG28" s="11">
        <v>1</v>
      </c>
      <c r="AH28" s="11">
        <v>1</v>
      </c>
      <c r="AI28" s="11">
        <v>1</v>
      </c>
      <c r="AJ28" s="11">
        <v>1</v>
      </c>
      <c r="AK28" s="11">
        <v>1</v>
      </c>
      <c r="AL28" s="11">
        <v>1</v>
      </c>
      <c r="AM28" s="11">
        <v>1</v>
      </c>
      <c r="AN28" s="11">
        <v>1</v>
      </c>
      <c r="AO28" s="31"/>
      <c r="AP28" s="26">
        <f>SUM(J28:AN28)</f>
        <v>31</v>
      </c>
      <c r="AQ28" s="8"/>
      <c r="AR28" s="141">
        <f>(AP29/AP28)/1000</f>
        <v>1414.873064516129</v>
      </c>
      <c r="EM28" s="99"/>
      <c r="EO28" s="98"/>
      <c r="EP28" s="97"/>
      <c r="EQ28" s="96"/>
      <c r="GV28" s="31"/>
      <c r="PZ28" s="5" t="s">
        <v>128</v>
      </c>
      <c r="AFM28" s="30" t="s">
        <v>127</v>
      </c>
      <c r="AFN28" s="30" t="s">
        <v>126</v>
      </c>
      <c r="AKB28" s="87" t="s">
        <v>125</v>
      </c>
      <c r="AKC28" s="5">
        <v>11008948</v>
      </c>
      <c r="AKD28" s="5">
        <f>AP29</f>
        <v>43861065</v>
      </c>
      <c r="AKE28" s="4">
        <f>AKC28-AKD28</f>
        <v>-32852117</v>
      </c>
    </row>
    <row r="29" spans="6:967" x14ac:dyDescent="0.3">
      <c r="F29" s="137"/>
      <c r="G29" s="187" t="s">
        <v>92</v>
      </c>
      <c r="H29" s="188"/>
      <c r="I29" s="189" t="s">
        <v>16</v>
      </c>
      <c r="J29" s="190">
        <v>1946278</v>
      </c>
      <c r="K29" s="190">
        <v>1884706</v>
      </c>
      <c r="L29" s="190">
        <v>1674245</v>
      </c>
      <c r="M29" s="190">
        <v>1571787</v>
      </c>
      <c r="N29" s="190">
        <v>1805057</v>
      </c>
      <c r="O29" s="259">
        <v>1765331</v>
      </c>
      <c r="P29" s="190">
        <v>1572793</v>
      </c>
      <c r="Q29" s="190">
        <v>1447606</v>
      </c>
      <c r="R29" s="190">
        <v>1494265</v>
      </c>
      <c r="S29" s="190">
        <v>1312309</v>
      </c>
      <c r="T29" s="190">
        <v>1547129</v>
      </c>
      <c r="U29" s="190">
        <v>1399655</v>
      </c>
      <c r="V29" s="190">
        <v>846192</v>
      </c>
      <c r="W29" s="190">
        <v>1261261</v>
      </c>
      <c r="X29" s="190">
        <v>1392874</v>
      </c>
      <c r="Y29" s="190">
        <v>1474543</v>
      </c>
      <c r="Z29" s="190">
        <v>1362780</v>
      </c>
      <c r="AA29" s="190">
        <v>1458726</v>
      </c>
      <c r="AB29" s="190">
        <v>1300008</v>
      </c>
      <c r="AC29" s="190">
        <v>1336373</v>
      </c>
      <c r="AD29" s="190">
        <v>1261462</v>
      </c>
      <c r="AE29" s="190">
        <v>1163553</v>
      </c>
      <c r="AF29" s="190">
        <v>751710</v>
      </c>
      <c r="AG29" s="190">
        <v>575856</v>
      </c>
      <c r="AH29" s="190">
        <v>1487881</v>
      </c>
      <c r="AI29" s="190">
        <v>1356695</v>
      </c>
      <c r="AJ29" s="190">
        <v>1399624</v>
      </c>
      <c r="AK29" s="190">
        <v>1409140</v>
      </c>
      <c r="AL29" s="190">
        <v>1622135</v>
      </c>
      <c r="AM29" s="190">
        <v>1545892</v>
      </c>
      <c r="AN29" s="190">
        <v>1433199</v>
      </c>
      <c r="AO29" s="10"/>
      <c r="AP29" s="26">
        <f>SUM(J29:AN29)</f>
        <v>43861065</v>
      </c>
      <c r="AQ29" s="41"/>
      <c r="AR29" s="41">
        <f>AP29/1000</f>
        <v>43861.065000000002</v>
      </c>
      <c r="AS29" s="72">
        <v>55264</v>
      </c>
      <c r="AT29" s="3">
        <f>AR29/AS29*100</f>
        <v>79.366432035321367</v>
      </c>
      <c r="CB29" s="40"/>
      <c r="CC29" s="40"/>
      <c r="DF29" s="40"/>
      <c r="EM29" s="104" t="s">
        <v>104</v>
      </c>
      <c r="EN29" s="103" t="s">
        <v>22</v>
      </c>
      <c r="EO29" s="102">
        <v>251.19641540408301</v>
      </c>
      <c r="EP29" s="140">
        <v>257.91391043490898</v>
      </c>
      <c r="EQ29" s="100">
        <v>251.51265323328099</v>
      </c>
      <c r="ER29" s="40"/>
      <c r="GU29" s="5"/>
      <c r="GV29" s="31"/>
      <c r="KP29" s="40"/>
      <c r="KQ29" s="40"/>
      <c r="KR29" s="5"/>
      <c r="KS29" s="40"/>
      <c r="PW29" s="40">
        <v>26946.1077844311</v>
      </c>
      <c r="PX29" s="40">
        <v>17383.2335329341</v>
      </c>
      <c r="PZ29" s="40" t="s">
        <v>124</v>
      </c>
      <c r="QN29" s="39"/>
      <c r="QR29" s="40"/>
      <c r="SU29" s="39"/>
      <c r="AFM29" s="5">
        <f>35.8500000000058*1000</f>
        <v>35850.000000005799</v>
      </c>
      <c r="AID29" s="5"/>
      <c r="AJS29" s="5"/>
      <c r="AJT29" s="5"/>
      <c r="AJU29" s="5"/>
      <c r="AKB29" s="87" t="s">
        <v>83</v>
      </c>
      <c r="AKC29" s="5">
        <v>566885</v>
      </c>
      <c r="AKD29" s="5">
        <f>AP36</f>
        <v>1996682</v>
      </c>
      <c r="AKE29" s="4">
        <f>AKC29-AKD29</f>
        <v>-1429797</v>
      </c>
    </row>
    <row r="30" spans="6:967" ht="15" customHeight="1" x14ac:dyDescent="0.3">
      <c r="F30" s="137"/>
      <c r="G30" s="187" t="s">
        <v>123</v>
      </c>
      <c r="H30" s="188"/>
      <c r="I30" s="189" t="s">
        <v>16</v>
      </c>
      <c r="J30" s="190"/>
      <c r="K30" s="190"/>
      <c r="L30" s="190"/>
      <c r="M30" s="190"/>
      <c r="N30" s="190"/>
      <c r="O30" s="259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0"/>
      <c r="AP30" s="9">
        <f>SUM(J30:AN30)</f>
        <v>0</v>
      </c>
      <c r="AQ30" s="41"/>
      <c r="AR30" s="41"/>
      <c r="CB30" s="40"/>
      <c r="CC30" s="40"/>
      <c r="DF30" s="40"/>
      <c r="EM30" s="99"/>
      <c r="EN30" s="30"/>
      <c r="EO30" s="139"/>
      <c r="EP30" s="105"/>
      <c r="EQ30" s="138"/>
      <c r="ER30" s="40"/>
      <c r="GU30" s="40"/>
      <c r="KP30" s="40"/>
      <c r="KQ30" s="40"/>
      <c r="KR30" s="40"/>
      <c r="KS30" s="40"/>
      <c r="PW30" s="40"/>
      <c r="PX30" s="40"/>
      <c r="PZ30" s="40"/>
      <c r="QN30" s="39"/>
      <c r="QR30" s="40"/>
      <c r="SU30" s="39"/>
      <c r="AID30" s="5"/>
      <c r="AJS30" s="5"/>
      <c r="AJT30" s="5"/>
      <c r="AJU30" s="5"/>
      <c r="AKB30" s="87"/>
      <c r="AKC30" s="5"/>
      <c r="AKD30" s="5"/>
    </row>
    <row r="31" spans="6:967" x14ac:dyDescent="0.3">
      <c r="F31" s="137"/>
      <c r="G31" s="136" t="s">
        <v>122</v>
      </c>
      <c r="H31" s="295">
        <v>5</v>
      </c>
      <c r="I31" s="135" t="s">
        <v>29</v>
      </c>
      <c r="J31" s="126">
        <v>4.4400000000000004</v>
      </c>
      <c r="K31" s="126">
        <v>4.38</v>
      </c>
      <c r="L31" s="126">
        <v>4.3499999999999996</v>
      </c>
      <c r="M31" s="126">
        <v>4.13</v>
      </c>
      <c r="N31" s="126">
        <v>4.6500000000000004</v>
      </c>
      <c r="O31" s="348">
        <v>4.38</v>
      </c>
      <c r="P31" s="126">
        <v>4.47</v>
      </c>
      <c r="Q31" s="126">
        <v>4.5199999999999996</v>
      </c>
      <c r="R31" s="126">
        <v>4.83</v>
      </c>
      <c r="S31" s="126">
        <v>5.15</v>
      </c>
      <c r="T31" s="126">
        <v>4.75</v>
      </c>
      <c r="U31" s="126">
        <v>4.38</v>
      </c>
      <c r="V31" s="126">
        <v>4.54</v>
      </c>
      <c r="W31" s="126">
        <v>4.3600000000000003</v>
      </c>
      <c r="X31" s="126">
        <v>4.12</v>
      </c>
      <c r="Y31" s="126">
        <v>4.03</v>
      </c>
      <c r="Z31" s="126">
        <v>4.42</v>
      </c>
      <c r="AA31" s="126">
        <v>4.79</v>
      </c>
      <c r="AB31" s="126">
        <v>4.5599999999999996</v>
      </c>
      <c r="AC31" s="126">
        <v>4.57</v>
      </c>
      <c r="AD31" s="126">
        <v>4.9000000000000004</v>
      </c>
      <c r="AE31" s="126">
        <v>4.67</v>
      </c>
      <c r="AF31" s="126">
        <v>4.78</v>
      </c>
      <c r="AG31" s="126">
        <v>4.59</v>
      </c>
      <c r="AH31" s="126">
        <v>4.04</v>
      </c>
      <c r="AI31" s="126">
        <v>4.1100000000000003</v>
      </c>
      <c r="AJ31" s="126">
        <v>4.1100000000000003</v>
      </c>
      <c r="AK31" s="126">
        <v>4.32</v>
      </c>
      <c r="AL31" s="126">
        <v>4.49</v>
      </c>
      <c r="AM31" s="126">
        <v>4.5199999999999996</v>
      </c>
      <c r="AN31" s="126">
        <v>4.71</v>
      </c>
      <c r="AP31" s="44">
        <f>AVERAGE(J31:AN31)</f>
        <v>4.4858064516129055</v>
      </c>
      <c r="AQ31" s="125"/>
      <c r="AR31" s="134"/>
      <c r="CB31" s="125"/>
      <c r="CC31" s="125"/>
      <c r="DF31" s="125"/>
      <c r="EM31" s="99" t="s">
        <v>102</v>
      </c>
      <c r="EN31" s="30" t="s">
        <v>16</v>
      </c>
      <c r="EO31" s="98">
        <v>182230</v>
      </c>
      <c r="EP31" s="97">
        <v>190070</v>
      </c>
      <c r="EQ31" s="96">
        <v>197800.00000000099</v>
      </c>
      <c r="ER31" s="125"/>
      <c r="GU31" s="125"/>
      <c r="GV31" s="125"/>
      <c r="KP31" s="125"/>
      <c r="KQ31" s="125"/>
      <c r="KR31" s="133"/>
      <c r="KS31" s="125"/>
      <c r="PW31" s="125">
        <f>AP29/1000</f>
        <v>43861.065000000002</v>
      </c>
      <c r="PX31" s="125">
        <f>(AP38+AP48+AP43)/1000</f>
        <v>41752.294999999998</v>
      </c>
      <c r="PZ31" s="125">
        <f>SUM(PZ32:PZ33)</f>
        <v>913.298</v>
      </c>
      <c r="QN31" s="132"/>
      <c r="QR31" s="125"/>
      <c r="SU31" s="132"/>
      <c r="AID31" s="125">
        <v>2000</v>
      </c>
      <c r="AJS31" s="125"/>
      <c r="AJT31" s="125"/>
      <c r="AJU31" s="125"/>
      <c r="AKB31" s="131"/>
      <c r="AKC31" s="125"/>
      <c r="AKD31" s="125"/>
    </row>
    <row r="32" spans="6:967" ht="15" thickBot="1" x14ac:dyDescent="0.35">
      <c r="F32" s="137"/>
      <c r="G32" s="136" t="s">
        <v>121</v>
      </c>
      <c r="H32" s="295">
        <v>0.5</v>
      </c>
      <c r="I32" s="135" t="s">
        <v>29</v>
      </c>
      <c r="J32" s="126">
        <v>0.39</v>
      </c>
      <c r="K32" s="126">
        <v>0.39</v>
      </c>
      <c r="L32" s="126">
        <v>0.39</v>
      </c>
      <c r="M32" s="126">
        <v>0.4</v>
      </c>
      <c r="N32" s="126">
        <v>0.39</v>
      </c>
      <c r="O32" s="348">
        <v>0.38</v>
      </c>
      <c r="P32" s="126">
        <v>0.4</v>
      </c>
      <c r="Q32" s="126">
        <v>0.4</v>
      </c>
      <c r="R32" s="126">
        <v>0.4</v>
      </c>
      <c r="S32" s="126">
        <v>0.45</v>
      </c>
      <c r="T32" s="126">
        <v>0.41</v>
      </c>
      <c r="U32" s="126">
        <v>0.49</v>
      </c>
      <c r="V32" s="126">
        <v>0.41</v>
      </c>
      <c r="W32" s="126">
        <v>0.4</v>
      </c>
      <c r="X32" s="126">
        <v>0.39</v>
      </c>
      <c r="Y32" s="126">
        <v>0.39</v>
      </c>
      <c r="Z32" s="126">
        <v>0.4</v>
      </c>
      <c r="AA32" s="126">
        <v>0.48</v>
      </c>
      <c r="AB32" s="126">
        <v>0.4</v>
      </c>
      <c r="AC32" s="126">
        <v>0.4</v>
      </c>
      <c r="AD32" s="126">
        <v>0.4</v>
      </c>
      <c r="AE32" s="126">
        <v>0.38</v>
      </c>
      <c r="AF32" s="126">
        <v>0.39</v>
      </c>
      <c r="AG32" s="126">
        <v>0.4</v>
      </c>
      <c r="AH32" s="126">
        <v>0.43</v>
      </c>
      <c r="AI32" s="126">
        <v>0.39</v>
      </c>
      <c r="AJ32" s="126">
        <v>0.39</v>
      </c>
      <c r="AK32" s="126">
        <v>0.38</v>
      </c>
      <c r="AL32" s="126">
        <v>0.39</v>
      </c>
      <c r="AM32" s="126">
        <v>0.39</v>
      </c>
      <c r="AN32" s="126">
        <v>0.39</v>
      </c>
      <c r="AO32" s="10"/>
      <c r="AP32" s="44">
        <f>AVERAGE(J32:AN32)</f>
        <v>0.40290322580645177</v>
      </c>
      <c r="AR32" s="41"/>
      <c r="CB32" s="40"/>
      <c r="CC32" s="40"/>
      <c r="DF32" s="40"/>
      <c r="EM32" s="95"/>
      <c r="EN32" s="94" t="s">
        <v>96</v>
      </c>
      <c r="EO32" s="130">
        <f>EO31/(EO27/1000)</f>
        <v>92.440598177871138</v>
      </c>
      <c r="EP32" s="129">
        <f>EP31/(EP27/1000)</f>
        <v>94.321926237642941</v>
      </c>
      <c r="EQ32" s="128">
        <f>EQ31/(EQ27/1000)</f>
        <v>98.152568193209206</v>
      </c>
      <c r="ER32" s="40"/>
      <c r="GU32" s="40"/>
      <c r="KP32" s="40"/>
      <c r="KQ32" s="125"/>
      <c r="KR32" s="40"/>
      <c r="KS32" s="40"/>
      <c r="PW32" s="89"/>
      <c r="PX32" s="89"/>
      <c r="PZ32" s="89">
        <f>V39/1000</f>
        <v>752.21199999999999</v>
      </c>
      <c r="QA32" s="39">
        <f>PZ32/PZ31*100</f>
        <v>82.362164375702136</v>
      </c>
      <c r="QN32" s="39"/>
      <c r="QR32" s="40"/>
      <c r="SU32" s="39"/>
      <c r="AIC32" s="127">
        <v>0.94199999999999995</v>
      </c>
      <c r="AID32" s="5">
        <f>AIC32*AID31</f>
        <v>1884</v>
      </c>
      <c r="AIE32" s="1" t="s">
        <v>18</v>
      </c>
      <c r="AJS32" s="5"/>
      <c r="AJT32" s="5"/>
      <c r="AJU32" s="5"/>
      <c r="AKB32" s="87" t="s">
        <v>82</v>
      </c>
      <c r="AKC32" s="5">
        <v>9594130</v>
      </c>
      <c r="AKD32" s="5">
        <f>AP39</f>
        <v>33345980</v>
      </c>
      <c r="AKE32" s="4">
        <f t="shared" ref="AKE32:AKE33" si="6">AKC32-AKD32</f>
        <v>-23751850</v>
      </c>
    </row>
    <row r="33" spans="5:14973" x14ac:dyDescent="0.3">
      <c r="F33" s="137"/>
      <c r="G33" s="136" t="s">
        <v>120</v>
      </c>
      <c r="H33" s="296" t="s">
        <v>119</v>
      </c>
      <c r="I33" s="135" t="s">
        <v>29</v>
      </c>
      <c r="J33" s="126">
        <v>2.21</v>
      </c>
      <c r="K33" s="126">
        <v>2.2200000000000002</v>
      </c>
      <c r="L33" s="126">
        <v>2.2200000000000002</v>
      </c>
      <c r="M33" s="126">
        <v>2.21</v>
      </c>
      <c r="N33" s="126">
        <v>2.2200000000000002</v>
      </c>
      <c r="O33" s="348">
        <v>2.21</v>
      </c>
      <c r="P33" s="126">
        <v>2.2200000000000002</v>
      </c>
      <c r="Q33" s="126">
        <v>2.21</v>
      </c>
      <c r="R33" s="126">
        <v>2.2200000000000002</v>
      </c>
      <c r="S33" s="126">
        <v>2.21</v>
      </c>
      <c r="T33" s="126">
        <v>2.21</v>
      </c>
      <c r="U33" s="126">
        <v>2.2200000000000002</v>
      </c>
      <c r="V33" s="126">
        <v>2.21</v>
      </c>
      <c r="W33" s="126">
        <v>2.2200000000000002</v>
      </c>
      <c r="X33" s="126">
        <v>2.21</v>
      </c>
      <c r="Y33" s="126">
        <v>2.2200000000000002</v>
      </c>
      <c r="Z33" s="126">
        <v>2.2200000000000002</v>
      </c>
      <c r="AA33" s="126">
        <v>2.21</v>
      </c>
      <c r="AB33" s="126">
        <v>2.2200000000000002</v>
      </c>
      <c r="AC33" s="126">
        <v>2.2200000000000002</v>
      </c>
      <c r="AD33" s="126">
        <v>2.2200000000000002</v>
      </c>
      <c r="AE33" s="126">
        <v>2.2200000000000002</v>
      </c>
      <c r="AF33" s="126">
        <v>2.2200000000000002</v>
      </c>
      <c r="AG33" s="126">
        <v>2.2200000000000002</v>
      </c>
      <c r="AH33" s="126">
        <v>2.2200000000000002</v>
      </c>
      <c r="AI33" s="126">
        <v>2.2200000000000002</v>
      </c>
      <c r="AJ33" s="126">
        <v>2.2200000000000002</v>
      </c>
      <c r="AK33" s="126">
        <v>2.2000000000000002</v>
      </c>
      <c r="AL33" s="126">
        <v>2.21</v>
      </c>
      <c r="AM33" s="126">
        <v>2.21</v>
      </c>
      <c r="AN33" s="126">
        <v>2.2200000000000002</v>
      </c>
      <c r="AO33" s="10"/>
      <c r="AP33" s="44">
        <f>AVERAGE(J33:AN33)</f>
        <v>2.2158064516129028</v>
      </c>
      <c r="AQ33" s="125"/>
      <c r="AR33" s="41"/>
      <c r="CB33" s="40"/>
      <c r="CC33" s="40"/>
      <c r="DF33" s="40"/>
      <c r="ER33" s="40"/>
      <c r="GU33" s="40"/>
      <c r="KP33" s="40"/>
      <c r="KQ33" s="40"/>
      <c r="KR33" s="40"/>
      <c r="KS33" s="40"/>
      <c r="PW33" s="40">
        <f>SUM(PW31:PW32)</f>
        <v>43861.065000000002</v>
      </c>
      <c r="PX33" s="40">
        <f>SUM(PX31:PX32)</f>
        <v>41752.294999999998</v>
      </c>
      <c r="PZ33" s="89">
        <f>V40/1000</f>
        <v>161.08600000000001</v>
      </c>
      <c r="QA33" s="39">
        <f>PZ33/PZ31*100</f>
        <v>17.637835624297875</v>
      </c>
      <c r="QN33" s="39"/>
      <c r="QR33" s="40"/>
      <c r="SU33" s="39"/>
      <c r="AIC33" s="106">
        <v>0.05</v>
      </c>
      <c r="AID33" s="5">
        <f>AIC33*AID31</f>
        <v>100</v>
      </c>
      <c r="AJS33" s="5"/>
      <c r="AJT33" s="5"/>
      <c r="AJU33" s="5"/>
      <c r="AKB33" s="87" t="s">
        <v>80</v>
      </c>
      <c r="AKC33" s="5">
        <v>2161151</v>
      </c>
      <c r="AKD33" s="5">
        <f>AP40</f>
        <v>7737115</v>
      </c>
      <c r="AKE33" s="4">
        <f t="shared" si="6"/>
        <v>-5575964</v>
      </c>
    </row>
    <row r="34" spans="5:14973" x14ac:dyDescent="0.3">
      <c r="F34" s="137"/>
      <c r="G34" s="191" t="s">
        <v>118</v>
      </c>
      <c r="H34" s="192"/>
      <c r="I34" s="193"/>
      <c r="J34" s="11"/>
      <c r="K34" s="11"/>
      <c r="L34" s="11"/>
      <c r="M34" s="11"/>
      <c r="N34" s="11"/>
      <c r="O34" s="259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7"/>
      <c r="AP34" s="45" t="s">
        <v>118</v>
      </c>
      <c r="AQ34" s="41"/>
      <c r="AR34" s="41"/>
      <c r="CB34" s="40"/>
      <c r="CC34" s="40"/>
      <c r="CN34" s="66"/>
      <c r="DF34" s="40"/>
      <c r="EN34" s="30"/>
      <c r="EO34" s="40"/>
      <c r="EP34" s="40"/>
      <c r="EQ34" s="40"/>
      <c r="ER34" s="40"/>
      <c r="GU34" s="40"/>
      <c r="KP34" s="40"/>
      <c r="KQ34" s="40"/>
      <c r="KR34" s="40"/>
      <c r="KS34" s="40"/>
      <c r="PW34" s="39">
        <f>PW33/PW29*100</f>
        <v>162.77328566666691</v>
      </c>
      <c r="PX34" s="39">
        <f>PX33/PX29*100</f>
        <v>240.18716035136109</v>
      </c>
      <c r="PZ34" s="40"/>
      <c r="QN34" s="39"/>
      <c r="QR34" s="40"/>
      <c r="SU34" s="39"/>
      <c r="AFO34" s="122" t="s">
        <v>117</v>
      </c>
      <c r="AFP34" s="122"/>
      <c r="AFQ34" s="122"/>
      <c r="AFR34" s="122"/>
      <c r="AFS34" s="122"/>
      <c r="AFT34" s="122"/>
      <c r="AFU34" s="122"/>
      <c r="AFV34" s="122"/>
      <c r="AFW34" s="122"/>
      <c r="AFX34" s="122"/>
      <c r="AFY34" s="30" t="s">
        <v>116</v>
      </c>
      <c r="AFZ34" s="122" t="s">
        <v>115</v>
      </c>
      <c r="AID34" s="5"/>
      <c r="AJS34" s="5"/>
      <c r="AJT34" s="5"/>
      <c r="AJU34" s="5"/>
      <c r="AKC34" s="5"/>
      <c r="AKD34" s="5"/>
    </row>
    <row r="35" spans="5:14973" ht="15" thickBot="1" x14ac:dyDescent="0.35">
      <c r="F35" s="135"/>
      <c r="G35" s="194" t="s">
        <v>114</v>
      </c>
      <c r="H35" s="188">
        <f>H53%*H29</f>
        <v>0</v>
      </c>
      <c r="I35" s="195" t="s">
        <v>16</v>
      </c>
      <c r="J35" s="190">
        <v>1849027</v>
      </c>
      <c r="K35" s="190">
        <v>1793814</v>
      </c>
      <c r="L35" s="190">
        <v>1588134</v>
      </c>
      <c r="M35" s="190">
        <v>1495699</v>
      </c>
      <c r="N35" s="190">
        <v>1703321</v>
      </c>
      <c r="O35" s="259">
        <v>1669358</v>
      </c>
      <c r="P35" s="190">
        <v>1488714</v>
      </c>
      <c r="Q35" s="190">
        <v>1369920</v>
      </c>
      <c r="R35" s="190">
        <f>1172624+224000</f>
        <v>1396624</v>
      </c>
      <c r="S35" s="190">
        <v>1228821</v>
      </c>
      <c r="T35" s="190">
        <v>1460142</v>
      </c>
      <c r="U35" s="190">
        <v>1324815</v>
      </c>
      <c r="V35" s="190">
        <v>795756</v>
      </c>
      <c r="W35" s="190">
        <v>1196679</v>
      </c>
      <c r="X35" s="190">
        <v>1325519</v>
      </c>
      <c r="Y35" s="190">
        <v>1413547</v>
      </c>
      <c r="Z35" s="190">
        <f>1054044+235700</f>
        <v>1289744</v>
      </c>
      <c r="AA35" s="190">
        <v>1386644</v>
      </c>
      <c r="AB35" s="190">
        <v>1227042</v>
      </c>
      <c r="AC35" s="190">
        <v>1268226</v>
      </c>
      <c r="AD35" s="190">
        <v>1186341</v>
      </c>
      <c r="AE35" s="190">
        <v>1081759</v>
      </c>
      <c r="AF35" s="190">
        <v>706607</v>
      </c>
      <c r="AG35" s="190">
        <v>544333</v>
      </c>
      <c r="AH35" s="190">
        <v>1416082</v>
      </c>
      <c r="AI35" s="190">
        <v>1286072</v>
      </c>
      <c r="AJ35" s="190">
        <v>1338635</v>
      </c>
      <c r="AK35" s="190">
        <v>1340526</v>
      </c>
      <c r="AL35" s="190">
        <v>1543200</v>
      </c>
      <c r="AM35" s="190">
        <v>1466185</v>
      </c>
      <c r="AN35" s="190">
        <v>1354320</v>
      </c>
      <c r="AO35" s="10"/>
      <c r="AP35" s="26">
        <f>SUM(J35:AN35)</f>
        <v>41535606</v>
      </c>
      <c r="AQ35" s="8"/>
      <c r="AR35" s="27"/>
      <c r="AS35" s="3"/>
      <c r="CB35" s="5"/>
      <c r="CC35" s="5"/>
      <c r="CD35" s="31">
        <f>AR35/1000</f>
        <v>0</v>
      </c>
      <c r="CN35" s="66"/>
      <c r="DF35" s="5"/>
      <c r="EM35" s="121" t="s">
        <v>113</v>
      </c>
      <c r="EN35" s="30"/>
      <c r="EO35" s="5"/>
      <c r="EP35" s="5"/>
      <c r="EQ35" s="5"/>
      <c r="ER35" s="5"/>
      <c r="GU35" s="5"/>
      <c r="KP35" s="5"/>
      <c r="KQ35" s="5"/>
      <c r="KR35" s="5"/>
      <c r="KS35" s="5"/>
      <c r="PW35" s="5"/>
      <c r="PX35" s="5"/>
      <c r="PZ35" s="5"/>
      <c r="QN35" s="27"/>
      <c r="QR35" s="5"/>
      <c r="SU35" s="27"/>
      <c r="AFM35" s="5">
        <v>136359.999999986</v>
      </c>
      <c r="AFN35" s="5">
        <v>109339.999999997</v>
      </c>
      <c r="AFO35" s="114">
        <f>SUM(AFM35:AFN35)</f>
        <v>245699.999999983</v>
      </c>
      <c r="AFY35" s="5">
        <v>34157.880000005498</v>
      </c>
      <c r="AFZ35" s="114">
        <f>AFO35-AFY35</f>
        <v>211542.1199999775</v>
      </c>
      <c r="AID35" s="5">
        <f>AID32</f>
        <v>1884</v>
      </c>
      <c r="AJS35" s="5"/>
      <c r="AJT35" s="5"/>
      <c r="AJU35" s="5"/>
      <c r="AKC35" s="5"/>
      <c r="AKD35" s="5"/>
    </row>
    <row r="36" spans="5:14973" x14ac:dyDescent="0.3">
      <c r="F36" s="135"/>
      <c r="G36" s="194" t="s">
        <v>83</v>
      </c>
      <c r="H36" s="188">
        <f>H54%*H29</f>
        <v>0</v>
      </c>
      <c r="I36" s="195" t="s">
        <v>16</v>
      </c>
      <c r="J36" s="190">
        <v>84016</v>
      </c>
      <c r="K36" s="190">
        <v>78207</v>
      </c>
      <c r="L36" s="190">
        <v>73731</v>
      </c>
      <c r="M36" s="190">
        <v>64201</v>
      </c>
      <c r="N36" s="190">
        <v>88545</v>
      </c>
      <c r="O36" s="259">
        <v>82513</v>
      </c>
      <c r="P36" s="190">
        <v>71828</v>
      </c>
      <c r="Q36" s="190">
        <v>66556</v>
      </c>
      <c r="R36" s="190">
        <v>78270</v>
      </c>
      <c r="S36" s="190">
        <v>73605</v>
      </c>
      <c r="T36" s="190">
        <v>76395</v>
      </c>
      <c r="U36" s="190">
        <v>65492</v>
      </c>
      <c r="V36" s="190">
        <v>44853</v>
      </c>
      <c r="W36" s="190">
        <v>56363</v>
      </c>
      <c r="X36" s="190">
        <v>58630</v>
      </c>
      <c r="Y36" s="190">
        <v>51854</v>
      </c>
      <c r="Z36" s="190">
        <v>62919</v>
      </c>
      <c r="AA36" s="190">
        <v>60812</v>
      </c>
      <c r="AB36" s="190">
        <v>63646</v>
      </c>
      <c r="AC36" s="190">
        <v>57862</v>
      </c>
      <c r="AD36" s="190">
        <v>65256</v>
      </c>
      <c r="AE36" s="190">
        <v>73780</v>
      </c>
      <c r="AF36" s="190">
        <v>39230</v>
      </c>
      <c r="AG36" s="190">
        <v>27570</v>
      </c>
      <c r="AH36" s="190">
        <v>60574</v>
      </c>
      <c r="AI36" s="190">
        <v>59760</v>
      </c>
      <c r="AJ36" s="190">
        <v>50312</v>
      </c>
      <c r="AK36" s="190">
        <v>58179</v>
      </c>
      <c r="AL36" s="190">
        <v>66633</v>
      </c>
      <c r="AM36" s="190">
        <v>67583</v>
      </c>
      <c r="AN36" s="190">
        <v>67507</v>
      </c>
      <c r="AO36" s="10"/>
      <c r="AP36" s="26">
        <f>SUM(J36:AN36)</f>
        <v>1996682</v>
      </c>
      <c r="AQ36" s="8" t="s">
        <v>85</v>
      </c>
      <c r="AR36" s="27"/>
      <c r="AS36" s="3"/>
      <c r="CB36" s="5"/>
      <c r="CC36" s="5"/>
      <c r="CD36" s="31">
        <f>AR36/1000</f>
        <v>0</v>
      </c>
      <c r="DF36" s="5"/>
      <c r="EM36" s="120" t="s">
        <v>112</v>
      </c>
      <c r="EN36" s="119"/>
      <c r="EO36" s="118" t="s">
        <v>111</v>
      </c>
      <c r="EP36" s="117" t="s">
        <v>110</v>
      </c>
      <c r="EQ36" s="116"/>
      <c r="ER36" s="5"/>
      <c r="GU36" s="5"/>
      <c r="KP36" s="5"/>
      <c r="KQ36" s="5"/>
      <c r="KR36" s="5"/>
      <c r="KS36" s="5"/>
      <c r="PW36" s="5">
        <f>PW29-PW33</f>
        <v>-16914.957215568902</v>
      </c>
      <c r="PX36" s="5">
        <f>PX29-PX33</f>
        <v>-24369.061467065898</v>
      </c>
      <c r="PZ36" s="108" t="s">
        <v>81</v>
      </c>
      <c r="QA36" s="115">
        <v>0</v>
      </c>
      <c r="QM36" s="5">
        <v>564.70506750000004</v>
      </c>
      <c r="QN36" s="27">
        <f>QA36/QM36*100</f>
        <v>0</v>
      </c>
      <c r="QQ36" s="106"/>
      <c r="QR36" s="5"/>
      <c r="SU36" s="27"/>
      <c r="AFM36" s="5">
        <v>13799.9999999993</v>
      </c>
      <c r="AFN36" s="5">
        <v>2799.9999999992701</v>
      </c>
      <c r="AFO36" s="114">
        <f>SUM(AFM36:AFN36)</f>
        <v>16599.99999999857</v>
      </c>
      <c r="AFY36" s="5">
        <v>1469.85000000024</v>
      </c>
      <c r="AFZ36" s="114">
        <f>AFO36-AFY36</f>
        <v>15130.14999999833</v>
      </c>
      <c r="AIC36" s="106">
        <v>0.75</v>
      </c>
      <c r="AID36" s="5">
        <f>AIC36*AID35</f>
        <v>1413</v>
      </c>
      <c r="AJS36" s="5"/>
      <c r="AJT36" s="5"/>
      <c r="AJU36" s="5"/>
      <c r="AKC36" s="5"/>
      <c r="AKD36" s="5"/>
    </row>
    <row r="37" spans="5:14973" ht="15" thickBot="1" x14ac:dyDescent="0.35">
      <c r="F37" s="135"/>
      <c r="G37" s="196" t="s">
        <v>109</v>
      </c>
      <c r="H37" s="197"/>
      <c r="I37" s="198"/>
      <c r="J37" s="184"/>
      <c r="K37" s="184"/>
      <c r="L37" s="184"/>
      <c r="M37" s="184"/>
      <c r="N37" s="184"/>
      <c r="O37" s="181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0"/>
      <c r="AP37" s="85" t="s">
        <v>82</v>
      </c>
      <c r="AQ37" s="8"/>
      <c r="AR37" s="66"/>
      <c r="AS37" s="3"/>
      <c r="AU37" s="35">
        <v>50059</v>
      </c>
      <c r="EM37" s="113"/>
      <c r="EN37" s="112"/>
      <c r="EO37" s="111">
        <v>24</v>
      </c>
      <c r="EP37" s="110">
        <v>2</v>
      </c>
      <c r="EQ37" s="109">
        <v>3</v>
      </c>
      <c r="PZ37" s="108" t="s">
        <v>79</v>
      </c>
      <c r="QA37" s="107">
        <f>80.53776+QN43</f>
        <v>120.78492</v>
      </c>
      <c r="QM37" s="5">
        <v>4695.7554</v>
      </c>
      <c r="QN37" s="27">
        <f>QA37/QM37*100</f>
        <v>2.5722148985869238</v>
      </c>
      <c r="AIC37" s="106">
        <v>0.25</v>
      </c>
      <c r="AID37" s="5">
        <f>AIC37*AID35</f>
        <v>471</v>
      </c>
    </row>
    <row r="38" spans="5:14973" x14ac:dyDescent="0.3">
      <c r="F38" s="135"/>
      <c r="G38" s="194" t="s">
        <v>108</v>
      </c>
      <c r="H38" s="199">
        <f>SUM(H39:H40)</f>
        <v>0</v>
      </c>
      <c r="I38" s="195" t="s">
        <v>16</v>
      </c>
      <c r="J38" s="190">
        <f>J40+J39</f>
        <v>1895752</v>
      </c>
      <c r="K38" s="190">
        <f t="shared" ref="K38:AN38" si="7">K40+K39</f>
        <v>1866704</v>
      </c>
      <c r="L38" s="190">
        <f t="shared" si="7"/>
        <v>1402841</v>
      </c>
      <c r="M38" s="190">
        <f t="shared" si="7"/>
        <v>1412645</v>
      </c>
      <c r="N38" s="190">
        <f t="shared" si="7"/>
        <v>1902876</v>
      </c>
      <c r="O38" s="259">
        <f t="shared" si="7"/>
        <v>2075363</v>
      </c>
      <c r="P38" s="190">
        <f t="shared" si="7"/>
        <v>1720269</v>
      </c>
      <c r="Q38" s="190">
        <f t="shared" si="7"/>
        <v>1408926</v>
      </c>
      <c r="R38" s="190">
        <f t="shared" si="7"/>
        <v>1178998</v>
      </c>
      <c r="S38" s="190">
        <f t="shared" si="7"/>
        <v>873165</v>
      </c>
      <c r="T38" s="190">
        <f t="shared" si="7"/>
        <v>1392736</v>
      </c>
      <c r="U38" s="190">
        <f t="shared" si="7"/>
        <v>1330827</v>
      </c>
      <c r="V38" s="190">
        <f t="shared" si="7"/>
        <v>913298</v>
      </c>
      <c r="W38" s="190">
        <f t="shared" si="7"/>
        <v>1265305</v>
      </c>
      <c r="X38" s="190">
        <f t="shared" si="7"/>
        <v>1292041</v>
      </c>
      <c r="Y38" s="190">
        <f t="shared" si="7"/>
        <v>1457933</v>
      </c>
      <c r="Z38" s="190">
        <f t="shared" si="7"/>
        <v>844363</v>
      </c>
      <c r="AA38" s="190">
        <f t="shared" si="7"/>
        <v>1298875</v>
      </c>
      <c r="AB38" s="190">
        <f>AB40+AB39</f>
        <v>1413142</v>
      </c>
      <c r="AC38" s="190">
        <f t="shared" si="7"/>
        <v>1027853</v>
      </c>
      <c r="AD38" s="190">
        <f t="shared" si="7"/>
        <v>936516</v>
      </c>
      <c r="AE38" s="190">
        <f t="shared" si="7"/>
        <v>1453939</v>
      </c>
      <c r="AF38" s="190">
        <f t="shared" si="7"/>
        <v>921615</v>
      </c>
      <c r="AG38" s="190">
        <f t="shared" si="7"/>
        <v>391057</v>
      </c>
      <c r="AH38" s="190">
        <f t="shared" si="7"/>
        <v>1418537</v>
      </c>
      <c r="AI38" s="190">
        <f t="shared" si="7"/>
        <v>1241484</v>
      </c>
      <c r="AJ38" s="190">
        <f t="shared" si="7"/>
        <v>1264550</v>
      </c>
      <c r="AK38" s="190">
        <f t="shared" si="7"/>
        <v>1208093</v>
      </c>
      <c r="AL38" s="190">
        <f t="shared" si="7"/>
        <v>1566555</v>
      </c>
      <c r="AM38" s="190">
        <f t="shared" si="7"/>
        <v>1623343</v>
      </c>
      <c r="AN38" s="190">
        <f t="shared" si="7"/>
        <v>1083494</v>
      </c>
      <c r="AO38" s="10"/>
      <c r="AP38" s="26">
        <f>SUM(J38:AN38)</f>
        <v>41083095</v>
      </c>
      <c r="AQ38" s="41"/>
      <c r="AR38" s="39"/>
      <c r="AS38" s="72">
        <f>SUM(AS39:AS40)</f>
        <v>1453.9389999999999</v>
      </c>
      <c r="AU38" s="72">
        <f>SUM(AP38+AP43+AP48)/1000</f>
        <v>41752.294999999998</v>
      </c>
      <c r="AV38" s="3">
        <f>AU38/AU37*100</f>
        <v>83.406170718552104</v>
      </c>
      <c r="CB38" s="40"/>
      <c r="CC38" s="40"/>
      <c r="DF38" s="40"/>
      <c r="EM38" s="99" t="s">
        <v>107</v>
      </c>
      <c r="EN38" s="30" t="s">
        <v>16</v>
      </c>
      <c r="EO38" s="98">
        <v>2000530</v>
      </c>
      <c r="EP38" s="105">
        <v>2005167</v>
      </c>
      <c r="EQ38" s="96">
        <v>2025879</v>
      </c>
      <c r="ER38" s="40"/>
      <c r="GU38" s="40"/>
      <c r="KP38" s="40"/>
      <c r="KQ38" s="40"/>
      <c r="KR38" s="40"/>
      <c r="KS38" s="40"/>
      <c r="PW38" s="40"/>
      <c r="PX38" s="40"/>
      <c r="PZ38" s="40"/>
      <c r="QN38" s="39"/>
      <c r="QR38" s="40"/>
      <c r="SU38" s="39"/>
      <c r="AFM38" s="4">
        <f>95.28%*AFM29</f>
        <v>34157.880000005527</v>
      </c>
      <c r="AFO38" s="4">
        <f>AFM35-AFY35</f>
        <v>102202.1199999805</v>
      </c>
      <c r="AID38" s="5"/>
      <c r="AJS38" s="5"/>
      <c r="AJT38" s="5"/>
      <c r="AJU38" s="5"/>
      <c r="AJY38" s="1" t="s">
        <v>106</v>
      </c>
    </row>
    <row r="39" spans="5:14973" x14ac:dyDescent="0.3">
      <c r="F39" s="135"/>
      <c r="G39" s="194" t="s">
        <v>105</v>
      </c>
      <c r="H39" s="199"/>
      <c r="I39" s="195" t="s">
        <v>16</v>
      </c>
      <c r="J39" s="190">
        <v>1543229</v>
      </c>
      <c r="K39" s="190">
        <v>1528669</v>
      </c>
      <c r="L39" s="190">
        <v>1094918</v>
      </c>
      <c r="M39" s="190">
        <v>1158794</v>
      </c>
      <c r="N39" s="190">
        <v>1522848</v>
      </c>
      <c r="O39" s="259">
        <v>1664339</v>
      </c>
      <c r="P39" s="190">
        <v>1383378</v>
      </c>
      <c r="Q39" s="190">
        <v>1150019</v>
      </c>
      <c r="R39" s="190">
        <v>944859</v>
      </c>
      <c r="S39" s="190">
        <v>746045</v>
      </c>
      <c r="T39" s="190">
        <v>1129188</v>
      </c>
      <c r="U39" s="190">
        <v>1097957</v>
      </c>
      <c r="V39" s="190">
        <v>752212</v>
      </c>
      <c r="W39" s="190">
        <v>1040259</v>
      </c>
      <c r="X39" s="190">
        <v>1062461</v>
      </c>
      <c r="Y39" s="190">
        <v>1167916</v>
      </c>
      <c r="Z39" s="190">
        <v>677230</v>
      </c>
      <c r="AA39" s="190">
        <v>1051160</v>
      </c>
      <c r="AB39" s="190">
        <v>1163776</v>
      </c>
      <c r="AC39" s="190">
        <v>842966</v>
      </c>
      <c r="AD39" s="190">
        <v>756873</v>
      </c>
      <c r="AE39" s="190">
        <v>1164156</v>
      </c>
      <c r="AF39" s="190">
        <v>690748</v>
      </c>
      <c r="AG39" s="190">
        <v>315791</v>
      </c>
      <c r="AH39" s="190">
        <f>1135238+40200</f>
        <v>1175438</v>
      </c>
      <c r="AI39" s="190">
        <v>1006253</v>
      </c>
      <c r="AJ39" s="190">
        <v>1013778</v>
      </c>
      <c r="AK39" s="190">
        <v>968228</v>
      </c>
      <c r="AL39" s="190">
        <v>1315688</v>
      </c>
      <c r="AM39" s="190">
        <v>1348528</v>
      </c>
      <c r="AN39" s="190">
        <v>868276</v>
      </c>
      <c r="AO39" s="10"/>
      <c r="AP39" s="26">
        <f>SUM(J39:AN39)</f>
        <v>33345980</v>
      </c>
      <c r="AQ39" s="5"/>
      <c r="AS39" s="72">
        <f>AE39/1000</f>
        <v>1164.1559999999999</v>
      </c>
      <c r="AT39" s="3">
        <f>AS39/AS38*100</f>
        <v>80.069108814056165</v>
      </c>
      <c r="AU39" s="72">
        <f>AP39/1000</f>
        <v>33345.980000000003</v>
      </c>
      <c r="CD39" s="31">
        <f>AR39/1000</f>
        <v>0</v>
      </c>
      <c r="EM39" s="104" t="s">
        <v>104</v>
      </c>
      <c r="EN39" s="103" t="s">
        <v>22</v>
      </c>
      <c r="EO39" s="102">
        <v>255.536188590634</v>
      </c>
      <c r="EP39" s="101">
        <v>255.09239449100701</v>
      </c>
      <c r="EQ39" s="100">
        <v>260.824545250543</v>
      </c>
      <c r="PW39" s="89">
        <f>V29/1000</f>
        <v>846.19200000000001</v>
      </c>
      <c r="PZ39" s="90" t="s">
        <v>103</v>
      </c>
      <c r="QA39" s="5">
        <v>0</v>
      </c>
      <c r="QM39" s="5">
        <v>9.7534799999999997</v>
      </c>
      <c r="QN39" s="27">
        <f>(QA39*QM39)/1000</f>
        <v>0</v>
      </c>
      <c r="AFM39" s="4">
        <f>4.1%*AFM29</f>
        <v>1469.8500000002375</v>
      </c>
      <c r="AFO39" s="4">
        <f>AFM36-AFY36</f>
        <v>12330.149999999059</v>
      </c>
    </row>
    <row r="40" spans="5:14973" x14ac:dyDescent="0.3">
      <c r="F40" s="135"/>
      <c r="G40" s="194" t="s">
        <v>94</v>
      </c>
      <c r="H40" s="199"/>
      <c r="I40" s="195" t="s">
        <v>16</v>
      </c>
      <c r="J40" s="190">
        <v>352523</v>
      </c>
      <c r="K40" s="190">
        <v>338035</v>
      </c>
      <c r="L40" s="190">
        <v>307923</v>
      </c>
      <c r="M40" s="190">
        <v>253851</v>
      </c>
      <c r="N40" s="190">
        <v>380028</v>
      </c>
      <c r="O40" s="259">
        <v>411024</v>
      </c>
      <c r="P40" s="190">
        <v>336891</v>
      </c>
      <c r="Q40" s="190">
        <v>258907</v>
      </c>
      <c r="R40" s="190">
        <v>234139</v>
      </c>
      <c r="S40" s="190">
        <f>207720-80600</f>
        <v>127120</v>
      </c>
      <c r="T40" s="190">
        <v>263548</v>
      </c>
      <c r="U40" s="190">
        <v>232870</v>
      </c>
      <c r="V40" s="190">
        <v>161086</v>
      </c>
      <c r="W40" s="190">
        <v>225046</v>
      </c>
      <c r="X40" s="190">
        <v>229580</v>
      </c>
      <c r="Y40" s="190">
        <v>290017</v>
      </c>
      <c r="Z40" s="190">
        <v>167133</v>
      </c>
      <c r="AA40" s="190">
        <f>330915-83200</f>
        <v>247715</v>
      </c>
      <c r="AB40" s="190">
        <v>249366</v>
      </c>
      <c r="AC40" s="190">
        <f>243987-59100</f>
        <v>184887</v>
      </c>
      <c r="AD40" s="190">
        <v>179643</v>
      </c>
      <c r="AE40" s="190">
        <v>289783</v>
      </c>
      <c r="AF40" s="200">
        <v>230867</v>
      </c>
      <c r="AG40" s="200">
        <v>75266</v>
      </c>
      <c r="AH40" s="200">
        <f>256899-13800</f>
        <v>243099</v>
      </c>
      <c r="AI40" s="200">
        <v>235231</v>
      </c>
      <c r="AJ40" s="200">
        <v>250772</v>
      </c>
      <c r="AK40" s="200">
        <v>239865</v>
      </c>
      <c r="AL40" s="200">
        <f>265267-14400</f>
        <v>250867</v>
      </c>
      <c r="AM40" s="200">
        <v>274815</v>
      </c>
      <c r="AN40" s="200">
        <v>215218</v>
      </c>
      <c r="AO40" s="10"/>
      <c r="AP40" s="26">
        <f>SUM(J40:AN40)</f>
        <v>7737115</v>
      </c>
      <c r="AQ40" s="5"/>
      <c r="AS40" s="72">
        <f>AE40/1000</f>
        <v>289.78300000000002</v>
      </c>
      <c r="AT40" s="3">
        <f>AS40/AS38*100</f>
        <v>19.930891185943842</v>
      </c>
      <c r="AU40" s="72">
        <f>AP40/1000</f>
        <v>7737.1149999999998</v>
      </c>
      <c r="CD40" s="31">
        <f>AR40/1000</f>
        <v>0</v>
      </c>
      <c r="EM40" s="99" t="s">
        <v>102</v>
      </c>
      <c r="EN40" s="30" t="s">
        <v>16</v>
      </c>
      <c r="EO40" s="98">
        <v>146000</v>
      </c>
      <c r="EP40" s="97">
        <v>151100</v>
      </c>
      <c r="EQ40" s="96">
        <v>152900</v>
      </c>
      <c r="PW40" s="5">
        <v>1796</v>
      </c>
      <c r="PY40" s="27"/>
      <c r="PZ40" s="90" t="s">
        <v>101</v>
      </c>
      <c r="QA40" s="89">
        <v>1262</v>
      </c>
      <c r="QM40" s="1">
        <v>10.86</v>
      </c>
      <c r="QN40" s="27">
        <f t="shared" ref="QN40:QN41" si="8">(QA40*QM40)/1000</f>
        <v>13.70532</v>
      </c>
      <c r="AJY40" s="87" t="s">
        <v>100</v>
      </c>
    </row>
    <row r="41" spans="5:14973" ht="15.75" customHeight="1" thickBot="1" x14ac:dyDescent="0.35">
      <c r="F41" s="135"/>
      <c r="G41" s="196" t="s">
        <v>99</v>
      </c>
      <c r="H41" s="201"/>
      <c r="I41" s="198"/>
      <c r="J41" s="184"/>
      <c r="K41" s="184"/>
      <c r="L41" s="184"/>
      <c r="M41" s="202"/>
      <c r="N41" s="184"/>
      <c r="O41" s="181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203"/>
      <c r="AD41" s="204"/>
      <c r="AE41" s="204"/>
      <c r="AF41" s="203"/>
      <c r="AG41" s="203"/>
      <c r="AH41" s="203"/>
      <c r="AI41" s="203"/>
      <c r="AJ41" s="203"/>
      <c r="AK41" s="203"/>
      <c r="AL41" s="203"/>
      <c r="AM41" s="203"/>
      <c r="AN41" s="203"/>
      <c r="AO41" s="10"/>
      <c r="AP41" s="85" t="s">
        <v>81</v>
      </c>
      <c r="AQ41" s="5"/>
      <c r="EM41" s="95"/>
      <c r="EN41" s="94" t="s">
        <v>96</v>
      </c>
      <c r="EO41" s="93">
        <f>EO40/(EO38/1000)</f>
        <v>72.980660125066862</v>
      </c>
      <c r="EP41" s="92">
        <f t="shared" ref="EP41:EQ41" si="9">EP40/(EP38/1000)</f>
        <v>75.35531953198911</v>
      </c>
      <c r="EQ41" s="91">
        <f t="shared" si="9"/>
        <v>75.473411788167013</v>
      </c>
      <c r="PW41" s="27">
        <f>PW39/PW40*100</f>
        <v>47.115367483296218</v>
      </c>
      <c r="PY41" s="27"/>
      <c r="PZ41" s="90" t="s">
        <v>98</v>
      </c>
      <c r="QA41" s="89">
        <v>2444</v>
      </c>
      <c r="QM41" s="1">
        <v>10.86</v>
      </c>
      <c r="QN41" s="27">
        <f t="shared" si="8"/>
        <v>26.541840000000001</v>
      </c>
      <c r="AJY41" s="87" t="s">
        <v>97</v>
      </c>
    </row>
    <row r="42" spans="5:14973" ht="15" customHeight="1" x14ac:dyDescent="0.3">
      <c r="E42" s="83"/>
      <c r="F42" s="167"/>
      <c r="G42" s="205" t="s">
        <v>92</v>
      </c>
      <c r="H42" s="206"/>
      <c r="I42" s="207" t="s">
        <v>16</v>
      </c>
      <c r="J42" s="190"/>
      <c r="K42" s="190"/>
      <c r="L42" s="190"/>
      <c r="M42" s="190"/>
      <c r="N42" s="190"/>
      <c r="O42" s="259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208">
        <v>56764</v>
      </c>
      <c r="AI42" s="208"/>
      <c r="AJ42" s="208"/>
      <c r="AK42" s="208"/>
      <c r="AL42" s="208">
        <v>56764</v>
      </c>
      <c r="AM42" s="208"/>
      <c r="AN42" s="208"/>
      <c r="AO42" s="51"/>
      <c r="AP42" s="50">
        <f>SUM(J42:AN42)</f>
        <v>113528</v>
      </c>
      <c r="AQ42" s="14"/>
      <c r="AS42" s="84"/>
      <c r="AT42" s="88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14"/>
      <c r="CC42" s="14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D42" s="83"/>
      <c r="DE42" s="83"/>
      <c r="DF42" s="14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  <c r="ED42" s="83"/>
      <c r="EE42" s="83"/>
      <c r="EF42" s="83"/>
      <c r="EG42" s="83"/>
      <c r="EH42" s="83"/>
      <c r="EI42" s="83"/>
      <c r="EJ42" s="83"/>
      <c r="EK42" s="83"/>
      <c r="EL42" s="83"/>
      <c r="EN42" s="30" t="s">
        <v>96</v>
      </c>
      <c r="EO42" s="39" t="e">
        <f>EO40/(EO36/1000)</f>
        <v>#VALUE!</v>
      </c>
      <c r="EP42" s="39" t="e">
        <f>EQ40/(EP36/1000)</f>
        <v>#VALUE!</v>
      </c>
      <c r="EQ42" s="39" t="e">
        <f>#REF!/(EQ36/1000)</f>
        <v>#REF!</v>
      </c>
      <c r="ER42" s="14"/>
      <c r="ES42" s="83"/>
      <c r="ET42" s="83"/>
      <c r="EU42" s="83"/>
      <c r="EV42" s="83"/>
      <c r="EW42" s="83"/>
      <c r="EX42" s="83"/>
      <c r="EY42" s="83"/>
      <c r="EZ42" s="83"/>
      <c r="FA42" s="83"/>
      <c r="FB42" s="83"/>
      <c r="FC42" s="83"/>
      <c r="FD42" s="83"/>
      <c r="FE42" s="83"/>
      <c r="FF42" s="83"/>
      <c r="FG42" s="83"/>
      <c r="FH42" s="83"/>
      <c r="FI42" s="83"/>
      <c r="FJ42" s="83"/>
      <c r="FK42" s="83"/>
      <c r="FL42" s="83"/>
      <c r="FM42" s="83"/>
      <c r="FN42" s="83"/>
      <c r="FO42" s="83"/>
      <c r="FP42" s="83"/>
      <c r="FQ42" s="83"/>
      <c r="FR42" s="83"/>
      <c r="FS42" s="83"/>
      <c r="FT42" s="83"/>
      <c r="FU42" s="83"/>
      <c r="FV42" s="83"/>
      <c r="FW42" s="83"/>
      <c r="FX42" s="83"/>
      <c r="FY42" s="83"/>
      <c r="FZ42" s="83"/>
      <c r="GA42" s="83"/>
      <c r="GB42" s="83"/>
      <c r="GC42" s="83"/>
      <c r="GD42" s="83"/>
      <c r="GE42" s="83"/>
      <c r="GF42" s="83"/>
      <c r="GG42" s="83"/>
      <c r="GH42" s="83"/>
      <c r="GI42" s="83"/>
      <c r="GJ42" s="83"/>
      <c r="GK42" s="83"/>
      <c r="GL42" s="83"/>
      <c r="GM42" s="83"/>
      <c r="GN42" s="83"/>
      <c r="GO42" s="83"/>
      <c r="GP42" s="83"/>
      <c r="GQ42" s="83"/>
      <c r="GR42" s="83"/>
      <c r="GS42" s="83"/>
      <c r="GT42" s="83"/>
      <c r="GU42" s="14"/>
      <c r="GV42" s="83"/>
      <c r="GW42" s="83"/>
      <c r="GX42" s="83"/>
      <c r="GY42" s="83"/>
      <c r="GZ42" s="83"/>
      <c r="HA42" s="83"/>
      <c r="HB42" s="83"/>
      <c r="HC42" s="83"/>
      <c r="HD42" s="83"/>
      <c r="HE42" s="83"/>
      <c r="HF42" s="83"/>
      <c r="HG42" s="83"/>
      <c r="HH42" s="83"/>
      <c r="HI42" s="83"/>
      <c r="HJ42" s="83"/>
      <c r="HK42" s="83"/>
      <c r="HL42" s="83"/>
      <c r="HM42" s="83"/>
      <c r="HN42" s="83"/>
      <c r="HO42" s="83"/>
      <c r="HP42" s="83"/>
      <c r="HQ42" s="83"/>
      <c r="HR42" s="83"/>
      <c r="HS42" s="83"/>
      <c r="HT42" s="83"/>
      <c r="HU42" s="83"/>
      <c r="HV42" s="83"/>
      <c r="HW42" s="83"/>
      <c r="HX42" s="83"/>
      <c r="HY42" s="83"/>
      <c r="HZ42" s="83"/>
      <c r="IA42" s="83"/>
      <c r="IB42" s="83"/>
      <c r="IC42" s="83"/>
      <c r="ID42" s="83"/>
      <c r="IE42" s="83"/>
      <c r="IF42" s="83"/>
      <c r="IG42" s="83"/>
      <c r="IH42" s="83"/>
      <c r="II42" s="83"/>
      <c r="IJ42" s="83"/>
      <c r="IK42" s="83"/>
      <c r="IL42" s="83"/>
      <c r="IM42" s="83"/>
      <c r="IN42" s="83"/>
      <c r="IO42" s="83"/>
      <c r="IP42" s="83"/>
      <c r="IQ42" s="83"/>
      <c r="IR42" s="83"/>
      <c r="IS42" s="83"/>
      <c r="IT42" s="83"/>
      <c r="IU42" s="83"/>
      <c r="IV42" s="83"/>
      <c r="IW42" s="83"/>
      <c r="IX42" s="83"/>
      <c r="IY42" s="83"/>
      <c r="IZ42" s="83"/>
      <c r="JA42" s="83"/>
      <c r="JB42" s="83"/>
      <c r="JC42" s="83"/>
      <c r="JD42" s="83"/>
      <c r="JE42" s="83"/>
      <c r="JF42" s="83"/>
      <c r="JG42" s="83"/>
      <c r="JH42" s="83"/>
      <c r="JI42" s="83"/>
      <c r="JJ42" s="83"/>
      <c r="JK42" s="83"/>
      <c r="JL42" s="83"/>
      <c r="JM42" s="83"/>
      <c r="JN42" s="83"/>
      <c r="JO42" s="83"/>
      <c r="JP42" s="83"/>
      <c r="JQ42" s="83"/>
      <c r="JR42" s="83"/>
      <c r="JS42" s="83"/>
      <c r="JT42" s="83"/>
      <c r="JU42" s="83"/>
      <c r="JV42" s="83"/>
      <c r="JW42" s="83"/>
      <c r="JX42" s="83"/>
      <c r="JY42" s="83"/>
      <c r="JZ42" s="83"/>
      <c r="KA42" s="83"/>
      <c r="KB42" s="83"/>
      <c r="KC42" s="83"/>
      <c r="KD42" s="83"/>
      <c r="KE42" s="83"/>
      <c r="KF42" s="83"/>
      <c r="KG42" s="83"/>
      <c r="KH42" s="83"/>
      <c r="KI42" s="83"/>
      <c r="KJ42" s="83"/>
      <c r="KK42" s="83"/>
      <c r="KL42" s="83"/>
      <c r="KM42" s="83"/>
      <c r="KN42" s="83"/>
      <c r="KO42" s="83"/>
      <c r="KP42" s="14"/>
      <c r="KQ42" s="14"/>
      <c r="KR42" s="14"/>
      <c r="KS42" s="14"/>
      <c r="KT42" s="83"/>
      <c r="KU42" s="83"/>
      <c r="KV42" s="83"/>
      <c r="KW42" s="83"/>
      <c r="KX42" s="83"/>
      <c r="KY42" s="83"/>
      <c r="KZ42" s="83"/>
      <c r="LA42" s="83"/>
      <c r="LB42" s="83"/>
      <c r="LC42" s="83"/>
      <c r="LD42" s="83"/>
      <c r="LE42" s="83"/>
      <c r="LF42" s="83"/>
      <c r="LG42" s="83"/>
      <c r="LH42" s="83"/>
      <c r="LI42" s="83"/>
      <c r="LJ42" s="83"/>
      <c r="LK42" s="83"/>
      <c r="LL42" s="83"/>
      <c r="LM42" s="83"/>
      <c r="LN42" s="83"/>
      <c r="LO42" s="83"/>
      <c r="LP42" s="83"/>
      <c r="LQ42" s="83"/>
      <c r="LR42" s="83"/>
      <c r="LS42" s="83"/>
      <c r="LT42" s="83"/>
      <c r="LU42" s="83"/>
      <c r="LV42" s="83"/>
      <c r="LW42" s="83"/>
      <c r="LX42" s="83"/>
      <c r="LY42" s="83"/>
      <c r="LZ42" s="83"/>
      <c r="MA42" s="83"/>
      <c r="MB42" s="83"/>
      <c r="MC42" s="83"/>
      <c r="MD42" s="83"/>
      <c r="ME42" s="83"/>
      <c r="MF42" s="83"/>
      <c r="MG42" s="83"/>
      <c r="MH42" s="83"/>
      <c r="MI42" s="83"/>
      <c r="MJ42" s="83"/>
      <c r="MK42" s="83"/>
      <c r="ML42" s="83"/>
      <c r="MM42" s="83"/>
      <c r="MN42" s="83"/>
      <c r="MO42" s="83"/>
      <c r="MP42" s="83"/>
      <c r="MQ42" s="83"/>
      <c r="MR42" s="83"/>
      <c r="MS42" s="83"/>
      <c r="MT42" s="83"/>
      <c r="MU42" s="83"/>
      <c r="MV42" s="83"/>
      <c r="MW42" s="83"/>
      <c r="MX42" s="83"/>
      <c r="MY42" s="83"/>
      <c r="MZ42" s="83"/>
      <c r="NA42" s="83"/>
      <c r="NB42" s="83"/>
      <c r="NC42" s="83"/>
      <c r="ND42" s="83"/>
      <c r="NE42" s="83"/>
      <c r="NF42" s="83"/>
      <c r="NG42" s="83"/>
      <c r="NH42" s="83"/>
      <c r="NI42" s="83"/>
      <c r="NJ42" s="83"/>
      <c r="NK42" s="83"/>
      <c r="NL42" s="83"/>
      <c r="NM42" s="83"/>
      <c r="NN42" s="83"/>
      <c r="NO42" s="83"/>
      <c r="NP42" s="83"/>
      <c r="NQ42" s="83"/>
      <c r="NR42" s="83"/>
      <c r="NS42" s="83"/>
      <c r="NT42" s="83"/>
      <c r="NU42" s="83"/>
      <c r="NV42" s="83"/>
      <c r="NW42" s="83"/>
      <c r="NX42" s="83"/>
      <c r="NY42" s="83"/>
      <c r="NZ42" s="83"/>
      <c r="OA42" s="83"/>
      <c r="OB42" s="83"/>
      <c r="OC42" s="83"/>
      <c r="OD42" s="83"/>
      <c r="OE42" s="83"/>
      <c r="OF42" s="83"/>
      <c r="OG42" s="83"/>
      <c r="OH42" s="83"/>
      <c r="OI42" s="83"/>
      <c r="OJ42" s="83"/>
      <c r="OK42" s="83"/>
      <c r="OL42" s="83"/>
      <c r="OM42" s="83"/>
      <c r="ON42" s="83"/>
      <c r="OO42" s="83"/>
      <c r="OP42" s="83"/>
      <c r="OQ42" s="83"/>
      <c r="OR42" s="83"/>
      <c r="OS42" s="83"/>
      <c r="OT42" s="83"/>
      <c r="OU42" s="83"/>
      <c r="OV42" s="83"/>
      <c r="OW42" s="83"/>
      <c r="OX42" s="83"/>
      <c r="OY42" s="83"/>
      <c r="OZ42" s="83"/>
      <c r="PA42" s="83"/>
      <c r="PB42" s="83"/>
      <c r="PC42" s="83"/>
      <c r="PD42" s="83"/>
      <c r="PE42" s="83"/>
      <c r="PF42" s="83"/>
      <c r="PG42" s="83"/>
      <c r="PH42" s="83"/>
      <c r="PI42" s="83"/>
      <c r="PJ42" s="83"/>
      <c r="PK42" s="83"/>
      <c r="PL42" s="83"/>
      <c r="PM42" s="83"/>
      <c r="PN42" s="83"/>
      <c r="PO42" s="83"/>
      <c r="PP42" s="83"/>
      <c r="PQ42" s="83"/>
      <c r="PR42" s="83"/>
      <c r="PS42" s="83"/>
      <c r="PT42" s="83"/>
      <c r="PU42" s="83"/>
      <c r="PV42" s="83"/>
      <c r="PW42" s="14"/>
      <c r="PX42" s="14"/>
      <c r="PY42" s="15"/>
      <c r="PZ42" s="14"/>
      <c r="QA42" s="83"/>
      <c r="QB42" s="83"/>
      <c r="QC42" s="83"/>
      <c r="QD42" s="83"/>
      <c r="QE42" s="83"/>
      <c r="QF42" s="83"/>
      <c r="QG42" s="83"/>
      <c r="QH42" s="83"/>
      <c r="QI42" s="83"/>
      <c r="QJ42" s="83"/>
      <c r="QK42" s="83"/>
      <c r="QL42" s="83"/>
      <c r="QM42" s="83"/>
      <c r="QN42" s="15"/>
      <c r="QO42" s="83"/>
      <c r="QP42" s="83"/>
      <c r="QQ42" s="83"/>
      <c r="QR42" s="14"/>
      <c r="QS42" s="83"/>
      <c r="QT42" s="83"/>
      <c r="QU42" s="83"/>
      <c r="QV42" s="83"/>
      <c r="QW42" s="83"/>
      <c r="QX42" s="83"/>
      <c r="QY42" s="83"/>
      <c r="QZ42" s="83"/>
      <c r="RA42" s="83"/>
      <c r="RB42" s="83"/>
      <c r="RC42" s="83"/>
      <c r="RD42" s="83"/>
      <c r="RE42" s="83"/>
      <c r="RF42" s="83"/>
      <c r="RG42" s="83"/>
      <c r="RH42" s="83"/>
      <c r="RI42" s="83"/>
      <c r="RJ42" s="83"/>
      <c r="RK42" s="83"/>
      <c r="RL42" s="83"/>
      <c r="RM42" s="83"/>
      <c r="RN42" s="83"/>
      <c r="RO42" s="83"/>
      <c r="RP42" s="83"/>
      <c r="RQ42" s="83"/>
      <c r="RR42" s="83"/>
      <c r="RS42" s="83"/>
      <c r="RT42" s="83"/>
      <c r="RU42" s="83"/>
      <c r="RV42" s="83"/>
      <c r="RW42" s="83"/>
      <c r="RX42" s="83"/>
      <c r="RY42" s="83"/>
      <c r="RZ42" s="83"/>
      <c r="SA42" s="83"/>
      <c r="SB42" s="83"/>
      <c r="SC42" s="83"/>
      <c r="SD42" s="83"/>
      <c r="SE42" s="83"/>
      <c r="SF42" s="83"/>
      <c r="SG42" s="83"/>
      <c r="SH42" s="83"/>
      <c r="SI42" s="83"/>
      <c r="SJ42" s="83"/>
      <c r="SK42" s="83"/>
      <c r="SL42" s="83"/>
      <c r="SM42" s="83"/>
      <c r="SN42" s="83"/>
      <c r="SO42" s="83"/>
      <c r="SP42" s="83"/>
      <c r="SQ42" s="83"/>
      <c r="SR42" s="83"/>
      <c r="SS42" s="83"/>
      <c r="ST42" s="83"/>
      <c r="SU42" s="15"/>
      <c r="SV42" s="83"/>
      <c r="SW42" s="83"/>
      <c r="SX42" s="83"/>
      <c r="SY42" s="83"/>
      <c r="SZ42" s="83"/>
      <c r="TA42" s="83"/>
      <c r="TB42" s="83"/>
      <c r="TC42" s="83"/>
      <c r="TD42" s="83"/>
      <c r="TE42" s="83"/>
      <c r="TF42" s="83"/>
      <c r="TG42" s="83"/>
      <c r="TH42" s="83"/>
      <c r="TI42" s="83"/>
      <c r="TJ42" s="83"/>
      <c r="TK42" s="83"/>
      <c r="TL42" s="83"/>
      <c r="TM42" s="83"/>
      <c r="TN42" s="83"/>
      <c r="TO42" s="83"/>
      <c r="TP42" s="83"/>
      <c r="TQ42" s="83"/>
      <c r="TR42" s="83"/>
      <c r="TS42" s="83"/>
      <c r="TT42" s="83"/>
      <c r="TU42" s="83"/>
      <c r="TV42" s="83"/>
      <c r="TW42" s="83"/>
      <c r="TX42" s="83"/>
      <c r="TY42" s="83"/>
      <c r="TZ42" s="83"/>
      <c r="UA42" s="83"/>
      <c r="UB42" s="83"/>
      <c r="UC42" s="83"/>
      <c r="UD42" s="83"/>
      <c r="UE42" s="83"/>
      <c r="UF42" s="83"/>
      <c r="UG42" s="83"/>
      <c r="UH42" s="83"/>
      <c r="UI42" s="83"/>
      <c r="UJ42" s="83"/>
      <c r="UK42" s="83"/>
      <c r="UL42" s="83"/>
      <c r="UM42" s="83"/>
      <c r="UN42" s="83"/>
      <c r="UO42" s="83"/>
      <c r="UP42" s="83"/>
      <c r="UQ42" s="83"/>
      <c r="UR42" s="83"/>
      <c r="US42" s="83"/>
      <c r="UT42" s="83"/>
      <c r="UU42" s="83"/>
      <c r="UV42" s="83"/>
      <c r="UW42" s="83"/>
      <c r="UX42" s="83"/>
      <c r="UY42" s="83"/>
      <c r="UZ42" s="83"/>
      <c r="VA42" s="83"/>
      <c r="VB42" s="83"/>
      <c r="VC42" s="83"/>
      <c r="VD42" s="83"/>
      <c r="VE42" s="83"/>
      <c r="VF42" s="83"/>
      <c r="VG42" s="83"/>
      <c r="VH42" s="83"/>
      <c r="VI42" s="83"/>
      <c r="VJ42" s="83"/>
      <c r="VK42" s="83"/>
      <c r="VL42" s="83"/>
      <c r="VM42" s="83"/>
      <c r="VN42" s="83"/>
      <c r="VO42" s="83"/>
      <c r="VP42" s="83"/>
      <c r="VQ42" s="83"/>
      <c r="VR42" s="83"/>
      <c r="VS42" s="83"/>
      <c r="VT42" s="83"/>
      <c r="VU42" s="83"/>
      <c r="VV42" s="83"/>
      <c r="VW42" s="83"/>
      <c r="VX42" s="83"/>
      <c r="VY42" s="83"/>
      <c r="VZ42" s="83"/>
      <c r="WA42" s="83"/>
      <c r="WB42" s="83"/>
      <c r="WC42" s="83"/>
      <c r="WD42" s="83"/>
      <c r="WE42" s="83"/>
      <c r="WF42" s="83"/>
      <c r="WG42" s="83"/>
      <c r="WH42" s="83"/>
      <c r="WI42" s="83"/>
      <c r="WJ42" s="83"/>
      <c r="WK42" s="83"/>
      <c r="WL42" s="83"/>
      <c r="WM42" s="83"/>
      <c r="WN42" s="83"/>
      <c r="WO42" s="83"/>
      <c r="WP42" s="83"/>
      <c r="WQ42" s="83"/>
      <c r="WR42" s="83"/>
      <c r="WS42" s="83"/>
      <c r="WT42" s="83"/>
      <c r="WU42" s="83"/>
      <c r="WV42" s="83"/>
      <c r="WW42" s="83"/>
      <c r="WX42" s="83"/>
      <c r="WY42" s="83"/>
      <c r="WZ42" s="83"/>
      <c r="XA42" s="83"/>
      <c r="XB42" s="83"/>
      <c r="XC42" s="83"/>
      <c r="XD42" s="83"/>
      <c r="XE42" s="83"/>
      <c r="XF42" s="83"/>
      <c r="XG42" s="83"/>
      <c r="XH42" s="83"/>
      <c r="XI42" s="83"/>
      <c r="XJ42" s="83"/>
      <c r="XK42" s="83"/>
      <c r="XL42" s="83"/>
      <c r="XM42" s="83"/>
      <c r="XN42" s="83"/>
      <c r="XO42" s="83"/>
      <c r="XP42" s="83"/>
      <c r="XQ42" s="83"/>
      <c r="XR42" s="83"/>
      <c r="XS42" s="83"/>
      <c r="XT42" s="83"/>
      <c r="XU42" s="83"/>
      <c r="XV42" s="83"/>
      <c r="XW42" s="83"/>
      <c r="XX42" s="83"/>
      <c r="XY42" s="83"/>
      <c r="XZ42" s="83"/>
      <c r="YA42" s="83"/>
      <c r="YB42" s="83"/>
      <c r="YC42" s="83"/>
      <c r="YD42" s="83"/>
      <c r="YE42" s="83"/>
      <c r="YF42" s="83"/>
      <c r="YG42" s="83"/>
      <c r="YH42" s="83"/>
      <c r="YI42" s="83"/>
      <c r="YJ42" s="83"/>
      <c r="YK42" s="83"/>
      <c r="YL42" s="83"/>
      <c r="YM42" s="83"/>
      <c r="YN42" s="83"/>
      <c r="YO42" s="83"/>
      <c r="YP42" s="83"/>
      <c r="YQ42" s="83"/>
      <c r="YR42" s="83"/>
      <c r="YS42" s="83"/>
      <c r="YT42" s="83"/>
      <c r="YU42" s="83"/>
      <c r="YV42" s="83"/>
      <c r="YW42" s="83"/>
      <c r="YX42" s="83"/>
      <c r="YY42" s="83"/>
      <c r="YZ42" s="83"/>
      <c r="ZA42" s="83"/>
      <c r="ZB42" s="83"/>
      <c r="ZC42" s="83"/>
      <c r="ZD42" s="83"/>
      <c r="ZE42" s="83"/>
      <c r="ZF42" s="83"/>
      <c r="ZG42" s="83"/>
      <c r="ZH42" s="83"/>
      <c r="ZI42" s="83"/>
      <c r="ZJ42" s="83"/>
      <c r="ZK42" s="83"/>
      <c r="ZL42" s="83"/>
      <c r="ZM42" s="83"/>
      <c r="ZN42" s="83"/>
      <c r="ZO42" s="83"/>
      <c r="ZP42" s="83"/>
      <c r="ZQ42" s="83"/>
      <c r="ZR42" s="83"/>
      <c r="ZS42" s="83"/>
      <c r="ZT42" s="83"/>
      <c r="ZU42" s="83"/>
      <c r="ZV42" s="83"/>
      <c r="ZW42" s="83"/>
      <c r="ZX42" s="83"/>
      <c r="ZY42" s="83"/>
      <c r="ZZ42" s="83"/>
      <c r="AAA42" s="83"/>
      <c r="AAB42" s="83"/>
      <c r="AAC42" s="83"/>
      <c r="AAD42" s="83"/>
      <c r="AAE42" s="83"/>
      <c r="AAF42" s="83"/>
      <c r="AAG42" s="83"/>
      <c r="AAH42" s="83"/>
      <c r="AAI42" s="83"/>
      <c r="AAJ42" s="83"/>
      <c r="AAK42" s="83"/>
      <c r="AAL42" s="83"/>
      <c r="AAM42" s="83"/>
      <c r="AAN42" s="83"/>
      <c r="AAO42" s="83"/>
      <c r="AAP42" s="83"/>
      <c r="AAQ42" s="83"/>
      <c r="AAR42" s="83"/>
      <c r="AAS42" s="83"/>
      <c r="AAT42" s="83"/>
      <c r="AAU42" s="83"/>
      <c r="AAV42" s="83"/>
      <c r="AAW42" s="83"/>
      <c r="AAX42" s="83"/>
      <c r="AAY42" s="83"/>
      <c r="AAZ42" s="83"/>
      <c r="ABA42" s="83"/>
      <c r="ABB42" s="83"/>
      <c r="ABC42" s="83"/>
      <c r="ABD42" s="83"/>
      <c r="ABE42" s="83"/>
      <c r="ABF42" s="83"/>
      <c r="ABG42" s="83"/>
      <c r="ABH42" s="83"/>
      <c r="ABI42" s="83"/>
      <c r="ABJ42" s="83"/>
      <c r="ABK42" s="83"/>
      <c r="ABL42" s="83"/>
      <c r="ABM42" s="83"/>
      <c r="ABN42" s="83"/>
      <c r="ABO42" s="83"/>
      <c r="ABP42" s="83"/>
      <c r="ABQ42" s="83"/>
      <c r="ABR42" s="83"/>
      <c r="ABS42" s="83"/>
      <c r="ABT42" s="83"/>
      <c r="ABU42" s="83"/>
      <c r="ABV42" s="83"/>
      <c r="ABW42" s="83"/>
      <c r="ABX42" s="83"/>
      <c r="ABY42" s="83"/>
      <c r="ABZ42" s="83"/>
      <c r="ACA42" s="83"/>
      <c r="ACB42" s="83"/>
      <c r="ACC42" s="83"/>
      <c r="ACD42" s="83"/>
      <c r="ACE42" s="83"/>
      <c r="ACF42" s="83"/>
      <c r="ACG42" s="83"/>
      <c r="ACH42" s="83"/>
      <c r="ACI42" s="83"/>
      <c r="ACJ42" s="83"/>
      <c r="ACK42" s="83"/>
      <c r="ACL42" s="83"/>
      <c r="ACM42" s="83"/>
      <c r="ACN42" s="83"/>
      <c r="ACO42" s="83"/>
      <c r="ACP42" s="83"/>
      <c r="ACQ42" s="83"/>
      <c r="ACR42" s="83"/>
      <c r="ACS42" s="83"/>
      <c r="ACT42" s="83"/>
      <c r="ACU42" s="83"/>
      <c r="ACV42" s="83"/>
      <c r="ACW42" s="83"/>
      <c r="ACX42" s="83"/>
      <c r="ACY42" s="83"/>
      <c r="ACZ42" s="83"/>
      <c r="ADA42" s="83"/>
      <c r="ADB42" s="83"/>
      <c r="ADC42" s="83"/>
      <c r="ADD42" s="83"/>
      <c r="ADE42" s="83"/>
      <c r="ADF42" s="83"/>
      <c r="ADG42" s="83"/>
      <c r="ADH42" s="83"/>
      <c r="ADI42" s="83"/>
      <c r="ADJ42" s="83"/>
      <c r="ADK42" s="83"/>
      <c r="ADL42" s="83"/>
      <c r="ADM42" s="83"/>
      <c r="ADN42" s="83"/>
      <c r="ADO42" s="83"/>
      <c r="ADP42" s="83"/>
      <c r="ADQ42" s="83"/>
      <c r="ADR42" s="83"/>
      <c r="ADS42" s="83"/>
      <c r="ADT42" s="83"/>
      <c r="ADU42" s="83"/>
      <c r="ADV42" s="83"/>
      <c r="ADW42" s="83"/>
      <c r="ADX42" s="83"/>
      <c r="ADY42" s="83"/>
      <c r="ADZ42" s="83"/>
      <c r="AEA42" s="83"/>
      <c r="AEB42" s="83"/>
      <c r="AEC42" s="83"/>
      <c r="AED42" s="83"/>
      <c r="AEE42" s="83"/>
      <c r="AEF42" s="83"/>
      <c r="AEG42" s="83"/>
      <c r="AEH42" s="83"/>
      <c r="AEI42" s="83"/>
      <c r="AEJ42" s="83"/>
      <c r="AEK42" s="83"/>
      <c r="AEL42" s="83"/>
      <c r="AEM42" s="83"/>
      <c r="AEN42" s="83"/>
      <c r="AEO42" s="83"/>
      <c r="AEP42" s="83"/>
      <c r="AEQ42" s="83"/>
      <c r="AER42" s="83"/>
      <c r="AES42" s="83"/>
      <c r="AET42" s="83"/>
      <c r="AEU42" s="83"/>
      <c r="AEV42" s="83"/>
      <c r="AEW42" s="83"/>
      <c r="AEX42" s="83"/>
      <c r="AEY42" s="83"/>
      <c r="AEZ42" s="83"/>
      <c r="AFA42" s="83"/>
      <c r="AFB42" s="83"/>
      <c r="AFC42" s="83"/>
      <c r="AFD42" s="83"/>
      <c r="AFE42" s="83"/>
      <c r="AFF42" s="83"/>
      <c r="AFG42" s="83"/>
      <c r="AFH42" s="83"/>
      <c r="AFI42" s="83"/>
      <c r="AFJ42" s="83"/>
      <c r="AFK42" s="83"/>
      <c r="AFL42" s="83"/>
      <c r="AFM42" s="83"/>
      <c r="AFN42" s="83"/>
      <c r="AFO42" s="83"/>
      <c r="AFP42" s="83"/>
      <c r="AFQ42" s="83"/>
      <c r="AFR42" s="83"/>
      <c r="AFS42" s="83"/>
      <c r="AFT42" s="83"/>
      <c r="AFU42" s="83"/>
      <c r="AFV42" s="83"/>
      <c r="AFW42" s="83"/>
      <c r="AFX42" s="83"/>
      <c r="AFY42" s="83"/>
      <c r="AFZ42" s="83"/>
      <c r="AGA42" s="83"/>
      <c r="AGB42" s="83"/>
      <c r="AGC42" s="83"/>
      <c r="AGD42" s="83"/>
      <c r="AGE42" s="83"/>
      <c r="AGF42" s="83"/>
      <c r="AGG42" s="83"/>
      <c r="AGH42" s="83"/>
      <c r="AGI42" s="83"/>
      <c r="AGJ42" s="83"/>
      <c r="AGK42" s="83"/>
      <c r="AGL42" s="83"/>
      <c r="AGM42" s="83"/>
      <c r="AGN42" s="83"/>
      <c r="AGO42" s="83"/>
      <c r="AGP42" s="83"/>
      <c r="AGQ42" s="83"/>
      <c r="AGR42" s="83"/>
      <c r="AGS42" s="83"/>
      <c r="AGT42" s="83"/>
      <c r="AGU42" s="83"/>
      <c r="AGV42" s="83"/>
      <c r="AGW42" s="83"/>
      <c r="AGX42" s="83"/>
      <c r="AGY42" s="83"/>
      <c r="AGZ42" s="83"/>
      <c r="AHA42" s="83"/>
      <c r="AHB42" s="83"/>
      <c r="AHC42" s="83"/>
      <c r="AHD42" s="83"/>
      <c r="AHE42" s="83"/>
      <c r="AHF42" s="83"/>
      <c r="AHG42" s="83"/>
      <c r="AHH42" s="83"/>
      <c r="AHI42" s="83"/>
      <c r="AHJ42" s="83"/>
      <c r="AHK42" s="83"/>
      <c r="AHL42" s="83"/>
      <c r="AHM42" s="83"/>
      <c r="AHN42" s="83"/>
      <c r="AHO42" s="83"/>
      <c r="AHP42" s="83"/>
      <c r="AHQ42" s="83"/>
      <c r="AHR42" s="83"/>
      <c r="AHS42" s="83"/>
      <c r="AHT42" s="83"/>
      <c r="AHU42" s="83"/>
      <c r="AHV42" s="83"/>
      <c r="AHW42" s="83"/>
      <c r="AHX42" s="83"/>
      <c r="AHY42" s="83"/>
      <c r="AHZ42" s="83"/>
      <c r="AIA42" s="83"/>
      <c r="AIB42" s="83"/>
      <c r="AIC42" s="83"/>
      <c r="AID42" s="14"/>
      <c r="AIE42" s="83"/>
      <c r="AIF42" s="83"/>
      <c r="AIG42" s="83"/>
      <c r="AIH42" s="83"/>
      <c r="AII42" s="83"/>
      <c r="AIJ42" s="83"/>
      <c r="AIK42" s="83"/>
      <c r="AIL42" s="83"/>
      <c r="AIM42" s="83"/>
      <c r="AIN42" s="83"/>
      <c r="AIO42" s="83"/>
      <c r="AIP42" s="83"/>
      <c r="AIQ42" s="83"/>
      <c r="AIR42" s="83"/>
      <c r="AIS42" s="83"/>
      <c r="AIT42" s="83"/>
      <c r="AIU42" s="83"/>
      <c r="AIV42" s="83"/>
      <c r="AIW42" s="83"/>
      <c r="AIX42" s="83"/>
      <c r="AIY42" s="83"/>
      <c r="AIZ42" s="83"/>
      <c r="AJA42" s="83"/>
      <c r="AJB42" s="83"/>
      <c r="AJC42" s="83"/>
      <c r="AJD42" s="83"/>
      <c r="AJE42" s="83"/>
      <c r="AJF42" s="83"/>
      <c r="AJG42" s="83"/>
      <c r="AJH42" s="83"/>
      <c r="AJI42" s="83"/>
      <c r="AJJ42" s="83"/>
      <c r="AJK42" s="83"/>
      <c r="AJL42" s="83"/>
      <c r="AJM42" s="83"/>
      <c r="AJN42" s="83"/>
      <c r="AJO42" s="83"/>
      <c r="AJP42" s="83"/>
      <c r="AJQ42" s="83"/>
      <c r="AJR42" s="83"/>
      <c r="AJS42" s="14"/>
      <c r="AJT42" s="14"/>
      <c r="AJU42" s="14"/>
      <c r="AJV42" s="83"/>
      <c r="AJW42" s="83"/>
      <c r="AJX42" s="83"/>
      <c r="AJY42" s="83"/>
      <c r="AJZ42" s="83"/>
      <c r="AKA42" s="83"/>
      <c r="AKB42" s="83"/>
      <c r="AKC42" s="83"/>
      <c r="AKD42" s="83"/>
      <c r="AKE42" s="83"/>
      <c r="AKF42" s="83"/>
      <c r="AKG42" s="83"/>
      <c r="AKH42" s="83"/>
      <c r="AKI42" s="83"/>
      <c r="AKJ42" s="83"/>
      <c r="AKK42" s="83"/>
      <c r="AKL42" s="83"/>
      <c r="AKM42" s="83"/>
      <c r="AKN42" s="83"/>
      <c r="AKO42" s="83"/>
      <c r="AKP42" s="83"/>
      <c r="AKQ42" s="83"/>
      <c r="AKR42" s="83"/>
      <c r="AKS42" s="83"/>
      <c r="AKT42" s="83"/>
      <c r="AKU42" s="83"/>
      <c r="AKV42" s="83"/>
      <c r="AKW42" s="83"/>
      <c r="AKX42" s="83"/>
      <c r="AKY42" s="83"/>
      <c r="AKZ42" s="83"/>
      <c r="ALA42" s="83"/>
      <c r="ALB42" s="83"/>
      <c r="ALC42" s="83"/>
      <c r="ALD42" s="83"/>
      <c r="ALE42" s="83"/>
      <c r="ALF42" s="83"/>
      <c r="ALG42" s="83"/>
      <c r="ALH42" s="83"/>
      <c r="ALI42" s="83"/>
      <c r="ALJ42" s="83"/>
      <c r="ALK42" s="83"/>
      <c r="ALL42" s="83"/>
      <c r="ALM42" s="83"/>
      <c r="ALN42" s="83"/>
      <c r="ALO42" s="83"/>
      <c r="ALP42" s="83"/>
      <c r="ALQ42" s="83"/>
      <c r="ALR42" s="83"/>
      <c r="ALS42" s="83"/>
      <c r="ALT42" s="83"/>
      <c r="ALU42" s="83"/>
      <c r="ALV42" s="83"/>
      <c r="ALW42" s="83"/>
      <c r="ALX42" s="83"/>
      <c r="ALY42" s="83"/>
      <c r="ALZ42" s="83"/>
      <c r="AMA42" s="83"/>
      <c r="AMB42" s="83"/>
      <c r="AMC42" s="83"/>
      <c r="AMD42" s="83"/>
      <c r="AME42" s="83"/>
      <c r="AMF42" s="83"/>
      <c r="AMG42" s="83"/>
      <c r="AMH42" s="83"/>
      <c r="AMI42" s="83"/>
      <c r="AMJ42" s="83"/>
      <c r="AMK42" s="83"/>
      <c r="AML42" s="83"/>
      <c r="AMM42" s="83"/>
      <c r="AMN42" s="83"/>
      <c r="AMO42" s="83"/>
      <c r="AMP42" s="83"/>
      <c r="AMQ42" s="83"/>
      <c r="AMR42" s="83"/>
      <c r="AMS42" s="83"/>
      <c r="AMT42" s="83"/>
      <c r="AMU42" s="83"/>
      <c r="AMV42" s="83"/>
      <c r="AMW42" s="83"/>
      <c r="AMX42" s="83"/>
      <c r="AMY42" s="83"/>
      <c r="AMZ42" s="83"/>
      <c r="ANA42" s="83"/>
      <c r="ANB42" s="83"/>
      <c r="ANC42" s="83"/>
      <c r="AND42" s="83"/>
      <c r="ANE42" s="83"/>
      <c r="ANF42" s="83"/>
      <c r="ANG42" s="83"/>
      <c r="ANH42" s="83"/>
      <c r="ANI42" s="83"/>
      <c r="ANJ42" s="83"/>
      <c r="ANK42" s="83"/>
      <c r="ANL42" s="83"/>
      <c r="ANM42" s="83"/>
      <c r="ANN42" s="83"/>
      <c r="ANO42" s="83"/>
      <c r="ANP42" s="83"/>
      <c r="ANQ42" s="83"/>
      <c r="ANR42" s="83"/>
      <c r="ANS42" s="83"/>
      <c r="ANT42" s="83"/>
      <c r="ANU42" s="83"/>
      <c r="ANV42" s="83"/>
      <c r="ANW42" s="83"/>
      <c r="ANX42" s="83"/>
      <c r="ANY42" s="83"/>
      <c r="ANZ42" s="83"/>
      <c r="AOA42" s="83"/>
      <c r="AOB42" s="83"/>
      <c r="AOC42" s="83"/>
      <c r="AOD42" s="83"/>
      <c r="AOE42" s="83"/>
      <c r="AOF42" s="83"/>
      <c r="AOG42" s="83"/>
      <c r="AOH42" s="83"/>
      <c r="AOI42" s="83"/>
      <c r="AOJ42" s="83"/>
      <c r="AOK42" s="83"/>
      <c r="AOL42" s="83"/>
      <c r="AOM42" s="83"/>
      <c r="AON42" s="83"/>
      <c r="AOO42" s="83"/>
      <c r="AOP42" s="83"/>
      <c r="AOQ42" s="83"/>
      <c r="AOR42" s="83"/>
      <c r="AOS42" s="83"/>
      <c r="AOT42" s="83"/>
      <c r="AOU42" s="83"/>
      <c r="AOV42" s="83"/>
      <c r="AOW42" s="83"/>
      <c r="AOX42" s="83"/>
      <c r="AOY42" s="83"/>
      <c r="AOZ42" s="83"/>
      <c r="APA42" s="83"/>
      <c r="APB42" s="83"/>
      <c r="APC42" s="83"/>
      <c r="APD42" s="83"/>
      <c r="APE42" s="83"/>
      <c r="APF42" s="83"/>
      <c r="APG42" s="83"/>
      <c r="APH42" s="83"/>
      <c r="API42" s="83"/>
      <c r="APJ42" s="83"/>
      <c r="APK42" s="83"/>
      <c r="APL42" s="83"/>
      <c r="APM42" s="83"/>
      <c r="APN42" s="83"/>
      <c r="APO42" s="83"/>
      <c r="APP42" s="83"/>
      <c r="APQ42" s="83"/>
      <c r="APR42" s="83"/>
      <c r="APS42" s="83"/>
      <c r="APT42" s="83"/>
      <c r="APU42" s="83"/>
      <c r="APV42" s="83"/>
      <c r="APW42" s="83"/>
      <c r="APX42" s="83"/>
      <c r="APY42" s="83"/>
      <c r="APZ42" s="83"/>
      <c r="AQA42" s="83"/>
      <c r="AQB42" s="83"/>
      <c r="AQC42" s="83"/>
      <c r="AQD42" s="83"/>
      <c r="AQE42" s="83"/>
      <c r="AQF42" s="83"/>
      <c r="AQG42" s="83"/>
      <c r="AQH42" s="83"/>
      <c r="AQI42" s="83"/>
      <c r="AQJ42" s="83"/>
      <c r="AQK42" s="83"/>
      <c r="AQL42" s="83"/>
      <c r="AQM42" s="83"/>
      <c r="AQN42" s="83"/>
      <c r="AQO42" s="83"/>
      <c r="AQP42" s="83"/>
      <c r="AQQ42" s="83"/>
      <c r="AQR42" s="83"/>
      <c r="AQS42" s="83"/>
      <c r="AQT42" s="83"/>
      <c r="AQU42" s="83"/>
      <c r="AQV42" s="83"/>
      <c r="AQW42" s="83"/>
      <c r="AQX42" s="83"/>
      <c r="AQY42" s="83"/>
      <c r="AQZ42" s="83"/>
      <c r="ARA42" s="83"/>
      <c r="ARB42" s="83"/>
      <c r="ARC42" s="83"/>
      <c r="ARD42" s="83"/>
      <c r="ARE42" s="83"/>
      <c r="ARF42" s="83"/>
      <c r="ARG42" s="83"/>
      <c r="ARH42" s="83"/>
      <c r="ARI42" s="83"/>
      <c r="ARJ42" s="83"/>
      <c r="ARK42" s="83"/>
      <c r="ARL42" s="83"/>
      <c r="ARM42" s="83"/>
      <c r="ARN42" s="83"/>
      <c r="ARO42" s="83"/>
      <c r="ARP42" s="83"/>
      <c r="ARQ42" s="83"/>
      <c r="ARR42" s="83"/>
      <c r="ARS42" s="83"/>
      <c r="ART42" s="83"/>
      <c r="ARU42" s="83"/>
      <c r="ARV42" s="83"/>
      <c r="ARW42" s="83"/>
      <c r="ARX42" s="83"/>
      <c r="ARY42" s="83"/>
      <c r="ARZ42" s="83"/>
      <c r="ASA42" s="83"/>
      <c r="ASB42" s="83"/>
      <c r="ASC42" s="83"/>
      <c r="ASD42" s="83"/>
      <c r="ASE42" s="83"/>
      <c r="ASF42" s="83"/>
      <c r="ASG42" s="83"/>
      <c r="ASH42" s="83"/>
      <c r="ASI42" s="83"/>
      <c r="ASJ42" s="83"/>
      <c r="ASK42" s="83"/>
      <c r="ASL42" s="83"/>
      <c r="ASM42" s="83"/>
      <c r="ASN42" s="83"/>
      <c r="ASO42" s="83"/>
      <c r="ASP42" s="83"/>
      <c r="ASQ42" s="83"/>
      <c r="ASR42" s="83"/>
      <c r="ASS42" s="83"/>
      <c r="AST42" s="83"/>
      <c r="ASU42" s="83"/>
      <c r="ASV42" s="83"/>
      <c r="ASW42" s="83"/>
      <c r="ASX42" s="83"/>
      <c r="ASY42" s="83"/>
      <c r="ASZ42" s="83"/>
      <c r="ATA42" s="83"/>
      <c r="ATB42" s="83"/>
      <c r="ATC42" s="83"/>
      <c r="ATD42" s="83"/>
      <c r="ATE42" s="83"/>
      <c r="ATF42" s="83"/>
      <c r="ATG42" s="83"/>
      <c r="ATH42" s="83"/>
      <c r="ATI42" s="83"/>
      <c r="ATJ42" s="83"/>
      <c r="ATK42" s="83"/>
      <c r="ATL42" s="83"/>
      <c r="ATM42" s="83"/>
      <c r="ATN42" s="83"/>
      <c r="ATO42" s="83"/>
      <c r="ATP42" s="83"/>
      <c r="ATQ42" s="83"/>
      <c r="ATR42" s="83"/>
      <c r="ATS42" s="83"/>
      <c r="ATT42" s="83"/>
      <c r="ATU42" s="83"/>
      <c r="ATV42" s="83"/>
      <c r="ATW42" s="83"/>
      <c r="ATX42" s="83"/>
      <c r="ATY42" s="83"/>
      <c r="ATZ42" s="83"/>
      <c r="AUA42" s="83"/>
      <c r="AUB42" s="83"/>
      <c r="AUC42" s="83"/>
      <c r="AUD42" s="83"/>
      <c r="AUE42" s="83"/>
      <c r="AUF42" s="83"/>
      <c r="AUG42" s="83"/>
      <c r="AUH42" s="83"/>
      <c r="AUI42" s="83"/>
      <c r="AUJ42" s="83"/>
      <c r="AUK42" s="83"/>
      <c r="AUL42" s="83"/>
      <c r="AUM42" s="83"/>
      <c r="AUN42" s="83"/>
      <c r="AUO42" s="83"/>
      <c r="AUP42" s="83"/>
      <c r="AUQ42" s="83"/>
      <c r="AUR42" s="83"/>
      <c r="AUS42" s="83"/>
      <c r="AUT42" s="83"/>
      <c r="AUU42" s="83"/>
      <c r="AUV42" s="83"/>
      <c r="AUW42" s="83"/>
      <c r="AUX42" s="83"/>
      <c r="AUY42" s="83"/>
      <c r="AUZ42" s="83"/>
      <c r="AVA42" s="83"/>
      <c r="AVB42" s="83"/>
      <c r="AVC42" s="83"/>
      <c r="AVD42" s="83"/>
      <c r="AVE42" s="83"/>
      <c r="AVF42" s="83"/>
      <c r="AVG42" s="83"/>
      <c r="AVH42" s="83"/>
      <c r="AVI42" s="83"/>
      <c r="AVJ42" s="83"/>
      <c r="AVK42" s="83"/>
      <c r="AVL42" s="83"/>
      <c r="AVM42" s="83"/>
      <c r="AVN42" s="83"/>
      <c r="AVO42" s="83"/>
      <c r="AVP42" s="83"/>
      <c r="AVQ42" s="83"/>
      <c r="AVR42" s="83"/>
      <c r="AVS42" s="83"/>
      <c r="AVT42" s="83"/>
      <c r="AVU42" s="83"/>
      <c r="AVV42" s="83"/>
      <c r="AVW42" s="83"/>
      <c r="AVX42" s="83"/>
      <c r="AVY42" s="83"/>
      <c r="AVZ42" s="83"/>
      <c r="AWA42" s="83"/>
      <c r="AWB42" s="83"/>
      <c r="AWC42" s="83"/>
      <c r="AWD42" s="83"/>
      <c r="AWE42" s="83"/>
      <c r="AWF42" s="83"/>
      <c r="AWG42" s="83"/>
      <c r="AWH42" s="83"/>
      <c r="AWI42" s="83"/>
      <c r="AWJ42" s="83"/>
      <c r="AWK42" s="83"/>
      <c r="AWL42" s="83"/>
      <c r="AWM42" s="83"/>
      <c r="AWN42" s="83"/>
      <c r="AWO42" s="83"/>
      <c r="AWP42" s="83"/>
      <c r="AWQ42" s="83"/>
      <c r="AWR42" s="83"/>
      <c r="AWS42" s="83"/>
      <c r="AWT42" s="83"/>
      <c r="AWU42" s="83"/>
      <c r="AWV42" s="83"/>
      <c r="AWW42" s="83"/>
      <c r="AWX42" s="83"/>
      <c r="AWY42" s="83"/>
      <c r="AWZ42" s="83"/>
      <c r="AXA42" s="83"/>
      <c r="AXB42" s="83"/>
      <c r="AXC42" s="83"/>
      <c r="AXD42" s="83"/>
      <c r="AXE42" s="83"/>
      <c r="AXF42" s="83"/>
      <c r="AXG42" s="83"/>
      <c r="AXH42" s="83"/>
      <c r="AXI42" s="83"/>
      <c r="AXJ42" s="83"/>
      <c r="AXK42" s="83"/>
      <c r="AXL42" s="83"/>
      <c r="AXM42" s="83"/>
      <c r="AXN42" s="83"/>
      <c r="AXO42" s="83"/>
      <c r="AXP42" s="83"/>
      <c r="AXQ42" s="83"/>
      <c r="AXR42" s="83"/>
      <c r="AXS42" s="83"/>
      <c r="AXT42" s="83"/>
      <c r="AXU42" s="83"/>
      <c r="AXV42" s="83"/>
      <c r="AXW42" s="83"/>
      <c r="AXX42" s="83"/>
      <c r="AXY42" s="83"/>
      <c r="AXZ42" s="83"/>
      <c r="AYA42" s="83"/>
      <c r="AYB42" s="83"/>
      <c r="AYC42" s="83"/>
      <c r="AYD42" s="83"/>
      <c r="AYE42" s="83"/>
      <c r="AYF42" s="83"/>
      <c r="AYG42" s="83"/>
      <c r="AYH42" s="83"/>
      <c r="AYI42" s="83"/>
      <c r="AYJ42" s="83"/>
      <c r="AYK42" s="83"/>
      <c r="AYL42" s="83"/>
      <c r="AYM42" s="83"/>
      <c r="AYN42" s="83"/>
      <c r="AYO42" s="83"/>
      <c r="AYP42" s="83"/>
      <c r="AYQ42" s="83"/>
      <c r="AYR42" s="83"/>
      <c r="AYS42" s="83"/>
      <c r="AYT42" s="83"/>
      <c r="AYU42" s="83"/>
      <c r="AYV42" s="83"/>
      <c r="AYW42" s="83"/>
      <c r="AYX42" s="83"/>
      <c r="AYY42" s="83"/>
      <c r="AYZ42" s="83"/>
      <c r="AZA42" s="83"/>
      <c r="AZB42" s="83"/>
      <c r="AZC42" s="83"/>
      <c r="AZD42" s="83"/>
      <c r="AZE42" s="83"/>
      <c r="AZF42" s="83"/>
      <c r="AZG42" s="83"/>
      <c r="AZH42" s="83"/>
      <c r="AZI42" s="83"/>
      <c r="AZJ42" s="83"/>
      <c r="AZK42" s="83"/>
      <c r="AZL42" s="83"/>
      <c r="AZM42" s="83"/>
      <c r="AZN42" s="83"/>
      <c r="AZO42" s="83"/>
      <c r="AZP42" s="83"/>
      <c r="AZQ42" s="83"/>
      <c r="AZR42" s="83"/>
      <c r="AZS42" s="83"/>
      <c r="AZT42" s="83"/>
      <c r="AZU42" s="83"/>
      <c r="AZV42" s="83"/>
      <c r="AZW42" s="83"/>
      <c r="AZX42" s="83"/>
      <c r="AZY42" s="83"/>
      <c r="AZZ42" s="83"/>
      <c r="BAA42" s="83"/>
      <c r="BAB42" s="83"/>
      <c r="BAC42" s="83"/>
      <c r="BAD42" s="83"/>
      <c r="BAE42" s="83"/>
      <c r="BAF42" s="83"/>
      <c r="BAG42" s="83"/>
      <c r="BAH42" s="83"/>
      <c r="BAI42" s="83"/>
      <c r="BAJ42" s="83"/>
      <c r="BAK42" s="83"/>
      <c r="BAL42" s="83"/>
      <c r="BAM42" s="83"/>
      <c r="BAN42" s="83"/>
      <c r="BAO42" s="83"/>
      <c r="BAP42" s="83"/>
      <c r="BAQ42" s="83"/>
      <c r="BAR42" s="83"/>
      <c r="BAS42" s="83"/>
      <c r="BAT42" s="83"/>
      <c r="BAU42" s="83"/>
      <c r="BAV42" s="83"/>
      <c r="BAW42" s="83"/>
      <c r="BAX42" s="83"/>
      <c r="BAY42" s="83"/>
      <c r="BAZ42" s="83"/>
      <c r="BBA42" s="83"/>
      <c r="BBB42" s="83"/>
      <c r="BBC42" s="83"/>
      <c r="BBD42" s="83"/>
      <c r="BBE42" s="83"/>
      <c r="BBF42" s="83"/>
      <c r="BBG42" s="83"/>
      <c r="BBH42" s="83"/>
      <c r="BBI42" s="83"/>
      <c r="BBJ42" s="83"/>
      <c r="BBK42" s="83"/>
      <c r="BBL42" s="83"/>
      <c r="BBM42" s="83"/>
      <c r="BBN42" s="83"/>
      <c r="BBO42" s="83"/>
      <c r="BBP42" s="83"/>
      <c r="BBQ42" s="83"/>
      <c r="BBR42" s="83"/>
      <c r="BBS42" s="83"/>
      <c r="BBT42" s="83"/>
      <c r="BBU42" s="83"/>
      <c r="BBV42" s="83"/>
      <c r="BBW42" s="83"/>
      <c r="BBX42" s="83"/>
      <c r="BBY42" s="83"/>
      <c r="BBZ42" s="83"/>
      <c r="BCA42" s="83"/>
      <c r="BCB42" s="83"/>
      <c r="BCC42" s="83"/>
      <c r="BCD42" s="83"/>
      <c r="BCE42" s="83"/>
      <c r="BCF42" s="83"/>
      <c r="BCG42" s="83"/>
      <c r="BCH42" s="83"/>
      <c r="BCI42" s="83"/>
      <c r="BCJ42" s="83"/>
      <c r="BCK42" s="83"/>
      <c r="BCL42" s="83"/>
      <c r="BCM42" s="83"/>
      <c r="BCN42" s="83"/>
      <c r="BCO42" s="83"/>
      <c r="BCP42" s="83"/>
      <c r="BCQ42" s="83"/>
      <c r="BCR42" s="83"/>
      <c r="BCS42" s="83"/>
      <c r="BCT42" s="83"/>
      <c r="BCU42" s="83"/>
      <c r="BCV42" s="83"/>
      <c r="BCW42" s="83"/>
      <c r="BCX42" s="83"/>
      <c r="BCY42" s="83"/>
      <c r="BCZ42" s="83"/>
      <c r="BDA42" s="83"/>
      <c r="BDB42" s="83"/>
      <c r="BDC42" s="83"/>
      <c r="BDD42" s="83"/>
      <c r="BDE42" s="83"/>
      <c r="BDF42" s="83"/>
      <c r="BDG42" s="83"/>
      <c r="BDH42" s="83"/>
      <c r="BDI42" s="83"/>
      <c r="BDJ42" s="83"/>
      <c r="BDK42" s="83"/>
      <c r="BDL42" s="83"/>
      <c r="BDM42" s="83"/>
      <c r="BDN42" s="83"/>
      <c r="BDO42" s="83"/>
      <c r="BDP42" s="83"/>
      <c r="BDQ42" s="83"/>
      <c r="BDR42" s="83"/>
      <c r="BDS42" s="83"/>
      <c r="BDT42" s="83"/>
      <c r="BDU42" s="83"/>
      <c r="BDV42" s="83"/>
      <c r="BDW42" s="83"/>
      <c r="BDX42" s="83"/>
      <c r="BDY42" s="83"/>
      <c r="BDZ42" s="83"/>
      <c r="BEA42" s="83"/>
      <c r="BEB42" s="83"/>
      <c r="BEC42" s="83"/>
      <c r="BED42" s="83"/>
      <c r="BEE42" s="83"/>
      <c r="BEF42" s="83"/>
      <c r="BEG42" s="83"/>
      <c r="BEH42" s="83"/>
      <c r="BEI42" s="83"/>
      <c r="BEJ42" s="83"/>
      <c r="BEK42" s="83"/>
      <c r="BEL42" s="83"/>
      <c r="BEM42" s="83"/>
      <c r="BEN42" s="83"/>
      <c r="BEO42" s="83"/>
      <c r="BEP42" s="83"/>
      <c r="BEQ42" s="83"/>
      <c r="BER42" s="83"/>
      <c r="BES42" s="83"/>
      <c r="BET42" s="83"/>
      <c r="BEU42" s="83"/>
      <c r="BEV42" s="83"/>
      <c r="BEW42" s="83"/>
      <c r="BEX42" s="83"/>
      <c r="BEY42" s="83"/>
      <c r="BEZ42" s="83"/>
      <c r="BFA42" s="83"/>
      <c r="BFB42" s="83"/>
      <c r="BFC42" s="83"/>
      <c r="BFD42" s="83"/>
      <c r="BFE42" s="83"/>
      <c r="BFF42" s="83"/>
      <c r="BFG42" s="83"/>
      <c r="BFH42" s="83"/>
      <c r="BFI42" s="83"/>
      <c r="BFJ42" s="83"/>
      <c r="BFK42" s="83"/>
      <c r="BFL42" s="83"/>
      <c r="BFM42" s="83"/>
      <c r="BFN42" s="83"/>
      <c r="BFO42" s="83"/>
      <c r="BFP42" s="83"/>
      <c r="BFQ42" s="83"/>
      <c r="BFR42" s="83"/>
      <c r="BFS42" s="83"/>
      <c r="BFT42" s="83"/>
      <c r="BFU42" s="83"/>
      <c r="BFV42" s="83"/>
      <c r="BFW42" s="83"/>
      <c r="BFX42" s="83"/>
      <c r="BFY42" s="83"/>
      <c r="BFZ42" s="83"/>
      <c r="BGA42" s="83"/>
      <c r="BGB42" s="83"/>
      <c r="BGC42" s="83"/>
      <c r="BGD42" s="83"/>
      <c r="BGE42" s="83"/>
      <c r="BGF42" s="83"/>
      <c r="BGG42" s="83"/>
      <c r="BGH42" s="83"/>
      <c r="BGI42" s="83"/>
      <c r="BGJ42" s="83"/>
      <c r="BGK42" s="83"/>
      <c r="BGL42" s="83"/>
      <c r="BGM42" s="83"/>
      <c r="BGN42" s="83"/>
      <c r="BGO42" s="83"/>
      <c r="BGP42" s="83"/>
      <c r="BGQ42" s="83"/>
      <c r="BGR42" s="83"/>
      <c r="BGS42" s="83"/>
      <c r="BGT42" s="83"/>
      <c r="BGU42" s="83"/>
      <c r="BGV42" s="83"/>
      <c r="BGW42" s="83"/>
      <c r="BGX42" s="83"/>
      <c r="BGY42" s="83"/>
      <c r="BGZ42" s="83"/>
      <c r="BHA42" s="83"/>
      <c r="BHB42" s="83"/>
      <c r="BHC42" s="83"/>
      <c r="BHD42" s="83"/>
      <c r="BHE42" s="83"/>
      <c r="BHF42" s="83"/>
      <c r="BHG42" s="83"/>
      <c r="BHH42" s="83"/>
      <c r="BHI42" s="83"/>
      <c r="BHJ42" s="83"/>
      <c r="BHK42" s="83"/>
      <c r="BHL42" s="83"/>
      <c r="BHM42" s="83"/>
      <c r="BHN42" s="83"/>
      <c r="BHO42" s="83"/>
      <c r="BHP42" s="83"/>
      <c r="BHQ42" s="83"/>
      <c r="BHR42" s="83"/>
      <c r="BHS42" s="83"/>
      <c r="BHT42" s="83"/>
      <c r="BHU42" s="83"/>
      <c r="BHV42" s="83"/>
      <c r="BHW42" s="83"/>
      <c r="BHX42" s="83"/>
      <c r="BHY42" s="83"/>
      <c r="BHZ42" s="83"/>
      <c r="BIA42" s="83"/>
      <c r="BIB42" s="83"/>
      <c r="BIC42" s="83"/>
      <c r="BID42" s="83"/>
      <c r="BIE42" s="83"/>
      <c r="BIF42" s="83"/>
      <c r="BIG42" s="83"/>
      <c r="BIH42" s="83"/>
      <c r="BII42" s="83"/>
      <c r="BIJ42" s="83"/>
      <c r="BIK42" s="83"/>
      <c r="BIL42" s="83"/>
      <c r="BIM42" s="83"/>
      <c r="BIN42" s="83"/>
      <c r="BIO42" s="83"/>
      <c r="BIP42" s="83"/>
      <c r="BIQ42" s="83"/>
      <c r="BIR42" s="83"/>
      <c r="BIS42" s="83"/>
      <c r="BIT42" s="83"/>
      <c r="BIU42" s="83"/>
      <c r="BIV42" s="83"/>
      <c r="BIW42" s="83"/>
      <c r="BIX42" s="83"/>
      <c r="BIY42" s="83"/>
      <c r="BIZ42" s="83"/>
      <c r="BJA42" s="83"/>
      <c r="BJB42" s="83"/>
      <c r="BJC42" s="83"/>
      <c r="BJD42" s="83"/>
      <c r="BJE42" s="83"/>
      <c r="BJF42" s="83"/>
      <c r="BJG42" s="83"/>
      <c r="BJH42" s="83"/>
      <c r="BJI42" s="83"/>
      <c r="BJJ42" s="83"/>
      <c r="BJK42" s="83"/>
      <c r="BJL42" s="83"/>
      <c r="BJM42" s="83"/>
      <c r="BJN42" s="83"/>
      <c r="BJO42" s="83"/>
      <c r="BJP42" s="83"/>
      <c r="BJQ42" s="83"/>
      <c r="BJR42" s="83"/>
      <c r="BJS42" s="83"/>
      <c r="BJT42" s="83"/>
      <c r="BJU42" s="83"/>
      <c r="BJV42" s="83"/>
      <c r="BJW42" s="83"/>
      <c r="BJX42" s="83"/>
      <c r="BJY42" s="83"/>
      <c r="BJZ42" s="83"/>
      <c r="BKA42" s="83"/>
      <c r="BKB42" s="83"/>
      <c r="BKC42" s="83"/>
      <c r="BKD42" s="83"/>
      <c r="BKE42" s="83"/>
      <c r="BKF42" s="83"/>
      <c r="BKG42" s="83"/>
      <c r="BKH42" s="83"/>
      <c r="BKI42" s="83"/>
      <c r="BKJ42" s="83"/>
      <c r="BKK42" s="83"/>
      <c r="BKL42" s="83"/>
      <c r="BKM42" s="83"/>
      <c r="BKN42" s="83"/>
      <c r="BKO42" s="83"/>
      <c r="BKP42" s="83"/>
      <c r="BKQ42" s="83"/>
      <c r="BKR42" s="83"/>
      <c r="BKS42" s="83"/>
      <c r="BKT42" s="83"/>
      <c r="BKU42" s="83"/>
      <c r="BKV42" s="83"/>
      <c r="BKW42" s="83"/>
      <c r="BKX42" s="83"/>
      <c r="BKY42" s="83"/>
      <c r="BKZ42" s="83"/>
      <c r="BLA42" s="83"/>
      <c r="BLB42" s="83"/>
      <c r="BLC42" s="83"/>
      <c r="BLD42" s="83"/>
      <c r="BLE42" s="83"/>
      <c r="BLF42" s="83"/>
      <c r="BLG42" s="83"/>
      <c r="BLH42" s="83"/>
      <c r="BLI42" s="83"/>
      <c r="BLJ42" s="83"/>
      <c r="BLK42" s="83"/>
      <c r="BLL42" s="83"/>
      <c r="BLM42" s="83"/>
      <c r="BLN42" s="83"/>
      <c r="BLO42" s="83"/>
      <c r="BLP42" s="83"/>
      <c r="BLQ42" s="83"/>
      <c r="BLR42" s="83"/>
      <c r="BLS42" s="83"/>
      <c r="BLT42" s="83"/>
      <c r="BLU42" s="83"/>
      <c r="BLV42" s="83"/>
      <c r="BLW42" s="83"/>
      <c r="BLX42" s="83"/>
      <c r="BLY42" s="83"/>
      <c r="BLZ42" s="83"/>
      <c r="BMA42" s="83"/>
      <c r="BMB42" s="83"/>
      <c r="BMC42" s="83"/>
      <c r="BMD42" s="83"/>
      <c r="BME42" s="83"/>
      <c r="BMF42" s="83"/>
      <c r="BMG42" s="83"/>
      <c r="BMH42" s="83"/>
      <c r="BMI42" s="83"/>
      <c r="BMJ42" s="83"/>
      <c r="BMK42" s="83"/>
      <c r="BML42" s="83"/>
      <c r="BMM42" s="83"/>
      <c r="BMN42" s="83"/>
      <c r="BMO42" s="83"/>
      <c r="BMP42" s="83"/>
      <c r="BMQ42" s="83"/>
      <c r="BMR42" s="83"/>
      <c r="BMS42" s="83"/>
      <c r="BMT42" s="83"/>
      <c r="BMU42" s="83"/>
      <c r="BMV42" s="83"/>
      <c r="BMW42" s="83"/>
      <c r="BMX42" s="83"/>
      <c r="BMY42" s="83"/>
      <c r="BMZ42" s="83"/>
      <c r="BNA42" s="83"/>
      <c r="BNB42" s="83"/>
      <c r="BNC42" s="83"/>
      <c r="BND42" s="83"/>
      <c r="BNE42" s="83"/>
      <c r="BNF42" s="83"/>
      <c r="BNG42" s="83"/>
      <c r="BNH42" s="83"/>
      <c r="BNI42" s="83"/>
      <c r="BNJ42" s="83"/>
      <c r="BNK42" s="83"/>
      <c r="BNL42" s="83"/>
      <c r="BNM42" s="83"/>
      <c r="BNN42" s="83"/>
      <c r="BNO42" s="83"/>
      <c r="BNP42" s="83"/>
      <c r="BNQ42" s="83"/>
      <c r="BNR42" s="83"/>
      <c r="BNS42" s="83"/>
      <c r="BNT42" s="83"/>
      <c r="BNU42" s="83"/>
      <c r="BNV42" s="83"/>
      <c r="BNW42" s="83"/>
      <c r="BNX42" s="83"/>
      <c r="BNY42" s="83"/>
      <c r="BNZ42" s="83"/>
      <c r="BOA42" s="83"/>
      <c r="BOB42" s="83"/>
      <c r="BOC42" s="83"/>
      <c r="BOD42" s="83"/>
      <c r="BOE42" s="83"/>
      <c r="BOF42" s="83"/>
      <c r="BOG42" s="83"/>
      <c r="BOH42" s="83"/>
      <c r="BOI42" s="83"/>
      <c r="BOJ42" s="83"/>
      <c r="BOK42" s="83"/>
      <c r="BOL42" s="83"/>
      <c r="BOM42" s="83"/>
      <c r="BON42" s="83"/>
      <c r="BOO42" s="83"/>
      <c r="BOP42" s="83"/>
      <c r="BOQ42" s="83"/>
      <c r="BOR42" s="83"/>
      <c r="BOS42" s="83"/>
      <c r="BOT42" s="83"/>
      <c r="BOU42" s="83"/>
      <c r="BOV42" s="83"/>
      <c r="BOW42" s="83"/>
      <c r="BOX42" s="83"/>
      <c r="BOY42" s="83"/>
      <c r="BOZ42" s="83"/>
      <c r="BPA42" s="83"/>
      <c r="BPB42" s="83"/>
      <c r="BPC42" s="83"/>
      <c r="BPD42" s="83"/>
      <c r="BPE42" s="83"/>
      <c r="BPF42" s="83"/>
      <c r="BPG42" s="83"/>
      <c r="BPH42" s="83"/>
      <c r="BPI42" s="83"/>
      <c r="BPJ42" s="83"/>
      <c r="BPK42" s="83"/>
      <c r="BPL42" s="83"/>
      <c r="BPM42" s="83"/>
      <c r="BPN42" s="83"/>
      <c r="BPO42" s="83"/>
      <c r="BPP42" s="83"/>
      <c r="BPQ42" s="83"/>
      <c r="BPR42" s="83"/>
      <c r="BPS42" s="83"/>
      <c r="BPT42" s="83"/>
      <c r="BPU42" s="83"/>
      <c r="BPV42" s="83"/>
      <c r="BPW42" s="83"/>
      <c r="BPX42" s="83"/>
      <c r="BPY42" s="83"/>
      <c r="BPZ42" s="83"/>
      <c r="BQA42" s="83"/>
      <c r="BQB42" s="83"/>
      <c r="BQC42" s="83"/>
      <c r="BQD42" s="83"/>
      <c r="BQE42" s="83"/>
      <c r="BQF42" s="83"/>
      <c r="BQG42" s="83"/>
      <c r="BQH42" s="83"/>
      <c r="BQI42" s="83"/>
      <c r="BQJ42" s="83"/>
      <c r="BQK42" s="83"/>
      <c r="BQL42" s="83"/>
      <c r="BQM42" s="83"/>
      <c r="BQN42" s="83"/>
      <c r="BQO42" s="83"/>
      <c r="BQP42" s="83"/>
      <c r="BQQ42" s="83"/>
      <c r="BQR42" s="83"/>
      <c r="BQS42" s="83"/>
      <c r="BQT42" s="83"/>
      <c r="BQU42" s="83"/>
      <c r="BQV42" s="83"/>
      <c r="BQW42" s="83"/>
      <c r="BQX42" s="83"/>
      <c r="BQY42" s="83"/>
      <c r="BQZ42" s="83"/>
      <c r="BRA42" s="83"/>
      <c r="BRB42" s="83"/>
      <c r="BRC42" s="83"/>
      <c r="BRD42" s="83"/>
      <c r="BRE42" s="83"/>
      <c r="BRF42" s="83"/>
      <c r="BRG42" s="83"/>
      <c r="BRH42" s="83"/>
      <c r="BRI42" s="83"/>
      <c r="BRJ42" s="83"/>
      <c r="BRK42" s="83"/>
      <c r="BRL42" s="83"/>
      <c r="BRM42" s="83"/>
      <c r="BRN42" s="83"/>
      <c r="BRO42" s="83"/>
      <c r="BRP42" s="83"/>
      <c r="BRQ42" s="83"/>
      <c r="BRR42" s="83"/>
      <c r="BRS42" s="83"/>
      <c r="BRT42" s="83"/>
      <c r="BRU42" s="83"/>
      <c r="BRV42" s="83"/>
      <c r="BRW42" s="83"/>
      <c r="BRX42" s="83"/>
      <c r="BRY42" s="83"/>
      <c r="BRZ42" s="83"/>
      <c r="BSA42" s="83"/>
      <c r="BSB42" s="83"/>
      <c r="BSC42" s="83"/>
      <c r="BSD42" s="83"/>
      <c r="BSE42" s="83"/>
      <c r="BSF42" s="83"/>
      <c r="BSG42" s="83"/>
      <c r="BSH42" s="83"/>
      <c r="BSI42" s="83"/>
      <c r="BSJ42" s="83"/>
      <c r="BSK42" s="83"/>
      <c r="BSL42" s="83"/>
      <c r="BSM42" s="83"/>
      <c r="BSN42" s="83"/>
      <c r="BSO42" s="83"/>
      <c r="BSP42" s="83"/>
      <c r="BSQ42" s="83"/>
      <c r="BSR42" s="83"/>
      <c r="BSS42" s="83"/>
      <c r="BST42" s="83"/>
      <c r="BSU42" s="83"/>
      <c r="BSV42" s="83"/>
      <c r="BSW42" s="83"/>
      <c r="BSX42" s="83"/>
      <c r="BSY42" s="83"/>
      <c r="BSZ42" s="83"/>
      <c r="BTA42" s="83"/>
      <c r="BTB42" s="83"/>
      <c r="BTC42" s="83"/>
      <c r="BTD42" s="83"/>
      <c r="BTE42" s="83"/>
      <c r="BTF42" s="83"/>
      <c r="BTG42" s="83"/>
      <c r="BTH42" s="83"/>
      <c r="BTI42" s="83"/>
      <c r="BTJ42" s="83"/>
      <c r="BTK42" s="83"/>
      <c r="BTL42" s="83"/>
      <c r="BTM42" s="83"/>
      <c r="BTN42" s="83"/>
      <c r="BTO42" s="83"/>
      <c r="BTP42" s="83"/>
      <c r="BTQ42" s="83"/>
      <c r="BTR42" s="83"/>
      <c r="BTS42" s="83"/>
      <c r="BTT42" s="83"/>
      <c r="BTU42" s="83"/>
      <c r="BTV42" s="83"/>
      <c r="BTW42" s="83"/>
      <c r="BTX42" s="83"/>
      <c r="BTY42" s="83"/>
      <c r="BTZ42" s="83"/>
      <c r="BUA42" s="83"/>
      <c r="BUB42" s="83"/>
      <c r="BUC42" s="83"/>
      <c r="BUD42" s="83"/>
      <c r="BUE42" s="83"/>
      <c r="BUF42" s="83"/>
      <c r="BUG42" s="83"/>
      <c r="BUH42" s="83"/>
      <c r="BUI42" s="83"/>
      <c r="BUJ42" s="83"/>
      <c r="BUK42" s="83"/>
      <c r="BUL42" s="83"/>
      <c r="BUM42" s="83"/>
      <c r="BUN42" s="83"/>
      <c r="BUO42" s="83"/>
      <c r="BUP42" s="83"/>
      <c r="BUQ42" s="83"/>
      <c r="BUR42" s="83"/>
      <c r="BUS42" s="83"/>
      <c r="BUT42" s="83"/>
      <c r="BUU42" s="83"/>
      <c r="BUV42" s="83"/>
      <c r="BUW42" s="83"/>
      <c r="BUX42" s="83"/>
      <c r="BUY42" s="83"/>
      <c r="BUZ42" s="83"/>
      <c r="BVA42" s="83"/>
      <c r="BVB42" s="83"/>
      <c r="BVC42" s="83"/>
      <c r="BVD42" s="83"/>
      <c r="BVE42" s="83"/>
      <c r="BVF42" s="83"/>
      <c r="BVG42" s="83"/>
      <c r="BVH42" s="83"/>
      <c r="BVI42" s="83"/>
      <c r="BVJ42" s="83"/>
      <c r="BVK42" s="83"/>
      <c r="BVL42" s="83"/>
      <c r="BVM42" s="83"/>
      <c r="BVN42" s="83"/>
      <c r="BVO42" s="83"/>
      <c r="BVP42" s="83"/>
      <c r="BVQ42" s="83"/>
      <c r="BVR42" s="83"/>
      <c r="BVS42" s="83"/>
      <c r="BVT42" s="83"/>
      <c r="BVU42" s="83"/>
      <c r="BVV42" s="83"/>
      <c r="BVW42" s="83"/>
      <c r="BVX42" s="83"/>
      <c r="BVY42" s="83"/>
      <c r="BVZ42" s="83"/>
      <c r="BWA42" s="83"/>
      <c r="BWB42" s="83"/>
      <c r="BWC42" s="83"/>
      <c r="BWD42" s="83"/>
      <c r="BWE42" s="83"/>
      <c r="BWF42" s="83"/>
      <c r="BWG42" s="83"/>
      <c r="BWH42" s="83"/>
      <c r="BWI42" s="83"/>
      <c r="BWJ42" s="83"/>
      <c r="BWK42" s="83"/>
      <c r="BWL42" s="83"/>
      <c r="BWM42" s="83"/>
      <c r="BWN42" s="83"/>
      <c r="BWO42" s="83"/>
      <c r="BWP42" s="83"/>
      <c r="BWQ42" s="83"/>
      <c r="BWR42" s="83"/>
      <c r="BWS42" s="83"/>
      <c r="BWT42" s="83"/>
      <c r="BWU42" s="83"/>
      <c r="BWV42" s="83"/>
      <c r="BWW42" s="83"/>
      <c r="BWX42" s="83"/>
      <c r="BWY42" s="83"/>
      <c r="BWZ42" s="83"/>
      <c r="BXA42" s="83"/>
      <c r="BXB42" s="83"/>
      <c r="BXC42" s="83"/>
      <c r="BXD42" s="83"/>
      <c r="BXE42" s="83"/>
      <c r="BXF42" s="83"/>
      <c r="BXG42" s="83"/>
      <c r="BXH42" s="83"/>
      <c r="BXI42" s="83"/>
      <c r="BXJ42" s="83"/>
      <c r="BXK42" s="83"/>
      <c r="BXL42" s="83"/>
      <c r="BXM42" s="83"/>
      <c r="BXN42" s="83"/>
      <c r="BXO42" s="83"/>
      <c r="BXP42" s="83"/>
      <c r="BXQ42" s="83"/>
      <c r="BXR42" s="83"/>
      <c r="BXS42" s="83"/>
      <c r="BXT42" s="83"/>
      <c r="BXU42" s="83"/>
      <c r="BXV42" s="83"/>
      <c r="BXW42" s="83"/>
      <c r="BXX42" s="83"/>
      <c r="BXY42" s="83"/>
      <c r="BXZ42" s="83"/>
      <c r="BYA42" s="83"/>
      <c r="BYB42" s="83"/>
      <c r="BYC42" s="83"/>
      <c r="BYD42" s="83"/>
      <c r="BYE42" s="83"/>
      <c r="BYF42" s="83"/>
      <c r="BYG42" s="83"/>
      <c r="BYH42" s="83"/>
      <c r="BYI42" s="83"/>
      <c r="BYJ42" s="83"/>
      <c r="BYK42" s="83"/>
      <c r="BYL42" s="83"/>
      <c r="BYM42" s="83"/>
      <c r="BYN42" s="83"/>
      <c r="BYO42" s="83"/>
      <c r="BYP42" s="83"/>
      <c r="BYQ42" s="83"/>
      <c r="BYR42" s="83"/>
      <c r="BYS42" s="83"/>
      <c r="BYT42" s="83"/>
      <c r="BYU42" s="83"/>
      <c r="BYV42" s="83"/>
      <c r="BYW42" s="83"/>
      <c r="BYX42" s="83"/>
      <c r="BYY42" s="83"/>
      <c r="BYZ42" s="83"/>
      <c r="BZA42" s="83"/>
      <c r="BZB42" s="83"/>
      <c r="BZC42" s="83"/>
      <c r="BZD42" s="83"/>
      <c r="BZE42" s="83"/>
      <c r="BZF42" s="83"/>
      <c r="BZG42" s="83"/>
      <c r="BZH42" s="83"/>
      <c r="BZI42" s="83"/>
      <c r="BZJ42" s="83"/>
      <c r="BZK42" s="83"/>
      <c r="BZL42" s="83"/>
      <c r="BZM42" s="83"/>
      <c r="BZN42" s="83"/>
      <c r="BZO42" s="83"/>
      <c r="BZP42" s="83"/>
      <c r="BZQ42" s="83"/>
      <c r="BZR42" s="83"/>
      <c r="BZS42" s="83"/>
      <c r="BZT42" s="83"/>
      <c r="BZU42" s="83"/>
      <c r="BZV42" s="83"/>
      <c r="BZW42" s="83"/>
      <c r="BZX42" s="83"/>
      <c r="BZY42" s="83"/>
      <c r="BZZ42" s="83"/>
      <c r="CAA42" s="83"/>
      <c r="CAB42" s="83"/>
      <c r="CAC42" s="83"/>
      <c r="CAD42" s="83"/>
      <c r="CAE42" s="83"/>
      <c r="CAF42" s="83"/>
      <c r="CAG42" s="83"/>
      <c r="CAH42" s="83"/>
      <c r="CAI42" s="83"/>
      <c r="CAJ42" s="83"/>
      <c r="CAK42" s="83"/>
      <c r="CAL42" s="83"/>
      <c r="CAM42" s="83"/>
      <c r="CAN42" s="83"/>
      <c r="CAO42" s="83"/>
      <c r="CAP42" s="83"/>
      <c r="CAQ42" s="83"/>
      <c r="CAR42" s="83"/>
      <c r="CAS42" s="83"/>
      <c r="CAT42" s="83"/>
      <c r="CAU42" s="83"/>
      <c r="CAV42" s="83"/>
      <c r="CAW42" s="83"/>
      <c r="CAX42" s="83"/>
      <c r="CAY42" s="83"/>
      <c r="CAZ42" s="83"/>
      <c r="CBA42" s="83"/>
      <c r="CBB42" s="83"/>
      <c r="CBC42" s="83"/>
      <c r="CBD42" s="83"/>
      <c r="CBE42" s="83"/>
      <c r="CBF42" s="83"/>
      <c r="CBG42" s="83"/>
      <c r="CBH42" s="83"/>
      <c r="CBI42" s="83"/>
      <c r="CBJ42" s="83"/>
      <c r="CBK42" s="83"/>
      <c r="CBL42" s="83"/>
      <c r="CBM42" s="83"/>
      <c r="CBN42" s="83"/>
      <c r="CBO42" s="83"/>
      <c r="CBP42" s="83"/>
      <c r="CBQ42" s="83"/>
      <c r="CBR42" s="83"/>
      <c r="CBS42" s="83"/>
      <c r="CBT42" s="83"/>
      <c r="CBU42" s="83"/>
      <c r="CBV42" s="83"/>
      <c r="CBW42" s="83"/>
      <c r="CBX42" s="83"/>
      <c r="CBY42" s="83"/>
      <c r="CBZ42" s="83"/>
      <c r="CCA42" s="83"/>
      <c r="CCB42" s="83"/>
      <c r="CCC42" s="83"/>
      <c r="CCD42" s="83"/>
      <c r="CCE42" s="83"/>
      <c r="CCF42" s="83"/>
      <c r="CCG42" s="83"/>
      <c r="CCH42" s="83"/>
      <c r="CCI42" s="83"/>
      <c r="CCJ42" s="83"/>
      <c r="CCK42" s="83"/>
      <c r="CCL42" s="83"/>
      <c r="CCM42" s="83"/>
      <c r="CCN42" s="83"/>
      <c r="CCO42" s="83"/>
      <c r="CCP42" s="83"/>
      <c r="CCQ42" s="83"/>
      <c r="CCR42" s="83"/>
      <c r="CCS42" s="83"/>
      <c r="CCT42" s="83"/>
      <c r="CCU42" s="83"/>
      <c r="CCV42" s="83"/>
      <c r="CCW42" s="83"/>
      <c r="CCX42" s="83"/>
      <c r="CCY42" s="83"/>
      <c r="CCZ42" s="83"/>
      <c r="CDA42" s="83"/>
      <c r="CDB42" s="83"/>
      <c r="CDC42" s="83"/>
      <c r="CDD42" s="83"/>
      <c r="CDE42" s="83"/>
      <c r="CDF42" s="83"/>
      <c r="CDG42" s="83"/>
      <c r="CDH42" s="83"/>
      <c r="CDI42" s="83"/>
      <c r="CDJ42" s="83"/>
      <c r="CDK42" s="83"/>
      <c r="CDL42" s="83"/>
      <c r="CDM42" s="83"/>
      <c r="CDN42" s="83"/>
      <c r="CDO42" s="83"/>
      <c r="CDP42" s="83"/>
      <c r="CDQ42" s="83"/>
      <c r="CDR42" s="83"/>
      <c r="CDS42" s="83"/>
      <c r="CDT42" s="83"/>
      <c r="CDU42" s="83"/>
      <c r="CDV42" s="83"/>
      <c r="CDW42" s="83"/>
      <c r="CDX42" s="83"/>
      <c r="CDY42" s="83"/>
      <c r="CDZ42" s="83"/>
      <c r="CEA42" s="83"/>
      <c r="CEB42" s="83"/>
      <c r="CEC42" s="83"/>
      <c r="CED42" s="83"/>
      <c r="CEE42" s="83"/>
      <c r="CEF42" s="83"/>
      <c r="CEG42" s="83"/>
      <c r="CEH42" s="83"/>
      <c r="CEI42" s="83"/>
      <c r="CEJ42" s="83"/>
      <c r="CEK42" s="83"/>
      <c r="CEL42" s="83"/>
      <c r="CEM42" s="83"/>
      <c r="CEN42" s="83"/>
      <c r="CEO42" s="83"/>
      <c r="CEP42" s="83"/>
      <c r="CEQ42" s="83"/>
      <c r="CER42" s="83"/>
      <c r="CES42" s="83"/>
      <c r="CET42" s="83"/>
      <c r="CEU42" s="83"/>
      <c r="CEV42" s="83"/>
      <c r="CEW42" s="83"/>
      <c r="CEX42" s="83"/>
      <c r="CEY42" s="83"/>
      <c r="CEZ42" s="83"/>
      <c r="CFA42" s="83"/>
      <c r="CFB42" s="83"/>
      <c r="CFC42" s="83"/>
      <c r="CFD42" s="83"/>
      <c r="CFE42" s="83"/>
      <c r="CFF42" s="83"/>
      <c r="CFG42" s="83"/>
      <c r="CFH42" s="83"/>
      <c r="CFI42" s="83"/>
      <c r="CFJ42" s="83"/>
      <c r="CFK42" s="83"/>
      <c r="CFL42" s="83"/>
      <c r="CFM42" s="83"/>
      <c r="CFN42" s="83"/>
      <c r="CFO42" s="83"/>
      <c r="CFP42" s="83"/>
      <c r="CFQ42" s="83"/>
      <c r="CFR42" s="83"/>
      <c r="CFS42" s="83"/>
      <c r="CFT42" s="83"/>
      <c r="CFU42" s="83"/>
      <c r="CFV42" s="83"/>
      <c r="CFW42" s="83"/>
      <c r="CFX42" s="83"/>
      <c r="CFY42" s="83"/>
      <c r="CFZ42" s="83"/>
      <c r="CGA42" s="83"/>
      <c r="CGB42" s="83"/>
      <c r="CGC42" s="83"/>
      <c r="CGD42" s="83"/>
      <c r="CGE42" s="83"/>
      <c r="CGF42" s="83"/>
      <c r="CGG42" s="83"/>
      <c r="CGH42" s="83"/>
      <c r="CGI42" s="83"/>
      <c r="CGJ42" s="83"/>
      <c r="CGK42" s="83"/>
      <c r="CGL42" s="83"/>
      <c r="CGM42" s="83"/>
      <c r="CGN42" s="83"/>
      <c r="CGO42" s="83"/>
      <c r="CGP42" s="83"/>
      <c r="CGQ42" s="83"/>
      <c r="CGR42" s="83"/>
      <c r="CGS42" s="83"/>
      <c r="CGT42" s="83"/>
      <c r="CGU42" s="83"/>
      <c r="CGV42" s="83"/>
      <c r="CGW42" s="83"/>
      <c r="CGX42" s="83"/>
      <c r="CGY42" s="83"/>
      <c r="CGZ42" s="83"/>
      <c r="CHA42" s="83"/>
      <c r="CHB42" s="83"/>
      <c r="CHC42" s="83"/>
      <c r="CHD42" s="83"/>
      <c r="CHE42" s="83"/>
      <c r="CHF42" s="83"/>
      <c r="CHG42" s="83"/>
      <c r="CHH42" s="83"/>
      <c r="CHI42" s="83"/>
      <c r="CHJ42" s="83"/>
      <c r="CHK42" s="83"/>
      <c r="CHL42" s="83"/>
      <c r="CHM42" s="83"/>
      <c r="CHN42" s="83"/>
      <c r="CHO42" s="83"/>
      <c r="CHP42" s="83"/>
      <c r="CHQ42" s="83"/>
      <c r="CHR42" s="83"/>
      <c r="CHS42" s="83"/>
      <c r="CHT42" s="83"/>
      <c r="CHU42" s="83"/>
      <c r="CHV42" s="83"/>
      <c r="CHW42" s="83"/>
      <c r="CHX42" s="83"/>
      <c r="CHY42" s="83"/>
      <c r="CHZ42" s="83"/>
      <c r="CIA42" s="83"/>
      <c r="CIB42" s="83"/>
      <c r="CIC42" s="83"/>
      <c r="CID42" s="83"/>
      <c r="CIE42" s="83"/>
      <c r="CIF42" s="83"/>
      <c r="CIG42" s="83"/>
      <c r="CIH42" s="83"/>
      <c r="CII42" s="83"/>
      <c r="CIJ42" s="83"/>
      <c r="CIK42" s="83"/>
      <c r="CIL42" s="83"/>
      <c r="CIM42" s="83"/>
      <c r="CIN42" s="83"/>
      <c r="CIO42" s="83"/>
      <c r="CIP42" s="83"/>
      <c r="CIQ42" s="83"/>
      <c r="CIR42" s="83"/>
      <c r="CIS42" s="83"/>
      <c r="CIT42" s="83"/>
      <c r="CIU42" s="83"/>
      <c r="CIV42" s="83"/>
      <c r="CIW42" s="83"/>
      <c r="CIX42" s="83"/>
      <c r="CIY42" s="83"/>
      <c r="CIZ42" s="83"/>
      <c r="CJA42" s="83"/>
      <c r="CJB42" s="83"/>
      <c r="CJC42" s="83"/>
      <c r="CJD42" s="83"/>
      <c r="CJE42" s="83"/>
      <c r="CJF42" s="83"/>
      <c r="CJG42" s="83"/>
      <c r="CJH42" s="83"/>
      <c r="CJI42" s="83"/>
      <c r="CJJ42" s="83"/>
      <c r="CJK42" s="83"/>
      <c r="CJL42" s="83"/>
      <c r="CJM42" s="83"/>
      <c r="CJN42" s="83"/>
      <c r="CJO42" s="83"/>
      <c r="CJP42" s="83"/>
      <c r="CJQ42" s="83"/>
      <c r="CJR42" s="83"/>
      <c r="CJS42" s="83"/>
      <c r="CJT42" s="83"/>
      <c r="CJU42" s="83"/>
      <c r="CJV42" s="83"/>
      <c r="CJW42" s="83"/>
      <c r="CJX42" s="83"/>
      <c r="CJY42" s="83"/>
      <c r="CJZ42" s="83"/>
      <c r="CKA42" s="83"/>
      <c r="CKB42" s="83"/>
      <c r="CKC42" s="83"/>
      <c r="CKD42" s="83"/>
      <c r="CKE42" s="83"/>
      <c r="CKF42" s="83"/>
      <c r="CKG42" s="83"/>
      <c r="CKH42" s="83"/>
      <c r="CKI42" s="83"/>
      <c r="CKJ42" s="83"/>
      <c r="CKK42" s="83"/>
      <c r="CKL42" s="83"/>
      <c r="CKM42" s="83"/>
      <c r="CKN42" s="83"/>
      <c r="CKO42" s="83"/>
      <c r="CKP42" s="83"/>
      <c r="CKQ42" s="83"/>
      <c r="CKR42" s="83"/>
      <c r="CKS42" s="83"/>
      <c r="CKT42" s="83"/>
      <c r="CKU42" s="83"/>
      <c r="CKV42" s="83"/>
      <c r="CKW42" s="83"/>
      <c r="CKX42" s="83"/>
      <c r="CKY42" s="83"/>
      <c r="CKZ42" s="83"/>
      <c r="CLA42" s="83"/>
      <c r="CLB42" s="83"/>
      <c r="CLC42" s="83"/>
      <c r="CLD42" s="83"/>
      <c r="CLE42" s="83"/>
      <c r="CLF42" s="83"/>
      <c r="CLG42" s="83"/>
      <c r="CLH42" s="83"/>
      <c r="CLI42" s="83"/>
      <c r="CLJ42" s="83"/>
      <c r="CLK42" s="83"/>
      <c r="CLL42" s="83"/>
      <c r="CLM42" s="83"/>
      <c r="CLN42" s="83"/>
      <c r="CLO42" s="83"/>
      <c r="CLP42" s="83"/>
      <c r="CLQ42" s="83"/>
      <c r="CLR42" s="83"/>
      <c r="CLS42" s="83"/>
      <c r="CLT42" s="83"/>
      <c r="CLU42" s="83"/>
      <c r="CLV42" s="83"/>
      <c r="CLW42" s="83"/>
      <c r="CLX42" s="83"/>
      <c r="CLY42" s="83"/>
      <c r="CLZ42" s="83"/>
      <c r="CMA42" s="83"/>
      <c r="CMB42" s="83"/>
      <c r="CMC42" s="83"/>
      <c r="CMD42" s="83"/>
      <c r="CME42" s="83"/>
      <c r="CMF42" s="83"/>
      <c r="CMG42" s="83"/>
      <c r="CMH42" s="83"/>
      <c r="CMI42" s="83"/>
      <c r="CMJ42" s="83"/>
      <c r="CMK42" s="83"/>
      <c r="CML42" s="83"/>
      <c r="CMM42" s="83"/>
      <c r="CMN42" s="83"/>
      <c r="CMO42" s="83"/>
      <c r="CMP42" s="83"/>
      <c r="CMQ42" s="83"/>
      <c r="CMR42" s="83"/>
      <c r="CMS42" s="83"/>
      <c r="CMT42" s="83"/>
      <c r="CMU42" s="83"/>
      <c r="CMV42" s="83"/>
      <c r="CMW42" s="83"/>
      <c r="CMX42" s="83"/>
      <c r="CMY42" s="83"/>
      <c r="CMZ42" s="83"/>
      <c r="CNA42" s="83"/>
      <c r="CNB42" s="83"/>
      <c r="CNC42" s="83"/>
      <c r="CND42" s="83"/>
      <c r="CNE42" s="83"/>
      <c r="CNF42" s="83"/>
      <c r="CNG42" s="83"/>
      <c r="CNH42" s="83"/>
      <c r="CNI42" s="83"/>
      <c r="CNJ42" s="83"/>
      <c r="CNK42" s="83"/>
      <c r="CNL42" s="83"/>
      <c r="CNM42" s="83"/>
      <c r="CNN42" s="83"/>
      <c r="CNO42" s="83"/>
      <c r="CNP42" s="83"/>
      <c r="CNQ42" s="83"/>
      <c r="CNR42" s="83"/>
      <c r="CNS42" s="83"/>
      <c r="CNT42" s="83"/>
      <c r="CNU42" s="83"/>
      <c r="CNV42" s="83"/>
      <c r="CNW42" s="83"/>
      <c r="CNX42" s="83"/>
      <c r="CNY42" s="83"/>
      <c r="CNZ42" s="83"/>
      <c r="COA42" s="83"/>
      <c r="COB42" s="83"/>
      <c r="COC42" s="83"/>
      <c r="COD42" s="83"/>
      <c r="COE42" s="83"/>
      <c r="COF42" s="83"/>
      <c r="COG42" s="83"/>
      <c r="COH42" s="83"/>
      <c r="COI42" s="83"/>
      <c r="COJ42" s="83"/>
      <c r="COK42" s="83"/>
      <c r="COL42" s="83"/>
      <c r="COM42" s="83"/>
      <c r="CON42" s="83"/>
      <c r="COO42" s="83"/>
      <c r="COP42" s="83"/>
      <c r="COQ42" s="83"/>
      <c r="COR42" s="83"/>
      <c r="COS42" s="83"/>
      <c r="COT42" s="83"/>
      <c r="COU42" s="83"/>
      <c r="COV42" s="83"/>
      <c r="COW42" s="83"/>
      <c r="COX42" s="83"/>
      <c r="COY42" s="83"/>
      <c r="COZ42" s="83"/>
      <c r="CPA42" s="83"/>
      <c r="CPB42" s="83"/>
      <c r="CPC42" s="83"/>
      <c r="CPD42" s="83"/>
      <c r="CPE42" s="83"/>
      <c r="CPF42" s="83"/>
      <c r="CPG42" s="83"/>
      <c r="CPH42" s="83"/>
      <c r="CPI42" s="83"/>
      <c r="CPJ42" s="83"/>
      <c r="CPK42" s="83"/>
      <c r="CPL42" s="83"/>
      <c r="CPM42" s="83"/>
      <c r="CPN42" s="83"/>
      <c r="CPO42" s="83"/>
      <c r="CPP42" s="83"/>
      <c r="CPQ42" s="83"/>
      <c r="CPR42" s="83"/>
      <c r="CPS42" s="83"/>
      <c r="CPT42" s="83"/>
      <c r="CPU42" s="83"/>
      <c r="CPV42" s="83"/>
      <c r="CPW42" s="83"/>
      <c r="CPX42" s="83"/>
      <c r="CPY42" s="83"/>
      <c r="CPZ42" s="83"/>
      <c r="CQA42" s="83"/>
      <c r="CQB42" s="83"/>
      <c r="CQC42" s="83"/>
      <c r="CQD42" s="83"/>
      <c r="CQE42" s="83"/>
      <c r="CQF42" s="83"/>
      <c r="CQG42" s="83"/>
      <c r="CQH42" s="83"/>
      <c r="CQI42" s="83"/>
      <c r="CQJ42" s="83"/>
      <c r="CQK42" s="83"/>
      <c r="CQL42" s="83"/>
      <c r="CQM42" s="83"/>
      <c r="CQN42" s="83"/>
      <c r="CQO42" s="83"/>
      <c r="CQP42" s="83"/>
      <c r="CQQ42" s="83"/>
      <c r="CQR42" s="83"/>
      <c r="CQS42" s="83"/>
      <c r="CQT42" s="83"/>
      <c r="CQU42" s="83"/>
      <c r="CQV42" s="83"/>
      <c r="CQW42" s="83"/>
      <c r="CQX42" s="83"/>
      <c r="CQY42" s="83"/>
      <c r="CQZ42" s="83"/>
      <c r="CRA42" s="83"/>
      <c r="CRB42" s="83"/>
      <c r="CRC42" s="83"/>
      <c r="CRD42" s="83"/>
      <c r="CRE42" s="83"/>
      <c r="CRF42" s="83"/>
      <c r="CRG42" s="83"/>
      <c r="CRH42" s="83"/>
      <c r="CRI42" s="83"/>
      <c r="CRJ42" s="83"/>
      <c r="CRK42" s="83"/>
      <c r="CRL42" s="83"/>
      <c r="CRM42" s="83"/>
      <c r="CRN42" s="83"/>
      <c r="CRO42" s="83"/>
      <c r="CRP42" s="83"/>
      <c r="CRQ42" s="83"/>
      <c r="CRR42" s="83"/>
      <c r="CRS42" s="83"/>
      <c r="CRT42" s="83"/>
      <c r="CRU42" s="83"/>
      <c r="CRV42" s="83"/>
      <c r="CRW42" s="83"/>
      <c r="CRX42" s="83"/>
      <c r="CRY42" s="83"/>
      <c r="CRZ42" s="83"/>
      <c r="CSA42" s="83"/>
      <c r="CSB42" s="83"/>
      <c r="CSC42" s="83"/>
      <c r="CSD42" s="83"/>
      <c r="CSE42" s="83"/>
      <c r="CSF42" s="83"/>
      <c r="CSG42" s="83"/>
      <c r="CSH42" s="83"/>
      <c r="CSI42" s="83"/>
      <c r="CSJ42" s="83"/>
      <c r="CSK42" s="83"/>
      <c r="CSL42" s="83"/>
      <c r="CSM42" s="83"/>
      <c r="CSN42" s="83"/>
      <c r="CSO42" s="83"/>
      <c r="CSP42" s="83"/>
      <c r="CSQ42" s="83"/>
      <c r="CSR42" s="83"/>
      <c r="CSS42" s="83"/>
      <c r="CST42" s="83"/>
      <c r="CSU42" s="83"/>
      <c r="CSV42" s="83"/>
      <c r="CSW42" s="83"/>
      <c r="CSX42" s="83"/>
      <c r="CSY42" s="83"/>
      <c r="CSZ42" s="83"/>
      <c r="CTA42" s="83"/>
      <c r="CTB42" s="83"/>
      <c r="CTC42" s="83"/>
      <c r="CTD42" s="83"/>
      <c r="CTE42" s="83"/>
      <c r="CTF42" s="83"/>
      <c r="CTG42" s="83"/>
      <c r="CTH42" s="83"/>
      <c r="CTI42" s="83"/>
      <c r="CTJ42" s="83"/>
      <c r="CTK42" s="83"/>
      <c r="CTL42" s="83"/>
      <c r="CTM42" s="83"/>
      <c r="CTN42" s="83"/>
      <c r="CTO42" s="83"/>
      <c r="CTP42" s="83"/>
      <c r="CTQ42" s="83"/>
      <c r="CTR42" s="83"/>
      <c r="CTS42" s="83"/>
      <c r="CTT42" s="83"/>
      <c r="CTU42" s="83"/>
      <c r="CTV42" s="83"/>
      <c r="CTW42" s="83"/>
      <c r="CTX42" s="83"/>
      <c r="CTY42" s="83"/>
      <c r="CTZ42" s="83"/>
      <c r="CUA42" s="83"/>
      <c r="CUB42" s="83"/>
      <c r="CUC42" s="83"/>
      <c r="CUD42" s="83"/>
      <c r="CUE42" s="83"/>
      <c r="CUF42" s="83"/>
      <c r="CUG42" s="83"/>
      <c r="CUH42" s="83"/>
      <c r="CUI42" s="83"/>
      <c r="CUJ42" s="83"/>
      <c r="CUK42" s="83"/>
      <c r="CUL42" s="83"/>
      <c r="CUM42" s="83"/>
      <c r="CUN42" s="83"/>
      <c r="CUO42" s="83"/>
      <c r="CUP42" s="83"/>
      <c r="CUQ42" s="83"/>
      <c r="CUR42" s="83"/>
      <c r="CUS42" s="83"/>
      <c r="CUT42" s="83"/>
      <c r="CUU42" s="83"/>
      <c r="CUV42" s="83"/>
      <c r="CUW42" s="83"/>
      <c r="CUX42" s="83"/>
      <c r="CUY42" s="83"/>
      <c r="CUZ42" s="83"/>
      <c r="CVA42" s="83"/>
      <c r="CVB42" s="83"/>
      <c r="CVC42" s="83"/>
      <c r="CVD42" s="83"/>
      <c r="CVE42" s="83"/>
      <c r="CVF42" s="83"/>
      <c r="CVG42" s="83"/>
      <c r="CVH42" s="83"/>
      <c r="CVI42" s="83"/>
      <c r="CVJ42" s="83"/>
      <c r="CVK42" s="83"/>
      <c r="CVL42" s="83"/>
      <c r="CVM42" s="83"/>
      <c r="CVN42" s="83"/>
      <c r="CVO42" s="83"/>
      <c r="CVP42" s="83"/>
      <c r="CVQ42" s="83"/>
      <c r="CVR42" s="83"/>
      <c r="CVS42" s="83"/>
      <c r="CVT42" s="83"/>
      <c r="CVU42" s="83"/>
      <c r="CVV42" s="83"/>
      <c r="CVW42" s="83"/>
      <c r="CVX42" s="83"/>
      <c r="CVY42" s="83"/>
      <c r="CVZ42" s="83"/>
      <c r="CWA42" s="83"/>
      <c r="CWB42" s="83"/>
      <c r="CWC42" s="83"/>
      <c r="CWD42" s="83"/>
      <c r="CWE42" s="83"/>
      <c r="CWF42" s="83"/>
      <c r="CWG42" s="83"/>
      <c r="CWH42" s="83"/>
      <c r="CWI42" s="83"/>
      <c r="CWJ42" s="83"/>
      <c r="CWK42" s="83"/>
      <c r="CWL42" s="83"/>
      <c r="CWM42" s="83"/>
      <c r="CWN42" s="83"/>
      <c r="CWO42" s="83"/>
      <c r="CWP42" s="83"/>
      <c r="CWQ42" s="83"/>
      <c r="CWR42" s="83"/>
      <c r="CWS42" s="83"/>
      <c r="CWT42" s="83"/>
      <c r="CWU42" s="83"/>
      <c r="CWV42" s="83"/>
      <c r="CWW42" s="83"/>
      <c r="CWX42" s="83"/>
      <c r="CWY42" s="83"/>
      <c r="CWZ42" s="83"/>
      <c r="CXA42" s="83"/>
      <c r="CXB42" s="83"/>
      <c r="CXC42" s="83"/>
      <c r="CXD42" s="83"/>
      <c r="CXE42" s="83"/>
      <c r="CXF42" s="83"/>
      <c r="CXG42" s="83"/>
      <c r="CXH42" s="83"/>
      <c r="CXI42" s="83"/>
      <c r="CXJ42" s="83"/>
      <c r="CXK42" s="83"/>
      <c r="CXL42" s="83"/>
      <c r="CXM42" s="83"/>
      <c r="CXN42" s="83"/>
      <c r="CXO42" s="83"/>
      <c r="CXP42" s="83"/>
      <c r="CXQ42" s="83"/>
      <c r="CXR42" s="83"/>
      <c r="CXS42" s="83"/>
      <c r="CXT42" s="83"/>
      <c r="CXU42" s="83"/>
      <c r="CXV42" s="83"/>
      <c r="CXW42" s="83"/>
      <c r="CXX42" s="83"/>
      <c r="CXY42" s="83"/>
      <c r="CXZ42" s="83"/>
      <c r="CYA42" s="83"/>
      <c r="CYB42" s="83"/>
      <c r="CYC42" s="83"/>
      <c r="CYD42" s="83"/>
      <c r="CYE42" s="83"/>
      <c r="CYF42" s="83"/>
      <c r="CYG42" s="83"/>
      <c r="CYH42" s="83"/>
      <c r="CYI42" s="83"/>
      <c r="CYJ42" s="83"/>
      <c r="CYK42" s="83"/>
      <c r="CYL42" s="83"/>
      <c r="CYM42" s="83"/>
      <c r="CYN42" s="83"/>
      <c r="CYO42" s="83"/>
      <c r="CYP42" s="83"/>
      <c r="CYQ42" s="83"/>
      <c r="CYR42" s="83"/>
      <c r="CYS42" s="83"/>
      <c r="CYT42" s="83"/>
      <c r="CYU42" s="83"/>
      <c r="CYV42" s="83"/>
      <c r="CYW42" s="83"/>
      <c r="CYX42" s="83"/>
      <c r="CYY42" s="83"/>
      <c r="CYZ42" s="83"/>
      <c r="CZA42" s="83"/>
      <c r="CZB42" s="83"/>
      <c r="CZC42" s="83"/>
      <c r="CZD42" s="83"/>
      <c r="CZE42" s="83"/>
      <c r="CZF42" s="83"/>
      <c r="CZG42" s="83"/>
      <c r="CZH42" s="83"/>
      <c r="CZI42" s="83"/>
      <c r="CZJ42" s="83"/>
      <c r="CZK42" s="83"/>
      <c r="CZL42" s="83"/>
      <c r="CZM42" s="83"/>
      <c r="CZN42" s="83"/>
      <c r="CZO42" s="83"/>
      <c r="CZP42" s="83"/>
      <c r="CZQ42" s="83"/>
      <c r="CZR42" s="83"/>
      <c r="CZS42" s="83"/>
      <c r="CZT42" s="83"/>
      <c r="CZU42" s="83"/>
      <c r="CZV42" s="83"/>
      <c r="CZW42" s="83"/>
      <c r="CZX42" s="83"/>
      <c r="CZY42" s="83"/>
      <c r="CZZ42" s="83"/>
      <c r="DAA42" s="83"/>
      <c r="DAB42" s="83"/>
      <c r="DAC42" s="83"/>
      <c r="DAD42" s="83"/>
      <c r="DAE42" s="83"/>
      <c r="DAF42" s="83"/>
      <c r="DAG42" s="83"/>
      <c r="DAH42" s="83"/>
      <c r="DAI42" s="83"/>
      <c r="DAJ42" s="83"/>
      <c r="DAK42" s="83"/>
      <c r="DAL42" s="83"/>
      <c r="DAM42" s="83"/>
      <c r="DAN42" s="83"/>
      <c r="DAO42" s="83"/>
      <c r="DAP42" s="83"/>
      <c r="DAQ42" s="83"/>
      <c r="DAR42" s="83"/>
      <c r="DAS42" s="83"/>
      <c r="DAT42" s="83"/>
      <c r="DAU42" s="83"/>
      <c r="DAV42" s="83"/>
      <c r="DAW42" s="83"/>
      <c r="DAX42" s="83"/>
      <c r="DAY42" s="83"/>
      <c r="DAZ42" s="83"/>
      <c r="DBA42" s="83"/>
      <c r="DBB42" s="83"/>
      <c r="DBC42" s="83"/>
      <c r="DBD42" s="83"/>
      <c r="DBE42" s="83"/>
      <c r="DBF42" s="83"/>
      <c r="DBG42" s="83"/>
      <c r="DBH42" s="83"/>
      <c r="DBI42" s="83"/>
      <c r="DBJ42" s="83"/>
      <c r="DBK42" s="83"/>
      <c r="DBL42" s="83"/>
      <c r="DBM42" s="83"/>
      <c r="DBN42" s="83"/>
      <c r="DBO42" s="83"/>
      <c r="DBP42" s="83"/>
      <c r="DBQ42" s="83"/>
      <c r="DBR42" s="83"/>
      <c r="DBS42" s="83"/>
      <c r="DBT42" s="83"/>
      <c r="DBU42" s="83"/>
      <c r="DBV42" s="83"/>
      <c r="DBW42" s="83"/>
      <c r="DBX42" s="83"/>
      <c r="DBY42" s="83"/>
      <c r="DBZ42" s="83"/>
      <c r="DCA42" s="83"/>
      <c r="DCB42" s="83"/>
      <c r="DCC42" s="83"/>
      <c r="DCD42" s="83"/>
      <c r="DCE42" s="83"/>
      <c r="DCF42" s="83"/>
      <c r="DCG42" s="83"/>
      <c r="DCH42" s="83"/>
      <c r="DCI42" s="83"/>
      <c r="DCJ42" s="83"/>
      <c r="DCK42" s="83"/>
      <c r="DCL42" s="83"/>
      <c r="DCM42" s="83"/>
      <c r="DCN42" s="83"/>
      <c r="DCO42" s="83"/>
      <c r="DCP42" s="83"/>
      <c r="DCQ42" s="83"/>
      <c r="DCR42" s="83"/>
      <c r="DCS42" s="83"/>
      <c r="DCT42" s="83"/>
      <c r="DCU42" s="83"/>
      <c r="DCV42" s="83"/>
      <c r="DCW42" s="83"/>
      <c r="DCX42" s="83"/>
      <c r="DCY42" s="83"/>
      <c r="DCZ42" s="83"/>
      <c r="DDA42" s="83"/>
      <c r="DDB42" s="83"/>
      <c r="DDC42" s="83"/>
      <c r="DDD42" s="83"/>
      <c r="DDE42" s="83"/>
      <c r="DDF42" s="83"/>
      <c r="DDG42" s="83"/>
      <c r="DDH42" s="83"/>
      <c r="DDI42" s="83"/>
      <c r="DDJ42" s="83"/>
      <c r="DDK42" s="83"/>
      <c r="DDL42" s="83"/>
      <c r="DDM42" s="83"/>
      <c r="DDN42" s="83"/>
      <c r="DDO42" s="83"/>
      <c r="DDP42" s="83"/>
      <c r="DDQ42" s="83"/>
      <c r="DDR42" s="83"/>
      <c r="DDS42" s="83"/>
      <c r="DDT42" s="83"/>
      <c r="DDU42" s="83"/>
      <c r="DDV42" s="83"/>
      <c r="DDW42" s="83"/>
      <c r="DDX42" s="83"/>
      <c r="DDY42" s="83"/>
      <c r="DDZ42" s="83"/>
      <c r="DEA42" s="83"/>
      <c r="DEB42" s="83"/>
      <c r="DEC42" s="83"/>
      <c r="DED42" s="83"/>
      <c r="DEE42" s="83"/>
      <c r="DEF42" s="83"/>
      <c r="DEG42" s="83"/>
      <c r="DEH42" s="83"/>
      <c r="DEI42" s="83"/>
      <c r="DEJ42" s="83"/>
      <c r="DEK42" s="83"/>
      <c r="DEL42" s="83"/>
      <c r="DEM42" s="83"/>
      <c r="DEN42" s="83"/>
      <c r="DEO42" s="83"/>
      <c r="DEP42" s="83"/>
      <c r="DEQ42" s="83"/>
      <c r="DER42" s="83"/>
      <c r="DES42" s="83"/>
      <c r="DET42" s="83"/>
      <c r="DEU42" s="83"/>
      <c r="DEV42" s="83"/>
      <c r="DEW42" s="83"/>
      <c r="DEX42" s="83"/>
      <c r="DEY42" s="83"/>
      <c r="DEZ42" s="83"/>
      <c r="DFA42" s="83"/>
      <c r="DFB42" s="83"/>
      <c r="DFC42" s="83"/>
      <c r="DFD42" s="83"/>
      <c r="DFE42" s="83"/>
      <c r="DFF42" s="83"/>
      <c r="DFG42" s="83"/>
      <c r="DFH42" s="83"/>
      <c r="DFI42" s="83"/>
      <c r="DFJ42" s="83"/>
      <c r="DFK42" s="83"/>
      <c r="DFL42" s="83"/>
      <c r="DFM42" s="83"/>
      <c r="DFN42" s="83"/>
      <c r="DFO42" s="83"/>
      <c r="DFP42" s="83"/>
      <c r="DFQ42" s="83"/>
      <c r="DFR42" s="83"/>
      <c r="DFS42" s="83"/>
      <c r="DFT42" s="83"/>
      <c r="DFU42" s="83"/>
      <c r="DFV42" s="83"/>
      <c r="DFW42" s="83"/>
      <c r="DFX42" s="83"/>
      <c r="DFY42" s="83"/>
      <c r="DFZ42" s="83"/>
      <c r="DGA42" s="83"/>
      <c r="DGB42" s="83"/>
      <c r="DGC42" s="83"/>
      <c r="DGD42" s="83"/>
      <c r="DGE42" s="83"/>
      <c r="DGF42" s="83"/>
      <c r="DGG42" s="83"/>
      <c r="DGH42" s="83"/>
      <c r="DGI42" s="83"/>
      <c r="DGJ42" s="83"/>
      <c r="DGK42" s="83"/>
      <c r="DGL42" s="83"/>
      <c r="DGM42" s="83"/>
      <c r="DGN42" s="83"/>
      <c r="DGO42" s="83"/>
      <c r="DGP42" s="83"/>
      <c r="DGQ42" s="83"/>
      <c r="DGR42" s="83"/>
      <c r="DGS42" s="83"/>
      <c r="DGT42" s="83"/>
      <c r="DGU42" s="83"/>
      <c r="DGV42" s="83"/>
      <c r="DGW42" s="83"/>
      <c r="DGX42" s="83"/>
      <c r="DGY42" s="83"/>
      <c r="DGZ42" s="83"/>
      <c r="DHA42" s="83"/>
      <c r="DHB42" s="83"/>
      <c r="DHC42" s="83"/>
      <c r="DHD42" s="83"/>
      <c r="DHE42" s="83"/>
      <c r="DHF42" s="83"/>
      <c r="DHG42" s="83"/>
      <c r="DHH42" s="83"/>
      <c r="DHI42" s="83"/>
      <c r="DHJ42" s="83"/>
      <c r="DHK42" s="83"/>
      <c r="DHL42" s="83"/>
      <c r="DHM42" s="83"/>
      <c r="DHN42" s="83"/>
      <c r="DHO42" s="83"/>
      <c r="DHP42" s="83"/>
      <c r="DHQ42" s="83"/>
      <c r="DHR42" s="83"/>
      <c r="DHS42" s="83"/>
      <c r="DHT42" s="83"/>
      <c r="DHU42" s="83"/>
      <c r="DHV42" s="83"/>
      <c r="DHW42" s="83"/>
      <c r="DHX42" s="83"/>
      <c r="DHY42" s="83"/>
      <c r="DHZ42" s="83"/>
      <c r="DIA42" s="83"/>
      <c r="DIB42" s="83"/>
      <c r="DIC42" s="83"/>
      <c r="DID42" s="83"/>
      <c r="DIE42" s="83"/>
      <c r="DIF42" s="83"/>
      <c r="DIG42" s="83"/>
      <c r="DIH42" s="83"/>
      <c r="DII42" s="83"/>
      <c r="DIJ42" s="83"/>
      <c r="DIK42" s="83"/>
      <c r="DIL42" s="83"/>
      <c r="DIM42" s="83"/>
      <c r="DIN42" s="83"/>
      <c r="DIO42" s="83"/>
      <c r="DIP42" s="83"/>
      <c r="DIQ42" s="83"/>
      <c r="DIR42" s="83"/>
      <c r="DIS42" s="83"/>
      <c r="DIT42" s="83"/>
      <c r="DIU42" s="83"/>
      <c r="DIV42" s="83"/>
      <c r="DIW42" s="83"/>
      <c r="DIX42" s="83"/>
      <c r="DIY42" s="83"/>
      <c r="DIZ42" s="83"/>
      <c r="DJA42" s="83"/>
      <c r="DJB42" s="83"/>
      <c r="DJC42" s="83"/>
      <c r="DJD42" s="83"/>
      <c r="DJE42" s="83"/>
      <c r="DJF42" s="83"/>
      <c r="DJG42" s="83"/>
      <c r="DJH42" s="83"/>
      <c r="DJI42" s="83"/>
      <c r="DJJ42" s="83"/>
      <c r="DJK42" s="83"/>
      <c r="DJL42" s="83"/>
      <c r="DJM42" s="83"/>
      <c r="DJN42" s="83"/>
      <c r="DJO42" s="83"/>
      <c r="DJP42" s="83"/>
      <c r="DJQ42" s="83"/>
      <c r="DJR42" s="83"/>
      <c r="DJS42" s="83"/>
      <c r="DJT42" s="83"/>
      <c r="DJU42" s="83"/>
      <c r="DJV42" s="83"/>
      <c r="DJW42" s="83"/>
      <c r="DJX42" s="83"/>
      <c r="DJY42" s="83"/>
      <c r="DJZ42" s="83"/>
      <c r="DKA42" s="83"/>
      <c r="DKB42" s="83"/>
      <c r="DKC42" s="83"/>
      <c r="DKD42" s="83"/>
      <c r="DKE42" s="83"/>
      <c r="DKF42" s="83"/>
      <c r="DKG42" s="83"/>
      <c r="DKH42" s="83"/>
      <c r="DKI42" s="83"/>
      <c r="DKJ42" s="83"/>
      <c r="DKK42" s="83"/>
      <c r="DKL42" s="83"/>
      <c r="DKM42" s="83"/>
      <c r="DKN42" s="83"/>
      <c r="DKO42" s="83"/>
      <c r="DKP42" s="83"/>
      <c r="DKQ42" s="83"/>
      <c r="DKR42" s="83"/>
      <c r="DKS42" s="83"/>
      <c r="DKT42" s="83"/>
      <c r="DKU42" s="83"/>
      <c r="DKV42" s="83"/>
      <c r="DKW42" s="83"/>
      <c r="DKX42" s="83"/>
      <c r="DKY42" s="83"/>
      <c r="DKZ42" s="83"/>
      <c r="DLA42" s="83"/>
      <c r="DLB42" s="83"/>
      <c r="DLC42" s="83"/>
      <c r="DLD42" s="83"/>
      <c r="DLE42" s="83"/>
      <c r="DLF42" s="83"/>
      <c r="DLG42" s="83"/>
      <c r="DLH42" s="83"/>
      <c r="DLI42" s="83"/>
      <c r="DLJ42" s="83"/>
      <c r="DLK42" s="83"/>
      <c r="DLL42" s="83"/>
      <c r="DLM42" s="83"/>
      <c r="DLN42" s="83"/>
      <c r="DLO42" s="83"/>
      <c r="DLP42" s="83"/>
      <c r="DLQ42" s="83"/>
      <c r="DLR42" s="83"/>
      <c r="DLS42" s="83"/>
      <c r="DLT42" s="83"/>
      <c r="DLU42" s="83"/>
      <c r="DLV42" s="83"/>
      <c r="DLW42" s="83"/>
      <c r="DLX42" s="83"/>
      <c r="DLY42" s="83"/>
      <c r="DLZ42" s="83"/>
      <c r="DMA42" s="83"/>
      <c r="DMB42" s="83"/>
      <c r="DMC42" s="83"/>
      <c r="DMD42" s="83"/>
      <c r="DME42" s="83"/>
      <c r="DMF42" s="83"/>
      <c r="DMG42" s="83"/>
      <c r="DMH42" s="83"/>
      <c r="DMI42" s="83"/>
      <c r="DMJ42" s="83"/>
      <c r="DMK42" s="83"/>
      <c r="DML42" s="83"/>
      <c r="DMM42" s="83"/>
      <c r="DMN42" s="83"/>
      <c r="DMO42" s="83"/>
      <c r="DMP42" s="83"/>
      <c r="DMQ42" s="83"/>
      <c r="DMR42" s="83"/>
      <c r="DMS42" s="83"/>
      <c r="DMT42" s="83"/>
      <c r="DMU42" s="83"/>
      <c r="DMV42" s="83"/>
      <c r="DMW42" s="83"/>
      <c r="DMX42" s="83"/>
      <c r="DMY42" s="83"/>
      <c r="DMZ42" s="83"/>
      <c r="DNA42" s="83"/>
      <c r="DNB42" s="83"/>
      <c r="DNC42" s="83"/>
      <c r="DND42" s="83"/>
      <c r="DNE42" s="83"/>
      <c r="DNF42" s="83"/>
      <c r="DNG42" s="83"/>
      <c r="DNH42" s="83"/>
      <c r="DNI42" s="83"/>
      <c r="DNJ42" s="83"/>
      <c r="DNK42" s="83"/>
      <c r="DNL42" s="83"/>
      <c r="DNM42" s="83"/>
      <c r="DNN42" s="83"/>
      <c r="DNO42" s="83"/>
      <c r="DNP42" s="83"/>
      <c r="DNQ42" s="83"/>
      <c r="DNR42" s="83"/>
      <c r="DNS42" s="83"/>
      <c r="DNT42" s="83"/>
      <c r="DNU42" s="83"/>
      <c r="DNV42" s="83"/>
      <c r="DNW42" s="83"/>
      <c r="DNX42" s="83"/>
      <c r="DNY42" s="83"/>
      <c r="DNZ42" s="83"/>
      <c r="DOA42" s="83"/>
      <c r="DOB42" s="83"/>
      <c r="DOC42" s="83"/>
      <c r="DOD42" s="83"/>
      <c r="DOE42" s="83"/>
      <c r="DOF42" s="83"/>
      <c r="DOG42" s="83"/>
      <c r="DOH42" s="83"/>
      <c r="DOI42" s="83"/>
      <c r="DOJ42" s="83"/>
      <c r="DOK42" s="83"/>
      <c r="DOL42" s="83"/>
      <c r="DOM42" s="83"/>
      <c r="DON42" s="83"/>
      <c r="DOO42" s="83"/>
      <c r="DOP42" s="83"/>
      <c r="DOQ42" s="83"/>
      <c r="DOR42" s="83"/>
      <c r="DOS42" s="83"/>
      <c r="DOT42" s="83"/>
      <c r="DOU42" s="83"/>
      <c r="DOV42" s="83"/>
      <c r="DOW42" s="83"/>
      <c r="DOX42" s="83"/>
      <c r="DOY42" s="83"/>
      <c r="DOZ42" s="83"/>
      <c r="DPA42" s="83"/>
      <c r="DPB42" s="83"/>
      <c r="DPC42" s="83"/>
      <c r="DPD42" s="83"/>
      <c r="DPE42" s="83"/>
      <c r="DPF42" s="83"/>
      <c r="DPG42" s="83"/>
      <c r="DPH42" s="83"/>
      <c r="DPI42" s="83"/>
      <c r="DPJ42" s="83"/>
      <c r="DPK42" s="83"/>
      <c r="DPL42" s="83"/>
      <c r="DPM42" s="83"/>
      <c r="DPN42" s="83"/>
      <c r="DPO42" s="83"/>
      <c r="DPP42" s="83"/>
      <c r="DPQ42" s="83"/>
      <c r="DPR42" s="83"/>
      <c r="DPS42" s="83"/>
      <c r="DPT42" s="83"/>
      <c r="DPU42" s="83"/>
      <c r="DPV42" s="83"/>
      <c r="DPW42" s="83"/>
      <c r="DPX42" s="83"/>
      <c r="DPY42" s="83"/>
      <c r="DPZ42" s="83"/>
      <c r="DQA42" s="83"/>
      <c r="DQB42" s="83"/>
      <c r="DQC42" s="83"/>
      <c r="DQD42" s="83"/>
      <c r="DQE42" s="83"/>
      <c r="DQF42" s="83"/>
      <c r="DQG42" s="83"/>
      <c r="DQH42" s="83"/>
      <c r="DQI42" s="83"/>
      <c r="DQJ42" s="83"/>
      <c r="DQK42" s="83"/>
      <c r="DQL42" s="83"/>
      <c r="DQM42" s="83"/>
      <c r="DQN42" s="83"/>
      <c r="DQO42" s="83"/>
      <c r="DQP42" s="83"/>
      <c r="DQQ42" s="83"/>
      <c r="DQR42" s="83"/>
      <c r="DQS42" s="83"/>
      <c r="DQT42" s="83"/>
      <c r="DQU42" s="83"/>
      <c r="DQV42" s="83"/>
      <c r="DQW42" s="83"/>
      <c r="DQX42" s="83"/>
      <c r="DQY42" s="83"/>
      <c r="DQZ42" s="83"/>
      <c r="DRA42" s="83"/>
      <c r="DRB42" s="83"/>
      <c r="DRC42" s="83"/>
      <c r="DRD42" s="83"/>
      <c r="DRE42" s="83"/>
      <c r="DRF42" s="83"/>
      <c r="DRG42" s="83"/>
      <c r="DRH42" s="83"/>
      <c r="DRI42" s="83"/>
      <c r="DRJ42" s="83"/>
      <c r="DRK42" s="83"/>
      <c r="DRL42" s="83"/>
      <c r="DRM42" s="83"/>
      <c r="DRN42" s="83"/>
      <c r="DRO42" s="83"/>
      <c r="DRP42" s="83"/>
      <c r="DRQ42" s="83"/>
      <c r="DRR42" s="83"/>
      <c r="DRS42" s="83"/>
      <c r="DRT42" s="83"/>
      <c r="DRU42" s="83"/>
      <c r="DRV42" s="83"/>
      <c r="DRW42" s="83"/>
      <c r="DRX42" s="83"/>
      <c r="DRY42" s="83"/>
      <c r="DRZ42" s="83"/>
      <c r="DSA42" s="83"/>
      <c r="DSB42" s="83"/>
      <c r="DSC42" s="83"/>
      <c r="DSD42" s="83"/>
      <c r="DSE42" s="83"/>
      <c r="DSF42" s="83"/>
      <c r="DSG42" s="83"/>
      <c r="DSH42" s="83"/>
      <c r="DSI42" s="83"/>
      <c r="DSJ42" s="83"/>
      <c r="DSK42" s="83"/>
      <c r="DSL42" s="83"/>
      <c r="DSM42" s="83"/>
      <c r="DSN42" s="83"/>
      <c r="DSO42" s="83"/>
      <c r="DSP42" s="83"/>
      <c r="DSQ42" s="83"/>
      <c r="DSR42" s="83"/>
      <c r="DSS42" s="83"/>
      <c r="DST42" s="83"/>
      <c r="DSU42" s="83"/>
      <c r="DSV42" s="83"/>
      <c r="DSW42" s="83"/>
      <c r="DSX42" s="83"/>
      <c r="DSY42" s="83"/>
      <c r="DSZ42" s="83"/>
      <c r="DTA42" s="83"/>
      <c r="DTB42" s="83"/>
      <c r="DTC42" s="83"/>
      <c r="DTD42" s="83"/>
      <c r="DTE42" s="83"/>
      <c r="DTF42" s="83"/>
      <c r="DTG42" s="83"/>
      <c r="DTH42" s="83"/>
      <c r="DTI42" s="83"/>
      <c r="DTJ42" s="83"/>
      <c r="DTK42" s="83"/>
      <c r="DTL42" s="83"/>
      <c r="DTM42" s="83"/>
      <c r="DTN42" s="83"/>
      <c r="DTO42" s="83"/>
      <c r="DTP42" s="83"/>
      <c r="DTQ42" s="83"/>
      <c r="DTR42" s="83"/>
      <c r="DTS42" s="83"/>
      <c r="DTT42" s="83"/>
      <c r="DTU42" s="83"/>
      <c r="DTV42" s="83"/>
      <c r="DTW42" s="83"/>
      <c r="DTX42" s="83"/>
      <c r="DTY42" s="83"/>
      <c r="DTZ42" s="83"/>
      <c r="DUA42" s="83"/>
      <c r="DUB42" s="83"/>
      <c r="DUC42" s="83"/>
      <c r="DUD42" s="83"/>
      <c r="DUE42" s="83"/>
      <c r="DUF42" s="83"/>
      <c r="DUG42" s="83"/>
      <c r="DUH42" s="83"/>
      <c r="DUI42" s="83"/>
      <c r="DUJ42" s="83"/>
      <c r="DUK42" s="83"/>
      <c r="DUL42" s="83"/>
      <c r="DUM42" s="83"/>
      <c r="DUN42" s="83"/>
      <c r="DUO42" s="83"/>
      <c r="DUP42" s="83"/>
      <c r="DUQ42" s="83"/>
      <c r="DUR42" s="83"/>
      <c r="DUS42" s="83"/>
      <c r="DUT42" s="83"/>
      <c r="DUU42" s="83"/>
      <c r="DUV42" s="83"/>
      <c r="DUW42" s="83"/>
      <c r="DUX42" s="83"/>
      <c r="DUY42" s="83"/>
      <c r="DUZ42" s="83"/>
      <c r="DVA42" s="83"/>
      <c r="DVB42" s="83"/>
      <c r="DVC42" s="83"/>
      <c r="DVD42" s="83"/>
      <c r="DVE42" s="83"/>
      <c r="DVF42" s="83"/>
      <c r="DVG42" s="83"/>
      <c r="DVH42" s="83"/>
      <c r="DVI42" s="83"/>
      <c r="DVJ42" s="83"/>
      <c r="DVK42" s="83"/>
      <c r="DVL42" s="83"/>
      <c r="DVM42" s="83"/>
      <c r="DVN42" s="83"/>
      <c r="DVO42" s="83"/>
      <c r="DVP42" s="83"/>
      <c r="DVQ42" s="83"/>
      <c r="DVR42" s="83"/>
      <c r="DVS42" s="83"/>
      <c r="DVT42" s="83"/>
      <c r="DVU42" s="83"/>
      <c r="DVV42" s="83"/>
      <c r="DVW42" s="83"/>
      <c r="DVX42" s="83"/>
      <c r="DVY42" s="83"/>
      <c r="DVZ42" s="83"/>
      <c r="DWA42" s="83"/>
      <c r="DWB42" s="83"/>
      <c r="DWC42" s="83"/>
      <c r="DWD42" s="83"/>
      <c r="DWE42" s="83"/>
      <c r="DWF42" s="83"/>
      <c r="DWG42" s="83"/>
      <c r="DWH42" s="83"/>
      <c r="DWI42" s="83"/>
      <c r="DWJ42" s="83"/>
      <c r="DWK42" s="83"/>
      <c r="DWL42" s="83"/>
      <c r="DWM42" s="83"/>
      <c r="DWN42" s="83"/>
      <c r="DWO42" s="83"/>
      <c r="DWP42" s="83"/>
      <c r="DWQ42" s="83"/>
      <c r="DWR42" s="83"/>
      <c r="DWS42" s="83"/>
      <c r="DWT42" s="83"/>
      <c r="DWU42" s="83"/>
      <c r="DWV42" s="83"/>
      <c r="DWW42" s="83"/>
      <c r="DWX42" s="83"/>
      <c r="DWY42" s="83"/>
      <c r="DWZ42" s="83"/>
      <c r="DXA42" s="83"/>
      <c r="DXB42" s="83"/>
      <c r="DXC42" s="83"/>
      <c r="DXD42" s="83"/>
      <c r="DXE42" s="83"/>
      <c r="DXF42" s="83"/>
      <c r="DXG42" s="83"/>
      <c r="DXH42" s="83"/>
      <c r="DXI42" s="83"/>
      <c r="DXJ42" s="83"/>
      <c r="DXK42" s="83"/>
      <c r="DXL42" s="83"/>
      <c r="DXM42" s="83"/>
      <c r="DXN42" s="83"/>
      <c r="DXO42" s="83"/>
      <c r="DXP42" s="83"/>
      <c r="DXQ42" s="83"/>
      <c r="DXR42" s="83"/>
      <c r="DXS42" s="83"/>
      <c r="DXT42" s="83"/>
      <c r="DXU42" s="83"/>
      <c r="DXV42" s="83"/>
      <c r="DXW42" s="83"/>
      <c r="DXX42" s="83"/>
      <c r="DXY42" s="83"/>
      <c r="DXZ42" s="83"/>
      <c r="DYA42" s="83"/>
      <c r="DYB42" s="83"/>
      <c r="DYC42" s="83"/>
      <c r="DYD42" s="83"/>
      <c r="DYE42" s="83"/>
      <c r="DYF42" s="83"/>
      <c r="DYG42" s="83"/>
      <c r="DYH42" s="83"/>
      <c r="DYI42" s="83"/>
      <c r="DYJ42" s="83"/>
      <c r="DYK42" s="83"/>
      <c r="DYL42" s="83"/>
      <c r="DYM42" s="83"/>
      <c r="DYN42" s="83"/>
      <c r="DYO42" s="83"/>
      <c r="DYP42" s="83"/>
      <c r="DYQ42" s="83"/>
      <c r="DYR42" s="83"/>
      <c r="DYS42" s="83"/>
      <c r="DYT42" s="83"/>
      <c r="DYU42" s="83"/>
      <c r="DYV42" s="83"/>
      <c r="DYW42" s="83"/>
      <c r="DYX42" s="83"/>
      <c r="DYY42" s="83"/>
      <c r="DYZ42" s="83"/>
      <c r="DZA42" s="83"/>
      <c r="DZB42" s="83"/>
      <c r="DZC42" s="83"/>
      <c r="DZD42" s="83"/>
      <c r="DZE42" s="83"/>
      <c r="DZF42" s="83"/>
      <c r="DZG42" s="83"/>
      <c r="DZH42" s="83"/>
      <c r="DZI42" s="83"/>
      <c r="DZJ42" s="83"/>
      <c r="DZK42" s="83"/>
      <c r="DZL42" s="83"/>
      <c r="DZM42" s="83"/>
      <c r="DZN42" s="83"/>
      <c r="DZO42" s="83"/>
      <c r="DZP42" s="83"/>
      <c r="DZQ42" s="83"/>
      <c r="DZR42" s="83"/>
      <c r="DZS42" s="83"/>
      <c r="DZT42" s="83"/>
      <c r="DZU42" s="83"/>
      <c r="DZV42" s="83"/>
      <c r="DZW42" s="83"/>
      <c r="DZX42" s="83"/>
      <c r="DZY42" s="83"/>
      <c r="DZZ42" s="83"/>
      <c r="EAA42" s="83"/>
      <c r="EAB42" s="83"/>
      <c r="EAC42" s="83"/>
      <c r="EAD42" s="83"/>
      <c r="EAE42" s="83"/>
      <c r="EAF42" s="83"/>
      <c r="EAG42" s="83"/>
      <c r="EAH42" s="83"/>
      <c r="EAI42" s="83"/>
      <c r="EAJ42" s="83"/>
      <c r="EAK42" s="83"/>
      <c r="EAL42" s="83"/>
      <c r="EAM42" s="83"/>
      <c r="EAN42" s="83"/>
      <c r="EAO42" s="83"/>
      <c r="EAP42" s="83"/>
      <c r="EAQ42" s="83"/>
      <c r="EAR42" s="83"/>
      <c r="EAS42" s="83"/>
      <c r="EAT42" s="83"/>
      <c r="EAU42" s="83"/>
      <c r="EAV42" s="83"/>
      <c r="EAW42" s="83"/>
      <c r="EAX42" s="83"/>
      <c r="EAY42" s="83"/>
      <c r="EAZ42" s="83"/>
      <c r="EBA42" s="83"/>
      <c r="EBB42" s="83"/>
      <c r="EBC42" s="83"/>
      <c r="EBD42" s="83"/>
      <c r="EBE42" s="83"/>
      <c r="EBF42" s="83"/>
      <c r="EBG42" s="83"/>
      <c r="EBH42" s="83"/>
      <c r="EBI42" s="83"/>
      <c r="EBJ42" s="83"/>
      <c r="EBK42" s="83"/>
      <c r="EBL42" s="83"/>
      <c r="EBM42" s="83"/>
      <c r="EBN42" s="83"/>
      <c r="EBO42" s="83"/>
      <c r="EBP42" s="83"/>
      <c r="EBQ42" s="83"/>
      <c r="EBR42" s="83"/>
      <c r="EBS42" s="83"/>
      <c r="EBT42" s="83"/>
      <c r="EBU42" s="83"/>
      <c r="EBV42" s="83"/>
      <c r="EBW42" s="83"/>
      <c r="EBX42" s="83"/>
      <c r="EBY42" s="83"/>
      <c r="EBZ42" s="83"/>
      <c r="ECA42" s="83"/>
      <c r="ECB42" s="83"/>
      <c r="ECC42" s="83"/>
      <c r="ECD42" s="83"/>
      <c r="ECE42" s="83"/>
      <c r="ECF42" s="83"/>
      <c r="ECG42" s="83"/>
      <c r="ECH42" s="83"/>
      <c r="ECI42" s="83"/>
      <c r="ECJ42" s="83"/>
      <c r="ECK42" s="83"/>
      <c r="ECL42" s="83"/>
      <c r="ECM42" s="83"/>
      <c r="ECN42" s="83"/>
      <c r="ECO42" s="83"/>
      <c r="ECP42" s="83"/>
      <c r="ECQ42" s="83"/>
      <c r="ECR42" s="83"/>
      <c r="ECS42" s="83"/>
      <c r="ECT42" s="83"/>
      <c r="ECU42" s="83"/>
      <c r="ECV42" s="83"/>
      <c r="ECW42" s="83"/>
      <c r="ECX42" s="83"/>
      <c r="ECY42" s="83"/>
      <c r="ECZ42" s="83"/>
      <c r="EDA42" s="83"/>
      <c r="EDB42" s="83"/>
      <c r="EDC42" s="83"/>
      <c r="EDD42" s="83"/>
      <c r="EDE42" s="83"/>
      <c r="EDF42" s="83"/>
      <c r="EDG42" s="83"/>
      <c r="EDH42" s="83"/>
      <c r="EDI42" s="83"/>
      <c r="EDJ42" s="83"/>
      <c r="EDK42" s="83"/>
      <c r="EDL42" s="83"/>
      <c r="EDM42" s="83"/>
      <c r="EDN42" s="83"/>
      <c r="EDO42" s="83"/>
      <c r="EDP42" s="83"/>
      <c r="EDQ42" s="83"/>
      <c r="EDR42" s="83"/>
      <c r="EDS42" s="83"/>
      <c r="EDT42" s="83"/>
      <c r="EDU42" s="83"/>
      <c r="EDV42" s="83"/>
      <c r="EDW42" s="83"/>
      <c r="EDX42" s="83"/>
      <c r="EDY42" s="83"/>
      <c r="EDZ42" s="83"/>
      <c r="EEA42" s="83"/>
      <c r="EEB42" s="83"/>
      <c r="EEC42" s="83"/>
      <c r="EED42" s="83"/>
      <c r="EEE42" s="83"/>
      <c r="EEF42" s="83"/>
      <c r="EEG42" s="83"/>
      <c r="EEH42" s="83"/>
      <c r="EEI42" s="83"/>
      <c r="EEJ42" s="83"/>
      <c r="EEK42" s="83"/>
      <c r="EEL42" s="83"/>
      <c r="EEM42" s="83"/>
      <c r="EEN42" s="83"/>
      <c r="EEO42" s="83"/>
      <c r="EEP42" s="83"/>
      <c r="EEQ42" s="83"/>
      <c r="EER42" s="83"/>
      <c r="EES42" s="83"/>
      <c r="EET42" s="83"/>
      <c r="EEU42" s="83"/>
      <c r="EEV42" s="83"/>
      <c r="EEW42" s="83"/>
      <c r="EEX42" s="83"/>
      <c r="EEY42" s="83"/>
      <c r="EEZ42" s="83"/>
      <c r="EFA42" s="83"/>
      <c r="EFB42" s="83"/>
      <c r="EFC42" s="83"/>
      <c r="EFD42" s="83"/>
      <c r="EFE42" s="83"/>
      <c r="EFF42" s="83"/>
      <c r="EFG42" s="83"/>
      <c r="EFH42" s="83"/>
      <c r="EFI42" s="83"/>
      <c r="EFJ42" s="83"/>
      <c r="EFK42" s="83"/>
      <c r="EFL42" s="83"/>
      <c r="EFM42" s="83"/>
      <c r="EFN42" s="83"/>
      <c r="EFO42" s="83"/>
      <c r="EFP42" s="83"/>
      <c r="EFQ42" s="83"/>
      <c r="EFR42" s="83"/>
      <c r="EFS42" s="83"/>
      <c r="EFT42" s="83"/>
      <c r="EFU42" s="83"/>
      <c r="EFV42" s="83"/>
      <c r="EFW42" s="83"/>
      <c r="EFX42" s="83"/>
      <c r="EFY42" s="83"/>
      <c r="EFZ42" s="83"/>
      <c r="EGA42" s="83"/>
      <c r="EGB42" s="83"/>
      <c r="EGC42" s="83"/>
      <c r="EGD42" s="83"/>
      <c r="EGE42" s="83"/>
      <c r="EGF42" s="83"/>
      <c r="EGG42" s="83"/>
      <c r="EGH42" s="83"/>
      <c r="EGI42" s="83"/>
      <c r="EGJ42" s="83"/>
      <c r="EGK42" s="83"/>
      <c r="EGL42" s="83"/>
      <c r="EGM42" s="83"/>
      <c r="EGN42" s="83"/>
      <c r="EGO42" s="83"/>
      <c r="EGP42" s="83"/>
      <c r="EGQ42" s="83"/>
      <c r="EGR42" s="83"/>
      <c r="EGS42" s="83"/>
      <c r="EGT42" s="83"/>
      <c r="EGU42" s="83"/>
      <c r="EGV42" s="83"/>
      <c r="EGW42" s="83"/>
      <c r="EGX42" s="83"/>
      <c r="EGY42" s="83"/>
      <c r="EGZ42" s="83"/>
      <c r="EHA42" s="83"/>
      <c r="EHB42" s="83"/>
      <c r="EHC42" s="83"/>
      <c r="EHD42" s="83"/>
      <c r="EHE42" s="83"/>
      <c r="EHF42" s="83"/>
      <c r="EHG42" s="83"/>
      <c r="EHH42" s="83"/>
      <c r="EHI42" s="83"/>
      <c r="EHJ42" s="83"/>
      <c r="EHK42" s="83"/>
      <c r="EHL42" s="83"/>
      <c r="EHM42" s="83"/>
      <c r="EHN42" s="83"/>
      <c r="EHO42" s="83"/>
      <c r="EHP42" s="83"/>
      <c r="EHQ42" s="83"/>
      <c r="EHR42" s="83"/>
      <c r="EHS42" s="83"/>
      <c r="EHT42" s="83"/>
      <c r="EHU42" s="83"/>
      <c r="EHV42" s="83"/>
      <c r="EHW42" s="83"/>
      <c r="EHX42" s="83"/>
      <c r="EHY42" s="83"/>
      <c r="EHZ42" s="83"/>
      <c r="EIA42" s="83"/>
      <c r="EIB42" s="83"/>
      <c r="EIC42" s="83"/>
      <c r="EID42" s="83"/>
      <c r="EIE42" s="83"/>
      <c r="EIF42" s="83"/>
      <c r="EIG42" s="83"/>
      <c r="EIH42" s="83"/>
      <c r="EII42" s="83"/>
      <c r="EIJ42" s="83"/>
      <c r="EIK42" s="83"/>
      <c r="EIL42" s="83"/>
      <c r="EIM42" s="83"/>
      <c r="EIN42" s="83"/>
      <c r="EIO42" s="83"/>
      <c r="EIP42" s="83"/>
      <c r="EIQ42" s="83"/>
      <c r="EIR42" s="83"/>
      <c r="EIS42" s="83"/>
      <c r="EIT42" s="83"/>
      <c r="EIU42" s="83"/>
      <c r="EIV42" s="83"/>
      <c r="EIW42" s="83"/>
      <c r="EIX42" s="83"/>
      <c r="EIY42" s="83"/>
      <c r="EIZ42" s="83"/>
      <c r="EJA42" s="83"/>
      <c r="EJB42" s="83"/>
      <c r="EJC42" s="83"/>
      <c r="EJD42" s="83"/>
      <c r="EJE42" s="83"/>
      <c r="EJF42" s="83"/>
      <c r="EJG42" s="83"/>
      <c r="EJH42" s="83"/>
      <c r="EJI42" s="83"/>
      <c r="EJJ42" s="83"/>
      <c r="EJK42" s="83"/>
      <c r="EJL42" s="83"/>
      <c r="EJM42" s="83"/>
      <c r="EJN42" s="83"/>
      <c r="EJO42" s="83"/>
      <c r="EJP42" s="83"/>
      <c r="EJQ42" s="83"/>
      <c r="EJR42" s="83"/>
      <c r="EJS42" s="83"/>
      <c r="EJT42" s="83"/>
      <c r="EJU42" s="83"/>
      <c r="EJV42" s="83"/>
      <c r="EJW42" s="83"/>
      <c r="EJX42" s="83"/>
      <c r="EJY42" s="83"/>
      <c r="EJZ42" s="83"/>
      <c r="EKA42" s="83"/>
      <c r="EKB42" s="83"/>
      <c r="EKC42" s="83"/>
      <c r="EKD42" s="83"/>
      <c r="EKE42" s="83"/>
      <c r="EKF42" s="83"/>
      <c r="EKG42" s="83"/>
      <c r="EKH42" s="83"/>
      <c r="EKI42" s="83"/>
      <c r="EKJ42" s="83"/>
      <c r="EKK42" s="83"/>
      <c r="EKL42" s="83"/>
      <c r="EKM42" s="83"/>
      <c r="EKN42" s="83"/>
      <c r="EKO42" s="83"/>
      <c r="EKP42" s="83"/>
      <c r="EKQ42" s="83"/>
      <c r="EKR42" s="83"/>
      <c r="EKS42" s="83"/>
      <c r="EKT42" s="83"/>
      <c r="EKU42" s="83"/>
      <c r="EKV42" s="83"/>
      <c r="EKW42" s="83"/>
      <c r="EKX42" s="83"/>
      <c r="EKY42" s="83"/>
      <c r="EKZ42" s="83"/>
      <c r="ELA42" s="83"/>
      <c r="ELB42" s="83"/>
      <c r="ELC42" s="83"/>
      <c r="ELD42" s="83"/>
      <c r="ELE42" s="83"/>
      <c r="ELF42" s="83"/>
      <c r="ELG42" s="83"/>
      <c r="ELH42" s="83"/>
      <c r="ELI42" s="83"/>
      <c r="ELJ42" s="83"/>
      <c r="ELK42" s="83"/>
      <c r="ELL42" s="83"/>
      <c r="ELM42" s="83"/>
      <c r="ELN42" s="83"/>
      <c r="ELO42" s="83"/>
      <c r="ELP42" s="83"/>
      <c r="ELQ42" s="83"/>
      <c r="ELR42" s="83"/>
      <c r="ELS42" s="83"/>
      <c r="ELT42" s="83"/>
      <c r="ELU42" s="83"/>
      <c r="ELV42" s="83"/>
      <c r="ELW42" s="83"/>
      <c r="ELX42" s="83"/>
      <c r="ELY42" s="83"/>
      <c r="ELZ42" s="83"/>
      <c r="EMA42" s="83"/>
      <c r="EMB42" s="83"/>
      <c r="EMC42" s="83"/>
      <c r="EMD42" s="83"/>
      <c r="EME42" s="83"/>
      <c r="EMF42" s="83"/>
      <c r="EMG42" s="83"/>
      <c r="EMH42" s="83"/>
      <c r="EMI42" s="83"/>
      <c r="EMJ42" s="83"/>
      <c r="EMK42" s="83"/>
      <c r="EML42" s="83"/>
      <c r="EMM42" s="83"/>
      <c r="EMN42" s="83"/>
      <c r="EMO42" s="83"/>
      <c r="EMP42" s="83"/>
      <c r="EMQ42" s="83"/>
      <c r="EMR42" s="83"/>
      <c r="EMS42" s="83"/>
      <c r="EMT42" s="83"/>
      <c r="EMU42" s="83"/>
      <c r="EMV42" s="83"/>
      <c r="EMW42" s="83"/>
      <c r="EMX42" s="83"/>
      <c r="EMY42" s="83"/>
      <c r="EMZ42" s="83"/>
      <c r="ENA42" s="83"/>
      <c r="ENB42" s="83"/>
      <c r="ENC42" s="83"/>
      <c r="END42" s="83"/>
      <c r="ENE42" s="83"/>
      <c r="ENF42" s="83"/>
      <c r="ENG42" s="83"/>
      <c r="ENH42" s="83"/>
      <c r="ENI42" s="83"/>
      <c r="ENJ42" s="83"/>
      <c r="ENK42" s="83"/>
      <c r="ENL42" s="83"/>
      <c r="ENM42" s="83"/>
      <c r="ENN42" s="83"/>
      <c r="ENO42" s="83"/>
      <c r="ENP42" s="83"/>
      <c r="ENQ42" s="83"/>
      <c r="ENR42" s="83"/>
      <c r="ENS42" s="83"/>
      <c r="ENT42" s="83"/>
      <c r="ENU42" s="83"/>
      <c r="ENV42" s="83"/>
      <c r="ENW42" s="83"/>
      <c r="ENX42" s="83"/>
      <c r="ENY42" s="83"/>
      <c r="ENZ42" s="83"/>
      <c r="EOA42" s="83"/>
      <c r="EOB42" s="83"/>
      <c r="EOC42" s="83"/>
      <c r="EOD42" s="83"/>
      <c r="EOE42" s="83"/>
      <c r="EOF42" s="83"/>
      <c r="EOG42" s="83"/>
      <c r="EOH42" s="83"/>
      <c r="EOI42" s="83"/>
      <c r="EOJ42" s="83"/>
      <c r="EOK42" s="83"/>
      <c r="EOL42" s="83"/>
      <c r="EOM42" s="83"/>
      <c r="EON42" s="83"/>
      <c r="EOO42" s="83"/>
      <c r="EOP42" s="83"/>
      <c r="EOQ42" s="83"/>
      <c r="EOR42" s="83"/>
      <c r="EOS42" s="83"/>
      <c r="EOT42" s="83"/>
      <c r="EOU42" s="83"/>
      <c r="EOV42" s="83"/>
      <c r="EOW42" s="83"/>
      <c r="EOX42" s="83"/>
      <c r="EOY42" s="83"/>
      <c r="EOZ42" s="83"/>
      <c r="EPA42" s="83"/>
      <c r="EPB42" s="83"/>
      <c r="EPC42" s="83"/>
      <c r="EPD42" s="83"/>
      <c r="EPE42" s="83"/>
      <c r="EPF42" s="83"/>
      <c r="EPG42" s="83"/>
      <c r="EPH42" s="83"/>
      <c r="EPI42" s="83"/>
      <c r="EPJ42" s="83"/>
      <c r="EPK42" s="83"/>
      <c r="EPL42" s="83"/>
      <c r="EPM42" s="83"/>
      <c r="EPN42" s="83"/>
      <c r="EPO42" s="83"/>
      <c r="EPP42" s="83"/>
      <c r="EPQ42" s="83"/>
      <c r="EPR42" s="83"/>
      <c r="EPS42" s="83"/>
      <c r="EPT42" s="83"/>
      <c r="EPU42" s="83"/>
      <c r="EPV42" s="83"/>
      <c r="EPW42" s="83"/>
      <c r="EPX42" s="83"/>
      <c r="EPY42" s="83"/>
      <c r="EPZ42" s="83"/>
      <c r="EQA42" s="83"/>
      <c r="EQB42" s="83"/>
      <c r="EQC42" s="83"/>
      <c r="EQD42" s="83"/>
      <c r="EQE42" s="83"/>
      <c r="EQF42" s="83"/>
      <c r="EQG42" s="83"/>
      <c r="EQH42" s="83"/>
      <c r="EQI42" s="83"/>
      <c r="EQJ42" s="83"/>
      <c r="EQK42" s="83"/>
      <c r="EQL42" s="83"/>
      <c r="EQM42" s="83"/>
      <c r="EQN42" s="83"/>
      <c r="EQO42" s="83"/>
      <c r="EQP42" s="83"/>
      <c r="EQQ42" s="83"/>
      <c r="EQR42" s="83"/>
      <c r="EQS42" s="83"/>
      <c r="EQT42" s="83"/>
      <c r="EQU42" s="83"/>
      <c r="EQV42" s="83"/>
      <c r="EQW42" s="83"/>
      <c r="EQX42" s="83"/>
      <c r="EQY42" s="83"/>
      <c r="EQZ42" s="83"/>
      <c r="ERA42" s="83"/>
      <c r="ERB42" s="83"/>
      <c r="ERC42" s="83"/>
      <c r="ERD42" s="83"/>
      <c r="ERE42" s="83"/>
      <c r="ERF42" s="83"/>
      <c r="ERG42" s="83"/>
      <c r="ERH42" s="83"/>
      <c r="ERI42" s="83"/>
      <c r="ERJ42" s="83"/>
      <c r="ERK42" s="83"/>
      <c r="ERL42" s="83"/>
      <c r="ERM42" s="83"/>
      <c r="ERN42" s="83"/>
      <c r="ERO42" s="83"/>
      <c r="ERP42" s="83"/>
      <c r="ERQ42" s="83"/>
      <c r="ERR42" s="83"/>
      <c r="ERS42" s="83"/>
      <c r="ERT42" s="83"/>
      <c r="ERU42" s="83"/>
      <c r="ERV42" s="83"/>
      <c r="ERW42" s="83"/>
      <c r="ERX42" s="83"/>
      <c r="ERY42" s="83"/>
      <c r="ERZ42" s="83"/>
      <c r="ESA42" s="83"/>
      <c r="ESB42" s="83"/>
      <c r="ESC42" s="83"/>
      <c r="ESD42" s="83"/>
      <c r="ESE42" s="83"/>
      <c r="ESF42" s="83"/>
      <c r="ESG42" s="83"/>
      <c r="ESH42" s="83"/>
      <c r="ESI42" s="83"/>
      <c r="ESJ42" s="83"/>
      <c r="ESK42" s="83"/>
      <c r="ESL42" s="83"/>
      <c r="ESM42" s="83"/>
      <c r="ESN42" s="83"/>
      <c r="ESO42" s="83"/>
      <c r="ESP42" s="83"/>
      <c r="ESQ42" s="83"/>
      <c r="ESR42" s="83"/>
      <c r="ESS42" s="83"/>
      <c r="EST42" s="83"/>
      <c r="ESU42" s="83"/>
      <c r="ESV42" s="83"/>
      <c r="ESW42" s="83"/>
      <c r="ESX42" s="83"/>
      <c r="ESY42" s="83"/>
      <c r="ESZ42" s="83"/>
      <c r="ETA42" s="83"/>
      <c r="ETB42" s="83"/>
      <c r="ETC42" s="83"/>
      <c r="ETD42" s="83"/>
      <c r="ETE42" s="83"/>
      <c r="ETF42" s="83"/>
      <c r="ETG42" s="83"/>
      <c r="ETH42" s="83"/>
      <c r="ETI42" s="83"/>
      <c r="ETJ42" s="83"/>
      <c r="ETK42" s="83"/>
      <c r="ETL42" s="83"/>
      <c r="ETM42" s="83"/>
      <c r="ETN42" s="83"/>
      <c r="ETO42" s="83"/>
      <c r="ETP42" s="83"/>
      <c r="ETQ42" s="83"/>
      <c r="ETR42" s="83"/>
      <c r="ETS42" s="83"/>
      <c r="ETT42" s="83"/>
      <c r="ETU42" s="83"/>
      <c r="ETV42" s="83"/>
      <c r="ETW42" s="83"/>
      <c r="ETX42" s="83"/>
      <c r="ETY42" s="83"/>
      <c r="ETZ42" s="83"/>
      <c r="EUA42" s="83"/>
      <c r="EUB42" s="83"/>
      <c r="EUC42" s="83"/>
      <c r="EUD42" s="83"/>
      <c r="EUE42" s="83"/>
      <c r="EUF42" s="83"/>
      <c r="EUG42" s="83"/>
      <c r="EUH42" s="83"/>
      <c r="EUI42" s="83"/>
      <c r="EUJ42" s="83"/>
      <c r="EUK42" s="83"/>
      <c r="EUL42" s="83"/>
      <c r="EUM42" s="83"/>
      <c r="EUN42" s="83"/>
      <c r="EUO42" s="83"/>
      <c r="EUP42" s="83"/>
      <c r="EUQ42" s="83"/>
      <c r="EUR42" s="83"/>
      <c r="EUS42" s="83"/>
      <c r="EUT42" s="83"/>
      <c r="EUU42" s="83"/>
      <c r="EUV42" s="83"/>
      <c r="EUW42" s="83"/>
      <c r="EUX42" s="83"/>
      <c r="EUY42" s="83"/>
      <c r="EUZ42" s="83"/>
      <c r="EVA42" s="83"/>
      <c r="EVB42" s="83"/>
      <c r="EVC42" s="83"/>
      <c r="EVD42" s="83"/>
      <c r="EVE42" s="83"/>
      <c r="EVF42" s="83"/>
      <c r="EVG42" s="83"/>
      <c r="EVH42" s="83"/>
      <c r="EVI42" s="83"/>
      <c r="EVJ42" s="83"/>
      <c r="EVK42" s="83"/>
      <c r="EVL42" s="83"/>
      <c r="EVM42" s="83"/>
      <c r="EVN42" s="83"/>
      <c r="EVO42" s="83"/>
      <c r="EVP42" s="83"/>
      <c r="EVQ42" s="83"/>
      <c r="EVR42" s="83"/>
      <c r="EVS42" s="83"/>
      <c r="EVT42" s="83"/>
      <c r="EVU42" s="83"/>
      <c r="EVV42" s="83"/>
      <c r="EVW42" s="83"/>
      <c r="EVX42" s="83"/>
      <c r="EVY42" s="83"/>
      <c r="EVZ42" s="83"/>
      <c r="EWA42" s="83"/>
      <c r="EWB42" s="83"/>
      <c r="EWC42" s="83"/>
      <c r="EWD42" s="83"/>
      <c r="EWE42" s="83"/>
      <c r="EWF42" s="83"/>
      <c r="EWG42" s="83"/>
      <c r="EWH42" s="83"/>
      <c r="EWI42" s="83"/>
      <c r="EWJ42" s="83"/>
      <c r="EWK42" s="83"/>
      <c r="EWL42" s="83"/>
      <c r="EWM42" s="83"/>
      <c r="EWN42" s="83"/>
      <c r="EWO42" s="83"/>
      <c r="EWP42" s="83"/>
      <c r="EWQ42" s="83"/>
      <c r="EWR42" s="83"/>
      <c r="EWS42" s="83"/>
      <c r="EWT42" s="83"/>
      <c r="EWU42" s="83"/>
      <c r="EWV42" s="83"/>
      <c r="EWW42" s="83"/>
      <c r="EWX42" s="83"/>
      <c r="EWY42" s="83"/>
      <c r="EWZ42" s="83"/>
      <c r="EXA42" s="83"/>
      <c r="EXB42" s="83"/>
      <c r="EXC42" s="83"/>
      <c r="EXD42" s="83"/>
      <c r="EXE42" s="83"/>
      <c r="EXF42" s="83"/>
      <c r="EXG42" s="83"/>
      <c r="EXH42" s="83"/>
      <c r="EXI42" s="83"/>
      <c r="EXJ42" s="83"/>
      <c r="EXK42" s="83"/>
      <c r="EXL42" s="83"/>
      <c r="EXM42" s="83"/>
      <c r="EXN42" s="83"/>
      <c r="EXO42" s="83"/>
      <c r="EXP42" s="83"/>
      <c r="EXQ42" s="83"/>
      <c r="EXR42" s="83"/>
      <c r="EXS42" s="83"/>
      <c r="EXT42" s="83"/>
      <c r="EXU42" s="83"/>
      <c r="EXV42" s="83"/>
      <c r="EXW42" s="83"/>
      <c r="EXX42" s="83"/>
      <c r="EXY42" s="83"/>
      <c r="EXZ42" s="83"/>
      <c r="EYA42" s="83"/>
      <c r="EYB42" s="83"/>
      <c r="EYC42" s="83"/>
      <c r="EYD42" s="83"/>
      <c r="EYE42" s="83"/>
      <c r="EYF42" s="83"/>
      <c r="EYG42" s="83"/>
      <c r="EYH42" s="83"/>
      <c r="EYI42" s="83"/>
      <c r="EYJ42" s="83"/>
      <c r="EYK42" s="83"/>
      <c r="EYL42" s="83"/>
      <c r="EYM42" s="83"/>
      <c r="EYN42" s="83"/>
      <c r="EYO42" s="83"/>
      <c r="EYP42" s="83"/>
      <c r="EYQ42" s="83"/>
      <c r="EYR42" s="83"/>
      <c r="EYS42" s="83"/>
      <c r="EYT42" s="83"/>
      <c r="EYU42" s="83"/>
      <c r="EYV42" s="83"/>
      <c r="EYW42" s="83"/>
      <c r="EYX42" s="83"/>
      <c r="EYY42" s="83"/>
      <c r="EYZ42" s="83"/>
      <c r="EZA42" s="83"/>
      <c r="EZB42" s="83"/>
      <c r="EZC42" s="83"/>
      <c r="EZD42" s="83"/>
      <c r="EZE42" s="83"/>
      <c r="EZF42" s="83"/>
      <c r="EZG42" s="83"/>
      <c r="EZH42" s="83"/>
      <c r="EZI42" s="83"/>
      <c r="EZJ42" s="83"/>
      <c r="EZK42" s="83"/>
      <c r="EZL42" s="83"/>
      <c r="EZM42" s="83"/>
      <c r="EZN42" s="83"/>
      <c r="EZO42" s="83"/>
      <c r="EZP42" s="83"/>
      <c r="EZQ42" s="83"/>
      <c r="EZR42" s="83"/>
      <c r="EZS42" s="83"/>
      <c r="EZT42" s="83"/>
      <c r="EZU42" s="83"/>
      <c r="EZV42" s="83"/>
      <c r="EZW42" s="83"/>
      <c r="EZX42" s="83"/>
      <c r="EZY42" s="83"/>
      <c r="EZZ42" s="83"/>
      <c r="FAA42" s="83"/>
      <c r="FAB42" s="83"/>
      <c r="FAC42" s="83"/>
      <c r="FAD42" s="83"/>
      <c r="FAE42" s="83"/>
      <c r="FAF42" s="83"/>
      <c r="FAG42" s="83"/>
      <c r="FAH42" s="83"/>
      <c r="FAI42" s="83"/>
      <c r="FAJ42" s="83"/>
      <c r="FAK42" s="83"/>
      <c r="FAL42" s="83"/>
      <c r="FAM42" s="83"/>
      <c r="FAN42" s="83"/>
      <c r="FAO42" s="83"/>
      <c r="FAP42" s="83"/>
      <c r="FAQ42" s="83"/>
      <c r="FAR42" s="83"/>
      <c r="FAS42" s="83"/>
      <c r="FAT42" s="83"/>
      <c r="FAU42" s="83"/>
      <c r="FAV42" s="83"/>
      <c r="FAW42" s="83"/>
      <c r="FAX42" s="83"/>
      <c r="FAY42" s="83"/>
      <c r="FAZ42" s="83"/>
      <c r="FBA42" s="83"/>
      <c r="FBB42" s="83"/>
      <c r="FBC42" s="83"/>
      <c r="FBD42" s="83"/>
      <c r="FBE42" s="83"/>
      <c r="FBF42" s="83"/>
      <c r="FBG42" s="83"/>
      <c r="FBH42" s="83"/>
      <c r="FBI42" s="83"/>
      <c r="FBJ42" s="83"/>
      <c r="FBK42" s="83"/>
      <c r="FBL42" s="83"/>
      <c r="FBM42" s="83"/>
      <c r="FBN42" s="83"/>
      <c r="FBO42" s="83"/>
      <c r="FBP42" s="83"/>
      <c r="FBQ42" s="83"/>
      <c r="FBR42" s="83"/>
      <c r="FBS42" s="83"/>
      <c r="FBT42" s="83"/>
      <c r="FBU42" s="83"/>
      <c r="FBV42" s="83"/>
      <c r="FBW42" s="83"/>
      <c r="FBX42" s="83"/>
      <c r="FBY42" s="83"/>
      <c r="FBZ42" s="83"/>
      <c r="FCA42" s="83"/>
      <c r="FCB42" s="83"/>
      <c r="FCC42" s="83"/>
      <c r="FCD42" s="83"/>
      <c r="FCE42" s="83"/>
      <c r="FCF42" s="83"/>
      <c r="FCG42" s="83"/>
      <c r="FCH42" s="83"/>
      <c r="FCI42" s="83"/>
      <c r="FCJ42" s="83"/>
      <c r="FCK42" s="83"/>
      <c r="FCL42" s="83"/>
      <c r="FCM42" s="83"/>
      <c r="FCN42" s="83"/>
      <c r="FCO42" s="83"/>
      <c r="FCP42" s="83"/>
      <c r="FCQ42" s="83"/>
      <c r="FCR42" s="83"/>
      <c r="FCS42" s="83"/>
      <c r="FCT42" s="83"/>
      <c r="FCU42" s="83"/>
      <c r="FCV42" s="83"/>
      <c r="FCW42" s="83"/>
      <c r="FCX42" s="83"/>
      <c r="FCY42" s="83"/>
      <c r="FCZ42" s="83"/>
      <c r="FDA42" s="83"/>
      <c r="FDB42" s="83"/>
      <c r="FDC42" s="83"/>
      <c r="FDD42" s="83"/>
      <c r="FDE42" s="83"/>
      <c r="FDF42" s="83"/>
      <c r="FDG42" s="83"/>
      <c r="FDH42" s="83"/>
      <c r="FDI42" s="83"/>
      <c r="FDJ42" s="83"/>
      <c r="FDK42" s="83"/>
      <c r="FDL42" s="83"/>
      <c r="FDM42" s="83"/>
      <c r="FDN42" s="83"/>
      <c r="FDO42" s="83"/>
      <c r="FDP42" s="83"/>
      <c r="FDQ42" s="83"/>
      <c r="FDR42" s="83"/>
      <c r="FDS42" s="83"/>
      <c r="FDT42" s="83"/>
      <c r="FDU42" s="83"/>
      <c r="FDV42" s="83"/>
      <c r="FDW42" s="83"/>
      <c r="FDX42" s="83"/>
      <c r="FDY42" s="83"/>
      <c r="FDZ42" s="83"/>
      <c r="FEA42" s="83"/>
      <c r="FEB42" s="83"/>
      <c r="FEC42" s="83"/>
      <c r="FED42" s="83"/>
      <c r="FEE42" s="83"/>
      <c r="FEF42" s="83"/>
      <c r="FEG42" s="83"/>
      <c r="FEH42" s="83"/>
      <c r="FEI42" s="83"/>
      <c r="FEJ42" s="83"/>
      <c r="FEK42" s="83"/>
      <c r="FEL42" s="83"/>
      <c r="FEM42" s="83"/>
      <c r="FEN42" s="83"/>
      <c r="FEO42" s="83"/>
      <c r="FEP42" s="83"/>
      <c r="FEQ42" s="83"/>
      <c r="FER42" s="83"/>
      <c r="FES42" s="83"/>
      <c r="FET42" s="83"/>
      <c r="FEU42" s="83"/>
      <c r="FEV42" s="83"/>
      <c r="FEW42" s="83"/>
      <c r="FEX42" s="83"/>
      <c r="FEY42" s="83"/>
      <c r="FEZ42" s="83"/>
      <c r="FFA42" s="83"/>
      <c r="FFB42" s="83"/>
      <c r="FFC42" s="83"/>
      <c r="FFD42" s="83"/>
      <c r="FFE42" s="83"/>
      <c r="FFF42" s="83"/>
      <c r="FFG42" s="83"/>
      <c r="FFH42" s="83"/>
      <c r="FFI42" s="83"/>
      <c r="FFJ42" s="83"/>
      <c r="FFK42" s="83"/>
      <c r="FFL42" s="83"/>
      <c r="FFM42" s="83"/>
      <c r="FFN42" s="83"/>
      <c r="FFO42" s="83"/>
      <c r="FFP42" s="83"/>
      <c r="FFQ42" s="83"/>
      <c r="FFR42" s="83"/>
      <c r="FFS42" s="83"/>
      <c r="FFT42" s="83"/>
      <c r="FFU42" s="83"/>
      <c r="FFV42" s="83"/>
      <c r="FFW42" s="83"/>
      <c r="FFX42" s="83"/>
      <c r="FFY42" s="83"/>
      <c r="FFZ42" s="83"/>
      <c r="FGA42" s="83"/>
      <c r="FGB42" s="83"/>
      <c r="FGC42" s="83"/>
      <c r="FGD42" s="83"/>
      <c r="FGE42" s="83"/>
      <c r="FGF42" s="83"/>
      <c r="FGG42" s="83"/>
      <c r="FGH42" s="83"/>
      <c r="FGI42" s="83"/>
      <c r="FGJ42" s="83"/>
      <c r="FGK42" s="83"/>
      <c r="FGL42" s="83"/>
      <c r="FGM42" s="83"/>
      <c r="FGN42" s="83"/>
      <c r="FGO42" s="83"/>
      <c r="FGP42" s="83"/>
      <c r="FGQ42" s="83"/>
      <c r="FGR42" s="83"/>
      <c r="FGS42" s="83"/>
      <c r="FGT42" s="83"/>
      <c r="FGU42" s="83"/>
      <c r="FGV42" s="83"/>
      <c r="FGW42" s="83"/>
      <c r="FGX42" s="83"/>
      <c r="FGY42" s="83"/>
      <c r="FGZ42" s="83"/>
      <c r="FHA42" s="83"/>
      <c r="FHB42" s="83"/>
      <c r="FHC42" s="83"/>
      <c r="FHD42" s="83"/>
      <c r="FHE42" s="83"/>
      <c r="FHF42" s="83"/>
      <c r="FHG42" s="83"/>
      <c r="FHH42" s="83"/>
      <c r="FHI42" s="83"/>
      <c r="FHJ42" s="83"/>
      <c r="FHK42" s="83"/>
      <c r="FHL42" s="83"/>
      <c r="FHM42" s="83"/>
      <c r="FHN42" s="83"/>
      <c r="FHO42" s="83"/>
      <c r="FHP42" s="83"/>
      <c r="FHQ42" s="83"/>
      <c r="FHR42" s="83"/>
      <c r="FHS42" s="83"/>
      <c r="FHT42" s="83"/>
      <c r="FHU42" s="83"/>
      <c r="FHV42" s="83"/>
      <c r="FHW42" s="83"/>
      <c r="FHX42" s="83"/>
      <c r="FHY42" s="83"/>
      <c r="FHZ42" s="83"/>
      <c r="FIA42" s="83"/>
      <c r="FIB42" s="83"/>
      <c r="FIC42" s="83"/>
      <c r="FID42" s="83"/>
      <c r="FIE42" s="83"/>
      <c r="FIF42" s="83"/>
      <c r="FIG42" s="83"/>
      <c r="FIH42" s="83"/>
      <c r="FII42" s="83"/>
      <c r="FIJ42" s="83"/>
      <c r="FIK42" s="83"/>
      <c r="FIL42" s="83"/>
      <c r="FIM42" s="83"/>
      <c r="FIN42" s="83"/>
      <c r="FIO42" s="83"/>
      <c r="FIP42" s="83"/>
      <c r="FIQ42" s="83"/>
      <c r="FIR42" s="83"/>
      <c r="FIS42" s="83"/>
      <c r="FIT42" s="83"/>
      <c r="FIU42" s="83"/>
      <c r="FIV42" s="83"/>
      <c r="FIW42" s="83"/>
      <c r="FIX42" s="83"/>
      <c r="FIY42" s="83"/>
      <c r="FIZ42" s="83"/>
      <c r="FJA42" s="83"/>
      <c r="FJB42" s="83"/>
      <c r="FJC42" s="83"/>
      <c r="FJD42" s="83"/>
      <c r="FJE42" s="83"/>
      <c r="FJF42" s="83"/>
      <c r="FJG42" s="83"/>
      <c r="FJH42" s="83"/>
      <c r="FJI42" s="83"/>
      <c r="FJJ42" s="83"/>
      <c r="FJK42" s="83"/>
      <c r="FJL42" s="83"/>
      <c r="FJM42" s="83"/>
      <c r="FJN42" s="83"/>
      <c r="FJO42" s="83"/>
      <c r="FJP42" s="83"/>
      <c r="FJQ42" s="83"/>
      <c r="FJR42" s="83"/>
      <c r="FJS42" s="83"/>
      <c r="FJT42" s="83"/>
      <c r="FJU42" s="83"/>
      <c r="FJV42" s="83"/>
      <c r="FJW42" s="83"/>
      <c r="FJX42" s="83"/>
      <c r="FJY42" s="83"/>
      <c r="FJZ42" s="83"/>
      <c r="FKA42" s="83"/>
      <c r="FKB42" s="83"/>
      <c r="FKC42" s="83"/>
      <c r="FKD42" s="83"/>
      <c r="FKE42" s="83"/>
      <c r="FKF42" s="83"/>
      <c r="FKG42" s="83"/>
      <c r="FKH42" s="83"/>
      <c r="FKI42" s="83"/>
      <c r="FKJ42" s="83"/>
      <c r="FKK42" s="83"/>
      <c r="FKL42" s="83"/>
      <c r="FKM42" s="83"/>
      <c r="FKN42" s="83"/>
      <c r="FKO42" s="83"/>
      <c r="FKP42" s="83"/>
      <c r="FKQ42" s="83"/>
      <c r="FKR42" s="83"/>
      <c r="FKS42" s="83"/>
      <c r="FKT42" s="83"/>
      <c r="FKU42" s="83"/>
      <c r="FKV42" s="83"/>
      <c r="FKW42" s="83"/>
      <c r="FKX42" s="83"/>
      <c r="FKY42" s="83"/>
      <c r="FKZ42" s="83"/>
      <c r="FLA42" s="83"/>
      <c r="FLB42" s="83"/>
      <c r="FLC42" s="83"/>
      <c r="FLD42" s="83"/>
      <c r="FLE42" s="83"/>
      <c r="FLF42" s="83"/>
      <c r="FLG42" s="83"/>
      <c r="FLH42" s="83"/>
      <c r="FLI42" s="83"/>
      <c r="FLJ42" s="83"/>
      <c r="FLK42" s="83"/>
      <c r="FLL42" s="83"/>
      <c r="FLM42" s="83"/>
      <c r="FLN42" s="83"/>
      <c r="FLO42" s="83"/>
      <c r="FLP42" s="83"/>
      <c r="FLQ42" s="83"/>
      <c r="FLR42" s="83"/>
      <c r="FLS42" s="83"/>
      <c r="FLT42" s="83"/>
      <c r="FLU42" s="83"/>
      <c r="FLV42" s="83"/>
      <c r="FLW42" s="83"/>
      <c r="FLX42" s="83"/>
      <c r="FLY42" s="83"/>
      <c r="FLZ42" s="83"/>
      <c r="FMA42" s="83"/>
      <c r="FMB42" s="83"/>
      <c r="FMC42" s="83"/>
      <c r="FMD42" s="83"/>
      <c r="FME42" s="83"/>
      <c r="FMF42" s="83"/>
      <c r="FMG42" s="83"/>
      <c r="FMH42" s="83"/>
      <c r="FMI42" s="83"/>
      <c r="FMJ42" s="83"/>
      <c r="FMK42" s="83"/>
      <c r="FML42" s="83"/>
      <c r="FMM42" s="83"/>
      <c r="FMN42" s="83"/>
      <c r="FMO42" s="83"/>
      <c r="FMP42" s="83"/>
      <c r="FMQ42" s="83"/>
      <c r="FMR42" s="83"/>
      <c r="FMS42" s="83"/>
      <c r="FMT42" s="83"/>
      <c r="FMU42" s="83"/>
      <c r="FMV42" s="83"/>
      <c r="FMW42" s="83"/>
      <c r="FMX42" s="83"/>
      <c r="FMY42" s="83"/>
      <c r="FMZ42" s="83"/>
      <c r="FNA42" s="83"/>
      <c r="FNB42" s="83"/>
      <c r="FNC42" s="83"/>
      <c r="FND42" s="83"/>
      <c r="FNE42" s="83"/>
      <c r="FNF42" s="83"/>
      <c r="FNG42" s="83"/>
      <c r="FNH42" s="83"/>
      <c r="FNI42" s="83"/>
      <c r="FNJ42" s="83"/>
      <c r="FNK42" s="83"/>
      <c r="FNL42" s="83"/>
      <c r="FNM42" s="83"/>
      <c r="FNN42" s="83"/>
      <c r="FNO42" s="83"/>
      <c r="FNP42" s="83"/>
      <c r="FNQ42" s="83"/>
      <c r="FNR42" s="83"/>
      <c r="FNS42" s="83"/>
      <c r="FNT42" s="83"/>
      <c r="FNU42" s="83"/>
      <c r="FNV42" s="83"/>
      <c r="FNW42" s="83"/>
      <c r="FNX42" s="83"/>
      <c r="FNY42" s="83"/>
      <c r="FNZ42" s="83"/>
      <c r="FOA42" s="83"/>
      <c r="FOB42" s="83"/>
      <c r="FOC42" s="83"/>
      <c r="FOD42" s="83"/>
      <c r="FOE42" s="83"/>
      <c r="FOF42" s="83"/>
      <c r="FOG42" s="83"/>
      <c r="FOH42" s="83"/>
      <c r="FOI42" s="83"/>
      <c r="FOJ42" s="83"/>
      <c r="FOK42" s="83"/>
      <c r="FOL42" s="83"/>
      <c r="FOM42" s="83"/>
      <c r="FON42" s="83"/>
      <c r="FOO42" s="83"/>
      <c r="FOP42" s="83"/>
      <c r="FOQ42" s="83"/>
      <c r="FOR42" s="83"/>
      <c r="FOS42" s="83"/>
      <c r="FOT42" s="83"/>
      <c r="FOU42" s="83"/>
      <c r="FOV42" s="83"/>
      <c r="FOW42" s="83"/>
      <c r="FOX42" s="83"/>
      <c r="FOY42" s="83"/>
      <c r="FOZ42" s="83"/>
      <c r="FPA42" s="83"/>
      <c r="FPB42" s="83"/>
      <c r="FPC42" s="83"/>
      <c r="FPD42" s="83"/>
      <c r="FPE42" s="83"/>
      <c r="FPF42" s="83"/>
      <c r="FPG42" s="83"/>
      <c r="FPH42" s="83"/>
      <c r="FPI42" s="83"/>
      <c r="FPJ42" s="83"/>
      <c r="FPK42" s="83"/>
      <c r="FPL42" s="83"/>
      <c r="FPM42" s="83"/>
      <c r="FPN42" s="83"/>
      <c r="FPO42" s="83"/>
      <c r="FPP42" s="83"/>
      <c r="FPQ42" s="83"/>
      <c r="FPR42" s="83"/>
      <c r="FPS42" s="83"/>
      <c r="FPT42" s="83"/>
      <c r="FPU42" s="83"/>
      <c r="FPV42" s="83"/>
      <c r="FPW42" s="83"/>
      <c r="FPX42" s="83"/>
      <c r="FPY42" s="83"/>
      <c r="FPZ42" s="83"/>
      <c r="FQA42" s="83"/>
      <c r="FQB42" s="83"/>
      <c r="FQC42" s="83"/>
      <c r="FQD42" s="83"/>
      <c r="FQE42" s="83"/>
      <c r="FQF42" s="83"/>
      <c r="FQG42" s="83"/>
      <c r="FQH42" s="83"/>
      <c r="FQI42" s="83"/>
      <c r="FQJ42" s="83"/>
      <c r="FQK42" s="83"/>
      <c r="FQL42" s="83"/>
      <c r="FQM42" s="83"/>
      <c r="FQN42" s="83"/>
      <c r="FQO42" s="83"/>
      <c r="FQP42" s="83"/>
      <c r="FQQ42" s="83"/>
      <c r="FQR42" s="83"/>
      <c r="FQS42" s="83"/>
      <c r="FQT42" s="83"/>
      <c r="FQU42" s="83"/>
      <c r="FQV42" s="83"/>
      <c r="FQW42" s="83"/>
      <c r="FQX42" s="83"/>
      <c r="FQY42" s="83"/>
      <c r="FQZ42" s="83"/>
      <c r="FRA42" s="83"/>
      <c r="FRB42" s="83"/>
      <c r="FRC42" s="83"/>
      <c r="FRD42" s="83"/>
      <c r="FRE42" s="83"/>
      <c r="FRF42" s="83"/>
      <c r="FRG42" s="83"/>
      <c r="FRH42" s="83"/>
      <c r="FRI42" s="83"/>
      <c r="FRJ42" s="83"/>
      <c r="FRK42" s="83"/>
      <c r="FRL42" s="83"/>
      <c r="FRM42" s="83"/>
      <c r="FRN42" s="83"/>
      <c r="FRO42" s="83"/>
      <c r="FRP42" s="83"/>
      <c r="FRQ42" s="83"/>
      <c r="FRR42" s="83"/>
      <c r="FRS42" s="83"/>
      <c r="FRT42" s="83"/>
      <c r="FRU42" s="83"/>
      <c r="FRV42" s="83"/>
      <c r="FRW42" s="83"/>
      <c r="FRX42" s="83"/>
      <c r="FRY42" s="83"/>
      <c r="FRZ42" s="83"/>
      <c r="FSA42" s="83"/>
      <c r="FSB42" s="83"/>
      <c r="FSC42" s="83"/>
      <c r="FSD42" s="83"/>
      <c r="FSE42" s="83"/>
      <c r="FSF42" s="83"/>
      <c r="FSG42" s="83"/>
      <c r="FSH42" s="83"/>
      <c r="FSI42" s="83"/>
      <c r="FSJ42" s="83"/>
      <c r="FSK42" s="83"/>
      <c r="FSL42" s="83"/>
      <c r="FSM42" s="83"/>
      <c r="FSN42" s="83"/>
      <c r="FSO42" s="83"/>
      <c r="FSP42" s="83"/>
      <c r="FSQ42" s="83"/>
      <c r="FSR42" s="83"/>
      <c r="FSS42" s="83"/>
      <c r="FST42" s="83"/>
      <c r="FSU42" s="83"/>
      <c r="FSV42" s="83"/>
      <c r="FSW42" s="83"/>
      <c r="FSX42" s="83"/>
      <c r="FSY42" s="83"/>
      <c r="FSZ42" s="83"/>
      <c r="FTA42" s="83"/>
      <c r="FTB42" s="83"/>
      <c r="FTC42" s="83"/>
      <c r="FTD42" s="83"/>
      <c r="FTE42" s="83"/>
      <c r="FTF42" s="83"/>
      <c r="FTG42" s="83"/>
      <c r="FTH42" s="83"/>
      <c r="FTI42" s="83"/>
      <c r="FTJ42" s="83"/>
      <c r="FTK42" s="83"/>
      <c r="FTL42" s="83"/>
      <c r="FTM42" s="83"/>
      <c r="FTN42" s="83"/>
      <c r="FTO42" s="83"/>
      <c r="FTP42" s="83"/>
      <c r="FTQ42" s="83"/>
      <c r="FTR42" s="83"/>
      <c r="FTS42" s="83"/>
      <c r="FTT42" s="83"/>
      <c r="FTU42" s="83"/>
      <c r="FTV42" s="83"/>
      <c r="FTW42" s="83"/>
      <c r="FTX42" s="83"/>
      <c r="FTY42" s="83"/>
      <c r="FTZ42" s="83"/>
      <c r="FUA42" s="83"/>
      <c r="FUB42" s="83"/>
      <c r="FUC42" s="83"/>
      <c r="FUD42" s="83"/>
      <c r="FUE42" s="83"/>
      <c r="FUF42" s="83"/>
      <c r="FUG42" s="83"/>
      <c r="FUH42" s="83"/>
      <c r="FUI42" s="83"/>
      <c r="FUJ42" s="83"/>
      <c r="FUK42" s="83"/>
      <c r="FUL42" s="83"/>
      <c r="FUM42" s="83"/>
      <c r="FUN42" s="83"/>
      <c r="FUO42" s="83"/>
      <c r="FUP42" s="83"/>
      <c r="FUQ42" s="83"/>
      <c r="FUR42" s="83"/>
      <c r="FUS42" s="83"/>
      <c r="FUT42" s="83"/>
      <c r="FUU42" s="83"/>
      <c r="FUV42" s="83"/>
      <c r="FUW42" s="83"/>
      <c r="FUX42" s="83"/>
      <c r="FUY42" s="83"/>
      <c r="FUZ42" s="83"/>
      <c r="FVA42" s="83"/>
      <c r="FVB42" s="83"/>
      <c r="FVC42" s="83"/>
      <c r="FVD42" s="83"/>
      <c r="FVE42" s="83"/>
      <c r="FVF42" s="83"/>
      <c r="FVG42" s="83"/>
      <c r="FVH42" s="83"/>
      <c r="FVI42" s="83"/>
      <c r="FVJ42" s="83"/>
      <c r="FVK42" s="83"/>
      <c r="FVL42" s="83"/>
      <c r="FVM42" s="83"/>
      <c r="FVN42" s="83"/>
      <c r="FVO42" s="83"/>
      <c r="FVP42" s="83"/>
      <c r="FVQ42" s="83"/>
      <c r="FVR42" s="83"/>
      <c r="FVS42" s="83"/>
      <c r="FVT42" s="83"/>
      <c r="FVU42" s="83"/>
      <c r="FVV42" s="83"/>
      <c r="FVW42" s="83"/>
      <c r="FVX42" s="83"/>
      <c r="FVY42" s="83"/>
      <c r="FVZ42" s="83"/>
      <c r="FWA42" s="83"/>
      <c r="FWB42" s="83"/>
      <c r="FWC42" s="83"/>
      <c r="FWD42" s="83"/>
      <c r="FWE42" s="83"/>
      <c r="FWF42" s="83"/>
      <c r="FWG42" s="83"/>
      <c r="FWH42" s="83"/>
      <c r="FWI42" s="83"/>
      <c r="FWJ42" s="83"/>
      <c r="FWK42" s="83"/>
      <c r="FWL42" s="83"/>
      <c r="FWM42" s="83"/>
      <c r="FWN42" s="83"/>
      <c r="FWO42" s="83"/>
      <c r="FWP42" s="83"/>
      <c r="FWQ42" s="83"/>
      <c r="FWR42" s="83"/>
      <c r="FWS42" s="83"/>
      <c r="FWT42" s="83"/>
      <c r="FWU42" s="83"/>
      <c r="FWV42" s="83"/>
      <c r="FWW42" s="83"/>
      <c r="FWX42" s="83"/>
      <c r="FWY42" s="83"/>
      <c r="FWZ42" s="83"/>
      <c r="FXA42" s="83"/>
      <c r="FXB42" s="83"/>
      <c r="FXC42" s="83"/>
      <c r="FXD42" s="83"/>
      <c r="FXE42" s="83"/>
      <c r="FXF42" s="83"/>
      <c r="FXG42" s="83"/>
      <c r="FXH42" s="83"/>
      <c r="FXI42" s="83"/>
      <c r="FXJ42" s="83"/>
      <c r="FXK42" s="83"/>
      <c r="FXL42" s="83"/>
      <c r="FXM42" s="83"/>
      <c r="FXN42" s="83"/>
      <c r="FXO42" s="83"/>
      <c r="FXP42" s="83"/>
      <c r="FXQ42" s="83"/>
      <c r="FXR42" s="83"/>
      <c r="FXS42" s="83"/>
      <c r="FXT42" s="83"/>
      <c r="FXU42" s="83"/>
      <c r="FXV42" s="83"/>
      <c r="FXW42" s="83"/>
      <c r="FXX42" s="83"/>
      <c r="FXY42" s="83"/>
      <c r="FXZ42" s="83"/>
      <c r="FYA42" s="83"/>
      <c r="FYB42" s="83"/>
      <c r="FYC42" s="83"/>
      <c r="FYD42" s="83"/>
      <c r="FYE42" s="83"/>
      <c r="FYF42" s="83"/>
      <c r="FYG42" s="83"/>
      <c r="FYH42" s="83"/>
      <c r="FYI42" s="83"/>
      <c r="FYJ42" s="83"/>
      <c r="FYK42" s="83"/>
      <c r="FYL42" s="83"/>
      <c r="FYM42" s="83"/>
      <c r="FYN42" s="83"/>
      <c r="FYO42" s="83"/>
      <c r="FYP42" s="83"/>
      <c r="FYQ42" s="83"/>
      <c r="FYR42" s="83"/>
      <c r="FYS42" s="83"/>
      <c r="FYT42" s="83"/>
      <c r="FYU42" s="83"/>
      <c r="FYV42" s="83"/>
      <c r="FYW42" s="83"/>
      <c r="FYX42" s="83"/>
      <c r="FYY42" s="83"/>
      <c r="FYZ42" s="83"/>
      <c r="FZA42" s="83"/>
      <c r="FZB42" s="83"/>
      <c r="FZC42" s="83"/>
      <c r="FZD42" s="83"/>
      <c r="FZE42" s="83"/>
      <c r="FZF42" s="83"/>
      <c r="FZG42" s="83"/>
      <c r="FZH42" s="83"/>
      <c r="FZI42" s="83"/>
      <c r="FZJ42" s="83"/>
      <c r="FZK42" s="83"/>
      <c r="FZL42" s="83"/>
      <c r="FZM42" s="83"/>
      <c r="FZN42" s="83"/>
      <c r="FZO42" s="83"/>
      <c r="FZP42" s="83"/>
      <c r="FZQ42" s="83"/>
      <c r="FZR42" s="83"/>
      <c r="FZS42" s="83"/>
      <c r="FZT42" s="83"/>
      <c r="FZU42" s="83"/>
      <c r="FZV42" s="83"/>
      <c r="FZW42" s="83"/>
      <c r="FZX42" s="83"/>
      <c r="FZY42" s="83"/>
      <c r="FZZ42" s="83"/>
      <c r="GAA42" s="83"/>
      <c r="GAB42" s="83"/>
      <c r="GAC42" s="83"/>
      <c r="GAD42" s="83"/>
      <c r="GAE42" s="83"/>
      <c r="GAF42" s="83"/>
      <c r="GAG42" s="83"/>
      <c r="GAH42" s="83"/>
      <c r="GAI42" s="83"/>
      <c r="GAJ42" s="83"/>
      <c r="GAK42" s="83"/>
      <c r="GAL42" s="83"/>
      <c r="GAM42" s="83"/>
      <c r="GAN42" s="83"/>
      <c r="GAO42" s="83"/>
      <c r="GAP42" s="83"/>
      <c r="GAQ42" s="83"/>
      <c r="GAR42" s="83"/>
      <c r="GAS42" s="83"/>
      <c r="GAT42" s="83"/>
      <c r="GAU42" s="83"/>
      <c r="GAV42" s="83"/>
      <c r="GAW42" s="83"/>
      <c r="GAX42" s="83"/>
      <c r="GAY42" s="83"/>
      <c r="GAZ42" s="83"/>
      <c r="GBA42" s="83"/>
      <c r="GBB42" s="83"/>
      <c r="GBC42" s="83"/>
      <c r="GBD42" s="83"/>
      <c r="GBE42" s="83"/>
      <c r="GBF42" s="83"/>
      <c r="GBG42" s="83"/>
      <c r="GBH42" s="83"/>
      <c r="GBI42" s="83"/>
      <c r="GBJ42" s="83"/>
      <c r="GBK42" s="83"/>
      <c r="GBL42" s="83"/>
      <c r="GBM42" s="83"/>
      <c r="GBN42" s="83"/>
      <c r="GBO42" s="83"/>
      <c r="GBP42" s="83"/>
      <c r="GBQ42" s="83"/>
      <c r="GBR42" s="83"/>
      <c r="GBS42" s="83"/>
      <c r="GBT42" s="83"/>
      <c r="GBU42" s="83"/>
      <c r="GBV42" s="83"/>
      <c r="GBW42" s="83"/>
      <c r="GBX42" s="83"/>
      <c r="GBY42" s="83"/>
      <c r="GBZ42" s="83"/>
      <c r="GCA42" s="83"/>
      <c r="GCB42" s="83"/>
      <c r="GCC42" s="83"/>
      <c r="GCD42" s="83"/>
      <c r="GCE42" s="83"/>
      <c r="GCF42" s="83"/>
      <c r="GCG42" s="83"/>
      <c r="GCH42" s="83"/>
      <c r="GCI42" s="83"/>
      <c r="GCJ42" s="83"/>
      <c r="GCK42" s="83"/>
      <c r="GCL42" s="83"/>
      <c r="GCM42" s="83"/>
      <c r="GCN42" s="83"/>
      <c r="GCO42" s="83"/>
      <c r="GCP42" s="83"/>
      <c r="GCQ42" s="83"/>
      <c r="GCR42" s="83"/>
      <c r="GCS42" s="83"/>
      <c r="GCT42" s="83"/>
      <c r="GCU42" s="83"/>
      <c r="GCV42" s="83"/>
      <c r="GCW42" s="83"/>
      <c r="GCX42" s="83"/>
      <c r="GCY42" s="83"/>
      <c r="GCZ42" s="83"/>
      <c r="GDA42" s="83"/>
      <c r="GDB42" s="83"/>
      <c r="GDC42" s="83"/>
      <c r="GDD42" s="83"/>
      <c r="GDE42" s="83"/>
      <c r="GDF42" s="83"/>
      <c r="GDG42" s="83"/>
      <c r="GDH42" s="83"/>
      <c r="GDI42" s="83"/>
      <c r="GDJ42" s="83"/>
      <c r="GDK42" s="83"/>
      <c r="GDL42" s="83"/>
      <c r="GDM42" s="83"/>
      <c r="GDN42" s="83"/>
      <c r="GDO42" s="83"/>
      <c r="GDP42" s="83"/>
      <c r="GDQ42" s="83"/>
      <c r="GDR42" s="83"/>
      <c r="GDS42" s="83"/>
      <c r="GDT42" s="83"/>
      <c r="GDU42" s="83"/>
      <c r="GDV42" s="83"/>
      <c r="GDW42" s="83"/>
      <c r="GDX42" s="83"/>
      <c r="GDY42" s="83"/>
      <c r="GDZ42" s="83"/>
      <c r="GEA42" s="83"/>
      <c r="GEB42" s="83"/>
      <c r="GEC42" s="83"/>
      <c r="GED42" s="83"/>
      <c r="GEE42" s="83"/>
      <c r="GEF42" s="83"/>
      <c r="GEG42" s="83"/>
      <c r="GEH42" s="83"/>
      <c r="GEI42" s="83"/>
      <c r="GEJ42" s="83"/>
      <c r="GEK42" s="83"/>
      <c r="GEL42" s="83"/>
      <c r="GEM42" s="83"/>
      <c r="GEN42" s="83"/>
      <c r="GEO42" s="83"/>
      <c r="GEP42" s="83"/>
      <c r="GEQ42" s="83"/>
      <c r="GER42" s="83"/>
      <c r="GES42" s="83"/>
      <c r="GET42" s="83"/>
      <c r="GEU42" s="83"/>
      <c r="GEV42" s="83"/>
      <c r="GEW42" s="83"/>
      <c r="GEX42" s="83"/>
      <c r="GEY42" s="83"/>
      <c r="GEZ42" s="83"/>
      <c r="GFA42" s="83"/>
      <c r="GFB42" s="83"/>
      <c r="GFC42" s="83"/>
      <c r="GFD42" s="83"/>
      <c r="GFE42" s="83"/>
      <c r="GFF42" s="83"/>
      <c r="GFG42" s="83"/>
      <c r="GFH42" s="83"/>
      <c r="GFI42" s="83"/>
      <c r="GFJ42" s="83"/>
      <c r="GFK42" s="83"/>
      <c r="GFL42" s="83"/>
      <c r="GFM42" s="83"/>
      <c r="GFN42" s="83"/>
      <c r="GFO42" s="83"/>
      <c r="GFP42" s="83"/>
      <c r="GFQ42" s="83"/>
      <c r="GFR42" s="83"/>
      <c r="GFS42" s="83"/>
      <c r="GFT42" s="83"/>
      <c r="GFU42" s="83"/>
      <c r="GFV42" s="83"/>
      <c r="GFW42" s="83"/>
      <c r="GFX42" s="83"/>
      <c r="GFY42" s="83"/>
      <c r="GFZ42" s="83"/>
      <c r="GGA42" s="83"/>
      <c r="GGB42" s="83"/>
      <c r="GGC42" s="83"/>
      <c r="GGD42" s="83"/>
      <c r="GGE42" s="83"/>
      <c r="GGF42" s="83"/>
      <c r="GGG42" s="83"/>
      <c r="GGH42" s="83"/>
      <c r="GGI42" s="83"/>
      <c r="GGJ42" s="83"/>
      <c r="GGK42" s="83"/>
      <c r="GGL42" s="83"/>
      <c r="GGM42" s="83"/>
      <c r="GGN42" s="83"/>
      <c r="GGO42" s="83"/>
      <c r="GGP42" s="83"/>
      <c r="GGQ42" s="83"/>
      <c r="GGR42" s="83"/>
      <c r="GGS42" s="83"/>
      <c r="GGT42" s="83"/>
      <c r="GGU42" s="83"/>
      <c r="GGV42" s="83"/>
      <c r="GGW42" s="83"/>
      <c r="GGX42" s="83"/>
      <c r="GGY42" s="83"/>
      <c r="GGZ42" s="83"/>
      <c r="GHA42" s="83"/>
      <c r="GHB42" s="83"/>
      <c r="GHC42" s="83"/>
      <c r="GHD42" s="83"/>
      <c r="GHE42" s="83"/>
      <c r="GHF42" s="83"/>
      <c r="GHG42" s="83"/>
      <c r="GHH42" s="83"/>
      <c r="GHI42" s="83"/>
      <c r="GHJ42" s="83"/>
      <c r="GHK42" s="83"/>
      <c r="GHL42" s="83"/>
      <c r="GHM42" s="83"/>
      <c r="GHN42" s="83"/>
      <c r="GHO42" s="83"/>
      <c r="GHP42" s="83"/>
      <c r="GHQ42" s="83"/>
      <c r="GHR42" s="83"/>
      <c r="GHS42" s="83"/>
      <c r="GHT42" s="83"/>
      <c r="GHU42" s="83"/>
      <c r="GHV42" s="83"/>
      <c r="GHW42" s="83"/>
      <c r="GHX42" s="83"/>
      <c r="GHY42" s="83"/>
      <c r="GHZ42" s="83"/>
      <c r="GIA42" s="83"/>
      <c r="GIB42" s="83"/>
      <c r="GIC42" s="83"/>
      <c r="GID42" s="83"/>
      <c r="GIE42" s="83"/>
      <c r="GIF42" s="83"/>
      <c r="GIG42" s="83"/>
      <c r="GIH42" s="83"/>
      <c r="GII42" s="83"/>
      <c r="GIJ42" s="83"/>
      <c r="GIK42" s="83"/>
      <c r="GIL42" s="83"/>
      <c r="GIM42" s="83"/>
      <c r="GIN42" s="83"/>
      <c r="GIO42" s="83"/>
      <c r="GIP42" s="83"/>
      <c r="GIQ42" s="83"/>
      <c r="GIR42" s="83"/>
      <c r="GIS42" s="83"/>
      <c r="GIT42" s="83"/>
      <c r="GIU42" s="83"/>
      <c r="GIV42" s="83"/>
      <c r="GIW42" s="83"/>
      <c r="GIX42" s="83"/>
      <c r="GIY42" s="83"/>
      <c r="GIZ42" s="83"/>
      <c r="GJA42" s="83"/>
      <c r="GJB42" s="83"/>
      <c r="GJC42" s="83"/>
      <c r="GJD42" s="83"/>
      <c r="GJE42" s="83"/>
      <c r="GJF42" s="83"/>
      <c r="GJG42" s="83"/>
      <c r="GJH42" s="83"/>
      <c r="GJI42" s="83"/>
      <c r="GJJ42" s="83"/>
      <c r="GJK42" s="83"/>
      <c r="GJL42" s="83"/>
      <c r="GJM42" s="83"/>
      <c r="GJN42" s="83"/>
      <c r="GJO42" s="83"/>
      <c r="GJP42" s="83"/>
      <c r="GJQ42" s="83"/>
      <c r="GJR42" s="83"/>
      <c r="GJS42" s="83"/>
      <c r="GJT42" s="83"/>
      <c r="GJU42" s="83"/>
      <c r="GJV42" s="83"/>
      <c r="GJW42" s="83"/>
      <c r="GJX42" s="83"/>
      <c r="GJY42" s="83"/>
      <c r="GJZ42" s="83"/>
      <c r="GKA42" s="83"/>
      <c r="GKB42" s="83"/>
      <c r="GKC42" s="83"/>
      <c r="GKD42" s="83"/>
      <c r="GKE42" s="83"/>
      <c r="GKF42" s="83"/>
      <c r="GKG42" s="83"/>
      <c r="GKH42" s="83"/>
      <c r="GKI42" s="83"/>
      <c r="GKJ42" s="83"/>
      <c r="GKK42" s="83"/>
      <c r="GKL42" s="83"/>
      <c r="GKM42" s="83"/>
      <c r="GKN42" s="83"/>
      <c r="GKO42" s="83"/>
      <c r="GKP42" s="83"/>
      <c r="GKQ42" s="83"/>
      <c r="GKR42" s="83"/>
      <c r="GKS42" s="83"/>
      <c r="GKT42" s="83"/>
      <c r="GKU42" s="83"/>
      <c r="GKV42" s="83"/>
      <c r="GKW42" s="83"/>
      <c r="GKX42" s="83"/>
      <c r="GKY42" s="83"/>
      <c r="GKZ42" s="83"/>
      <c r="GLA42" s="83"/>
      <c r="GLB42" s="83"/>
      <c r="GLC42" s="83"/>
      <c r="GLD42" s="83"/>
      <c r="GLE42" s="83"/>
      <c r="GLF42" s="83"/>
      <c r="GLG42" s="83"/>
      <c r="GLH42" s="83"/>
      <c r="GLI42" s="83"/>
      <c r="GLJ42" s="83"/>
      <c r="GLK42" s="83"/>
      <c r="GLL42" s="83"/>
      <c r="GLM42" s="83"/>
      <c r="GLN42" s="83"/>
      <c r="GLO42" s="83"/>
      <c r="GLP42" s="83"/>
      <c r="GLQ42" s="83"/>
      <c r="GLR42" s="83"/>
      <c r="GLS42" s="83"/>
      <c r="GLT42" s="83"/>
      <c r="GLU42" s="83"/>
      <c r="GLV42" s="83"/>
      <c r="GLW42" s="83"/>
      <c r="GLX42" s="83"/>
      <c r="GLY42" s="83"/>
      <c r="GLZ42" s="83"/>
      <c r="GMA42" s="83"/>
      <c r="GMB42" s="83"/>
      <c r="GMC42" s="83"/>
      <c r="GMD42" s="83"/>
      <c r="GME42" s="83"/>
      <c r="GMF42" s="83"/>
      <c r="GMG42" s="83"/>
      <c r="GMH42" s="83"/>
      <c r="GMI42" s="83"/>
      <c r="GMJ42" s="83"/>
      <c r="GMK42" s="83"/>
      <c r="GML42" s="83"/>
      <c r="GMM42" s="83"/>
      <c r="GMN42" s="83"/>
      <c r="GMO42" s="83"/>
      <c r="GMP42" s="83"/>
      <c r="GMQ42" s="83"/>
      <c r="GMR42" s="83"/>
      <c r="GMS42" s="83"/>
      <c r="GMT42" s="83"/>
      <c r="GMU42" s="83"/>
      <c r="GMV42" s="83"/>
      <c r="GMW42" s="83"/>
      <c r="GMX42" s="83"/>
      <c r="GMY42" s="83"/>
      <c r="GMZ42" s="83"/>
      <c r="GNA42" s="83"/>
      <c r="GNB42" s="83"/>
      <c r="GNC42" s="83"/>
      <c r="GND42" s="83"/>
      <c r="GNE42" s="83"/>
      <c r="GNF42" s="83"/>
      <c r="GNG42" s="83"/>
      <c r="GNH42" s="83"/>
      <c r="GNI42" s="83"/>
      <c r="GNJ42" s="83"/>
      <c r="GNK42" s="83"/>
      <c r="GNL42" s="83"/>
      <c r="GNM42" s="83"/>
      <c r="GNN42" s="83"/>
      <c r="GNO42" s="83"/>
      <c r="GNP42" s="83"/>
      <c r="GNQ42" s="83"/>
      <c r="GNR42" s="83"/>
      <c r="GNS42" s="83"/>
      <c r="GNT42" s="83"/>
      <c r="GNU42" s="83"/>
      <c r="GNV42" s="83"/>
      <c r="GNW42" s="83"/>
      <c r="GNX42" s="83"/>
      <c r="GNY42" s="83"/>
      <c r="GNZ42" s="83"/>
      <c r="GOA42" s="83"/>
      <c r="GOB42" s="83"/>
      <c r="GOC42" s="83"/>
      <c r="GOD42" s="83"/>
      <c r="GOE42" s="83"/>
      <c r="GOF42" s="83"/>
      <c r="GOG42" s="83"/>
      <c r="GOH42" s="83"/>
      <c r="GOI42" s="83"/>
      <c r="GOJ42" s="83"/>
      <c r="GOK42" s="83"/>
      <c r="GOL42" s="83"/>
      <c r="GOM42" s="83"/>
      <c r="GON42" s="83"/>
      <c r="GOO42" s="83"/>
      <c r="GOP42" s="83"/>
      <c r="GOQ42" s="83"/>
      <c r="GOR42" s="83"/>
      <c r="GOS42" s="83"/>
      <c r="GOT42" s="83"/>
      <c r="GOU42" s="83"/>
      <c r="GOV42" s="83"/>
      <c r="GOW42" s="83"/>
      <c r="GOX42" s="83"/>
      <c r="GOY42" s="83"/>
      <c r="GOZ42" s="83"/>
      <c r="GPA42" s="83"/>
      <c r="GPB42" s="83"/>
      <c r="GPC42" s="83"/>
      <c r="GPD42" s="83"/>
      <c r="GPE42" s="83"/>
      <c r="GPF42" s="83"/>
      <c r="GPG42" s="83"/>
      <c r="GPH42" s="83"/>
      <c r="GPI42" s="83"/>
      <c r="GPJ42" s="83"/>
      <c r="GPK42" s="83"/>
      <c r="GPL42" s="83"/>
      <c r="GPM42" s="83"/>
      <c r="GPN42" s="83"/>
      <c r="GPO42" s="83"/>
      <c r="GPP42" s="83"/>
      <c r="GPQ42" s="83"/>
      <c r="GPR42" s="83"/>
      <c r="GPS42" s="83"/>
      <c r="GPT42" s="83"/>
      <c r="GPU42" s="83"/>
      <c r="GPV42" s="83"/>
      <c r="GPW42" s="83"/>
      <c r="GPX42" s="83"/>
      <c r="GPY42" s="83"/>
      <c r="GPZ42" s="83"/>
      <c r="GQA42" s="83"/>
      <c r="GQB42" s="83"/>
      <c r="GQC42" s="83"/>
      <c r="GQD42" s="83"/>
      <c r="GQE42" s="83"/>
      <c r="GQF42" s="83"/>
      <c r="GQG42" s="83"/>
      <c r="GQH42" s="83"/>
      <c r="GQI42" s="83"/>
      <c r="GQJ42" s="83"/>
      <c r="GQK42" s="83"/>
      <c r="GQL42" s="83"/>
      <c r="GQM42" s="83"/>
      <c r="GQN42" s="83"/>
      <c r="GQO42" s="83"/>
      <c r="GQP42" s="83"/>
      <c r="GQQ42" s="83"/>
      <c r="GQR42" s="83"/>
      <c r="GQS42" s="83"/>
      <c r="GQT42" s="83"/>
      <c r="GQU42" s="83"/>
      <c r="GQV42" s="83"/>
      <c r="GQW42" s="83"/>
      <c r="GQX42" s="83"/>
      <c r="GQY42" s="83"/>
      <c r="GQZ42" s="83"/>
      <c r="GRA42" s="83"/>
      <c r="GRB42" s="83"/>
      <c r="GRC42" s="83"/>
      <c r="GRD42" s="83"/>
      <c r="GRE42" s="83"/>
      <c r="GRF42" s="83"/>
      <c r="GRG42" s="83"/>
      <c r="GRH42" s="83"/>
      <c r="GRI42" s="83"/>
      <c r="GRJ42" s="83"/>
      <c r="GRK42" s="83"/>
      <c r="GRL42" s="83"/>
      <c r="GRM42" s="83"/>
      <c r="GRN42" s="83"/>
      <c r="GRO42" s="83"/>
      <c r="GRP42" s="83"/>
      <c r="GRQ42" s="83"/>
      <c r="GRR42" s="83"/>
      <c r="GRS42" s="83"/>
      <c r="GRT42" s="83"/>
      <c r="GRU42" s="83"/>
      <c r="GRV42" s="83"/>
      <c r="GRW42" s="83"/>
      <c r="GRX42" s="83"/>
      <c r="GRY42" s="83"/>
      <c r="GRZ42" s="83"/>
      <c r="GSA42" s="83"/>
      <c r="GSB42" s="83"/>
      <c r="GSC42" s="83"/>
      <c r="GSD42" s="83"/>
      <c r="GSE42" s="83"/>
      <c r="GSF42" s="83"/>
      <c r="GSG42" s="83"/>
      <c r="GSH42" s="83"/>
      <c r="GSI42" s="83"/>
      <c r="GSJ42" s="83"/>
      <c r="GSK42" s="83"/>
      <c r="GSL42" s="83"/>
      <c r="GSM42" s="83"/>
      <c r="GSN42" s="83"/>
      <c r="GSO42" s="83"/>
      <c r="GSP42" s="83"/>
      <c r="GSQ42" s="83"/>
      <c r="GSR42" s="83"/>
      <c r="GSS42" s="83"/>
      <c r="GST42" s="83"/>
      <c r="GSU42" s="83"/>
      <c r="GSV42" s="83"/>
      <c r="GSW42" s="83"/>
      <c r="GSX42" s="83"/>
      <c r="GSY42" s="83"/>
      <c r="GSZ42" s="83"/>
      <c r="GTA42" s="83"/>
      <c r="GTB42" s="83"/>
      <c r="GTC42" s="83"/>
      <c r="GTD42" s="83"/>
      <c r="GTE42" s="83"/>
      <c r="GTF42" s="83"/>
      <c r="GTG42" s="83"/>
      <c r="GTH42" s="83"/>
      <c r="GTI42" s="83"/>
      <c r="GTJ42" s="83"/>
      <c r="GTK42" s="83"/>
      <c r="GTL42" s="83"/>
      <c r="GTM42" s="83"/>
      <c r="GTN42" s="83"/>
      <c r="GTO42" s="83"/>
      <c r="GTP42" s="83"/>
      <c r="GTQ42" s="83"/>
      <c r="GTR42" s="83"/>
      <c r="GTS42" s="83"/>
      <c r="GTT42" s="83"/>
      <c r="GTU42" s="83"/>
      <c r="GTV42" s="83"/>
      <c r="GTW42" s="83"/>
      <c r="GTX42" s="83"/>
      <c r="GTY42" s="83"/>
      <c r="GTZ42" s="83"/>
      <c r="GUA42" s="83"/>
      <c r="GUB42" s="83"/>
      <c r="GUC42" s="83"/>
      <c r="GUD42" s="83"/>
      <c r="GUE42" s="83"/>
      <c r="GUF42" s="83"/>
      <c r="GUG42" s="83"/>
      <c r="GUH42" s="83"/>
      <c r="GUI42" s="83"/>
      <c r="GUJ42" s="83"/>
      <c r="GUK42" s="83"/>
      <c r="GUL42" s="83"/>
      <c r="GUM42" s="83"/>
      <c r="GUN42" s="83"/>
      <c r="GUO42" s="83"/>
      <c r="GUP42" s="83"/>
      <c r="GUQ42" s="83"/>
      <c r="GUR42" s="83"/>
      <c r="GUS42" s="83"/>
      <c r="GUT42" s="83"/>
      <c r="GUU42" s="83"/>
      <c r="GUV42" s="83"/>
      <c r="GUW42" s="83"/>
      <c r="GUX42" s="83"/>
      <c r="GUY42" s="83"/>
      <c r="GUZ42" s="83"/>
      <c r="GVA42" s="83"/>
      <c r="GVB42" s="83"/>
      <c r="GVC42" s="83"/>
      <c r="GVD42" s="83"/>
      <c r="GVE42" s="83"/>
      <c r="GVF42" s="83"/>
      <c r="GVG42" s="83"/>
      <c r="GVH42" s="83"/>
      <c r="GVI42" s="83"/>
      <c r="GVJ42" s="83"/>
      <c r="GVK42" s="83"/>
      <c r="GVL42" s="83"/>
      <c r="GVM42" s="83"/>
      <c r="GVN42" s="83"/>
      <c r="GVO42" s="83"/>
      <c r="GVP42" s="83"/>
      <c r="GVQ42" s="83"/>
      <c r="GVR42" s="83"/>
      <c r="GVS42" s="83"/>
      <c r="GVT42" s="83"/>
      <c r="GVU42" s="83"/>
      <c r="GVV42" s="83"/>
      <c r="GVW42" s="83"/>
      <c r="GVX42" s="83"/>
      <c r="GVY42" s="83"/>
      <c r="GVZ42" s="83"/>
      <c r="GWA42" s="83"/>
      <c r="GWB42" s="83"/>
      <c r="GWC42" s="83"/>
      <c r="GWD42" s="83"/>
      <c r="GWE42" s="83"/>
      <c r="GWF42" s="83"/>
      <c r="GWG42" s="83"/>
      <c r="GWH42" s="83"/>
      <c r="GWI42" s="83"/>
      <c r="GWJ42" s="83"/>
      <c r="GWK42" s="83"/>
      <c r="GWL42" s="83"/>
      <c r="GWM42" s="83"/>
      <c r="GWN42" s="83"/>
      <c r="GWO42" s="83"/>
      <c r="GWP42" s="83"/>
      <c r="GWQ42" s="83"/>
      <c r="GWR42" s="83"/>
      <c r="GWS42" s="83"/>
      <c r="GWT42" s="83"/>
      <c r="GWU42" s="83"/>
      <c r="GWV42" s="83"/>
      <c r="GWW42" s="83"/>
      <c r="GWX42" s="83"/>
      <c r="GWY42" s="83"/>
      <c r="GWZ42" s="83"/>
      <c r="GXA42" s="83"/>
      <c r="GXB42" s="83"/>
      <c r="GXC42" s="83"/>
      <c r="GXD42" s="83"/>
      <c r="GXE42" s="83"/>
      <c r="GXF42" s="83"/>
      <c r="GXG42" s="83"/>
      <c r="GXH42" s="83"/>
      <c r="GXI42" s="83"/>
      <c r="GXJ42" s="83"/>
      <c r="GXK42" s="83"/>
      <c r="GXL42" s="83"/>
      <c r="GXM42" s="83"/>
      <c r="GXN42" s="83"/>
      <c r="GXO42" s="83"/>
      <c r="GXP42" s="83"/>
      <c r="GXQ42" s="83"/>
      <c r="GXR42" s="83"/>
      <c r="GXS42" s="83"/>
      <c r="GXT42" s="83"/>
      <c r="GXU42" s="83"/>
      <c r="GXV42" s="83"/>
      <c r="GXW42" s="83"/>
      <c r="GXX42" s="83"/>
      <c r="GXY42" s="83"/>
      <c r="GXZ42" s="83"/>
      <c r="GYA42" s="83"/>
      <c r="GYB42" s="83"/>
      <c r="GYC42" s="83"/>
      <c r="GYD42" s="83"/>
      <c r="GYE42" s="83"/>
      <c r="GYF42" s="83"/>
      <c r="GYG42" s="83"/>
      <c r="GYH42" s="83"/>
      <c r="GYI42" s="83"/>
      <c r="GYJ42" s="83"/>
      <c r="GYK42" s="83"/>
      <c r="GYL42" s="83"/>
      <c r="GYM42" s="83"/>
      <c r="GYN42" s="83"/>
      <c r="GYO42" s="83"/>
      <c r="GYP42" s="83"/>
      <c r="GYQ42" s="83"/>
      <c r="GYR42" s="83"/>
      <c r="GYS42" s="83"/>
      <c r="GYT42" s="83"/>
      <c r="GYU42" s="83"/>
      <c r="GYV42" s="83"/>
      <c r="GYW42" s="83"/>
      <c r="GYX42" s="83"/>
      <c r="GYY42" s="83"/>
      <c r="GYZ42" s="83"/>
      <c r="GZA42" s="83"/>
      <c r="GZB42" s="83"/>
      <c r="GZC42" s="83"/>
      <c r="GZD42" s="83"/>
      <c r="GZE42" s="83"/>
      <c r="GZF42" s="83"/>
      <c r="GZG42" s="83"/>
      <c r="GZH42" s="83"/>
      <c r="GZI42" s="83"/>
      <c r="GZJ42" s="83"/>
      <c r="GZK42" s="83"/>
      <c r="GZL42" s="83"/>
      <c r="GZM42" s="83"/>
      <c r="GZN42" s="83"/>
      <c r="GZO42" s="83"/>
      <c r="GZP42" s="83"/>
      <c r="GZQ42" s="83"/>
      <c r="GZR42" s="83"/>
      <c r="GZS42" s="83"/>
      <c r="GZT42" s="83"/>
      <c r="GZU42" s="83"/>
      <c r="GZV42" s="83"/>
      <c r="GZW42" s="83"/>
      <c r="GZX42" s="83"/>
      <c r="GZY42" s="83"/>
      <c r="GZZ42" s="83"/>
      <c r="HAA42" s="83"/>
      <c r="HAB42" s="83"/>
      <c r="HAC42" s="83"/>
      <c r="HAD42" s="83"/>
      <c r="HAE42" s="83"/>
      <c r="HAF42" s="83"/>
      <c r="HAG42" s="83"/>
      <c r="HAH42" s="83"/>
      <c r="HAI42" s="83"/>
      <c r="HAJ42" s="83"/>
      <c r="HAK42" s="83"/>
      <c r="HAL42" s="83"/>
      <c r="HAM42" s="83"/>
      <c r="HAN42" s="83"/>
      <c r="HAO42" s="83"/>
      <c r="HAP42" s="83"/>
      <c r="HAQ42" s="83"/>
      <c r="HAR42" s="83"/>
      <c r="HAS42" s="83"/>
      <c r="HAT42" s="83"/>
      <c r="HAU42" s="83"/>
      <c r="HAV42" s="83"/>
      <c r="HAW42" s="83"/>
      <c r="HAX42" s="83"/>
      <c r="HAY42" s="83"/>
      <c r="HAZ42" s="83"/>
      <c r="HBA42" s="83"/>
      <c r="HBB42" s="83"/>
      <c r="HBC42" s="83"/>
      <c r="HBD42" s="83"/>
      <c r="HBE42" s="83"/>
      <c r="HBF42" s="83"/>
      <c r="HBG42" s="83"/>
      <c r="HBH42" s="83"/>
      <c r="HBI42" s="83"/>
      <c r="HBJ42" s="83"/>
      <c r="HBK42" s="83"/>
      <c r="HBL42" s="83"/>
      <c r="HBM42" s="83"/>
      <c r="HBN42" s="83"/>
      <c r="HBO42" s="83"/>
      <c r="HBP42" s="83"/>
      <c r="HBQ42" s="83"/>
      <c r="HBR42" s="83"/>
      <c r="HBS42" s="83"/>
      <c r="HBT42" s="83"/>
      <c r="HBU42" s="83"/>
      <c r="HBV42" s="83"/>
      <c r="HBW42" s="83"/>
      <c r="HBX42" s="83"/>
      <c r="HBY42" s="83"/>
      <c r="HBZ42" s="83"/>
      <c r="HCA42" s="83"/>
      <c r="HCB42" s="83"/>
      <c r="HCC42" s="83"/>
      <c r="HCD42" s="83"/>
      <c r="HCE42" s="83"/>
      <c r="HCF42" s="83"/>
      <c r="HCG42" s="83"/>
      <c r="HCH42" s="83"/>
      <c r="HCI42" s="83"/>
      <c r="HCJ42" s="83"/>
      <c r="HCK42" s="83"/>
      <c r="HCL42" s="83"/>
      <c r="HCM42" s="83"/>
      <c r="HCN42" s="83"/>
      <c r="HCO42" s="83"/>
      <c r="HCP42" s="83"/>
      <c r="HCQ42" s="83"/>
      <c r="HCR42" s="83"/>
      <c r="HCS42" s="83"/>
      <c r="HCT42" s="83"/>
      <c r="HCU42" s="83"/>
      <c r="HCV42" s="83"/>
      <c r="HCW42" s="83"/>
      <c r="HCX42" s="83"/>
      <c r="HCY42" s="83"/>
      <c r="HCZ42" s="83"/>
      <c r="HDA42" s="83"/>
      <c r="HDB42" s="83"/>
      <c r="HDC42" s="83"/>
      <c r="HDD42" s="83"/>
      <c r="HDE42" s="83"/>
      <c r="HDF42" s="83"/>
      <c r="HDG42" s="83"/>
      <c r="HDH42" s="83"/>
      <c r="HDI42" s="83"/>
      <c r="HDJ42" s="83"/>
      <c r="HDK42" s="83"/>
      <c r="HDL42" s="83"/>
      <c r="HDM42" s="83"/>
      <c r="HDN42" s="83"/>
      <c r="HDO42" s="83"/>
      <c r="HDP42" s="83"/>
      <c r="HDQ42" s="83"/>
      <c r="HDR42" s="83"/>
      <c r="HDS42" s="83"/>
      <c r="HDT42" s="83"/>
      <c r="HDU42" s="83"/>
      <c r="HDV42" s="83"/>
      <c r="HDW42" s="83"/>
      <c r="HDX42" s="83"/>
      <c r="HDY42" s="83"/>
      <c r="HDZ42" s="83"/>
      <c r="HEA42" s="83"/>
      <c r="HEB42" s="83"/>
      <c r="HEC42" s="83"/>
      <c r="HED42" s="83"/>
      <c r="HEE42" s="83"/>
      <c r="HEF42" s="83"/>
      <c r="HEG42" s="83"/>
      <c r="HEH42" s="83"/>
      <c r="HEI42" s="83"/>
      <c r="HEJ42" s="83"/>
      <c r="HEK42" s="83"/>
      <c r="HEL42" s="83"/>
      <c r="HEM42" s="83"/>
      <c r="HEN42" s="83"/>
      <c r="HEO42" s="83"/>
      <c r="HEP42" s="83"/>
      <c r="HEQ42" s="83"/>
      <c r="HER42" s="83"/>
      <c r="HES42" s="83"/>
      <c r="HET42" s="83"/>
      <c r="HEU42" s="83"/>
      <c r="HEV42" s="83"/>
      <c r="HEW42" s="83"/>
      <c r="HEX42" s="83"/>
      <c r="HEY42" s="83"/>
      <c r="HEZ42" s="83"/>
      <c r="HFA42" s="83"/>
      <c r="HFB42" s="83"/>
      <c r="HFC42" s="83"/>
      <c r="HFD42" s="83"/>
      <c r="HFE42" s="83"/>
      <c r="HFF42" s="83"/>
      <c r="HFG42" s="83"/>
      <c r="HFH42" s="83"/>
      <c r="HFI42" s="83"/>
      <c r="HFJ42" s="83"/>
      <c r="HFK42" s="83"/>
      <c r="HFL42" s="83"/>
      <c r="HFM42" s="83"/>
      <c r="HFN42" s="83"/>
      <c r="HFO42" s="83"/>
      <c r="HFP42" s="83"/>
      <c r="HFQ42" s="83"/>
      <c r="HFR42" s="83"/>
      <c r="HFS42" s="83"/>
      <c r="HFT42" s="83"/>
      <c r="HFU42" s="83"/>
      <c r="HFV42" s="83"/>
      <c r="HFW42" s="83"/>
      <c r="HFX42" s="83"/>
      <c r="HFY42" s="83"/>
      <c r="HFZ42" s="83"/>
      <c r="HGA42" s="83"/>
      <c r="HGB42" s="83"/>
      <c r="HGC42" s="83"/>
      <c r="HGD42" s="83"/>
      <c r="HGE42" s="83"/>
      <c r="HGF42" s="83"/>
      <c r="HGG42" s="83"/>
      <c r="HGH42" s="83"/>
      <c r="HGI42" s="83"/>
      <c r="HGJ42" s="83"/>
      <c r="HGK42" s="83"/>
      <c r="HGL42" s="83"/>
      <c r="HGM42" s="83"/>
      <c r="HGN42" s="83"/>
      <c r="HGO42" s="83"/>
      <c r="HGP42" s="83"/>
      <c r="HGQ42" s="83"/>
      <c r="HGR42" s="83"/>
      <c r="HGS42" s="83"/>
      <c r="HGT42" s="83"/>
      <c r="HGU42" s="83"/>
      <c r="HGV42" s="83"/>
      <c r="HGW42" s="83"/>
      <c r="HGX42" s="83"/>
      <c r="HGY42" s="83"/>
      <c r="HGZ42" s="83"/>
      <c r="HHA42" s="83"/>
      <c r="HHB42" s="83"/>
      <c r="HHC42" s="83"/>
      <c r="HHD42" s="83"/>
      <c r="HHE42" s="83"/>
      <c r="HHF42" s="83"/>
      <c r="HHG42" s="83"/>
      <c r="HHH42" s="83"/>
      <c r="HHI42" s="83"/>
      <c r="HHJ42" s="83"/>
      <c r="HHK42" s="83"/>
      <c r="HHL42" s="83"/>
      <c r="HHM42" s="83"/>
      <c r="HHN42" s="83"/>
      <c r="HHO42" s="83"/>
      <c r="HHP42" s="83"/>
      <c r="HHQ42" s="83"/>
      <c r="HHR42" s="83"/>
      <c r="HHS42" s="83"/>
      <c r="HHT42" s="83"/>
      <c r="HHU42" s="83"/>
      <c r="HHV42" s="83"/>
      <c r="HHW42" s="83"/>
      <c r="HHX42" s="83"/>
      <c r="HHY42" s="83"/>
      <c r="HHZ42" s="83"/>
      <c r="HIA42" s="83"/>
      <c r="HIB42" s="83"/>
      <c r="HIC42" s="83"/>
      <c r="HID42" s="83"/>
      <c r="HIE42" s="83"/>
      <c r="HIF42" s="83"/>
      <c r="HIG42" s="83"/>
      <c r="HIH42" s="83"/>
      <c r="HII42" s="83"/>
      <c r="HIJ42" s="83"/>
      <c r="HIK42" s="83"/>
      <c r="HIL42" s="83"/>
      <c r="HIM42" s="83"/>
      <c r="HIN42" s="83"/>
      <c r="HIO42" s="83"/>
      <c r="HIP42" s="83"/>
      <c r="HIQ42" s="83"/>
      <c r="HIR42" s="83"/>
      <c r="HIS42" s="83"/>
      <c r="HIT42" s="83"/>
      <c r="HIU42" s="83"/>
      <c r="HIV42" s="83"/>
      <c r="HIW42" s="83"/>
      <c r="HIX42" s="83"/>
      <c r="HIY42" s="83"/>
      <c r="HIZ42" s="83"/>
      <c r="HJA42" s="83"/>
      <c r="HJB42" s="83"/>
      <c r="HJC42" s="83"/>
      <c r="HJD42" s="83"/>
      <c r="HJE42" s="83"/>
      <c r="HJF42" s="83"/>
      <c r="HJG42" s="83"/>
      <c r="HJH42" s="83"/>
      <c r="HJI42" s="83"/>
      <c r="HJJ42" s="83"/>
      <c r="HJK42" s="83"/>
      <c r="HJL42" s="83"/>
      <c r="HJM42" s="83"/>
      <c r="HJN42" s="83"/>
      <c r="HJO42" s="83"/>
      <c r="HJP42" s="83"/>
      <c r="HJQ42" s="83"/>
      <c r="HJR42" s="83"/>
      <c r="HJS42" s="83"/>
      <c r="HJT42" s="83"/>
      <c r="HJU42" s="83"/>
      <c r="HJV42" s="83"/>
      <c r="HJW42" s="83"/>
      <c r="HJX42" s="83"/>
      <c r="HJY42" s="83"/>
      <c r="HJZ42" s="83"/>
      <c r="HKA42" s="83"/>
      <c r="HKB42" s="83"/>
      <c r="HKC42" s="83"/>
      <c r="HKD42" s="83"/>
      <c r="HKE42" s="83"/>
      <c r="HKF42" s="83"/>
      <c r="HKG42" s="83"/>
      <c r="HKH42" s="83"/>
      <c r="HKI42" s="83"/>
      <c r="HKJ42" s="83"/>
      <c r="HKK42" s="83"/>
      <c r="HKL42" s="83"/>
      <c r="HKM42" s="83"/>
      <c r="HKN42" s="83"/>
      <c r="HKO42" s="83"/>
      <c r="HKP42" s="83"/>
      <c r="HKQ42" s="83"/>
      <c r="HKR42" s="83"/>
      <c r="HKS42" s="83"/>
      <c r="HKT42" s="83"/>
      <c r="HKU42" s="83"/>
      <c r="HKV42" s="83"/>
      <c r="HKW42" s="83"/>
      <c r="HKX42" s="83"/>
      <c r="HKY42" s="83"/>
      <c r="HKZ42" s="83"/>
      <c r="HLA42" s="83"/>
      <c r="HLB42" s="83"/>
      <c r="HLC42" s="83"/>
      <c r="HLD42" s="83"/>
      <c r="HLE42" s="83"/>
      <c r="HLF42" s="83"/>
      <c r="HLG42" s="83"/>
      <c r="HLH42" s="83"/>
      <c r="HLI42" s="83"/>
      <c r="HLJ42" s="83"/>
      <c r="HLK42" s="83"/>
      <c r="HLL42" s="83"/>
      <c r="HLM42" s="83"/>
      <c r="HLN42" s="83"/>
      <c r="HLO42" s="83"/>
      <c r="HLP42" s="83"/>
      <c r="HLQ42" s="83"/>
      <c r="HLR42" s="83"/>
      <c r="HLS42" s="83"/>
      <c r="HLT42" s="83"/>
      <c r="HLU42" s="83"/>
      <c r="HLV42" s="83"/>
      <c r="HLW42" s="83"/>
      <c r="HLX42" s="83"/>
      <c r="HLY42" s="83"/>
      <c r="HLZ42" s="83"/>
      <c r="HMA42" s="83"/>
      <c r="HMB42" s="83"/>
      <c r="HMC42" s="83"/>
      <c r="HMD42" s="83"/>
      <c r="HME42" s="83"/>
      <c r="HMF42" s="83"/>
      <c r="HMG42" s="83"/>
      <c r="HMH42" s="83"/>
      <c r="HMI42" s="83"/>
      <c r="HMJ42" s="83"/>
      <c r="HMK42" s="83"/>
      <c r="HML42" s="83"/>
      <c r="HMM42" s="83"/>
      <c r="HMN42" s="83"/>
      <c r="HMO42" s="83"/>
      <c r="HMP42" s="83"/>
      <c r="HMQ42" s="83"/>
      <c r="HMR42" s="83"/>
      <c r="HMS42" s="83"/>
      <c r="HMT42" s="83"/>
      <c r="HMU42" s="83"/>
      <c r="HMV42" s="83"/>
      <c r="HMW42" s="83"/>
      <c r="HMX42" s="83"/>
      <c r="HMY42" s="83"/>
      <c r="HMZ42" s="83"/>
      <c r="HNA42" s="83"/>
      <c r="HNB42" s="83"/>
      <c r="HNC42" s="83"/>
      <c r="HND42" s="83"/>
      <c r="HNE42" s="83"/>
      <c r="HNF42" s="83"/>
      <c r="HNG42" s="83"/>
      <c r="HNH42" s="83"/>
      <c r="HNI42" s="83"/>
      <c r="HNJ42" s="83"/>
      <c r="HNK42" s="83"/>
      <c r="HNL42" s="83"/>
      <c r="HNM42" s="83"/>
      <c r="HNN42" s="83"/>
      <c r="HNO42" s="83"/>
      <c r="HNP42" s="83"/>
      <c r="HNQ42" s="83"/>
      <c r="HNR42" s="83"/>
      <c r="HNS42" s="83"/>
      <c r="HNT42" s="83"/>
      <c r="HNU42" s="83"/>
      <c r="HNV42" s="83"/>
      <c r="HNW42" s="83"/>
      <c r="HNX42" s="83"/>
      <c r="HNY42" s="83"/>
      <c r="HNZ42" s="83"/>
      <c r="HOA42" s="83"/>
      <c r="HOB42" s="83"/>
      <c r="HOC42" s="83"/>
      <c r="HOD42" s="83"/>
      <c r="HOE42" s="83"/>
      <c r="HOF42" s="83"/>
      <c r="HOG42" s="83"/>
      <c r="HOH42" s="83"/>
      <c r="HOI42" s="83"/>
      <c r="HOJ42" s="83"/>
      <c r="HOK42" s="83"/>
      <c r="HOL42" s="83"/>
      <c r="HOM42" s="83"/>
      <c r="HON42" s="83"/>
      <c r="HOO42" s="83"/>
      <c r="HOP42" s="83"/>
      <c r="HOQ42" s="83"/>
      <c r="HOR42" s="83"/>
      <c r="HOS42" s="83"/>
      <c r="HOT42" s="83"/>
      <c r="HOU42" s="83"/>
      <c r="HOV42" s="83"/>
      <c r="HOW42" s="83"/>
      <c r="HOX42" s="83"/>
      <c r="HOY42" s="83"/>
      <c r="HOZ42" s="83"/>
      <c r="HPA42" s="83"/>
      <c r="HPB42" s="83"/>
      <c r="HPC42" s="83"/>
      <c r="HPD42" s="83"/>
      <c r="HPE42" s="83"/>
      <c r="HPF42" s="83"/>
      <c r="HPG42" s="83"/>
      <c r="HPH42" s="83"/>
      <c r="HPI42" s="83"/>
      <c r="HPJ42" s="83"/>
      <c r="HPK42" s="83"/>
      <c r="HPL42" s="83"/>
      <c r="HPM42" s="83"/>
      <c r="HPN42" s="83"/>
      <c r="HPO42" s="83"/>
      <c r="HPP42" s="83"/>
      <c r="HPQ42" s="83"/>
      <c r="HPR42" s="83"/>
      <c r="HPS42" s="83"/>
      <c r="HPT42" s="83"/>
      <c r="HPU42" s="83"/>
      <c r="HPV42" s="83"/>
      <c r="HPW42" s="83"/>
      <c r="HPX42" s="83"/>
      <c r="HPY42" s="83"/>
      <c r="HPZ42" s="83"/>
      <c r="HQA42" s="83"/>
      <c r="HQB42" s="83"/>
      <c r="HQC42" s="83"/>
      <c r="HQD42" s="83"/>
      <c r="HQE42" s="83"/>
      <c r="HQF42" s="83"/>
      <c r="HQG42" s="83"/>
      <c r="HQH42" s="83"/>
      <c r="HQI42" s="83"/>
      <c r="HQJ42" s="83"/>
      <c r="HQK42" s="83"/>
      <c r="HQL42" s="83"/>
      <c r="HQM42" s="83"/>
      <c r="HQN42" s="83"/>
      <c r="HQO42" s="83"/>
      <c r="HQP42" s="83"/>
      <c r="HQQ42" s="83"/>
      <c r="HQR42" s="83"/>
      <c r="HQS42" s="83"/>
      <c r="HQT42" s="83"/>
      <c r="HQU42" s="83"/>
      <c r="HQV42" s="83"/>
      <c r="HQW42" s="83"/>
      <c r="HQX42" s="83"/>
      <c r="HQY42" s="83"/>
      <c r="HQZ42" s="83"/>
      <c r="HRA42" s="83"/>
      <c r="HRB42" s="83"/>
      <c r="HRC42" s="83"/>
      <c r="HRD42" s="83"/>
      <c r="HRE42" s="83"/>
      <c r="HRF42" s="83"/>
      <c r="HRG42" s="83"/>
      <c r="HRH42" s="83"/>
      <c r="HRI42" s="83"/>
      <c r="HRJ42" s="83"/>
      <c r="HRK42" s="83"/>
      <c r="HRL42" s="83"/>
      <c r="HRM42" s="83"/>
      <c r="HRN42" s="83"/>
      <c r="HRO42" s="83"/>
      <c r="HRP42" s="83"/>
      <c r="HRQ42" s="83"/>
      <c r="HRR42" s="83"/>
      <c r="HRS42" s="83"/>
      <c r="HRT42" s="83"/>
      <c r="HRU42" s="83"/>
      <c r="HRV42" s="83"/>
      <c r="HRW42" s="83"/>
      <c r="HRX42" s="83"/>
      <c r="HRY42" s="83"/>
      <c r="HRZ42" s="83"/>
      <c r="HSA42" s="83"/>
      <c r="HSB42" s="83"/>
      <c r="HSC42" s="83"/>
      <c r="HSD42" s="83"/>
      <c r="HSE42" s="83"/>
      <c r="HSF42" s="83"/>
      <c r="HSG42" s="83"/>
      <c r="HSH42" s="83"/>
      <c r="HSI42" s="83"/>
      <c r="HSJ42" s="83"/>
      <c r="HSK42" s="83"/>
      <c r="HSL42" s="83"/>
      <c r="HSM42" s="83"/>
      <c r="HSN42" s="83"/>
      <c r="HSO42" s="83"/>
      <c r="HSP42" s="83"/>
      <c r="HSQ42" s="83"/>
      <c r="HSR42" s="83"/>
      <c r="HSS42" s="83"/>
      <c r="HST42" s="83"/>
      <c r="HSU42" s="83"/>
      <c r="HSV42" s="83"/>
      <c r="HSW42" s="83"/>
      <c r="HSX42" s="83"/>
      <c r="HSY42" s="83"/>
      <c r="HSZ42" s="83"/>
      <c r="HTA42" s="83"/>
      <c r="HTB42" s="83"/>
      <c r="HTC42" s="83"/>
      <c r="HTD42" s="83"/>
      <c r="HTE42" s="83"/>
      <c r="HTF42" s="83"/>
      <c r="HTG42" s="83"/>
      <c r="HTH42" s="83"/>
      <c r="HTI42" s="83"/>
      <c r="HTJ42" s="83"/>
      <c r="HTK42" s="83"/>
      <c r="HTL42" s="83"/>
      <c r="HTM42" s="83"/>
      <c r="HTN42" s="83"/>
      <c r="HTO42" s="83"/>
      <c r="HTP42" s="83"/>
      <c r="HTQ42" s="83"/>
      <c r="HTR42" s="83"/>
      <c r="HTS42" s="83"/>
      <c r="HTT42" s="83"/>
      <c r="HTU42" s="83"/>
      <c r="HTV42" s="83"/>
      <c r="HTW42" s="83"/>
      <c r="HTX42" s="83"/>
      <c r="HTY42" s="83"/>
      <c r="HTZ42" s="83"/>
      <c r="HUA42" s="83"/>
      <c r="HUB42" s="83"/>
      <c r="HUC42" s="83"/>
      <c r="HUD42" s="83"/>
      <c r="HUE42" s="83"/>
      <c r="HUF42" s="83"/>
      <c r="HUG42" s="83"/>
      <c r="HUH42" s="83"/>
      <c r="HUI42" s="83"/>
      <c r="HUJ42" s="83"/>
      <c r="HUK42" s="83"/>
      <c r="HUL42" s="83"/>
      <c r="HUM42" s="83"/>
      <c r="HUN42" s="83"/>
      <c r="HUO42" s="83"/>
      <c r="HUP42" s="83"/>
      <c r="HUQ42" s="83"/>
      <c r="HUR42" s="83"/>
      <c r="HUS42" s="83"/>
      <c r="HUT42" s="83"/>
      <c r="HUU42" s="83"/>
      <c r="HUV42" s="83"/>
      <c r="HUW42" s="83"/>
      <c r="HUX42" s="83"/>
      <c r="HUY42" s="83"/>
      <c r="HUZ42" s="83"/>
      <c r="HVA42" s="83"/>
      <c r="HVB42" s="83"/>
      <c r="HVC42" s="83"/>
      <c r="HVD42" s="83"/>
      <c r="HVE42" s="83"/>
      <c r="HVF42" s="83"/>
      <c r="HVG42" s="83"/>
      <c r="HVH42" s="83"/>
      <c r="HVI42" s="83"/>
      <c r="HVJ42" s="83"/>
      <c r="HVK42" s="83"/>
      <c r="HVL42" s="83"/>
      <c r="HVM42" s="83"/>
      <c r="HVN42" s="83"/>
      <c r="HVO42" s="83"/>
      <c r="HVP42" s="83"/>
      <c r="HVQ42" s="83"/>
      <c r="HVR42" s="83"/>
      <c r="HVS42" s="83"/>
      <c r="HVT42" s="83"/>
      <c r="HVU42" s="83"/>
      <c r="HVV42" s="83"/>
      <c r="HVW42" s="83"/>
      <c r="HVX42" s="83"/>
      <c r="HVY42" s="83"/>
      <c r="HVZ42" s="83"/>
      <c r="HWA42" s="83"/>
      <c r="HWB42" s="83"/>
      <c r="HWC42" s="83"/>
      <c r="HWD42" s="83"/>
      <c r="HWE42" s="83"/>
      <c r="HWF42" s="83"/>
      <c r="HWG42" s="83"/>
      <c r="HWH42" s="83"/>
      <c r="HWI42" s="83"/>
      <c r="HWJ42" s="83"/>
      <c r="HWK42" s="83"/>
      <c r="HWL42" s="83"/>
      <c r="HWM42" s="83"/>
      <c r="HWN42" s="83"/>
      <c r="HWO42" s="83"/>
      <c r="HWP42" s="83"/>
      <c r="HWQ42" s="83"/>
      <c r="HWR42" s="83"/>
      <c r="HWS42" s="83"/>
      <c r="HWT42" s="83"/>
      <c r="HWU42" s="83"/>
      <c r="HWV42" s="83"/>
      <c r="HWW42" s="83"/>
      <c r="HWX42" s="83"/>
      <c r="HWY42" s="83"/>
      <c r="HWZ42" s="83"/>
      <c r="HXA42" s="83"/>
      <c r="HXB42" s="83"/>
      <c r="HXC42" s="83"/>
      <c r="HXD42" s="83"/>
      <c r="HXE42" s="83"/>
      <c r="HXF42" s="83"/>
      <c r="HXG42" s="83"/>
      <c r="HXH42" s="83"/>
      <c r="HXI42" s="83"/>
      <c r="HXJ42" s="83"/>
      <c r="HXK42" s="83"/>
      <c r="HXL42" s="83"/>
      <c r="HXM42" s="83"/>
      <c r="HXN42" s="83"/>
      <c r="HXO42" s="83"/>
      <c r="HXP42" s="83"/>
      <c r="HXQ42" s="83"/>
      <c r="HXR42" s="83"/>
      <c r="HXS42" s="83"/>
      <c r="HXT42" s="83"/>
      <c r="HXU42" s="83"/>
      <c r="HXV42" s="83"/>
      <c r="HXW42" s="83"/>
      <c r="HXX42" s="83"/>
      <c r="HXY42" s="83"/>
      <c r="HXZ42" s="83"/>
      <c r="HYA42" s="83"/>
      <c r="HYB42" s="83"/>
      <c r="HYC42" s="83"/>
      <c r="HYD42" s="83"/>
      <c r="HYE42" s="83"/>
      <c r="HYF42" s="83"/>
      <c r="HYG42" s="83"/>
      <c r="HYH42" s="83"/>
      <c r="HYI42" s="83"/>
      <c r="HYJ42" s="83"/>
      <c r="HYK42" s="83"/>
      <c r="HYL42" s="83"/>
      <c r="HYM42" s="83"/>
      <c r="HYN42" s="83"/>
      <c r="HYO42" s="83"/>
      <c r="HYP42" s="83"/>
      <c r="HYQ42" s="83"/>
      <c r="HYR42" s="83"/>
      <c r="HYS42" s="83"/>
      <c r="HYT42" s="83"/>
      <c r="HYU42" s="83"/>
      <c r="HYV42" s="83"/>
      <c r="HYW42" s="83"/>
      <c r="HYX42" s="83"/>
      <c r="HYY42" s="83"/>
      <c r="HYZ42" s="83"/>
      <c r="HZA42" s="83"/>
      <c r="HZB42" s="83"/>
      <c r="HZC42" s="83"/>
      <c r="HZD42" s="83"/>
      <c r="HZE42" s="83"/>
      <c r="HZF42" s="83"/>
      <c r="HZG42" s="83"/>
      <c r="HZH42" s="83"/>
      <c r="HZI42" s="83"/>
      <c r="HZJ42" s="83"/>
      <c r="HZK42" s="83"/>
      <c r="HZL42" s="83"/>
      <c r="HZM42" s="83"/>
      <c r="HZN42" s="83"/>
      <c r="HZO42" s="83"/>
      <c r="HZP42" s="83"/>
      <c r="HZQ42" s="83"/>
      <c r="HZR42" s="83"/>
      <c r="HZS42" s="83"/>
      <c r="HZT42" s="83"/>
      <c r="HZU42" s="83"/>
      <c r="HZV42" s="83"/>
      <c r="HZW42" s="83"/>
      <c r="HZX42" s="83"/>
      <c r="HZY42" s="83"/>
      <c r="HZZ42" s="83"/>
      <c r="IAA42" s="83"/>
      <c r="IAB42" s="83"/>
      <c r="IAC42" s="83"/>
      <c r="IAD42" s="83"/>
      <c r="IAE42" s="83"/>
      <c r="IAF42" s="83"/>
      <c r="IAG42" s="83"/>
      <c r="IAH42" s="83"/>
      <c r="IAI42" s="83"/>
      <c r="IAJ42" s="83"/>
      <c r="IAK42" s="83"/>
      <c r="IAL42" s="83"/>
      <c r="IAM42" s="83"/>
      <c r="IAN42" s="83"/>
      <c r="IAO42" s="83"/>
      <c r="IAP42" s="83"/>
      <c r="IAQ42" s="83"/>
      <c r="IAR42" s="83"/>
      <c r="IAS42" s="83"/>
      <c r="IAT42" s="83"/>
      <c r="IAU42" s="83"/>
      <c r="IAV42" s="83"/>
      <c r="IAW42" s="83"/>
      <c r="IAX42" s="83"/>
      <c r="IAY42" s="83"/>
      <c r="IAZ42" s="83"/>
      <c r="IBA42" s="83"/>
      <c r="IBB42" s="83"/>
      <c r="IBC42" s="83"/>
      <c r="IBD42" s="83"/>
      <c r="IBE42" s="83"/>
      <c r="IBF42" s="83"/>
      <c r="IBG42" s="83"/>
      <c r="IBH42" s="83"/>
      <c r="IBI42" s="83"/>
      <c r="IBJ42" s="83"/>
      <c r="IBK42" s="83"/>
      <c r="IBL42" s="83"/>
      <c r="IBM42" s="83"/>
      <c r="IBN42" s="83"/>
      <c r="IBO42" s="83"/>
      <c r="IBP42" s="83"/>
      <c r="IBQ42" s="83"/>
      <c r="IBR42" s="83"/>
      <c r="IBS42" s="83"/>
      <c r="IBT42" s="83"/>
      <c r="IBU42" s="83"/>
      <c r="IBV42" s="83"/>
      <c r="IBW42" s="83"/>
      <c r="IBX42" s="83"/>
      <c r="IBY42" s="83"/>
      <c r="IBZ42" s="83"/>
      <c r="ICA42" s="83"/>
      <c r="ICB42" s="83"/>
      <c r="ICC42" s="83"/>
      <c r="ICD42" s="83"/>
      <c r="ICE42" s="83"/>
      <c r="ICF42" s="83"/>
      <c r="ICG42" s="83"/>
      <c r="ICH42" s="83"/>
      <c r="ICI42" s="83"/>
      <c r="ICJ42" s="83"/>
      <c r="ICK42" s="83"/>
      <c r="ICL42" s="83"/>
      <c r="ICM42" s="83"/>
      <c r="ICN42" s="83"/>
      <c r="ICO42" s="83"/>
      <c r="ICP42" s="83"/>
      <c r="ICQ42" s="83"/>
      <c r="ICR42" s="83"/>
      <c r="ICS42" s="83"/>
      <c r="ICT42" s="83"/>
      <c r="ICU42" s="83"/>
      <c r="ICV42" s="83"/>
      <c r="ICW42" s="83"/>
      <c r="ICX42" s="83"/>
      <c r="ICY42" s="83"/>
      <c r="ICZ42" s="83"/>
      <c r="IDA42" s="83"/>
      <c r="IDB42" s="83"/>
      <c r="IDC42" s="83"/>
      <c r="IDD42" s="83"/>
      <c r="IDE42" s="83"/>
      <c r="IDF42" s="83"/>
      <c r="IDG42" s="83"/>
      <c r="IDH42" s="83"/>
      <c r="IDI42" s="83"/>
      <c r="IDJ42" s="83"/>
      <c r="IDK42" s="83"/>
      <c r="IDL42" s="83"/>
      <c r="IDM42" s="83"/>
      <c r="IDN42" s="83"/>
      <c r="IDO42" s="83"/>
      <c r="IDP42" s="83"/>
      <c r="IDQ42" s="83"/>
      <c r="IDR42" s="83"/>
      <c r="IDS42" s="83"/>
      <c r="IDT42" s="83"/>
      <c r="IDU42" s="83"/>
      <c r="IDV42" s="83"/>
      <c r="IDW42" s="83"/>
      <c r="IDX42" s="83"/>
      <c r="IDY42" s="83"/>
      <c r="IDZ42" s="83"/>
      <c r="IEA42" s="83"/>
      <c r="IEB42" s="83"/>
      <c r="IEC42" s="83"/>
      <c r="IED42" s="83"/>
      <c r="IEE42" s="83"/>
      <c r="IEF42" s="83"/>
      <c r="IEG42" s="83"/>
      <c r="IEH42" s="83"/>
      <c r="IEI42" s="83"/>
      <c r="IEJ42" s="83"/>
      <c r="IEK42" s="83"/>
      <c r="IEL42" s="83"/>
      <c r="IEM42" s="83"/>
      <c r="IEN42" s="83"/>
      <c r="IEO42" s="83"/>
      <c r="IEP42" s="83"/>
      <c r="IEQ42" s="83"/>
      <c r="IER42" s="83"/>
      <c r="IES42" s="83"/>
      <c r="IET42" s="83"/>
      <c r="IEU42" s="83"/>
      <c r="IEV42" s="83"/>
      <c r="IEW42" s="83"/>
      <c r="IEX42" s="83"/>
      <c r="IEY42" s="83"/>
      <c r="IEZ42" s="83"/>
      <c r="IFA42" s="83"/>
      <c r="IFB42" s="83"/>
      <c r="IFC42" s="83"/>
      <c r="IFD42" s="83"/>
      <c r="IFE42" s="83"/>
      <c r="IFF42" s="83"/>
      <c r="IFG42" s="83"/>
      <c r="IFH42" s="83"/>
      <c r="IFI42" s="83"/>
      <c r="IFJ42" s="83"/>
      <c r="IFK42" s="83"/>
      <c r="IFL42" s="83"/>
      <c r="IFM42" s="83"/>
      <c r="IFN42" s="83"/>
      <c r="IFO42" s="83"/>
      <c r="IFP42" s="83"/>
      <c r="IFQ42" s="83"/>
      <c r="IFR42" s="83"/>
      <c r="IFS42" s="83"/>
      <c r="IFT42" s="83"/>
      <c r="IFU42" s="83"/>
      <c r="IFV42" s="83"/>
      <c r="IFW42" s="83"/>
      <c r="IFX42" s="83"/>
      <c r="IFY42" s="83"/>
      <c r="IFZ42" s="83"/>
      <c r="IGA42" s="83"/>
      <c r="IGB42" s="83"/>
      <c r="IGC42" s="83"/>
      <c r="IGD42" s="83"/>
      <c r="IGE42" s="83"/>
      <c r="IGF42" s="83"/>
      <c r="IGG42" s="83"/>
      <c r="IGH42" s="83"/>
      <c r="IGI42" s="83"/>
      <c r="IGJ42" s="83"/>
      <c r="IGK42" s="83"/>
      <c r="IGL42" s="83"/>
      <c r="IGM42" s="83"/>
      <c r="IGN42" s="83"/>
      <c r="IGO42" s="83"/>
      <c r="IGP42" s="83"/>
      <c r="IGQ42" s="83"/>
      <c r="IGR42" s="83"/>
      <c r="IGS42" s="83"/>
      <c r="IGT42" s="83"/>
      <c r="IGU42" s="83"/>
      <c r="IGV42" s="83"/>
      <c r="IGW42" s="83"/>
      <c r="IGX42" s="83"/>
      <c r="IGY42" s="83"/>
      <c r="IGZ42" s="83"/>
      <c r="IHA42" s="83"/>
      <c r="IHB42" s="83"/>
      <c r="IHC42" s="83"/>
      <c r="IHD42" s="83"/>
      <c r="IHE42" s="83"/>
      <c r="IHF42" s="83"/>
      <c r="IHG42" s="83"/>
      <c r="IHH42" s="83"/>
      <c r="IHI42" s="83"/>
      <c r="IHJ42" s="83"/>
      <c r="IHK42" s="83"/>
      <c r="IHL42" s="83"/>
      <c r="IHM42" s="83"/>
      <c r="IHN42" s="83"/>
      <c r="IHO42" s="83"/>
      <c r="IHP42" s="83"/>
      <c r="IHQ42" s="83"/>
      <c r="IHR42" s="83"/>
      <c r="IHS42" s="83"/>
      <c r="IHT42" s="83"/>
      <c r="IHU42" s="83"/>
      <c r="IHV42" s="83"/>
      <c r="IHW42" s="83"/>
      <c r="IHX42" s="83"/>
      <c r="IHY42" s="83"/>
      <c r="IHZ42" s="83"/>
      <c r="IIA42" s="83"/>
      <c r="IIB42" s="83"/>
      <c r="IIC42" s="83"/>
      <c r="IID42" s="83"/>
      <c r="IIE42" s="83"/>
      <c r="IIF42" s="83"/>
      <c r="IIG42" s="83"/>
      <c r="IIH42" s="83"/>
      <c r="III42" s="83"/>
      <c r="IIJ42" s="83"/>
      <c r="IIK42" s="83"/>
      <c r="IIL42" s="83"/>
      <c r="IIM42" s="83"/>
      <c r="IIN42" s="83"/>
      <c r="IIO42" s="83"/>
      <c r="IIP42" s="83"/>
      <c r="IIQ42" s="83"/>
      <c r="IIR42" s="83"/>
      <c r="IIS42" s="83"/>
      <c r="IIT42" s="83"/>
      <c r="IIU42" s="83"/>
      <c r="IIV42" s="83"/>
      <c r="IIW42" s="83"/>
      <c r="IIX42" s="83"/>
      <c r="IIY42" s="83"/>
      <c r="IIZ42" s="83"/>
      <c r="IJA42" s="83"/>
      <c r="IJB42" s="83"/>
      <c r="IJC42" s="83"/>
      <c r="IJD42" s="83"/>
      <c r="IJE42" s="83"/>
      <c r="IJF42" s="83"/>
      <c r="IJG42" s="83"/>
      <c r="IJH42" s="83"/>
      <c r="IJI42" s="83"/>
      <c r="IJJ42" s="83"/>
      <c r="IJK42" s="83"/>
      <c r="IJL42" s="83"/>
      <c r="IJM42" s="83"/>
      <c r="IJN42" s="83"/>
      <c r="IJO42" s="83"/>
      <c r="IJP42" s="83"/>
      <c r="IJQ42" s="83"/>
      <c r="IJR42" s="83"/>
      <c r="IJS42" s="83"/>
      <c r="IJT42" s="83"/>
      <c r="IJU42" s="83"/>
      <c r="IJV42" s="83"/>
      <c r="IJW42" s="83"/>
      <c r="IJX42" s="83"/>
      <c r="IJY42" s="83"/>
      <c r="IJZ42" s="83"/>
      <c r="IKA42" s="83"/>
      <c r="IKB42" s="83"/>
      <c r="IKC42" s="83"/>
      <c r="IKD42" s="83"/>
      <c r="IKE42" s="83"/>
      <c r="IKF42" s="83"/>
      <c r="IKG42" s="83"/>
      <c r="IKH42" s="83"/>
      <c r="IKI42" s="83"/>
      <c r="IKJ42" s="83"/>
      <c r="IKK42" s="83"/>
      <c r="IKL42" s="83"/>
      <c r="IKM42" s="83"/>
      <c r="IKN42" s="83"/>
      <c r="IKO42" s="83"/>
      <c r="IKP42" s="83"/>
      <c r="IKQ42" s="83"/>
      <c r="IKR42" s="83"/>
      <c r="IKS42" s="83"/>
      <c r="IKT42" s="83"/>
      <c r="IKU42" s="83"/>
      <c r="IKV42" s="83"/>
      <c r="IKW42" s="83"/>
      <c r="IKX42" s="83"/>
      <c r="IKY42" s="83"/>
      <c r="IKZ42" s="83"/>
      <c r="ILA42" s="83"/>
      <c r="ILB42" s="83"/>
      <c r="ILC42" s="83"/>
      <c r="ILD42" s="83"/>
      <c r="ILE42" s="83"/>
      <c r="ILF42" s="83"/>
      <c r="ILG42" s="83"/>
      <c r="ILH42" s="83"/>
      <c r="ILI42" s="83"/>
      <c r="ILJ42" s="83"/>
      <c r="ILK42" s="83"/>
      <c r="ILL42" s="83"/>
      <c r="ILM42" s="83"/>
      <c r="ILN42" s="83"/>
      <c r="ILO42" s="83"/>
      <c r="ILP42" s="83"/>
      <c r="ILQ42" s="83"/>
      <c r="ILR42" s="83"/>
      <c r="ILS42" s="83"/>
      <c r="ILT42" s="83"/>
      <c r="ILU42" s="83"/>
      <c r="ILV42" s="83"/>
      <c r="ILW42" s="83"/>
      <c r="ILX42" s="83"/>
      <c r="ILY42" s="83"/>
      <c r="ILZ42" s="83"/>
      <c r="IMA42" s="83"/>
      <c r="IMB42" s="83"/>
      <c r="IMC42" s="83"/>
      <c r="IMD42" s="83"/>
      <c r="IME42" s="83"/>
      <c r="IMF42" s="83"/>
      <c r="IMG42" s="83"/>
      <c r="IMH42" s="83"/>
      <c r="IMI42" s="83"/>
      <c r="IMJ42" s="83"/>
      <c r="IMK42" s="83"/>
      <c r="IML42" s="83"/>
      <c r="IMM42" s="83"/>
      <c r="IMN42" s="83"/>
      <c r="IMO42" s="83"/>
      <c r="IMP42" s="83"/>
      <c r="IMQ42" s="83"/>
      <c r="IMR42" s="83"/>
      <c r="IMS42" s="83"/>
      <c r="IMT42" s="83"/>
      <c r="IMU42" s="83"/>
      <c r="IMV42" s="83"/>
      <c r="IMW42" s="83"/>
      <c r="IMX42" s="83"/>
      <c r="IMY42" s="83"/>
      <c r="IMZ42" s="83"/>
      <c r="INA42" s="83"/>
      <c r="INB42" s="83"/>
      <c r="INC42" s="83"/>
      <c r="IND42" s="83"/>
      <c r="INE42" s="83"/>
      <c r="INF42" s="83"/>
      <c r="ING42" s="83"/>
      <c r="INH42" s="83"/>
      <c r="INI42" s="83"/>
      <c r="INJ42" s="83"/>
      <c r="INK42" s="83"/>
      <c r="INL42" s="83"/>
      <c r="INM42" s="83"/>
      <c r="INN42" s="83"/>
      <c r="INO42" s="83"/>
      <c r="INP42" s="83"/>
      <c r="INQ42" s="83"/>
      <c r="INR42" s="83"/>
      <c r="INS42" s="83"/>
      <c r="INT42" s="83"/>
      <c r="INU42" s="83"/>
      <c r="INV42" s="83"/>
      <c r="INW42" s="83"/>
      <c r="INX42" s="83"/>
      <c r="INY42" s="83"/>
      <c r="INZ42" s="83"/>
      <c r="IOA42" s="83"/>
      <c r="IOB42" s="83"/>
      <c r="IOC42" s="83"/>
      <c r="IOD42" s="83"/>
      <c r="IOE42" s="83"/>
      <c r="IOF42" s="83"/>
      <c r="IOG42" s="83"/>
      <c r="IOH42" s="83"/>
      <c r="IOI42" s="83"/>
      <c r="IOJ42" s="83"/>
      <c r="IOK42" s="83"/>
      <c r="IOL42" s="83"/>
      <c r="IOM42" s="83"/>
      <c r="ION42" s="83"/>
      <c r="IOO42" s="83"/>
      <c r="IOP42" s="83"/>
      <c r="IOQ42" s="83"/>
      <c r="IOR42" s="83"/>
      <c r="IOS42" s="83"/>
      <c r="IOT42" s="83"/>
      <c r="IOU42" s="83"/>
      <c r="IOV42" s="83"/>
      <c r="IOW42" s="83"/>
      <c r="IOX42" s="83"/>
      <c r="IOY42" s="83"/>
      <c r="IOZ42" s="83"/>
      <c r="IPA42" s="83"/>
      <c r="IPB42" s="83"/>
      <c r="IPC42" s="83"/>
      <c r="IPD42" s="83"/>
      <c r="IPE42" s="83"/>
      <c r="IPF42" s="83"/>
      <c r="IPG42" s="83"/>
      <c r="IPH42" s="83"/>
      <c r="IPI42" s="83"/>
      <c r="IPJ42" s="83"/>
      <c r="IPK42" s="83"/>
      <c r="IPL42" s="83"/>
      <c r="IPM42" s="83"/>
      <c r="IPN42" s="83"/>
      <c r="IPO42" s="83"/>
      <c r="IPP42" s="83"/>
      <c r="IPQ42" s="83"/>
      <c r="IPR42" s="83"/>
      <c r="IPS42" s="83"/>
      <c r="IPT42" s="83"/>
      <c r="IPU42" s="83"/>
      <c r="IPV42" s="83"/>
      <c r="IPW42" s="83"/>
      <c r="IPX42" s="83"/>
      <c r="IPY42" s="83"/>
      <c r="IPZ42" s="83"/>
      <c r="IQA42" s="83"/>
      <c r="IQB42" s="83"/>
      <c r="IQC42" s="83"/>
      <c r="IQD42" s="83"/>
      <c r="IQE42" s="83"/>
      <c r="IQF42" s="83"/>
      <c r="IQG42" s="83"/>
      <c r="IQH42" s="83"/>
      <c r="IQI42" s="83"/>
      <c r="IQJ42" s="83"/>
      <c r="IQK42" s="83"/>
      <c r="IQL42" s="83"/>
      <c r="IQM42" s="83"/>
      <c r="IQN42" s="83"/>
      <c r="IQO42" s="83"/>
      <c r="IQP42" s="83"/>
      <c r="IQQ42" s="83"/>
      <c r="IQR42" s="83"/>
      <c r="IQS42" s="83"/>
      <c r="IQT42" s="83"/>
      <c r="IQU42" s="83"/>
      <c r="IQV42" s="83"/>
      <c r="IQW42" s="83"/>
      <c r="IQX42" s="83"/>
      <c r="IQY42" s="83"/>
      <c r="IQZ42" s="83"/>
      <c r="IRA42" s="83"/>
      <c r="IRB42" s="83"/>
      <c r="IRC42" s="83"/>
      <c r="IRD42" s="83"/>
      <c r="IRE42" s="83"/>
      <c r="IRF42" s="83"/>
      <c r="IRG42" s="83"/>
      <c r="IRH42" s="83"/>
      <c r="IRI42" s="83"/>
      <c r="IRJ42" s="83"/>
      <c r="IRK42" s="83"/>
      <c r="IRL42" s="83"/>
      <c r="IRM42" s="83"/>
      <c r="IRN42" s="83"/>
      <c r="IRO42" s="83"/>
      <c r="IRP42" s="83"/>
      <c r="IRQ42" s="83"/>
      <c r="IRR42" s="83"/>
      <c r="IRS42" s="83"/>
      <c r="IRT42" s="83"/>
      <c r="IRU42" s="83"/>
      <c r="IRV42" s="83"/>
      <c r="IRW42" s="83"/>
      <c r="IRX42" s="83"/>
      <c r="IRY42" s="83"/>
      <c r="IRZ42" s="83"/>
      <c r="ISA42" s="83"/>
      <c r="ISB42" s="83"/>
      <c r="ISC42" s="83"/>
      <c r="ISD42" s="83"/>
      <c r="ISE42" s="83"/>
      <c r="ISF42" s="83"/>
      <c r="ISG42" s="83"/>
      <c r="ISH42" s="83"/>
      <c r="ISI42" s="83"/>
      <c r="ISJ42" s="83"/>
      <c r="ISK42" s="83"/>
      <c r="ISL42" s="83"/>
      <c r="ISM42" s="83"/>
      <c r="ISN42" s="83"/>
      <c r="ISO42" s="83"/>
      <c r="ISP42" s="83"/>
      <c r="ISQ42" s="83"/>
      <c r="ISR42" s="83"/>
      <c r="ISS42" s="83"/>
      <c r="IST42" s="83"/>
      <c r="ISU42" s="83"/>
      <c r="ISV42" s="83"/>
      <c r="ISW42" s="83"/>
      <c r="ISX42" s="83"/>
      <c r="ISY42" s="83"/>
      <c r="ISZ42" s="83"/>
      <c r="ITA42" s="83"/>
      <c r="ITB42" s="83"/>
      <c r="ITC42" s="83"/>
      <c r="ITD42" s="83"/>
      <c r="ITE42" s="83"/>
      <c r="ITF42" s="83"/>
      <c r="ITG42" s="83"/>
      <c r="ITH42" s="83"/>
      <c r="ITI42" s="83"/>
      <c r="ITJ42" s="83"/>
      <c r="ITK42" s="83"/>
      <c r="ITL42" s="83"/>
      <c r="ITM42" s="83"/>
      <c r="ITN42" s="83"/>
      <c r="ITO42" s="83"/>
      <c r="ITP42" s="83"/>
      <c r="ITQ42" s="83"/>
      <c r="ITR42" s="83"/>
      <c r="ITS42" s="83"/>
      <c r="ITT42" s="83"/>
      <c r="ITU42" s="83"/>
      <c r="ITV42" s="83"/>
      <c r="ITW42" s="83"/>
      <c r="ITX42" s="83"/>
      <c r="ITY42" s="83"/>
      <c r="ITZ42" s="83"/>
      <c r="IUA42" s="83"/>
      <c r="IUB42" s="83"/>
      <c r="IUC42" s="83"/>
      <c r="IUD42" s="83"/>
      <c r="IUE42" s="83"/>
      <c r="IUF42" s="83"/>
      <c r="IUG42" s="83"/>
      <c r="IUH42" s="83"/>
      <c r="IUI42" s="83"/>
      <c r="IUJ42" s="83"/>
      <c r="IUK42" s="83"/>
      <c r="IUL42" s="83"/>
      <c r="IUM42" s="83"/>
      <c r="IUN42" s="83"/>
      <c r="IUO42" s="83"/>
      <c r="IUP42" s="83"/>
      <c r="IUQ42" s="83"/>
      <c r="IUR42" s="83"/>
      <c r="IUS42" s="83"/>
      <c r="IUT42" s="83"/>
      <c r="IUU42" s="83"/>
      <c r="IUV42" s="83"/>
      <c r="IUW42" s="83"/>
      <c r="IUX42" s="83"/>
      <c r="IUY42" s="83"/>
      <c r="IUZ42" s="83"/>
      <c r="IVA42" s="83"/>
      <c r="IVB42" s="83"/>
      <c r="IVC42" s="83"/>
      <c r="IVD42" s="83"/>
      <c r="IVE42" s="83"/>
      <c r="IVF42" s="83"/>
      <c r="IVG42" s="83"/>
      <c r="IVH42" s="83"/>
      <c r="IVI42" s="83"/>
      <c r="IVJ42" s="83"/>
      <c r="IVK42" s="83"/>
      <c r="IVL42" s="83"/>
      <c r="IVM42" s="83"/>
      <c r="IVN42" s="83"/>
      <c r="IVO42" s="83"/>
      <c r="IVP42" s="83"/>
      <c r="IVQ42" s="83"/>
      <c r="IVR42" s="83"/>
      <c r="IVS42" s="83"/>
      <c r="IVT42" s="83"/>
      <c r="IVU42" s="83"/>
      <c r="IVV42" s="83"/>
      <c r="IVW42" s="83"/>
      <c r="IVX42" s="83"/>
      <c r="IVY42" s="83"/>
      <c r="IVZ42" s="83"/>
      <c r="IWA42" s="83"/>
      <c r="IWB42" s="83"/>
      <c r="IWC42" s="83"/>
      <c r="IWD42" s="83"/>
      <c r="IWE42" s="83"/>
      <c r="IWF42" s="83"/>
      <c r="IWG42" s="83"/>
      <c r="IWH42" s="83"/>
      <c r="IWI42" s="83"/>
      <c r="IWJ42" s="83"/>
      <c r="IWK42" s="83"/>
      <c r="IWL42" s="83"/>
      <c r="IWM42" s="83"/>
      <c r="IWN42" s="83"/>
      <c r="IWO42" s="83"/>
      <c r="IWP42" s="83"/>
      <c r="IWQ42" s="83"/>
      <c r="IWR42" s="83"/>
      <c r="IWS42" s="83"/>
      <c r="IWT42" s="83"/>
      <c r="IWU42" s="83"/>
      <c r="IWV42" s="83"/>
      <c r="IWW42" s="83"/>
      <c r="IWX42" s="83"/>
      <c r="IWY42" s="83"/>
      <c r="IWZ42" s="83"/>
      <c r="IXA42" s="83"/>
      <c r="IXB42" s="83"/>
      <c r="IXC42" s="83"/>
      <c r="IXD42" s="83"/>
      <c r="IXE42" s="83"/>
      <c r="IXF42" s="83"/>
      <c r="IXG42" s="83"/>
      <c r="IXH42" s="83"/>
      <c r="IXI42" s="83"/>
      <c r="IXJ42" s="83"/>
      <c r="IXK42" s="83"/>
      <c r="IXL42" s="83"/>
      <c r="IXM42" s="83"/>
      <c r="IXN42" s="83"/>
      <c r="IXO42" s="83"/>
      <c r="IXP42" s="83"/>
      <c r="IXQ42" s="83"/>
      <c r="IXR42" s="83"/>
      <c r="IXS42" s="83"/>
      <c r="IXT42" s="83"/>
      <c r="IXU42" s="83"/>
      <c r="IXV42" s="83"/>
      <c r="IXW42" s="83"/>
      <c r="IXX42" s="83"/>
      <c r="IXY42" s="83"/>
      <c r="IXZ42" s="83"/>
      <c r="IYA42" s="83"/>
      <c r="IYB42" s="83"/>
      <c r="IYC42" s="83"/>
      <c r="IYD42" s="83"/>
      <c r="IYE42" s="83"/>
      <c r="IYF42" s="83"/>
      <c r="IYG42" s="83"/>
      <c r="IYH42" s="83"/>
      <c r="IYI42" s="83"/>
      <c r="IYJ42" s="83"/>
      <c r="IYK42" s="83"/>
      <c r="IYL42" s="83"/>
      <c r="IYM42" s="83"/>
      <c r="IYN42" s="83"/>
      <c r="IYO42" s="83"/>
      <c r="IYP42" s="83"/>
      <c r="IYQ42" s="83"/>
      <c r="IYR42" s="83"/>
      <c r="IYS42" s="83"/>
      <c r="IYT42" s="83"/>
      <c r="IYU42" s="83"/>
      <c r="IYV42" s="83"/>
      <c r="IYW42" s="83"/>
      <c r="IYX42" s="83"/>
      <c r="IYY42" s="83"/>
      <c r="IYZ42" s="83"/>
      <c r="IZA42" s="83"/>
      <c r="IZB42" s="83"/>
      <c r="IZC42" s="83"/>
      <c r="IZD42" s="83"/>
      <c r="IZE42" s="83"/>
      <c r="IZF42" s="83"/>
      <c r="IZG42" s="83"/>
      <c r="IZH42" s="83"/>
      <c r="IZI42" s="83"/>
      <c r="IZJ42" s="83"/>
      <c r="IZK42" s="83"/>
      <c r="IZL42" s="83"/>
      <c r="IZM42" s="83"/>
      <c r="IZN42" s="83"/>
      <c r="IZO42" s="83"/>
      <c r="IZP42" s="83"/>
      <c r="IZQ42" s="83"/>
      <c r="IZR42" s="83"/>
      <c r="IZS42" s="83"/>
      <c r="IZT42" s="83"/>
      <c r="IZU42" s="83"/>
      <c r="IZV42" s="83"/>
      <c r="IZW42" s="83"/>
      <c r="IZX42" s="83"/>
      <c r="IZY42" s="83"/>
      <c r="IZZ42" s="83"/>
      <c r="JAA42" s="83"/>
      <c r="JAB42" s="83"/>
      <c r="JAC42" s="83"/>
      <c r="JAD42" s="83"/>
      <c r="JAE42" s="83"/>
      <c r="JAF42" s="83"/>
      <c r="JAG42" s="83"/>
      <c r="JAH42" s="83"/>
      <c r="JAI42" s="83"/>
      <c r="JAJ42" s="83"/>
      <c r="JAK42" s="83"/>
      <c r="JAL42" s="83"/>
      <c r="JAM42" s="83"/>
      <c r="JAN42" s="83"/>
      <c r="JAO42" s="83"/>
      <c r="JAP42" s="83"/>
      <c r="JAQ42" s="83"/>
      <c r="JAR42" s="83"/>
      <c r="JAS42" s="83"/>
      <c r="JAT42" s="83"/>
      <c r="JAU42" s="83"/>
      <c r="JAV42" s="83"/>
      <c r="JAW42" s="83"/>
      <c r="JAX42" s="83"/>
      <c r="JAY42" s="83"/>
      <c r="JAZ42" s="83"/>
      <c r="JBA42" s="83"/>
      <c r="JBB42" s="83"/>
      <c r="JBC42" s="83"/>
      <c r="JBD42" s="83"/>
      <c r="JBE42" s="83"/>
      <c r="JBF42" s="83"/>
      <c r="JBG42" s="83"/>
      <c r="JBH42" s="83"/>
      <c r="JBI42" s="83"/>
      <c r="JBJ42" s="83"/>
      <c r="JBK42" s="83"/>
      <c r="JBL42" s="83"/>
      <c r="JBM42" s="83"/>
      <c r="JBN42" s="83"/>
      <c r="JBO42" s="83"/>
      <c r="JBP42" s="83"/>
      <c r="JBQ42" s="83"/>
      <c r="JBR42" s="83"/>
      <c r="JBS42" s="83"/>
      <c r="JBT42" s="83"/>
      <c r="JBU42" s="83"/>
      <c r="JBV42" s="83"/>
      <c r="JBW42" s="83"/>
      <c r="JBX42" s="83"/>
      <c r="JBY42" s="83"/>
      <c r="JBZ42" s="83"/>
      <c r="JCA42" s="83"/>
      <c r="JCB42" s="83"/>
      <c r="JCC42" s="83"/>
      <c r="JCD42" s="83"/>
      <c r="JCE42" s="83"/>
      <c r="JCF42" s="83"/>
      <c r="JCG42" s="83"/>
      <c r="JCH42" s="83"/>
      <c r="JCI42" s="83"/>
      <c r="JCJ42" s="83"/>
      <c r="JCK42" s="83"/>
      <c r="JCL42" s="83"/>
      <c r="JCM42" s="83"/>
      <c r="JCN42" s="83"/>
      <c r="JCO42" s="83"/>
      <c r="JCP42" s="83"/>
      <c r="JCQ42" s="83"/>
      <c r="JCR42" s="83"/>
      <c r="JCS42" s="83"/>
      <c r="JCT42" s="83"/>
      <c r="JCU42" s="83"/>
      <c r="JCV42" s="83"/>
      <c r="JCW42" s="83"/>
      <c r="JCX42" s="83"/>
      <c r="JCY42" s="83"/>
      <c r="JCZ42" s="83"/>
      <c r="JDA42" s="83"/>
      <c r="JDB42" s="83"/>
      <c r="JDC42" s="83"/>
      <c r="JDD42" s="83"/>
      <c r="JDE42" s="83"/>
      <c r="JDF42" s="83"/>
      <c r="JDG42" s="83"/>
      <c r="JDH42" s="83"/>
      <c r="JDI42" s="83"/>
      <c r="JDJ42" s="83"/>
      <c r="JDK42" s="83"/>
      <c r="JDL42" s="83"/>
      <c r="JDM42" s="83"/>
      <c r="JDN42" s="83"/>
      <c r="JDO42" s="83"/>
      <c r="JDP42" s="83"/>
      <c r="JDQ42" s="83"/>
      <c r="JDR42" s="83"/>
      <c r="JDS42" s="83"/>
      <c r="JDT42" s="83"/>
      <c r="JDU42" s="83"/>
      <c r="JDV42" s="83"/>
      <c r="JDW42" s="83"/>
      <c r="JDX42" s="83"/>
      <c r="JDY42" s="83"/>
      <c r="JDZ42" s="83"/>
      <c r="JEA42" s="83"/>
      <c r="JEB42" s="83"/>
      <c r="JEC42" s="83"/>
      <c r="JED42" s="83"/>
      <c r="JEE42" s="83"/>
      <c r="JEF42" s="83"/>
      <c r="JEG42" s="83"/>
      <c r="JEH42" s="83"/>
      <c r="JEI42" s="83"/>
      <c r="JEJ42" s="83"/>
      <c r="JEK42" s="83"/>
      <c r="JEL42" s="83"/>
      <c r="JEM42" s="83"/>
      <c r="JEN42" s="83"/>
      <c r="JEO42" s="83"/>
      <c r="JEP42" s="83"/>
      <c r="JEQ42" s="83"/>
      <c r="JER42" s="83"/>
      <c r="JES42" s="83"/>
      <c r="JET42" s="83"/>
      <c r="JEU42" s="83"/>
      <c r="JEV42" s="83"/>
      <c r="JEW42" s="83"/>
      <c r="JEX42" s="83"/>
      <c r="JEY42" s="83"/>
      <c r="JEZ42" s="83"/>
      <c r="JFA42" s="83"/>
      <c r="JFB42" s="83"/>
      <c r="JFC42" s="83"/>
      <c r="JFD42" s="83"/>
      <c r="JFE42" s="83"/>
      <c r="JFF42" s="83"/>
      <c r="JFG42" s="83"/>
      <c r="JFH42" s="83"/>
      <c r="JFI42" s="83"/>
      <c r="JFJ42" s="83"/>
      <c r="JFK42" s="83"/>
      <c r="JFL42" s="83"/>
      <c r="JFM42" s="83"/>
      <c r="JFN42" s="83"/>
      <c r="JFO42" s="83"/>
      <c r="JFP42" s="83"/>
      <c r="JFQ42" s="83"/>
      <c r="JFR42" s="83"/>
      <c r="JFS42" s="83"/>
      <c r="JFT42" s="83"/>
      <c r="JFU42" s="83"/>
      <c r="JFV42" s="83"/>
      <c r="JFW42" s="83"/>
      <c r="JFX42" s="83"/>
      <c r="JFY42" s="83"/>
      <c r="JFZ42" s="83"/>
      <c r="JGA42" s="83"/>
      <c r="JGB42" s="83"/>
      <c r="JGC42" s="83"/>
      <c r="JGD42" s="83"/>
      <c r="JGE42" s="83"/>
      <c r="JGF42" s="83"/>
      <c r="JGG42" s="83"/>
      <c r="JGH42" s="83"/>
      <c r="JGI42" s="83"/>
      <c r="JGJ42" s="83"/>
      <c r="JGK42" s="83"/>
      <c r="JGL42" s="83"/>
      <c r="JGM42" s="83"/>
      <c r="JGN42" s="83"/>
      <c r="JGO42" s="83"/>
      <c r="JGP42" s="83"/>
      <c r="JGQ42" s="83"/>
      <c r="JGR42" s="83"/>
      <c r="JGS42" s="83"/>
      <c r="JGT42" s="83"/>
      <c r="JGU42" s="83"/>
      <c r="JGV42" s="83"/>
      <c r="JGW42" s="83"/>
      <c r="JGX42" s="83"/>
      <c r="JGY42" s="83"/>
      <c r="JGZ42" s="83"/>
      <c r="JHA42" s="83"/>
      <c r="JHB42" s="83"/>
      <c r="JHC42" s="83"/>
      <c r="JHD42" s="83"/>
      <c r="JHE42" s="83"/>
      <c r="JHF42" s="83"/>
      <c r="JHG42" s="83"/>
      <c r="JHH42" s="83"/>
      <c r="JHI42" s="83"/>
      <c r="JHJ42" s="83"/>
      <c r="JHK42" s="83"/>
      <c r="JHL42" s="83"/>
      <c r="JHM42" s="83"/>
      <c r="JHN42" s="83"/>
      <c r="JHO42" s="83"/>
      <c r="JHP42" s="83"/>
      <c r="JHQ42" s="83"/>
      <c r="JHR42" s="83"/>
      <c r="JHS42" s="83"/>
      <c r="JHT42" s="83"/>
      <c r="JHU42" s="83"/>
      <c r="JHV42" s="83"/>
      <c r="JHW42" s="83"/>
      <c r="JHX42" s="83"/>
      <c r="JHY42" s="83"/>
      <c r="JHZ42" s="83"/>
      <c r="JIA42" s="83"/>
      <c r="JIB42" s="83"/>
      <c r="JIC42" s="83"/>
      <c r="JID42" s="83"/>
      <c r="JIE42" s="83"/>
      <c r="JIF42" s="83"/>
      <c r="JIG42" s="83"/>
      <c r="JIH42" s="83"/>
      <c r="JII42" s="83"/>
      <c r="JIJ42" s="83"/>
      <c r="JIK42" s="83"/>
      <c r="JIL42" s="83"/>
      <c r="JIM42" s="83"/>
      <c r="JIN42" s="83"/>
      <c r="JIO42" s="83"/>
      <c r="JIP42" s="83"/>
      <c r="JIQ42" s="83"/>
      <c r="JIR42" s="83"/>
      <c r="JIS42" s="83"/>
      <c r="JIT42" s="83"/>
      <c r="JIU42" s="83"/>
      <c r="JIV42" s="83"/>
      <c r="JIW42" s="83"/>
      <c r="JIX42" s="83"/>
      <c r="JIY42" s="83"/>
      <c r="JIZ42" s="83"/>
      <c r="JJA42" s="83"/>
      <c r="JJB42" s="83"/>
      <c r="JJC42" s="83"/>
      <c r="JJD42" s="83"/>
      <c r="JJE42" s="83"/>
      <c r="JJF42" s="83"/>
      <c r="JJG42" s="83"/>
      <c r="JJH42" s="83"/>
      <c r="JJI42" s="83"/>
      <c r="JJJ42" s="83"/>
      <c r="JJK42" s="83"/>
      <c r="JJL42" s="83"/>
      <c r="JJM42" s="83"/>
      <c r="JJN42" s="83"/>
      <c r="JJO42" s="83"/>
      <c r="JJP42" s="83"/>
      <c r="JJQ42" s="83"/>
      <c r="JJR42" s="83"/>
      <c r="JJS42" s="83"/>
      <c r="JJT42" s="83"/>
      <c r="JJU42" s="83"/>
      <c r="JJV42" s="83"/>
      <c r="JJW42" s="83"/>
      <c r="JJX42" s="83"/>
      <c r="JJY42" s="83"/>
      <c r="JJZ42" s="83"/>
      <c r="JKA42" s="83"/>
      <c r="JKB42" s="83"/>
      <c r="JKC42" s="83"/>
      <c r="JKD42" s="83"/>
      <c r="JKE42" s="83"/>
      <c r="JKF42" s="83"/>
      <c r="JKG42" s="83"/>
      <c r="JKH42" s="83"/>
      <c r="JKI42" s="83"/>
      <c r="JKJ42" s="83"/>
      <c r="JKK42" s="83"/>
      <c r="JKL42" s="83"/>
      <c r="JKM42" s="83"/>
      <c r="JKN42" s="83"/>
      <c r="JKO42" s="83"/>
      <c r="JKP42" s="83"/>
      <c r="JKQ42" s="83"/>
      <c r="JKR42" s="83"/>
      <c r="JKS42" s="83"/>
      <c r="JKT42" s="83"/>
      <c r="JKU42" s="83"/>
      <c r="JKV42" s="83"/>
      <c r="JKW42" s="83"/>
      <c r="JKX42" s="83"/>
      <c r="JKY42" s="83"/>
      <c r="JKZ42" s="83"/>
      <c r="JLA42" s="83"/>
      <c r="JLB42" s="83"/>
      <c r="JLC42" s="83"/>
      <c r="JLD42" s="83"/>
      <c r="JLE42" s="83"/>
      <c r="JLF42" s="83"/>
      <c r="JLG42" s="83"/>
      <c r="JLH42" s="83"/>
      <c r="JLI42" s="83"/>
      <c r="JLJ42" s="83"/>
      <c r="JLK42" s="83"/>
      <c r="JLL42" s="83"/>
      <c r="JLM42" s="83"/>
      <c r="JLN42" s="83"/>
      <c r="JLO42" s="83"/>
      <c r="JLP42" s="83"/>
      <c r="JLQ42" s="83"/>
      <c r="JLR42" s="83"/>
      <c r="JLS42" s="83"/>
      <c r="JLT42" s="83"/>
      <c r="JLU42" s="83"/>
      <c r="JLV42" s="83"/>
      <c r="JLW42" s="83"/>
      <c r="JLX42" s="83"/>
      <c r="JLY42" s="83"/>
      <c r="JLZ42" s="83"/>
      <c r="JMA42" s="83"/>
      <c r="JMB42" s="83"/>
      <c r="JMC42" s="83"/>
      <c r="JMD42" s="83"/>
      <c r="JME42" s="83"/>
      <c r="JMF42" s="83"/>
      <c r="JMG42" s="83"/>
      <c r="JMH42" s="83"/>
      <c r="JMI42" s="83"/>
      <c r="JMJ42" s="83"/>
      <c r="JMK42" s="83"/>
      <c r="JML42" s="83"/>
      <c r="JMM42" s="83"/>
      <c r="JMN42" s="83"/>
      <c r="JMO42" s="83"/>
      <c r="JMP42" s="83"/>
      <c r="JMQ42" s="83"/>
      <c r="JMR42" s="83"/>
      <c r="JMS42" s="83"/>
      <c r="JMT42" s="83"/>
      <c r="JMU42" s="83"/>
      <c r="JMV42" s="83"/>
      <c r="JMW42" s="83"/>
      <c r="JMX42" s="83"/>
      <c r="JMY42" s="83"/>
      <c r="JMZ42" s="83"/>
      <c r="JNA42" s="83"/>
      <c r="JNB42" s="83"/>
      <c r="JNC42" s="83"/>
      <c r="JND42" s="83"/>
      <c r="JNE42" s="83"/>
      <c r="JNF42" s="83"/>
      <c r="JNG42" s="83"/>
      <c r="JNH42" s="83"/>
      <c r="JNI42" s="83"/>
      <c r="JNJ42" s="83"/>
      <c r="JNK42" s="83"/>
      <c r="JNL42" s="83"/>
      <c r="JNM42" s="83"/>
      <c r="JNN42" s="83"/>
      <c r="JNO42" s="83"/>
      <c r="JNP42" s="83"/>
      <c r="JNQ42" s="83"/>
      <c r="JNR42" s="83"/>
      <c r="JNS42" s="83"/>
      <c r="JNT42" s="83"/>
      <c r="JNU42" s="83"/>
      <c r="JNV42" s="83"/>
      <c r="JNW42" s="83"/>
      <c r="JNX42" s="83"/>
      <c r="JNY42" s="83"/>
      <c r="JNZ42" s="83"/>
      <c r="JOA42" s="83"/>
      <c r="JOB42" s="83"/>
      <c r="JOC42" s="83"/>
      <c r="JOD42" s="83"/>
      <c r="JOE42" s="83"/>
      <c r="JOF42" s="83"/>
      <c r="JOG42" s="83"/>
      <c r="JOH42" s="83"/>
      <c r="JOI42" s="83"/>
      <c r="JOJ42" s="83"/>
      <c r="JOK42" s="83"/>
      <c r="JOL42" s="83"/>
      <c r="JOM42" s="83"/>
      <c r="JON42" s="83"/>
      <c r="JOO42" s="83"/>
      <c r="JOP42" s="83"/>
      <c r="JOQ42" s="83"/>
      <c r="JOR42" s="83"/>
      <c r="JOS42" s="83"/>
      <c r="JOT42" s="83"/>
      <c r="JOU42" s="83"/>
      <c r="JOV42" s="83"/>
      <c r="JOW42" s="83"/>
      <c r="JOX42" s="83"/>
      <c r="JOY42" s="83"/>
      <c r="JOZ42" s="83"/>
      <c r="JPA42" s="83"/>
      <c r="JPB42" s="83"/>
      <c r="JPC42" s="83"/>
      <c r="JPD42" s="83"/>
      <c r="JPE42" s="83"/>
      <c r="JPF42" s="83"/>
      <c r="JPG42" s="83"/>
      <c r="JPH42" s="83"/>
      <c r="JPI42" s="83"/>
      <c r="JPJ42" s="83"/>
      <c r="JPK42" s="83"/>
      <c r="JPL42" s="83"/>
      <c r="JPM42" s="83"/>
      <c r="JPN42" s="83"/>
      <c r="JPO42" s="83"/>
      <c r="JPP42" s="83"/>
      <c r="JPQ42" s="83"/>
      <c r="JPR42" s="83"/>
      <c r="JPS42" s="83"/>
      <c r="JPT42" s="83"/>
      <c r="JPU42" s="83"/>
      <c r="JPV42" s="83"/>
      <c r="JPW42" s="83"/>
      <c r="JPX42" s="83"/>
      <c r="JPY42" s="83"/>
      <c r="JPZ42" s="83"/>
      <c r="JQA42" s="83"/>
      <c r="JQB42" s="83"/>
      <c r="JQC42" s="83"/>
      <c r="JQD42" s="83"/>
      <c r="JQE42" s="83"/>
      <c r="JQF42" s="83"/>
      <c r="JQG42" s="83"/>
      <c r="JQH42" s="83"/>
      <c r="JQI42" s="83"/>
      <c r="JQJ42" s="83"/>
      <c r="JQK42" s="83"/>
      <c r="JQL42" s="83"/>
      <c r="JQM42" s="83"/>
      <c r="JQN42" s="83"/>
      <c r="JQO42" s="83"/>
      <c r="JQP42" s="83"/>
      <c r="JQQ42" s="83"/>
      <c r="JQR42" s="83"/>
      <c r="JQS42" s="83"/>
      <c r="JQT42" s="83"/>
      <c r="JQU42" s="83"/>
      <c r="JQV42" s="83"/>
      <c r="JQW42" s="83"/>
      <c r="JQX42" s="83"/>
      <c r="JQY42" s="83"/>
      <c r="JQZ42" s="83"/>
      <c r="JRA42" s="83"/>
      <c r="JRB42" s="83"/>
      <c r="JRC42" s="83"/>
      <c r="JRD42" s="83"/>
      <c r="JRE42" s="83"/>
      <c r="JRF42" s="83"/>
      <c r="JRG42" s="83"/>
      <c r="JRH42" s="83"/>
      <c r="JRI42" s="83"/>
      <c r="JRJ42" s="83"/>
      <c r="JRK42" s="83"/>
      <c r="JRL42" s="83"/>
      <c r="JRM42" s="83"/>
      <c r="JRN42" s="83"/>
      <c r="JRO42" s="83"/>
      <c r="JRP42" s="83"/>
      <c r="JRQ42" s="83"/>
      <c r="JRR42" s="83"/>
      <c r="JRS42" s="83"/>
      <c r="JRT42" s="83"/>
      <c r="JRU42" s="83"/>
      <c r="JRV42" s="83"/>
      <c r="JRW42" s="83"/>
      <c r="JRX42" s="83"/>
      <c r="JRY42" s="83"/>
      <c r="JRZ42" s="83"/>
      <c r="JSA42" s="83"/>
      <c r="JSB42" s="83"/>
      <c r="JSC42" s="83"/>
      <c r="JSD42" s="83"/>
      <c r="JSE42" s="83"/>
      <c r="JSF42" s="83"/>
      <c r="JSG42" s="83"/>
      <c r="JSH42" s="83"/>
      <c r="JSI42" s="83"/>
      <c r="JSJ42" s="83"/>
      <c r="JSK42" s="83"/>
      <c r="JSL42" s="83"/>
      <c r="JSM42" s="83"/>
      <c r="JSN42" s="83"/>
      <c r="JSO42" s="83"/>
      <c r="JSP42" s="83"/>
      <c r="JSQ42" s="83"/>
      <c r="JSR42" s="83"/>
      <c r="JSS42" s="83"/>
      <c r="JST42" s="83"/>
      <c r="JSU42" s="83"/>
      <c r="JSV42" s="83"/>
      <c r="JSW42" s="83"/>
      <c r="JSX42" s="83"/>
      <c r="JSY42" s="83"/>
      <c r="JSZ42" s="83"/>
      <c r="JTA42" s="83"/>
      <c r="JTB42" s="83"/>
      <c r="JTC42" s="83"/>
      <c r="JTD42" s="83"/>
      <c r="JTE42" s="83"/>
      <c r="JTF42" s="83"/>
      <c r="JTG42" s="83"/>
      <c r="JTH42" s="83"/>
      <c r="JTI42" s="83"/>
      <c r="JTJ42" s="83"/>
      <c r="JTK42" s="83"/>
      <c r="JTL42" s="83"/>
      <c r="JTM42" s="83"/>
      <c r="JTN42" s="83"/>
      <c r="JTO42" s="83"/>
      <c r="JTP42" s="83"/>
      <c r="JTQ42" s="83"/>
      <c r="JTR42" s="83"/>
      <c r="JTS42" s="83"/>
      <c r="JTT42" s="83"/>
      <c r="JTU42" s="83"/>
      <c r="JTV42" s="83"/>
      <c r="JTW42" s="83"/>
      <c r="JTX42" s="83"/>
      <c r="JTY42" s="83"/>
      <c r="JTZ42" s="83"/>
      <c r="JUA42" s="83"/>
      <c r="JUB42" s="83"/>
      <c r="JUC42" s="83"/>
      <c r="JUD42" s="83"/>
      <c r="JUE42" s="83"/>
      <c r="JUF42" s="83"/>
      <c r="JUG42" s="83"/>
      <c r="JUH42" s="83"/>
      <c r="JUI42" s="83"/>
      <c r="JUJ42" s="83"/>
      <c r="JUK42" s="83"/>
      <c r="JUL42" s="83"/>
      <c r="JUM42" s="83"/>
      <c r="JUN42" s="83"/>
      <c r="JUO42" s="83"/>
      <c r="JUP42" s="83"/>
      <c r="JUQ42" s="83"/>
      <c r="JUR42" s="83"/>
      <c r="JUS42" s="83"/>
      <c r="JUT42" s="83"/>
      <c r="JUU42" s="83"/>
      <c r="JUV42" s="83"/>
      <c r="JUW42" s="83"/>
      <c r="JUX42" s="83"/>
      <c r="JUY42" s="83"/>
      <c r="JUZ42" s="83"/>
      <c r="JVA42" s="83"/>
      <c r="JVB42" s="83"/>
      <c r="JVC42" s="83"/>
      <c r="JVD42" s="83"/>
      <c r="JVE42" s="83"/>
      <c r="JVF42" s="83"/>
      <c r="JVG42" s="83"/>
      <c r="JVH42" s="83"/>
      <c r="JVI42" s="83"/>
      <c r="JVJ42" s="83"/>
      <c r="JVK42" s="83"/>
      <c r="JVL42" s="83"/>
      <c r="JVM42" s="83"/>
      <c r="JVN42" s="83"/>
      <c r="JVO42" s="83"/>
      <c r="JVP42" s="83"/>
      <c r="JVQ42" s="83"/>
      <c r="JVR42" s="83"/>
      <c r="JVS42" s="83"/>
      <c r="JVT42" s="83"/>
      <c r="JVU42" s="83"/>
      <c r="JVV42" s="83"/>
      <c r="JVW42" s="83"/>
      <c r="JVX42" s="83"/>
      <c r="JVY42" s="83"/>
      <c r="JVZ42" s="83"/>
      <c r="JWA42" s="83"/>
      <c r="JWB42" s="83"/>
      <c r="JWC42" s="83"/>
      <c r="JWD42" s="83"/>
      <c r="JWE42" s="83"/>
      <c r="JWF42" s="83"/>
      <c r="JWG42" s="83"/>
      <c r="JWH42" s="83"/>
      <c r="JWI42" s="83"/>
      <c r="JWJ42" s="83"/>
      <c r="JWK42" s="83"/>
      <c r="JWL42" s="83"/>
      <c r="JWM42" s="83"/>
      <c r="JWN42" s="83"/>
      <c r="JWO42" s="83"/>
      <c r="JWP42" s="83"/>
      <c r="JWQ42" s="83"/>
      <c r="JWR42" s="83"/>
      <c r="JWS42" s="83"/>
      <c r="JWT42" s="83"/>
      <c r="JWU42" s="83"/>
      <c r="JWV42" s="83"/>
      <c r="JWW42" s="83"/>
      <c r="JWX42" s="83"/>
      <c r="JWY42" s="83"/>
      <c r="JWZ42" s="83"/>
      <c r="JXA42" s="83"/>
      <c r="JXB42" s="83"/>
      <c r="JXC42" s="83"/>
      <c r="JXD42" s="83"/>
      <c r="JXE42" s="83"/>
      <c r="JXF42" s="83"/>
      <c r="JXG42" s="83"/>
      <c r="JXH42" s="83"/>
      <c r="JXI42" s="83"/>
      <c r="JXJ42" s="83"/>
      <c r="JXK42" s="83"/>
      <c r="JXL42" s="83"/>
      <c r="JXM42" s="83"/>
      <c r="JXN42" s="83"/>
      <c r="JXO42" s="83"/>
      <c r="JXP42" s="83"/>
      <c r="JXQ42" s="83"/>
      <c r="JXR42" s="83"/>
      <c r="JXS42" s="83"/>
      <c r="JXT42" s="83"/>
      <c r="JXU42" s="83"/>
      <c r="JXV42" s="83"/>
      <c r="JXW42" s="83"/>
      <c r="JXX42" s="83"/>
      <c r="JXY42" s="83"/>
      <c r="JXZ42" s="83"/>
      <c r="JYA42" s="83"/>
      <c r="JYB42" s="83"/>
      <c r="JYC42" s="83"/>
      <c r="JYD42" s="83"/>
      <c r="JYE42" s="83"/>
      <c r="JYF42" s="83"/>
      <c r="JYG42" s="83"/>
      <c r="JYH42" s="83"/>
      <c r="JYI42" s="83"/>
      <c r="JYJ42" s="83"/>
      <c r="JYK42" s="83"/>
      <c r="JYL42" s="83"/>
      <c r="JYM42" s="83"/>
      <c r="JYN42" s="83"/>
      <c r="JYO42" s="83"/>
      <c r="JYP42" s="83"/>
      <c r="JYQ42" s="83"/>
      <c r="JYR42" s="83"/>
      <c r="JYS42" s="83"/>
      <c r="JYT42" s="83"/>
      <c r="JYU42" s="83"/>
      <c r="JYV42" s="83"/>
      <c r="JYW42" s="83"/>
      <c r="JYX42" s="83"/>
      <c r="JYY42" s="83"/>
      <c r="JYZ42" s="83"/>
      <c r="JZA42" s="83"/>
      <c r="JZB42" s="83"/>
      <c r="JZC42" s="83"/>
      <c r="JZD42" s="83"/>
      <c r="JZE42" s="83"/>
      <c r="JZF42" s="83"/>
      <c r="JZG42" s="83"/>
      <c r="JZH42" s="83"/>
      <c r="JZI42" s="83"/>
      <c r="JZJ42" s="83"/>
      <c r="JZK42" s="83"/>
      <c r="JZL42" s="83"/>
      <c r="JZM42" s="83"/>
      <c r="JZN42" s="83"/>
      <c r="JZO42" s="83"/>
      <c r="JZP42" s="83"/>
      <c r="JZQ42" s="83"/>
      <c r="JZR42" s="83"/>
      <c r="JZS42" s="83"/>
      <c r="JZT42" s="83"/>
      <c r="JZU42" s="83"/>
      <c r="JZV42" s="83"/>
      <c r="JZW42" s="83"/>
      <c r="JZX42" s="83"/>
      <c r="JZY42" s="83"/>
      <c r="JZZ42" s="83"/>
      <c r="KAA42" s="83"/>
      <c r="KAB42" s="83"/>
      <c r="KAC42" s="83"/>
      <c r="KAD42" s="83"/>
      <c r="KAE42" s="83"/>
      <c r="KAF42" s="83"/>
      <c r="KAG42" s="83"/>
      <c r="KAH42" s="83"/>
      <c r="KAI42" s="83"/>
      <c r="KAJ42" s="83"/>
      <c r="KAK42" s="83"/>
      <c r="KAL42" s="83"/>
      <c r="KAM42" s="83"/>
      <c r="KAN42" s="83"/>
      <c r="KAO42" s="83"/>
      <c r="KAP42" s="83"/>
      <c r="KAQ42" s="83"/>
      <c r="KAR42" s="83"/>
      <c r="KAS42" s="83"/>
      <c r="KAT42" s="83"/>
      <c r="KAU42" s="83"/>
      <c r="KAV42" s="83"/>
      <c r="KAW42" s="83"/>
      <c r="KAX42" s="83"/>
      <c r="KAY42" s="83"/>
      <c r="KAZ42" s="83"/>
      <c r="KBA42" s="83"/>
      <c r="KBB42" s="83"/>
      <c r="KBC42" s="83"/>
      <c r="KBD42" s="83"/>
      <c r="KBE42" s="83"/>
      <c r="KBF42" s="83"/>
      <c r="KBG42" s="83"/>
      <c r="KBH42" s="83"/>
      <c r="KBI42" s="83"/>
      <c r="KBJ42" s="83"/>
      <c r="KBK42" s="83"/>
      <c r="KBL42" s="83"/>
      <c r="KBM42" s="83"/>
      <c r="KBN42" s="83"/>
      <c r="KBO42" s="83"/>
      <c r="KBP42" s="83"/>
      <c r="KBQ42" s="83"/>
      <c r="KBR42" s="83"/>
      <c r="KBS42" s="83"/>
      <c r="KBT42" s="83"/>
      <c r="KBU42" s="83"/>
      <c r="KBV42" s="83"/>
      <c r="KBW42" s="83"/>
      <c r="KBX42" s="83"/>
      <c r="KBY42" s="83"/>
      <c r="KBZ42" s="83"/>
      <c r="KCA42" s="83"/>
      <c r="KCB42" s="83"/>
      <c r="KCC42" s="83"/>
      <c r="KCD42" s="83"/>
      <c r="KCE42" s="83"/>
      <c r="KCF42" s="83"/>
      <c r="KCG42" s="83"/>
      <c r="KCH42" s="83"/>
      <c r="KCI42" s="83"/>
      <c r="KCJ42" s="83"/>
      <c r="KCK42" s="83"/>
      <c r="KCL42" s="83"/>
      <c r="KCM42" s="83"/>
      <c r="KCN42" s="83"/>
      <c r="KCO42" s="83"/>
      <c r="KCP42" s="83"/>
      <c r="KCQ42" s="83"/>
      <c r="KCR42" s="83"/>
      <c r="KCS42" s="83"/>
      <c r="KCT42" s="83"/>
      <c r="KCU42" s="83"/>
      <c r="KCV42" s="83"/>
      <c r="KCW42" s="83"/>
      <c r="KCX42" s="83"/>
      <c r="KCY42" s="83"/>
      <c r="KCZ42" s="83"/>
      <c r="KDA42" s="83"/>
      <c r="KDB42" s="83"/>
      <c r="KDC42" s="83"/>
      <c r="KDD42" s="83"/>
      <c r="KDE42" s="83"/>
      <c r="KDF42" s="83"/>
      <c r="KDG42" s="83"/>
      <c r="KDH42" s="83"/>
      <c r="KDI42" s="83"/>
      <c r="KDJ42" s="83"/>
      <c r="KDK42" s="83"/>
      <c r="KDL42" s="83"/>
      <c r="KDM42" s="83"/>
      <c r="KDN42" s="83"/>
      <c r="KDO42" s="83"/>
      <c r="KDP42" s="83"/>
      <c r="KDQ42" s="83"/>
      <c r="KDR42" s="83"/>
      <c r="KDS42" s="83"/>
      <c r="KDT42" s="83"/>
      <c r="KDU42" s="83"/>
      <c r="KDV42" s="83"/>
      <c r="KDW42" s="83"/>
      <c r="KDX42" s="83"/>
      <c r="KDY42" s="83"/>
      <c r="KDZ42" s="83"/>
      <c r="KEA42" s="83"/>
      <c r="KEB42" s="83"/>
      <c r="KEC42" s="83"/>
      <c r="KED42" s="83"/>
      <c r="KEE42" s="83"/>
      <c r="KEF42" s="83"/>
      <c r="KEG42" s="83"/>
      <c r="KEH42" s="83"/>
      <c r="KEI42" s="83"/>
      <c r="KEJ42" s="83"/>
      <c r="KEK42" s="83"/>
      <c r="KEL42" s="83"/>
      <c r="KEM42" s="83"/>
      <c r="KEN42" s="83"/>
      <c r="KEO42" s="83"/>
      <c r="KEP42" s="83"/>
      <c r="KEQ42" s="83"/>
      <c r="KER42" s="83"/>
      <c r="KES42" s="83"/>
      <c r="KET42" s="83"/>
      <c r="KEU42" s="83"/>
      <c r="KEV42" s="83"/>
      <c r="KEW42" s="83"/>
      <c r="KEX42" s="83"/>
      <c r="KEY42" s="83"/>
      <c r="KEZ42" s="83"/>
      <c r="KFA42" s="83"/>
      <c r="KFB42" s="83"/>
      <c r="KFC42" s="83"/>
      <c r="KFD42" s="83"/>
      <c r="KFE42" s="83"/>
      <c r="KFF42" s="83"/>
      <c r="KFG42" s="83"/>
      <c r="KFH42" s="83"/>
      <c r="KFI42" s="83"/>
      <c r="KFJ42" s="83"/>
      <c r="KFK42" s="83"/>
      <c r="KFL42" s="83"/>
      <c r="KFM42" s="83"/>
      <c r="KFN42" s="83"/>
      <c r="KFO42" s="83"/>
      <c r="KFP42" s="83"/>
      <c r="KFQ42" s="83"/>
      <c r="KFR42" s="83"/>
      <c r="KFS42" s="83"/>
      <c r="KFT42" s="83"/>
      <c r="KFU42" s="83"/>
      <c r="KFV42" s="83"/>
      <c r="KFW42" s="83"/>
      <c r="KFX42" s="83"/>
      <c r="KFY42" s="83"/>
      <c r="KFZ42" s="83"/>
      <c r="KGA42" s="83"/>
      <c r="KGB42" s="83"/>
      <c r="KGC42" s="83"/>
      <c r="KGD42" s="83"/>
      <c r="KGE42" s="83"/>
      <c r="KGF42" s="83"/>
      <c r="KGG42" s="83"/>
      <c r="KGH42" s="83"/>
      <c r="KGI42" s="83"/>
      <c r="KGJ42" s="83"/>
      <c r="KGK42" s="83"/>
      <c r="KGL42" s="83"/>
      <c r="KGM42" s="83"/>
      <c r="KGN42" s="83"/>
      <c r="KGO42" s="83"/>
      <c r="KGP42" s="83"/>
      <c r="KGQ42" s="83"/>
      <c r="KGR42" s="83"/>
      <c r="KGS42" s="83"/>
      <c r="KGT42" s="83"/>
      <c r="KGU42" s="83"/>
      <c r="KGV42" s="83"/>
      <c r="KGW42" s="83"/>
      <c r="KGX42" s="83"/>
      <c r="KGY42" s="83"/>
      <c r="KGZ42" s="83"/>
      <c r="KHA42" s="83"/>
      <c r="KHB42" s="83"/>
      <c r="KHC42" s="83"/>
      <c r="KHD42" s="83"/>
      <c r="KHE42" s="83"/>
      <c r="KHF42" s="83"/>
      <c r="KHG42" s="83"/>
      <c r="KHH42" s="83"/>
      <c r="KHI42" s="83"/>
      <c r="KHJ42" s="83"/>
      <c r="KHK42" s="83"/>
      <c r="KHL42" s="83"/>
      <c r="KHM42" s="83"/>
      <c r="KHN42" s="83"/>
      <c r="KHO42" s="83"/>
      <c r="KHP42" s="83"/>
      <c r="KHQ42" s="83"/>
      <c r="KHR42" s="83"/>
      <c r="KHS42" s="83"/>
      <c r="KHT42" s="83"/>
      <c r="KHU42" s="83"/>
      <c r="KHV42" s="83"/>
      <c r="KHW42" s="83"/>
      <c r="KHX42" s="83"/>
      <c r="KHY42" s="83"/>
      <c r="KHZ42" s="83"/>
      <c r="KIA42" s="83"/>
      <c r="KIB42" s="83"/>
      <c r="KIC42" s="83"/>
      <c r="KID42" s="83"/>
      <c r="KIE42" s="83"/>
      <c r="KIF42" s="83"/>
      <c r="KIG42" s="83"/>
      <c r="KIH42" s="83"/>
      <c r="KII42" s="83"/>
      <c r="KIJ42" s="83"/>
      <c r="KIK42" s="83"/>
      <c r="KIL42" s="83"/>
      <c r="KIM42" s="83"/>
      <c r="KIN42" s="83"/>
      <c r="KIO42" s="83"/>
      <c r="KIP42" s="83"/>
      <c r="KIQ42" s="83"/>
      <c r="KIR42" s="83"/>
      <c r="KIS42" s="83"/>
      <c r="KIT42" s="83"/>
      <c r="KIU42" s="83"/>
      <c r="KIV42" s="83"/>
      <c r="KIW42" s="83"/>
      <c r="KIX42" s="83"/>
      <c r="KIY42" s="83"/>
      <c r="KIZ42" s="83"/>
      <c r="KJA42" s="83"/>
      <c r="KJB42" s="83"/>
      <c r="KJC42" s="83"/>
      <c r="KJD42" s="83"/>
      <c r="KJE42" s="83"/>
      <c r="KJF42" s="83"/>
      <c r="KJG42" s="83"/>
      <c r="KJH42" s="83"/>
      <c r="KJI42" s="83"/>
      <c r="KJJ42" s="83"/>
      <c r="KJK42" s="83"/>
      <c r="KJL42" s="83"/>
      <c r="KJM42" s="83"/>
      <c r="KJN42" s="83"/>
      <c r="KJO42" s="83"/>
      <c r="KJP42" s="83"/>
      <c r="KJQ42" s="83"/>
      <c r="KJR42" s="83"/>
      <c r="KJS42" s="83"/>
      <c r="KJT42" s="83"/>
      <c r="KJU42" s="83"/>
      <c r="KJV42" s="83"/>
      <c r="KJW42" s="83"/>
      <c r="KJX42" s="83"/>
      <c r="KJY42" s="83"/>
      <c r="KJZ42" s="83"/>
      <c r="KKA42" s="83"/>
      <c r="KKB42" s="83"/>
      <c r="KKC42" s="83"/>
      <c r="KKD42" s="83"/>
      <c r="KKE42" s="83"/>
      <c r="KKF42" s="83"/>
      <c r="KKG42" s="83"/>
      <c r="KKH42" s="83"/>
      <c r="KKI42" s="83"/>
      <c r="KKJ42" s="83"/>
      <c r="KKK42" s="83"/>
      <c r="KKL42" s="83"/>
      <c r="KKM42" s="83"/>
      <c r="KKN42" s="83"/>
      <c r="KKO42" s="83"/>
      <c r="KKP42" s="83"/>
      <c r="KKQ42" s="83"/>
      <c r="KKR42" s="83"/>
      <c r="KKS42" s="83"/>
      <c r="KKT42" s="83"/>
      <c r="KKU42" s="83"/>
      <c r="KKV42" s="83"/>
      <c r="KKW42" s="83"/>
      <c r="KKX42" s="83"/>
      <c r="KKY42" s="83"/>
      <c r="KKZ42" s="83"/>
      <c r="KLA42" s="83"/>
      <c r="KLB42" s="83"/>
      <c r="KLC42" s="83"/>
      <c r="KLD42" s="83"/>
      <c r="KLE42" s="83"/>
      <c r="KLF42" s="83"/>
      <c r="KLG42" s="83"/>
      <c r="KLH42" s="83"/>
      <c r="KLI42" s="83"/>
      <c r="KLJ42" s="83"/>
      <c r="KLK42" s="83"/>
      <c r="KLL42" s="83"/>
      <c r="KLM42" s="83"/>
      <c r="KLN42" s="83"/>
      <c r="KLO42" s="83"/>
      <c r="KLP42" s="83"/>
      <c r="KLQ42" s="83"/>
      <c r="KLR42" s="83"/>
      <c r="KLS42" s="83"/>
      <c r="KLT42" s="83"/>
      <c r="KLU42" s="83"/>
      <c r="KLV42" s="83"/>
      <c r="KLW42" s="83"/>
      <c r="KLX42" s="83"/>
      <c r="KLY42" s="83"/>
      <c r="KLZ42" s="83"/>
      <c r="KMA42" s="83"/>
      <c r="KMB42" s="83"/>
      <c r="KMC42" s="83"/>
      <c r="KMD42" s="83"/>
      <c r="KME42" s="83"/>
      <c r="KMF42" s="83"/>
      <c r="KMG42" s="83"/>
      <c r="KMH42" s="83"/>
      <c r="KMI42" s="83"/>
      <c r="KMJ42" s="83"/>
      <c r="KMK42" s="83"/>
      <c r="KML42" s="83"/>
      <c r="KMM42" s="83"/>
      <c r="KMN42" s="83"/>
      <c r="KMO42" s="83"/>
      <c r="KMP42" s="83"/>
      <c r="KMQ42" s="83"/>
      <c r="KMR42" s="83"/>
      <c r="KMS42" s="83"/>
      <c r="KMT42" s="83"/>
      <c r="KMU42" s="83"/>
      <c r="KMV42" s="83"/>
      <c r="KMW42" s="83"/>
      <c r="KMX42" s="83"/>
      <c r="KMY42" s="83"/>
      <c r="KMZ42" s="83"/>
      <c r="KNA42" s="83"/>
      <c r="KNB42" s="83"/>
      <c r="KNC42" s="83"/>
      <c r="KND42" s="83"/>
      <c r="KNE42" s="83"/>
      <c r="KNF42" s="83"/>
      <c r="KNG42" s="83"/>
      <c r="KNH42" s="83"/>
      <c r="KNI42" s="83"/>
      <c r="KNJ42" s="83"/>
      <c r="KNK42" s="83"/>
      <c r="KNL42" s="83"/>
      <c r="KNM42" s="83"/>
      <c r="KNN42" s="83"/>
      <c r="KNO42" s="83"/>
      <c r="KNP42" s="83"/>
      <c r="KNQ42" s="83"/>
      <c r="KNR42" s="83"/>
      <c r="KNS42" s="83"/>
      <c r="KNT42" s="83"/>
      <c r="KNU42" s="83"/>
      <c r="KNV42" s="83"/>
      <c r="KNW42" s="83"/>
      <c r="KNX42" s="83"/>
      <c r="KNY42" s="83"/>
      <c r="KNZ42" s="83"/>
      <c r="KOA42" s="83"/>
      <c r="KOB42" s="83"/>
      <c r="KOC42" s="83"/>
      <c r="KOD42" s="83"/>
      <c r="KOE42" s="83"/>
      <c r="KOF42" s="83"/>
      <c r="KOG42" s="83"/>
      <c r="KOH42" s="83"/>
      <c r="KOI42" s="83"/>
      <c r="KOJ42" s="83"/>
      <c r="KOK42" s="83"/>
      <c r="KOL42" s="83"/>
      <c r="KOM42" s="83"/>
      <c r="KON42" s="83"/>
      <c r="KOO42" s="83"/>
      <c r="KOP42" s="83"/>
      <c r="KOQ42" s="83"/>
      <c r="KOR42" s="83"/>
      <c r="KOS42" s="83"/>
      <c r="KOT42" s="83"/>
      <c r="KOU42" s="83"/>
      <c r="KOV42" s="83"/>
      <c r="KOW42" s="83"/>
      <c r="KOX42" s="83"/>
      <c r="KOY42" s="83"/>
      <c r="KOZ42" s="83"/>
      <c r="KPA42" s="83"/>
      <c r="KPB42" s="83"/>
      <c r="KPC42" s="83"/>
      <c r="KPD42" s="83"/>
      <c r="KPE42" s="83"/>
      <c r="KPF42" s="83"/>
      <c r="KPG42" s="83"/>
      <c r="KPH42" s="83"/>
      <c r="KPI42" s="83"/>
      <c r="KPJ42" s="83"/>
      <c r="KPK42" s="83"/>
      <c r="KPL42" s="83"/>
      <c r="KPM42" s="83"/>
      <c r="KPN42" s="83"/>
      <c r="KPO42" s="83"/>
      <c r="KPP42" s="83"/>
      <c r="KPQ42" s="83"/>
      <c r="KPR42" s="83"/>
      <c r="KPS42" s="83"/>
      <c r="KPT42" s="83"/>
      <c r="KPU42" s="83"/>
      <c r="KPV42" s="83"/>
      <c r="KPW42" s="83"/>
      <c r="KPX42" s="83"/>
      <c r="KPY42" s="83"/>
      <c r="KPZ42" s="83"/>
      <c r="KQA42" s="83"/>
      <c r="KQB42" s="83"/>
      <c r="KQC42" s="83"/>
      <c r="KQD42" s="83"/>
      <c r="KQE42" s="83"/>
      <c r="KQF42" s="83"/>
      <c r="KQG42" s="83"/>
      <c r="KQH42" s="83"/>
      <c r="KQI42" s="83"/>
      <c r="KQJ42" s="83"/>
      <c r="KQK42" s="83"/>
      <c r="KQL42" s="83"/>
      <c r="KQM42" s="83"/>
      <c r="KQN42" s="83"/>
      <c r="KQO42" s="83"/>
      <c r="KQP42" s="83"/>
      <c r="KQQ42" s="83"/>
      <c r="KQR42" s="83"/>
      <c r="KQS42" s="83"/>
      <c r="KQT42" s="83"/>
      <c r="KQU42" s="83"/>
      <c r="KQV42" s="83"/>
      <c r="KQW42" s="83"/>
      <c r="KQX42" s="83"/>
      <c r="KQY42" s="83"/>
      <c r="KQZ42" s="83"/>
      <c r="KRA42" s="83"/>
      <c r="KRB42" s="83"/>
      <c r="KRC42" s="83"/>
      <c r="KRD42" s="83"/>
      <c r="KRE42" s="83"/>
      <c r="KRF42" s="83"/>
      <c r="KRG42" s="83"/>
      <c r="KRH42" s="83"/>
      <c r="KRI42" s="83"/>
      <c r="KRJ42" s="83"/>
      <c r="KRK42" s="83"/>
      <c r="KRL42" s="83"/>
      <c r="KRM42" s="83"/>
      <c r="KRN42" s="83"/>
      <c r="KRO42" s="83"/>
      <c r="KRP42" s="83"/>
      <c r="KRQ42" s="83"/>
      <c r="KRR42" s="83"/>
      <c r="KRS42" s="83"/>
      <c r="KRT42" s="83"/>
      <c r="KRU42" s="83"/>
      <c r="KRV42" s="83"/>
      <c r="KRW42" s="83"/>
      <c r="KRX42" s="83"/>
      <c r="KRY42" s="83"/>
      <c r="KRZ42" s="83"/>
      <c r="KSA42" s="83"/>
      <c r="KSB42" s="83"/>
      <c r="KSC42" s="83"/>
      <c r="KSD42" s="83"/>
      <c r="KSE42" s="83"/>
      <c r="KSF42" s="83"/>
      <c r="KSG42" s="83"/>
      <c r="KSH42" s="83"/>
      <c r="KSI42" s="83"/>
      <c r="KSJ42" s="83"/>
      <c r="KSK42" s="83"/>
      <c r="KSL42" s="83"/>
      <c r="KSM42" s="83"/>
      <c r="KSN42" s="83"/>
      <c r="KSO42" s="83"/>
      <c r="KSP42" s="83"/>
      <c r="KSQ42" s="83"/>
      <c r="KSR42" s="83"/>
      <c r="KSS42" s="83"/>
      <c r="KST42" s="83"/>
      <c r="KSU42" s="83"/>
      <c r="KSV42" s="83"/>
      <c r="KSW42" s="83"/>
      <c r="KSX42" s="83"/>
      <c r="KSY42" s="83"/>
      <c r="KSZ42" s="83"/>
      <c r="KTA42" s="83"/>
      <c r="KTB42" s="83"/>
      <c r="KTC42" s="83"/>
      <c r="KTD42" s="83"/>
      <c r="KTE42" s="83"/>
      <c r="KTF42" s="83"/>
      <c r="KTG42" s="83"/>
      <c r="KTH42" s="83"/>
      <c r="KTI42" s="83"/>
      <c r="KTJ42" s="83"/>
      <c r="KTK42" s="83"/>
      <c r="KTL42" s="83"/>
      <c r="KTM42" s="83"/>
      <c r="KTN42" s="83"/>
      <c r="KTO42" s="83"/>
      <c r="KTP42" s="83"/>
      <c r="KTQ42" s="83"/>
      <c r="KTR42" s="83"/>
      <c r="KTS42" s="83"/>
      <c r="KTT42" s="83"/>
      <c r="KTU42" s="83"/>
      <c r="KTV42" s="83"/>
      <c r="KTW42" s="83"/>
      <c r="KTX42" s="83"/>
      <c r="KTY42" s="83"/>
      <c r="KTZ42" s="83"/>
      <c r="KUA42" s="83"/>
      <c r="KUB42" s="83"/>
      <c r="KUC42" s="83"/>
      <c r="KUD42" s="83"/>
      <c r="KUE42" s="83"/>
      <c r="KUF42" s="83"/>
      <c r="KUG42" s="83"/>
      <c r="KUH42" s="83"/>
      <c r="KUI42" s="83"/>
      <c r="KUJ42" s="83"/>
      <c r="KUK42" s="83"/>
      <c r="KUL42" s="83"/>
      <c r="KUM42" s="83"/>
      <c r="KUN42" s="83"/>
      <c r="KUO42" s="83"/>
      <c r="KUP42" s="83"/>
      <c r="KUQ42" s="83"/>
      <c r="KUR42" s="83"/>
      <c r="KUS42" s="83"/>
      <c r="KUT42" s="83"/>
      <c r="KUU42" s="83"/>
      <c r="KUV42" s="83"/>
      <c r="KUW42" s="83"/>
      <c r="KUX42" s="83"/>
      <c r="KUY42" s="83"/>
      <c r="KUZ42" s="83"/>
      <c r="KVA42" s="83"/>
      <c r="KVB42" s="83"/>
      <c r="KVC42" s="83"/>
      <c r="KVD42" s="83"/>
      <c r="KVE42" s="83"/>
      <c r="KVF42" s="83"/>
      <c r="KVG42" s="83"/>
      <c r="KVH42" s="83"/>
      <c r="KVI42" s="83"/>
      <c r="KVJ42" s="83"/>
      <c r="KVK42" s="83"/>
      <c r="KVL42" s="83"/>
      <c r="KVM42" s="83"/>
      <c r="KVN42" s="83"/>
      <c r="KVO42" s="83"/>
      <c r="KVP42" s="83"/>
      <c r="KVQ42" s="83"/>
      <c r="KVR42" s="83"/>
      <c r="KVS42" s="83"/>
      <c r="KVT42" s="83"/>
      <c r="KVU42" s="83"/>
      <c r="KVV42" s="83"/>
      <c r="KVW42" s="83"/>
      <c r="KVX42" s="83"/>
      <c r="KVY42" s="83"/>
      <c r="KVZ42" s="83"/>
      <c r="KWA42" s="83"/>
      <c r="KWB42" s="83"/>
      <c r="KWC42" s="83"/>
      <c r="KWD42" s="83"/>
      <c r="KWE42" s="83"/>
      <c r="KWF42" s="83"/>
      <c r="KWG42" s="83"/>
      <c r="KWH42" s="83"/>
      <c r="KWI42" s="83"/>
      <c r="KWJ42" s="83"/>
      <c r="KWK42" s="83"/>
      <c r="KWL42" s="83"/>
      <c r="KWM42" s="83"/>
      <c r="KWN42" s="83"/>
      <c r="KWO42" s="83"/>
      <c r="KWP42" s="83"/>
      <c r="KWQ42" s="83"/>
      <c r="KWR42" s="83"/>
      <c r="KWS42" s="83"/>
      <c r="KWT42" s="83"/>
      <c r="KWU42" s="83"/>
      <c r="KWV42" s="83"/>
      <c r="KWW42" s="83"/>
      <c r="KWX42" s="83"/>
      <c r="KWY42" s="83"/>
      <c r="KWZ42" s="83"/>
      <c r="KXA42" s="83"/>
      <c r="KXB42" s="83"/>
      <c r="KXC42" s="83"/>
      <c r="KXD42" s="83"/>
      <c r="KXE42" s="83"/>
      <c r="KXF42" s="83"/>
      <c r="KXG42" s="83"/>
      <c r="KXH42" s="83"/>
      <c r="KXI42" s="83"/>
      <c r="KXJ42" s="83"/>
      <c r="KXK42" s="83"/>
      <c r="KXL42" s="83"/>
      <c r="KXM42" s="83"/>
      <c r="KXN42" s="83"/>
      <c r="KXO42" s="83"/>
      <c r="KXP42" s="83"/>
      <c r="KXQ42" s="83"/>
      <c r="KXR42" s="83"/>
      <c r="KXS42" s="83"/>
      <c r="KXT42" s="83"/>
      <c r="KXU42" s="83"/>
      <c r="KXV42" s="83"/>
      <c r="KXW42" s="83"/>
      <c r="KXX42" s="83"/>
      <c r="KXY42" s="83"/>
      <c r="KXZ42" s="83"/>
      <c r="KYA42" s="83"/>
      <c r="KYB42" s="83"/>
      <c r="KYC42" s="83"/>
      <c r="KYD42" s="83"/>
      <c r="KYE42" s="83"/>
      <c r="KYF42" s="83"/>
      <c r="KYG42" s="83"/>
      <c r="KYH42" s="83"/>
      <c r="KYI42" s="83"/>
      <c r="KYJ42" s="83"/>
      <c r="KYK42" s="83"/>
      <c r="KYL42" s="83"/>
      <c r="KYM42" s="83"/>
      <c r="KYN42" s="83"/>
      <c r="KYO42" s="83"/>
      <c r="KYP42" s="83"/>
      <c r="KYQ42" s="83"/>
      <c r="KYR42" s="83"/>
      <c r="KYS42" s="83"/>
      <c r="KYT42" s="83"/>
      <c r="KYU42" s="83"/>
      <c r="KYV42" s="83"/>
      <c r="KYW42" s="83"/>
      <c r="KYX42" s="83"/>
      <c r="KYY42" s="83"/>
      <c r="KYZ42" s="83"/>
      <c r="KZA42" s="83"/>
      <c r="KZB42" s="83"/>
      <c r="KZC42" s="83"/>
      <c r="KZD42" s="83"/>
      <c r="KZE42" s="83"/>
      <c r="KZF42" s="83"/>
      <c r="KZG42" s="83"/>
      <c r="KZH42" s="83"/>
      <c r="KZI42" s="83"/>
      <c r="KZJ42" s="83"/>
      <c r="KZK42" s="83"/>
      <c r="KZL42" s="83"/>
      <c r="KZM42" s="83"/>
      <c r="KZN42" s="83"/>
      <c r="KZO42" s="83"/>
      <c r="KZP42" s="83"/>
      <c r="KZQ42" s="83"/>
      <c r="KZR42" s="83"/>
      <c r="KZS42" s="83"/>
      <c r="KZT42" s="83"/>
      <c r="KZU42" s="83"/>
      <c r="KZV42" s="83"/>
      <c r="KZW42" s="83"/>
      <c r="KZX42" s="83"/>
      <c r="KZY42" s="83"/>
      <c r="KZZ42" s="83"/>
      <c r="LAA42" s="83"/>
      <c r="LAB42" s="83"/>
      <c r="LAC42" s="83"/>
      <c r="LAD42" s="83"/>
      <c r="LAE42" s="83"/>
      <c r="LAF42" s="83"/>
      <c r="LAG42" s="83"/>
      <c r="LAH42" s="83"/>
      <c r="LAI42" s="83"/>
      <c r="LAJ42" s="83"/>
      <c r="LAK42" s="83"/>
      <c r="LAL42" s="83"/>
      <c r="LAM42" s="83"/>
      <c r="LAN42" s="83"/>
      <c r="LAO42" s="83"/>
      <c r="LAP42" s="83"/>
      <c r="LAQ42" s="83"/>
      <c r="LAR42" s="83"/>
      <c r="LAS42" s="83"/>
      <c r="LAT42" s="83"/>
      <c r="LAU42" s="83"/>
      <c r="LAV42" s="83"/>
      <c r="LAW42" s="83"/>
      <c r="LAX42" s="83"/>
      <c r="LAY42" s="83"/>
      <c r="LAZ42" s="83"/>
      <c r="LBA42" s="83"/>
      <c r="LBB42" s="83"/>
      <c r="LBC42" s="83"/>
      <c r="LBD42" s="83"/>
      <c r="LBE42" s="83"/>
      <c r="LBF42" s="83"/>
      <c r="LBG42" s="83"/>
      <c r="LBH42" s="83"/>
      <c r="LBI42" s="83"/>
      <c r="LBJ42" s="83"/>
      <c r="LBK42" s="83"/>
      <c r="LBL42" s="83"/>
      <c r="LBM42" s="83"/>
      <c r="LBN42" s="83"/>
      <c r="LBO42" s="83"/>
      <c r="LBP42" s="83"/>
      <c r="LBQ42" s="83"/>
      <c r="LBR42" s="83"/>
      <c r="LBS42" s="83"/>
      <c r="LBT42" s="83"/>
      <c r="LBU42" s="83"/>
      <c r="LBV42" s="83"/>
      <c r="LBW42" s="83"/>
      <c r="LBX42" s="83"/>
      <c r="LBY42" s="83"/>
      <c r="LBZ42" s="83"/>
      <c r="LCA42" s="83"/>
      <c r="LCB42" s="83"/>
      <c r="LCC42" s="83"/>
      <c r="LCD42" s="83"/>
      <c r="LCE42" s="83"/>
      <c r="LCF42" s="83"/>
      <c r="LCG42" s="83"/>
      <c r="LCH42" s="83"/>
      <c r="LCI42" s="83"/>
      <c r="LCJ42" s="83"/>
      <c r="LCK42" s="83"/>
      <c r="LCL42" s="83"/>
      <c r="LCM42" s="83"/>
      <c r="LCN42" s="83"/>
      <c r="LCO42" s="83"/>
      <c r="LCP42" s="83"/>
      <c r="LCQ42" s="83"/>
      <c r="LCR42" s="83"/>
      <c r="LCS42" s="83"/>
      <c r="LCT42" s="83"/>
      <c r="LCU42" s="83"/>
      <c r="LCV42" s="83"/>
      <c r="LCW42" s="83"/>
      <c r="LCX42" s="83"/>
      <c r="LCY42" s="83"/>
      <c r="LCZ42" s="83"/>
      <c r="LDA42" s="83"/>
      <c r="LDB42" s="83"/>
      <c r="LDC42" s="83"/>
      <c r="LDD42" s="83"/>
      <c r="LDE42" s="83"/>
      <c r="LDF42" s="83"/>
      <c r="LDG42" s="83"/>
      <c r="LDH42" s="83"/>
      <c r="LDI42" s="83"/>
      <c r="LDJ42" s="83"/>
      <c r="LDK42" s="83"/>
      <c r="LDL42" s="83"/>
      <c r="LDM42" s="83"/>
      <c r="LDN42" s="83"/>
      <c r="LDO42" s="83"/>
      <c r="LDP42" s="83"/>
      <c r="LDQ42" s="83"/>
      <c r="LDR42" s="83"/>
      <c r="LDS42" s="83"/>
      <c r="LDT42" s="83"/>
      <c r="LDU42" s="83"/>
      <c r="LDV42" s="83"/>
      <c r="LDW42" s="83"/>
      <c r="LDX42" s="83"/>
      <c r="LDY42" s="83"/>
      <c r="LDZ42" s="83"/>
      <c r="LEA42" s="83"/>
      <c r="LEB42" s="83"/>
      <c r="LEC42" s="83"/>
      <c r="LED42" s="83"/>
      <c r="LEE42" s="83"/>
      <c r="LEF42" s="83"/>
      <c r="LEG42" s="83"/>
      <c r="LEH42" s="83"/>
      <c r="LEI42" s="83"/>
      <c r="LEJ42" s="83"/>
      <c r="LEK42" s="83"/>
      <c r="LEL42" s="83"/>
      <c r="LEM42" s="83"/>
      <c r="LEN42" s="83"/>
      <c r="LEO42" s="83"/>
      <c r="LEP42" s="83"/>
      <c r="LEQ42" s="83"/>
      <c r="LER42" s="83"/>
      <c r="LES42" s="83"/>
      <c r="LET42" s="83"/>
      <c r="LEU42" s="83"/>
      <c r="LEV42" s="83"/>
      <c r="LEW42" s="83"/>
      <c r="LEX42" s="83"/>
      <c r="LEY42" s="83"/>
      <c r="LEZ42" s="83"/>
      <c r="LFA42" s="83"/>
      <c r="LFB42" s="83"/>
      <c r="LFC42" s="83"/>
      <c r="LFD42" s="83"/>
      <c r="LFE42" s="83"/>
      <c r="LFF42" s="83"/>
      <c r="LFG42" s="83"/>
      <c r="LFH42" s="83"/>
      <c r="LFI42" s="83"/>
      <c r="LFJ42" s="83"/>
      <c r="LFK42" s="83"/>
      <c r="LFL42" s="83"/>
      <c r="LFM42" s="83"/>
      <c r="LFN42" s="83"/>
      <c r="LFO42" s="83"/>
      <c r="LFP42" s="83"/>
      <c r="LFQ42" s="83"/>
      <c r="LFR42" s="83"/>
      <c r="LFS42" s="83"/>
      <c r="LFT42" s="83"/>
      <c r="LFU42" s="83"/>
      <c r="LFV42" s="83"/>
      <c r="LFW42" s="83"/>
      <c r="LFX42" s="83"/>
      <c r="LFY42" s="83"/>
      <c r="LFZ42" s="83"/>
      <c r="LGA42" s="83"/>
      <c r="LGB42" s="83"/>
      <c r="LGC42" s="83"/>
      <c r="LGD42" s="83"/>
      <c r="LGE42" s="83"/>
      <c r="LGF42" s="83"/>
      <c r="LGG42" s="83"/>
      <c r="LGH42" s="83"/>
      <c r="LGI42" s="83"/>
      <c r="LGJ42" s="83"/>
      <c r="LGK42" s="83"/>
      <c r="LGL42" s="83"/>
      <c r="LGM42" s="83"/>
      <c r="LGN42" s="83"/>
      <c r="LGO42" s="83"/>
      <c r="LGP42" s="83"/>
      <c r="LGQ42" s="83"/>
      <c r="LGR42" s="83"/>
      <c r="LGS42" s="83"/>
      <c r="LGT42" s="83"/>
      <c r="LGU42" s="83"/>
      <c r="LGV42" s="83"/>
      <c r="LGW42" s="83"/>
      <c r="LGX42" s="83"/>
      <c r="LGY42" s="83"/>
      <c r="LGZ42" s="83"/>
      <c r="LHA42" s="83"/>
      <c r="LHB42" s="83"/>
      <c r="LHC42" s="83"/>
      <c r="LHD42" s="83"/>
      <c r="LHE42" s="83"/>
      <c r="LHF42" s="83"/>
      <c r="LHG42" s="83"/>
      <c r="LHH42" s="83"/>
      <c r="LHI42" s="83"/>
      <c r="LHJ42" s="83"/>
      <c r="LHK42" s="83"/>
      <c r="LHL42" s="83"/>
      <c r="LHM42" s="83"/>
      <c r="LHN42" s="83"/>
      <c r="LHO42" s="83"/>
      <c r="LHP42" s="83"/>
      <c r="LHQ42" s="83"/>
      <c r="LHR42" s="83"/>
      <c r="LHS42" s="83"/>
      <c r="LHT42" s="83"/>
      <c r="LHU42" s="83"/>
      <c r="LHV42" s="83"/>
      <c r="LHW42" s="83"/>
      <c r="LHX42" s="83"/>
      <c r="LHY42" s="83"/>
      <c r="LHZ42" s="83"/>
      <c r="LIA42" s="83"/>
      <c r="LIB42" s="83"/>
      <c r="LIC42" s="83"/>
      <c r="LID42" s="83"/>
      <c r="LIE42" s="83"/>
      <c r="LIF42" s="83"/>
      <c r="LIG42" s="83"/>
      <c r="LIH42" s="83"/>
      <c r="LII42" s="83"/>
      <c r="LIJ42" s="83"/>
      <c r="LIK42" s="83"/>
      <c r="LIL42" s="83"/>
      <c r="LIM42" s="83"/>
      <c r="LIN42" s="83"/>
      <c r="LIO42" s="83"/>
      <c r="LIP42" s="83"/>
      <c r="LIQ42" s="83"/>
      <c r="LIR42" s="83"/>
      <c r="LIS42" s="83"/>
      <c r="LIT42" s="83"/>
      <c r="LIU42" s="83"/>
      <c r="LIV42" s="83"/>
      <c r="LIW42" s="83"/>
      <c r="LIX42" s="83"/>
      <c r="LIY42" s="83"/>
      <c r="LIZ42" s="83"/>
      <c r="LJA42" s="83"/>
      <c r="LJB42" s="83"/>
      <c r="LJC42" s="83"/>
      <c r="LJD42" s="83"/>
      <c r="LJE42" s="83"/>
      <c r="LJF42" s="83"/>
      <c r="LJG42" s="83"/>
      <c r="LJH42" s="83"/>
      <c r="LJI42" s="83"/>
      <c r="LJJ42" s="83"/>
      <c r="LJK42" s="83"/>
      <c r="LJL42" s="83"/>
      <c r="LJM42" s="83"/>
      <c r="LJN42" s="83"/>
      <c r="LJO42" s="83"/>
      <c r="LJP42" s="83"/>
      <c r="LJQ42" s="83"/>
      <c r="LJR42" s="83"/>
      <c r="LJS42" s="83"/>
      <c r="LJT42" s="83"/>
      <c r="LJU42" s="83"/>
      <c r="LJV42" s="83"/>
      <c r="LJW42" s="83"/>
      <c r="LJX42" s="83"/>
      <c r="LJY42" s="83"/>
      <c r="LJZ42" s="83"/>
      <c r="LKA42" s="83"/>
      <c r="LKB42" s="83"/>
      <c r="LKC42" s="83"/>
      <c r="LKD42" s="83"/>
      <c r="LKE42" s="83"/>
      <c r="LKF42" s="83"/>
      <c r="LKG42" s="83"/>
      <c r="LKH42" s="83"/>
      <c r="LKI42" s="83"/>
      <c r="LKJ42" s="83"/>
      <c r="LKK42" s="83"/>
      <c r="LKL42" s="83"/>
      <c r="LKM42" s="83"/>
      <c r="LKN42" s="83"/>
      <c r="LKO42" s="83"/>
      <c r="LKP42" s="83"/>
      <c r="LKQ42" s="83"/>
      <c r="LKR42" s="83"/>
      <c r="LKS42" s="83"/>
      <c r="LKT42" s="83"/>
      <c r="LKU42" s="83"/>
      <c r="LKV42" s="83"/>
      <c r="LKW42" s="83"/>
      <c r="LKX42" s="83"/>
      <c r="LKY42" s="83"/>
      <c r="LKZ42" s="83"/>
      <c r="LLA42" s="83"/>
      <c r="LLB42" s="83"/>
      <c r="LLC42" s="83"/>
      <c r="LLD42" s="83"/>
      <c r="LLE42" s="83"/>
      <c r="LLF42" s="83"/>
      <c r="LLG42" s="83"/>
      <c r="LLH42" s="83"/>
      <c r="LLI42" s="83"/>
      <c r="LLJ42" s="83"/>
      <c r="LLK42" s="83"/>
      <c r="LLL42" s="83"/>
      <c r="LLM42" s="83"/>
      <c r="LLN42" s="83"/>
      <c r="LLO42" s="83"/>
      <c r="LLP42" s="83"/>
      <c r="LLQ42" s="83"/>
      <c r="LLR42" s="83"/>
      <c r="LLS42" s="83"/>
      <c r="LLT42" s="83"/>
      <c r="LLU42" s="83"/>
      <c r="LLV42" s="83"/>
      <c r="LLW42" s="83"/>
      <c r="LLX42" s="83"/>
      <c r="LLY42" s="83"/>
      <c r="LLZ42" s="83"/>
      <c r="LMA42" s="83"/>
      <c r="LMB42" s="83"/>
      <c r="LMC42" s="83"/>
      <c r="LMD42" s="83"/>
      <c r="LME42" s="83"/>
      <c r="LMF42" s="83"/>
      <c r="LMG42" s="83"/>
      <c r="LMH42" s="83"/>
      <c r="LMI42" s="83"/>
      <c r="LMJ42" s="83"/>
      <c r="LMK42" s="83"/>
      <c r="LML42" s="83"/>
      <c r="LMM42" s="83"/>
      <c r="LMN42" s="83"/>
      <c r="LMO42" s="83"/>
      <c r="LMP42" s="83"/>
      <c r="LMQ42" s="83"/>
      <c r="LMR42" s="83"/>
      <c r="LMS42" s="83"/>
      <c r="LMT42" s="83"/>
      <c r="LMU42" s="83"/>
      <c r="LMV42" s="83"/>
      <c r="LMW42" s="83"/>
      <c r="LMX42" s="83"/>
      <c r="LMY42" s="83"/>
      <c r="LMZ42" s="83"/>
      <c r="LNA42" s="83"/>
      <c r="LNB42" s="83"/>
      <c r="LNC42" s="83"/>
      <c r="LND42" s="83"/>
      <c r="LNE42" s="83"/>
      <c r="LNF42" s="83"/>
      <c r="LNG42" s="83"/>
      <c r="LNH42" s="83"/>
      <c r="LNI42" s="83"/>
      <c r="LNJ42" s="83"/>
      <c r="LNK42" s="83"/>
      <c r="LNL42" s="83"/>
      <c r="LNM42" s="83"/>
      <c r="LNN42" s="83"/>
      <c r="LNO42" s="83"/>
      <c r="LNP42" s="83"/>
      <c r="LNQ42" s="83"/>
      <c r="LNR42" s="83"/>
      <c r="LNS42" s="83"/>
      <c r="LNT42" s="83"/>
      <c r="LNU42" s="83"/>
      <c r="LNV42" s="83"/>
      <c r="LNW42" s="83"/>
      <c r="LNX42" s="83"/>
      <c r="LNY42" s="83"/>
      <c r="LNZ42" s="83"/>
      <c r="LOA42" s="83"/>
      <c r="LOB42" s="83"/>
      <c r="LOC42" s="83"/>
      <c r="LOD42" s="83"/>
      <c r="LOE42" s="83"/>
      <c r="LOF42" s="83"/>
      <c r="LOG42" s="83"/>
      <c r="LOH42" s="83"/>
      <c r="LOI42" s="83"/>
      <c r="LOJ42" s="83"/>
      <c r="LOK42" s="83"/>
      <c r="LOL42" s="83"/>
      <c r="LOM42" s="83"/>
      <c r="LON42" s="83"/>
      <c r="LOO42" s="83"/>
      <c r="LOP42" s="83"/>
      <c r="LOQ42" s="83"/>
      <c r="LOR42" s="83"/>
      <c r="LOS42" s="83"/>
      <c r="LOT42" s="83"/>
      <c r="LOU42" s="83"/>
      <c r="LOV42" s="83"/>
      <c r="LOW42" s="83"/>
      <c r="LOX42" s="83"/>
      <c r="LOY42" s="83"/>
      <c r="LOZ42" s="83"/>
      <c r="LPA42" s="83"/>
      <c r="LPB42" s="83"/>
      <c r="LPC42" s="83"/>
      <c r="LPD42" s="83"/>
      <c r="LPE42" s="83"/>
      <c r="LPF42" s="83"/>
      <c r="LPG42" s="83"/>
      <c r="LPH42" s="83"/>
      <c r="LPI42" s="83"/>
      <c r="LPJ42" s="83"/>
      <c r="LPK42" s="83"/>
      <c r="LPL42" s="83"/>
      <c r="LPM42" s="83"/>
      <c r="LPN42" s="83"/>
      <c r="LPO42" s="83"/>
      <c r="LPP42" s="83"/>
      <c r="LPQ42" s="83"/>
      <c r="LPR42" s="83"/>
      <c r="LPS42" s="83"/>
      <c r="LPT42" s="83"/>
      <c r="LPU42" s="83"/>
      <c r="LPV42" s="83"/>
      <c r="LPW42" s="83"/>
      <c r="LPX42" s="83"/>
      <c r="LPY42" s="83"/>
      <c r="LPZ42" s="83"/>
      <c r="LQA42" s="83"/>
      <c r="LQB42" s="83"/>
      <c r="LQC42" s="83"/>
      <c r="LQD42" s="83"/>
      <c r="LQE42" s="83"/>
      <c r="LQF42" s="83"/>
      <c r="LQG42" s="83"/>
      <c r="LQH42" s="83"/>
      <c r="LQI42" s="83"/>
      <c r="LQJ42" s="83"/>
      <c r="LQK42" s="83"/>
      <c r="LQL42" s="83"/>
      <c r="LQM42" s="83"/>
      <c r="LQN42" s="83"/>
      <c r="LQO42" s="83"/>
      <c r="LQP42" s="83"/>
      <c r="LQQ42" s="83"/>
      <c r="LQR42" s="83"/>
      <c r="LQS42" s="83"/>
      <c r="LQT42" s="83"/>
      <c r="LQU42" s="83"/>
      <c r="LQV42" s="83"/>
      <c r="LQW42" s="83"/>
      <c r="LQX42" s="83"/>
      <c r="LQY42" s="83"/>
      <c r="LQZ42" s="83"/>
      <c r="LRA42" s="83"/>
      <c r="LRB42" s="83"/>
      <c r="LRC42" s="83"/>
      <c r="LRD42" s="83"/>
      <c r="LRE42" s="83"/>
      <c r="LRF42" s="83"/>
      <c r="LRG42" s="83"/>
      <c r="LRH42" s="83"/>
      <c r="LRI42" s="83"/>
      <c r="LRJ42" s="83"/>
      <c r="LRK42" s="83"/>
      <c r="LRL42" s="83"/>
      <c r="LRM42" s="83"/>
      <c r="LRN42" s="83"/>
      <c r="LRO42" s="83"/>
      <c r="LRP42" s="83"/>
      <c r="LRQ42" s="83"/>
      <c r="LRR42" s="83"/>
      <c r="LRS42" s="83"/>
      <c r="LRT42" s="83"/>
      <c r="LRU42" s="83"/>
      <c r="LRV42" s="83"/>
      <c r="LRW42" s="83"/>
      <c r="LRX42" s="83"/>
      <c r="LRY42" s="83"/>
      <c r="LRZ42" s="83"/>
      <c r="LSA42" s="83"/>
      <c r="LSB42" s="83"/>
      <c r="LSC42" s="83"/>
      <c r="LSD42" s="83"/>
      <c r="LSE42" s="83"/>
      <c r="LSF42" s="83"/>
      <c r="LSG42" s="83"/>
      <c r="LSH42" s="83"/>
      <c r="LSI42" s="83"/>
      <c r="LSJ42" s="83"/>
      <c r="LSK42" s="83"/>
      <c r="LSL42" s="83"/>
      <c r="LSM42" s="83"/>
      <c r="LSN42" s="83"/>
      <c r="LSO42" s="83"/>
      <c r="LSP42" s="83"/>
      <c r="LSQ42" s="83"/>
      <c r="LSR42" s="83"/>
      <c r="LSS42" s="83"/>
      <c r="LST42" s="83"/>
      <c r="LSU42" s="83"/>
      <c r="LSV42" s="83"/>
      <c r="LSW42" s="83"/>
      <c r="LSX42" s="83"/>
      <c r="LSY42" s="83"/>
      <c r="LSZ42" s="83"/>
      <c r="LTA42" s="83"/>
      <c r="LTB42" s="83"/>
      <c r="LTC42" s="83"/>
      <c r="LTD42" s="83"/>
      <c r="LTE42" s="83"/>
      <c r="LTF42" s="83"/>
      <c r="LTG42" s="83"/>
      <c r="LTH42" s="83"/>
      <c r="LTI42" s="83"/>
      <c r="LTJ42" s="83"/>
      <c r="LTK42" s="83"/>
      <c r="LTL42" s="83"/>
      <c r="LTM42" s="83"/>
      <c r="LTN42" s="83"/>
      <c r="LTO42" s="83"/>
      <c r="LTP42" s="83"/>
      <c r="LTQ42" s="83"/>
      <c r="LTR42" s="83"/>
      <c r="LTS42" s="83"/>
      <c r="LTT42" s="83"/>
      <c r="LTU42" s="83"/>
      <c r="LTV42" s="83"/>
      <c r="LTW42" s="83"/>
      <c r="LTX42" s="83"/>
      <c r="LTY42" s="83"/>
      <c r="LTZ42" s="83"/>
      <c r="LUA42" s="83"/>
      <c r="LUB42" s="83"/>
      <c r="LUC42" s="83"/>
      <c r="LUD42" s="83"/>
      <c r="LUE42" s="83"/>
      <c r="LUF42" s="83"/>
      <c r="LUG42" s="83"/>
      <c r="LUH42" s="83"/>
      <c r="LUI42" s="83"/>
      <c r="LUJ42" s="83"/>
      <c r="LUK42" s="83"/>
      <c r="LUL42" s="83"/>
      <c r="LUM42" s="83"/>
      <c r="LUN42" s="83"/>
      <c r="LUO42" s="83"/>
      <c r="LUP42" s="83"/>
      <c r="LUQ42" s="83"/>
      <c r="LUR42" s="83"/>
      <c r="LUS42" s="83"/>
      <c r="LUT42" s="83"/>
      <c r="LUU42" s="83"/>
      <c r="LUV42" s="83"/>
      <c r="LUW42" s="83"/>
      <c r="LUX42" s="83"/>
      <c r="LUY42" s="83"/>
      <c r="LUZ42" s="83"/>
      <c r="LVA42" s="83"/>
      <c r="LVB42" s="83"/>
      <c r="LVC42" s="83"/>
      <c r="LVD42" s="83"/>
      <c r="LVE42" s="83"/>
      <c r="LVF42" s="83"/>
      <c r="LVG42" s="83"/>
      <c r="LVH42" s="83"/>
      <c r="LVI42" s="83"/>
      <c r="LVJ42" s="83"/>
      <c r="LVK42" s="83"/>
      <c r="LVL42" s="83"/>
      <c r="LVM42" s="83"/>
      <c r="LVN42" s="83"/>
      <c r="LVO42" s="83"/>
      <c r="LVP42" s="83"/>
      <c r="LVQ42" s="83"/>
      <c r="LVR42" s="83"/>
      <c r="LVS42" s="83"/>
      <c r="LVT42" s="83"/>
      <c r="LVU42" s="83"/>
      <c r="LVV42" s="83"/>
      <c r="LVW42" s="83"/>
      <c r="LVX42" s="83"/>
      <c r="LVY42" s="83"/>
      <c r="LVZ42" s="83"/>
      <c r="LWA42" s="83"/>
      <c r="LWB42" s="83"/>
      <c r="LWC42" s="83"/>
      <c r="LWD42" s="83"/>
      <c r="LWE42" s="83"/>
      <c r="LWF42" s="83"/>
      <c r="LWG42" s="83"/>
      <c r="LWH42" s="83"/>
      <c r="LWI42" s="83"/>
      <c r="LWJ42" s="83"/>
      <c r="LWK42" s="83"/>
      <c r="LWL42" s="83"/>
      <c r="LWM42" s="83"/>
      <c r="LWN42" s="83"/>
      <c r="LWO42" s="83"/>
      <c r="LWP42" s="83"/>
      <c r="LWQ42" s="83"/>
      <c r="LWR42" s="83"/>
      <c r="LWS42" s="83"/>
      <c r="LWT42" s="83"/>
      <c r="LWU42" s="83"/>
      <c r="LWV42" s="83"/>
      <c r="LWW42" s="83"/>
      <c r="LWX42" s="83"/>
      <c r="LWY42" s="83"/>
      <c r="LWZ42" s="83"/>
      <c r="LXA42" s="83"/>
      <c r="LXB42" s="83"/>
      <c r="LXC42" s="83"/>
      <c r="LXD42" s="83"/>
      <c r="LXE42" s="83"/>
      <c r="LXF42" s="83"/>
      <c r="LXG42" s="83"/>
      <c r="LXH42" s="83"/>
      <c r="LXI42" s="83"/>
      <c r="LXJ42" s="83"/>
      <c r="LXK42" s="83"/>
      <c r="LXL42" s="83"/>
      <c r="LXM42" s="83"/>
      <c r="LXN42" s="83"/>
      <c r="LXO42" s="83"/>
      <c r="LXP42" s="83"/>
      <c r="LXQ42" s="83"/>
      <c r="LXR42" s="83"/>
      <c r="LXS42" s="83"/>
      <c r="LXT42" s="83"/>
      <c r="LXU42" s="83"/>
      <c r="LXV42" s="83"/>
      <c r="LXW42" s="83"/>
      <c r="LXX42" s="83"/>
      <c r="LXY42" s="83"/>
      <c r="LXZ42" s="83"/>
      <c r="LYA42" s="83"/>
      <c r="LYB42" s="83"/>
      <c r="LYC42" s="83"/>
      <c r="LYD42" s="83"/>
      <c r="LYE42" s="83"/>
      <c r="LYF42" s="83"/>
      <c r="LYG42" s="83"/>
      <c r="LYH42" s="83"/>
      <c r="LYI42" s="83"/>
      <c r="LYJ42" s="83"/>
      <c r="LYK42" s="83"/>
      <c r="LYL42" s="83"/>
      <c r="LYM42" s="83"/>
      <c r="LYN42" s="83"/>
      <c r="LYO42" s="83"/>
      <c r="LYP42" s="83"/>
      <c r="LYQ42" s="83"/>
      <c r="LYR42" s="83"/>
      <c r="LYS42" s="83"/>
      <c r="LYT42" s="83"/>
      <c r="LYU42" s="83"/>
      <c r="LYV42" s="83"/>
      <c r="LYW42" s="83"/>
      <c r="LYX42" s="83"/>
      <c r="LYY42" s="83"/>
      <c r="LYZ42" s="83"/>
      <c r="LZA42" s="83"/>
      <c r="LZB42" s="83"/>
      <c r="LZC42" s="83"/>
      <c r="LZD42" s="83"/>
      <c r="LZE42" s="83"/>
      <c r="LZF42" s="83"/>
      <c r="LZG42" s="83"/>
      <c r="LZH42" s="83"/>
      <c r="LZI42" s="83"/>
      <c r="LZJ42" s="83"/>
      <c r="LZK42" s="83"/>
      <c r="LZL42" s="83"/>
      <c r="LZM42" s="83"/>
      <c r="LZN42" s="83"/>
      <c r="LZO42" s="83"/>
      <c r="LZP42" s="83"/>
      <c r="LZQ42" s="83"/>
      <c r="LZR42" s="83"/>
      <c r="LZS42" s="83"/>
      <c r="LZT42" s="83"/>
      <c r="LZU42" s="83"/>
      <c r="LZV42" s="83"/>
      <c r="LZW42" s="83"/>
      <c r="LZX42" s="83"/>
      <c r="LZY42" s="83"/>
      <c r="LZZ42" s="83"/>
      <c r="MAA42" s="83"/>
      <c r="MAB42" s="83"/>
      <c r="MAC42" s="83"/>
      <c r="MAD42" s="83"/>
      <c r="MAE42" s="83"/>
      <c r="MAF42" s="83"/>
      <c r="MAG42" s="83"/>
      <c r="MAH42" s="83"/>
      <c r="MAI42" s="83"/>
      <c r="MAJ42" s="83"/>
      <c r="MAK42" s="83"/>
      <c r="MAL42" s="83"/>
      <c r="MAM42" s="83"/>
      <c r="MAN42" s="83"/>
      <c r="MAO42" s="83"/>
      <c r="MAP42" s="83"/>
      <c r="MAQ42" s="83"/>
      <c r="MAR42" s="83"/>
      <c r="MAS42" s="83"/>
      <c r="MAT42" s="83"/>
      <c r="MAU42" s="83"/>
      <c r="MAV42" s="83"/>
      <c r="MAW42" s="83"/>
      <c r="MAX42" s="83"/>
      <c r="MAY42" s="83"/>
      <c r="MAZ42" s="83"/>
      <c r="MBA42" s="83"/>
      <c r="MBB42" s="83"/>
      <c r="MBC42" s="83"/>
      <c r="MBD42" s="83"/>
      <c r="MBE42" s="83"/>
      <c r="MBF42" s="83"/>
      <c r="MBG42" s="83"/>
      <c r="MBH42" s="83"/>
      <c r="MBI42" s="83"/>
      <c r="MBJ42" s="83"/>
      <c r="MBK42" s="83"/>
      <c r="MBL42" s="83"/>
      <c r="MBM42" s="83"/>
      <c r="MBN42" s="83"/>
      <c r="MBO42" s="83"/>
      <c r="MBP42" s="83"/>
      <c r="MBQ42" s="83"/>
      <c r="MBR42" s="83"/>
      <c r="MBS42" s="83"/>
      <c r="MBT42" s="83"/>
      <c r="MBU42" s="83"/>
      <c r="MBV42" s="83"/>
      <c r="MBW42" s="83"/>
      <c r="MBX42" s="83"/>
      <c r="MBY42" s="83"/>
      <c r="MBZ42" s="83"/>
      <c r="MCA42" s="83"/>
      <c r="MCB42" s="83"/>
      <c r="MCC42" s="83"/>
      <c r="MCD42" s="83"/>
      <c r="MCE42" s="83"/>
      <c r="MCF42" s="83"/>
      <c r="MCG42" s="83"/>
      <c r="MCH42" s="83"/>
      <c r="MCI42" s="83"/>
      <c r="MCJ42" s="83"/>
      <c r="MCK42" s="83"/>
      <c r="MCL42" s="83"/>
      <c r="MCM42" s="83"/>
      <c r="MCN42" s="83"/>
      <c r="MCO42" s="83"/>
      <c r="MCP42" s="83"/>
      <c r="MCQ42" s="83"/>
      <c r="MCR42" s="83"/>
      <c r="MCS42" s="83"/>
      <c r="MCT42" s="83"/>
      <c r="MCU42" s="83"/>
      <c r="MCV42" s="83"/>
      <c r="MCW42" s="83"/>
      <c r="MCX42" s="83"/>
      <c r="MCY42" s="83"/>
      <c r="MCZ42" s="83"/>
      <c r="MDA42" s="83"/>
      <c r="MDB42" s="83"/>
      <c r="MDC42" s="83"/>
      <c r="MDD42" s="83"/>
      <c r="MDE42" s="83"/>
      <c r="MDF42" s="83"/>
      <c r="MDG42" s="83"/>
      <c r="MDH42" s="83"/>
      <c r="MDI42" s="83"/>
      <c r="MDJ42" s="83"/>
      <c r="MDK42" s="83"/>
      <c r="MDL42" s="83"/>
      <c r="MDM42" s="83"/>
      <c r="MDN42" s="83"/>
      <c r="MDO42" s="83"/>
      <c r="MDP42" s="83"/>
      <c r="MDQ42" s="83"/>
      <c r="MDR42" s="83"/>
      <c r="MDS42" s="83"/>
      <c r="MDT42" s="83"/>
      <c r="MDU42" s="83"/>
      <c r="MDV42" s="83"/>
      <c r="MDW42" s="83"/>
      <c r="MDX42" s="83"/>
      <c r="MDY42" s="83"/>
      <c r="MDZ42" s="83"/>
      <c r="MEA42" s="83"/>
      <c r="MEB42" s="83"/>
      <c r="MEC42" s="83"/>
      <c r="MED42" s="83"/>
      <c r="MEE42" s="83"/>
      <c r="MEF42" s="83"/>
      <c r="MEG42" s="83"/>
      <c r="MEH42" s="83"/>
      <c r="MEI42" s="83"/>
      <c r="MEJ42" s="83"/>
      <c r="MEK42" s="83"/>
      <c r="MEL42" s="83"/>
      <c r="MEM42" s="83"/>
      <c r="MEN42" s="83"/>
      <c r="MEO42" s="83"/>
      <c r="MEP42" s="83"/>
      <c r="MEQ42" s="83"/>
      <c r="MER42" s="83"/>
      <c r="MES42" s="83"/>
      <c r="MET42" s="83"/>
      <c r="MEU42" s="83"/>
      <c r="MEV42" s="83"/>
      <c r="MEW42" s="83"/>
      <c r="MEX42" s="83"/>
      <c r="MEY42" s="83"/>
      <c r="MEZ42" s="83"/>
      <c r="MFA42" s="83"/>
      <c r="MFB42" s="83"/>
      <c r="MFC42" s="83"/>
      <c r="MFD42" s="83"/>
      <c r="MFE42" s="83"/>
      <c r="MFF42" s="83"/>
      <c r="MFG42" s="83"/>
      <c r="MFH42" s="83"/>
      <c r="MFI42" s="83"/>
      <c r="MFJ42" s="83"/>
      <c r="MFK42" s="83"/>
      <c r="MFL42" s="83"/>
      <c r="MFM42" s="83"/>
      <c r="MFN42" s="83"/>
      <c r="MFO42" s="83"/>
      <c r="MFP42" s="83"/>
      <c r="MFQ42" s="83"/>
      <c r="MFR42" s="83"/>
      <c r="MFS42" s="83"/>
      <c r="MFT42" s="83"/>
      <c r="MFU42" s="83"/>
      <c r="MFV42" s="83"/>
      <c r="MFW42" s="83"/>
      <c r="MFX42" s="83"/>
      <c r="MFY42" s="83"/>
      <c r="MFZ42" s="83"/>
      <c r="MGA42" s="83"/>
      <c r="MGB42" s="83"/>
      <c r="MGC42" s="83"/>
      <c r="MGD42" s="83"/>
      <c r="MGE42" s="83"/>
      <c r="MGF42" s="83"/>
      <c r="MGG42" s="83"/>
      <c r="MGH42" s="83"/>
      <c r="MGI42" s="83"/>
      <c r="MGJ42" s="83"/>
      <c r="MGK42" s="83"/>
      <c r="MGL42" s="83"/>
      <c r="MGM42" s="83"/>
      <c r="MGN42" s="83"/>
      <c r="MGO42" s="83"/>
      <c r="MGP42" s="83"/>
      <c r="MGQ42" s="83"/>
      <c r="MGR42" s="83"/>
      <c r="MGS42" s="83"/>
      <c r="MGT42" s="83"/>
      <c r="MGU42" s="83"/>
      <c r="MGV42" s="83"/>
      <c r="MGW42" s="83"/>
      <c r="MGX42" s="83"/>
      <c r="MGY42" s="83"/>
      <c r="MGZ42" s="83"/>
      <c r="MHA42" s="83"/>
      <c r="MHB42" s="83"/>
      <c r="MHC42" s="83"/>
      <c r="MHD42" s="83"/>
      <c r="MHE42" s="83"/>
      <c r="MHF42" s="83"/>
      <c r="MHG42" s="83"/>
      <c r="MHH42" s="83"/>
      <c r="MHI42" s="83"/>
      <c r="MHJ42" s="83"/>
      <c r="MHK42" s="83"/>
      <c r="MHL42" s="83"/>
      <c r="MHM42" s="83"/>
      <c r="MHN42" s="83"/>
      <c r="MHO42" s="83"/>
      <c r="MHP42" s="83"/>
      <c r="MHQ42" s="83"/>
      <c r="MHR42" s="83"/>
      <c r="MHS42" s="83"/>
      <c r="MHT42" s="83"/>
      <c r="MHU42" s="83"/>
      <c r="MHV42" s="83"/>
      <c r="MHW42" s="83"/>
      <c r="MHX42" s="83"/>
      <c r="MHY42" s="83"/>
      <c r="MHZ42" s="83"/>
      <c r="MIA42" s="83"/>
      <c r="MIB42" s="83"/>
      <c r="MIC42" s="83"/>
      <c r="MID42" s="83"/>
      <c r="MIE42" s="83"/>
      <c r="MIF42" s="83"/>
      <c r="MIG42" s="83"/>
      <c r="MIH42" s="83"/>
      <c r="MII42" s="83"/>
      <c r="MIJ42" s="83"/>
      <c r="MIK42" s="83"/>
      <c r="MIL42" s="83"/>
      <c r="MIM42" s="83"/>
      <c r="MIN42" s="83"/>
      <c r="MIO42" s="83"/>
      <c r="MIP42" s="83"/>
      <c r="MIQ42" s="83"/>
      <c r="MIR42" s="83"/>
      <c r="MIS42" s="83"/>
      <c r="MIT42" s="83"/>
      <c r="MIU42" s="83"/>
      <c r="MIV42" s="83"/>
      <c r="MIW42" s="83"/>
      <c r="MIX42" s="83"/>
      <c r="MIY42" s="83"/>
      <c r="MIZ42" s="83"/>
      <c r="MJA42" s="83"/>
      <c r="MJB42" s="83"/>
      <c r="MJC42" s="83"/>
      <c r="MJD42" s="83"/>
      <c r="MJE42" s="83"/>
      <c r="MJF42" s="83"/>
      <c r="MJG42" s="83"/>
      <c r="MJH42" s="83"/>
      <c r="MJI42" s="83"/>
      <c r="MJJ42" s="83"/>
      <c r="MJK42" s="83"/>
      <c r="MJL42" s="83"/>
      <c r="MJM42" s="83"/>
      <c r="MJN42" s="83"/>
      <c r="MJO42" s="83"/>
      <c r="MJP42" s="83"/>
      <c r="MJQ42" s="83"/>
      <c r="MJR42" s="83"/>
      <c r="MJS42" s="83"/>
      <c r="MJT42" s="83"/>
      <c r="MJU42" s="83"/>
      <c r="MJV42" s="83"/>
      <c r="MJW42" s="83"/>
      <c r="MJX42" s="83"/>
      <c r="MJY42" s="83"/>
      <c r="MJZ42" s="83"/>
      <c r="MKA42" s="83"/>
      <c r="MKB42" s="83"/>
      <c r="MKC42" s="83"/>
      <c r="MKD42" s="83"/>
      <c r="MKE42" s="83"/>
      <c r="MKF42" s="83"/>
      <c r="MKG42" s="83"/>
      <c r="MKH42" s="83"/>
      <c r="MKI42" s="83"/>
      <c r="MKJ42" s="83"/>
      <c r="MKK42" s="83"/>
      <c r="MKL42" s="83"/>
      <c r="MKM42" s="83"/>
      <c r="MKN42" s="83"/>
      <c r="MKO42" s="83"/>
      <c r="MKP42" s="83"/>
      <c r="MKQ42" s="83"/>
      <c r="MKR42" s="83"/>
      <c r="MKS42" s="83"/>
      <c r="MKT42" s="83"/>
      <c r="MKU42" s="83"/>
      <c r="MKV42" s="83"/>
      <c r="MKW42" s="83"/>
      <c r="MKX42" s="83"/>
      <c r="MKY42" s="83"/>
      <c r="MKZ42" s="83"/>
      <c r="MLA42" s="83"/>
      <c r="MLB42" s="83"/>
      <c r="MLC42" s="83"/>
      <c r="MLD42" s="83"/>
      <c r="MLE42" s="83"/>
      <c r="MLF42" s="83"/>
      <c r="MLG42" s="83"/>
      <c r="MLH42" s="83"/>
      <c r="MLI42" s="83"/>
      <c r="MLJ42" s="83"/>
      <c r="MLK42" s="83"/>
      <c r="MLL42" s="83"/>
      <c r="MLM42" s="83"/>
      <c r="MLN42" s="83"/>
      <c r="MLO42" s="83"/>
      <c r="MLP42" s="83"/>
      <c r="MLQ42" s="83"/>
      <c r="MLR42" s="83"/>
      <c r="MLS42" s="83"/>
      <c r="MLT42" s="83"/>
      <c r="MLU42" s="83"/>
      <c r="MLV42" s="83"/>
      <c r="MLW42" s="83"/>
      <c r="MLX42" s="83"/>
      <c r="MLY42" s="83"/>
      <c r="MLZ42" s="83"/>
      <c r="MMA42" s="83"/>
      <c r="MMB42" s="83"/>
      <c r="MMC42" s="83"/>
      <c r="MMD42" s="83"/>
      <c r="MME42" s="83"/>
      <c r="MMF42" s="83"/>
      <c r="MMG42" s="83"/>
      <c r="MMH42" s="83"/>
      <c r="MMI42" s="83"/>
      <c r="MMJ42" s="83"/>
      <c r="MMK42" s="83"/>
      <c r="MML42" s="83"/>
      <c r="MMM42" s="83"/>
      <c r="MMN42" s="83"/>
      <c r="MMO42" s="83"/>
      <c r="MMP42" s="83"/>
      <c r="MMQ42" s="83"/>
      <c r="MMR42" s="83"/>
      <c r="MMS42" s="83"/>
      <c r="MMT42" s="83"/>
      <c r="MMU42" s="83"/>
      <c r="MMV42" s="83"/>
      <c r="MMW42" s="83"/>
      <c r="MMX42" s="83"/>
      <c r="MMY42" s="83"/>
      <c r="MMZ42" s="83"/>
      <c r="MNA42" s="83"/>
      <c r="MNB42" s="83"/>
      <c r="MNC42" s="83"/>
      <c r="MND42" s="83"/>
      <c r="MNE42" s="83"/>
      <c r="MNF42" s="83"/>
      <c r="MNG42" s="83"/>
      <c r="MNH42" s="83"/>
      <c r="MNI42" s="83"/>
      <c r="MNJ42" s="83"/>
      <c r="MNK42" s="83"/>
      <c r="MNL42" s="83"/>
      <c r="MNM42" s="83"/>
      <c r="MNN42" s="83"/>
      <c r="MNO42" s="83"/>
      <c r="MNP42" s="83"/>
      <c r="MNQ42" s="83"/>
      <c r="MNR42" s="83"/>
      <c r="MNS42" s="83"/>
      <c r="MNT42" s="83"/>
      <c r="MNU42" s="83"/>
      <c r="MNV42" s="83"/>
      <c r="MNW42" s="83"/>
      <c r="MNX42" s="83"/>
      <c r="MNY42" s="83"/>
      <c r="MNZ42" s="83"/>
      <c r="MOA42" s="83"/>
      <c r="MOB42" s="83"/>
      <c r="MOC42" s="83"/>
      <c r="MOD42" s="83"/>
      <c r="MOE42" s="83"/>
      <c r="MOF42" s="83"/>
      <c r="MOG42" s="83"/>
      <c r="MOH42" s="83"/>
      <c r="MOI42" s="83"/>
      <c r="MOJ42" s="83"/>
      <c r="MOK42" s="83"/>
      <c r="MOL42" s="83"/>
      <c r="MOM42" s="83"/>
      <c r="MON42" s="83"/>
      <c r="MOO42" s="83"/>
      <c r="MOP42" s="83"/>
      <c r="MOQ42" s="83"/>
      <c r="MOR42" s="83"/>
      <c r="MOS42" s="83"/>
      <c r="MOT42" s="83"/>
      <c r="MOU42" s="83"/>
      <c r="MOV42" s="83"/>
      <c r="MOW42" s="83"/>
      <c r="MOX42" s="83"/>
      <c r="MOY42" s="83"/>
      <c r="MOZ42" s="83"/>
      <c r="MPA42" s="83"/>
      <c r="MPB42" s="83"/>
      <c r="MPC42" s="83"/>
      <c r="MPD42" s="83"/>
      <c r="MPE42" s="83"/>
      <c r="MPF42" s="83"/>
      <c r="MPG42" s="83"/>
      <c r="MPH42" s="83"/>
      <c r="MPI42" s="83"/>
      <c r="MPJ42" s="83"/>
      <c r="MPK42" s="83"/>
      <c r="MPL42" s="83"/>
      <c r="MPM42" s="83"/>
      <c r="MPN42" s="83"/>
      <c r="MPO42" s="83"/>
      <c r="MPP42" s="83"/>
      <c r="MPQ42" s="83"/>
      <c r="MPR42" s="83"/>
      <c r="MPS42" s="83"/>
      <c r="MPT42" s="83"/>
      <c r="MPU42" s="83"/>
      <c r="MPV42" s="83"/>
      <c r="MPW42" s="83"/>
      <c r="MPX42" s="83"/>
      <c r="MPY42" s="83"/>
      <c r="MPZ42" s="83"/>
      <c r="MQA42" s="83"/>
      <c r="MQB42" s="83"/>
      <c r="MQC42" s="83"/>
      <c r="MQD42" s="83"/>
      <c r="MQE42" s="83"/>
      <c r="MQF42" s="83"/>
      <c r="MQG42" s="83"/>
      <c r="MQH42" s="83"/>
      <c r="MQI42" s="83"/>
      <c r="MQJ42" s="83"/>
      <c r="MQK42" s="83"/>
      <c r="MQL42" s="83"/>
      <c r="MQM42" s="83"/>
      <c r="MQN42" s="83"/>
      <c r="MQO42" s="83"/>
      <c r="MQP42" s="83"/>
      <c r="MQQ42" s="83"/>
      <c r="MQR42" s="83"/>
      <c r="MQS42" s="83"/>
      <c r="MQT42" s="83"/>
      <c r="MQU42" s="83"/>
      <c r="MQV42" s="83"/>
      <c r="MQW42" s="83"/>
      <c r="MQX42" s="83"/>
      <c r="MQY42" s="83"/>
      <c r="MQZ42" s="83"/>
      <c r="MRA42" s="83"/>
      <c r="MRB42" s="83"/>
      <c r="MRC42" s="83"/>
      <c r="MRD42" s="83"/>
      <c r="MRE42" s="83"/>
      <c r="MRF42" s="83"/>
      <c r="MRG42" s="83"/>
      <c r="MRH42" s="83"/>
      <c r="MRI42" s="83"/>
      <c r="MRJ42" s="83"/>
      <c r="MRK42" s="83"/>
      <c r="MRL42" s="83"/>
      <c r="MRM42" s="83"/>
      <c r="MRN42" s="83"/>
      <c r="MRO42" s="83"/>
      <c r="MRP42" s="83"/>
      <c r="MRQ42" s="83"/>
      <c r="MRR42" s="83"/>
      <c r="MRS42" s="83"/>
      <c r="MRT42" s="83"/>
      <c r="MRU42" s="83"/>
      <c r="MRV42" s="83"/>
      <c r="MRW42" s="83"/>
      <c r="MRX42" s="83"/>
      <c r="MRY42" s="83"/>
      <c r="MRZ42" s="83"/>
      <c r="MSA42" s="83"/>
      <c r="MSB42" s="83"/>
      <c r="MSC42" s="83"/>
      <c r="MSD42" s="83"/>
      <c r="MSE42" s="83"/>
      <c r="MSF42" s="83"/>
      <c r="MSG42" s="83"/>
      <c r="MSH42" s="83"/>
      <c r="MSI42" s="83"/>
      <c r="MSJ42" s="83"/>
      <c r="MSK42" s="83"/>
      <c r="MSL42" s="83"/>
      <c r="MSM42" s="83"/>
      <c r="MSN42" s="83"/>
      <c r="MSO42" s="83"/>
      <c r="MSP42" s="83"/>
      <c r="MSQ42" s="83"/>
      <c r="MSR42" s="83"/>
      <c r="MSS42" s="83"/>
      <c r="MST42" s="83"/>
      <c r="MSU42" s="83"/>
      <c r="MSV42" s="83"/>
      <c r="MSW42" s="83"/>
      <c r="MSX42" s="83"/>
      <c r="MSY42" s="83"/>
      <c r="MSZ42" s="83"/>
      <c r="MTA42" s="83"/>
      <c r="MTB42" s="83"/>
      <c r="MTC42" s="83"/>
      <c r="MTD42" s="83"/>
      <c r="MTE42" s="83"/>
      <c r="MTF42" s="83"/>
      <c r="MTG42" s="83"/>
      <c r="MTH42" s="83"/>
      <c r="MTI42" s="83"/>
      <c r="MTJ42" s="83"/>
      <c r="MTK42" s="83"/>
      <c r="MTL42" s="83"/>
      <c r="MTM42" s="83"/>
      <c r="MTN42" s="83"/>
      <c r="MTO42" s="83"/>
      <c r="MTP42" s="83"/>
      <c r="MTQ42" s="83"/>
      <c r="MTR42" s="83"/>
      <c r="MTS42" s="83"/>
      <c r="MTT42" s="83"/>
      <c r="MTU42" s="83"/>
      <c r="MTV42" s="83"/>
      <c r="MTW42" s="83"/>
      <c r="MTX42" s="83"/>
      <c r="MTY42" s="83"/>
      <c r="MTZ42" s="83"/>
      <c r="MUA42" s="83"/>
      <c r="MUB42" s="83"/>
      <c r="MUC42" s="83"/>
      <c r="MUD42" s="83"/>
      <c r="MUE42" s="83"/>
      <c r="MUF42" s="83"/>
      <c r="MUG42" s="83"/>
      <c r="MUH42" s="83"/>
      <c r="MUI42" s="83"/>
      <c r="MUJ42" s="83"/>
      <c r="MUK42" s="83"/>
      <c r="MUL42" s="83"/>
      <c r="MUM42" s="83"/>
      <c r="MUN42" s="83"/>
      <c r="MUO42" s="83"/>
      <c r="MUP42" s="83"/>
      <c r="MUQ42" s="83"/>
      <c r="MUR42" s="83"/>
      <c r="MUS42" s="83"/>
      <c r="MUT42" s="83"/>
      <c r="MUU42" s="83"/>
      <c r="MUV42" s="83"/>
      <c r="MUW42" s="83"/>
      <c r="MUX42" s="83"/>
      <c r="MUY42" s="83"/>
      <c r="MUZ42" s="83"/>
      <c r="MVA42" s="83"/>
      <c r="MVB42" s="83"/>
      <c r="MVC42" s="83"/>
      <c r="MVD42" s="83"/>
      <c r="MVE42" s="83"/>
      <c r="MVF42" s="83"/>
      <c r="MVG42" s="83"/>
      <c r="MVH42" s="83"/>
      <c r="MVI42" s="83"/>
      <c r="MVJ42" s="83"/>
      <c r="MVK42" s="83"/>
      <c r="MVL42" s="83"/>
      <c r="MVM42" s="83"/>
      <c r="MVN42" s="83"/>
      <c r="MVO42" s="83"/>
      <c r="MVP42" s="83"/>
      <c r="MVQ42" s="83"/>
      <c r="MVR42" s="83"/>
      <c r="MVS42" s="83"/>
      <c r="MVT42" s="83"/>
      <c r="MVU42" s="83"/>
      <c r="MVV42" s="83"/>
      <c r="MVW42" s="83"/>
      <c r="MVX42" s="83"/>
      <c r="MVY42" s="83"/>
      <c r="MVZ42" s="83"/>
      <c r="MWA42" s="83"/>
      <c r="MWB42" s="83"/>
      <c r="MWC42" s="83"/>
      <c r="MWD42" s="83"/>
      <c r="MWE42" s="83"/>
      <c r="MWF42" s="83"/>
      <c r="MWG42" s="83"/>
      <c r="MWH42" s="83"/>
      <c r="MWI42" s="83"/>
      <c r="MWJ42" s="83"/>
      <c r="MWK42" s="83"/>
      <c r="MWL42" s="83"/>
      <c r="MWM42" s="83"/>
      <c r="MWN42" s="83"/>
      <c r="MWO42" s="83"/>
      <c r="MWP42" s="83"/>
      <c r="MWQ42" s="83"/>
      <c r="MWR42" s="83"/>
      <c r="MWS42" s="83"/>
      <c r="MWT42" s="83"/>
      <c r="MWU42" s="83"/>
      <c r="MWV42" s="83"/>
      <c r="MWW42" s="83"/>
      <c r="MWX42" s="83"/>
      <c r="MWY42" s="83"/>
      <c r="MWZ42" s="83"/>
      <c r="MXA42" s="83"/>
      <c r="MXB42" s="83"/>
      <c r="MXC42" s="83"/>
      <c r="MXD42" s="83"/>
      <c r="MXE42" s="83"/>
      <c r="MXF42" s="83"/>
      <c r="MXG42" s="83"/>
      <c r="MXH42" s="83"/>
      <c r="MXI42" s="83"/>
      <c r="MXJ42" s="83"/>
      <c r="MXK42" s="83"/>
      <c r="MXL42" s="83"/>
      <c r="MXM42" s="83"/>
      <c r="MXN42" s="83"/>
      <c r="MXO42" s="83"/>
      <c r="MXP42" s="83"/>
      <c r="MXQ42" s="83"/>
      <c r="MXR42" s="83"/>
      <c r="MXS42" s="83"/>
      <c r="MXT42" s="83"/>
      <c r="MXU42" s="83"/>
      <c r="MXV42" s="83"/>
      <c r="MXW42" s="83"/>
      <c r="MXX42" s="83"/>
      <c r="MXY42" s="83"/>
      <c r="MXZ42" s="83"/>
      <c r="MYA42" s="83"/>
      <c r="MYB42" s="83"/>
      <c r="MYC42" s="83"/>
      <c r="MYD42" s="83"/>
      <c r="MYE42" s="83"/>
      <c r="MYF42" s="83"/>
      <c r="MYG42" s="83"/>
      <c r="MYH42" s="83"/>
      <c r="MYI42" s="83"/>
      <c r="MYJ42" s="83"/>
      <c r="MYK42" s="83"/>
      <c r="MYL42" s="83"/>
      <c r="MYM42" s="83"/>
      <c r="MYN42" s="83"/>
      <c r="MYO42" s="83"/>
      <c r="MYP42" s="83"/>
      <c r="MYQ42" s="83"/>
      <c r="MYR42" s="83"/>
      <c r="MYS42" s="83"/>
      <c r="MYT42" s="83"/>
      <c r="MYU42" s="83"/>
      <c r="MYV42" s="83"/>
      <c r="MYW42" s="83"/>
      <c r="MYX42" s="83"/>
      <c r="MYY42" s="83"/>
      <c r="MYZ42" s="83"/>
      <c r="MZA42" s="83"/>
      <c r="MZB42" s="83"/>
      <c r="MZC42" s="83"/>
      <c r="MZD42" s="83"/>
      <c r="MZE42" s="83"/>
      <c r="MZF42" s="83"/>
      <c r="MZG42" s="83"/>
      <c r="MZH42" s="83"/>
      <c r="MZI42" s="83"/>
      <c r="MZJ42" s="83"/>
      <c r="MZK42" s="83"/>
      <c r="MZL42" s="83"/>
      <c r="MZM42" s="83"/>
      <c r="MZN42" s="83"/>
      <c r="MZO42" s="83"/>
      <c r="MZP42" s="83"/>
      <c r="MZQ42" s="83"/>
      <c r="MZR42" s="83"/>
      <c r="MZS42" s="83"/>
      <c r="MZT42" s="83"/>
      <c r="MZU42" s="83"/>
      <c r="MZV42" s="83"/>
      <c r="MZW42" s="83"/>
      <c r="MZX42" s="83"/>
      <c r="MZY42" s="83"/>
      <c r="MZZ42" s="83"/>
      <c r="NAA42" s="83"/>
      <c r="NAB42" s="83"/>
      <c r="NAC42" s="83"/>
      <c r="NAD42" s="83"/>
      <c r="NAE42" s="83"/>
      <c r="NAF42" s="83"/>
      <c r="NAG42" s="83"/>
      <c r="NAH42" s="83"/>
      <c r="NAI42" s="83"/>
      <c r="NAJ42" s="83"/>
      <c r="NAK42" s="83"/>
      <c r="NAL42" s="83"/>
      <c r="NAM42" s="83"/>
      <c r="NAN42" s="83"/>
      <c r="NAO42" s="83"/>
      <c r="NAP42" s="83"/>
      <c r="NAQ42" s="83"/>
      <c r="NAR42" s="83"/>
      <c r="NAS42" s="83"/>
      <c r="NAT42" s="83"/>
      <c r="NAU42" s="83"/>
      <c r="NAV42" s="83"/>
      <c r="NAW42" s="83"/>
      <c r="NAX42" s="83"/>
      <c r="NAY42" s="83"/>
      <c r="NAZ42" s="83"/>
      <c r="NBA42" s="83"/>
      <c r="NBB42" s="83"/>
      <c r="NBC42" s="83"/>
      <c r="NBD42" s="83"/>
      <c r="NBE42" s="83"/>
      <c r="NBF42" s="83"/>
      <c r="NBG42" s="83"/>
      <c r="NBH42" s="83"/>
      <c r="NBI42" s="83"/>
      <c r="NBJ42" s="83"/>
      <c r="NBK42" s="83"/>
      <c r="NBL42" s="83"/>
      <c r="NBM42" s="83"/>
      <c r="NBN42" s="83"/>
      <c r="NBO42" s="83"/>
      <c r="NBP42" s="83"/>
      <c r="NBQ42" s="83"/>
      <c r="NBR42" s="83"/>
      <c r="NBS42" s="83"/>
      <c r="NBT42" s="83"/>
      <c r="NBU42" s="83"/>
      <c r="NBV42" s="83"/>
      <c r="NBW42" s="83"/>
      <c r="NBX42" s="83"/>
      <c r="NBY42" s="83"/>
      <c r="NBZ42" s="83"/>
      <c r="NCA42" s="83"/>
      <c r="NCB42" s="83"/>
      <c r="NCC42" s="83"/>
      <c r="NCD42" s="83"/>
      <c r="NCE42" s="83"/>
      <c r="NCF42" s="83"/>
      <c r="NCG42" s="83"/>
      <c r="NCH42" s="83"/>
      <c r="NCI42" s="83"/>
      <c r="NCJ42" s="83"/>
      <c r="NCK42" s="83"/>
      <c r="NCL42" s="83"/>
      <c r="NCM42" s="83"/>
      <c r="NCN42" s="83"/>
      <c r="NCO42" s="83"/>
      <c r="NCP42" s="83"/>
      <c r="NCQ42" s="83"/>
      <c r="NCR42" s="83"/>
      <c r="NCS42" s="83"/>
      <c r="NCT42" s="83"/>
      <c r="NCU42" s="83"/>
      <c r="NCV42" s="83"/>
      <c r="NCW42" s="83"/>
      <c r="NCX42" s="83"/>
      <c r="NCY42" s="83"/>
      <c r="NCZ42" s="83"/>
      <c r="NDA42" s="83"/>
      <c r="NDB42" s="83"/>
      <c r="NDC42" s="83"/>
      <c r="NDD42" s="83"/>
      <c r="NDE42" s="83"/>
      <c r="NDF42" s="83"/>
      <c r="NDG42" s="83"/>
      <c r="NDH42" s="83"/>
      <c r="NDI42" s="83"/>
      <c r="NDJ42" s="83"/>
      <c r="NDK42" s="83"/>
      <c r="NDL42" s="83"/>
      <c r="NDM42" s="83"/>
      <c r="NDN42" s="83"/>
      <c r="NDO42" s="83"/>
      <c r="NDP42" s="83"/>
      <c r="NDQ42" s="83"/>
      <c r="NDR42" s="83"/>
      <c r="NDS42" s="83"/>
      <c r="NDT42" s="83"/>
      <c r="NDU42" s="83"/>
      <c r="NDV42" s="83"/>
      <c r="NDW42" s="83"/>
      <c r="NDX42" s="83"/>
      <c r="NDY42" s="83"/>
      <c r="NDZ42" s="83"/>
      <c r="NEA42" s="83"/>
      <c r="NEB42" s="83"/>
      <c r="NEC42" s="83"/>
      <c r="NED42" s="83"/>
      <c r="NEE42" s="83"/>
      <c r="NEF42" s="83"/>
      <c r="NEG42" s="83"/>
      <c r="NEH42" s="83"/>
      <c r="NEI42" s="83"/>
      <c r="NEJ42" s="83"/>
      <c r="NEK42" s="83"/>
      <c r="NEL42" s="83"/>
      <c r="NEM42" s="83"/>
      <c r="NEN42" s="83"/>
      <c r="NEO42" s="83"/>
      <c r="NEP42" s="83"/>
      <c r="NEQ42" s="83"/>
      <c r="NER42" s="83"/>
      <c r="NES42" s="83"/>
      <c r="NET42" s="83"/>
      <c r="NEU42" s="83"/>
      <c r="NEV42" s="83"/>
      <c r="NEW42" s="83"/>
      <c r="NEX42" s="83"/>
      <c r="NEY42" s="83"/>
      <c r="NEZ42" s="83"/>
      <c r="NFA42" s="83"/>
      <c r="NFB42" s="83"/>
      <c r="NFC42" s="83"/>
      <c r="NFD42" s="83"/>
      <c r="NFE42" s="83"/>
      <c r="NFF42" s="83"/>
      <c r="NFG42" s="83"/>
      <c r="NFH42" s="83"/>
      <c r="NFI42" s="83"/>
      <c r="NFJ42" s="83"/>
      <c r="NFK42" s="83"/>
      <c r="NFL42" s="83"/>
      <c r="NFM42" s="83"/>
      <c r="NFN42" s="83"/>
      <c r="NFO42" s="83"/>
      <c r="NFP42" s="83"/>
      <c r="NFQ42" s="83"/>
      <c r="NFR42" s="83"/>
      <c r="NFS42" s="83"/>
      <c r="NFT42" s="83"/>
      <c r="NFU42" s="83"/>
      <c r="NFV42" s="83"/>
      <c r="NFW42" s="83"/>
      <c r="NFX42" s="83"/>
      <c r="NFY42" s="83"/>
      <c r="NFZ42" s="83"/>
      <c r="NGA42" s="83"/>
      <c r="NGB42" s="83"/>
      <c r="NGC42" s="83"/>
      <c r="NGD42" s="83"/>
      <c r="NGE42" s="83"/>
      <c r="NGF42" s="83"/>
      <c r="NGG42" s="83"/>
      <c r="NGH42" s="83"/>
      <c r="NGI42" s="83"/>
      <c r="NGJ42" s="83"/>
      <c r="NGK42" s="83"/>
      <c r="NGL42" s="83"/>
      <c r="NGM42" s="83"/>
      <c r="NGN42" s="83"/>
      <c r="NGO42" s="83"/>
      <c r="NGP42" s="83"/>
      <c r="NGQ42" s="83"/>
      <c r="NGR42" s="83"/>
      <c r="NGS42" s="83"/>
      <c r="NGT42" s="83"/>
      <c r="NGU42" s="83"/>
      <c r="NGV42" s="83"/>
      <c r="NGW42" s="83"/>
      <c r="NGX42" s="83"/>
      <c r="NGY42" s="83"/>
      <c r="NGZ42" s="83"/>
      <c r="NHA42" s="83"/>
      <c r="NHB42" s="83"/>
      <c r="NHC42" s="83"/>
      <c r="NHD42" s="83"/>
      <c r="NHE42" s="83"/>
      <c r="NHF42" s="83"/>
      <c r="NHG42" s="83"/>
      <c r="NHH42" s="83"/>
      <c r="NHI42" s="83"/>
      <c r="NHJ42" s="83"/>
      <c r="NHK42" s="83"/>
      <c r="NHL42" s="83"/>
      <c r="NHM42" s="83"/>
      <c r="NHN42" s="83"/>
      <c r="NHO42" s="83"/>
      <c r="NHP42" s="83"/>
      <c r="NHQ42" s="83"/>
      <c r="NHR42" s="83"/>
      <c r="NHS42" s="83"/>
      <c r="NHT42" s="83"/>
      <c r="NHU42" s="83"/>
      <c r="NHV42" s="83"/>
      <c r="NHW42" s="83"/>
      <c r="NHX42" s="83"/>
      <c r="NHY42" s="83"/>
      <c r="NHZ42" s="83"/>
      <c r="NIA42" s="83"/>
      <c r="NIB42" s="83"/>
      <c r="NIC42" s="83"/>
      <c r="NID42" s="83"/>
      <c r="NIE42" s="83"/>
      <c r="NIF42" s="83"/>
      <c r="NIG42" s="83"/>
      <c r="NIH42" s="83"/>
      <c r="NII42" s="83"/>
      <c r="NIJ42" s="83"/>
      <c r="NIK42" s="83"/>
      <c r="NIL42" s="83"/>
      <c r="NIM42" s="83"/>
      <c r="NIN42" s="83"/>
      <c r="NIO42" s="83"/>
      <c r="NIP42" s="83"/>
      <c r="NIQ42" s="83"/>
      <c r="NIR42" s="83"/>
      <c r="NIS42" s="83"/>
      <c r="NIT42" s="83"/>
      <c r="NIU42" s="83"/>
      <c r="NIV42" s="83"/>
      <c r="NIW42" s="83"/>
      <c r="NIX42" s="83"/>
      <c r="NIY42" s="83"/>
      <c r="NIZ42" s="83"/>
      <c r="NJA42" s="83"/>
      <c r="NJB42" s="83"/>
      <c r="NJC42" s="83"/>
      <c r="NJD42" s="83"/>
      <c r="NJE42" s="83"/>
      <c r="NJF42" s="83"/>
      <c r="NJG42" s="83"/>
      <c r="NJH42" s="83"/>
      <c r="NJI42" s="83"/>
      <c r="NJJ42" s="83"/>
      <c r="NJK42" s="83"/>
      <c r="NJL42" s="83"/>
      <c r="NJM42" s="83"/>
      <c r="NJN42" s="83"/>
      <c r="NJO42" s="83"/>
      <c r="NJP42" s="83"/>
      <c r="NJQ42" s="83"/>
      <c r="NJR42" s="83"/>
      <c r="NJS42" s="83"/>
      <c r="NJT42" s="83"/>
      <c r="NJU42" s="83"/>
      <c r="NJV42" s="83"/>
      <c r="NJW42" s="83"/>
      <c r="NJX42" s="83"/>
      <c r="NJY42" s="83"/>
      <c r="NJZ42" s="83"/>
      <c r="NKA42" s="83"/>
      <c r="NKB42" s="83"/>
      <c r="NKC42" s="83"/>
      <c r="NKD42" s="83"/>
      <c r="NKE42" s="83"/>
      <c r="NKF42" s="83"/>
      <c r="NKG42" s="83"/>
      <c r="NKH42" s="83"/>
      <c r="NKI42" s="83"/>
      <c r="NKJ42" s="83"/>
      <c r="NKK42" s="83"/>
      <c r="NKL42" s="83"/>
      <c r="NKM42" s="83"/>
      <c r="NKN42" s="83"/>
      <c r="NKO42" s="83"/>
      <c r="NKP42" s="83"/>
      <c r="NKQ42" s="83"/>
      <c r="NKR42" s="83"/>
      <c r="NKS42" s="83"/>
      <c r="NKT42" s="83"/>
      <c r="NKU42" s="83"/>
      <c r="NKV42" s="83"/>
      <c r="NKW42" s="83"/>
      <c r="NKX42" s="83"/>
      <c r="NKY42" s="83"/>
      <c r="NKZ42" s="83"/>
      <c r="NLA42" s="83"/>
      <c r="NLB42" s="83"/>
      <c r="NLC42" s="83"/>
      <c r="NLD42" s="83"/>
      <c r="NLE42" s="83"/>
      <c r="NLF42" s="83"/>
      <c r="NLG42" s="83"/>
      <c r="NLH42" s="83"/>
      <c r="NLI42" s="83"/>
      <c r="NLJ42" s="83"/>
      <c r="NLK42" s="83"/>
      <c r="NLL42" s="83"/>
      <c r="NLM42" s="83"/>
      <c r="NLN42" s="83"/>
      <c r="NLO42" s="83"/>
      <c r="NLP42" s="83"/>
      <c r="NLQ42" s="83"/>
      <c r="NLR42" s="83"/>
      <c r="NLS42" s="83"/>
      <c r="NLT42" s="83"/>
      <c r="NLU42" s="83"/>
      <c r="NLV42" s="83"/>
      <c r="NLW42" s="83"/>
      <c r="NLX42" s="83"/>
      <c r="NLY42" s="83"/>
      <c r="NLZ42" s="83"/>
      <c r="NMA42" s="83"/>
      <c r="NMB42" s="83"/>
      <c r="NMC42" s="83"/>
      <c r="NMD42" s="83"/>
      <c r="NME42" s="83"/>
      <c r="NMF42" s="83"/>
      <c r="NMG42" s="83"/>
      <c r="NMH42" s="83"/>
      <c r="NMI42" s="83"/>
      <c r="NMJ42" s="83"/>
      <c r="NMK42" s="83"/>
      <c r="NML42" s="83"/>
      <c r="NMM42" s="83"/>
      <c r="NMN42" s="83"/>
      <c r="NMO42" s="83"/>
      <c r="NMP42" s="83"/>
      <c r="NMQ42" s="83"/>
      <c r="NMR42" s="83"/>
      <c r="NMS42" s="83"/>
      <c r="NMT42" s="83"/>
      <c r="NMU42" s="83"/>
      <c r="NMV42" s="83"/>
      <c r="NMW42" s="83"/>
      <c r="NMX42" s="83"/>
      <c r="NMY42" s="83"/>
      <c r="NMZ42" s="83"/>
      <c r="NNA42" s="83"/>
      <c r="NNB42" s="83"/>
      <c r="NNC42" s="83"/>
      <c r="NND42" s="83"/>
      <c r="NNE42" s="83"/>
      <c r="NNF42" s="83"/>
      <c r="NNG42" s="83"/>
      <c r="NNH42" s="83"/>
      <c r="NNI42" s="83"/>
      <c r="NNJ42" s="83"/>
      <c r="NNK42" s="83"/>
      <c r="NNL42" s="83"/>
      <c r="NNM42" s="83"/>
      <c r="NNN42" s="83"/>
      <c r="NNO42" s="83"/>
      <c r="NNP42" s="83"/>
      <c r="NNQ42" s="83"/>
      <c r="NNR42" s="83"/>
      <c r="NNS42" s="83"/>
      <c r="NNT42" s="83"/>
      <c r="NNU42" s="83"/>
      <c r="NNV42" s="83"/>
      <c r="NNW42" s="83"/>
      <c r="NNX42" s="83"/>
      <c r="NNY42" s="83"/>
      <c r="NNZ42" s="83"/>
      <c r="NOA42" s="83"/>
      <c r="NOB42" s="83"/>
      <c r="NOC42" s="83"/>
      <c r="NOD42" s="83"/>
      <c r="NOE42" s="83"/>
      <c r="NOF42" s="83"/>
      <c r="NOG42" s="83"/>
      <c r="NOH42" s="83"/>
      <c r="NOI42" s="83"/>
      <c r="NOJ42" s="83"/>
      <c r="NOK42" s="83"/>
      <c r="NOL42" s="83"/>
      <c r="NOM42" s="83"/>
      <c r="NON42" s="83"/>
      <c r="NOO42" s="83"/>
      <c r="NOP42" s="83"/>
      <c r="NOQ42" s="83"/>
      <c r="NOR42" s="83"/>
      <c r="NOS42" s="83"/>
      <c r="NOT42" s="83"/>
      <c r="NOU42" s="83"/>
      <c r="NOV42" s="83"/>
      <c r="NOW42" s="83"/>
      <c r="NOX42" s="83"/>
      <c r="NOY42" s="83"/>
      <c r="NOZ42" s="83"/>
      <c r="NPA42" s="83"/>
      <c r="NPB42" s="83"/>
      <c r="NPC42" s="83"/>
      <c r="NPD42" s="83"/>
      <c r="NPE42" s="83"/>
      <c r="NPF42" s="83"/>
      <c r="NPG42" s="83"/>
      <c r="NPH42" s="83"/>
      <c r="NPI42" s="83"/>
      <c r="NPJ42" s="83"/>
      <c r="NPK42" s="83"/>
      <c r="NPL42" s="83"/>
      <c r="NPM42" s="83"/>
      <c r="NPN42" s="83"/>
      <c r="NPO42" s="83"/>
      <c r="NPP42" s="83"/>
      <c r="NPQ42" s="83"/>
      <c r="NPR42" s="83"/>
      <c r="NPS42" s="83"/>
      <c r="NPT42" s="83"/>
      <c r="NPU42" s="83"/>
      <c r="NPV42" s="83"/>
      <c r="NPW42" s="83"/>
      <c r="NPX42" s="83"/>
      <c r="NPY42" s="83"/>
      <c r="NPZ42" s="83"/>
      <c r="NQA42" s="83"/>
      <c r="NQB42" s="83"/>
      <c r="NQC42" s="83"/>
      <c r="NQD42" s="83"/>
      <c r="NQE42" s="83"/>
      <c r="NQF42" s="83"/>
      <c r="NQG42" s="83"/>
      <c r="NQH42" s="83"/>
      <c r="NQI42" s="83"/>
      <c r="NQJ42" s="83"/>
      <c r="NQK42" s="83"/>
      <c r="NQL42" s="83"/>
      <c r="NQM42" s="83"/>
      <c r="NQN42" s="83"/>
      <c r="NQO42" s="83"/>
      <c r="NQP42" s="83"/>
      <c r="NQQ42" s="83"/>
      <c r="NQR42" s="83"/>
      <c r="NQS42" s="83"/>
      <c r="NQT42" s="83"/>
      <c r="NQU42" s="83"/>
      <c r="NQV42" s="83"/>
      <c r="NQW42" s="83"/>
      <c r="NQX42" s="83"/>
      <c r="NQY42" s="83"/>
      <c r="NQZ42" s="83"/>
      <c r="NRA42" s="83"/>
      <c r="NRB42" s="83"/>
      <c r="NRC42" s="83"/>
      <c r="NRD42" s="83"/>
      <c r="NRE42" s="83"/>
      <c r="NRF42" s="83"/>
      <c r="NRG42" s="83"/>
      <c r="NRH42" s="83"/>
      <c r="NRI42" s="83"/>
      <c r="NRJ42" s="83"/>
      <c r="NRK42" s="83"/>
      <c r="NRL42" s="83"/>
      <c r="NRM42" s="83"/>
      <c r="NRN42" s="83"/>
      <c r="NRO42" s="83"/>
      <c r="NRP42" s="83"/>
      <c r="NRQ42" s="83"/>
      <c r="NRR42" s="83"/>
      <c r="NRS42" s="83"/>
      <c r="NRT42" s="83"/>
      <c r="NRU42" s="83"/>
      <c r="NRV42" s="83"/>
      <c r="NRW42" s="83"/>
      <c r="NRX42" s="83"/>
      <c r="NRY42" s="83"/>
      <c r="NRZ42" s="83"/>
      <c r="NSA42" s="83"/>
      <c r="NSB42" s="83"/>
      <c r="NSC42" s="83"/>
      <c r="NSD42" s="83"/>
      <c r="NSE42" s="83"/>
      <c r="NSF42" s="83"/>
      <c r="NSG42" s="83"/>
      <c r="NSH42" s="83"/>
      <c r="NSI42" s="83"/>
      <c r="NSJ42" s="83"/>
      <c r="NSK42" s="83"/>
      <c r="NSL42" s="83"/>
      <c r="NSM42" s="83"/>
      <c r="NSN42" s="83"/>
      <c r="NSO42" s="83"/>
      <c r="NSP42" s="83"/>
      <c r="NSQ42" s="83"/>
      <c r="NSR42" s="83"/>
      <c r="NSS42" s="83"/>
      <c r="NST42" s="83"/>
      <c r="NSU42" s="83"/>
      <c r="NSV42" s="83"/>
      <c r="NSW42" s="83"/>
      <c r="NSX42" s="83"/>
      <c r="NSY42" s="83"/>
      <c r="NSZ42" s="83"/>
      <c r="NTA42" s="83"/>
      <c r="NTB42" s="83"/>
      <c r="NTC42" s="83"/>
      <c r="NTD42" s="83"/>
      <c r="NTE42" s="83"/>
      <c r="NTF42" s="83"/>
      <c r="NTG42" s="83"/>
      <c r="NTH42" s="83"/>
      <c r="NTI42" s="83"/>
      <c r="NTJ42" s="83"/>
      <c r="NTK42" s="83"/>
      <c r="NTL42" s="83"/>
      <c r="NTM42" s="83"/>
      <c r="NTN42" s="83"/>
      <c r="NTO42" s="83"/>
      <c r="NTP42" s="83"/>
      <c r="NTQ42" s="83"/>
      <c r="NTR42" s="83"/>
      <c r="NTS42" s="83"/>
      <c r="NTT42" s="83"/>
      <c r="NTU42" s="83"/>
      <c r="NTV42" s="83"/>
      <c r="NTW42" s="83"/>
      <c r="NTX42" s="83"/>
      <c r="NTY42" s="83"/>
      <c r="NTZ42" s="83"/>
      <c r="NUA42" s="83"/>
      <c r="NUB42" s="83"/>
      <c r="NUC42" s="83"/>
      <c r="NUD42" s="83"/>
      <c r="NUE42" s="83"/>
      <c r="NUF42" s="83"/>
      <c r="NUG42" s="83"/>
      <c r="NUH42" s="83"/>
      <c r="NUI42" s="83"/>
      <c r="NUJ42" s="83"/>
      <c r="NUK42" s="83"/>
      <c r="NUL42" s="83"/>
      <c r="NUM42" s="83"/>
      <c r="NUN42" s="83"/>
      <c r="NUO42" s="83"/>
      <c r="NUP42" s="83"/>
      <c r="NUQ42" s="83"/>
      <c r="NUR42" s="83"/>
      <c r="NUS42" s="83"/>
      <c r="NUT42" s="83"/>
      <c r="NUU42" s="83"/>
      <c r="NUV42" s="83"/>
      <c r="NUW42" s="83"/>
      <c r="NUX42" s="83"/>
      <c r="NUY42" s="83"/>
      <c r="NUZ42" s="83"/>
      <c r="NVA42" s="83"/>
      <c r="NVB42" s="83"/>
      <c r="NVC42" s="83"/>
      <c r="NVD42" s="83"/>
      <c r="NVE42" s="83"/>
      <c r="NVF42" s="83"/>
      <c r="NVG42" s="83"/>
      <c r="NVH42" s="83"/>
      <c r="NVI42" s="83"/>
      <c r="NVJ42" s="83"/>
      <c r="NVK42" s="83"/>
      <c r="NVL42" s="83"/>
      <c r="NVM42" s="83"/>
      <c r="NVN42" s="83"/>
      <c r="NVO42" s="83"/>
      <c r="NVP42" s="83"/>
      <c r="NVQ42" s="83"/>
      <c r="NVR42" s="83"/>
      <c r="NVS42" s="83"/>
      <c r="NVT42" s="83"/>
      <c r="NVU42" s="83"/>
      <c r="NVV42" s="83"/>
      <c r="NVW42" s="83"/>
      <c r="NVX42" s="83"/>
      <c r="NVY42" s="83"/>
      <c r="NVZ42" s="83"/>
      <c r="NWA42" s="83"/>
      <c r="NWB42" s="83"/>
      <c r="NWC42" s="83"/>
      <c r="NWD42" s="83"/>
      <c r="NWE42" s="83"/>
      <c r="NWF42" s="83"/>
      <c r="NWG42" s="83"/>
      <c r="NWH42" s="83"/>
      <c r="NWI42" s="83"/>
      <c r="NWJ42" s="83"/>
      <c r="NWK42" s="83"/>
      <c r="NWL42" s="83"/>
      <c r="NWM42" s="83"/>
      <c r="NWN42" s="83"/>
      <c r="NWO42" s="83"/>
      <c r="NWP42" s="83"/>
      <c r="NWQ42" s="83"/>
      <c r="NWR42" s="83"/>
      <c r="NWS42" s="83"/>
      <c r="NWT42" s="83"/>
      <c r="NWU42" s="83"/>
      <c r="NWV42" s="83"/>
      <c r="NWW42" s="83"/>
      <c r="NWX42" s="83"/>
      <c r="NWY42" s="83"/>
      <c r="NWZ42" s="83"/>
      <c r="NXA42" s="83"/>
      <c r="NXB42" s="83"/>
      <c r="NXC42" s="83"/>
      <c r="NXD42" s="83"/>
      <c r="NXE42" s="83"/>
      <c r="NXF42" s="83"/>
      <c r="NXG42" s="83"/>
      <c r="NXH42" s="83"/>
      <c r="NXI42" s="83"/>
      <c r="NXJ42" s="83"/>
      <c r="NXK42" s="83"/>
      <c r="NXL42" s="83"/>
      <c r="NXM42" s="83"/>
      <c r="NXN42" s="83"/>
      <c r="NXO42" s="83"/>
      <c r="NXP42" s="83"/>
      <c r="NXQ42" s="83"/>
      <c r="NXR42" s="83"/>
      <c r="NXS42" s="83"/>
      <c r="NXT42" s="83"/>
      <c r="NXU42" s="83"/>
      <c r="NXV42" s="83"/>
      <c r="NXW42" s="83"/>
      <c r="NXX42" s="83"/>
      <c r="NXY42" s="83"/>
      <c r="NXZ42" s="83"/>
      <c r="NYA42" s="83"/>
      <c r="NYB42" s="83"/>
      <c r="NYC42" s="83"/>
      <c r="NYD42" s="83"/>
      <c r="NYE42" s="83"/>
      <c r="NYF42" s="83"/>
      <c r="NYG42" s="83"/>
      <c r="NYH42" s="83"/>
      <c r="NYI42" s="83"/>
      <c r="NYJ42" s="83"/>
      <c r="NYK42" s="83"/>
      <c r="NYL42" s="83"/>
      <c r="NYM42" s="83"/>
      <c r="NYN42" s="83"/>
      <c r="NYO42" s="83"/>
      <c r="NYP42" s="83"/>
      <c r="NYQ42" s="83"/>
      <c r="NYR42" s="83"/>
      <c r="NYS42" s="83"/>
      <c r="NYT42" s="83"/>
      <c r="NYU42" s="83"/>
      <c r="NYV42" s="83"/>
      <c r="NYW42" s="83"/>
      <c r="NYX42" s="83"/>
      <c r="NYY42" s="83"/>
      <c r="NYZ42" s="83"/>
      <c r="NZA42" s="83"/>
      <c r="NZB42" s="83"/>
      <c r="NZC42" s="83"/>
      <c r="NZD42" s="83"/>
      <c r="NZE42" s="83"/>
      <c r="NZF42" s="83"/>
      <c r="NZG42" s="83"/>
      <c r="NZH42" s="83"/>
      <c r="NZI42" s="83"/>
      <c r="NZJ42" s="83"/>
      <c r="NZK42" s="83"/>
      <c r="NZL42" s="83"/>
      <c r="NZM42" s="83"/>
      <c r="NZN42" s="83"/>
      <c r="NZO42" s="83"/>
      <c r="NZP42" s="83"/>
      <c r="NZQ42" s="83"/>
      <c r="NZR42" s="83"/>
      <c r="NZS42" s="83"/>
      <c r="NZT42" s="83"/>
      <c r="NZU42" s="83"/>
      <c r="NZV42" s="83"/>
      <c r="NZW42" s="83"/>
      <c r="NZX42" s="83"/>
      <c r="NZY42" s="83"/>
      <c r="NZZ42" s="83"/>
      <c r="OAA42" s="83"/>
      <c r="OAB42" s="83"/>
      <c r="OAC42" s="83"/>
      <c r="OAD42" s="83"/>
      <c r="OAE42" s="83"/>
      <c r="OAF42" s="83"/>
      <c r="OAG42" s="83"/>
      <c r="OAH42" s="83"/>
      <c r="OAI42" s="83"/>
      <c r="OAJ42" s="83"/>
      <c r="OAK42" s="83"/>
      <c r="OAL42" s="83"/>
      <c r="OAM42" s="83"/>
      <c r="OAN42" s="83"/>
      <c r="OAO42" s="83"/>
      <c r="OAP42" s="83"/>
      <c r="OAQ42" s="83"/>
      <c r="OAR42" s="83"/>
      <c r="OAS42" s="83"/>
      <c r="OAT42" s="83"/>
      <c r="OAU42" s="83"/>
      <c r="OAV42" s="83"/>
      <c r="OAW42" s="83"/>
      <c r="OAX42" s="83"/>
      <c r="OAY42" s="83"/>
      <c r="OAZ42" s="83"/>
      <c r="OBA42" s="83"/>
      <c r="OBB42" s="83"/>
      <c r="OBC42" s="83"/>
      <c r="OBD42" s="83"/>
      <c r="OBE42" s="83"/>
      <c r="OBF42" s="83"/>
      <c r="OBG42" s="83"/>
      <c r="OBH42" s="83"/>
      <c r="OBI42" s="83"/>
      <c r="OBJ42" s="83"/>
      <c r="OBK42" s="83"/>
      <c r="OBL42" s="83"/>
      <c r="OBM42" s="83"/>
      <c r="OBN42" s="83"/>
      <c r="OBO42" s="83"/>
      <c r="OBP42" s="83"/>
      <c r="OBQ42" s="83"/>
      <c r="OBR42" s="83"/>
      <c r="OBS42" s="83"/>
      <c r="OBT42" s="83"/>
      <c r="OBU42" s="83"/>
      <c r="OBV42" s="83"/>
      <c r="OBW42" s="83"/>
      <c r="OBX42" s="83"/>
      <c r="OBY42" s="83"/>
      <c r="OBZ42" s="83"/>
      <c r="OCA42" s="83"/>
      <c r="OCB42" s="83"/>
      <c r="OCC42" s="83"/>
      <c r="OCD42" s="83"/>
      <c r="OCE42" s="83"/>
      <c r="OCF42" s="83"/>
      <c r="OCG42" s="83"/>
      <c r="OCH42" s="83"/>
      <c r="OCI42" s="83"/>
      <c r="OCJ42" s="83"/>
      <c r="OCK42" s="83"/>
      <c r="OCL42" s="83"/>
      <c r="OCM42" s="83"/>
      <c r="OCN42" s="83"/>
      <c r="OCO42" s="83"/>
      <c r="OCP42" s="83"/>
      <c r="OCQ42" s="83"/>
      <c r="OCR42" s="83"/>
      <c r="OCS42" s="83"/>
      <c r="OCT42" s="83"/>
      <c r="OCU42" s="83"/>
      <c r="OCV42" s="83"/>
      <c r="OCW42" s="83"/>
      <c r="OCX42" s="83"/>
      <c r="OCY42" s="83"/>
      <c r="OCZ42" s="83"/>
      <c r="ODA42" s="83"/>
      <c r="ODB42" s="83"/>
      <c r="ODC42" s="83"/>
      <c r="ODD42" s="83"/>
      <c r="ODE42" s="83"/>
      <c r="ODF42" s="83"/>
      <c r="ODG42" s="83"/>
      <c r="ODH42" s="83"/>
      <c r="ODI42" s="83"/>
      <c r="ODJ42" s="83"/>
      <c r="ODK42" s="83"/>
      <c r="ODL42" s="83"/>
      <c r="ODM42" s="83"/>
      <c r="ODN42" s="83"/>
      <c r="ODO42" s="83"/>
      <c r="ODP42" s="83"/>
      <c r="ODQ42" s="83"/>
      <c r="ODR42" s="83"/>
      <c r="ODS42" s="83"/>
      <c r="ODT42" s="83"/>
      <c r="ODU42" s="83"/>
      <c r="ODV42" s="83"/>
      <c r="ODW42" s="83"/>
      <c r="ODX42" s="83"/>
      <c r="ODY42" s="83"/>
      <c r="ODZ42" s="83"/>
      <c r="OEA42" s="83"/>
      <c r="OEB42" s="83"/>
      <c r="OEC42" s="83"/>
      <c r="OED42" s="83"/>
      <c r="OEE42" s="83"/>
      <c r="OEF42" s="83"/>
      <c r="OEG42" s="83"/>
      <c r="OEH42" s="83"/>
      <c r="OEI42" s="83"/>
      <c r="OEJ42" s="83"/>
      <c r="OEK42" s="83"/>
      <c r="OEL42" s="83"/>
      <c r="OEM42" s="83"/>
      <c r="OEN42" s="83"/>
      <c r="OEO42" s="83"/>
      <c r="OEP42" s="83"/>
      <c r="OEQ42" s="83"/>
      <c r="OER42" s="83"/>
      <c r="OES42" s="83"/>
      <c r="OET42" s="83"/>
      <c r="OEU42" s="83"/>
      <c r="OEV42" s="83"/>
      <c r="OEW42" s="83"/>
      <c r="OEX42" s="83"/>
      <c r="OEY42" s="83"/>
      <c r="OEZ42" s="83"/>
      <c r="OFA42" s="83"/>
      <c r="OFB42" s="83"/>
      <c r="OFC42" s="83"/>
      <c r="OFD42" s="83"/>
      <c r="OFE42" s="83"/>
      <c r="OFF42" s="83"/>
      <c r="OFG42" s="83"/>
      <c r="OFH42" s="83"/>
      <c r="OFI42" s="83"/>
      <c r="OFJ42" s="83"/>
      <c r="OFK42" s="83"/>
      <c r="OFL42" s="83"/>
      <c r="OFM42" s="83"/>
      <c r="OFN42" s="83"/>
      <c r="OFO42" s="83"/>
      <c r="OFP42" s="83"/>
      <c r="OFQ42" s="83"/>
      <c r="OFR42" s="83"/>
      <c r="OFS42" s="83"/>
      <c r="OFT42" s="83"/>
      <c r="OFU42" s="83"/>
      <c r="OFV42" s="83"/>
      <c r="OFW42" s="83"/>
      <c r="OFX42" s="83"/>
      <c r="OFY42" s="83"/>
      <c r="OFZ42" s="83"/>
      <c r="OGA42" s="83"/>
      <c r="OGB42" s="83"/>
      <c r="OGC42" s="83"/>
      <c r="OGD42" s="83"/>
      <c r="OGE42" s="83"/>
      <c r="OGF42" s="83"/>
      <c r="OGG42" s="83"/>
      <c r="OGH42" s="83"/>
      <c r="OGI42" s="83"/>
      <c r="OGJ42" s="83"/>
      <c r="OGK42" s="83"/>
      <c r="OGL42" s="83"/>
      <c r="OGM42" s="83"/>
      <c r="OGN42" s="83"/>
      <c r="OGO42" s="83"/>
      <c r="OGP42" s="83"/>
      <c r="OGQ42" s="83"/>
      <c r="OGR42" s="83"/>
      <c r="OGS42" s="83"/>
      <c r="OGT42" s="83"/>
      <c r="OGU42" s="83"/>
      <c r="OGV42" s="83"/>
      <c r="OGW42" s="83"/>
      <c r="OGX42" s="83"/>
      <c r="OGY42" s="83"/>
      <c r="OGZ42" s="83"/>
      <c r="OHA42" s="83"/>
      <c r="OHB42" s="83"/>
      <c r="OHC42" s="83"/>
      <c r="OHD42" s="83"/>
      <c r="OHE42" s="83"/>
      <c r="OHF42" s="83"/>
      <c r="OHG42" s="83"/>
      <c r="OHH42" s="83"/>
      <c r="OHI42" s="83"/>
      <c r="OHJ42" s="83"/>
      <c r="OHK42" s="83"/>
      <c r="OHL42" s="83"/>
      <c r="OHM42" s="83"/>
      <c r="OHN42" s="83"/>
      <c r="OHO42" s="83"/>
      <c r="OHP42" s="83"/>
      <c r="OHQ42" s="83"/>
      <c r="OHR42" s="83"/>
      <c r="OHS42" s="83"/>
      <c r="OHT42" s="83"/>
      <c r="OHU42" s="83"/>
      <c r="OHV42" s="83"/>
      <c r="OHW42" s="83"/>
      <c r="OHX42" s="83"/>
      <c r="OHY42" s="83"/>
      <c r="OHZ42" s="83"/>
      <c r="OIA42" s="83"/>
      <c r="OIB42" s="83"/>
      <c r="OIC42" s="83"/>
      <c r="OID42" s="83"/>
      <c r="OIE42" s="83"/>
      <c r="OIF42" s="83"/>
      <c r="OIG42" s="83"/>
      <c r="OIH42" s="83"/>
      <c r="OII42" s="83"/>
      <c r="OIJ42" s="83"/>
      <c r="OIK42" s="83"/>
      <c r="OIL42" s="83"/>
      <c r="OIM42" s="83"/>
      <c r="OIN42" s="83"/>
      <c r="OIO42" s="83"/>
      <c r="OIP42" s="83"/>
      <c r="OIQ42" s="83"/>
      <c r="OIR42" s="83"/>
      <c r="OIS42" s="83"/>
      <c r="OIT42" s="83"/>
      <c r="OIU42" s="83"/>
      <c r="OIV42" s="83"/>
      <c r="OIW42" s="83"/>
      <c r="OIX42" s="83"/>
      <c r="OIY42" s="83"/>
      <c r="OIZ42" s="83"/>
      <c r="OJA42" s="83"/>
      <c r="OJB42" s="83"/>
      <c r="OJC42" s="83"/>
      <c r="OJD42" s="83"/>
      <c r="OJE42" s="83"/>
      <c r="OJF42" s="83"/>
      <c r="OJG42" s="83"/>
      <c r="OJH42" s="83"/>
      <c r="OJI42" s="83"/>
      <c r="OJJ42" s="83"/>
      <c r="OJK42" s="83"/>
      <c r="OJL42" s="83"/>
      <c r="OJM42" s="83"/>
      <c r="OJN42" s="83"/>
      <c r="OJO42" s="83"/>
      <c r="OJP42" s="83"/>
      <c r="OJQ42" s="83"/>
      <c r="OJR42" s="83"/>
      <c r="OJS42" s="83"/>
      <c r="OJT42" s="83"/>
      <c r="OJU42" s="83"/>
      <c r="OJV42" s="83"/>
      <c r="OJW42" s="83"/>
      <c r="OJX42" s="83"/>
      <c r="OJY42" s="83"/>
      <c r="OJZ42" s="83"/>
      <c r="OKA42" s="83"/>
      <c r="OKB42" s="83"/>
      <c r="OKC42" s="83"/>
      <c r="OKD42" s="83"/>
      <c r="OKE42" s="83"/>
      <c r="OKF42" s="83"/>
      <c r="OKG42" s="83"/>
      <c r="OKH42" s="83"/>
      <c r="OKI42" s="83"/>
      <c r="OKJ42" s="83"/>
      <c r="OKK42" s="83"/>
      <c r="OKL42" s="83"/>
      <c r="OKM42" s="83"/>
      <c r="OKN42" s="83"/>
      <c r="OKO42" s="83"/>
      <c r="OKP42" s="83"/>
      <c r="OKQ42" s="83"/>
      <c r="OKR42" s="83"/>
      <c r="OKS42" s="83"/>
      <c r="OKT42" s="83"/>
      <c r="OKU42" s="83"/>
      <c r="OKV42" s="83"/>
      <c r="OKW42" s="83"/>
      <c r="OKX42" s="83"/>
      <c r="OKY42" s="83"/>
      <c r="OKZ42" s="83"/>
      <c r="OLA42" s="83"/>
      <c r="OLB42" s="83"/>
      <c r="OLC42" s="83"/>
      <c r="OLD42" s="83"/>
      <c r="OLE42" s="83"/>
      <c r="OLF42" s="83"/>
      <c r="OLG42" s="83"/>
      <c r="OLH42" s="83"/>
      <c r="OLI42" s="83"/>
      <c r="OLJ42" s="83"/>
      <c r="OLK42" s="83"/>
      <c r="OLL42" s="83"/>
      <c r="OLM42" s="83"/>
      <c r="OLN42" s="83"/>
      <c r="OLO42" s="83"/>
      <c r="OLP42" s="83"/>
      <c r="OLQ42" s="83"/>
      <c r="OLR42" s="83"/>
      <c r="OLS42" s="83"/>
      <c r="OLT42" s="83"/>
      <c r="OLU42" s="83"/>
      <c r="OLV42" s="83"/>
      <c r="OLW42" s="83"/>
      <c r="OLX42" s="83"/>
      <c r="OLY42" s="83"/>
      <c r="OLZ42" s="83"/>
      <c r="OMA42" s="83"/>
      <c r="OMB42" s="83"/>
      <c r="OMC42" s="83"/>
      <c r="OMD42" s="83"/>
      <c r="OME42" s="83"/>
      <c r="OMF42" s="83"/>
      <c r="OMG42" s="83"/>
      <c r="OMH42" s="83"/>
      <c r="OMI42" s="83"/>
      <c r="OMJ42" s="83"/>
      <c r="OMK42" s="83"/>
      <c r="OML42" s="83"/>
      <c r="OMM42" s="83"/>
      <c r="OMN42" s="83"/>
      <c r="OMO42" s="83"/>
      <c r="OMP42" s="83"/>
      <c r="OMQ42" s="83"/>
      <c r="OMR42" s="83"/>
      <c r="OMS42" s="83"/>
      <c r="OMT42" s="83"/>
      <c r="OMU42" s="83"/>
      <c r="OMV42" s="83"/>
      <c r="OMW42" s="83"/>
      <c r="OMX42" s="83"/>
      <c r="OMY42" s="83"/>
      <c r="OMZ42" s="83"/>
      <c r="ONA42" s="83"/>
      <c r="ONB42" s="83"/>
      <c r="ONC42" s="83"/>
      <c r="OND42" s="83"/>
      <c r="ONE42" s="83"/>
      <c r="ONF42" s="83"/>
      <c r="ONG42" s="83"/>
      <c r="ONH42" s="83"/>
      <c r="ONI42" s="83"/>
      <c r="ONJ42" s="83"/>
      <c r="ONK42" s="83"/>
      <c r="ONL42" s="83"/>
      <c r="ONM42" s="83"/>
      <c r="ONN42" s="83"/>
      <c r="ONO42" s="83"/>
      <c r="ONP42" s="83"/>
      <c r="ONQ42" s="83"/>
      <c r="ONR42" s="83"/>
      <c r="ONS42" s="83"/>
      <c r="ONT42" s="83"/>
      <c r="ONU42" s="83"/>
      <c r="ONV42" s="83"/>
      <c r="ONW42" s="83"/>
      <c r="ONX42" s="83"/>
      <c r="ONY42" s="83"/>
      <c r="ONZ42" s="83"/>
      <c r="OOA42" s="83"/>
      <c r="OOB42" s="83"/>
      <c r="OOC42" s="83"/>
      <c r="OOD42" s="83"/>
      <c r="OOE42" s="83"/>
      <c r="OOF42" s="83"/>
      <c r="OOG42" s="83"/>
      <c r="OOH42" s="83"/>
      <c r="OOI42" s="83"/>
      <c r="OOJ42" s="83"/>
      <c r="OOK42" s="83"/>
      <c r="OOL42" s="83"/>
      <c r="OOM42" s="83"/>
      <c r="OON42" s="83"/>
      <c r="OOO42" s="83"/>
      <c r="OOP42" s="83"/>
      <c r="OOQ42" s="83"/>
      <c r="OOR42" s="83"/>
      <c r="OOS42" s="83"/>
      <c r="OOT42" s="83"/>
      <c r="OOU42" s="83"/>
      <c r="OOV42" s="83"/>
      <c r="OOW42" s="83"/>
      <c r="OOX42" s="83"/>
      <c r="OOY42" s="83"/>
      <c r="OOZ42" s="83"/>
      <c r="OPA42" s="83"/>
      <c r="OPB42" s="83"/>
      <c r="OPC42" s="83"/>
      <c r="OPD42" s="83"/>
      <c r="OPE42" s="83"/>
      <c r="OPF42" s="83"/>
      <c r="OPG42" s="83"/>
      <c r="OPH42" s="83"/>
      <c r="OPI42" s="83"/>
      <c r="OPJ42" s="83"/>
      <c r="OPK42" s="83"/>
      <c r="OPL42" s="83"/>
      <c r="OPM42" s="83"/>
      <c r="OPN42" s="83"/>
      <c r="OPO42" s="83"/>
      <c r="OPP42" s="83"/>
      <c r="OPQ42" s="83"/>
      <c r="OPR42" s="83"/>
      <c r="OPS42" s="83"/>
      <c r="OPT42" s="83"/>
      <c r="OPU42" s="83"/>
      <c r="OPV42" s="83"/>
      <c r="OPW42" s="83"/>
      <c r="OPX42" s="83"/>
      <c r="OPY42" s="83"/>
      <c r="OPZ42" s="83"/>
      <c r="OQA42" s="83"/>
      <c r="OQB42" s="83"/>
      <c r="OQC42" s="83"/>
      <c r="OQD42" s="83"/>
      <c r="OQE42" s="83"/>
      <c r="OQF42" s="83"/>
      <c r="OQG42" s="83"/>
      <c r="OQH42" s="83"/>
      <c r="OQI42" s="83"/>
      <c r="OQJ42" s="83"/>
      <c r="OQK42" s="83"/>
      <c r="OQL42" s="83"/>
      <c r="OQM42" s="83"/>
      <c r="OQN42" s="83"/>
      <c r="OQO42" s="83"/>
      <c r="OQP42" s="83"/>
      <c r="OQQ42" s="83"/>
      <c r="OQR42" s="83"/>
      <c r="OQS42" s="83"/>
      <c r="OQT42" s="83"/>
      <c r="OQU42" s="83"/>
      <c r="OQV42" s="83"/>
      <c r="OQW42" s="83"/>
      <c r="OQX42" s="83"/>
      <c r="OQY42" s="83"/>
      <c r="OQZ42" s="83"/>
      <c r="ORA42" s="83"/>
      <c r="ORB42" s="83"/>
      <c r="ORC42" s="83"/>
      <c r="ORD42" s="83"/>
      <c r="ORE42" s="83"/>
      <c r="ORF42" s="83"/>
      <c r="ORG42" s="83"/>
      <c r="ORH42" s="83"/>
      <c r="ORI42" s="83"/>
      <c r="ORJ42" s="83"/>
      <c r="ORK42" s="83"/>
      <c r="ORL42" s="83"/>
      <c r="ORM42" s="83"/>
      <c r="ORN42" s="83"/>
      <c r="ORO42" s="83"/>
      <c r="ORP42" s="83"/>
      <c r="ORQ42" s="83"/>
      <c r="ORR42" s="83"/>
      <c r="ORS42" s="83"/>
      <c r="ORT42" s="83"/>
      <c r="ORU42" s="83"/>
      <c r="ORV42" s="83"/>
      <c r="ORW42" s="83"/>
      <c r="ORX42" s="83"/>
      <c r="ORY42" s="83"/>
      <c r="ORZ42" s="83"/>
      <c r="OSA42" s="83"/>
      <c r="OSB42" s="83"/>
      <c r="OSC42" s="83"/>
      <c r="OSD42" s="83"/>
      <c r="OSE42" s="83"/>
      <c r="OSF42" s="83"/>
      <c r="OSG42" s="83"/>
      <c r="OSH42" s="83"/>
      <c r="OSI42" s="83"/>
      <c r="OSJ42" s="83"/>
      <c r="OSK42" s="83"/>
      <c r="OSL42" s="83"/>
      <c r="OSM42" s="83"/>
      <c r="OSN42" s="83"/>
      <c r="OSO42" s="83"/>
      <c r="OSP42" s="83"/>
      <c r="OSQ42" s="83"/>
      <c r="OSR42" s="83"/>
      <c r="OSS42" s="83"/>
      <c r="OST42" s="83"/>
      <c r="OSU42" s="83"/>
      <c r="OSV42" s="83"/>
      <c r="OSW42" s="83"/>
      <c r="OSX42" s="83"/>
      <c r="OSY42" s="83"/>
      <c r="OSZ42" s="83"/>
      <c r="OTA42" s="83"/>
      <c r="OTB42" s="83"/>
      <c r="OTC42" s="83"/>
      <c r="OTD42" s="83"/>
      <c r="OTE42" s="83"/>
      <c r="OTF42" s="83"/>
      <c r="OTG42" s="83"/>
      <c r="OTH42" s="83"/>
      <c r="OTI42" s="83"/>
      <c r="OTJ42" s="83"/>
      <c r="OTK42" s="83"/>
      <c r="OTL42" s="83"/>
      <c r="OTM42" s="83"/>
      <c r="OTN42" s="83"/>
      <c r="OTO42" s="83"/>
      <c r="OTP42" s="83"/>
      <c r="OTQ42" s="83"/>
      <c r="OTR42" s="83"/>
      <c r="OTS42" s="83"/>
      <c r="OTT42" s="83"/>
      <c r="OTU42" s="83"/>
      <c r="OTV42" s="83"/>
      <c r="OTW42" s="83"/>
      <c r="OTX42" s="83"/>
      <c r="OTY42" s="83"/>
      <c r="OTZ42" s="83"/>
      <c r="OUA42" s="83"/>
      <c r="OUB42" s="83"/>
      <c r="OUC42" s="83"/>
      <c r="OUD42" s="83"/>
      <c r="OUE42" s="83"/>
      <c r="OUF42" s="83"/>
      <c r="OUG42" s="83"/>
      <c r="OUH42" s="83"/>
      <c r="OUI42" s="83"/>
      <c r="OUJ42" s="83"/>
      <c r="OUK42" s="83"/>
      <c r="OUL42" s="83"/>
      <c r="OUM42" s="83"/>
      <c r="OUN42" s="83"/>
      <c r="OUO42" s="83"/>
      <c r="OUP42" s="83"/>
      <c r="OUQ42" s="83"/>
      <c r="OUR42" s="83"/>
      <c r="OUS42" s="83"/>
      <c r="OUT42" s="83"/>
      <c r="OUU42" s="83"/>
      <c r="OUV42" s="83"/>
      <c r="OUW42" s="83"/>
      <c r="OUX42" s="83"/>
      <c r="OUY42" s="83"/>
      <c r="OUZ42" s="83"/>
      <c r="OVA42" s="83"/>
      <c r="OVB42" s="83"/>
      <c r="OVC42" s="83"/>
      <c r="OVD42" s="83"/>
      <c r="OVE42" s="83"/>
      <c r="OVF42" s="83"/>
      <c r="OVG42" s="83"/>
      <c r="OVH42" s="83"/>
      <c r="OVI42" s="83"/>
      <c r="OVJ42" s="83"/>
      <c r="OVK42" s="83"/>
      <c r="OVL42" s="83"/>
      <c r="OVM42" s="83"/>
      <c r="OVN42" s="83"/>
      <c r="OVO42" s="83"/>
      <c r="OVP42" s="83"/>
      <c r="OVQ42" s="83"/>
      <c r="OVR42" s="83"/>
      <c r="OVS42" s="83"/>
      <c r="OVT42" s="83"/>
      <c r="OVU42" s="83"/>
      <c r="OVV42" s="83"/>
      <c r="OVW42" s="83"/>
      <c r="OVX42" s="83"/>
      <c r="OVY42" s="83"/>
      <c r="OVZ42" s="83"/>
      <c r="OWA42" s="83"/>
      <c r="OWB42" s="83"/>
      <c r="OWC42" s="83"/>
      <c r="OWD42" s="83"/>
      <c r="OWE42" s="83"/>
      <c r="OWF42" s="83"/>
      <c r="OWG42" s="83"/>
      <c r="OWH42" s="83"/>
      <c r="OWI42" s="83"/>
      <c r="OWJ42" s="83"/>
      <c r="OWK42" s="83"/>
      <c r="OWL42" s="83"/>
      <c r="OWM42" s="83"/>
      <c r="OWN42" s="83"/>
      <c r="OWO42" s="83"/>
      <c r="OWP42" s="83"/>
      <c r="OWQ42" s="83"/>
      <c r="OWR42" s="83"/>
      <c r="OWS42" s="83"/>
      <c r="OWT42" s="83"/>
      <c r="OWU42" s="83"/>
      <c r="OWV42" s="83"/>
      <c r="OWW42" s="83"/>
      <c r="OWX42" s="83"/>
      <c r="OWY42" s="83"/>
      <c r="OWZ42" s="83"/>
      <c r="OXA42" s="83"/>
      <c r="OXB42" s="83"/>
      <c r="OXC42" s="83"/>
      <c r="OXD42" s="83"/>
      <c r="OXE42" s="83"/>
      <c r="OXF42" s="83"/>
      <c r="OXG42" s="83"/>
      <c r="OXH42" s="83"/>
      <c r="OXI42" s="83"/>
      <c r="OXJ42" s="83"/>
      <c r="OXK42" s="83"/>
      <c r="OXL42" s="83"/>
      <c r="OXM42" s="83"/>
      <c r="OXN42" s="83"/>
      <c r="OXO42" s="83"/>
      <c r="OXP42" s="83"/>
      <c r="OXQ42" s="83"/>
      <c r="OXR42" s="83"/>
      <c r="OXS42" s="83"/>
      <c r="OXT42" s="83"/>
      <c r="OXU42" s="83"/>
      <c r="OXV42" s="83"/>
      <c r="OXW42" s="83"/>
      <c r="OXX42" s="83"/>
      <c r="OXY42" s="83"/>
      <c r="OXZ42" s="83"/>
      <c r="OYA42" s="83"/>
      <c r="OYB42" s="83"/>
      <c r="OYC42" s="83"/>
      <c r="OYD42" s="83"/>
      <c r="OYE42" s="83"/>
      <c r="OYF42" s="83"/>
      <c r="OYG42" s="83"/>
      <c r="OYH42" s="83"/>
      <c r="OYI42" s="83"/>
      <c r="OYJ42" s="83"/>
      <c r="OYK42" s="83"/>
      <c r="OYL42" s="83"/>
      <c r="OYM42" s="83"/>
      <c r="OYN42" s="83"/>
      <c r="OYO42" s="83"/>
      <c r="OYP42" s="83"/>
      <c r="OYQ42" s="83"/>
      <c r="OYR42" s="83"/>
      <c r="OYS42" s="83"/>
      <c r="OYT42" s="83"/>
      <c r="OYU42" s="83"/>
      <c r="OYV42" s="83"/>
      <c r="OYW42" s="83"/>
      <c r="OYX42" s="83"/>
      <c r="OYY42" s="83"/>
      <c r="OYZ42" s="83"/>
      <c r="OZA42" s="83"/>
      <c r="OZB42" s="83"/>
      <c r="OZC42" s="83"/>
      <c r="OZD42" s="83"/>
      <c r="OZE42" s="83"/>
      <c r="OZF42" s="83"/>
      <c r="OZG42" s="83"/>
      <c r="OZH42" s="83"/>
      <c r="OZI42" s="83"/>
      <c r="OZJ42" s="83"/>
      <c r="OZK42" s="83"/>
      <c r="OZL42" s="83"/>
      <c r="OZM42" s="83"/>
      <c r="OZN42" s="83"/>
      <c r="OZO42" s="83"/>
      <c r="OZP42" s="83"/>
      <c r="OZQ42" s="83"/>
      <c r="OZR42" s="83"/>
      <c r="OZS42" s="83"/>
      <c r="OZT42" s="83"/>
      <c r="OZU42" s="83"/>
      <c r="OZV42" s="83"/>
      <c r="OZW42" s="83"/>
      <c r="OZX42" s="83"/>
      <c r="OZY42" s="83"/>
      <c r="OZZ42" s="83"/>
      <c r="PAA42" s="83"/>
      <c r="PAB42" s="83"/>
      <c r="PAC42" s="83"/>
      <c r="PAD42" s="83"/>
      <c r="PAE42" s="83"/>
      <c r="PAF42" s="83"/>
      <c r="PAG42" s="83"/>
      <c r="PAH42" s="83"/>
      <c r="PAI42" s="83"/>
      <c r="PAJ42" s="83"/>
      <c r="PAK42" s="83"/>
      <c r="PAL42" s="83"/>
      <c r="PAM42" s="83"/>
      <c r="PAN42" s="83"/>
      <c r="PAO42" s="83"/>
      <c r="PAP42" s="83"/>
      <c r="PAQ42" s="83"/>
      <c r="PAR42" s="83"/>
      <c r="PAS42" s="83"/>
      <c r="PAT42" s="83"/>
      <c r="PAU42" s="83"/>
      <c r="PAV42" s="83"/>
      <c r="PAW42" s="83"/>
      <c r="PAX42" s="83"/>
      <c r="PAY42" s="83"/>
      <c r="PAZ42" s="83"/>
      <c r="PBA42" s="83"/>
      <c r="PBB42" s="83"/>
      <c r="PBC42" s="83"/>
      <c r="PBD42" s="83"/>
      <c r="PBE42" s="83"/>
      <c r="PBF42" s="83"/>
      <c r="PBG42" s="83"/>
      <c r="PBH42" s="83"/>
      <c r="PBI42" s="83"/>
      <c r="PBJ42" s="83"/>
      <c r="PBK42" s="83"/>
      <c r="PBL42" s="83"/>
      <c r="PBM42" s="83"/>
      <c r="PBN42" s="83"/>
      <c r="PBO42" s="83"/>
      <c r="PBP42" s="83"/>
      <c r="PBQ42" s="83"/>
      <c r="PBR42" s="83"/>
      <c r="PBS42" s="83"/>
      <c r="PBT42" s="83"/>
      <c r="PBU42" s="83"/>
      <c r="PBV42" s="83"/>
      <c r="PBW42" s="83"/>
      <c r="PBX42" s="83"/>
      <c r="PBY42" s="83"/>
      <c r="PBZ42" s="83"/>
      <c r="PCA42" s="83"/>
      <c r="PCB42" s="83"/>
      <c r="PCC42" s="83"/>
      <c r="PCD42" s="83"/>
      <c r="PCE42" s="83"/>
      <c r="PCF42" s="83"/>
      <c r="PCG42" s="83"/>
      <c r="PCH42" s="83"/>
      <c r="PCI42" s="83"/>
      <c r="PCJ42" s="83"/>
      <c r="PCK42" s="83"/>
      <c r="PCL42" s="83"/>
      <c r="PCM42" s="83"/>
      <c r="PCN42" s="83"/>
      <c r="PCO42" s="83"/>
      <c r="PCP42" s="83"/>
      <c r="PCQ42" s="83"/>
      <c r="PCR42" s="83"/>
      <c r="PCS42" s="83"/>
      <c r="PCT42" s="83"/>
      <c r="PCU42" s="83"/>
      <c r="PCV42" s="83"/>
      <c r="PCW42" s="83"/>
      <c r="PCX42" s="83"/>
      <c r="PCY42" s="83"/>
      <c r="PCZ42" s="83"/>
      <c r="PDA42" s="83"/>
      <c r="PDB42" s="83"/>
      <c r="PDC42" s="83"/>
      <c r="PDD42" s="83"/>
      <c r="PDE42" s="83"/>
      <c r="PDF42" s="83"/>
      <c r="PDG42" s="83"/>
      <c r="PDH42" s="83"/>
      <c r="PDI42" s="83"/>
      <c r="PDJ42" s="83"/>
      <c r="PDK42" s="83"/>
      <c r="PDL42" s="83"/>
      <c r="PDM42" s="83"/>
      <c r="PDN42" s="83"/>
      <c r="PDO42" s="83"/>
      <c r="PDP42" s="83"/>
      <c r="PDQ42" s="83"/>
      <c r="PDR42" s="83"/>
      <c r="PDS42" s="83"/>
      <c r="PDT42" s="83"/>
      <c r="PDU42" s="83"/>
      <c r="PDV42" s="83"/>
      <c r="PDW42" s="83"/>
      <c r="PDX42" s="83"/>
      <c r="PDY42" s="83"/>
      <c r="PDZ42" s="83"/>
      <c r="PEA42" s="83"/>
      <c r="PEB42" s="83"/>
      <c r="PEC42" s="83"/>
      <c r="PED42" s="83"/>
      <c r="PEE42" s="83"/>
      <c r="PEF42" s="83"/>
      <c r="PEG42" s="83"/>
      <c r="PEH42" s="83"/>
      <c r="PEI42" s="83"/>
      <c r="PEJ42" s="83"/>
      <c r="PEK42" s="83"/>
      <c r="PEL42" s="83"/>
      <c r="PEM42" s="83"/>
      <c r="PEN42" s="83"/>
      <c r="PEO42" s="83"/>
      <c r="PEP42" s="83"/>
      <c r="PEQ42" s="83"/>
      <c r="PER42" s="83"/>
      <c r="PES42" s="83"/>
      <c r="PET42" s="83"/>
      <c r="PEU42" s="83"/>
      <c r="PEV42" s="83"/>
      <c r="PEW42" s="83"/>
      <c r="PEX42" s="83"/>
      <c r="PEY42" s="83"/>
      <c r="PEZ42" s="83"/>
      <c r="PFA42" s="83"/>
      <c r="PFB42" s="83"/>
      <c r="PFC42" s="83"/>
      <c r="PFD42" s="83"/>
      <c r="PFE42" s="83"/>
      <c r="PFF42" s="83"/>
      <c r="PFG42" s="83"/>
      <c r="PFH42" s="83"/>
      <c r="PFI42" s="83"/>
      <c r="PFJ42" s="83"/>
      <c r="PFK42" s="83"/>
      <c r="PFL42" s="83"/>
      <c r="PFM42" s="83"/>
      <c r="PFN42" s="83"/>
      <c r="PFO42" s="83"/>
      <c r="PFP42" s="83"/>
      <c r="PFQ42" s="83"/>
      <c r="PFR42" s="83"/>
      <c r="PFS42" s="83"/>
      <c r="PFT42" s="83"/>
      <c r="PFU42" s="83"/>
      <c r="PFV42" s="83"/>
      <c r="PFW42" s="83"/>
      <c r="PFX42" s="83"/>
      <c r="PFY42" s="83"/>
      <c r="PFZ42" s="83"/>
      <c r="PGA42" s="83"/>
      <c r="PGB42" s="83"/>
      <c r="PGC42" s="83"/>
      <c r="PGD42" s="83"/>
      <c r="PGE42" s="83"/>
      <c r="PGF42" s="83"/>
      <c r="PGG42" s="83"/>
      <c r="PGH42" s="83"/>
      <c r="PGI42" s="83"/>
      <c r="PGJ42" s="83"/>
      <c r="PGK42" s="83"/>
      <c r="PGL42" s="83"/>
      <c r="PGM42" s="83"/>
      <c r="PGN42" s="83"/>
      <c r="PGO42" s="83"/>
      <c r="PGP42" s="83"/>
      <c r="PGQ42" s="83"/>
      <c r="PGR42" s="83"/>
      <c r="PGS42" s="83"/>
      <c r="PGT42" s="83"/>
      <c r="PGU42" s="83"/>
      <c r="PGV42" s="83"/>
      <c r="PGW42" s="83"/>
      <c r="PGX42" s="83"/>
      <c r="PGY42" s="83"/>
      <c r="PGZ42" s="83"/>
      <c r="PHA42" s="83"/>
      <c r="PHB42" s="83"/>
      <c r="PHC42" s="83"/>
      <c r="PHD42" s="83"/>
      <c r="PHE42" s="83"/>
      <c r="PHF42" s="83"/>
      <c r="PHG42" s="83"/>
      <c r="PHH42" s="83"/>
      <c r="PHI42" s="83"/>
      <c r="PHJ42" s="83"/>
      <c r="PHK42" s="83"/>
      <c r="PHL42" s="83"/>
      <c r="PHM42" s="83"/>
      <c r="PHN42" s="83"/>
      <c r="PHO42" s="83"/>
      <c r="PHP42" s="83"/>
      <c r="PHQ42" s="83"/>
      <c r="PHR42" s="83"/>
      <c r="PHS42" s="83"/>
      <c r="PHT42" s="83"/>
      <c r="PHU42" s="83"/>
      <c r="PHV42" s="83"/>
      <c r="PHW42" s="83"/>
      <c r="PHX42" s="83"/>
      <c r="PHY42" s="83"/>
      <c r="PHZ42" s="83"/>
      <c r="PIA42" s="83"/>
      <c r="PIB42" s="83"/>
      <c r="PIC42" s="83"/>
      <c r="PID42" s="83"/>
      <c r="PIE42" s="83"/>
      <c r="PIF42" s="83"/>
      <c r="PIG42" s="83"/>
      <c r="PIH42" s="83"/>
      <c r="PII42" s="83"/>
      <c r="PIJ42" s="83"/>
      <c r="PIK42" s="83"/>
      <c r="PIL42" s="83"/>
      <c r="PIM42" s="83"/>
      <c r="PIN42" s="83"/>
      <c r="PIO42" s="83"/>
      <c r="PIP42" s="83"/>
      <c r="PIQ42" s="83"/>
      <c r="PIR42" s="83"/>
      <c r="PIS42" s="83"/>
      <c r="PIT42" s="83"/>
      <c r="PIU42" s="83"/>
      <c r="PIV42" s="83"/>
      <c r="PIW42" s="83"/>
      <c r="PIX42" s="83"/>
      <c r="PIY42" s="83"/>
      <c r="PIZ42" s="83"/>
      <c r="PJA42" s="83"/>
      <c r="PJB42" s="83"/>
      <c r="PJC42" s="83"/>
      <c r="PJD42" s="83"/>
      <c r="PJE42" s="83"/>
      <c r="PJF42" s="83"/>
      <c r="PJG42" s="83"/>
      <c r="PJH42" s="83"/>
      <c r="PJI42" s="83"/>
      <c r="PJJ42" s="83"/>
      <c r="PJK42" s="83"/>
      <c r="PJL42" s="83"/>
      <c r="PJM42" s="83"/>
      <c r="PJN42" s="83"/>
      <c r="PJO42" s="83"/>
      <c r="PJP42" s="83"/>
      <c r="PJQ42" s="83"/>
      <c r="PJR42" s="83"/>
      <c r="PJS42" s="83"/>
      <c r="PJT42" s="83"/>
      <c r="PJU42" s="83"/>
      <c r="PJV42" s="83"/>
      <c r="PJW42" s="83"/>
      <c r="PJX42" s="83"/>
      <c r="PJY42" s="83"/>
      <c r="PJZ42" s="83"/>
      <c r="PKA42" s="83"/>
      <c r="PKB42" s="83"/>
      <c r="PKC42" s="83"/>
      <c r="PKD42" s="83"/>
      <c r="PKE42" s="83"/>
      <c r="PKF42" s="83"/>
      <c r="PKG42" s="83"/>
      <c r="PKH42" s="83"/>
      <c r="PKI42" s="83"/>
      <c r="PKJ42" s="83"/>
      <c r="PKK42" s="83"/>
      <c r="PKL42" s="83"/>
      <c r="PKM42" s="83"/>
      <c r="PKN42" s="83"/>
      <c r="PKO42" s="83"/>
      <c r="PKP42" s="83"/>
      <c r="PKQ42" s="83"/>
      <c r="PKR42" s="83"/>
      <c r="PKS42" s="83"/>
      <c r="PKT42" s="83"/>
      <c r="PKU42" s="83"/>
      <c r="PKV42" s="83"/>
      <c r="PKW42" s="83"/>
      <c r="PKX42" s="83"/>
      <c r="PKY42" s="83"/>
      <c r="PKZ42" s="83"/>
      <c r="PLA42" s="83"/>
      <c r="PLB42" s="83"/>
      <c r="PLC42" s="83"/>
      <c r="PLD42" s="83"/>
      <c r="PLE42" s="83"/>
      <c r="PLF42" s="83"/>
      <c r="PLG42" s="83"/>
      <c r="PLH42" s="83"/>
      <c r="PLI42" s="83"/>
      <c r="PLJ42" s="83"/>
      <c r="PLK42" s="83"/>
      <c r="PLL42" s="83"/>
      <c r="PLM42" s="83"/>
      <c r="PLN42" s="83"/>
      <c r="PLO42" s="83"/>
      <c r="PLP42" s="83"/>
      <c r="PLQ42" s="83"/>
      <c r="PLR42" s="83"/>
      <c r="PLS42" s="83"/>
      <c r="PLT42" s="83"/>
      <c r="PLU42" s="83"/>
      <c r="PLV42" s="83"/>
      <c r="PLW42" s="83"/>
      <c r="PLX42" s="83"/>
      <c r="PLY42" s="83"/>
      <c r="PLZ42" s="83"/>
      <c r="PMA42" s="83"/>
      <c r="PMB42" s="83"/>
      <c r="PMC42" s="83"/>
      <c r="PMD42" s="83"/>
      <c r="PME42" s="83"/>
      <c r="PMF42" s="83"/>
      <c r="PMG42" s="83"/>
      <c r="PMH42" s="83"/>
      <c r="PMI42" s="83"/>
      <c r="PMJ42" s="83"/>
      <c r="PMK42" s="83"/>
      <c r="PML42" s="83"/>
      <c r="PMM42" s="83"/>
      <c r="PMN42" s="83"/>
      <c r="PMO42" s="83"/>
      <c r="PMP42" s="83"/>
      <c r="PMQ42" s="83"/>
      <c r="PMR42" s="83"/>
      <c r="PMS42" s="83"/>
      <c r="PMT42" s="83"/>
      <c r="PMU42" s="83"/>
      <c r="PMV42" s="83"/>
      <c r="PMW42" s="83"/>
      <c r="PMX42" s="83"/>
      <c r="PMY42" s="83"/>
      <c r="PMZ42" s="83"/>
      <c r="PNA42" s="83"/>
      <c r="PNB42" s="83"/>
      <c r="PNC42" s="83"/>
      <c r="PND42" s="83"/>
      <c r="PNE42" s="83"/>
      <c r="PNF42" s="83"/>
      <c r="PNG42" s="83"/>
      <c r="PNH42" s="83"/>
      <c r="PNI42" s="83"/>
      <c r="PNJ42" s="83"/>
      <c r="PNK42" s="83"/>
      <c r="PNL42" s="83"/>
      <c r="PNM42" s="83"/>
      <c r="PNN42" s="83"/>
      <c r="PNO42" s="83"/>
      <c r="PNP42" s="83"/>
      <c r="PNQ42" s="83"/>
      <c r="PNR42" s="83"/>
      <c r="PNS42" s="83"/>
      <c r="PNT42" s="83"/>
      <c r="PNU42" s="83"/>
      <c r="PNV42" s="83"/>
      <c r="PNW42" s="83"/>
      <c r="PNX42" s="83"/>
      <c r="PNY42" s="83"/>
      <c r="PNZ42" s="83"/>
      <c r="POA42" s="83"/>
      <c r="POB42" s="83"/>
      <c r="POC42" s="83"/>
      <c r="POD42" s="83"/>
      <c r="POE42" s="83"/>
      <c r="POF42" s="83"/>
      <c r="POG42" s="83"/>
      <c r="POH42" s="83"/>
      <c r="POI42" s="83"/>
      <c r="POJ42" s="83"/>
      <c r="POK42" s="83"/>
      <c r="POL42" s="83"/>
      <c r="POM42" s="83"/>
      <c r="PON42" s="83"/>
      <c r="POO42" s="83"/>
      <c r="POP42" s="83"/>
      <c r="POQ42" s="83"/>
      <c r="POR42" s="83"/>
      <c r="POS42" s="83"/>
      <c r="POT42" s="83"/>
      <c r="POU42" s="83"/>
      <c r="POV42" s="83"/>
      <c r="POW42" s="83"/>
      <c r="POX42" s="83"/>
      <c r="POY42" s="83"/>
      <c r="POZ42" s="83"/>
      <c r="PPA42" s="83"/>
      <c r="PPB42" s="83"/>
      <c r="PPC42" s="83"/>
      <c r="PPD42" s="83"/>
      <c r="PPE42" s="83"/>
      <c r="PPF42" s="83"/>
      <c r="PPG42" s="83"/>
      <c r="PPH42" s="83"/>
      <c r="PPI42" s="83"/>
      <c r="PPJ42" s="83"/>
      <c r="PPK42" s="83"/>
      <c r="PPL42" s="83"/>
      <c r="PPM42" s="83"/>
      <c r="PPN42" s="83"/>
      <c r="PPO42" s="83"/>
      <c r="PPP42" s="83"/>
      <c r="PPQ42" s="83"/>
      <c r="PPR42" s="83"/>
      <c r="PPS42" s="83"/>
      <c r="PPT42" s="83"/>
      <c r="PPU42" s="83"/>
      <c r="PPV42" s="83"/>
      <c r="PPW42" s="83"/>
      <c r="PPX42" s="83"/>
      <c r="PPY42" s="83"/>
      <c r="PPZ42" s="83"/>
      <c r="PQA42" s="83"/>
      <c r="PQB42" s="83"/>
      <c r="PQC42" s="83"/>
      <c r="PQD42" s="83"/>
      <c r="PQE42" s="83"/>
      <c r="PQF42" s="83"/>
      <c r="PQG42" s="83"/>
      <c r="PQH42" s="83"/>
      <c r="PQI42" s="83"/>
      <c r="PQJ42" s="83"/>
      <c r="PQK42" s="83"/>
      <c r="PQL42" s="83"/>
      <c r="PQM42" s="83"/>
      <c r="PQN42" s="83"/>
      <c r="PQO42" s="83"/>
      <c r="PQP42" s="83"/>
      <c r="PQQ42" s="83"/>
      <c r="PQR42" s="83"/>
      <c r="PQS42" s="83"/>
      <c r="PQT42" s="83"/>
      <c r="PQU42" s="83"/>
      <c r="PQV42" s="83"/>
      <c r="PQW42" s="83"/>
      <c r="PQX42" s="83"/>
      <c r="PQY42" s="83"/>
      <c r="PQZ42" s="83"/>
      <c r="PRA42" s="83"/>
      <c r="PRB42" s="83"/>
      <c r="PRC42" s="83"/>
      <c r="PRD42" s="83"/>
      <c r="PRE42" s="83"/>
      <c r="PRF42" s="83"/>
      <c r="PRG42" s="83"/>
      <c r="PRH42" s="83"/>
      <c r="PRI42" s="83"/>
      <c r="PRJ42" s="83"/>
      <c r="PRK42" s="83"/>
      <c r="PRL42" s="83"/>
      <c r="PRM42" s="83"/>
      <c r="PRN42" s="83"/>
      <c r="PRO42" s="83"/>
      <c r="PRP42" s="83"/>
      <c r="PRQ42" s="83"/>
      <c r="PRR42" s="83"/>
      <c r="PRS42" s="83"/>
      <c r="PRT42" s="83"/>
      <c r="PRU42" s="83"/>
      <c r="PRV42" s="83"/>
      <c r="PRW42" s="83"/>
      <c r="PRX42" s="83"/>
      <c r="PRY42" s="83"/>
      <c r="PRZ42" s="83"/>
      <c r="PSA42" s="83"/>
      <c r="PSB42" s="83"/>
      <c r="PSC42" s="83"/>
      <c r="PSD42" s="83"/>
      <c r="PSE42" s="83"/>
      <c r="PSF42" s="83"/>
      <c r="PSG42" s="83"/>
      <c r="PSH42" s="83"/>
      <c r="PSI42" s="83"/>
      <c r="PSJ42" s="83"/>
      <c r="PSK42" s="83"/>
      <c r="PSL42" s="83"/>
      <c r="PSM42" s="83"/>
      <c r="PSN42" s="83"/>
      <c r="PSO42" s="83"/>
      <c r="PSP42" s="83"/>
      <c r="PSQ42" s="83"/>
      <c r="PSR42" s="83"/>
      <c r="PSS42" s="83"/>
      <c r="PST42" s="83"/>
      <c r="PSU42" s="83"/>
      <c r="PSV42" s="83"/>
      <c r="PSW42" s="83"/>
      <c r="PSX42" s="83"/>
      <c r="PSY42" s="83"/>
      <c r="PSZ42" s="83"/>
      <c r="PTA42" s="83"/>
      <c r="PTB42" s="83"/>
      <c r="PTC42" s="83"/>
      <c r="PTD42" s="83"/>
      <c r="PTE42" s="83"/>
      <c r="PTF42" s="83"/>
      <c r="PTG42" s="83"/>
      <c r="PTH42" s="83"/>
      <c r="PTI42" s="83"/>
      <c r="PTJ42" s="83"/>
      <c r="PTK42" s="83"/>
      <c r="PTL42" s="83"/>
      <c r="PTM42" s="83"/>
      <c r="PTN42" s="83"/>
      <c r="PTO42" s="83"/>
      <c r="PTP42" s="83"/>
      <c r="PTQ42" s="83"/>
      <c r="PTR42" s="83"/>
      <c r="PTS42" s="83"/>
      <c r="PTT42" s="83"/>
      <c r="PTU42" s="83"/>
      <c r="PTV42" s="83"/>
      <c r="PTW42" s="83"/>
      <c r="PTX42" s="83"/>
      <c r="PTY42" s="83"/>
      <c r="PTZ42" s="83"/>
      <c r="PUA42" s="83"/>
      <c r="PUB42" s="83"/>
      <c r="PUC42" s="83"/>
      <c r="PUD42" s="83"/>
      <c r="PUE42" s="83"/>
      <c r="PUF42" s="83"/>
      <c r="PUG42" s="83"/>
      <c r="PUH42" s="83"/>
      <c r="PUI42" s="83"/>
      <c r="PUJ42" s="83"/>
      <c r="PUK42" s="83"/>
      <c r="PUL42" s="83"/>
      <c r="PUM42" s="83"/>
      <c r="PUN42" s="83"/>
      <c r="PUO42" s="83"/>
      <c r="PUP42" s="83"/>
      <c r="PUQ42" s="83"/>
      <c r="PUR42" s="83"/>
      <c r="PUS42" s="83"/>
      <c r="PUT42" s="83"/>
      <c r="PUU42" s="83"/>
      <c r="PUV42" s="83"/>
      <c r="PUW42" s="83"/>
      <c r="PUX42" s="83"/>
      <c r="PUY42" s="83"/>
      <c r="PUZ42" s="83"/>
      <c r="PVA42" s="83"/>
      <c r="PVB42" s="83"/>
      <c r="PVC42" s="83"/>
      <c r="PVD42" s="83"/>
      <c r="PVE42" s="83"/>
      <c r="PVF42" s="83"/>
      <c r="PVG42" s="83"/>
      <c r="PVH42" s="83"/>
      <c r="PVI42" s="83"/>
      <c r="PVJ42" s="83"/>
      <c r="PVK42" s="83"/>
      <c r="PVL42" s="83"/>
      <c r="PVM42" s="83"/>
      <c r="PVN42" s="83"/>
      <c r="PVO42" s="83"/>
      <c r="PVP42" s="83"/>
      <c r="PVQ42" s="83"/>
      <c r="PVR42" s="83"/>
      <c r="PVS42" s="83"/>
      <c r="PVT42" s="83"/>
      <c r="PVU42" s="83"/>
      <c r="PVV42" s="83"/>
      <c r="PVW42" s="83"/>
      <c r="PVX42" s="83"/>
      <c r="PVY42" s="83"/>
      <c r="PVZ42" s="83"/>
      <c r="PWA42" s="83"/>
      <c r="PWB42" s="83"/>
      <c r="PWC42" s="83"/>
      <c r="PWD42" s="83"/>
      <c r="PWE42" s="83"/>
      <c r="PWF42" s="83"/>
      <c r="PWG42" s="83"/>
      <c r="PWH42" s="83"/>
      <c r="PWI42" s="83"/>
      <c r="PWJ42" s="83"/>
      <c r="PWK42" s="83"/>
      <c r="PWL42" s="83"/>
      <c r="PWM42" s="83"/>
      <c r="PWN42" s="83"/>
      <c r="PWO42" s="83"/>
      <c r="PWP42" s="83"/>
      <c r="PWQ42" s="83"/>
      <c r="PWR42" s="83"/>
      <c r="PWS42" s="83"/>
      <c r="PWT42" s="83"/>
      <c r="PWU42" s="83"/>
      <c r="PWV42" s="83"/>
      <c r="PWW42" s="83"/>
      <c r="PWX42" s="83"/>
      <c r="PWY42" s="83"/>
      <c r="PWZ42" s="83"/>
      <c r="PXA42" s="83"/>
      <c r="PXB42" s="83"/>
      <c r="PXC42" s="83"/>
      <c r="PXD42" s="83"/>
      <c r="PXE42" s="83"/>
      <c r="PXF42" s="83"/>
      <c r="PXG42" s="83"/>
      <c r="PXH42" s="83"/>
      <c r="PXI42" s="83"/>
      <c r="PXJ42" s="83"/>
      <c r="PXK42" s="83"/>
      <c r="PXL42" s="83"/>
      <c r="PXM42" s="83"/>
      <c r="PXN42" s="83"/>
      <c r="PXO42" s="83"/>
      <c r="PXP42" s="83"/>
      <c r="PXQ42" s="83"/>
      <c r="PXR42" s="83"/>
      <c r="PXS42" s="83"/>
      <c r="PXT42" s="83"/>
      <c r="PXU42" s="83"/>
      <c r="PXV42" s="83"/>
      <c r="PXW42" s="83"/>
      <c r="PXX42" s="83"/>
      <c r="PXY42" s="83"/>
      <c r="PXZ42" s="83"/>
      <c r="PYA42" s="83"/>
      <c r="PYB42" s="83"/>
      <c r="PYC42" s="83"/>
      <c r="PYD42" s="83"/>
      <c r="PYE42" s="83"/>
      <c r="PYF42" s="83"/>
      <c r="PYG42" s="83"/>
      <c r="PYH42" s="83"/>
      <c r="PYI42" s="83"/>
      <c r="PYJ42" s="83"/>
      <c r="PYK42" s="83"/>
      <c r="PYL42" s="83"/>
      <c r="PYM42" s="83"/>
      <c r="PYN42" s="83"/>
      <c r="PYO42" s="83"/>
      <c r="PYP42" s="83"/>
      <c r="PYQ42" s="83"/>
      <c r="PYR42" s="83"/>
      <c r="PYS42" s="83"/>
      <c r="PYT42" s="83"/>
      <c r="PYU42" s="83"/>
      <c r="PYV42" s="83"/>
      <c r="PYW42" s="83"/>
      <c r="PYX42" s="83"/>
      <c r="PYY42" s="83"/>
      <c r="PYZ42" s="83"/>
      <c r="PZA42" s="83"/>
      <c r="PZB42" s="83"/>
      <c r="PZC42" s="83"/>
      <c r="PZD42" s="83"/>
      <c r="PZE42" s="83"/>
      <c r="PZF42" s="83"/>
      <c r="PZG42" s="83"/>
      <c r="PZH42" s="83"/>
      <c r="PZI42" s="83"/>
      <c r="PZJ42" s="83"/>
      <c r="PZK42" s="83"/>
      <c r="PZL42" s="83"/>
      <c r="PZM42" s="83"/>
      <c r="PZN42" s="83"/>
      <c r="PZO42" s="83"/>
      <c r="PZP42" s="83"/>
      <c r="PZQ42" s="83"/>
      <c r="PZR42" s="83"/>
      <c r="PZS42" s="83"/>
      <c r="PZT42" s="83"/>
      <c r="PZU42" s="83"/>
      <c r="PZV42" s="83"/>
      <c r="PZW42" s="83"/>
      <c r="PZX42" s="83"/>
      <c r="PZY42" s="83"/>
      <c r="PZZ42" s="83"/>
      <c r="QAA42" s="83"/>
      <c r="QAB42" s="83"/>
      <c r="QAC42" s="83"/>
      <c r="QAD42" s="83"/>
      <c r="QAE42" s="83"/>
      <c r="QAF42" s="83"/>
      <c r="QAG42" s="83"/>
      <c r="QAH42" s="83"/>
      <c r="QAI42" s="83"/>
      <c r="QAJ42" s="83"/>
      <c r="QAK42" s="83"/>
      <c r="QAL42" s="83"/>
      <c r="QAM42" s="83"/>
      <c r="QAN42" s="83"/>
      <c r="QAO42" s="83"/>
      <c r="QAP42" s="83"/>
      <c r="QAQ42" s="83"/>
      <c r="QAR42" s="83"/>
      <c r="QAS42" s="83"/>
      <c r="QAT42" s="83"/>
      <c r="QAU42" s="83"/>
      <c r="QAV42" s="83"/>
      <c r="QAW42" s="83"/>
      <c r="QAX42" s="83"/>
      <c r="QAY42" s="83"/>
      <c r="QAZ42" s="83"/>
      <c r="QBA42" s="83"/>
      <c r="QBB42" s="83"/>
      <c r="QBC42" s="83"/>
      <c r="QBD42" s="83"/>
      <c r="QBE42" s="83"/>
      <c r="QBF42" s="83"/>
      <c r="QBG42" s="83"/>
      <c r="QBH42" s="83"/>
      <c r="QBI42" s="83"/>
      <c r="QBJ42" s="83"/>
      <c r="QBK42" s="83"/>
      <c r="QBL42" s="83"/>
      <c r="QBM42" s="83"/>
      <c r="QBN42" s="83"/>
      <c r="QBO42" s="83"/>
      <c r="QBP42" s="83"/>
      <c r="QBQ42" s="83"/>
      <c r="QBR42" s="83"/>
      <c r="QBS42" s="83"/>
      <c r="QBT42" s="83"/>
      <c r="QBU42" s="83"/>
      <c r="QBV42" s="83"/>
      <c r="QBW42" s="83"/>
      <c r="QBX42" s="83"/>
      <c r="QBY42" s="83"/>
      <c r="QBZ42" s="83"/>
      <c r="QCA42" s="83"/>
      <c r="QCB42" s="83"/>
      <c r="QCC42" s="83"/>
      <c r="QCD42" s="83"/>
      <c r="QCE42" s="83"/>
      <c r="QCF42" s="83"/>
      <c r="QCG42" s="83"/>
      <c r="QCH42" s="83"/>
      <c r="QCI42" s="83"/>
      <c r="QCJ42" s="83"/>
      <c r="QCK42" s="83"/>
      <c r="QCL42" s="83"/>
      <c r="QCM42" s="83"/>
      <c r="QCN42" s="83"/>
      <c r="QCO42" s="83"/>
      <c r="QCP42" s="83"/>
      <c r="QCQ42" s="83"/>
      <c r="QCR42" s="83"/>
      <c r="QCS42" s="83"/>
      <c r="QCT42" s="83"/>
      <c r="QCU42" s="83"/>
      <c r="QCV42" s="83"/>
      <c r="QCW42" s="83"/>
      <c r="QCX42" s="83"/>
      <c r="QCY42" s="83"/>
      <c r="QCZ42" s="83"/>
      <c r="QDA42" s="83"/>
      <c r="QDB42" s="83"/>
      <c r="QDC42" s="83"/>
      <c r="QDD42" s="83"/>
      <c r="QDE42" s="83"/>
      <c r="QDF42" s="83"/>
      <c r="QDG42" s="83"/>
      <c r="QDH42" s="83"/>
      <c r="QDI42" s="83"/>
      <c r="QDJ42" s="83"/>
      <c r="QDK42" s="83"/>
      <c r="QDL42" s="83"/>
      <c r="QDM42" s="83"/>
      <c r="QDN42" s="83"/>
      <c r="QDO42" s="83"/>
      <c r="QDP42" s="83"/>
      <c r="QDQ42" s="83"/>
      <c r="QDR42" s="83"/>
      <c r="QDS42" s="83"/>
      <c r="QDT42" s="83"/>
      <c r="QDU42" s="83"/>
      <c r="QDV42" s="83"/>
      <c r="QDW42" s="83"/>
      <c r="QDX42" s="83"/>
      <c r="QDY42" s="83"/>
      <c r="QDZ42" s="83"/>
      <c r="QEA42" s="83"/>
      <c r="QEB42" s="83"/>
      <c r="QEC42" s="83"/>
      <c r="QED42" s="83"/>
      <c r="QEE42" s="83"/>
      <c r="QEF42" s="83"/>
      <c r="QEG42" s="83"/>
      <c r="QEH42" s="83"/>
      <c r="QEI42" s="83"/>
      <c r="QEJ42" s="83"/>
      <c r="QEK42" s="83"/>
      <c r="QEL42" s="83"/>
      <c r="QEM42" s="83"/>
      <c r="QEN42" s="83"/>
      <c r="QEO42" s="83"/>
      <c r="QEP42" s="83"/>
      <c r="QEQ42" s="83"/>
      <c r="QER42" s="83"/>
      <c r="QES42" s="83"/>
      <c r="QET42" s="83"/>
      <c r="QEU42" s="83"/>
      <c r="QEV42" s="83"/>
      <c r="QEW42" s="83"/>
      <c r="QEX42" s="83"/>
      <c r="QEY42" s="83"/>
      <c r="QEZ42" s="83"/>
      <c r="QFA42" s="83"/>
      <c r="QFB42" s="83"/>
      <c r="QFC42" s="83"/>
      <c r="QFD42" s="83"/>
      <c r="QFE42" s="83"/>
      <c r="QFF42" s="83"/>
      <c r="QFG42" s="83"/>
      <c r="QFH42" s="83"/>
      <c r="QFI42" s="83"/>
      <c r="QFJ42" s="83"/>
      <c r="QFK42" s="83"/>
      <c r="QFL42" s="83"/>
      <c r="QFM42" s="83"/>
      <c r="QFN42" s="83"/>
      <c r="QFO42" s="83"/>
      <c r="QFP42" s="83"/>
      <c r="QFQ42" s="83"/>
      <c r="QFR42" s="83"/>
      <c r="QFS42" s="83"/>
      <c r="QFT42" s="83"/>
      <c r="QFU42" s="83"/>
      <c r="QFV42" s="83"/>
      <c r="QFW42" s="83"/>
      <c r="QFX42" s="83"/>
      <c r="QFY42" s="83"/>
      <c r="QFZ42" s="83"/>
      <c r="QGA42" s="83"/>
      <c r="QGB42" s="83"/>
      <c r="QGC42" s="83"/>
      <c r="QGD42" s="83"/>
      <c r="QGE42" s="83"/>
      <c r="QGF42" s="83"/>
      <c r="QGG42" s="83"/>
      <c r="QGH42" s="83"/>
      <c r="QGI42" s="83"/>
      <c r="QGJ42" s="83"/>
      <c r="QGK42" s="83"/>
      <c r="QGL42" s="83"/>
      <c r="QGM42" s="83"/>
      <c r="QGN42" s="83"/>
      <c r="QGO42" s="83"/>
      <c r="QGP42" s="83"/>
      <c r="QGQ42" s="83"/>
      <c r="QGR42" s="83"/>
      <c r="QGS42" s="83"/>
      <c r="QGT42" s="83"/>
      <c r="QGU42" s="83"/>
      <c r="QGV42" s="83"/>
      <c r="QGW42" s="83"/>
      <c r="QGX42" s="83"/>
      <c r="QGY42" s="83"/>
      <c r="QGZ42" s="83"/>
      <c r="QHA42" s="83"/>
      <c r="QHB42" s="83"/>
      <c r="QHC42" s="83"/>
      <c r="QHD42" s="83"/>
      <c r="QHE42" s="83"/>
      <c r="QHF42" s="83"/>
      <c r="QHG42" s="83"/>
      <c r="QHH42" s="83"/>
      <c r="QHI42" s="83"/>
      <c r="QHJ42" s="83"/>
      <c r="QHK42" s="83"/>
      <c r="QHL42" s="83"/>
      <c r="QHM42" s="83"/>
      <c r="QHN42" s="83"/>
      <c r="QHO42" s="83"/>
      <c r="QHP42" s="83"/>
      <c r="QHQ42" s="83"/>
      <c r="QHR42" s="83"/>
      <c r="QHS42" s="83"/>
      <c r="QHT42" s="83"/>
      <c r="QHU42" s="83"/>
      <c r="QHV42" s="83"/>
      <c r="QHW42" s="83"/>
      <c r="QHX42" s="83"/>
      <c r="QHY42" s="83"/>
      <c r="QHZ42" s="83"/>
      <c r="QIA42" s="83"/>
      <c r="QIB42" s="83"/>
      <c r="QIC42" s="83"/>
      <c r="QID42" s="83"/>
      <c r="QIE42" s="83"/>
      <c r="QIF42" s="83"/>
      <c r="QIG42" s="83"/>
      <c r="QIH42" s="83"/>
      <c r="QII42" s="83"/>
      <c r="QIJ42" s="83"/>
      <c r="QIK42" s="83"/>
      <c r="QIL42" s="83"/>
      <c r="QIM42" s="83"/>
      <c r="QIN42" s="83"/>
      <c r="QIO42" s="83"/>
      <c r="QIP42" s="83"/>
      <c r="QIQ42" s="83"/>
      <c r="QIR42" s="83"/>
      <c r="QIS42" s="83"/>
      <c r="QIT42" s="83"/>
      <c r="QIU42" s="83"/>
      <c r="QIV42" s="83"/>
      <c r="QIW42" s="83"/>
      <c r="QIX42" s="83"/>
      <c r="QIY42" s="83"/>
      <c r="QIZ42" s="83"/>
      <c r="QJA42" s="83"/>
      <c r="QJB42" s="83"/>
      <c r="QJC42" s="83"/>
      <c r="QJD42" s="83"/>
      <c r="QJE42" s="83"/>
      <c r="QJF42" s="83"/>
      <c r="QJG42" s="83"/>
      <c r="QJH42" s="83"/>
      <c r="QJI42" s="83"/>
      <c r="QJJ42" s="83"/>
      <c r="QJK42" s="83"/>
      <c r="QJL42" s="83"/>
      <c r="QJM42" s="83"/>
      <c r="QJN42" s="83"/>
      <c r="QJO42" s="83"/>
      <c r="QJP42" s="83"/>
      <c r="QJQ42" s="83"/>
      <c r="QJR42" s="83"/>
      <c r="QJS42" s="83"/>
      <c r="QJT42" s="83"/>
      <c r="QJU42" s="83"/>
      <c r="QJV42" s="83"/>
      <c r="QJW42" s="83"/>
      <c r="QJX42" s="83"/>
      <c r="QJY42" s="83"/>
      <c r="QJZ42" s="83"/>
      <c r="QKA42" s="83"/>
      <c r="QKB42" s="83"/>
      <c r="QKC42" s="83"/>
      <c r="QKD42" s="83"/>
      <c r="QKE42" s="83"/>
      <c r="QKF42" s="83"/>
      <c r="QKG42" s="83"/>
      <c r="QKH42" s="83"/>
      <c r="QKI42" s="83"/>
      <c r="QKJ42" s="83"/>
      <c r="QKK42" s="83"/>
      <c r="QKL42" s="83"/>
      <c r="QKM42" s="83"/>
      <c r="QKN42" s="83"/>
      <c r="QKO42" s="83"/>
      <c r="QKP42" s="83"/>
      <c r="QKQ42" s="83"/>
      <c r="QKR42" s="83"/>
      <c r="QKS42" s="83"/>
      <c r="QKT42" s="83"/>
      <c r="QKU42" s="83"/>
      <c r="QKV42" s="83"/>
      <c r="QKW42" s="83"/>
      <c r="QKX42" s="83"/>
      <c r="QKY42" s="83"/>
      <c r="QKZ42" s="83"/>
      <c r="QLA42" s="83"/>
      <c r="QLB42" s="83"/>
      <c r="QLC42" s="83"/>
      <c r="QLD42" s="83"/>
      <c r="QLE42" s="83"/>
      <c r="QLF42" s="83"/>
      <c r="QLG42" s="83"/>
      <c r="QLH42" s="83"/>
      <c r="QLI42" s="83"/>
      <c r="QLJ42" s="83"/>
      <c r="QLK42" s="83"/>
      <c r="QLL42" s="83"/>
      <c r="QLM42" s="83"/>
      <c r="QLN42" s="83"/>
      <c r="QLO42" s="83"/>
      <c r="QLP42" s="83"/>
      <c r="QLQ42" s="83"/>
      <c r="QLR42" s="83"/>
      <c r="QLS42" s="83"/>
      <c r="QLT42" s="83"/>
      <c r="QLU42" s="83"/>
      <c r="QLV42" s="83"/>
      <c r="QLW42" s="83"/>
      <c r="QLX42" s="83"/>
      <c r="QLY42" s="83"/>
      <c r="QLZ42" s="83"/>
      <c r="QMA42" s="83"/>
      <c r="QMB42" s="83"/>
      <c r="QMC42" s="83"/>
      <c r="QMD42" s="83"/>
      <c r="QME42" s="83"/>
      <c r="QMF42" s="83"/>
      <c r="QMG42" s="83"/>
      <c r="QMH42" s="83"/>
      <c r="QMI42" s="83"/>
      <c r="QMJ42" s="83"/>
      <c r="QMK42" s="83"/>
      <c r="QML42" s="83"/>
      <c r="QMM42" s="83"/>
      <c r="QMN42" s="83"/>
      <c r="QMO42" s="83"/>
      <c r="QMP42" s="83"/>
      <c r="QMQ42" s="83"/>
      <c r="QMR42" s="83"/>
      <c r="QMS42" s="83"/>
      <c r="QMT42" s="83"/>
      <c r="QMU42" s="83"/>
      <c r="QMV42" s="83"/>
      <c r="QMW42" s="83"/>
      <c r="QMX42" s="83"/>
      <c r="QMY42" s="83"/>
      <c r="QMZ42" s="83"/>
      <c r="QNA42" s="83"/>
      <c r="QNB42" s="83"/>
      <c r="QNC42" s="83"/>
      <c r="QND42" s="83"/>
      <c r="QNE42" s="83"/>
      <c r="QNF42" s="83"/>
      <c r="QNG42" s="83"/>
      <c r="QNH42" s="83"/>
      <c r="QNI42" s="83"/>
      <c r="QNJ42" s="83"/>
      <c r="QNK42" s="83"/>
      <c r="QNL42" s="83"/>
      <c r="QNM42" s="83"/>
      <c r="QNN42" s="83"/>
      <c r="QNO42" s="83"/>
      <c r="QNP42" s="83"/>
      <c r="QNQ42" s="83"/>
      <c r="QNR42" s="83"/>
      <c r="QNS42" s="83"/>
      <c r="QNT42" s="83"/>
      <c r="QNU42" s="83"/>
      <c r="QNV42" s="83"/>
      <c r="QNW42" s="83"/>
      <c r="QNX42" s="83"/>
      <c r="QNY42" s="83"/>
      <c r="QNZ42" s="83"/>
      <c r="QOA42" s="83"/>
      <c r="QOB42" s="83"/>
      <c r="QOC42" s="83"/>
      <c r="QOD42" s="83"/>
      <c r="QOE42" s="83"/>
      <c r="QOF42" s="83"/>
      <c r="QOG42" s="83"/>
      <c r="QOH42" s="83"/>
      <c r="QOI42" s="83"/>
      <c r="QOJ42" s="83"/>
      <c r="QOK42" s="83"/>
      <c r="QOL42" s="83"/>
      <c r="QOM42" s="83"/>
      <c r="QON42" s="83"/>
      <c r="QOO42" s="83"/>
      <c r="QOP42" s="83"/>
      <c r="QOQ42" s="83"/>
      <c r="QOR42" s="83"/>
      <c r="QOS42" s="83"/>
      <c r="QOT42" s="83"/>
      <c r="QOU42" s="83"/>
      <c r="QOV42" s="83"/>
      <c r="QOW42" s="83"/>
      <c r="QOX42" s="83"/>
      <c r="QOY42" s="83"/>
      <c r="QOZ42" s="83"/>
      <c r="QPA42" s="83"/>
      <c r="QPB42" s="83"/>
      <c r="QPC42" s="83"/>
      <c r="QPD42" s="83"/>
      <c r="QPE42" s="83"/>
      <c r="QPF42" s="83"/>
      <c r="QPG42" s="83"/>
      <c r="QPH42" s="83"/>
      <c r="QPI42" s="83"/>
      <c r="QPJ42" s="83"/>
      <c r="QPK42" s="83"/>
      <c r="QPL42" s="83"/>
      <c r="QPM42" s="83"/>
      <c r="QPN42" s="83"/>
      <c r="QPO42" s="83"/>
      <c r="QPP42" s="83"/>
      <c r="QPQ42" s="83"/>
      <c r="QPR42" s="83"/>
      <c r="QPS42" s="83"/>
      <c r="QPT42" s="83"/>
      <c r="QPU42" s="83"/>
      <c r="QPV42" s="83"/>
      <c r="QPW42" s="83"/>
      <c r="QPX42" s="83"/>
      <c r="QPY42" s="83"/>
      <c r="QPZ42" s="83"/>
      <c r="QQA42" s="83"/>
      <c r="QQB42" s="83"/>
      <c r="QQC42" s="83"/>
      <c r="QQD42" s="83"/>
      <c r="QQE42" s="83"/>
      <c r="QQF42" s="83"/>
      <c r="QQG42" s="83"/>
      <c r="QQH42" s="83"/>
      <c r="QQI42" s="83"/>
      <c r="QQJ42" s="83"/>
      <c r="QQK42" s="83"/>
      <c r="QQL42" s="83"/>
      <c r="QQM42" s="83"/>
      <c r="QQN42" s="83"/>
      <c r="QQO42" s="83"/>
      <c r="QQP42" s="83"/>
      <c r="QQQ42" s="83"/>
      <c r="QQR42" s="83"/>
      <c r="QQS42" s="83"/>
      <c r="QQT42" s="83"/>
      <c r="QQU42" s="83"/>
      <c r="QQV42" s="83"/>
      <c r="QQW42" s="83"/>
      <c r="QQX42" s="83"/>
      <c r="QQY42" s="83"/>
      <c r="QQZ42" s="83"/>
      <c r="QRA42" s="83"/>
      <c r="QRB42" s="83"/>
      <c r="QRC42" s="83"/>
      <c r="QRD42" s="83"/>
      <c r="QRE42" s="83"/>
      <c r="QRF42" s="83"/>
      <c r="QRG42" s="83"/>
      <c r="QRH42" s="83"/>
      <c r="QRI42" s="83"/>
      <c r="QRJ42" s="83"/>
      <c r="QRK42" s="83"/>
      <c r="QRL42" s="83"/>
      <c r="QRM42" s="83"/>
      <c r="QRN42" s="83"/>
      <c r="QRO42" s="83"/>
      <c r="QRP42" s="83"/>
      <c r="QRQ42" s="83"/>
      <c r="QRR42" s="83"/>
      <c r="QRS42" s="83"/>
      <c r="QRT42" s="83"/>
      <c r="QRU42" s="83"/>
      <c r="QRV42" s="83"/>
      <c r="QRW42" s="83"/>
      <c r="QRX42" s="83"/>
      <c r="QRY42" s="83"/>
      <c r="QRZ42" s="83"/>
      <c r="QSA42" s="83"/>
      <c r="QSB42" s="83"/>
      <c r="QSC42" s="83"/>
      <c r="QSD42" s="83"/>
      <c r="QSE42" s="83"/>
      <c r="QSF42" s="83"/>
      <c r="QSG42" s="83"/>
      <c r="QSH42" s="83"/>
      <c r="QSI42" s="83"/>
      <c r="QSJ42" s="83"/>
      <c r="QSK42" s="83"/>
      <c r="QSL42" s="83"/>
      <c r="QSM42" s="83"/>
      <c r="QSN42" s="83"/>
      <c r="QSO42" s="83"/>
      <c r="QSP42" s="83"/>
      <c r="QSQ42" s="83"/>
      <c r="QSR42" s="83"/>
      <c r="QSS42" s="83"/>
      <c r="QST42" s="83"/>
      <c r="QSU42" s="83"/>
      <c r="QSV42" s="83"/>
      <c r="QSW42" s="83"/>
      <c r="QSX42" s="83"/>
      <c r="QSY42" s="83"/>
      <c r="QSZ42" s="83"/>
      <c r="QTA42" s="83"/>
      <c r="QTB42" s="83"/>
      <c r="QTC42" s="83"/>
      <c r="QTD42" s="83"/>
      <c r="QTE42" s="83"/>
      <c r="QTF42" s="83"/>
      <c r="QTG42" s="83"/>
      <c r="QTH42" s="83"/>
      <c r="QTI42" s="83"/>
      <c r="QTJ42" s="83"/>
      <c r="QTK42" s="83"/>
      <c r="QTL42" s="83"/>
      <c r="QTM42" s="83"/>
      <c r="QTN42" s="83"/>
      <c r="QTO42" s="83"/>
      <c r="QTP42" s="83"/>
      <c r="QTQ42" s="83"/>
      <c r="QTR42" s="83"/>
      <c r="QTS42" s="83"/>
      <c r="QTT42" s="83"/>
      <c r="QTU42" s="83"/>
      <c r="QTV42" s="83"/>
      <c r="QTW42" s="83"/>
      <c r="QTX42" s="83"/>
      <c r="QTY42" s="83"/>
      <c r="QTZ42" s="83"/>
      <c r="QUA42" s="83"/>
      <c r="QUB42" s="83"/>
      <c r="QUC42" s="83"/>
      <c r="QUD42" s="83"/>
      <c r="QUE42" s="83"/>
      <c r="QUF42" s="83"/>
      <c r="QUG42" s="83"/>
      <c r="QUH42" s="83"/>
      <c r="QUI42" s="83"/>
      <c r="QUJ42" s="83"/>
      <c r="QUK42" s="83"/>
      <c r="QUL42" s="83"/>
      <c r="QUM42" s="83"/>
      <c r="QUN42" s="83"/>
      <c r="QUO42" s="83"/>
      <c r="QUP42" s="83"/>
      <c r="QUQ42" s="83"/>
      <c r="QUR42" s="83"/>
      <c r="QUS42" s="83"/>
      <c r="QUT42" s="83"/>
      <c r="QUU42" s="83"/>
      <c r="QUV42" s="83"/>
      <c r="QUW42" s="83"/>
      <c r="QUX42" s="83"/>
      <c r="QUY42" s="83"/>
      <c r="QUZ42" s="83"/>
      <c r="QVA42" s="83"/>
      <c r="QVB42" s="83"/>
      <c r="QVC42" s="83"/>
      <c r="QVD42" s="83"/>
      <c r="QVE42" s="83"/>
      <c r="QVF42" s="83"/>
      <c r="QVG42" s="83"/>
      <c r="QVH42" s="83"/>
      <c r="QVI42" s="83"/>
      <c r="QVJ42" s="83"/>
      <c r="QVK42" s="83"/>
      <c r="QVL42" s="83"/>
      <c r="QVM42" s="83"/>
      <c r="QVN42" s="83"/>
      <c r="QVO42" s="83"/>
      <c r="QVP42" s="83"/>
      <c r="QVQ42" s="83"/>
      <c r="QVR42" s="83"/>
      <c r="QVS42" s="83"/>
      <c r="QVT42" s="83"/>
      <c r="QVU42" s="83"/>
      <c r="QVV42" s="83"/>
      <c r="QVW42" s="83"/>
      <c r="QVX42" s="83"/>
      <c r="QVY42" s="83"/>
      <c r="QVZ42" s="83"/>
      <c r="QWA42" s="83"/>
      <c r="QWB42" s="83"/>
      <c r="QWC42" s="83"/>
      <c r="QWD42" s="83"/>
      <c r="QWE42" s="83"/>
      <c r="QWF42" s="83"/>
      <c r="QWG42" s="83"/>
      <c r="QWH42" s="83"/>
      <c r="QWI42" s="83"/>
      <c r="QWJ42" s="83"/>
      <c r="QWK42" s="83"/>
      <c r="QWL42" s="83"/>
      <c r="QWM42" s="83"/>
      <c r="QWN42" s="83"/>
      <c r="QWO42" s="83"/>
      <c r="QWP42" s="83"/>
      <c r="QWQ42" s="83"/>
      <c r="QWR42" s="83"/>
      <c r="QWS42" s="83"/>
      <c r="QWT42" s="83"/>
      <c r="QWU42" s="83"/>
      <c r="QWV42" s="83"/>
      <c r="QWW42" s="83"/>
      <c r="QWX42" s="83"/>
      <c r="QWY42" s="83"/>
      <c r="QWZ42" s="83"/>
      <c r="QXA42" s="83"/>
      <c r="QXB42" s="83"/>
      <c r="QXC42" s="83"/>
      <c r="QXD42" s="83"/>
      <c r="QXE42" s="83"/>
      <c r="QXF42" s="83"/>
      <c r="QXG42" s="83"/>
      <c r="QXH42" s="83"/>
      <c r="QXI42" s="83"/>
      <c r="QXJ42" s="83"/>
      <c r="QXK42" s="83"/>
      <c r="QXL42" s="83"/>
      <c r="QXM42" s="83"/>
      <c r="QXN42" s="83"/>
      <c r="QXO42" s="83"/>
      <c r="QXP42" s="83"/>
      <c r="QXQ42" s="83"/>
      <c r="QXR42" s="83"/>
      <c r="QXS42" s="83"/>
      <c r="QXT42" s="83"/>
      <c r="QXU42" s="83"/>
      <c r="QXV42" s="83"/>
      <c r="QXW42" s="83"/>
      <c r="QXX42" s="83"/>
      <c r="QXY42" s="83"/>
      <c r="QXZ42" s="83"/>
      <c r="QYA42" s="83"/>
      <c r="QYB42" s="83"/>
      <c r="QYC42" s="83"/>
      <c r="QYD42" s="83"/>
      <c r="QYE42" s="83"/>
      <c r="QYF42" s="83"/>
      <c r="QYG42" s="83"/>
      <c r="QYH42" s="83"/>
      <c r="QYI42" s="83"/>
      <c r="QYJ42" s="83"/>
      <c r="QYK42" s="83"/>
      <c r="QYL42" s="83"/>
      <c r="QYM42" s="83"/>
      <c r="QYN42" s="83"/>
      <c r="QYO42" s="83"/>
      <c r="QYP42" s="83"/>
      <c r="QYQ42" s="83"/>
      <c r="QYR42" s="83"/>
      <c r="QYS42" s="83"/>
      <c r="QYT42" s="83"/>
      <c r="QYU42" s="83"/>
      <c r="QYV42" s="83"/>
      <c r="QYW42" s="83"/>
      <c r="QYX42" s="83"/>
      <c r="QYY42" s="83"/>
      <c r="QYZ42" s="83"/>
      <c r="QZA42" s="83"/>
      <c r="QZB42" s="83"/>
      <c r="QZC42" s="83"/>
      <c r="QZD42" s="83"/>
      <c r="QZE42" s="83"/>
      <c r="QZF42" s="83"/>
      <c r="QZG42" s="83"/>
      <c r="QZH42" s="83"/>
      <c r="QZI42" s="83"/>
      <c r="QZJ42" s="83"/>
      <c r="QZK42" s="83"/>
      <c r="QZL42" s="83"/>
      <c r="QZM42" s="83"/>
      <c r="QZN42" s="83"/>
      <c r="QZO42" s="83"/>
      <c r="QZP42" s="83"/>
      <c r="QZQ42" s="83"/>
      <c r="QZR42" s="83"/>
      <c r="QZS42" s="83"/>
      <c r="QZT42" s="83"/>
      <c r="QZU42" s="83"/>
      <c r="QZV42" s="83"/>
      <c r="QZW42" s="83"/>
      <c r="QZX42" s="83"/>
      <c r="QZY42" s="83"/>
      <c r="QZZ42" s="83"/>
      <c r="RAA42" s="83"/>
      <c r="RAB42" s="83"/>
      <c r="RAC42" s="83"/>
      <c r="RAD42" s="83"/>
      <c r="RAE42" s="83"/>
      <c r="RAF42" s="83"/>
      <c r="RAG42" s="83"/>
      <c r="RAH42" s="83"/>
      <c r="RAI42" s="83"/>
      <c r="RAJ42" s="83"/>
      <c r="RAK42" s="83"/>
      <c r="RAL42" s="83"/>
      <c r="RAM42" s="83"/>
      <c r="RAN42" s="83"/>
      <c r="RAO42" s="83"/>
      <c r="RAP42" s="83"/>
      <c r="RAQ42" s="83"/>
      <c r="RAR42" s="83"/>
      <c r="RAS42" s="83"/>
      <c r="RAT42" s="83"/>
      <c r="RAU42" s="83"/>
      <c r="RAV42" s="83"/>
      <c r="RAW42" s="83"/>
      <c r="RAX42" s="83"/>
      <c r="RAY42" s="83"/>
      <c r="RAZ42" s="83"/>
      <c r="RBA42" s="83"/>
      <c r="RBB42" s="83"/>
      <c r="RBC42" s="83"/>
      <c r="RBD42" s="83"/>
      <c r="RBE42" s="83"/>
      <c r="RBF42" s="83"/>
      <c r="RBG42" s="83"/>
      <c r="RBH42" s="83"/>
      <c r="RBI42" s="83"/>
      <c r="RBJ42" s="83"/>
      <c r="RBK42" s="83"/>
      <c r="RBL42" s="83"/>
      <c r="RBM42" s="83"/>
      <c r="RBN42" s="83"/>
      <c r="RBO42" s="83"/>
      <c r="RBP42" s="83"/>
      <c r="RBQ42" s="83"/>
      <c r="RBR42" s="83"/>
      <c r="RBS42" s="83"/>
      <c r="RBT42" s="83"/>
      <c r="RBU42" s="83"/>
      <c r="RBV42" s="83"/>
      <c r="RBW42" s="83"/>
      <c r="RBX42" s="83"/>
      <c r="RBY42" s="83"/>
      <c r="RBZ42" s="83"/>
      <c r="RCA42" s="83"/>
      <c r="RCB42" s="83"/>
      <c r="RCC42" s="83"/>
      <c r="RCD42" s="83"/>
      <c r="RCE42" s="83"/>
      <c r="RCF42" s="83"/>
      <c r="RCG42" s="83"/>
      <c r="RCH42" s="83"/>
      <c r="RCI42" s="83"/>
      <c r="RCJ42" s="83"/>
      <c r="RCK42" s="83"/>
      <c r="RCL42" s="83"/>
      <c r="RCM42" s="83"/>
      <c r="RCN42" s="83"/>
      <c r="RCO42" s="83"/>
      <c r="RCP42" s="83"/>
      <c r="RCQ42" s="83"/>
      <c r="RCR42" s="83"/>
      <c r="RCS42" s="83"/>
      <c r="RCT42" s="83"/>
      <c r="RCU42" s="83"/>
      <c r="RCV42" s="83"/>
      <c r="RCW42" s="83"/>
      <c r="RCX42" s="83"/>
      <c r="RCY42" s="83"/>
      <c r="RCZ42" s="83"/>
      <c r="RDA42" s="83"/>
      <c r="RDB42" s="83"/>
      <c r="RDC42" s="83"/>
      <c r="RDD42" s="83"/>
      <c r="RDE42" s="83"/>
      <c r="RDF42" s="83"/>
      <c r="RDG42" s="83"/>
      <c r="RDH42" s="83"/>
      <c r="RDI42" s="83"/>
      <c r="RDJ42" s="83"/>
      <c r="RDK42" s="83"/>
      <c r="RDL42" s="83"/>
      <c r="RDM42" s="83"/>
      <c r="RDN42" s="83"/>
      <c r="RDO42" s="83"/>
      <c r="RDP42" s="83"/>
      <c r="RDQ42" s="83"/>
      <c r="RDR42" s="83"/>
      <c r="RDS42" s="83"/>
      <c r="RDT42" s="83"/>
      <c r="RDU42" s="83"/>
      <c r="RDV42" s="83"/>
      <c r="RDW42" s="83"/>
      <c r="RDX42" s="83"/>
      <c r="RDY42" s="83"/>
      <c r="RDZ42" s="83"/>
      <c r="REA42" s="83"/>
      <c r="REB42" s="83"/>
      <c r="REC42" s="83"/>
      <c r="RED42" s="83"/>
      <c r="REE42" s="83"/>
      <c r="REF42" s="83"/>
      <c r="REG42" s="83"/>
      <c r="REH42" s="83"/>
      <c r="REI42" s="83"/>
      <c r="REJ42" s="83"/>
      <c r="REK42" s="83"/>
      <c r="REL42" s="83"/>
      <c r="REM42" s="83"/>
      <c r="REN42" s="83"/>
      <c r="REO42" s="83"/>
      <c r="REP42" s="83"/>
      <c r="REQ42" s="83"/>
      <c r="RER42" s="83"/>
      <c r="RES42" s="83"/>
      <c r="RET42" s="83"/>
      <c r="REU42" s="83"/>
      <c r="REV42" s="83"/>
      <c r="REW42" s="83"/>
      <c r="REX42" s="83"/>
      <c r="REY42" s="83"/>
      <c r="REZ42" s="83"/>
      <c r="RFA42" s="83"/>
      <c r="RFB42" s="83"/>
      <c r="RFC42" s="83"/>
      <c r="RFD42" s="83"/>
      <c r="RFE42" s="83"/>
      <c r="RFF42" s="83"/>
      <c r="RFG42" s="83"/>
      <c r="RFH42" s="83"/>
      <c r="RFI42" s="83"/>
      <c r="RFJ42" s="83"/>
      <c r="RFK42" s="83"/>
      <c r="RFL42" s="83"/>
      <c r="RFM42" s="83"/>
      <c r="RFN42" s="83"/>
      <c r="RFO42" s="83"/>
      <c r="RFP42" s="83"/>
      <c r="RFQ42" s="83"/>
      <c r="RFR42" s="83"/>
      <c r="RFS42" s="83"/>
      <c r="RFT42" s="83"/>
      <c r="RFU42" s="83"/>
      <c r="RFV42" s="83"/>
      <c r="RFW42" s="83"/>
      <c r="RFX42" s="83"/>
      <c r="RFY42" s="83"/>
      <c r="RFZ42" s="83"/>
      <c r="RGA42" s="83"/>
      <c r="RGB42" s="83"/>
      <c r="RGC42" s="83"/>
      <c r="RGD42" s="83"/>
      <c r="RGE42" s="83"/>
      <c r="RGF42" s="83"/>
      <c r="RGG42" s="83"/>
      <c r="RGH42" s="83"/>
      <c r="RGI42" s="83"/>
      <c r="RGJ42" s="83"/>
      <c r="RGK42" s="83"/>
      <c r="RGL42" s="83"/>
      <c r="RGM42" s="83"/>
      <c r="RGN42" s="83"/>
      <c r="RGO42" s="83"/>
      <c r="RGP42" s="83"/>
      <c r="RGQ42" s="83"/>
      <c r="RGR42" s="83"/>
      <c r="RGS42" s="83"/>
      <c r="RGT42" s="83"/>
      <c r="RGU42" s="83"/>
      <c r="RGV42" s="83"/>
      <c r="RGW42" s="83"/>
      <c r="RGX42" s="83"/>
      <c r="RGY42" s="83"/>
      <c r="RGZ42" s="83"/>
      <c r="RHA42" s="83"/>
      <c r="RHB42" s="83"/>
      <c r="RHC42" s="83"/>
      <c r="RHD42" s="83"/>
      <c r="RHE42" s="83"/>
      <c r="RHF42" s="83"/>
      <c r="RHG42" s="83"/>
      <c r="RHH42" s="83"/>
      <c r="RHI42" s="83"/>
      <c r="RHJ42" s="83"/>
      <c r="RHK42" s="83"/>
      <c r="RHL42" s="83"/>
      <c r="RHM42" s="83"/>
      <c r="RHN42" s="83"/>
      <c r="RHO42" s="83"/>
      <c r="RHP42" s="83"/>
      <c r="RHQ42" s="83"/>
      <c r="RHR42" s="83"/>
      <c r="RHS42" s="83"/>
      <c r="RHT42" s="83"/>
      <c r="RHU42" s="83"/>
      <c r="RHV42" s="83"/>
      <c r="RHW42" s="83"/>
      <c r="RHX42" s="83"/>
      <c r="RHY42" s="83"/>
      <c r="RHZ42" s="83"/>
      <c r="RIA42" s="83"/>
      <c r="RIB42" s="83"/>
      <c r="RIC42" s="83"/>
      <c r="RID42" s="83"/>
      <c r="RIE42" s="83"/>
      <c r="RIF42" s="83"/>
      <c r="RIG42" s="83"/>
      <c r="RIH42" s="83"/>
      <c r="RII42" s="83"/>
      <c r="RIJ42" s="83"/>
      <c r="RIK42" s="83"/>
      <c r="RIL42" s="83"/>
      <c r="RIM42" s="83"/>
      <c r="RIN42" s="83"/>
      <c r="RIO42" s="83"/>
      <c r="RIP42" s="83"/>
      <c r="RIQ42" s="83"/>
      <c r="RIR42" s="83"/>
      <c r="RIS42" s="83"/>
      <c r="RIT42" s="83"/>
      <c r="RIU42" s="83"/>
      <c r="RIV42" s="83"/>
      <c r="RIW42" s="83"/>
      <c r="RIX42" s="83"/>
      <c r="RIY42" s="83"/>
      <c r="RIZ42" s="83"/>
      <c r="RJA42" s="83"/>
      <c r="RJB42" s="83"/>
      <c r="RJC42" s="83"/>
      <c r="RJD42" s="83"/>
      <c r="RJE42" s="83"/>
      <c r="RJF42" s="83"/>
      <c r="RJG42" s="83"/>
      <c r="RJH42" s="83"/>
      <c r="RJI42" s="83"/>
      <c r="RJJ42" s="83"/>
      <c r="RJK42" s="83"/>
      <c r="RJL42" s="83"/>
      <c r="RJM42" s="83"/>
      <c r="RJN42" s="83"/>
      <c r="RJO42" s="83"/>
      <c r="RJP42" s="83"/>
      <c r="RJQ42" s="83"/>
      <c r="RJR42" s="83"/>
      <c r="RJS42" s="83"/>
      <c r="RJT42" s="83"/>
      <c r="RJU42" s="83"/>
      <c r="RJV42" s="83"/>
      <c r="RJW42" s="83"/>
      <c r="RJX42" s="83"/>
      <c r="RJY42" s="83"/>
      <c r="RJZ42" s="83"/>
      <c r="RKA42" s="83"/>
      <c r="RKB42" s="83"/>
      <c r="RKC42" s="83"/>
      <c r="RKD42" s="83"/>
      <c r="RKE42" s="83"/>
      <c r="RKF42" s="83"/>
      <c r="RKG42" s="83"/>
      <c r="RKH42" s="83"/>
      <c r="RKI42" s="83"/>
      <c r="RKJ42" s="83"/>
      <c r="RKK42" s="83"/>
      <c r="RKL42" s="83"/>
      <c r="RKM42" s="83"/>
      <c r="RKN42" s="83"/>
      <c r="RKO42" s="83"/>
      <c r="RKP42" s="83"/>
      <c r="RKQ42" s="83"/>
      <c r="RKR42" s="83"/>
      <c r="RKS42" s="83"/>
      <c r="RKT42" s="83"/>
      <c r="RKU42" s="83"/>
      <c r="RKV42" s="83"/>
      <c r="RKW42" s="83"/>
      <c r="RKX42" s="83"/>
      <c r="RKY42" s="83"/>
      <c r="RKZ42" s="83"/>
      <c r="RLA42" s="83"/>
      <c r="RLB42" s="83"/>
      <c r="RLC42" s="83"/>
      <c r="RLD42" s="83"/>
      <c r="RLE42" s="83"/>
      <c r="RLF42" s="83"/>
      <c r="RLG42" s="83"/>
      <c r="RLH42" s="83"/>
      <c r="RLI42" s="83"/>
      <c r="RLJ42" s="83"/>
      <c r="RLK42" s="83"/>
      <c r="RLL42" s="83"/>
      <c r="RLM42" s="83"/>
      <c r="RLN42" s="83"/>
      <c r="RLO42" s="83"/>
      <c r="RLP42" s="83"/>
      <c r="RLQ42" s="83"/>
      <c r="RLR42" s="83"/>
      <c r="RLS42" s="83"/>
      <c r="RLT42" s="83"/>
      <c r="RLU42" s="83"/>
      <c r="RLV42" s="83"/>
      <c r="RLW42" s="83"/>
      <c r="RLX42" s="83"/>
      <c r="RLY42" s="83"/>
      <c r="RLZ42" s="83"/>
      <c r="RMA42" s="83"/>
      <c r="RMB42" s="83"/>
      <c r="RMC42" s="83"/>
      <c r="RMD42" s="83"/>
      <c r="RME42" s="83"/>
      <c r="RMF42" s="83"/>
      <c r="RMG42" s="83"/>
      <c r="RMH42" s="83"/>
      <c r="RMI42" s="83"/>
      <c r="RMJ42" s="83"/>
      <c r="RMK42" s="83"/>
      <c r="RML42" s="83"/>
      <c r="RMM42" s="83"/>
      <c r="RMN42" s="83"/>
      <c r="RMO42" s="83"/>
      <c r="RMP42" s="83"/>
      <c r="RMQ42" s="83"/>
      <c r="RMR42" s="83"/>
      <c r="RMS42" s="83"/>
      <c r="RMT42" s="83"/>
      <c r="RMU42" s="83"/>
      <c r="RMV42" s="83"/>
      <c r="RMW42" s="83"/>
      <c r="RMX42" s="83"/>
      <c r="RMY42" s="83"/>
      <c r="RMZ42" s="83"/>
      <c r="RNA42" s="83"/>
      <c r="RNB42" s="83"/>
      <c r="RNC42" s="83"/>
      <c r="RND42" s="83"/>
      <c r="RNE42" s="83"/>
      <c r="RNF42" s="83"/>
      <c r="RNG42" s="83"/>
      <c r="RNH42" s="83"/>
      <c r="RNI42" s="83"/>
      <c r="RNJ42" s="83"/>
      <c r="RNK42" s="83"/>
      <c r="RNL42" s="83"/>
      <c r="RNM42" s="83"/>
      <c r="RNN42" s="83"/>
      <c r="RNO42" s="83"/>
      <c r="RNP42" s="83"/>
      <c r="RNQ42" s="83"/>
      <c r="RNR42" s="83"/>
      <c r="RNS42" s="83"/>
      <c r="RNT42" s="83"/>
      <c r="RNU42" s="83"/>
      <c r="RNV42" s="83"/>
      <c r="RNW42" s="83"/>
      <c r="RNX42" s="83"/>
      <c r="RNY42" s="83"/>
      <c r="RNZ42" s="83"/>
      <c r="ROA42" s="83"/>
      <c r="ROB42" s="83"/>
      <c r="ROC42" s="83"/>
      <c r="ROD42" s="83"/>
      <c r="ROE42" s="83"/>
      <c r="ROF42" s="83"/>
      <c r="ROG42" s="83"/>
      <c r="ROH42" s="83"/>
      <c r="ROI42" s="83"/>
      <c r="ROJ42" s="83"/>
      <c r="ROK42" s="83"/>
      <c r="ROL42" s="83"/>
      <c r="ROM42" s="83"/>
      <c r="RON42" s="83"/>
      <c r="ROO42" s="83"/>
      <c r="ROP42" s="83"/>
      <c r="ROQ42" s="83"/>
      <c r="ROR42" s="83"/>
      <c r="ROS42" s="83"/>
      <c r="ROT42" s="83"/>
      <c r="ROU42" s="83"/>
      <c r="ROV42" s="83"/>
      <c r="ROW42" s="83"/>
      <c r="ROX42" s="83"/>
      <c r="ROY42" s="83"/>
      <c r="ROZ42" s="83"/>
      <c r="RPA42" s="83"/>
      <c r="RPB42" s="83"/>
      <c r="RPC42" s="83"/>
      <c r="RPD42" s="83"/>
      <c r="RPE42" s="83"/>
      <c r="RPF42" s="83"/>
      <c r="RPG42" s="83"/>
      <c r="RPH42" s="83"/>
      <c r="RPI42" s="83"/>
      <c r="RPJ42" s="83"/>
      <c r="RPK42" s="83"/>
      <c r="RPL42" s="83"/>
      <c r="RPM42" s="83"/>
      <c r="RPN42" s="83"/>
      <c r="RPO42" s="83"/>
      <c r="RPP42" s="83"/>
      <c r="RPQ42" s="83"/>
      <c r="RPR42" s="83"/>
      <c r="RPS42" s="83"/>
      <c r="RPT42" s="83"/>
      <c r="RPU42" s="83"/>
      <c r="RPV42" s="83"/>
      <c r="RPW42" s="83"/>
      <c r="RPX42" s="83"/>
      <c r="RPY42" s="83"/>
      <c r="RPZ42" s="83"/>
      <c r="RQA42" s="83"/>
      <c r="RQB42" s="83"/>
      <c r="RQC42" s="83"/>
      <c r="RQD42" s="83"/>
      <c r="RQE42" s="83"/>
      <c r="RQF42" s="83"/>
      <c r="RQG42" s="83"/>
      <c r="RQH42" s="83"/>
      <c r="RQI42" s="83"/>
      <c r="RQJ42" s="83"/>
      <c r="RQK42" s="83"/>
      <c r="RQL42" s="83"/>
      <c r="RQM42" s="83"/>
      <c r="RQN42" s="83"/>
      <c r="RQO42" s="83"/>
      <c r="RQP42" s="83"/>
      <c r="RQQ42" s="83"/>
      <c r="RQR42" s="83"/>
      <c r="RQS42" s="83"/>
      <c r="RQT42" s="83"/>
      <c r="RQU42" s="83"/>
      <c r="RQV42" s="83"/>
      <c r="RQW42" s="83"/>
      <c r="RQX42" s="83"/>
      <c r="RQY42" s="83"/>
      <c r="RQZ42" s="83"/>
      <c r="RRA42" s="83"/>
      <c r="RRB42" s="83"/>
      <c r="RRC42" s="83"/>
      <c r="RRD42" s="83"/>
      <c r="RRE42" s="83"/>
      <c r="RRF42" s="83"/>
      <c r="RRG42" s="83"/>
      <c r="RRH42" s="83"/>
      <c r="RRI42" s="83"/>
      <c r="RRJ42" s="83"/>
      <c r="RRK42" s="83"/>
      <c r="RRL42" s="83"/>
      <c r="RRM42" s="83"/>
      <c r="RRN42" s="83"/>
      <c r="RRO42" s="83"/>
      <c r="RRP42" s="83"/>
      <c r="RRQ42" s="83"/>
      <c r="RRR42" s="83"/>
      <c r="RRS42" s="83"/>
      <c r="RRT42" s="83"/>
      <c r="RRU42" s="83"/>
      <c r="RRV42" s="83"/>
      <c r="RRW42" s="83"/>
      <c r="RRX42" s="83"/>
      <c r="RRY42" s="83"/>
      <c r="RRZ42" s="83"/>
      <c r="RSA42" s="83"/>
      <c r="RSB42" s="83"/>
      <c r="RSC42" s="83"/>
      <c r="RSD42" s="83"/>
      <c r="RSE42" s="83"/>
      <c r="RSF42" s="83"/>
      <c r="RSG42" s="83"/>
      <c r="RSH42" s="83"/>
      <c r="RSI42" s="83"/>
      <c r="RSJ42" s="83"/>
      <c r="RSK42" s="83"/>
      <c r="RSL42" s="83"/>
      <c r="RSM42" s="83"/>
      <c r="RSN42" s="83"/>
      <c r="RSO42" s="83"/>
      <c r="RSP42" s="83"/>
      <c r="RSQ42" s="83"/>
      <c r="RSR42" s="83"/>
      <c r="RSS42" s="83"/>
      <c r="RST42" s="83"/>
      <c r="RSU42" s="83"/>
      <c r="RSV42" s="83"/>
      <c r="RSW42" s="83"/>
      <c r="RSX42" s="83"/>
      <c r="RSY42" s="83"/>
      <c r="RSZ42" s="83"/>
      <c r="RTA42" s="83"/>
      <c r="RTB42" s="83"/>
      <c r="RTC42" s="83"/>
      <c r="RTD42" s="83"/>
      <c r="RTE42" s="83"/>
      <c r="RTF42" s="83"/>
      <c r="RTG42" s="83"/>
      <c r="RTH42" s="83"/>
      <c r="RTI42" s="83"/>
      <c r="RTJ42" s="83"/>
      <c r="RTK42" s="83"/>
      <c r="RTL42" s="83"/>
      <c r="RTM42" s="83"/>
      <c r="RTN42" s="83"/>
      <c r="RTO42" s="83"/>
      <c r="RTP42" s="83"/>
      <c r="RTQ42" s="83"/>
      <c r="RTR42" s="83"/>
      <c r="RTS42" s="83"/>
      <c r="RTT42" s="83"/>
      <c r="RTU42" s="83"/>
      <c r="RTV42" s="83"/>
      <c r="RTW42" s="83"/>
      <c r="RTX42" s="83"/>
      <c r="RTY42" s="83"/>
      <c r="RTZ42" s="83"/>
      <c r="RUA42" s="83"/>
      <c r="RUB42" s="83"/>
      <c r="RUC42" s="83"/>
      <c r="RUD42" s="83"/>
      <c r="RUE42" s="83"/>
      <c r="RUF42" s="83"/>
      <c r="RUG42" s="83"/>
      <c r="RUH42" s="83"/>
      <c r="RUI42" s="83"/>
      <c r="RUJ42" s="83"/>
      <c r="RUK42" s="83"/>
      <c r="RUL42" s="83"/>
      <c r="RUM42" s="83"/>
      <c r="RUN42" s="83"/>
      <c r="RUO42" s="83"/>
      <c r="RUP42" s="83"/>
      <c r="RUQ42" s="83"/>
      <c r="RUR42" s="83"/>
      <c r="RUS42" s="83"/>
      <c r="RUT42" s="83"/>
      <c r="RUU42" s="83"/>
      <c r="RUV42" s="83"/>
      <c r="RUW42" s="83"/>
      <c r="RUX42" s="83"/>
      <c r="RUY42" s="83"/>
      <c r="RUZ42" s="83"/>
      <c r="RVA42" s="83"/>
      <c r="RVB42" s="83"/>
      <c r="RVC42" s="83"/>
      <c r="RVD42" s="83"/>
      <c r="RVE42" s="83"/>
      <c r="RVF42" s="83"/>
      <c r="RVG42" s="83"/>
      <c r="RVH42" s="83"/>
      <c r="RVI42" s="83"/>
      <c r="RVJ42" s="83"/>
      <c r="RVK42" s="83"/>
      <c r="RVL42" s="83"/>
      <c r="RVM42" s="83"/>
      <c r="RVN42" s="83"/>
      <c r="RVO42" s="83"/>
      <c r="RVP42" s="83"/>
      <c r="RVQ42" s="83"/>
      <c r="RVR42" s="83"/>
      <c r="RVS42" s="83"/>
      <c r="RVT42" s="83"/>
      <c r="RVU42" s="83"/>
      <c r="RVV42" s="83"/>
      <c r="RVW42" s="83"/>
      <c r="RVX42" s="83"/>
      <c r="RVY42" s="83"/>
      <c r="RVZ42" s="83"/>
      <c r="RWA42" s="83"/>
      <c r="RWB42" s="83"/>
      <c r="RWC42" s="83"/>
      <c r="RWD42" s="83"/>
      <c r="RWE42" s="83"/>
      <c r="RWF42" s="83"/>
      <c r="RWG42" s="83"/>
      <c r="RWH42" s="83"/>
      <c r="RWI42" s="83"/>
      <c r="RWJ42" s="83"/>
      <c r="RWK42" s="83"/>
      <c r="RWL42" s="83"/>
      <c r="RWM42" s="83"/>
      <c r="RWN42" s="83"/>
      <c r="RWO42" s="83"/>
      <c r="RWP42" s="83"/>
      <c r="RWQ42" s="83"/>
      <c r="RWR42" s="83"/>
      <c r="RWS42" s="83"/>
      <c r="RWT42" s="83"/>
      <c r="RWU42" s="83"/>
      <c r="RWV42" s="83"/>
      <c r="RWW42" s="83"/>
      <c r="RWX42" s="83"/>
      <c r="RWY42" s="83"/>
      <c r="RWZ42" s="83"/>
      <c r="RXA42" s="83"/>
      <c r="RXB42" s="83"/>
      <c r="RXC42" s="83"/>
      <c r="RXD42" s="83"/>
      <c r="RXE42" s="83"/>
      <c r="RXF42" s="83"/>
      <c r="RXG42" s="83"/>
      <c r="RXH42" s="83"/>
      <c r="RXI42" s="83"/>
      <c r="RXJ42" s="83"/>
      <c r="RXK42" s="83"/>
      <c r="RXL42" s="83"/>
      <c r="RXM42" s="83"/>
      <c r="RXN42" s="83"/>
      <c r="RXO42" s="83"/>
      <c r="RXP42" s="83"/>
      <c r="RXQ42" s="83"/>
      <c r="RXR42" s="83"/>
      <c r="RXS42" s="83"/>
      <c r="RXT42" s="83"/>
      <c r="RXU42" s="83"/>
      <c r="RXV42" s="83"/>
      <c r="RXW42" s="83"/>
      <c r="RXX42" s="83"/>
      <c r="RXY42" s="83"/>
      <c r="RXZ42" s="83"/>
      <c r="RYA42" s="83"/>
      <c r="RYB42" s="83"/>
      <c r="RYC42" s="83"/>
      <c r="RYD42" s="83"/>
      <c r="RYE42" s="83"/>
      <c r="RYF42" s="83"/>
      <c r="RYG42" s="83"/>
      <c r="RYH42" s="83"/>
      <c r="RYI42" s="83"/>
      <c r="RYJ42" s="83"/>
      <c r="RYK42" s="83"/>
      <c r="RYL42" s="83"/>
      <c r="RYM42" s="83"/>
      <c r="RYN42" s="83"/>
      <c r="RYO42" s="83"/>
      <c r="RYP42" s="83"/>
      <c r="RYQ42" s="83"/>
      <c r="RYR42" s="83"/>
      <c r="RYS42" s="83"/>
      <c r="RYT42" s="83"/>
      <c r="RYU42" s="83"/>
      <c r="RYV42" s="83"/>
      <c r="RYW42" s="83"/>
      <c r="RYX42" s="83"/>
      <c r="RYY42" s="83"/>
      <c r="RYZ42" s="83"/>
      <c r="RZA42" s="83"/>
      <c r="RZB42" s="83"/>
      <c r="RZC42" s="83"/>
      <c r="RZD42" s="83"/>
      <c r="RZE42" s="83"/>
      <c r="RZF42" s="83"/>
      <c r="RZG42" s="83"/>
      <c r="RZH42" s="83"/>
      <c r="RZI42" s="83"/>
      <c r="RZJ42" s="83"/>
      <c r="RZK42" s="83"/>
      <c r="RZL42" s="83"/>
      <c r="RZM42" s="83"/>
      <c r="RZN42" s="83"/>
      <c r="RZO42" s="83"/>
      <c r="RZP42" s="83"/>
      <c r="RZQ42" s="83"/>
      <c r="RZR42" s="83"/>
      <c r="RZS42" s="83"/>
      <c r="RZT42" s="83"/>
      <c r="RZU42" s="83"/>
      <c r="RZV42" s="83"/>
      <c r="RZW42" s="83"/>
      <c r="RZX42" s="83"/>
      <c r="RZY42" s="83"/>
      <c r="RZZ42" s="83"/>
      <c r="SAA42" s="83"/>
      <c r="SAB42" s="83"/>
      <c r="SAC42" s="83"/>
      <c r="SAD42" s="83"/>
      <c r="SAE42" s="83"/>
      <c r="SAF42" s="83"/>
      <c r="SAG42" s="83"/>
      <c r="SAH42" s="83"/>
      <c r="SAI42" s="83"/>
      <c r="SAJ42" s="83"/>
      <c r="SAK42" s="83"/>
      <c r="SAL42" s="83"/>
      <c r="SAM42" s="83"/>
      <c r="SAN42" s="83"/>
      <c r="SAO42" s="83"/>
      <c r="SAP42" s="83"/>
      <c r="SAQ42" s="83"/>
      <c r="SAR42" s="83"/>
      <c r="SAS42" s="83"/>
      <c r="SAT42" s="83"/>
      <c r="SAU42" s="83"/>
      <c r="SAV42" s="83"/>
      <c r="SAW42" s="83"/>
      <c r="SAX42" s="83"/>
      <c r="SAY42" s="83"/>
      <c r="SAZ42" s="83"/>
      <c r="SBA42" s="83"/>
      <c r="SBB42" s="83"/>
      <c r="SBC42" s="83"/>
      <c r="SBD42" s="83"/>
      <c r="SBE42" s="83"/>
      <c r="SBF42" s="83"/>
      <c r="SBG42" s="83"/>
      <c r="SBH42" s="83"/>
      <c r="SBI42" s="83"/>
      <c r="SBJ42" s="83"/>
      <c r="SBK42" s="83"/>
      <c r="SBL42" s="83"/>
      <c r="SBM42" s="83"/>
      <c r="SBN42" s="83"/>
      <c r="SBO42" s="83"/>
      <c r="SBP42" s="83"/>
      <c r="SBQ42" s="83"/>
      <c r="SBR42" s="83"/>
      <c r="SBS42" s="83"/>
      <c r="SBT42" s="83"/>
      <c r="SBU42" s="83"/>
      <c r="SBV42" s="83"/>
      <c r="SBW42" s="83"/>
      <c r="SBX42" s="83"/>
      <c r="SBY42" s="83"/>
      <c r="SBZ42" s="83"/>
      <c r="SCA42" s="83"/>
      <c r="SCB42" s="83"/>
      <c r="SCC42" s="83"/>
      <c r="SCD42" s="83"/>
      <c r="SCE42" s="83"/>
      <c r="SCF42" s="83"/>
      <c r="SCG42" s="83"/>
      <c r="SCH42" s="83"/>
      <c r="SCI42" s="83"/>
      <c r="SCJ42" s="83"/>
      <c r="SCK42" s="83"/>
      <c r="SCL42" s="83"/>
      <c r="SCM42" s="83"/>
      <c r="SCN42" s="83"/>
      <c r="SCO42" s="83"/>
      <c r="SCP42" s="83"/>
      <c r="SCQ42" s="83"/>
      <c r="SCR42" s="83"/>
      <c r="SCS42" s="83"/>
      <c r="SCT42" s="83"/>
      <c r="SCU42" s="83"/>
      <c r="SCV42" s="83"/>
      <c r="SCW42" s="83"/>
      <c r="SCX42" s="83"/>
      <c r="SCY42" s="83"/>
      <c r="SCZ42" s="83"/>
      <c r="SDA42" s="83"/>
      <c r="SDB42" s="83"/>
      <c r="SDC42" s="83"/>
      <c r="SDD42" s="83"/>
      <c r="SDE42" s="83"/>
      <c r="SDF42" s="83"/>
      <c r="SDG42" s="83"/>
      <c r="SDH42" s="83"/>
      <c r="SDI42" s="83"/>
      <c r="SDJ42" s="83"/>
      <c r="SDK42" s="83"/>
      <c r="SDL42" s="83"/>
      <c r="SDM42" s="83"/>
      <c r="SDN42" s="83"/>
      <c r="SDO42" s="83"/>
      <c r="SDP42" s="83"/>
      <c r="SDQ42" s="83"/>
      <c r="SDR42" s="83"/>
      <c r="SDS42" s="83"/>
      <c r="SDT42" s="83"/>
      <c r="SDU42" s="83"/>
      <c r="SDV42" s="83"/>
      <c r="SDW42" s="83"/>
      <c r="SDX42" s="83"/>
      <c r="SDY42" s="83"/>
      <c r="SDZ42" s="83"/>
      <c r="SEA42" s="83"/>
      <c r="SEB42" s="83"/>
      <c r="SEC42" s="83"/>
      <c r="SED42" s="83"/>
      <c r="SEE42" s="83"/>
      <c r="SEF42" s="83"/>
      <c r="SEG42" s="83"/>
      <c r="SEH42" s="83"/>
      <c r="SEI42" s="83"/>
      <c r="SEJ42" s="83"/>
      <c r="SEK42" s="83"/>
      <c r="SEL42" s="83"/>
      <c r="SEM42" s="83"/>
      <c r="SEN42" s="83"/>
      <c r="SEO42" s="83"/>
      <c r="SEP42" s="83"/>
      <c r="SEQ42" s="83"/>
      <c r="SER42" s="83"/>
      <c r="SES42" s="83"/>
      <c r="SET42" s="83"/>
      <c r="SEU42" s="83"/>
      <c r="SEV42" s="83"/>
      <c r="SEW42" s="83"/>
      <c r="SEX42" s="83"/>
      <c r="SEY42" s="83"/>
      <c r="SEZ42" s="83"/>
      <c r="SFA42" s="83"/>
      <c r="SFB42" s="83"/>
      <c r="SFC42" s="83"/>
      <c r="SFD42" s="83"/>
      <c r="SFE42" s="83"/>
      <c r="SFF42" s="83"/>
      <c r="SFG42" s="83"/>
      <c r="SFH42" s="83"/>
      <c r="SFI42" s="83"/>
      <c r="SFJ42" s="83"/>
      <c r="SFK42" s="83"/>
      <c r="SFL42" s="83"/>
      <c r="SFM42" s="83"/>
      <c r="SFN42" s="83"/>
      <c r="SFO42" s="83"/>
      <c r="SFP42" s="83"/>
      <c r="SFQ42" s="83"/>
      <c r="SFR42" s="83"/>
      <c r="SFS42" s="83"/>
      <c r="SFT42" s="83"/>
      <c r="SFU42" s="83"/>
      <c r="SFV42" s="83"/>
      <c r="SFW42" s="83"/>
      <c r="SFX42" s="83"/>
      <c r="SFY42" s="83"/>
      <c r="SFZ42" s="83"/>
      <c r="SGA42" s="83"/>
      <c r="SGB42" s="83"/>
      <c r="SGC42" s="83"/>
      <c r="SGD42" s="83"/>
      <c r="SGE42" s="83"/>
      <c r="SGF42" s="83"/>
      <c r="SGG42" s="83"/>
      <c r="SGH42" s="83"/>
      <c r="SGI42" s="83"/>
      <c r="SGJ42" s="83"/>
      <c r="SGK42" s="83"/>
      <c r="SGL42" s="83"/>
      <c r="SGM42" s="83"/>
      <c r="SGN42" s="83"/>
      <c r="SGO42" s="83"/>
      <c r="SGP42" s="83"/>
      <c r="SGQ42" s="83"/>
      <c r="SGR42" s="83"/>
      <c r="SGS42" s="83"/>
      <c r="SGT42" s="83"/>
      <c r="SGU42" s="83"/>
      <c r="SGV42" s="83"/>
      <c r="SGW42" s="83"/>
      <c r="SGX42" s="83"/>
      <c r="SGY42" s="83"/>
      <c r="SGZ42" s="83"/>
      <c r="SHA42" s="83"/>
      <c r="SHB42" s="83"/>
      <c r="SHC42" s="83"/>
      <c r="SHD42" s="83"/>
      <c r="SHE42" s="83"/>
      <c r="SHF42" s="83"/>
      <c r="SHG42" s="83"/>
      <c r="SHH42" s="83"/>
      <c r="SHI42" s="83"/>
      <c r="SHJ42" s="83"/>
      <c r="SHK42" s="83"/>
      <c r="SHL42" s="83"/>
      <c r="SHM42" s="83"/>
      <c r="SHN42" s="83"/>
      <c r="SHO42" s="83"/>
      <c r="SHP42" s="83"/>
      <c r="SHQ42" s="83"/>
      <c r="SHR42" s="83"/>
      <c r="SHS42" s="83"/>
      <c r="SHT42" s="83"/>
      <c r="SHU42" s="83"/>
      <c r="SHV42" s="83"/>
      <c r="SHW42" s="83"/>
      <c r="SHX42" s="83"/>
      <c r="SHY42" s="83"/>
      <c r="SHZ42" s="83"/>
      <c r="SIA42" s="83"/>
      <c r="SIB42" s="83"/>
      <c r="SIC42" s="83"/>
      <c r="SID42" s="83"/>
      <c r="SIE42" s="83"/>
      <c r="SIF42" s="83"/>
      <c r="SIG42" s="83"/>
      <c r="SIH42" s="83"/>
      <c r="SII42" s="83"/>
      <c r="SIJ42" s="83"/>
      <c r="SIK42" s="83"/>
      <c r="SIL42" s="83"/>
      <c r="SIM42" s="83"/>
      <c r="SIN42" s="83"/>
      <c r="SIO42" s="83"/>
      <c r="SIP42" s="83"/>
      <c r="SIQ42" s="83"/>
      <c r="SIR42" s="83"/>
      <c r="SIS42" s="83"/>
      <c r="SIT42" s="83"/>
      <c r="SIU42" s="83"/>
      <c r="SIV42" s="83"/>
      <c r="SIW42" s="83"/>
      <c r="SIX42" s="83"/>
      <c r="SIY42" s="83"/>
      <c r="SIZ42" s="83"/>
      <c r="SJA42" s="83"/>
      <c r="SJB42" s="83"/>
      <c r="SJC42" s="83"/>
      <c r="SJD42" s="83"/>
      <c r="SJE42" s="83"/>
      <c r="SJF42" s="83"/>
      <c r="SJG42" s="83"/>
      <c r="SJH42" s="83"/>
      <c r="SJI42" s="83"/>
      <c r="SJJ42" s="83"/>
      <c r="SJK42" s="83"/>
      <c r="SJL42" s="83"/>
      <c r="SJM42" s="83"/>
      <c r="SJN42" s="83"/>
      <c r="SJO42" s="83"/>
      <c r="SJP42" s="83"/>
      <c r="SJQ42" s="83"/>
      <c r="SJR42" s="83"/>
      <c r="SJS42" s="83"/>
      <c r="SJT42" s="83"/>
      <c r="SJU42" s="83"/>
      <c r="SJV42" s="83"/>
      <c r="SJW42" s="83"/>
      <c r="SJX42" s="83"/>
      <c r="SJY42" s="83"/>
      <c r="SJZ42" s="83"/>
      <c r="SKA42" s="83"/>
      <c r="SKB42" s="83"/>
      <c r="SKC42" s="83"/>
      <c r="SKD42" s="83"/>
      <c r="SKE42" s="83"/>
      <c r="SKF42" s="83"/>
      <c r="SKG42" s="83"/>
      <c r="SKH42" s="83"/>
      <c r="SKI42" s="83"/>
      <c r="SKJ42" s="83"/>
      <c r="SKK42" s="83"/>
      <c r="SKL42" s="83"/>
      <c r="SKM42" s="83"/>
      <c r="SKN42" s="83"/>
      <c r="SKO42" s="83"/>
      <c r="SKP42" s="83"/>
      <c r="SKQ42" s="83"/>
      <c r="SKR42" s="83"/>
      <c r="SKS42" s="83"/>
      <c r="SKT42" s="83"/>
      <c r="SKU42" s="83"/>
      <c r="SKV42" s="83"/>
      <c r="SKW42" s="83"/>
      <c r="SKX42" s="83"/>
      <c r="SKY42" s="83"/>
      <c r="SKZ42" s="83"/>
      <c r="SLA42" s="83"/>
      <c r="SLB42" s="83"/>
      <c r="SLC42" s="83"/>
      <c r="SLD42" s="83"/>
      <c r="SLE42" s="83"/>
      <c r="SLF42" s="83"/>
      <c r="SLG42" s="83"/>
      <c r="SLH42" s="83"/>
      <c r="SLI42" s="83"/>
      <c r="SLJ42" s="83"/>
      <c r="SLK42" s="83"/>
      <c r="SLL42" s="83"/>
      <c r="SLM42" s="83"/>
      <c r="SLN42" s="83"/>
      <c r="SLO42" s="83"/>
      <c r="SLP42" s="83"/>
      <c r="SLQ42" s="83"/>
      <c r="SLR42" s="83"/>
      <c r="SLS42" s="83"/>
      <c r="SLT42" s="83"/>
      <c r="SLU42" s="83"/>
      <c r="SLV42" s="83"/>
      <c r="SLW42" s="83"/>
      <c r="SLX42" s="83"/>
      <c r="SLY42" s="83"/>
      <c r="SLZ42" s="83"/>
      <c r="SMA42" s="83"/>
      <c r="SMB42" s="83"/>
      <c r="SMC42" s="83"/>
      <c r="SMD42" s="83"/>
      <c r="SME42" s="83"/>
      <c r="SMF42" s="83"/>
      <c r="SMG42" s="83"/>
      <c r="SMH42" s="83"/>
      <c r="SMI42" s="83"/>
      <c r="SMJ42" s="83"/>
      <c r="SMK42" s="83"/>
      <c r="SML42" s="83"/>
      <c r="SMM42" s="83"/>
      <c r="SMN42" s="83"/>
      <c r="SMO42" s="83"/>
      <c r="SMP42" s="83"/>
      <c r="SMQ42" s="83"/>
      <c r="SMR42" s="83"/>
      <c r="SMS42" s="83"/>
      <c r="SMT42" s="83"/>
      <c r="SMU42" s="83"/>
      <c r="SMV42" s="83"/>
      <c r="SMW42" s="83"/>
      <c r="SMX42" s="83"/>
      <c r="SMY42" s="83"/>
      <c r="SMZ42" s="83"/>
      <c r="SNA42" s="83"/>
      <c r="SNB42" s="83"/>
      <c r="SNC42" s="83"/>
      <c r="SND42" s="83"/>
      <c r="SNE42" s="83"/>
      <c r="SNF42" s="83"/>
      <c r="SNG42" s="83"/>
      <c r="SNH42" s="83"/>
      <c r="SNI42" s="83"/>
      <c r="SNJ42" s="83"/>
      <c r="SNK42" s="83"/>
      <c r="SNL42" s="83"/>
      <c r="SNM42" s="83"/>
      <c r="SNN42" s="83"/>
      <c r="SNO42" s="83"/>
      <c r="SNP42" s="83"/>
      <c r="SNQ42" s="83"/>
      <c r="SNR42" s="83"/>
      <c r="SNS42" s="83"/>
      <c r="SNT42" s="83"/>
      <c r="SNU42" s="83"/>
      <c r="SNV42" s="83"/>
      <c r="SNW42" s="83"/>
      <c r="SNX42" s="83"/>
      <c r="SNY42" s="83"/>
      <c r="SNZ42" s="83"/>
      <c r="SOA42" s="83"/>
      <c r="SOB42" s="83"/>
      <c r="SOC42" s="83"/>
      <c r="SOD42" s="83"/>
      <c r="SOE42" s="83"/>
      <c r="SOF42" s="83"/>
      <c r="SOG42" s="83"/>
      <c r="SOH42" s="83"/>
      <c r="SOI42" s="83"/>
      <c r="SOJ42" s="83"/>
      <c r="SOK42" s="83"/>
      <c r="SOL42" s="83"/>
      <c r="SOM42" s="83"/>
      <c r="SON42" s="83"/>
      <c r="SOO42" s="83"/>
      <c r="SOP42" s="83"/>
      <c r="SOQ42" s="83"/>
      <c r="SOR42" s="83"/>
      <c r="SOS42" s="83"/>
      <c r="SOT42" s="83"/>
      <c r="SOU42" s="83"/>
      <c r="SOV42" s="83"/>
      <c r="SOW42" s="83"/>
      <c r="SOX42" s="83"/>
      <c r="SOY42" s="83"/>
      <c r="SOZ42" s="83"/>
      <c r="SPA42" s="83"/>
      <c r="SPB42" s="83"/>
      <c r="SPC42" s="83"/>
      <c r="SPD42" s="83"/>
      <c r="SPE42" s="83"/>
      <c r="SPF42" s="83"/>
      <c r="SPG42" s="83"/>
      <c r="SPH42" s="83"/>
      <c r="SPI42" s="83"/>
      <c r="SPJ42" s="83"/>
      <c r="SPK42" s="83"/>
      <c r="SPL42" s="83"/>
      <c r="SPM42" s="83"/>
      <c r="SPN42" s="83"/>
      <c r="SPO42" s="83"/>
      <c r="SPP42" s="83"/>
      <c r="SPQ42" s="83"/>
      <c r="SPR42" s="83"/>
      <c r="SPS42" s="83"/>
      <c r="SPT42" s="83"/>
      <c r="SPU42" s="83"/>
      <c r="SPV42" s="83"/>
      <c r="SPW42" s="83"/>
      <c r="SPX42" s="83"/>
      <c r="SPY42" s="83"/>
      <c r="SPZ42" s="83"/>
      <c r="SQA42" s="83"/>
      <c r="SQB42" s="83"/>
      <c r="SQC42" s="83"/>
      <c r="SQD42" s="83"/>
      <c r="SQE42" s="83"/>
      <c r="SQF42" s="83"/>
      <c r="SQG42" s="83"/>
      <c r="SQH42" s="83"/>
      <c r="SQI42" s="83"/>
      <c r="SQJ42" s="83"/>
      <c r="SQK42" s="83"/>
      <c r="SQL42" s="83"/>
      <c r="SQM42" s="83"/>
      <c r="SQN42" s="83"/>
      <c r="SQO42" s="83"/>
      <c r="SQP42" s="83"/>
      <c r="SQQ42" s="83"/>
      <c r="SQR42" s="83"/>
      <c r="SQS42" s="83"/>
      <c r="SQT42" s="83"/>
      <c r="SQU42" s="83"/>
      <c r="SQV42" s="83"/>
      <c r="SQW42" s="83"/>
      <c r="SQX42" s="83"/>
      <c r="SQY42" s="83"/>
      <c r="SQZ42" s="83"/>
      <c r="SRA42" s="83"/>
      <c r="SRB42" s="83"/>
      <c r="SRC42" s="83"/>
      <c r="SRD42" s="83"/>
      <c r="SRE42" s="83"/>
      <c r="SRF42" s="83"/>
      <c r="SRG42" s="83"/>
      <c r="SRH42" s="83"/>
      <c r="SRI42" s="83"/>
      <c r="SRJ42" s="83"/>
      <c r="SRK42" s="83"/>
      <c r="SRL42" s="83"/>
      <c r="SRM42" s="83"/>
      <c r="SRN42" s="83"/>
      <c r="SRO42" s="83"/>
      <c r="SRP42" s="83"/>
      <c r="SRQ42" s="83"/>
      <c r="SRR42" s="83"/>
      <c r="SRS42" s="83"/>
      <c r="SRT42" s="83"/>
      <c r="SRU42" s="83"/>
      <c r="SRV42" s="83"/>
      <c r="SRW42" s="83"/>
      <c r="SRX42" s="83"/>
      <c r="SRY42" s="83"/>
      <c r="SRZ42" s="83"/>
      <c r="SSA42" s="83"/>
      <c r="SSB42" s="83"/>
      <c r="SSC42" s="83"/>
      <c r="SSD42" s="83"/>
      <c r="SSE42" s="83"/>
      <c r="SSF42" s="83"/>
      <c r="SSG42" s="83"/>
      <c r="SSH42" s="83"/>
      <c r="SSI42" s="83"/>
      <c r="SSJ42" s="83"/>
      <c r="SSK42" s="83"/>
      <c r="SSL42" s="83"/>
      <c r="SSM42" s="83"/>
      <c r="SSN42" s="83"/>
      <c r="SSO42" s="83"/>
      <c r="SSP42" s="83"/>
      <c r="SSQ42" s="83"/>
      <c r="SSR42" s="83"/>
      <c r="SSS42" s="83"/>
      <c r="SST42" s="83"/>
      <c r="SSU42" s="83"/>
      <c r="SSV42" s="83"/>
      <c r="SSW42" s="83"/>
      <c r="SSX42" s="83"/>
      <c r="SSY42" s="83"/>
      <c r="SSZ42" s="83"/>
      <c r="STA42" s="83"/>
      <c r="STB42" s="83"/>
      <c r="STC42" s="83"/>
      <c r="STD42" s="83"/>
      <c r="STE42" s="83"/>
      <c r="STF42" s="83"/>
      <c r="STG42" s="83"/>
      <c r="STH42" s="83"/>
      <c r="STI42" s="83"/>
      <c r="STJ42" s="83"/>
      <c r="STK42" s="83"/>
      <c r="STL42" s="83"/>
      <c r="STM42" s="83"/>
      <c r="STN42" s="83"/>
      <c r="STO42" s="83"/>
      <c r="STP42" s="83"/>
      <c r="STQ42" s="83"/>
      <c r="STR42" s="83"/>
      <c r="STS42" s="83"/>
      <c r="STT42" s="83"/>
      <c r="STU42" s="83"/>
      <c r="STV42" s="83"/>
      <c r="STW42" s="83"/>
      <c r="STX42" s="83"/>
      <c r="STY42" s="83"/>
      <c r="STZ42" s="83"/>
      <c r="SUA42" s="83"/>
      <c r="SUB42" s="83"/>
      <c r="SUC42" s="83"/>
      <c r="SUD42" s="83"/>
      <c r="SUE42" s="83"/>
      <c r="SUF42" s="83"/>
      <c r="SUG42" s="83"/>
      <c r="SUH42" s="83"/>
      <c r="SUI42" s="83"/>
      <c r="SUJ42" s="83"/>
      <c r="SUK42" s="83"/>
      <c r="SUL42" s="83"/>
      <c r="SUM42" s="83"/>
      <c r="SUN42" s="83"/>
      <c r="SUO42" s="83"/>
      <c r="SUP42" s="83"/>
      <c r="SUQ42" s="83"/>
      <c r="SUR42" s="83"/>
      <c r="SUS42" s="83"/>
      <c r="SUT42" s="83"/>
      <c r="SUU42" s="83"/>
      <c r="SUV42" s="83"/>
      <c r="SUW42" s="83"/>
      <c r="SUX42" s="83"/>
      <c r="SUY42" s="83"/>
      <c r="SUZ42" s="83"/>
      <c r="SVA42" s="83"/>
      <c r="SVB42" s="83"/>
      <c r="SVC42" s="83"/>
      <c r="SVD42" s="83"/>
      <c r="SVE42" s="83"/>
      <c r="SVF42" s="83"/>
      <c r="SVG42" s="83"/>
      <c r="SVH42" s="83"/>
      <c r="SVI42" s="83"/>
      <c r="SVJ42" s="83"/>
      <c r="SVK42" s="83"/>
      <c r="SVL42" s="83"/>
      <c r="SVM42" s="83"/>
      <c r="SVN42" s="83"/>
      <c r="SVO42" s="83"/>
      <c r="SVP42" s="83"/>
      <c r="SVQ42" s="83"/>
      <c r="SVR42" s="83"/>
      <c r="SVS42" s="83"/>
      <c r="SVT42" s="83"/>
      <c r="SVU42" s="83"/>
      <c r="SVV42" s="83"/>
      <c r="SVW42" s="83"/>
      <c r="SVX42" s="83"/>
      <c r="SVY42" s="83"/>
      <c r="SVZ42" s="83"/>
      <c r="SWA42" s="83"/>
      <c r="SWB42" s="83"/>
      <c r="SWC42" s="83"/>
      <c r="SWD42" s="83"/>
      <c r="SWE42" s="83"/>
      <c r="SWF42" s="83"/>
      <c r="SWG42" s="83"/>
      <c r="SWH42" s="83"/>
      <c r="SWI42" s="83"/>
      <c r="SWJ42" s="83"/>
      <c r="SWK42" s="83"/>
      <c r="SWL42" s="83"/>
      <c r="SWM42" s="83"/>
      <c r="SWN42" s="83"/>
      <c r="SWO42" s="83"/>
      <c r="SWP42" s="83"/>
      <c r="SWQ42" s="83"/>
      <c r="SWR42" s="83"/>
      <c r="SWS42" s="83"/>
      <c r="SWT42" s="83"/>
      <c r="SWU42" s="83"/>
      <c r="SWV42" s="83"/>
      <c r="SWW42" s="83"/>
      <c r="SWX42" s="83"/>
      <c r="SWY42" s="83"/>
      <c r="SWZ42" s="83"/>
      <c r="SXA42" s="83"/>
      <c r="SXB42" s="83"/>
      <c r="SXC42" s="83"/>
      <c r="SXD42" s="83"/>
      <c r="SXE42" s="83"/>
      <c r="SXF42" s="83"/>
      <c r="SXG42" s="83"/>
      <c r="SXH42" s="83"/>
      <c r="SXI42" s="83"/>
      <c r="SXJ42" s="83"/>
      <c r="SXK42" s="83"/>
      <c r="SXL42" s="83"/>
      <c r="SXM42" s="83"/>
      <c r="SXN42" s="83"/>
      <c r="SXO42" s="83"/>
      <c r="SXP42" s="83"/>
      <c r="SXQ42" s="83"/>
      <c r="SXR42" s="83"/>
      <c r="SXS42" s="83"/>
      <c r="SXT42" s="83"/>
      <c r="SXU42" s="83"/>
      <c r="SXV42" s="83"/>
      <c r="SXW42" s="83"/>
      <c r="SXX42" s="83"/>
      <c r="SXY42" s="83"/>
      <c r="SXZ42" s="83"/>
      <c r="SYA42" s="83"/>
      <c r="SYB42" s="83"/>
      <c r="SYC42" s="83"/>
      <c r="SYD42" s="83"/>
      <c r="SYE42" s="83"/>
      <c r="SYF42" s="83"/>
      <c r="SYG42" s="83"/>
      <c r="SYH42" s="83"/>
      <c r="SYI42" s="83"/>
      <c r="SYJ42" s="83"/>
      <c r="SYK42" s="83"/>
      <c r="SYL42" s="83"/>
      <c r="SYM42" s="83"/>
      <c r="SYN42" s="83"/>
      <c r="SYO42" s="83"/>
      <c r="SYP42" s="83"/>
      <c r="SYQ42" s="83"/>
      <c r="SYR42" s="83"/>
      <c r="SYS42" s="83"/>
      <c r="SYT42" s="83"/>
      <c r="SYU42" s="83"/>
      <c r="SYV42" s="83"/>
      <c r="SYW42" s="83"/>
      <c r="SYX42" s="83"/>
      <c r="SYY42" s="83"/>
      <c r="SYZ42" s="83"/>
      <c r="SZA42" s="83"/>
      <c r="SZB42" s="83"/>
      <c r="SZC42" s="83"/>
      <c r="SZD42" s="83"/>
      <c r="SZE42" s="83"/>
      <c r="SZF42" s="83"/>
      <c r="SZG42" s="83"/>
      <c r="SZH42" s="83"/>
      <c r="SZI42" s="83"/>
      <c r="SZJ42" s="83"/>
      <c r="SZK42" s="83"/>
      <c r="SZL42" s="83"/>
      <c r="SZM42" s="83"/>
      <c r="SZN42" s="83"/>
      <c r="SZO42" s="83"/>
      <c r="SZP42" s="83"/>
      <c r="SZQ42" s="83"/>
      <c r="SZR42" s="83"/>
      <c r="SZS42" s="83"/>
      <c r="SZT42" s="83"/>
      <c r="SZU42" s="83"/>
      <c r="SZV42" s="83"/>
      <c r="SZW42" s="83"/>
      <c r="SZX42" s="83"/>
      <c r="SZY42" s="83"/>
      <c r="SZZ42" s="83"/>
      <c r="TAA42" s="83"/>
      <c r="TAB42" s="83"/>
      <c r="TAC42" s="83"/>
      <c r="TAD42" s="83"/>
      <c r="TAE42" s="83"/>
      <c r="TAF42" s="83"/>
      <c r="TAG42" s="83"/>
      <c r="TAH42" s="83"/>
      <c r="TAI42" s="83"/>
      <c r="TAJ42" s="83"/>
      <c r="TAK42" s="83"/>
      <c r="TAL42" s="83"/>
      <c r="TAM42" s="83"/>
      <c r="TAN42" s="83"/>
      <c r="TAO42" s="83"/>
      <c r="TAP42" s="83"/>
      <c r="TAQ42" s="83"/>
      <c r="TAR42" s="83"/>
      <c r="TAS42" s="83"/>
      <c r="TAT42" s="83"/>
      <c r="TAU42" s="83"/>
      <c r="TAV42" s="83"/>
      <c r="TAW42" s="83"/>
      <c r="TAX42" s="83"/>
      <c r="TAY42" s="83"/>
      <c r="TAZ42" s="83"/>
      <c r="TBA42" s="83"/>
      <c r="TBB42" s="83"/>
      <c r="TBC42" s="83"/>
      <c r="TBD42" s="83"/>
      <c r="TBE42" s="83"/>
      <c r="TBF42" s="83"/>
      <c r="TBG42" s="83"/>
      <c r="TBH42" s="83"/>
      <c r="TBI42" s="83"/>
      <c r="TBJ42" s="83"/>
      <c r="TBK42" s="83"/>
      <c r="TBL42" s="83"/>
      <c r="TBM42" s="83"/>
      <c r="TBN42" s="83"/>
      <c r="TBO42" s="83"/>
      <c r="TBP42" s="83"/>
      <c r="TBQ42" s="83"/>
      <c r="TBR42" s="83"/>
      <c r="TBS42" s="83"/>
      <c r="TBT42" s="83"/>
      <c r="TBU42" s="83"/>
      <c r="TBV42" s="83"/>
      <c r="TBW42" s="83"/>
      <c r="TBX42" s="83"/>
      <c r="TBY42" s="83"/>
      <c r="TBZ42" s="83"/>
      <c r="TCA42" s="83"/>
      <c r="TCB42" s="83"/>
      <c r="TCC42" s="83"/>
      <c r="TCD42" s="83"/>
      <c r="TCE42" s="83"/>
      <c r="TCF42" s="83"/>
      <c r="TCG42" s="83"/>
      <c r="TCH42" s="83"/>
      <c r="TCI42" s="83"/>
      <c r="TCJ42" s="83"/>
      <c r="TCK42" s="83"/>
      <c r="TCL42" s="83"/>
      <c r="TCM42" s="83"/>
      <c r="TCN42" s="83"/>
      <c r="TCO42" s="83"/>
      <c r="TCP42" s="83"/>
      <c r="TCQ42" s="83"/>
      <c r="TCR42" s="83"/>
      <c r="TCS42" s="83"/>
      <c r="TCT42" s="83"/>
      <c r="TCU42" s="83"/>
      <c r="TCV42" s="83"/>
      <c r="TCW42" s="83"/>
      <c r="TCX42" s="83"/>
      <c r="TCY42" s="83"/>
      <c r="TCZ42" s="83"/>
      <c r="TDA42" s="83"/>
      <c r="TDB42" s="83"/>
      <c r="TDC42" s="83"/>
      <c r="TDD42" s="83"/>
      <c r="TDE42" s="83"/>
      <c r="TDF42" s="83"/>
      <c r="TDG42" s="83"/>
      <c r="TDH42" s="83"/>
      <c r="TDI42" s="83"/>
      <c r="TDJ42" s="83"/>
      <c r="TDK42" s="83"/>
      <c r="TDL42" s="83"/>
      <c r="TDM42" s="83"/>
      <c r="TDN42" s="83"/>
      <c r="TDO42" s="83"/>
      <c r="TDP42" s="83"/>
      <c r="TDQ42" s="83"/>
      <c r="TDR42" s="83"/>
      <c r="TDS42" s="83"/>
      <c r="TDT42" s="83"/>
      <c r="TDU42" s="83"/>
      <c r="TDV42" s="83"/>
      <c r="TDW42" s="83"/>
      <c r="TDX42" s="83"/>
      <c r="TDY42" s="83"/>
      <c r="TDZ42" s="83"/>
      <c r="TEA42" s="83"/>
      <c r="TEB42" s="83"/>
      <c r="TEC42" s="83"/>
      <c r="TED42" s="83"/>
      <c r="TEE42" s="83"/>
      <c r="TEF42" s="83"/>
      <c r="TEG42" s="83"/>
      <c r="TEH42" s="83"/>
      <c r="TEI42" s="83"/>
      <c r="TEJ42" s="83"/>
      <c r="TEK42" s="83"/>
      <c r="TEL42" s="83"/>
      <c r="TEM42" s="83"/>
      <c r="TEN42" s="83"/>
      <c r="TEO42" s="83"/>
      <c r="TEP42" s="83"/>
      <c r="TEQ42" s="83"/>
      <c r="TER42" s="83"/>
      <c r="TES42" s="83"/>
      <c r="TET42" s="83"/>
      <c r="TEU42" s="83"/>
      <c r="TEV42" s="83"/>
      <c r="TEW42" s="83"/>
      <c r="TEX42" s="83"/>
      <c r="TEY42" s="83"/>
      <c r="TEZ42" s="83"/>
      <c r="TFA42" s="83"/>
      <c r="TFB42" s="83"/>
      <c r="TFC42" s="83"/>
      <c r="TFD42" s="83"/>
      <c r="TFE42" s="83"/>
      <c r="TFF42" s="83"/>
      <c r="TFG42" s="83"/>
      <c r="TFH42" s="83"/>
      <c r="TFI42" s="83"/>
      <c r="TFJ42" s="83"/>
      <c r="TFK42" s="83"/>
      <c r="TFL42" s="83"/>
      <c r="TFM42" s="83"/>
      <c r="TFN42" s="83"/>
      <c r="TFO42" s="83"/>
      <c r="TFP42" s="83"/>
      <c r="TFQ42" s="83"/>
      <c r="TFR42" s="83"/>
      <c r="TFS42" s="83"/>
      <c r="TFT42" s="83"/>
      <c r="TFU42" s="83"/>
      <c r="TFV42" s="83"/>
      <c r="TFW42" s="83"/>
      <c r="TFX42" s="83"/>
      <c r="TFY42" s="83"/>
      <c r="TFZ42" s="83"/>
      <c r="TGA42" s="83"/>
      <c r="TGB42" s="83"/>
      <c r="TGC42" s="83"/>
      <c r="TGD42" s="83"/>
      <c r="TGE42" s="83"/>
      <c r="TGF42" s="83"/>
      <c r="TGG42" s="83"/>
      <c r="TGH42" s="83"/>
      <c r="TGI42" s="83"/>
      <c r="TGJ42" s="83"/>
      <c r="TGK42" s="83"/>
      <c r="TGL42" s="83"/>
      <c r="TGM42" s="83"/>
      <c r="TGN42" s="83"/>
      <c r="TGO42" s="83"/>
      <c r="TGP42" s="83"/>
      <c r="TGQ42" s="83"/>
      <c r="TGR42" s="83"/>
      <c r="TGS42" s="83"/>
      <c r="TGT42" s="83"/>
      <c r="TGU42" s="83"/>
      <c r="TGV42" s="83"/>
      <c r="TGW42" s="83"/>
      <c r="TGX42" s="83"/>
      <c r="TGY42" s="83"/>
      <c r="TGZ42" s="83"/>
      <c r="THA42" s="83"/>
      <c r="THB42" s="83"/>
      <c r="THC42" s="83"/>
      <c r="THD42" s="83"/>
      <c r="THE42" s="83"/>
      <c r="THF42" s="83"/>
      <c r="THG42" s="83"/>
      <c r="THH42" s="83"/>
      <c r="THI42" s="83"/>
      <c r="THJ42" s="83"/>
      <c r="THK42" s="83"/>
      <c r="THL42" s="83"/>
      <c r="THM42" s="83"/>
      <c r="THN42" s="83"/>
      <c r="THO42" s="83"/>
      <c r="THP42" s="83"/>
      <c r="THQ42" s="83"/>
      <c r="THR42" s="83"/>
      <c r="THS42" s="83"/>
      <c r="THT42" s="83"/>
      <c r="THU42" s="83"/>
      <c r="THV42" s="83"/>
      <c r="THW42" s="83"/>
      <c r="THX42" s="83"/>
      <c r="THY42" s="83"/>
      <c r="THZ42" s="83"/>
      <c r="TIA42" s="83"/>
      <c r="TIB42" s="83"/>
      <c r="TIC42" s="83"/>
      <c r="TID42" s="83"/>
      <c r="TIE42" s="83"/>
      <c r="TIF42" s="83"/>
      <c r="TIG42" s="83"/>
      <c r="TIH42" s="83"/>
      <c r="TII42" s="83"/>
      <c r="TIJ42" s="83"/>
      <c r="TIK42" s="83"/>
      <c r="TIL42" s="83"/>
      <c r="TIM42" s="83"/>
      <c r="TIN42" s="83"/>
      <c r="TIO42" s="83"/>
      <c r="TIP42" s="83"/>
      <c r="TIQ42" s="83"/>
      <c r="TIR42" s="83"/>
      <c r="TIS42" s="83"/>
      <c r="TIT42" s="83"/>
      <c r="TIU42" s="83"/>
      <c r="TIV42" s="83"/>
      <c r="TIW42" s="83"/>
      <c r="TIX42" s="83"/>
      <c r="TIY42" s="83"/>
      <c r="TIZ42" s="83"/>
      <c r="TJA42" s="83"/>
      <c r="TJB42" s="83"/>
      <c r="TJC42" s="83"/>
      <c r="TJD42" s="83"/>
      <c r="TJE42" s="83"/>
      <c r="TJF42" s="83"/>
      <c r="TJG42" s="83"/>
      <c r="TJH42" s="83"/>
      <c r="TJI42" s="83"/>
      <c r="TJJ42" s="83"/>
      <c r="TJK42" s="83"/>
      <c r="TJL42" s="83"/>
      <c r="TJM42" s="83"/>
      <c r="TJN42" s="83"/>
      <c r="TJO42" s="83"/>
      <c r="TJP42" s="83"/>
      <c r="TJQ42" s="83"/>
      <c r="TJR42" s="83"/>
      <c r="TJS42" s="83"/>
      <c r="TJT42" s="83"/>
      <c r="TJU42" s="83"/>
      <c r="TJV42" s="83"/>
      <c r="TJW42" s="83"/>
      <c r="TJX42" s="83"/>
      <c r="TJY42" s="83"/>
      <c r="TJZ42" s="83"/>
      <c r="TKA42" s="83"/>
      <c r="TKB42" s="83"/>
      <c r="TKC42" s="83"/>
      <c r="TKD42" s="83"/>
      <c r="TKE42" s="83"/>
      <c r="TKF42" s="83"/>
      <c r="TKG42" s="83"/>
      <c r="TKH42" s="83"/>
      <c r="TKI42" s="83"/>
      <c r="TKJ42" s="83"/>
      <c r="TKK42" s="83"/>
      <c r="TKL42" s="83"/>
      <c r="TKM42" s="83"/>
      <c r="TKN42" s="83"/>
      <c r="TKO42" s="83"/>
      <c r="TKP42" s="83"/>
      <c r="TKQ42" s="83"/>
      <c r="TKR42" s="83"/>
      <c r="TKS42" s="83"/>
      <c r="TKT42" s="83"/>
      <c r="TKU42" s="83"/>
      <c r="TKV42" s="83"/>
      <c r="TKW42" s="83"/>
      <c r="TKX42" s="83"/>
      <c r="TKY42" s="83"/>
      <c r="TKZ42" s="83"/>
      <c r="TLA42" s="83"/>
      <c r="TLB42" s="83"/>
      <c r="TLC42" s="83"/>
      <c r="TLD42" s="83"/>
      <c r="TLE42" s="83"/>
      <c r="TLF42" s="83"/>
      <c r="TLG42" s="83"/>
      <c r="TLH42" s="83"/>
      <c r="TLI42" s="83"/>
      <c r="TLJ42" s="83"/>
      <c r="TLK42" s="83"/>
      <c r="TLL42" s="83"/>
      <c r="TLM42" s="83"/>
      <c r="TLN42" s="83"/>
      <c r="TLO42" s="83"/>
      <c r="TLP42" s="83"/>
      <c r="TLQ42" s="83"/>
      <c r="TLR42" s="83"/>
      <c r="TLS42" s="83"/>
      <c r="TLT42" s="83"/>
      <c r="TLU42" s="83"/>
      <c r="TLV42" s="83"/>
      <c r="TLW42" s="83"/>
      <c r="TLX42" s="83"/>
      <c r="TLY42" s="83"/>
      <c r="TLZ42" s="83"/>
      <c r="TMA42" s="83"/>
      <c r="TMB42" s="83"/>
      <c r="TMC42" s="83"/>
      <c r="TMD42" s="83"/>
      <c r="TME42" s="83"/>
      <c r="TMF42" s="83"/>
      <c r="TMG42" s="83"/>
      <c r="TMH42" s="83"/>
      <c r="TMI42" s="83"/>
      <c r="TMJ42" s="83"/>
      <c r="TMK42" s="83"/>
      <c r="TML42" s="83"/>
      <c r="TMM42" s="83"/>
      <c r="TMN42" s="83"/>
      <c r="TMO42" s="83"/>
      <c r="TMP42" s="83"/>
      <c r="TMQ42" s="83"/>
      <c r="TMR42" s="83"/>
      <c r="TMS42" s="83"/>
      <c r="TMT42" s="83"/>
      <c r="TMU42" s="83"/>
      <c r="TMV42" s="83"/>
      <c r="TMW42" s="83"/>
      <c r="TMX42" s="83"/>
      <c r="TMY42" s="83"/>
      <c r="TMZ42" s="83"/>
      <c r="TNA42" s="83"/>
      <c r="TNB42" s="83"/>
      <c r="TNC42" s="83"/>
      <c r="TND42" s="83"/>
      <c r="TNE42" s="83"/>
      <c r="TNF42" s="83"/>
      <c r="TNG42" s="83"/>
      <c r="TNH42" s="83"/>
      <c r="TNI42" s="83"/>
      <c r="TNJ42" s="83"/>
      <c r="TNK42" s="83"/>
      <c r="TNL42" s="83"/>
      <c r="TNM42" s="83"/>
      <c r="TNN42" s="83"/>
      <c r="TNO42" s="83"/>
      <c r="TNP42" s="83"/>
      <c r="TNQ42" s="83"/>
      <c r="TNR42" s="83"/>
      <c r="TNS42" s="83"/>
      <c r="TNT42" s="83"/>
      <c r="TNU42" s="83"/>
      <c r="TNV42" s="83"/>
      <c r="TNW42" s="83"/>
      <c r="TNX42" s="83"/>
      <c r="TNY42" s="83"/>
      <c r="TNZ42" s="83"/>
      <c r="TOA42" s="83"/>
      <c r="TOB42" s="83"/>
      <c r="TOC42" s="83"/>
      <c r="TOD42" s="83"/>
      <c r="TOE42" s="83"/>
      <c r="TOF42" s="83"/>
      <c r="TOG42" s="83"/>
      <c r="TOH42" s="83"/>
      <c r="TOI42" s="83"/>
      <c r="TOJ42" s="83"/>
      <c r="TOK42" s="83"/>
      <c r="TOL42" s="83"/>
      <c r="TOM42" s="83"/>
      <c r="TON42" s="83"/>
      <c r="TOO42" s="83"/>
      <c r="TOP42" s="83"/>
      <c r="TOQ42" s="83"/>
      <c r="TOR42" s="83"/>
      <c r="TOS42" s="83"/>
      <c r="TOT42" s="83"/>
      <c r="TOU42" s="83"/>
      <c r="TOV42" s="83"/>
      <c r="TOW42" s="83"/>
      <c r="TOX42" s="83"/>
      <c r="TOY42" s="83"/>
      <c r="TOZ42" s="83"/>
      <c r="TPA42" s="83"/>
      <c r="TPB42" s="83"/>
      <c r="TPC42" s="83"/>
      <c r="TPD42" s="83"/>
      <c r="TPE42" s="83"/>
      <c r="TPF42" s="83"/>
      <c r="TPG42" s="83"/>
      <c r="TPH42" s="83"/>
      <c r="TPI42" s="83"/>
      <c r="TPJ42" s="83"/>
      <c r="TPK42" s="83"/>
      <c r="TPL42" s="83"/>
      <c r="TPM42" s="83"/>
      <c r="TPN42" s="83"/>
      <c r="TPO42" s="83"/>
      <c r="TPP42" s="83"/>
      <c r="TPQ42" s="83"/>
      <c r="TPR42" s="83"/>
      <c r="TPS42" s="83"/>
      <c r="TPT42" s="83"/>
      <c r="TPU42" s="83"/>
      <c r="TPV42" s="83"/>
      <c r="TPW42" s="83"/>
      <c r="TPX42" s="83"/>
      <c r="TPY42" s="83"/>
      <c r="TPZ42" s="83"/>
      <c r="TQA42" s="83"/>
      <c r="TQB42" s="83"/>
      <c r="TQC42" s="83"/>
      <c r="TQD42" s="83"/>
      <c r="TQE42" s="83"/>
      <c r="TQF42" s="83"/>
      <c r="TQG42" s="83"/>
      <c r="TQH42" s="83"/>
      <c r="TQI42" s="83"/>
      <c r="TQJ42" s="83"/>
      <c r="TQK42" s="83"/>
      <c r="TQL42" s="83"/>
      <c r="TQM42" s="83"/>
      <c r="TQN42" s="83"/>
      <c r="TQO42" s="83"/>
      <c r="TQP42" s="83"/>
      <c r="TQQ42" s="83"/>
      <c r="TQR42" s="83"/>
      <c r="TQS42" s="83"/>
      <c r="TQT42" s="83"/>
      <c r="TQU42" s="83"/>
      <c r="TQV42" s="83"/>
      <c r="TQW42" s="83"/>
      <c r="TQX42" s="83"/>
      <c r="TQY42" s="83"/>
      <c r="TQZ42" s="83"/>
      <c r="TRA42" s="83"/>
      <c r="TRB42" s="83"/>
      <c r="TRC42" s="83"/>
      <c r="TRD42" s="83"/>
      <c r="TRE42" s="83"/>
      <c r="TRF42" s="83"/>
      <c r="TRG42" s="83"/>
      <c r="TRH42" s="83"/>
      <c r="TRI42" s="83"/>
      <c r="TRJ42" s="83"/>
      <c r="TRK42" s="83"/>
      <c r="TRL42" s="83"/>
      <c r="TRM42" s="83"/>
      <c r="TRN42" s="83"/>
      <c r="TRO42" s="83"/>
      <c r="TRP42" s="83"/>
      <c r="TRQ42" s="83"/>
      <c r="TRR42" s="83"/>
      <c r="TRS42" s="83"/>
      <c r="TRT42" s="83"/>
      <c r="TRU42" s="83"/>
      <c r="TRV42" s="83"/>
      <c r="TRW42" s="83"/>
      <c r="TRX42" s="83"/>
      <c r="TRY42" s="83"/>
      <c r="TRZ42" s="83"/>
      <c r="TSA42" s="83"/>
      <c r="TSB42" s="83"/>
      <c r="TSC42" s="83"/>
      <c r="TSD42" s="83"/>
      <c r="TSE42" s="83"/>
      <c r="TSF42" s="83"/>
      <c r="TSG42" s="83"/>
      <c r="TSH42" s="83"/>
      <c r="TSI42" s="83"/>
      <c r="TSJ42" s="83"/>
      <c r="TSK42" s="83"/>
      <c r="TSL42" s="83"/>
      <c r="TSM42" s="83"/>
      <c r="TSN42" s="83"/>
      <c r="TSO42" s="83"/>
      <c r="TSP42" s="83"/>
      <c r="TSQ42" s="83"/>
      <c r="TSR42" s="83"/>
      <c r="TSS42" s="83"/>
      <c r="TST42" s="83"/>
      <c r="TSU42" s="83"/>
      <c r="TSV42" s="83"/>
      <c r="TSW42" s="83"/>
      <c r="TSX42" s="83"/>
      <c r="TSY42" s="83"/>
      <c r="TSZ42" s="83"/>
      <c r="TTA42" s="83"/>
      <c r="TTB42" s="83"/>
      <c r="TTC42" s="83"/>
      <c r="TTD42" s="83"/>
      <c r="TTE42" s="83"/>
      <c r="TTF42" s="83"/>
      <c r="TTG42" s="83"/>
      <c r="TTH42" s="83"/>
      <c r="TTI42" s="83"/>
      <c r="TTJ42" s="83"/>
      <c r="TTK42" s="83"/>
      <c r="TTL42" s="83"/>
      <c r="TTM42" s="83"/>
      <c r="TTN42" s="83"/>
      <c r="TTO42" s="83"/>
      <c r="TTP42" s="83"/>
      <c r="TTQ42" s="83"/>
      <c r="TTR42" s="83"/>
      <c r="TTS42" s="83"/>
      <c r="TTT42" s="83"/>
      <c r="TTU42" s="83"/>
      <c r="TTV42" s="83"/>
      <c r="TTW42" s="83"/>
      <c r="TTX42" s="83"/>
      <c r="TTY42" s="83"/>
      <c r="TTZ42" s="83"/>
      <c r="TUA42" s="83"/>
      <c r="TUB42" s="83"/>
      <c r="TUC42" s="83"/>
      <c r="TUD42" s="83"/>
      <c r="TUE42" s="83"/>
      <c r="TUF42" s="83"/>
      <c r="TUG42" s="83"/>
      <c r="TUH42" s="83"/>
      <c r="TUI42" s="83"/>
      <c r="TUJ42" s="83"/>
      <c r="TUK42" s="83"/>
      <c r="TUL42" s="83"/>
      <c r="TUM42" s="83"/>
      <c r="TUN42" s="83"/>
      <c r="TUO42" s="83"/>
      <c r="TUP42" s="83"/>
      <c r="TUQ42" s="83"/>
      <c r="TUR42" s="83"/>
      <c r="TUS42" s="83"/>
      <c r="TUT42" s="83"/>
      <c r="TUU42" s="83"/>
      <c r="TUV42" s="83"/>
      <c r="TUW42" s="83"/>
      <c r="TUX42" s="83"/>
      <c r="TUY42" s="83"/>
      <c r="TUZ42" s="83"/>
      <c r="TVA42" s="83"/>
      <c r="TVB42" s="83"/>
      <c r="TVC42" s="83"/>
      <c r="TVD42" s="83"/>
      <c r="TVE42" s="83"/>
      <c r="TVF42" s="83"/>
      <c r="TVG42" s="83"/>
      <c r="TVH42" s="83"/>
      <c r="TVI42" s="83"/>
      <c r="TVJ42" s="83"/>
      <c r="TVK42" s="83"/>
      <c r="TVL42" s="83"/>
      <c r="TVM42" s="83"/>
      <c r="TVN42" s="83"/>
      <c r="TVO42" s="83"/>
      <c r="TVP42" s="83"/>
      <c r="TVQ42" s="83"/>
      <c r="TVR42" s="83"/>
      <c r="TVS42" s="83"/>
      <c r="TVT42" s="83"/>
      <c r="TVU42" s="83"/>
      <c r="TVV42" s="83"/>
      <c r="TVW42" s="83"/>
      <c r="TVX42" s="83"/>
      <c r="TVY42" s="83"/>
      <c r="TVZ42" s="83"/>
      <c r="TWA42" s="83"/>
      <c r="TWB42" s="83"/>
      <c r="TWC42" s="83"/>
      <c r="TWD42" s="83"/>
      <c r="TWE42" s="83"/>
      <c r="TWF42" s="83"/>
      <c r="TWG42" s="83"/>
      <c r="TWH42" s="83"/>
      <c r="TWI42" s="83"/>
      <c r="TWJ42" s="83"/>
      <c r="TWK42" s="83"/>
      <c r="TWL42" s="83"/>
      <c r="TWM42" s="83"/>
      <c r="TWN42" s="83"/>
      <c r="TWO42" s="83"/>
      <c r="TWP42" s="83"/>
      <c r="TWQ42" s="83"/>
      <c r="TWR42" s="83"/>
      <c r="TWS42" s="83"/>
      <c r="TWT42" s="83"/>
      <c r="TWU42" s="83"/>
      <c r="TWV42" s="83"/>
      <c r="TWW42" s="83"/>
      <c r="TWX42" s="83"/>
      <c r="TWY42" s="83"/>
      <c r="TWZ42" s="83"/>
      <c r="TXA42" s="83"/>
      <c r="TXB42" s="83"/>
      <c r="TXC42" s="83"/>
      <c r="TXD42" s="83"/>
      <c r="TXE42" s="83"/>
      <c r="TXF42" s="83"/>
      <c r="TXG42" s="83"/>
      <c r="TXH42" s="83"/>
      <c r="TXI42" s="83"/>
      <c r="TXJ42" s="83"/>
      <c r="TXK42" s="83"/>
      <c r="TXL42" s="83"/>
      <c r="TXM42" s="83"/>
      <c r="TXN42" s="83"/>
      <c r="TXO42" s="83"/>
      <c r="TXP42" s="83"/>
      <c r="TXQ42" s="83"/>
      <c r="TXR42" s="83"/>
      <c r="TXS42" s="83"/>
      <c r="TXT42" s="83"/>
      <c r="TXU42" s="83"/>
      <c r="TXV42" s="83"/>
      <c r="TXW42" s="83"/>
      <c r="TXX42" s="83"/>
      <c r="TXY42" s="83"/>
      <c r="TXZ42" s="83"/>
      <c r="TYA42" s="83"/>
      <c r="TYB42" s="83"/>
      <c r="TYC42" s="83"/>
      <c r="TYD42" s="83"/>
      <c r="TYE42" s="83"/>
      <c r="TYF42" s="83"/>
      <c r="TYG42" s="83"/>
      <c r="TYH42" s="83"/>
      <c r="TYI42" s="83"/>
      <c r="TYJ42" s="83"/>
      <c r="TYK42" s="83"/>
      <c r="TYL42" s="83"/>
      <c r="TYM42" s="83"/>
      <c r="TYN42" s="83"/>
      <c r="TYO42" s="83"/>
      <c r="TYP42" s="83"/>
      <c r="TYQ42" s="83"/>
      <c r="TYR42" s="83"/>
      <c r="TYS42" s="83"/>
      <c r="TYT42" s="83"/>
      <c r="TYU42" s="83"/>
      <c r="TYV42" s="83"/>
      <c r="TYW42" s="83"/>
      <c r="TYX42" s="83"/>
      <c r="TYY42" s="83"/>
      <c r="TYZ42" s="83"/>
      <c r="TZA42" s="83"/>
      <c r="TZB42" s="83"/>
      <c r="TZC42" s="83"/>
      <c r="TZD42" s="83"/>
      <c r="TZE42" s="83"/>
      <c r="TZF42" s="83"/>
      <c r="TZG42" s="83"/>
      <c r="TZH42" s="83"/>
      <c r="TZI42" s="83"/>
      <c r="TZJ42" s="83"/>
      <c r="TZK42" s="83"/>
      <c r="TZL42" s="83"/>
      <c r="TZM42" s="83"/>
      <c r="TZN42" s="83"/>
      <c r="TZO42" s="83"/>
      <c r="TZP42" s="83"/>
      <c r="TZQ42" s="83"/>
      <c r="TZR42" s="83"/>
      <c r="TZS42" s="83"/>
      <c r="TZT42" s="83"/>
      <c r="TZU42" s="83"/>
      <c r="TZV42" s="83"/>
      <c r="TZW42" s="83"/>
      <c r="TZX42" s="83"/>
      <c r="TZY42" s="83"/>
      <c r="TZZ42" s="83"/>
      <c r="UAA42" s="83"/>
      <c r="UAB42" s="83"/>
      <c r="UAC42" s="83"/>
      <c r="UAD42" s="83"/>
      <c r="UAE42" s="83"/>
      <c r="UAF42" s="83"/>
      <c r="UAG42" s="83"/>
      <c r="UAH42" s="83"/>
      <c r="UAI42" s="83"/>
      <c r="UAJ42" s="83"/>
      <c r="UAK42" s="83"/>
      <c r="UAL42" s="83"/>
      <c r="UAM42" s="83"/>
      <c r="UAN42" s="83"/>
      <c r="UAO42" s="83"/>
      <c r="UAP42" s="83"/>
      <c r="UAQ42" s="83"/>
      <c r="UAR42" s="83"/>
      <c r="UAS42" s="83"/>
      <c r="UAT42" s="83"/>
      <c r="UAU42" s="83"/>
      <c r="UAV42" s="83"/>
      <c r="UAW42" s="83"/>
      <c r="UAX42" s="83"/>
      <c r="UAY42" s="83"/>
      <c r="UAZ42" s="83"/>
      <c r="UBA42" s="83"/>
      <c r="UBB42" s="83"/>
      <c r="UBC42" s="83"/>
      <c r="UBD42" s="83"/>
      <c r="UBE42" s="83"/>
      <c r="UBF42" s="83"/>
      <c r="UBG42" s="83"/>
      <c r="UBH42" s="83"/>
      <c r="UBI42" s="83"/>
      <c r="UBJ42" s="83"/>
      <c r="UBK42" s="83"/>
      <c r="UBL42" s="83"/>
      <c r="UBM42" s="83"/>
      <c r="UBN42" s="83"/>
      <c r="UBO42" s="83"/>
      <c r="UBP42" s="83"/>
      <c r="UBQ42" s="83"/>
      <c r="UBR42" s="83"/>
      <c r="UBS42" s="83"/>
      <c r="UBT42" s="83"/>
      <c r="UBU42" s="83"/>
      <c r="UBV42" s="83"/>
      <c r="UBW42" s="83"/>
      <c r="UBX42" s="83"/>
      <c r="UBY42" s="83"/>
      <c r="UBZ42" s="83"/>
      <c r="UCA42" s="83"/>
      <c r="UCB42" s="83"/>
      <c r="UCC42" s="83"/>
      <c r="UCD42" s="83"/>
      <c r="UCE42" s="83"/>
      <c r="UCF42" s="83"/>
      <c r="UCG42" s="83"/>
      <c r="UCH42" s="83"/>
      <c r="UCI42" s="83"/>
      <c r="UCJ42" s="83"/>
      <c r="UCK42" s="83"/>
      <c r="UCL42" s="83"/>
      <c r="UCM42" s="83"/>
      <c r="UCN42" s="83"/>
      <c r="UCO42" s="83"/>
      <c r="UCP42" s="83"/>
      <c r="UCQ42" s="83"/>
      <c r="UCR42" s="83"/>
      <c r="UCS42" s="83"/>
      <c r="UCT42" s="83"/>
      <c r="UCU42" s="83"/>
      <c r="UCV42" s="83"/>
      <c r="UCW42" s="83"/>
      <c r="UCX42" s="83"/>
      <c r="UCY42" s="83"/>
      <c r="UCZ42" s="83"/>
      <c r="UDA42" s="83"/>
      <c r="UDB42" s="83"/>
      <c r="UDC42" s="83"/>
      <c r="UDD42" s="83"/>
      <c r="UDE42" s="83"/>
      <c r="UDF42" s="83"/>
      <c r="UDG42" s="83"/>
      <c r="UDH42" s="83"/>
      <c r="UDI42" s="83"/>
      <c r="UDJ42" s="83"/>
      <c r="UDK42" s="83"/>
      <c r="UDL42" s="83"/>
      <c r="UDM42" s="83"/>
      <c r="UDN42" s="83"/>
      <c r="UDO42" s="83"/>
      <c r="UDP42" s="83"/>
      <c r="UDQ42" s="83"/>
      <c r="UDR42" s="83"/>
      <c r="UDS42" s="83"/>
      <c r="UDT42" s="83"/>
      <c r="UDU42" s="83"/>
      <c r="UDV42" s="83"/>
      <c r="UDW42" s="83"/>
      <c r="UDX42" s="83"/>
      <c r="UDY42" s="83"/>
      <c r="UDZ42" s="83"/>
      <c r="UEA42" s="83"/>
      <c r="UEB42" s="83"/>
      <c r="UEC42" s="83"/>
      <c r="UED42" s="83"/>
      <c r="UEE42" s="83"/>
      <c r="UEF42" s="83"/>
      <c r="UEG42" s="83"/>
      <c r="UEH42" s="83"/>
      <c r="UEI42" s="83"/>
      <c r="UEJ42" s="83"/>
      <c r="UEK42" s="83"/>
      <c r="UEL42" s="83"/>
      <c r="UEM42" s="83"/>
      <c r="UEN42" s="83"/>
      <c r="UEO42" s="83"/>
      <c r="UEP42" s="83"/>
      <c r="UEQ42" s="83"/>
      <c r="UER42" s="83"/>
      <c r="UES42" s="83"/>
      <c r="UET42" s="83"/>
      <c r="UEU42" s="83"/>
      <c r="UEV42" s="83"/>
      <c r="UEW42" s="83"/>
      <c r="UEX42" s="83"/>
      <c r="UEY42" s="83"/>
      <c r="UEZ42" s="83"/>
      <c r="UFA42" s="83"/>
      <c r="UFB42" s="83"/>
      <c r="UFC42" s="83"/>
      <c r="UFD42" s="83"/>
      <c r="UFE42" s="83"/>
      <c r="UFF42" s="83"/>
      <c r="UFG42" s="83"/>
      <c r="UFH42" s="83"/>
      <c r="UFI42" s="83"/>
      <c r="UFJ42" s="83"/>
      <c r="UFK42" s="83"/>
      <c r="UFL42" s="83"/>
      <c r="UFM42" s="83"/>
      <c r="UFN42" s="83"/>
      <c r="UFO42" s="83"/>
      <c r="UFP42" s="83"/>
      <c r="UFQ42" s="83"/>
      <c r="UFR42" s="83"/>
      <c r="UFS42" s="83"/>
      <c r="UFT42" s="83"/>
      <c r="UFU42" s="83"/>
      <c r="UFV42" s="83"/>
      <c r="UFW42" s="83"/>
      <c r="UFX42" s="83"/>
      <c r="UFY42" s="83"/>
      <c r="UFZ42" s="83"/>
      <c r="UGA42" s="83"/>
      <c r="UGB42" s="83"/>
      <c r="UGC42" s="83"/>
      <c r="UGD42" s="83"/>
      <c r="UGE42" s="83"/>
      <c r="UGF42" s="83"/>
      <c r="UGG42" s="83"/>
      <c r="UGH42" s="83"/>
      <c r="UGI42" s="83"/>
      <c r="UGJ42" s="83"/>
      <c r="UGK42" s="83"/>
      <c r="UGL42" s="83"/>
      <c r="UGM42" s="83"/>
      <c r="UGN42" s="83"/>
      <c r="UGO42" s="83"/>
      <c r="UGP42" s="83"/>
      <c r="UGQ42" s="83"/>
      <c r="UGR42" s="83"/>
      <c r="UGS42" s="83"/>
      <c r="UGT42" s="83"/>
      <c r="UGU42" s="83"/>
      <c r="UGV42" s="83"/>
      <c r="UGW42" s="83"/>
      <c r="UGX42" s="83"/>
      <c r="UGY42" s="83"/>
      <c r="UGZ42" s="83"/>
      <c r="UHA42" s="83"/>
      <c r="UHB42" s="83"/>
      <c r="UHC42" s="83"/>
      <c r="UHD42" s="83"/>
      <c r="UHE42" s="83"/>
      <c r="UHF42" s="83"/>
      <c r="UHG42" s="83"/>
      <c r="UHH42" s="83"/>
      <c r="UHI42" s="83"/>
      <c r="UHJ42" s="83"/>
      <c r="UHK42" s="83"/>
      <c r="UHL42" s="83"/>
      <c r="UHM42" s="83"/>
      <c r="UHN42" s="83"/>
      <c r="UHO42" s="83"/>
      <c r="UHP42" s="83"/>
      <c r="UHQ42" s="83"/>
      <c r="UHR42" s="83"/>
      <c r="UHS42" s="83"/>
      <c r="UHT42" s="83"/>
      <c r="UHU42" s="83"/>
      <c r="UHV42" s="83"/>
      <c r="UHW42" s="83"/>
      <c r="UHX42" s="83"/>
      <c r="UHY42" s="83"/>
      <c r="UHZ42" s="83"/>
      <c r="UIA42" s="83"/>
      <c r="UIB42" s="83"/>
      <c r="UIC42" s="83"/>
      <c r="UID42" s="83"/>
      <c r="UIE42" s="83"/>
      <c r="UIF42" s="83"/>
      <c r="UIG42" s="83"/>
      <c r="UIH42" s="83"/>
      <c r="UII42" s="83"/>
      <c r="UIJ42" s="83"/>
      <c r="UIK42" s="83"/>
      <c r="UIL42" s="83"/>
      <c r="UIM42" s="83"/>
      <c r="UIN42" s="83"/>
      <c r="UIO42" s="83"/>
      <c r="UIP42" s="83"/>
      <c r="UIQ42" s="83"/>
      <c r="UIR42" s="83"/>
      <c r="UIS42" s="83"/>
      <c r="UIT42" s="83"/>
      <c r="UIU42" s="83"/>
      <c r="UIV42" s="83"/>
      <c r="UIW42" s="83"/>
      <c r="UIX42" s="83"/>
      <c r="UIY42" s="83"/>
      <c r="UIZ42" s="83"/>
      <c r="UJA42" s="83"/>
      <c r="UJB42" s="83"/>
      <c r="UJC42" s="83"/>
      <c r="UJD42" s="83"/>
      <c r="UJE42" s="83"/>
      <c r="UJF42" s="83"/>
      <c r="UJG42" s="83"/>
      <c r="UJH42" s="83"/>
      <c r="UJI42" s="83"/>
      <c r="UJJ42" s="83"/>
      <c r="UJK42" s="83"/>
      <c r="UJL42" s="83"/>
      <c r="UJM42" s="83"/>
      <c r="UJN42" s="83"/>
      <c r="UJO42" s="83"/>
      <c r="UJP42" s="83"/>
      <c r="UJQ42" s="83"/>
      <c r="UJR42" s="83"/>
      <c r="UJS42" s="83"/>
      <c r="UJT42" s="83"/>
      <c r="UJU42" s="83"/>
      <c r="UJV42" s="83"/>
      <c r="UJW42" s="83"/>
      <c r="UJX42" s="83"/>
      <c r="UJY42" s="83"/>
      <c r="UJZ42" s="83"/>
      <c r="UKA42" s="83"/>
      <c r="UKB42" s="83"/>
      <c r="UKC42" s="83"/>
      <c r="UKD42" s="83"/>
      <c r="UKE42" s="83"/>
      <c r="UKF42" s="83"/>
      <c r="UKG42" s="83"/>
      <c r="UKH42" s="83"/>
      <c r="UKI42" s="83"/>
      <c r="UKJ42" s="83"/>
      <c r="UKK42" s="83"/>
      <c r="UKL42" s="83"/>
      <c r="UKM42" s="83"/>
      <c r="UKN42" s="83"/>
      <c r="UKO42" s="83"/>
      <c r="UKP42" s="83"/>
      <c r="UKQ42" s="83"/>
      <c r="UKR42" s="83"/>
      <c r="UKS42" s="83"/>
      <c r="UKT42" s="83"/>
      <c r="UKU42" s="83"/>
      <c r="UKV42" s="83"/>
      <c r="UKW42" s="83"/>
      <c r="UKX42" s="83"/>
      <c r="UKY42" s="83"/>
      <c r="UKZ42" s="83"/>
      <c r="ULA42" s="83"/>
      <c r="ULB42" s="83"/>
      <c r="ULC42" s="83"/>
      <c r="ULD42" s="83"/>
      <c r="ULE42" s="83"/>
      <c r="ULF42" s="83"/>
      <c r="ULG42" s="83"/>
      <c r="ULH42" s="83"/>
      <c r="ULI42" s="83"/>
      <c r="ULJ42" s="83"/>
      <c r="ULK42" s="83"/>
      <c r="ULL42" s="83"/>
      <c r="ULM42" s="83"/>
      <c r="ULN42" s="83"/>
      <c r="ULO42" s="83"/>
      <c r="ULP42" s="83"/>
      <c r="ULQ42" s="83"/>
      <c r="ULR42" s="83"/>
      <c r="ULS42" s="83"/>
      <c r="ULT42" s="83"/>
      <c r="ULU42" s="83"/>
      <c r="ULV42" s="83"/>
      <c r="ULW42" s="83"/>
      <c r="ULX42" s="83"/>
      <c r="ULY42" s="83"/>
      <c r="ULZ42" s="83"/>
      <c r="UMA42" s="83"/>
      <c r="UMB42" s="83"/>
      <c r="UMC42" s="83"/>
      <c r="UMD42" s="83"/>
      <c r="UME42" s="83"/>
      <c r="UMF42" s="83"/>
      <c r="UMG42" s="83"/>
      <c r="UMH42" s="83"/>
      <c r="UMI42" s="83"/>
      <c r="UMJ42" s="83"/>
      <c r="UMK42" s="83"/>
      <c r="UML42" s="83"/>
      <c r="UMM42" s="83"/>
      <c r="UMN42" s="83"/>
      <c r="UMO42" s="83"/>
      <c r="UMP42" s="83"/>
      <c r="UMQ42" s="83"/>
      <c r="UMR42" s="83"/>
      <c r="UMS42" s="83"/>
      <c r="UMT42" s="83"/>
      <c r="UMU42" s="83"/>
      <c r="UMV42" s="83"/>
      <c r="UMW42" s="83"/>
      <c r="UMX42" s="83"/>
      <c r="UMY42" s="83"/>
      <c r="UMZ42" s="83"/>
      <c r="UNA42" s="83"/>
      <c r="UNB42" s="83"/>
      <c r="UNC42" s="83"/>
      <c r="UND42" s="83"/>
      <c r="UNE42" s="83"/>
      <c r="UNF42" s="83"/>
      <c r="UNG42" s="83"/>
      <c r="UNH42" s="83"/>
      <c r="UNI42" s="83"/>
      <c r="UNJ42" s="83"/>
      <c r="UNK42" s="83"/>
      <c r="UNL42" s="83"/>
      <c r="UNM42" s="83"/>
      <c r="UNN42" s="83"/>
      <c r="UNO42" s="83"/>
      <c r="UNP42" s="83"/>
      <c r="UNQ42" s="83"/>
      <c r="UNR42" s="83"/>
      <c r="UNS42" s="83"/>
      <c r="UNT42" s="83"/>
      <c r="UNU42" s="83"/>
      <c r="UNV42" s="83"/>
      <c r="UNW42" s="83"/>
      <c r="UNX42" s="83"/>
      <c r="UNY42" s="83"/>
      <c r="UNZ42" s="83"/>
      <c r="UOA42" s="83"/>
      <c r="UOB42" s="83"/>
      <c r="UOC42" s="83"/>
      <c r="UOD42" s="83"/>
      <c r="UOE42" s="83"/>
      <c r="UOF42" s="83"/>
      <c r="UOG42" s="83"/>
      <c r="UOH42" s="83"/>
      <c r="UOI42" s="83"/>
      <c r="UOJ42" s="83"/>
      <c r="UOK42" s="83"/>
      <c r="UOL42" s="83"/>
      <c r="UOM42" s="83"/>
      <c r="UON42" s="83"/>
      <c r="UOO42" s="83"/>
      <c r="UOP42" s="83"/>
      <c r="UOQ42" s="83"/>
      <c r="UOR42" s="83"/>
      <c r="UOS42" s="83"/>
      <c r="UOT42" s="83"/>
      <c r="UOU42" s="83"/>
      <c r="UOV42" s="83"/>
      <c r="UOW42" s="83"/>
      <c r="UOX42" s="83"/>
      <c r="UOY42" s="83"/>
      <c r="UOZ42" s="83"/>
      <c r="UPA42" s="83"/>
      <c r="UPB42" s="83"/>
      <c r="UPC42" s="83"/>
      <c r="UPD42" s="83"/>
      <c r="UPE42" s="83"/>
      <c r="UPF42" s="83"/>
      <c r="UPG42" s="83"/>
      <c r="UPH42" s="83"/>
      <c r="UPI42" s="83"/>
      <c r="UPJ42" s="83"/>
      <c r="UPK42" s="83"/>
      <c r="UPL42" s="83"/>
      <c r="UPM42" s="83"/>
      <c r="UPN42" s="83"/>
      <c r="UPO42" s="83"/>
      <c r="UPP42" s="83"/>
      <c r="UPQ42" s="83"/>
      <c r="UPR42" s="83"/>
      <c r="UPS42" s="83"/>
      <c r="UPT42" s="83"/>
      <c r="UPU42" s="83"/>
      <c r="UPV42" s="83"/>
      <c r="UPW42" s="83"/>
      <c r="UPX42" s="83"/>
      <c r="UPY42" s="83"/>
      <c r="UPZ42" s="83"/>
      <c r="UQA42" s="83"/>
      <c r="UQB42" s="83"/>
      <c r="UQC42" s="83"/>
      <c r="UQD42" s="83"/>
      <c r="UQE42" s="83"/>
      <c r="UQF42" s="83"/>
      <c r="UQG42" s="83"/>
      <c r="UQH42" s="83"/>
      <c r="UQI42" s="83"/>
      <c r="UQJ42" s="83"/>
      <c r="UQK42" s="83"/>
      <c r="UQL42" s="83"/>
      <c r="UQM42" s="83"/>
      <c r="UQN42" s="83"/>
      <c r="UQO42" s="83"/>
      <c r="UQP42" s="83"/>
      <c r="UQQ42" s="83"/>
      <c r="UQR42" s="83"/>
      <c r="UQS42" s="83"/>
      <c r="UQT42" s="83"/>
      <c r="UQU42" s="83"/>
      <c r="UQV42" s="83"/>
      <c r="UQW42" s="83"/>
      <c r="UQX42" s="83"/>
      <c r="UQY42" s="83"/>
      <c r="UQZ42" s="83"/>
      <c r="URA42" s="83"/>
      <c r="URB42" s="83"/>
      <c r="URC42" s="83"/>
      <c r="URD42" s="83"/>
      <c r="URE42" s="83"/>
      <c r="URF42" s="83"/>
      <c r="URG42" s="83"/>
      <c r="URH42" s="83"/>
      <c r="URI42" s="83"/>
      <c r="URJ42" s="83"/>
      <c r="URK42" s="83"/>
      <c r="URL42" s="83"/>
      <c r="URM42" s="83"/>
      <c r="URN42" s="83"/>
      <c r="URO42" s="83"/>
      <c r="URP42" s="83"/>
      <c r="URQ42" s="83"/>
      <c r="URR42" s="83"/>
      <c r="URS42" s="83"/>
      <c r="URT42" s="83"/>
      <c r="URU42" s="83"/>
      <c r="URV42" s="83"/>
      <c r="URW42" s="83"/>
      <c r="URX42" s="83"/>
      <c r="URY42" s="83"/>
      <c r="URZ42" s="83"/>
      <c r="USA42" s="83"/>
      <c r="USB42" s="83"/>
      <c r="USC42" s="83"/>
      <c r="USD42" s="83"/>
      <c r="USE42" s="83"/>
      <c r="USF42" s="83"/>
      <c r="USG42" s="83"/>
      <c r="USH42" s="83"/>
      <c r="USI42" s="83"/>
      <c r="USJ42" s="83"/>
      <c r="USK42" s="83"/>
      <c r="USL42" s="83"/>
      <c r="USM42" s="83"/>
      <c r="USN42" s="83"/>
      <c r="USO42" s="83"/>
      <c r="USP42" s="83"/>
      <c r="USQ42" s="83"/>
      <c r="USR42" s="83"/>
      <c r="USS42" s="83"/>
      <c r="UST42" s="83"/>
      <c r="USU42" s="83"/>
      <c r="USV42" s="83"/>
      <c r="USW42" s="83"/>
      <c r="USX42" s="83"/>
      <c r="USY42" s="83"/>
      <c r="USZ42" s="83"/>
      <c r="UTA42" s="83"/>
      <c r="UTB42" s="83"/>
      <c r="UTC42" s="83"/>
      <c r="UTD42" s="83"/>
      <c r="UTE42" s="83"/>
      <c r="UTF42" s="83"/>
      <c r="UTG42" s="83"/>
      <c r="UTH42" s="83"/>
      <c r="UTI42" s="83"/>
      <c r="UTJ42" s="83"/>
      <c r="UTK42" s="83"/>
      <c r="UTL42" s="83"/>
      <c r="UTM42" s="83"/>
      <c r="UTN42" s="83"/>
      <c r="UTO42" s="83"/>
      <c r="UTP42" s="83"/>
      <c r="UTQ42" s="83"/>
      <c r="UTR42" s="83"/>
      <c r="UTS42" s="83"/>
      <c r="UTT42" s="83"/>
      <c r="UTU42" s="83"/>
      <c r="UTV42" s="83"/>
      <c r="UTW42" s="83"/>
      <c r="UTX42" s="83"/>
      <c r="UTY42" s="83"/>
      <c r="UTZ42" s="83"/>
      <c r="UUA42" s="83"/>
      <c r="UUB42" s="83"/>
      <c r="UUC42" s="83"/>
      <c r="UUD42" s="83"/>
      <c r="UUE42" s="83"/>
      <c r="UUF42" s="83"/>
      <c r="UUG42" s="83"/>
      <c r="UUH42" s="83"/>
      <c r="UUI42" s="83"/>
      <c r="UUJ42" s="83"/>
      <c r="UUK42" s="83"/>
      <c r="UUL42" s="83"/>
      <c r="UUM42" s="83"/>
      <c r="UUN42" s="83"/>
      <c r="UUO42" s="83"/>
      <c r="UUP42" s="83"/>
      <c r="UUQ42" s="83"/>
      <c r="UUR42" s="83"/>
      <c r="UUS42" s="83"/>
      <c r="UUT42" s="83"/>
      <c r="UUU42" s="83"/>
      <c r="UUV42" s="83"/>
      <c r="UUW42" s="83"/>
      <c r="UUX42" s="83"/>
      <c r="UUY42" s="83"/>
      <c r="UUZ42" s="83"/>
      <c r="UVA42" s="83"/>
      <c r="UVB42" s="83"/>
      <c r="UVC42" s="83"/>
      <c r="UVD42" s="83"/>
      <c r="UVE42" s="83"/>
      <c r="UVF42" s="83"/>
      <c r="UVG42" s="83"/>
      <c r="UVH42" s="83"/>
      <c r="UVI42" s="83"/>
      <c r="UVJ42" s="83"/>
      <c r="UVK42" s="83"/>
      <c r="UVL42" s="83"/>
      <c r="UVM42" s="83"/>
      <c r="UVN42" s="83"/>
      <c r="UVO42" s="83"/>
      <c r="UVP42" s="83"/>
      <c r="UVQ42" s="83"/>
      <c r="UVR42" s="83"/>
      <c r="UVS42" s="83"/>
      <c r="UVT42" s="83"/>
      <c r="UVU42" s="83"/>
      <c r="UVV42" s="83"/>
      <c r="UVW42" s="83"/>
      <c r="UVX42" s="83"/>
      <c r="UVY42" s="83"/>
      <c r="UVZ42" s="83"/>
      <c r="UWA42" s="83"/>
      <c r="UWB42" s="83"/>
      <c r="UWC42" s="83"/>
      <c r="UWD42" s="83"/>
      <c r="UWE42" s="83"/>
      <c r="UWF42" s="83"/>
      <c r="UWG42" s="83"/>
      <c r="UWH42" s="83"/>
      <c r="UWI42" s="83"/>
      <c r="UWJ42" s="83"/>
      <c r="UWK42" s="83"/>
      <c r="UWL42" s="83"/>
      <c r="UWM42" s="83"/>
      <c r="UWN42" s="83"/>
      <c r="UWO42" s="83"/>
      <c r="UWP42" s="83"/>
      <c r="UWQ42" s="83"/>
      <c r="UWR42" s="83"/>
      <c r="UWS42" s="83"/>
      <c r="UWT42" s="83"/>
      <c r="UWU42" s="83"/>
      <c r="UWV42" s="83"/>
      <c r="UWW42" s="83"/>
      <c r="UWX42" s="83"/>
      <c r="UWY42" s="83"/>
      <c r="UWZ42" s="83"/>
      <c r="UXA42" s="83"/>
      <c r="UXB42" s="83"/>
      <c r="UXC42" s="83"/>
      <c r="UXD42" s="83"/>
      <c r="UXE42" s="83"/>
      <c r="UXF42" s="83"/>
      <c r="UXG42" s="83"/>
      <c r="UXH42" s="83"/>
      <c r="UXI42" s="83"/>
      <c r="UXJ42" s="83"/>
      <c r="UXK42" s="83"/>
      <c r="UXL42" s="83"/>
      <c r="UXM42" s="83"/>
      <c r="UXN42" s="83"/>
      <c r="UXO42" s="83"/>
      <c r="UXP42" s="83"/>
      <c r="UXQ42" s="83"/>
      <c r="UXR42" s="83"/>
      <c r="UXS42" s="83"/>
      <c r="UXT42" s="83"/>
      <c r="UXU42" s="83"/>
      <c r="UXV42" s="83"/>
      <c r="UXW42" s="83"/>
      <c r="UXX42" s="83"/>
      <c r="UXY42" s="83"/>
      <c r="UXZ42" s="83"/>
      <c r="UYA42" s="83"/>
      <c r="UYB42" s="83"/>
      <c r="UYC42" s="83"/>
      <c r="UYD42" s="83"/>
      <c r="UYE42" s="83"/>
      <c r="UYF42" s="83"/>
      <c r="UYG42" s="83"/>
      <c r="UYH42" s="83"/>
      <c r="UYI42" s="83"/>
      <c r="UYJ42" s="83"/>
      <c r="UYK42" s="83"/>
      <c r="UYL42" s="83"/>
      <c r="UYM42" s="83"/>
      <c r="UYN42" s="83"/>
      <c r="UYO42" s="83"/>
      <c r="UYP42" s="83"/>
      <c r="UYQ42" s="83"/>
      <c r="UYR42" s="83"/>
      <c r="UYS42" s="83"/>
      <c r="UYT42" s="83"/>
      <c r="UYU42" s="83"/>
      <c r="UYV42" s="83"/>
      <c r="UYW42" s="83"/>
      <c r="UYX42" s="83"/>
      <c r="UYY42" s="83"/>
      <c r="UYZ42" s="83"/>
      <c r="UZA42" s="83"/>
      <c r="UZB42" s="83"/>
      <c r="UZC42" s="83"/>
      <c r="UZD42" s="83"/>
      <c r="UZE42" s="83"/>
      <c r="UZF42" s="83"/>
      <c r="UZG42" s="83"/>
      <c r="UZH42" s="83"/>
      <c r="UZI42" s="83"/>
      <c r="UZJ42" s="83"/>
      <c r="UZK42" s="83"/>
      <c r="UZL42" s="83"/>
      <c r="UZM42" s="83"/>
      <c r="UZN42" s="83"/>
      <c r="UZO42" s="83"/>
      <c r="UZP42" s="83"/>
      <c r="UZQ42" s="83"/>
      <c r="UZR42" s="83"/>
      <c r="UZS42" s="83"/>
      <c r="UZT42" s="83"/>
      <c r="UZU42" s="83"/>
      <c r="UZV42" s="83"/>
      <c r="UZW42" s="83"/>
      <c r="UZX42" s="83"/>
      <c r="UZY42" s="83"/>
      <c r="UZZ42" s="83"/>
      <c r="VAA42" s="83"/>
      <c r="VAB42" s="83"/>
      <c r="VAC42" s="83"/>
      <c r="VAD42" s="83"/>
      <c r="VAE42" s="83"/>
      <c r="VAF42" s="83"/>
      <c r="VAG42" s="83"/>
      <c r="VAH42" s="83"/>
      <c r="VAI42" s="83"/>
      <c r="VAJ42" s="83"/>
      <c r="VAK42" s="83"/>
      <c r="VAL42" s="83"/>
      <c r="VAM42" s="83"/>
      <c r="VAN42" s="83"/>
      <c r="VAO42" s="83"/>
      <c r="VAP42" s="83"/>
      <c r="VAQ42" s="83"/>
      <c r="VAR42" s="83"/>
      <c r="VAS42" s="83"/>
      <c r="VAT42" s="83"/>
      <c r="VAU42" s="83"/>
      <c r="VAV42" s="83"/>
      <c r="VAW42" s="83"/>
      <c r="VAX42" s="83"/>
      <c r="VAY42" s="83"/>
      <c r="VAZ42" s="83"/>
      <c r="VBA42" s="83"/>
      <c r="VBB42" s="83"/>
      <c r="VBC42" s="83"/>
      <c r="VBD42" s="83"/>
      <c r="VBE42" s="83"/>
      <c r="VBF42" s="83"/>
      <c r="VBG42" s="83"/>
      <c r="VBH42" s="83"/>
      <c r="VBI42" s="83"/>
      <c r="VBJ42" s="83"/>
      <c r="VBK42" s="83"/>
      <c r="VBL42" s="83"/>
      <c r="VBM42" s="83"/>
      <c r="VBN42" s="83"/>
      <c r="VBO42" s="83"/>
      <c r="VBP42" s="83"/>
      <c r="VBQ42" s="83"/>
      <c r="VBR42" s="83"/>
      <c r="VBS42" s="83"/>
      <c r="VBT42" s="83"/>
      <c r="VBU42" s="83"/>
      <c r="VBV42" s="83"/>
      <c r="VBW42" s="83"/>
      <c r="VBX42" s="83"/>
      <c r="VBY42" s="83"/>
      <c r="VBZ42" s="83"/>
      <c r="VCA42" s="83"/>
      <c r="VCB42" s="83"/>
      <c r="VCC42" s="83"/>
      <c r="VCD42" s="83"/>
      <c r="VCE42" s="83"/>
      <c r="VCF42" s="83"/>
      <c r="VCG42" s="83"/>
      <c r="VCH42" s="83"/>
      <c r="VCI42" s="83"/>
      <c r="VCJ42" s="83"/>
      <c r="VCK42" s="83"/>
      <c r="VCL42" s="83"/>
      <c r="VCM42" s="83"/>
      <c r="VCN42" s="83"/>
      <c r="VCO42" s="83"/>
      <c r="VCP42" s="83"/>
      <c r="VCQ42" s="83"/>
      <c r="VCR42" s="83"/>
      <c r="VCS42" s="83"/>
      <c r="VCT42" s="83"/>
      <c r="VCU42" s="83"/>
      <c r="VCV42" s="83"/>
      <c r="VCW42" s="83"/>
    </row>
    <row r="43" spans="5:14973" ht="15" customHeight="1" x14ac:dyDescent="0.3">
      <c r="F43" s="135"/>
      <c r="G43" s="194" t="s">
        <v>91</v>
      </c>
      <c r="H43" s="199">
        <f>SUM(H44:H45)</f>
        <v>0</v>
      </c>
      <c r="I43" s="195" t="s">
        <v>16</v>
      </c>
      <c r="J43" s="190">
        <f>SUM(J44:J45)</f>
        <v>0</v>
      </c>
      <c r="K43" s="190">
        <f t="shared" ref="K43:AM43" si="10">SUM(K44:K45)</f>
        <v>0</v>
      </c>
      <c r="L43" s="190">
        <f t="shared" si="10"/>
        <v>0</v>
      </c>
      <c r="M43" s="190">
        <f t="shared" si="10"/>
        <v>0</v>
      </c>
      <c r="N43" s="190">
        <f t="shared" si="10"/>
        <v>0</v>
      </c>
      <c r="O43" s="259">
        <f t="shared" si="10"/>
        <v>0</v>
      </c>
      <c r="P43" s="190">
        <f t="shared" si="10"/>
        <v>0</v>
      </c>
      <c r="Q43" s="190">
        <f t="shared" si="10"/>
        <v>0</v>
      </c>
      <c r="R43" s="190">
        <f t="shared" si="10"/>
        <v>0</v>
      </c>
      <c r="S43" s="190">
        <f t="shared" si="10"/>
        <v>0</v>
      </c>
      <c r="T43" s="190">
        <f t="shared" si="10"/>
        <v>0</v>
      </c>
      <c r="U43" s="190">
        <f t="shared" si="10"/>
        <v>0</v>
      </c>
      <c r="V43" s="190">
        <f t="shared" si="10"/>
        <v>0</v>
      </c>
      <c r="W43" s="190">
        <f t="shared" si="10"/>
        <v>0</v>
      </c>
      <c r="X43" s="190">
        <f t="shared" si="10"/>
        <v>0</v>
      </c>
      <c r="Y43" s="190">
        <f t="shared" si="10"/>
        <v>0</v>
      </c>
      <c r="Z43" s="190">
        <f t="shared" si="10"/>
        <v>0</v>
      </c>
      <c r="AA43" s="190">
        <f t="shared" si="10"/>
        <v>0</v>
      </c>
      <c r="AB43" s="190">
        <f t="shared" si="10"/>
        <v>0</v>
      </c>
      <c r="AC43" s="190">
        <f t="shared" si="10"/>
        <v>0</v>
      </c>
      <c r="AD43" s="190">
        <f t="shared" si="10"/>
        <v>0</v>
      </c>
      <c r="AE43" s="190">
        <f t="shared" si="10"/>
        <v>0</v>
      </c>
      <c r="AF43" s="190">
        <f t="shared" si="10"/>
        <v>0</v>
      </c>
      <c r="AG43" s="190">
        <f t="shared" si="10"/>
        <v>0</v>
      </c>
      <c r="AH43" s="190">
        <f t="shared" si="10"/>
        <v>54000</v>
      </c>
      <c r="AI43" s="190">
        <f t="shared" si="10"/>
        <v>0</v>
      </c>
      <c r="AJ43" s="190">
        <f t="shared" si="10"/>
        <v>0</v>
      </c>
      <c r="AK43" s="190">
        <f t="shared" si="10"/>
        <v>0</v>
      </c>
      <c r="AL43" s="190">
        <f t="shared" si="10"/>
        <v>54000</v>
      </c>
      <c r="AM43" s="190">
        <f t="shared" si="10"/>
        <v>0</v>
      </c>
      <c r="AN43" s="190">
        <v>0</v>
      </c>
      <c r="AO43" s="10"/>
      <c r="AP43" s="50">
        <f>SUM(J43:AN43)</f>
        <v>108000</v>
      </c>
      <c r="AQ43" s="40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CB43" s="40"/>
      <c r="CC43" s="40"/>
      <c r="DF43" s="40"/>
      <c r="EM43" s="87"/>
      <c r="EN43" s="30"/>
      <c r="EO43" s="5"/>
      <c r="EP43" s="5"/>
      <c r="EQ43" s="5"/>
      <c r="ER43" s="40"/>
      <c r="GU43" s="40"/>
      <c r="KP43" s="40"/>
      <c r="KQ43" s="40"/>
      <c r="KR43" s="40"/>
      <c r="KS43" s="40"/>
      <c r="PW43" s="40"/>
      <c r="PX43" s="40"/>
      <c r="PY43" s="39"/>
      <c r="PZ43" s="40"/>
      <c r="QN43" s="39">
        <f>SUM(QN40:QN41)</f>
        <v>40.247160000000001</v>
      </c>
      <c r="QR43" s="40"/>
      <c r="SU43" s="39"/>
      <c r="AID43" s="5"/>
      <c r="AJS43" s="5"/>
      <c r="AJT43" s="5"/>
      <c r="AJU43" s="5"/>
    </row>
    <row r="44" spans="5:14973" ht="15" customHeight="1" x14ac:dyDescent="0.3">
      <c r="F44" s="135"/>
      <c r="G44" s="194" t="s">
        <v>95</v>
      </c>
      <c r="H44" s="199"/>
      <c r="I44" s="195" t="s">
        <v>16</v>
      </c>
      <c r="J44" s="190">
        <v>0</v>
      </c>
      <c r="K44" s="190">
        <v>0</v>
      </c>
      <c r="L44" s="190">
        <v>0</v>
      </c>
      <c r="M44" s="190">
        <v>0</v>
      </c>
      <c r="N44" s="190">
        <v>0</v>
      </c>
      <c r="O44" s="259">
        <v>0</v>
      </c>
      <c r="P44" s="190">
        <v>0</v>
      </c>
      <c r="Q44" s="190">
        <v>0</v>
      </c>
      <c r="R44" s="190">
        <v>0</v>
      </c>
      <c r="S44" s="190">
        <v>0</v>
      </c>
      <c r="T44" s="190">
        <v>0</v>
      </c>
      <c r="U44" s="190">
        <v>0</v>
      </c>
      <c r="V44" s="190">
        <v>0</v>
      </c>
      <c r="W44" s="190">
        <v>0</v>
      </c>
      <c r="X44" s="190">
        <v>0</v>
      </c>
      <c r="Y44" s="190">
        <v>0</v>
      </c>
      <c r="Z44" s="190">
        <v>0</v>
      </c>
      <c r="AA44" s="190">
        <v>0</v>
      </c>
      <c r="AB44" s="190">
        <v>0</v>
      </c>
      <c r="AC44" s="190">
        <v>0</v>
      </c>
      <c r="AD44" s="190">
        <v>0</v>
      </c>
      <c r="AE44" s="190">
        <v>0</v>
      </c>
      <c r="AF44" s="190">
        <v>0</v>
      </c>
      <c r="AG44" s="190">
        <v>0</v>
      </c>
      <c r="AH44" s="190">
        <v>40200</v>
      </c>
      <c r="AI44" s="190">
        <v>0</v>
      </c>
      <c r="AJ44" s="190">
        <v>0</v>
      </c>
      <c r="AK44" s="190">
        <v>0</v>
      </c>
      <c r="AL44" s="190">
        <v>39600</v>
      </c>
      <c r="AM44" s="190"/>
      <c r="AN44" s="190">
        <v>0</v>
      </c>
      <c r="AO44" s="10"/>
      <c r="AP44" s="86">
        <f>SUM(J44:AN44)</f>
        <v>79800</v>
      </c>
      <c r="AQ44" s="40"/>
      <c r="AR44" s="39"/>
      <c r="AT44" s="35"/>
      <c r="CB44" s="40"/>
      <c r="CC44" s="40"/>
      <c r="DF44" s="40"/>
      <c r="EN44" s="30"/>
      <c r="EO44" s="39"/>
      <c r="EP44" s="39"/>
      <c r="EQ44" s="39"/>
      <c r="ER44" s="40"/>
      <c r="GU44" s="40"/>
      <c r="KP44" s="40"/>
      <c r="KQ44" s="40"/>
      <c r="KR44" s="40"/>
      <c r="KS44" s="40"/>
      <c r="PW44" s="40"/>
      <c r="PX44" s="40"/>
      <c r="PY44" s="39"/>
      <c r="PZ44" s="40"/>
      <c r="QN44" s="39"/>
      <c r="QR44" s="40"/>
      <c r="SU44" s="39"/>
      <c r="AID44" s="5"/>
      <c r="AJS44" s="5"/>
      <c r="AJT44" s="5"/>
      <c r="AJU44" s="5"/>
    </row>
    <row r="45" spans="5:14973" ht="15" customHeight="1" x14ac:dyDescent="0.3">
      <c r="F45" s="135"/>
      <c r="G45" s="187" t="s">
        <v>94</v>
      </c>
      <c r="H45" s="199"/>
      <c r="I45" s="195" t="s">
        <v>16</v>
      </c>
      <c r="J45" s="190">
        <v>0</v>
      </c>
      <c r="K45" s="190">
        <v>0</v>
      </c>
      <c r="L45" s="190">
        <v>0</v>
      </c>
      <c r="M45" s="190">
        <v>0</v>
      </c>
      <c r="N45" s="190">
        <v>0</v>
      </c>
      <c r="O45" s="259">
        <v>0</v>
      </c>
      <c r="P45" s="190">
        <v>0</v>
      </c>
      <c r="Q45" s="190">
        <v>0</v>
      </c>
      <c r="R45" s="190">
        <v>0</v>
      </c>
      <c r="S45" s="190">
        <v>0</v>
      </c>
      <c r="T45" s="190">
        <v>0</v>
      </c>
      <c r="U45" s="190">
        <v>0</v>
      </c>
      <c r="V45" s="190">
        <v>0</v>
      </c>
      <c r="W45" s="190">
        <v>0</v>
      </c>
      <c r="X45" s="190">
        <v>0</v>
      </c>
      <c r="Y45" s="190">
        <v>0</v>
      </c>
      <c r="Z45" s="190">
        <v>0</v>
      </c>
      <c r="AA45" s="190">
        <v>0</v>
      </c>
      <c r="AB45" s="190">
        <v>0</v>
      </c>
      <c r="AC45" s="190">
        <v>0</v>
      </c>
      <c r="AD45" s="190">
        <v>0</v>
      </c>
      <c r="AE45" s="190">
        <v>0</v>
      </c>
      <c r="AF45" s="190">
        <v>0</v>
      </c>
      <c r="AG45" s="190">
        <v>0</v>
      </c>
      <c r="AH45" s="190">
        <v>13800</v>
      </c>
      <c r="AI45" s="190">
        <v>0</v>
      </c>
      <c r="AJ45" s="190">
        <v>0</v>
      </c>
      <c r="AK45" s="190">
        <v>0</v>
      </c>
      <c r="AL45" s="190">
        <v>14400</v>
      </c>
      <c r="AM45" s="190"/>
      <c r="AN45" s="190">
        <v>0</v>
      </c>
      <c r="AO45" s="10"/>
      <c r="AP45" s="50">
        <f>SUM(J45:AN45)</f>
        <v>28200</v>
      </c>
      <c r="AQ45" s="39"/>
      <c r="AR45" s="39"/>
      <c r="AT45" s="35"/>
      <c r="CB45" s="40"/>
      <c r="CC45" s="40"/>
      <c r="DF45" s="40"/>
      <c r="EN45" s="30"/>
      <c r="EO45" s="40"/>
      <c r="EP45" s="40"/>
      <c r="EQ45" s="40"/>
      <c r="ER45" s="40"/>
      <c r="GU45" s="40"/>
      <c r="KP45" s="40"/>
      <c r="KQ45" s="40"/>
      <c r="KR45" s="40"/>
      <c r="KS45" s="40"/>
      <c r="PW45" s="40"/>
      <c r="PX45" s="40"/>
      <c r="PZ45" s="40"/>
      <c r="QN45" s="39"/>
      <c r="QR45" s="40"/>
      <c r="SU45" s="39"/>
      <c r="AID45" s="5"/>
      <c r="AJS45" s="5"/>
      <c r="AJT45" s="5"/>
      <c r="AJU45" s="5"/>
    </row>
    <row r="46" spans="5:14973" ht="15" customHeight="1" x14ac:dyDescent="0.3">
      <c r="F46" s="135"/>
      <c r="G46" s="196" t="s">
        <v>93</v>
      </c>
      <c r="H46" s="201"/>
      <c r="I46" s="198"/>
      <c r="J46" s="184"/>
      <c r="K46" s="184"/>
      <c r="L46" s="184"/>
      <c r="M46" s="202"/>
      <c r="N46" s="184"/>
      <c r="O46" s="181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203"/>
      <c r="AI46" s="203"/>
      <c r="AJ46" s="203"/>
      <c r="AK46" s="203"/>
      <c r="AL46" s="203"/>
      <c r="AM46" s="203"/>
      <c r="AN46" s="203"/>
      <c r="AO46" s="10"/>
      <c r="AP46" s="85" t="s">
        <v>79</v>
      </c>
      <c r="AR46" s="27"/>
      <c r="AT46" s="35"/>
    </row>
    <row r="47" spans="5:14973" ht="15" customHeight="1" x14ac:dyDescent="0.3">
      <c r="E47" s="83"/>
      <c r="F47" s="167"/>
      <c r="G47" s="205" t="s">
        <v>92</v>
      </c>
      <c r="H47" s="206"/>
      <c r="I47" s="207" t="s">
        <v>16</v>
      </c>
      <c r="J47" s="190"/>
      <c r="K47" s="190"/>
      <c r="L47" s="190"/>
      <c r="M47" s="190"/>
      <c r="N47" s="190"/>
      <c r="O47" s="259"/>
      <c r="P47" s="190"/>
      <c r="Q47" s="190"/>
      <c r="R47" s="190"/>
      <c r="S47" s="190">
        <v>213588</v>
      </c>
      <c r="T47" s="190"/>
      <c r="U47" s="190"/>
      <c r="V47" s="190"/>
      <c r="W47" s="190"/>
      <c r="X47" s="190"/>
      <c r="Y47" s="190"/>
      <c r="Z47" s="190">
        <v>221458</v>
      </c>
      <c r="AA47" s="190">
        <v>0</v>
      </c>
      <c r="AB47" s="190"/>
      <c r="AC47" s="190">
        <v>160038</v>
      </c>
      <c r="AD47" s="190"/>
      <c r="AE47" s="190"/>
      <c r="AF47" s="190"/>
      <c r="AG47" s="190"/>
      <c r="AH47" s="208"/>
      <c r="AI47" s="208"/>
      <c r="AJ47" s="208"/>
      <c r="AK47" s="208"/>
      <c r="AL47" s="208"/>
      <c r="AM47" s="208"/>
      <c r="AN47" s="208"/>
      <c r="AO47" s="51"/>
      <c r="AP47" s="26">
        <f>SUM(J47:AN47)</f>
        <v>595084</v>
      </c>
      <c r="AQ47" s="83"/>
      <c r="AR47" s="17"/>
      <c r="AS47" s="84"/>
      <c r="AT47" s="53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14"/>
      <c r="CC47" s="14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D47" s="83"/>
      <c r="DE47" s="83"/>
      <c r="DF47" s="14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16"/>
      <c r="EO47" s="14"/>
      <c r="EP47" s="14"/>
      <c r="EQ47" s="14"/>
      <c r="ER47" s="14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  <c r="FU47" s="83"/>
      <c r="FV47" s="83"/>
      <c r="FW47" s="83"/>
      <c r="FX47" s="83"/>
      <c r="FY47" s="83"/>
      <c r="FZ47" s="83"/>
      <c r="GA47" s="83"/>
      <c r="GB47" s="83"/>
      <c r="GC47" s="83"/>
      <c r="GD47" s="83"/>
      <c r="GE47" s="83"/>
      <c r="GF47" s="83"/>
      <c r="GG47" s="83"/>
      <c r="GH47" s="83"/>
      <c r="GI47" s="83"/>
      <c r="GJ47" s="83"/>
      <c r="GK47" s="83"/>
      <c r="GL47" s="83"/>
      <c r="GM47" s="83"/>
      <c r="GN47" s="83"/>
      <c r="GO47" s="83"/>
      <c r="GP47" s="83"/>
      <c r="GQ47" s="83"/>
      <c r="GR47" s="83"/>
      <c r="GS47" s="83"/>
      <c r="GT47" s="83"/>
      <c r="GU47" s="14"/>
      <c r="GV47" s="83"/>
      <c r="GW47" s="83"/>
      <c r="GX47" s="83"/>
      <c r="GY47" s="83"/>
      <c r="GZ47" s="83"/>
      <c r="HA47" s="83"/>
      <c r="HB47" s="83"/>
      <c r="HC47" s="83"/>
      <c r="HD47" s="83"/>
      <c r="HE47" s="83"/>
      <c r="HF47" s="83"/>
      <c r="HG47" s="83"/>
      <c r="HH47" s="83"/>
      <c r="HI47" s="83"/>
      <c r="HJ47" s="83"/>
      <c r="HK47" s="83"/>
      <c r="HL47" s="83"/>
      <c r="HM47" s="83"/>
      <c r="HN47" s="83"/>
      <c r="HO47" s="83"/>
      <c r="HP47" s="83"/>
      <c r="HQ47" s="83"/>
      <c r="HR47" s="83"/>
      <c r="HS47" s="83"/>
      <c r="HT47" s="83"/>
      <c r="HU47" s="83"/>
      <c r="HV47" s="83"/>
      <c r="HW47" s="83"/>
      <c r="HX47" s="83"/>
      <c r="HY47" s="83"/>
      <c r="HZ47" s="83"/>
      <c r="IA47" s="83"/>
      <c r="IB47" s="83"/>
      <c r="IC47" s="83"/>
      <c r="ID47" s="83"/>
      <c r="IE47" s="83"/>
      <c r="IF47" s="83"/>
      <c r="IG47" s="83"/>
      <c r="IH47" s="83"/>
      <c r="II47" s="83"/>
      <c r="IJ47" s="83"/>
      <c r="IK47" s="83"/>
      <c r="IL47" s="83"/>
      <c r="IM47" s="83"/>
      <c r="IN47" s="83"/>
      <c r="IO47" s="83"/>
      <c r="IP47" s="83"/>
      <c r="IQ47" s="83"/>
      <c r="IR47" s="83"/>
      <c r="IS47" s="83"/>
      <c r="IT47" s="83"/>
      <c r="IU47" s="83"/>
      <c r="IV47" s="83"/>
      <c r="IW47" s="83"/>
      <c r="IX47" s="83"/>
      <c r="IY47" s="83"/>
      <c r="IZ47" s="83"/>
      <c r="JA47" s="83"/>
      <c r="JB47" s="83"/>
      <c r="JC47" s="83"/>
      <c r="JD47" s="83"/>
      <c r="JE47" s="83"/>
      <c r="JF47" s="83"/>
      <c r="JG47" s="83"/>
      <c r="JH47" s="83"/>
      <c r="JI47" s="83"/>
      <c r="JJ47" s="83"/>
      <c r="JK47" s="83"/>
      <c r="JL47" s="83"/>
      <c r="JM47" s="83"/>
      <c r="JN47" s="83"/>
      <c r="JO47" s="83"/>
      <c r="JP47" s="83"/>
      <c r="JQ47" s="83"/>
      <c r="JR47" s="83"/>
      <c r="JS47" s="83"/>
      <c r="JT47" s="83"/>
      <c r="JU47" s="83"/>
      <c r="JV47" s="83"/>
      <c r="JW47" s="83"/>
      <c r="JX47" s="83"/>
      <c r="JY47" s="83"/>
      <c r="JZ47" s="83"/>
      <c r="KA47" s="83"/>
      <c r="KB47" s="83"/>
      <c r="KC47" s="83"/>
      <c r="KD47" s="83"/>
      <c r="KE47" s="83"/>
      <c r="KF47" s="83"/>
      <c r="KG47" s="83"/>
      <c r="KH47" s="83"/>
      <c r="KI47" s="83"/>
      <c r="KJ47" s="83"/>
      <c r="KK47" s="83"/>
      <c r="KL47" s="83"/>
      <c r="KM47" s="83"/>
      <c r="KN47" s="83"/>
      <c r="KO47" s="83"/>
      <c r="KP47" s="14"/>
      <c r="KQ47" s="14"/>
      <c r="KR47" s="14"/>
      <c r="KS47" s="14"/>
      <c r="KT47" s="83"/>
      <c r="KU47" s="83"/>
      <c r="KV47" s="83"/>
      <c r="KW47" s="83"/>
      <c r="KX47" s="83"/>
      <c r="KY47" s="83"/>
      <c r="KZ47" s="83"/>
      <c r="LA47" s="83"/>
      <c r="LB47" s="83"/>
      <c r="LC47" s="83"/>
      <c r="LD47" s="83"/>
      <c r="LE47" s="83"/>
      <c r="LF47" s="83"/>
      <c r="LG47" s="83"/>
      <c r="LH47" s="83"/>
      <c r="LI47" s="83"/>
      <c r="LJ47" s="83"/>
      <c r="LK47" s="83"/>
      <c r="LL47" s="83"/>
      <c r="LM47" s="83"/>
      <c r="LN47" s="83"/>
      <c r="LO47" s="83"/>
      <c r="LP47" s="83"/>
      <c r="LQ47" s="83"/>
      <c r="LR47" s="83"/>
      <c r="LS47" s="83"/>
      <c r="LT47" s="83"/>
      <c r="LU47" s="83"/>
      <c r="LV47" s="83"/>
      <c r="LW47" s="83"/>
      <c r="LX47" s="83"/>
      <c r="LY47" s="83"/>
      <c r="LZ47" s="83"/>
      <c r="MA47" s="83"/>
      <c r="MB47" s="83"/>
      <c r="MC47" s="83"/>
      <c r="MD47" s="83"/>
      <c r="ME47" s="83"/>
      <c r="MF47" s="83"/>
      <c r="MG47" s="83"/>
      <c r="MH47" s="83"/>
      <c r="MI47" s="83"/>
      <c r="MJ47" s="83"/>
      <c r="MK47" s="83"/>
      <c r="ML47" s="83"/>
      <c r="MM47" s="83"/>
      <c r="MN47" s="83"/>
      <c r="MO47" s="83"/>
      <c r="MP47" s="83"/>
      <c r="MQ47" s="83"/>
      <c r="MR47" s="83"/>
      <c r="MS47" s="83"/>
      <c r="MT47" s="83"/>
      <c r="MU47" s="83"/>
      <c r="MV47" s="83"/>
      <c r="MW47" s="83"/>
      <c r="MX47" s="83"/>
      <c r="MY47" s="83"/>
      <c r="MZ47" s="83"/>
      <c r="NA47" s="83"/>
      <c r="NB47" s="83"/>
      <c r="NC47" s="83"/>
      <c r="ND47" s="83"/>
      <c r="NE47" s="83"/>
      <c r="NF47" s="83"/>
      <c r="NG47" s="83"/>
      <c r="NH47" s="83"/>
      <c r="NI47" s="83"/>
      <c r="NJ47" s="83"/>
      <c r="NK47" s="83"/>
      <c r="NL47" s="83"/>
      <c r="NM47" s="83"/>
      <c r="NN47" s="83"/>
      <c r="NO47" s="83"/>
      <c r="NP47" s="83"/>
      <c r="NQ47" s="83"/>
      <c r="NR47" s="83"/>
      <c r="NS47" s="83"/>
      <c r="NT47" s="83"/>
      <c r="NU47" s="83"/>
      <c r="NV47" s="83"/>
      <c r="NW47" s="83"/>
      <c r="NX47" s="83"/>
      <c r="NY47" s="83"/>
      <c r="NZ47" s="83"/>
      <c r="OA47" s="83"/>
      <c r="OB47" s="83"/>
      <c r="OC47" s="83"/>
      <c r="OD47" s="83"/>
      <c r="OE47" s="83"/>
      <c r="OF47" s="83"/>
      <c r="OG47" s="83"/>
      <c r="OH47" s="83"/>
      <c r="OI47" s="83"/>
      <c r="OJ47" s="83"/>
      <c r="OK47" s="83"/>
      <c r="OL47" s="83"/>
      <c r="OM47" s="83"/>
      <c r="ON47" s="83"/>
      <c r="OO47" s="83"/>
      <c r="OP47" s="83"/>
      <c r="OQ47" s="83"/>
      <c r="OR47" s="83"/>
      <c r="OS47" s="83"/>
      <c r="OT47" s="83"/>
      <c r="OU47" s="83"/>
      <c r="OV47" s="83"/>
      <c r="OW47" s="83"/>
      <c r="OX47" s="83"/>
      <c r="OY47" s="83"/>
      <c r="OZ47" s="83"/>
      <c r="PA47" s="83"/>
      <c r="PB47" s="83"/>
      <c r="PC47" s="83"/>
      <c r="PD47" s="83"/>
      <c r="PE47" s="83"/>
      <c r="PF47" s="83"/>
      <c r="PG47" s="83"/>
      <c r="PH47" s="83"/>
      <c r="PI47" s="83"/>
      <c r="PJ47" s="83"/>
      <c r="PK47" s="83"/>
      <c r="PL47" s="83"/>
      <c r="PM47" s="83"/>
      <c r="PN47" s="83"/>
      <c r="PO47" s="83"/>
      <c r="PP47" s="83"/>
      <c r="PQ47" s="83"/>
      <c r="PR47" s="83"/>
      <c r="PS47" s="83"/>
      <c r="PT47" s="83"/>
      <c r="PU47" s="83"/>
      <c r="PV47" s="83"/>
      <c r="PW47" s="14"/>
      <c r="PX47" s="14"/>
      <c r="PY47" s="83"/>
      <c r="PZ47" s="14"/>
      <c r="QA47" s="83"/>
      <c r="QB47" s="83"/>
      <c r="QC47" s="83"/>
      <c r="QD47" s="83"/>
      <c r="QE47" s="83"/>
      <c r="QF47" s="83"/>
      <c r="QG47" s="83"/>
      <c r="QH47" s="83"/>
      <c r="QI47" s="83"/>
      <c r="QJ47" s="83"/>
      <c r="QK47" s="83"/>
      <c r="QL47" s="83"/>
      <c r="QM47" s="83"/>
      <c r="QN47" s="15"/>
      <c r="QO47" s="83"/>
      <c r="QP47" s="83"/>
      <c r="QQ47" s="83"/>
      <c r="QR47" s="14"/>
      <c r="QS47" s="83"/>
      <c r="QT47" s="83"/>
      <c r="QU47" s="83"/>
      <c r="QV47" s="83"/>
      <c r="QW47" s="83"/>
      <c r="QX47" s="83"/>
      <c r="QY47" s="83"/>
      <c r="QZ47" s="83"/>
      <c r="RA47" s="83"/>
      <c r="RB47" s="83"/>
      <c r="RC47" s="83"/>
      <c r="RD47" s="83"/>
      <c r="RE47" s="83"/>
      <c r="RF47" s="83"/>
      <c r="RG47" s="83"/>
      <c r="RH47" s="83"/>
      <c r="RI47" s="83"/>
      <c r="RJ47" s="83"/>
      <c r="RK47" s="83"/>
      <c r="RL47" s="83"/>
      <c r="RM47" s="83"/>
      <c r="RN47" s="83"/>
      <c r="RO47" s="83"/>
      <c r="RP47" s="83"/>
      <c r="RQ47" s="83"/>
      <c r="RR47" s="83"/>
      <c r="RS47" s="83"/>
      <c r="RT47" s="83"/>
      <c r="RU47" s="83"/>
      <c r="RV47" s="83"/>
      <c r="RW47" s="83"/>
      <c r="RX47" s="83"/>
      <c r="RY47" s="83"/>
      <c r="RZ47" s="83"/>
      <c r="SA47" s="83"/>
      <c r="SB47" s="83"/>
      <c r="SC47" s="83"/>
      <c r="SD47" s="83"/>
      <c r="SE47" s="83"/>
      <c r="SF47" s="83"/>
      <c r="SG47" s="83"/>
      <c r="SH47" s="83"/>
      <c r="SI47" s="83"/>
      <c r="SJ47" s="83"/>
      <c r="SK47" s="83"/>
      <c r="SL47" s="83"/>
      <c r="SM47" s="83"/>
      <c r="SN47" s="83"/>
      <c r="SO47" s="83"/>
      <c r="SP47" s="83"/>
      <c r="SQ47" s="83"/>
      <c r="SR47" s="83"/>
      <c r="SS47" s="83"/>
      <c r="ST47" s="83"/>
      <c r="SU47" s="15"/>
      <c r="SV47" s="83"/>
      <c r="SW47" s="83"/>
      <c r="SX47" s="83"/>
      <c r="SY47" s="83"/>
      <c r="SZ47" s="83"/>
      <c r="TA47" s="83"/>
      <c r="TB47" s="83"/>
      <c r="TC47" s="83"/>
      <c r="TD47" s="83"/>
      <c r="TE47" s="83"/>
      <c r="TF47" s="83"/>
      <c r="TG47" s="83"/>
      <c r="TH47" s="83"/>
      <c r="TI47" s="83"/>
      <c r="TJ47" s="83"/>
      <c r="TK47" s="83"/>
      <c r="TL47" s="83"/>
      <c r="TM47" s="83"/>
      <c r="TN47" s="83"/>
      <c r="TO47" s="83"/>
      <c r="TP47" s="83"/>
      <c r="TQ47" s="83"/>
      <c r="TR47" s="83"/>
      <c r="TS47" s="83"/>
      <c r="TT47" s="83"/>
      <c r="TU47" s="83"/>
      <c r="TV47" s="83"/>
      <c r="TW47" s="83"/>
      <c r="TX47" s="83"/>
      <c r="TY47" s="83"/>
      <c r="TZ47" s="83"/>
      <c r="UA47" s="83"/>
      <c r="UB47" s="83"/>
      <c r="UC47" s="83"/>
      <c r="UD47" s="83"/>
      <c r="UE47" s="83"/>
      <c r="UF47" s="83"/>
      <c r="UG47" s="83"/>
      <c r="UH47" s="83"/>
      <c r="UI47" s="83"/>
      <c r="UJ47" s="83"/>
      <c r="UK47" s="83"/>
      <c r="UL47" s="83"/>
      <c r="UM47" s="83"/>
      <c r="UN47" s="83"/>
      <c r="UO47" s="83"/>
      <c r="UP47" s="83"/>
      <c r="UQ47" s="83"/>
      <c r="UR47" s="83"/>
      <c r="US47" s="83"/>
      <c r="UT47" s="83"/>
      <c r="UU47" s="83"/>
      <c r="UV47" s="83"/>
      <c r="UW47" s="83"/>
      <c r="UX47" s="83"/>
      <c r="UY47" s="83"/>
      <c r="UZ47" s="83"/>
      <c r="VA47" s="83"/>
      <c r="VB47" s="83"/>
      <c r="VC47" s="83"/>
      <c r="VD47" s="83"/>
      <c r="VE47" s="83"/>
      <c r="VF47" s="83"/>
      <c r="VG47" s="83"/>
      <c r="VH47" s="83"/>
      <c r="VI47" s="83"/>
      <c r="VJ47" s="83"/>
      <c r="VK47" s="83"/>
      <c r="VL47" s="83"/>
      <c r="VM47" s="83"/>
      <c r="VN47" s="83"/>
      <c r="VO47" s="83"/>
      <c r="VP47" s="83"/>
      <c r="VQ47" s="83"/>
      <c r="VR47" s="83"/>
      <c r="VS47" s="83"/>
      <c r="VT47" s="83"/>
      <c r="VU47" s="83"/>
      <c r="VV47" s="83"/>
      <c r="VW47" s="83"/>
      <c r="VX47" s="83"/>
      <c r="VY47" s="83"/>
      <c r="VZ47" s="83"/>
      <c r="WA47" s="83"/>
      <c r="WB47" s="83"/>
      <c r="WC47" s="83"/>
      <c r="WD47" s="83"/>
      <c r="WE47" s="83"/>
      <c r="WF47" s="83"/>
      <c r="WG47" s="83"/>
      <c r="WH47" s="83"/>
      <c r="WI47" s="83"/>
      <c r="WJ47" s="83"/>
      <c r="WK47" s="83"/>
      <c r="WL47" s="83"/>
      <c r="WM47" s="83"/>
      <c r="WN47" s="83"/>
      <c r="WO47" s="83"/>
      <c r="WP47" s="83"/>
      <c r="WQ47" s="83"/>
      <c r="WR47" s="83"/>
      <c r="WS47" s="83"/>
      <c r="WT47" s="83"/>
      <c r="WU47" s="83"/>
      <c r="WV47" s="83"/>
      <c r="WW47" s="83"/>
      <c r="WX47" s="83"/>
      <c r="WY47" s="83"/>
      <c r="WZ47" s="83"/>
      <c r="XA47" s="83"/>
      <c r="XB47" s="83"/>
      <c r="XC47" s="83"/>
      <c r="XD47" s="83"/>
      <c r="XE47" s="83"/>
      <c r="XF47" s="83"/>
      <c r="XG47" s="83"/>
      <c r="XH47" s="83"/>
      <c r="XI47" s="83"/>
      <c r="XJ47" s="83"/>
      <c r="XK47" s="83"/>
      <c r="XL47" s="83"/>
      <c r="XM47" s="83"/>
      <c r="XN47" s="83"/>
      <c r="XO47" s="83"/>
      <c r="XP47" s="83"/>
      <c r="XQ47" s="83"/>
      <c r="XR47" s="83"/>
      <c r="XS47" s="83"/>
      <c r="XT47" s="83"/>
      <c r="XU47" s="83"/>
      <c r="XV47" s="83"/>
      <c r="XW47" s="83"/>
      <c r="XX47" s="83"/>
      <c r="XY47" s="83"/>
      <c r="XZ47" s="83"/>
      <c r="YA47" s="83"/>
      <c r="YB47" s="83"/>
      <c r="YC47" s="83"/>
      <c r="YD47" s="83"/>
      <c r="YE47" s="83"/>
      <c r="YF47" s="83"/>
      <c r="YG47" s="83"/>
      <c r="YH47" s="83"/>
      <c r="YI47" s="83"/>
      <c r="YJ47" s="83"/>
      <c r="YK47" s="83"/>
      <c r="YL47" s="83"/>
      <c r="YM47" s="83"/>
      <c r="YN47" s="83"/>
      <c r="YO47" s="83"/>
      <c r="YP47" s="83"/>
      <c r="YQ47" s="83"/>
      <c r="YR47" s="83"/>
      <c r="YS47" s="83"/>
      <c r="YT47" s="83"/>
      <c r="YU47" s="83"/>
      <c r="YV47" s="83"/>
      <c r="YW47" s="83"/>
      <c r="YX47" s="83"/>
      <c r="YY47" s="83"/>
      <c r="YZ47" s="83"/>
      <c r="ZA47" s="83"/>
      <c r="ZB47" s="83"/>
      <c r="ZC47" s="83"/>
      <c r="ZD47" s="83"/>
      <c r="ZE47" s="83"/>
      <c r="ZF47" s="83"/>
      <c r="ZG47" s="83"/>
      <c r="ZH47" s="83"/>
      <c r="ZI47" s="83"/>
      <c r="ZJ47" s="83"/>
      <c r="ZK47" s="83"/>
      <c r="ZL47" s="83"/>
      <c r="ZM47" s="83"/>
      <c r="ZN47" s="83"/>
      <c r="ZO47" s="83"/>
      <c r="ZP47" s="83"/>
      <c r="ZQ47" s="83"/>
      <c r="ZR47" s="83"/>
      <c r="ZS47" s="83"/>
      <c r="ZT47" s="83"/>
      <c r="ZU47" s="83"/>
      <c r="ZV47" s="83"/>
      <c r="ZW47" s="83"/>
      <c r="ZX47" s="83"/>
      <c r="ZY47" s="83"/>
      <c r="ZZ47" s="83"/>
      <c r="AAA47" s="83"/>
      <c r="AAB47" s="83"/>
      <c r="AAC47" s="83"/>
      <c r="AAD47" s="83"/>
      <c r="AAE47" s="83"/>
      <c r="AAF47" s="83"/>
      <c r="AAG47" s="83"/>
      <c r="AAH47" s="83"/>
      <c r="AAI47" s="83"/>
      <c r="AAJ47" s="83"/>
      <c r="AAK47" s="83"/>
      <c r="AAL47" s="83"/>
      <c r="AAM47" s="83"/>
      <c r="AAN47" s="83"/>
      <c r="AAO47" s="83"/>
      <c r="AAP47" s="83"/>
      <c r="AAQ47" s="83"/>
      <c r="AAR47" s="83"/>
      <c r="AAS47" s="83"/>
      <c r="AAT47" s="83"/>
      <c r="AAU47" s="83"/>
      <c r="AAV47" s="83"/>
      <c r="AAW47" s="83"/>
      <c r="AAX47" s="83"/>
      <c r="AAY47" s="83"/>
      <c r="AAZ47" s="83"/>
      <c r="ABA47" s="83"/>
      <c r="ABB47" s="83"/>
      <c r="ABC47" s="83"/>
      <c r="ABD47" s="83"/>
      <c r="ABE47" s="83"/>
      <c r="ABF47" s="83"/>
      <c r="ABG47" s="83"/>
      <c r="ABH47" s="83"/>
      <c r="ABI47" s="83"/>
      <c r="ABJ47" s="83"/>
      <c r="ABK47" s="83"/>
      <c r="ABL47" s="83"/>
      <c r="ABM47" s="83"/>
      <c r="ABN47" s="83"/>
      <c r="ABO47" s="83"/>
      <c r="ABP47" s="83"/>
      <c r="ABQ47" s="83"/>
      <c r="ABR47" s="83"/>
      <c r="ABS47" s="83"/>
      <c r="ABT47" s="83"/>
      <c r="ABU47" s="83"/>
      <c r="ABV47" s="83"/>
      <c r="ABW47" s="83"/>
      <c r="ABX47" s="83"/>
      <c r="ABY47" s="83"/>
      <c r="ABZ47" s="83"/>
      <c r="ACA47" s="83"/>
      <c r="ACB47" s="83"/>
      <c r="ACC47" s="83"/>
      <c r="ACD47" s="83"/>
      <c r="ACE47" s="83"/>
      <c r="ACF47" s="83"/>
      <c r="ACG47" s="83"/>
      <c r="ACH47" s="83"/>
      <c r="ACI47" s="83"/>
      <c r="ACJ47" s="83"/>
      <c r="ACK47" s="83"/>
      <c r="ACL47" s="83"/>
      <c r="ACM47" s="83"/>
      <c r="ACN47" s="83"/>
      <c r="ACO47" s="83"/>
      <c r="ACP47" s="83"/>
      <c r="ACQ47" s="83"/>
      <c r="ACR47" s="83"/>
      <c r="ACS47" s="83"/>
      <c r="ACT47" s="83"/>
      <c r="ACU47" s="83"/>
      <c r="ACV47" s="83"/>
      <c r="ACW47" s="83"/>
      <c r="ACX47" s="83"/>
      <c r="ACY47" s="83"/>
      <c r="ACZ47" s="83"/>
      <c r="ADA47" s="83"/>
      <c r="ADB47" s="83"/>
      <c r="ADC47" s="83"/>
      <c r="ADD47" s="83"/>
      <c r="ADE47" s="83"/>
      <c r="ADF47" s="83"/>
      <c r="ADG47" s="83"/>
      <c r="ADH47" s="83"/>
      <c r="ADI47" s="83"/>
      <c r="ADJ47" s="83"/>
      <c r="ADK47" s="83"/>
      <c r="ADL47" s="83"/>
      <c r="ADM47" s="83"/>
      <c r="ADN47" s="83"/>
      <c r="ADO47" s="83"/>
      <c r="ADP47" s="83"/>
      <c r="ADQ47" s="83"/>
      <c r="ADR47" s="83"/>
      <c r="ADS47" s="83"/>
      <c r="ADT47" s="83"/>
      <c r="ADU47" s="83"/>
      <c r="ADV47" s="83"/>
      <c r="ADW47" s="83"/>
      <c r="ADX47" s="83"/>
      <c r="ADY47" s="83"/>
      <c r="ADZ47" s="83"/>
      <c r="AEA47" s="83"/>
      <c r="AEB47" s="83"/>
      <c r="AEC47" s="83"/>
      <c r="AED47" s="83"/>
      <c r="AEE47" s="83"/>
      <c r="AEF47" s="83"/>
      <c r="AEG47" s="83"/>
      <c r="AEH47" s="83"/>
      <c r="AEI47" s="83"/>
      <c r="AEJ47" s="83"/>
      <c r="AEK47" s="83"/>
      <c r="AEL47" s="83"/>
      <c r="AEM47" s="83"/>
      <c r="AEN47" s="83"/>
      <c r="AEO47" s="83"/>
      <c r="AEP47" s="83"/>
      <c r="AEQ47" s="83"/>
      <c r="AER47" s="83"/>
      <c r="AES47" s="83"/>
      <c r="AET47" s="83"/>
      <c r="AEU47" s="83"/>
      <c r="AEV47" s="83"/>
      <c r="AEW47" s="83"/>
      <c r="AEX47" s="83"/>
      <c r="AEY47" s="83"/>
      <c r="AEZ47" s="83"/>
      <c r="AFA47" s="83"/>
      <c r="AFB47" s="83"/>
      <c r="AFC47" s="83"/>
      <c r="AFD47" s="83"/>
      <c r="AFE47" s="83"/>
      <c r="AFF47" s="83"/>
      <c r="AFG47" s="83"/>
      <c r="AFH47" s="83"/>
      <c r="AFI47" s="83"/>
      <c r="AFJ47" s="83"/>
      <c r="AFK47" s="83"/>
      <c r="AFL47" s="83"/>
      <c r="AFM47" s="83"/>
      <c r="AFN47" s="83"/>
      <c r="AFO47" s="83"/>
      <c r="AFP47" s="83"/>
      <c r="AFQ47" s="83"/>
      <c r="AFR47" s="83"/>
      <c r="AFS47" s="83"/>
      <c r="AFT47" s="83"/>
      <c r="AFU47" s="83"/>
      <c r="AFV47" s="83"/>
      <c r="AFW47" s="83"/>
      <c r="AFX47" s="83"/>
      <c r="AFY47" s="83"/>
      <c r="AFZ47" s="83"/>
      <c r="AGA47" s="83"/>
      <c r="AGB47" s="83"/>
      <c r="AGC47" s="83"/>
      <c r="AGD47" s="83"/>
      <c r="AGE47" s="83"/>
      <c r="AGF47" s="83"/>
      <c r="AGG47" s="83"/>
      <c r="AGH47" s="83"/>
      <c r="AGI47" s="83"/>
      <c r="AGJ47" s="83"/>
      <c r="AGK47" s="83"/>
      <c r="AGL47" s="83"/>
      <c r="AGM47" s="83"/>
      <c r="AGN47" s="83"/>
      <c r="AGO47" s="83"/>
      <c r="AGP47" s="83"/>
      <c r="AGQ47" s="83"/>
      <c r="AGR47" s="83"/>
      <c r="AGS47" s="83"/>
      <c r="AGT47" s="83"/>
      <c r="AGU47" s="83"/>
      <c r="AGV47" s="83"/>
      <c r="AGW47" s="83"/>
      <c r="AGX47" s="83"/>
      <c r="AGY47" s="83"/>
      <c r="AGZ47" s="83"/>
      <c r="AHA47" s="83"/>
      <c r="AHB47" s="83"/>
      <c r="AHC47" s="83"/>
      <c r="AHD47" s="83"/>
      <c r="AHE47" s="83"/>
      <c r="AHF47" s="83"/>
      <c r="AHG47" s="83"/>
      <c r="AHH47" s="83"/>
      <c r="AHI47" s="83"/>
      <c r="AHJ47" s="83"/>
      <c r="AHK47" s="83"/>
      <c r="AHL47" s="83"/>
      <c r="AHM47" s="83"/>
      <c r="AHN47" s="83"/>
      <c r="AHO47" s="83"/>
      <c r="AHP47" s="83"/>
      <c r="AHQ47" s="83"/>
      <c r="AHR47" s="83"/>
      <c r="AHS47" s="83"/>
      <c r="AHT47" s="83"/>
      <c r="AHU47" s="83"/>
      <c r="AHV47" s="83"/>
      <c r="AHW47" s="83"/>
      <c r="AHX47" s="83"/>
      <c r="AHY47" s="83"/>
      <c r="AHZ47" s="83"/>
      <c r="AIA47" s="83"/>
      <c r="AIB47" s="83"/>
      <c r="AIC47" s="83"/>
      <c r="AID47" s="14"/>
      <c r="AIE47" s="83"/>
      <c r="AIF47" s="83"/>
      <c r="AIG47" s="83"/>
      <c r="AIH47" s="83"/>
      <c r="AII47" s="83"/>
      <c r="AIJ47" s="83"/>
      <c r="AIK47" s="83"/>
      <c r="AIL47" s="83"/>
      <c r="AIM47" s="83"/>
      <c r="AIN47" s="83"/>
      <c r="AIO47" s="83"/>
      <c r="AIP47" s="83"/>
      <c r="AIQ47" s="83"/>
      <c r="AIR47" s="83"/>
      <c r="AIS47" s="83"/>
      <c r="AIT47" s="83"/>
      <c r="AIU47" s="83"/>
      <c r="AIV47" s="83"/>
      <c r="AIW47" s="83"/>
      <c r="AIX47" s="83"/>
      <c r="AIY47" s="83"/>
      <c r="AIZ47" s="83"/>
      <c r="AJA47" s="83"/>
      <c r="AJB47" s="83"/>
      <c r="AJC47" s="83"/>
      <c r="AJD47" s="83"/>
      <c r="AJE47" s="83"/>
      <c r="AJF47" s="83"/>
      <c r="AJG47" s="83"/>
      <c r="AJH47" s="83"/>
      <c r="AJI47" s="83"/>
      <c r="AJJ47" s="83"/>
      <c r="AJK47" s="83"/>
      <c r="AJL47" s="83"/>
      <c r="AJM47" s="83"/>
      <c r="AJN47" s="83"/>
      <c r="AJO47" s="83"/>
      <c r="AJP47" s="83"/>
      <c r="AJQ47" s="83"/>
      <c r="AJR47" s="83"/>
      <c r="AJS47" s="14"/>
      <c r="AJT47" s="14"/>
      <c r="AJU47" s="14"/>
      <c r="AJV47" s="83"/>
      <c r="AJW47" s="83"/>
      <c r="AJX47" s="83"/>
      <c r="AJY47" s="83"/>
      <c r="AJZ47" s="83"/>
      <c r="AKA47" s="83"/>
      <c r="AKB47" s="83"/>
      <c r="AKC47" s="83"/>
      <c r="AKD47" s="83"/>
      <c r="AKE47" s="83"/>
      <c r="AKF47" s="83"/>
      <c r="AKG47" s="83"/>
      <c r="AKH47" s="83"/>
      <c r="AKI47" s="83"/>
      <c r="AKJ47" s="83"/>
      <c r="AKK47" s="83"/>
      <c r="AKL47" s="83"/>
      <c r="AKM47" s="83"/>
      <c r="AKN47" s="83"/>
      <c r="AKO47" s="83"/>
      <c r="AKP47" s="83"/>
      <c r="AKQ47" s="83"/>
      <c r="AKR47" s="83"/>
      <c r="AKS47" s="83"/>
      <c r="AKT47" s="83"/>
      <c r="AKU47" s="83"/>
      <c r="AKV47" s="83"/>
      <c r="AKW47" s="83"/>
      <c r="AKX47" s="83"/>
      <c r="AKY47" s="83"/>
      <c r="AKZ47" s="83"/>
      <c r="ALA47" s="83"/>
      <c r="ALB47" s="83"/>
      <c r="ALC47" s="83"/>
      <c r="ALD47" s="83"/>
      <c r="ALE47" s="83"/>
      <c r="ALF47" s="83"/>
      <c r="ALG47" s="83"/>
      <c r="ALH47" s="83"/>
      <c r="ALI47" s="83"/>
      <c r="ALJ47" s="83"/>
      <c r="ALK47" s="83"/>
      <c r="ALL47" s="83"/>
      <c r="ALM47" s="83"/>
      <c r="ALN47" s="83"/>
      <c r="ALO47" s="83"/>
      <c r="ALP47" s="83"/>
      <c r="ALQ47" s="83"/>
      <c r="ALR47" s="83"/>
      <c r="ALS47" s="83"/>
      <c r="ALT47" s="83"/>
      <c r="ALU47" s="83"/>
      <c r="ALV47" s="83"/>
      <c r="ALW47" s="83"/>
      <c r="ALX47" s="83"/>
      <c r="ALY47" s="83"/>
      <c r="ALZ47" s="83"/>
      <c r="AMA47" s="83"/>
      <c r="AMB47" s="83"/>
      <c r="AMC47" s="83"/>
      <c r="AMD47" s="83"/>
      <c r="AME47" s="83"/>
      <c r="AMF47" s="83"/>
      <c r="AMG47" s="83"/>
      <c r="AMH47" s="83"/>
      <c r="AMI47" s="83"/>
      <c r="AMJ47" s="83"/>
      <c r="AMK47" s="83"/>
      <c r="AML47" s="83"/>
      <c r="AMM47" s="83"/>
      <c r="AMN47" s="83"/>
      <c r="AMO47" s="83"/>
      <c r="AMP47" s="83"/>
      <c r="AMQ47" s="83"/>
      <c r="AMR47" s="83"/>
      <c r="AMS47" s="83"/>
      <c r="AMT47" s="83"/>
      <c r="AMU47" s="83"/>
      <c r="AMV47" s="83"/>
      <c r="AMW47" s="83"/>
      <c r="AMX47" s="83"/>
      <c r="AMY47" s="83"/>
      <c r="AMZ47" s="83"/>
      <c r="ANA47" s="83"/>
      <c r="ANB47" s="83"/>
      <c r="ANC47" s="83"/>
      <c r="AND47" s="83"/>
      <c r="ANE47" s="83"/>
      <c r="ANF47" s="83"/>
      <c r="ANG47" s="83"/>
      <c r="ANH47" s="83"/>
      <c r="ANI47" s="83"/>
      <c r="ANJ47" s="83"/>
      <c r="ANK47" s="83"/>
      <c r="ANL47" s="83"/>
      <c r="ANM47" s="83"/>
      <c r="ANN47" s="83"/>
      <c r="ANO47" s="83"/>
      <c r="ANP47" s="83"/>
      <c r="ANQ47" s="83"/>
      <c r="ANR47" s="83"/>
      <c r="ANS47" s="83"/>
      <c r="ANT47" s="83"/>
      <c r="ANU47" s="83"/>
      <c r="ANV47" s="83"/>
      <c r="ANW47" s="83"/>
      <c r="ANX47" s="83"/>
      <c r="ANY47" s="83"/>
      <c r="ANZ47" s="83"/>
      <c r="AOA47" s="83"/>
      <c r="AOB47" s="83"/>
      <c r="AOC47" s="83"/>
      <c r="AOD47" s="83"/>
      <c r="AOE47" s="83"/>
      <c r="AOF47" s="83"/>
      <c r="AOG47" s="83"/>
      <c r="AOH47" s="83"/>
      <c r="AOI47" s="83"/>
      <c r="AOJ47" s="83"/>
      <c r="AOK47" s="83"/>
      <c r="AOL47" s="83"/>
      <c r="AOM47" s="83"/>
      <c r="AON47" s="83"/>
      <c r="AOO47" s="83"/>
      <c r="AOP47" s="83"/>
      <c r="AOQ47" s="83"/>
      <c r="AOR47" s="83"/>
      <c r="AOS47" s="83"/>
      <c r="AOT47" s="83"/>
      <c r="AOU47" s="83"/>
      <c r="AOV47" s="83"/>
      <c r="AOW47" s="83"/>
      <c r="AOX47" s="83"/>
      <c r="AOY47" s="83"/>
      <c r="AOZ47" s="83"/>
      <c r="APA47" s="83"/>
      <c r="APB47" s="83"/>
      <c r="APC47" s="83"/>
      <c r="APD47" s="83"/>
      <c r="APE47" s="83"/>
      <c r="APF47" s="83"/>
      <c r="APG47" s="83"/>
      <c r="APH47" s="83"/>
      <c r="API47" s="83"/>
      <c r="APJ47" s="83"/>
      <c r="APK47" s="83"/>
      <c r="APL47" s="83"/>
      <c r="APM47" s="83"/>
      <c r="APN47" s="83"/>
      <c r="APO47" s="83"/>
      <c r="APP47" s="83"/>
      <c r="APQ47" s="83"/>
      <c r="APR47" s="83"/>
      <c r="APS47" s="83"/>
      <c r="APT47" s="83"/>
      <c r="APU47" s="83"/>
      <c r="APV47" s="83"/>
      <c r="APW47" s="83"/>
      <c r="APX47" s="83"/>
      <c r="APY47" s="83"/>
      <c r="APZ47" s="83"/>
      <c r="AQA47" s="83"/>
      <c r="AQB47" s="83"/>
      <c r="AQC47" s="83"/>
      <c r="AQD47" s="83"/>
      <c r="AQE47" s="83"/>
      <c r="AQF47" s="83"/>
      <c r="AQG47" s="83"/>
      <c r="AQH47" s="83"/>
      <c r="AQI47" s="83"/>
      <c r="AQJ47" s="83"/>
      <c r="AQK47" s="83"/>
      <c r="AQL47" s="83"/>
      <c r="AQM47" s="83"/>
      <c r="AQN47" s="83"/>
      <c r="AQO47" s="83"/>
      <c r="AQP47" s="83"/>
      <c r="AQQ47" s="83"/>
      <c r="AQR47" s="83"/>
      <c r="AQS47" s="83"/>
      <c r="AQT47" s="83"/>
      <c r="AQU47" s="83"/>
      <c r="AQV47" s="83"/>
      <c r="AQW47" s="83"/>
      <c r="AQX47" s="83"/>
      <c r="AQY47" s="83"/>
      <c r="AQZ47" s="83"/>
      <c r="ARA47" s="83"/>
      <c r="ARB47" s="83"/>
      <c r="ARC47" s="83"/>
      <c r="ARD47" s="83"/>
      <c r="ARE47" s="83"/>
      <c r="ARF47" s="83"/>
      <c r="ARG47" s="83"/>
      <c r="ARH47" s="83"/>
      <c r="ARI47" s="83"/>
      <c r="ARJ47" s="83"/>
      <c r="ARK47" s="83"/>
      <c r="ARL47" s="83"/>
      <c r="ARM47" s="83"/>
      <c r="ARN47" s="83"/>
      <c r="ARO47" s="83"/>
      <c r="ARP47" s="83"/>
      <c r="ARQ47" s="83"/>
      <c r="ARR47" s="83"/>
      <c r="ARS47" s="83"/>
      <c r="ART47" s="83"/>
      <c r="ARU47" s="83"/>
      <c r="ARV47" s="83"/>
      <c r="ARW47" s="83"/>
      <c r="ARX47" s="83"/>
      <c r="ARY47" s="83"/>
      <c r="ARZ47" s="83"/>
      <c r="ASA47" s="83"/>
      <c r="ASB47" s="83"/>
      <c r="ASC47" s="83"/>
      <c r="ASD47" s="83"/>
      <c r="ASE47" s="83"/>
      <c r="ASF47" s="83"/>
      <c r="ASG47" s="83"/>
      <c r="ASH47" s="83"/>
      <c r="ASI47" s="83"/>
      <c r="ASJ47" s="83"/>
      <c r="ASK47" s="83"/>
      <c r="ASL47" s="83"/>
      <c r="ASM47" s="83"/>
      <c r="ASN47" s="83"/>
      <c r="ASO47" s="83"/>
      <c r="ASP47" s="83"/>
      <c r="ASQ47" s="83"/>
      <c r="ASR47" s="83"/>
      <c r="ASS47" s="83"/>
      <c r="AST47" s="83"/>
      <c r="ASU47" s="83"/>
      <c r="ASV47" s="83"/>
      <c r="ASW47" s="83"/>
      <c r="ASX47" s="83"/>
      <c r="ASY47" s="83"/>
      <c r="ASZ47" s="83"/>
      <c r="ATA47" s="83"/>
      <c r="ATB47" s="83"/>
      <c r="ATC47" s="83"/>
      <c r="ATD47" s="83"/>
      <c r="ATE47" s="83"/>
      <c r="ATF47" s="83"/>
      <c r="ATG47" s="83"/>
      <c r="ATH47" s="83"/>
      <c r="ATI47" s="83"/>
      <c r="ATJ47" s="83"/>
      <c r="ATK47" s="83"/>
      <c r="ATL47" s="83"/>
      <c r="ATM47" s="83"/>
      <c r="ATN47" s="83"/>
      <c r="ATO47" s="83"/>
      <c r="ATP47" s="83"/>
      <c r="ATQ47" s="83"/>
      <c r="ATR47" s="83"/>
      <c r="ATS47" s="83"/>
      <c r="ATT47" s="83"/>
      <c r="ATU47" s="83"/>
      <c r="ATV47" s="83"/>
      <c r="ATW47" s="83"/>
      <c r="ATX47" s="83"/>
      <c r="ATY47" s="83"/>
      <c r="ATZ47" s="83"/>
      <c r="AUA47" s="83"/>
      <c r="AUB47" s="83"/>
      <c r="AUC47" s="83"/>
      <c r="AUD47" s="83"/>
      <c r="AUE47" s="83"/>
      <c r="AUF47" s="83"/>
      <c r="AUG47" s="83"/>
      <c r="AUH47" s="83"/>
      <c r="AUI47" s="83"/>
      <c r="AUJ47" s="83"/>
      <c r="AUK47" s="83"/>
      <c r="AUL47" s="83"/>
      <c r="AUM47" s="83"/>
      <c r="AUN47" s="83"/>
      <c r="AUO47" s="83"/>
      <c r="AUP47" s="83"/>
      <c r="AUQ47" s="83"/>
      <c r="AUR47" s="83"/>
      <c r="AUS47" s="83"/>
      <c r="AUT47" s="83"/>
      <c r="AUU47" s="83"/>
      <c r="AUV47" s="83"/>
      <c r="AUW47" s="83"/>
      <c r="AUX47" s="83"/>
      <c r="AUY47" s="83"/>
      <c r="AUZ47" s="83"/>
      <c r="AVA47" s="83"/>
      <c r="AVB47" s="83"/>
      <c r="AVC47" s="83"/>
      <c r="AVD47" s="83"/>
      <c r="AVE47" s="83"/>
      <c r="AVF47" s="83"/>
      <c r="AVG47" s="83"/>
      <c r="AVH47" s="83"/>
      <c r="AVI47" s="83"/>
      <c r="AVJ47" s="83"/>
      <c r="AVK47" s="83"/>
      <c r="AVL47" s="83"/>
      <c r="AVM47" s="83"/>
      <c r="AVN47" s="83"/>
      <c r="AVO47" s="83"/>
      <c r="AVP47" s="83"/>
      <c r="AVQ47" s="83"/>
      <c r="AVR47" s="83"/>
      <c r="AVS47" s="83"/>
      <c r="AVT47" s="83"/>
      <c r="AVU47" s="83"/>
      <c r="AVV47" s="83"/>
      <c r="AVW47" s="83"/>
      <c r="AVX47" s="83"/>
      <c r="AVY47" s="83"/>
      <c r="AVZ47" s="83"/>
      <c r="AWA47" s="83"/>
      <c r="AWB47" s="83"/>
      <c r="AWC47" s="83"/>
      <c r="AWD47" s="83"/>
      <c r="AWE47" s="83"/>
      <c r="AWF47" s="83"/>
      <c r="AWG47" s="83"/>
      <c r="AWH47" s="83"/>
      <c r="AWI47" s="83"/>
      <c r="AWJ47" s="83"/>
      <c r="AWK47" s="83"/>
      <c r="AWL47" s="83"/>
      <c r="AWM47" s="83"/>
      <c r="AWN47" s="83"/>
      <c r="AWO47" s="83"/>
      <c r="AWP47" s="83"/>
      <c r="AWQ47" s="83"/>
      <c r="AWR47" s="83"/>
      <c r="AWS47" s="83"/>
      <c r="AWT47" s="83"/>
      <c r="AWU47" s="83"/>
      <c r="AWV47" s="83"/>
      <c r="AWW47" s="83"/>
      <c r="AWX47" s="83"/>
      <c r="AWY47" s="83"/>
      <c r="AWZ47" s="83"/>
      <c r="AXA47" s="83"/>
      <c r="AXB47" s="83"/>
      <c r="AXC47" s="83"/>
      <c r="AXD47" s="83"/>
      <c r="AXE47" s="83"/>
      <c r="AXF47" s="83"/>
      <c r="AXG47" s="83"/>
      <c r="AXH47" s="83"/>
      <c r="AXI47" s="83"/>
      <c r="AXJ47" s="83"/>
      <c r="AXK47" s="83"/>
      <c r="AXL47" s="83"/>
      <c r="AXM47" s="83"/>
      <c r="AXN47" s="83"/>
      <c r="AXO47" s="83"/>
      <c r="AXP47" s="83"/>
      <c r="AXQ47" s="83"/>
      <c r="AXR47" s="83"/>
      <c r="AXS47" s="83"/>
      <c r="AXT47" s="83"/>
      <c r="AXU47" s="83"/>
      <c r="AXV47" s="83"/>
      <c r="AXW47" s="83"/>
      <c r="AXX47" s="83"/>
      <c r="AXY47" s="83"/>
      <c r="AXZ47" s="83"/>
      <c r="AYA47" s="83"/>
      <c r="AYB47" s="83"/>
      <c r="AYC47" s="83"/>
      <c r="AYD47" s="83"/>
      <c r="AYE47" s="83"/>
      <c r="AYF47" s="83"/>
      <c r="AYG47" s="83"/>
      <c r="AYH47" s="83"/>
      <c r="AYI47" s="83"/>
      <c r="AYJ47" s="83"/>
      <c r="AYK47" s="83"/>
      <c r="AYL47" s="83"/>
      <c r="AYM47" s="83"/>
      <c r="AYN47" s="83"/>
      <c r="AYO47" s="83"/>
      <c r="AYP47" s="83"/>
      <c r="AYQ47" s="83"/>
      <c r="AYR47" s="83"/>
      <c r="AYS47" s="83"/>
      <c r="AYT47" s="83"/>
      <c r="AYU47" s="83"/>
      <c r="AYV47" s="83"/>
      <c r="AYW47" s="83"/>
      <c r="AYX47" s="83"/>
      <c r="AYY47" s="83"/>
      <c r="AYZ47" s="83"/>
      <c r="AZA47" s="83"/>
      <c r="AZB47" s="83"/>
      <c r="AZC47" s="83"/>
      <c r="AZD47" s="83"/>
      <c r="AZE47" s="83"/>
      <c r="AZF47" s="83"/>
      <c r="AZG47" s="83"/>
      <c r="AZH47" s="83"/>
      <c r="AZI47" s="83"/>
      <c r="AZJ47" s="83"/>
      <c r="AZK47" s="83"/>
      <c r="AZL47" s="83"/>
      <c r="AZM47" s="83"/>
      <c r="AZN47" s="83"/>
      <c r="AZO47" s="83"/>
      <c r="AZP47" s="83"/>
      <c r="AZQ47" s="83"/>
      <c r="AZR47" s="83"/>
      <c r="AZS47" s="83"/>
      <c r="AZT47" s="83"/>
      <c r="AZU47" s="83"/>
      <c r="AZV47" s="83"/>
      <c r="AZW47" s="83"/>
      <c r="AZX47" s="83"/>
      <c r="AZY47" s="83"/>
      <c r="AZZ47" s="83"/>
      <c r="BAA47" s="83"/>
      <c r="BAB47" s="83"/>
      <c r="BAC47" s="83"/>
      <c r="BAD47" s="83"/>
      <c r="BAE47" s="83"/>
      <c r="BAF47" s="83"/>
      <c r="BAG47" s="83"/>
      <c r="BAH47" s="83"/>
      <c r="BAI47" s="83"/>
      <c r="BAJ47" s="83"/>
      <c r="BAK47" s="83"/>
      <c r="BAL47" s="83"/>
      <c r="BAM47" s="83"/>
      <c r="BAN47" s="83"/>
      <c r="BAO47" s="83"/>
      <c r="BAP47" s="83"/>
      <c r="BAQ47" s="83"/>
      <c r="BAR47" s="83"/>
      <c r="BAS47" s="83"/>
      <c r="BAT47" s="83"/>
      <c r="BAU47" s="83"/>
      <c r="BAV47" s="83"/>
      <c r="BAW47" s="83"/>
      <c r="BAX47" s="83"/>
      <c r="BAY47" s="83"/>
      <c r="BAZ47" s="83"/>
      <c r="BBA47" s="83"/>
      <c r="BBB47" s="83"/>
      <c r="BBC47" s="83"/>
      <c r="BBD47" s="83"/>
      <c r="BBE47" s="83"/>
      <c r="BBF47" s="83"/>
      <c r="BBG47" s="83"/>
      <c r="BBH47" s="83"/>
      <c r="BBI47" s="83"/>
      <c r="BBJ47" s="83"/>
      <c r="BBK47" s="83"/>
      <c r="BBL47" s="83"/>
      <c r="BBM47" s="83"/>
      <c r="BBN47" s="83"/>
      <c r="BBO47" s="83"/>
      <c r="BBP47" s="83"/>
      <c r="BBQ47" s="83"/>
      <c r="BBR47" s="83"/>
      <c r="BBS47" s="83"/>
      <c r="BBT47" s="83"/>
      <c r="BBU47" s="83"/>
      <c r="BBV47" s="83"/>
      <c r="BBW47" s="83"/>
      <c r="BBX47" s="83"/>
      <c r="BBY47" s="83"/>
      <c r="BBZ47" s="83"/>
      <c r="BCA47" s="83"/>
      <c r="BCB47" s="83"/>
      <c r="BCC47" s="83"/>
      <c r="BCD47" s="83"/>
      <c r="BCE47" s="83"/>
      <c r="BCF47" s="83"/>
      <c r="BCG47" s="83"/>
      <c r="BCH47" s="83"/>
      <c r="BCI47" s="83"/>
      <c r="BCJ47" s="83"/>
      <c r="BCK47" s="83"/>
      <c r="BCL47" s="83"/>
      <c r="BCM47" s="83"/>
      <c r="BCN47" s="83"/>
      <c r="BCO47" s="83"/>
      <c r="BCP47" s="83"/>
      <c r="BCQ47" s="83"/>
      <c r="BCR47" s="83"/>
      <c r="BCS47" s="83"/>
      <c r="BCT47" s="83"/>
      <c r="BCU47" s="83"/>
      <c r="BCV47" s="83"/>
      <c r="BCW47" s="83"/>
      <c r="BCX47" s="83"/>
      <c r="BCY47" s="83"/>
      <c r="BCZ47" s="83"/>
      <c r="BDA47" s="83"/>
      <c r="BDB47" s="83"/>
      <c r="BDC47" s="83"/>
      <c r="BDD47" s="83"/>
      <c r="BDE47" s="83"/>
      <c r="BDF47" s="83"/>
      <c r="BDG47" s="83"/>
      <c r="BDH47" s="83"/>
      <c r="BDI47" s="83"/>
      <c r="BDJ47" s="83"/>
      <c r="BDK47" s="83"/>
      <c r="BDL47" s="83"/>
      <c r="BDM47" s="83"/>
      <c r="BDN47" s="83"/>
      <c r="BDO47" s="83"/>
      <c r="BDP47" s="83"/>
      <c r="BDQ47" s="83"/>
      <c r="BDR47" s="83"/>
      <c r="BDS47" s="83"/>
      <c r="BDT47" s="83"/>
      <c r="BDU47" s="83"/>
      <c r="BDV47" s="83"/>
      <c r="BDW47" s="83"/>
      <c r="BDX47" s="83"/>
      <c r="BDY47" s="83"/>
      <c r="BDZ47" s="83"/>
      <c r="BEA47" s="83"/>
      <c r="BEB47" s="83"/>
      <c r="BEC47" s="83"/>
      <c r="BED47" s="83"/>
      <c r="BEE47" s="83"/>
      <c r="BEF47" s="83"/>
      <c r="BEG47" s="83"/>
      <c r="BEH47" s="83"/>
      <c r="BEI47" s="83"/>
      <c r="BEJ47" s="83"/>
      <c r="BEK47" s="83"/>
      <c r="BEL47" s="83"/>
      <c r="BEM47" s="83"/>
      <c r="BEN47" s="83"/>
      <c r="BEO47" s="83"/>
      <c r="BEP47" s="83"/>
      <c r="BEQ47" s="83"/>
      <c r="BER47" s="83"/>
      <c r="BES47" s="83"/>
      <c r="BET47" s="83"/>
      <c r="BEU47" s="83"/>
      <c r="BEV47" s="83"/>
      <c r="BEW47" s="83"/>
      <c r="BEX47" s="83"/>
      <c r="BEY47" s="83"/>
      <c r="BEZ47" s="83"/>
      <c r="BFA47" s="83"/>
      <c r="BFB47" s="83"/>
      <c r="BFC47" s="83"/>
      <c r="BFD47" s="83"/>
      <c r="BFE47" s="83"/>
      <c r="BFF47" s="83"/>
      <c r="BFG47" s="83"/>
      <c r="BFH47" s="83"/>
      <c r="BFI47" s="83"/>
      <c r="BFJ47" s="83"/>
      <c r="BFK47" s="83"/>
      <c r="BFL47" s="83"/>
      <c r="BFM47" s="83"/>
      <c r="BFN47" s="83"/>
      <c r="BFO47" s="83"/>
      <c r="BFP47" s="83"/>
      <c r="BFQ47" s="83"/>
      <c r="BFR47" s="83"/>
      <c r="BFS47" s="83"/>
      <c r="BFT47" s="83"/>
      <c r="BFU47" s="83"/>
      <c r="BFV47" s="83"/>
      <c r="BFW47" s="83"/>
      <c r="BFX47" s="83"/>
      <c r="BFY47" s="83"/>
      <c r="BFZ47" s="83"/>
      <c r="BGA47" s="83"/>
      <c r="BGB47" s="83"/>
      <c r="BGC47" s="83"/>
      <c r="BGD47" s="83"/>
      <c r="BGE47" s="83"/>
      <c r="BGF47" s="83"/>
      <c r="BGG47" s="83"/>
      <c r="BGH47" s="83"/>
      <c r="BGI47" s="83"/>
      <c r="BGJ47" s="83"/>
      <c r="BGK47" s="83"/>
      <c r="BGL47" s="83"/>
      <c r="BGM47" s="83"/>
      <c r="BGN47" s="83"/>
      <c r="BGO47" s="83"/>
      <c r="BGP47" s="83"/>
      <c r="BGQ47" s="83"/>
      <c r="BGR47" s="83"/>
      <c r="BGS47" s="83"/>
      <c r="BGT47" s="83"/>
      <c r="BGU47" s="83"/>
      <c r="BGV47" s="83"/>
      <c r="BGW47" s="83"/>
      <c r="BGX47" s="83"/>
      <c r="BGY47" s="83"/>
      <c r="BGZ47" s="83"/>
      <c r="BHA47" s="83"/>
      <c r="BHB47" s="83"/>
      <c r="BHC47" s="83"/>
      <c r="BHD47" s="83"/>
      <c r="BHE47" s="83"/>
      <c r="BHF47" s="83"/>
      <c r="BHG47" s="83"/>
      <c r="BHH47" s="83"/>
      <c r="BHI47" s="83"/>
      <c r="BHJ47" s="83"/>
      <c r="BHK47" s="83"/>
      <c r="BHL47" s="83"/>
      <c r="BHM47" s="83"/>
      <c r="BHN47" s="83"/>
      <c r="BHO47" s="83"/>
      <c r="BHP47" s="83"/>
      <c r="BHQ47" s="83"/>
      <c r="BHR47" s="83"/>
      <c r="BHS47" s="83"/>
      <c r="BHT47" s="83"/>
      <c r="BHU47" s="83"/>
      <c r="BHV47" s="83"/>
      <c r="BHW47" s="83"/>
      <c r="BHX47" s="83"/>
      <c r="BHY47" s="83"/>
      <c r="BHZ47" s="83"/>
      <c r="BIA47" s="83"/>
      <c r="BIB47" s="83"/>
      <c r="BIC47" s="83"/>
      <c r="BID47" s="83"/>
      <c r="BIE47" s="83"/>
      <c r="BIF47" s="83"/>
      <c r="BIG47" s="83"/>
      <c r="BIH47" s="83"/>
      <c r="BII47" s="83"/>
      <c r="BIJ47" s="83"/>
      <c r="BIK47" s="83"/>
      <c r="BIL47" s="83"/>
      <c r="BIM47" s="83"/>
      <c r="BIN47" s="83"/>
      <c r="BIO47" s="83"/>
      <c r="BIP47" s="83"/>
      <c r="BIQ47" s="83"/>
      <c r="BIR47" s="83"/>
      <c r="BIS47" s="83"/>
      <c r="BIT47" s="83"/>
      <c r="BIU47" s="83"/>
      <c r="BIV47" s="83"/>
      <c r="BIW47" s="83"/>
      <c r="BIX47" s="83"/>
      <c r="BIY47" s="83"/>
      <c r="BIZ47" s="83"/>
      <c r="BJA47" s="83"/>
      <c r="BJB47" s="83"/>
      <c r="BJC47" s="83"/>
      <c r="BJD47" s="83"/>
      <c r="BJE47" s="83"/>
      <c r="BJF47" s="83"/>
      <c r="BJG47" s="83"/>
      <c r="BJH47" s="83"/>
      <c r="BJI47" s="83"/>
      <c r="BJJ47" s="83"/>
      <c r="BJK47" s="83"/>
      <c r="BJL47" s="83"/>
      <c r="BJM47" s="83"/>
      <c r="BJN47" s="83"/>
      <c r="BJO47" s="83"/>
      <c r="BJP47" s="83"/>
      <c r="BJQ47" s="83"/>
      <c r="BJR47" s="83"/>
      <c r="BJS47" s="83"/>
      <c r="BJT47" s="83"/>
      <c r="BJU47" s="83"/>
      <c r="BJV47" s="83"/>
      <c r="BJW47" s="83"/>
      <c r="BJX47" s="83"/>
      <c r="BJY47" s="83"/>
      <c r="BJZ47" s="83"/>
      <c r="BKA47" s="83"/>
      <c r="BKB47" s="83"/>
      <c r="BKC47" s="83"/>
      <c r="BKD47" s="83"/>
      <c r="BKE47" s="83"/>
      <c r="BKF47" s="83"/>
      <c r="BKG47" s="83"/>
      <c r="BKH47" s="83"/>
      <c r="BKI47" s="83"/>
      <c r="BKJ47" s="83"/>
      <c r="BKK47" s="83"/>
      <c r="BKL47" s="83"/>
      <c r="BKM47" s="83"/>
      <c r="BKN47" s="83"/>
      <c r="BKO47" s="83"/>
      <c r="BKP47" s="83"/>
      <c r="BKQ47" s="83"/>
      <c r="BKR47" s="83"/>
      <c r="BKS47" s="83"/>
      <c r="BKT47" s="83"/>
      <c r="BKU47" s="83"/>
      <c r="BKV47" s="83"/>
      <c r="BKW47" s="83"/>
      <c r="BKX47" s="83"/>
      <c r="BKY47" s="83"/>
      <c r="BKZ47" s="83"/>
      <c r="BLA47" s="83"/>
      <c r="BLB47" s="83"/>
      <c r="BLC47" s="83"/>
      <c r="BLD47" s="83"/>
      <c r="BLE47" s="83"/>
      <c r="BLF47" s="83"/>
      <c r="BLG47" s="83"/>
      <c r="BLH47" s="83"/>
      <c r="BLI47" s="83"/>
      <c r="BLJ47" s="83"/>
      <c r="BLK47" s="83"/>
      <c r="BLL47" s="83"/>
      <c r="BLM47" s="83"/>
      <c r="BLN47" s="83"/>
      <c r="BLO47" s="83"/>
      <c r="BLP47" s="83"/>
      <c r="BLQ47" s="83"/>
      <c r="BLR47" s="83"/>
      <c r="BLS47" s="83"/>
      <c r="BLT47" s="83"/>
      <c r="BLU47" s="83"/>
      <c r="BLV47" s="83"/>
      <c r="BLW47" s="83"/>
      <c r="BLX47" s="83"/>
      <c r="BLY47" s="83"/>
      <c r="BLZ47" s="83"/>
      <c r="BMA47" s="83"/>
      <c r="BMB47" s="83"/>
      <c r="BMC47" s="83"/>
      <c r="BMD47" s="83"/>
      <c r="BME47" s="83"/>
      <c r="BMF47" s="83"/>
      <c r="BMG47" s="83"/>
      <c r="BMH47" s="83"/>
      <c r="BMI47" s="83"/>
      <c r="BMJ47" s="83"/>
      <c r="BMK47" s="83"/>
      <c r="BML47" s="83"/>
      <c r="BMM47" s="83"/>
      <c r="BMN47" s="83"/>
      <c r="BMO47" s="83"/>
      <c r="BMP47" s="83"/>
      <c r="BMQ47" s="83"/>
      <c r="BMR47" s="83"/>
      <c r="BMS47" s="83"/>
      <c r="BMT47" s="83"/>
      <c r="BMU47" s="83"/>
      <c r="BMV47" s="83"/>
      <c r="BMW47" s="83"/>
      <c r="BMX47" s="83"/>
      <c r="BMY47" s="83"/>
      <c r="BMZ47" s="83"/>
      <c r="BNA47" s="83"/>
      <c r="BNB47" s="83"/>
      <c r="BNC47" s="83"/>
      <c r="BND47" s="83"/>
      <c r="BNE47" s="83"/>
      <c r="BNF47" s="83"/>
      <c r="BNG47" s="83"/>
      <c r="BNH47" s="83"/>
      <c r="BNI47" s="83"/>
      <c r="BNJ47" s="83"/>
      <c r="BNK47" s="83"/>
      <c r="BNL47" s="83"/>
      <c r="BNM47" s="83"/>
      <c r="BNN47" s="83"/>
      <c r="BNO47" s="83"/>
      <c r="BNP47" s="83"/>
      <c r="BNQ47" s="83"/>
      <c r="BNR47" s="83"/>
      <c r="BNS47" s="83"/>
      <c r="BNT47" s="83"/>
      <c r="BNU47" s="83"/>
      <c r="BNV47" s="83"/>
      <c r="BNW47" s="83"/>
      <c r="BNX47" s="83"/>
      <c r="BNY47" s="83"/>
      <c r="BNZ47" s="83"/>
      <c r="BOA47" s="83"/>
      <c r="BOB47" s="83"/>
      <c r="BOC47" s="83"/>
      <c r="BOD47" s="83"/>
      <c r="BOE47" s="83"/>
      <c r="BOF47" s="83"/>
      <c r="BOG47" s="83"/>
      <c r="BOH47" s="83"/>
      <c r="BOI47" s="83"/>
      <c r="BOJ47" s="83"/>
      <c r="BOK47" s="83"/>
      <c r="BOL47" s="83"/>
      <c r="BOM47" s="83"/>
      <c r="BON47" s="83"/>
      <c r="BOO47" s="83"/>
      <c r="BOP47" s="83"/>
      <c r="BOQ47" s="83"/>
      <c r="BOR47" s="83"/>
      <c r="BOS47" s="83"/>
      <c r="BOT47" s="83"/>
      <c r="BOU47" s="83"/>
      <c r="BOV47" s="83"/>
      <c r="BOW47" s="83"/>
      <c r="BOX47" s="83"/>
      <c r="BOY47" s="83"/>
      <c r="BOZ47" s="83"/>
      <c r="BPA47" s="83"/>
      <c r="BPB47" s="83"/>
      <c r="BPC47" s="83"/>
      <c r="BPD47" s="83"/>
      <c r="BPE47" s="83"/>
      <c r="BPF47" s="83"/>
      <c r="BPG47" s="83"/>
      <c r="BPH47" s="83"/>
      <c r="BPI47" s="83"/>
      <c r="BPJ47" s="83"/>
      <c r="BPK47" s="83"/>
      <c r="BPL47" s="83"/>
      <c r="BPM47" s="83"/>
      <c r="BPN47" s="83"/>
      <c r="BPO47" s="83"/>
      <c r="BPP47" s="83"/>
      <c r="BPQ47" s="83"/>
      <c r="BPR47" s="83"/>
      <c r="BPS47" s="83"/>
      <c r="BPT47" s="83"/>
      <c r="BPU47" s="83"/>
      <c r="BPV47" s="83"/>
      <c r="BPW47" s="83"/>
      <c r="BPX47" s="83"/>
      <c r="BPY47" s="83"/>
      <c r="BPZ47" s="83"/>
      <c r="BQA47" s="83"/>
      <c r="BQB47" s="83"/>
      <c r="BQC47" s="83"/>
      <c r="BQD47" s="83"/>
      <c r="BQE47" s="83"/>
      <c r="BQF47" s="83"/>
      <c r="BQG47" s="83"/>
      <c r="BQH47" s="83"/>
      <c r="BQI47" s="83"/>
      <c r="BQJ47" s="83"/>
      <c r="BQK47" s="83"/>
      <c r="BQL47" s="83"/>
      <c r="BQM47" s="83"/>
      <c r="BQN47" s="83"/>
      <c r="BQO47" s="83"/>
      <c r="BQP47" s="83"/>
      <c r="BQQ47" s="83"/>
      <c r="BQR47" s="83"/>
      <c r="BQS47" s="83"/>
      <c r="BQT47" s="83"/>
      <c r="BQU47" s="83"/>
      <c r="BQV47" s="83"/>
      <c r="BQW47" s="83"/>
      <c r="BQX47" s="83"/>
      <c r="BQY47" s="83"/>
      <c r="BQZ47" s="83"/>
      <c r="BRA47" s="83"/>
      <c r="BRB47" s="83"/>
      <c r="BRC47" s="83"/>
      <c r="BRD47" s="83"/>
      <c r="BRE47" s="83"/>
      <c r="BRF47" s="83"/>
      <c r="BRG47" s="83"/>
      <c r="BRH47" s="83"/>
      <c r="BRI47" s="83"/>
      <c r="BRJ47" s="83"/>
      <c r="BRK47" s="83"/>
      <c r="BRL47" s="83"/>
      <c r="BRM47" s="83"/>
      <c r="BRN47" s="83"/>
      <c r="BRO47" s="83"/>
      <c r="BRP47" s="83"/>
      <c r="BRQ47" s="83"/>
      <c r="BRR47" s="83"/>
      <c r="BRS47" s="83"/>
      <c r="BRT47" s="83"/>
      <c r="BRU47" s="83"/>
      <c r="BRV47" s="83"/>
      <c r="BRW47" s="83"/>
      <c r="BRX47" s="83"/>
      <c r="BRY47" s="83"/>
      <c r="BRZ47" s="83"/>
      <c r="BSA47" s="83"/>
      <c r="BSB47" s="83"/>
      <c r="BSC47" s="83"/>
      <c r="BSD47" s="83"/>
      <c r="BSE47" s="83"/>
      <c r="BSF47" s="83"/>
      <c r="BSG47" s="83"/>
      <c r="BSH47" s="83"/>
      <c r="BSI47" s="83"/>
      <c r="BSJ47" s="83"/>
      <c r="BSK47" s="83"/>
      <c r="BSL47" s="83"/>
      <c r="BSM47" s="83"/>
      <c r="BSN47" s="83"/>
      <c r="BSO47" s="83"/>
      <c r="BSP47" s="83"/>
      <c r="BSQ47" s="83"/>
      <c r="BSR47" s="83"/>
      <c r="BSS47" s="83"/>
      <c r="BST47" s="83"/>
      <c r="BSU47" s="83"/>
      <c r="BSV47" s="83"/>
      <c r="BSW47" s="83"/>
      <c r="BSX47" s="83"/>
      <c r="BSY47" s="83"/>
      <c r="BSZ47" s="83"/>
      <c r="BTA47" s="83"/>
      <c r="BTB47" s="83"/>
      <c r="BTC47" s="83"/>
      <c r="BTD47" s="83"/>
      <c r="BTE47" s="83"/>
      <c r="BTF47" s="83"/>
      <c r="BTG47" s="83"/>
      <c r="BTH47" s="83"/>
      <c r="BTI47" s="83"/>
      <c r="BTJ47" s="83"/>
      <c r="BTK47" s="83"/>
      <c r="BTL47" s="83"/>
      <c r="BTM47" s="83"/>
      <c r="BTN47" s="83"/>
      <c r="BTO47" s="83"/>
      <c r="BTP47" s="83"/>
      <c r="BTQ47" s="83"/>
      <c r="BTR47" s="83"/>
      <c r="BTS47" s="83"/>
      <c r="BTT47" s="83"/>
      <c r="BTU47" s="83"/>
      <c r="BTV47" s="83"/>
      <c r="BTW47" s="83"/>
      <c r="BTX47" s="83"/>
      <c r="BTY47" s="83"/>
      <c r="BTZ47" s="83"/>
      <c r="BUA47" s="83"/>
      <c r="BUB47" s="83"/>
      <c r="BUC47" s="83"/>
      <c r="BUD47" s="83"/>
      <c r="BUE47" s="83"/>
      <c r="BUF47" s="83"/>
      <c r="BUG47" s="83"/>
      <c r="BUH47" s="83"/>
      <c r="BUI47" s="83"/>
      <c r="BUJ47" s="83"/>
      <c r="BUK47" s="83"/>
      <c r="BUL47" s="83"/>
      <c r="BUM47" s="83"/>
      <c r="BUN47" s="83"/>
      <c r="BUO47" s="83"/>
      <c r="BUP47" s="83"/>
      <c r="BUQ47" s="83"/>
      <c r="BUR47" s="83"/>
      <c r="BUS47" s="83"/>
      <c r="BUT47" s="83"/>
      <c r="BUU47" s="83"/>
      <c r="BUV47" s="83"/>
      <c r="BUW47" s="83"/>
      <c r="BUX47" s="83"/>
      <c r="BUY47" s="83"/>
      <c r="BUZ47" s="83"/>
      <c r="BVA47" s="83"/>
      <c r="BVB47" s="83"/>
      <c r="BVC47" s="83"/>
      <c r="BVD47" s="83"/>
      <c r="BVE47" s="83"/>
      <c r="BVF47" s="83"/>
      <c r="BVG47" s="83"/>
      <c r="BVH47" s="83"/>
      <c r="BVI47" s="83"/>
      <c r="BVJ47" s="83"/>
      <c r="BVK47" s="83"/>
      <c r="BVL47" s="83"/>
      <c r="BVM47" s="83"/>
      <c r="BVN47" s="83"/>
      <c r="BVO47" s="83"/>
      <c r="BVP47" s="83"/>
      <c r="BVQ47" s="83"/>
      <c r="BVR47" s="83"/>
      <c r="BVS47" s="83"/>
      <c r="BVT47" s="83"/>
      <c r="BVU47" s="83"/>
      <c r="BVV47" s="83"/>
      <c r="BVW47" s="83"/>
      <c r="BVX47" s="83"/>
      <c r="BVY47" s="83"/>
      <c r="BVZ47" s="83"/>
      <c r="BWA47" s="83"/>
      <c r="BWB47" s="83"/>
      <c r="BWC47" s="83"/>
      <c r="BWD47" s="83"/>
      <c r="BWE47" s="83"/>
      <c r="BWF47" s="83"/>
      <c r="BWG47" s="83"/>
      <c r="BWH47" s="83"/>
      <c r="BWI47" s="83"/>
      <c r="BWJ47" s="83"/>
      <c r="BWK47" s="83"/>
      <c r="BWL47" s="83"/>
      <c r="BWM47" s="83"/>
      <c r="BWN47" s="83"/>
      <c r="BWO47" s="83"/>
      <c r="BWP47" s="83"/>
      <c r="BWQ47" s="83"/>
      <c r="BWR47" s="83"/>
      <c r="BWS47" s="83"/>
      <c r="BWT47" s="83"/>
      <c r="BWU47" s="83"/>
      <c r="BWV47" s="83"/>
      <c r="BWW47" s="83"/>
      <c r="BWX47" s="83"/>
      <c r="BWY47" s="83"/>
      <c r="BWZ47" s="83"/>
      <c r="BXA47" s="83"/>
      <c r="BXB47" s="83"/>
      <c r="BXC47" s="83"/>
      <c r="BXD47" s="83"/>
      <c r="BXE47" s="83"/>
      <c r="BXF47" s="83"/>
      <c r="BXG47" s="83"/>
      <c r="BXH47" s="83"/>
      <c r="BXI47" s="83"/>
      <c r="BXJ47" s="83"/>
      <c r="BXK47" s="83"/>
      <c r="BXL47" s="83"/>
      <c r="BXM47" s="83"/>
      <c r="BXN47" s="83"/>
      <c r="BXO47" s="83"/>
      <c r="BXP47" s="83"/>
      <c r="BXQ47" s="83"/>
      <c r="BXR47" s="83"/>
      <c r="BXS47" s="83"/>
      <c r="BXT47" s="83"/>
      <c r="BXU47" s="83"/>
      <c r="BXV47" s="83"/>
      <c r="BXW47" s="83"/>
      <c r="BXX47" s="83"/>
      <c r="BXY47" s="83"/>
      <c r="BXZ47" s="83"/>
      <c r="BYA47" s="83"/>
      <c r="BYB47" s="83"/>
      <c r="BYC47" s="83"/>
      <c r="BYD47" s="83"/>
      <c r="BYE47" s="83"/>
      <c r="BYF47" s="83"/>
      <c r="BYG47" s="83"/>
      <c r="BYH47" s="83"/>
      <c r="BYI47" s="83"/>
      <c r="BYJ47" s="83"/>
      <c r="BYK47" s="83"/>
      <c r="BYL47" s="83"/>
      <c r="BYM47" s="83"/>
      <c r="BYN47" s="83"/>
      <c r="BYO47" s="83"/>
      <c r="BYP47" s="83"/>
      <c r="BYQ47" s="83"/>
      <c r="BYR47" s="83"/>
      <c r="BYS47" s="83"/>
      <c r="BYT47" s="83"/>
      <c r="BYU47" s="83"/>
      <c r="BYV47" s="83"/>
      <c r="BYW47" s="83"/>
      <c r="BYX47" s="83"/>
      <c r="BYY47" s="83"/>
      <c r="BYZ47" s="83"/>
      <c r="BZA47" s="83"/>
      <c r="BZB47" s="83"/>
      <c r="BZC47" s="83"/>
      <c r="BZD47" s="83"/>
      <c r="BZE47" s="83"/>
      <c r="BZF47" s="83"/>
      <c r="BZG47" s="83"/>
      <c r="BZH47" s="83"/>
      <c r="BZI47" s="83"/>
      <c r="BZJ47" s="83"/>
      <c r="BZK47" s="83"/>
      <c r="BZL47" s="83"/>
      <c r="BZM47" s="83"/>
      <c r="BZN47" s="83"/>
      <c r="BZO47" s="83"/>
      <c r="BZP47" s="83"/>
      <c r="BZQ47" s="83"/>
      <c r="BZR47" s="83"/>
      <c r="BZS47" s="83"/>
      <c r="BZT47" s="83"/>
      <c r="BZU47" s="83"/>
      <c r="BZV47" s="83"/>
      <c r="BZW47" s="83"/>
      <c r="BZX47" s="83"/>
      <c r="BZY47" s="83"/>
      <c r="BZZ47" s="83"/>
      <c r="CAA47" s="83"/>
      <c r="CAB47" s="83"/>
      <c r="CAC47" s="83"/>
      <c r="CAD47" s="83"/>
      <c r="CAE47" s="83"/>
      <c r="CAF47" s="83"/>
      <c r="CAG47" s="83"/>
      <c r="CAH47" s="83"/>
      <c r="CAI47" s="83"/>
      <c r="CAJ47" s="83"/>
      <c r="CAK47" s="83"/>
      <c r="CAL47" s="83"/>
      <c r="CAM47" s="83"/>
      <c r="CAN47" s="83"/>
      <c r="CAO47" s="83"/>
      <c r="CAP47" s="83"/>
      <c r="CAQ47" s="83"/>
      <c r="CAR47" s="83"/>
      <c r="CAS47" s="83"/>
      <c r="CAT47" s="83"/>
      <c r="CAU47" s="83"/>
      <c r="CAV47" s="83"/>
      <c r="CAW47" s="83"/>
      <c r="CAX47" s="83"/>
      <c r="CAY47" s="83"/>
      <c r="CAZ47" s="83"/>
      <c r="CBA47" s="83"/>
      <c r="CBB47" s="83"/>
      <c r="CBC47" s="83"/>
      <c r="CBD47" s="83"/>
      <c r="CBE47" s="83"/>
      <c r="CBF47" s="83"/>
      <c r="CBG47" s="83"/>
      <c r="CBH47" s="83"/>
      <c r="CBI47" s="83"/>
      <c r="CBJ47" s="83"/>
      <c r="CBK47" s="83"/>
      <c r="CBL47" s="83"/>
      <c r="CBM47" s="83"/>
      <c r="CBN47" s="83"/>
      <c r="CBO47" s="83"/>
      <c r="CBP47" s="83"/>
      <c r="CBQ47" s="83"/>
      <c r="CBR47" s="83"/>
      <c r="CBS47" s="83"/>
      <c r="CBT47" s="83"/>
      <c r="CBU47" s="83"/>
      <c r="CBV47" s="83"/>
      <c r="CBW47" s="83"/>
      <c r="CBX47" s="83"/>
      <c r="CBY47" s="83"/>
      <c r="CBZ47" s="83"/>
      <c r="CCA47" s="83"/>
      <c r="CCB47" s="83"/>
      <c r="CCC47" s="83"/>
      <c r="CCD47" s="83"/>
      <c r="CCE47" s="83"/>
      <c r="CCF47" s="83"/>
      <c r="CCG47" s="83"/>
      <c r="CCH47" s="83"/>
      <c r="CCI47" s="83"/>
      <c r="CCJ47" s="83"/>
      <c r="CCK47" s="83"/>
      <c r="CCL47" s="83"/>
      <c r="CCM47" s="83"/>
      <c r="CCN47" s="83"/>
      <c r="CCO47" s="83"/>
      <c r="CCP47" s="83"/>
      <c r="CCQ47" s="83"/>
      <c r="CCR47" s="83"/>
      <c r="CCS47" s="83"/>
      <c r="CCT47" s="83"/>
      <c r="CCU47" s="83"/>
      <c r="CCV47" s="83"/>
      <c r="CCW47" s="83"/>
      <c r="CCX47" s="83"/>
      <c r="CCY47" s="83"/>
      <c r="CCZ47" s="83"/>
      <c r="CDA47" s="83"/>
      <c r="CDB47" s="83"/>
      <c r="CDC47" s="83"/>
      <c r="CDD47" s="83"/>
      <c r="CDE47" s="83"/>
      <c r="CDF47" s="83"/>
      <c r="CDG47" s="83"/>
      <c r="CDH47" s="83"/>
      <c r="CDI47" s="83"/>
      <c r="CDJ47" s="83"/>
      <c r="CDK47" s="83"/>
      <c r="CDL47" s="83"/>
      <c r="CDM47" s="83"/>
      <c r="CDN47" s="83"/>
      <c r="CDO47" s="83"/>
      <c r="CDP47" s="83"/>
      <c r="CDQ47" s="83"/>
      <c r="CDR47" s="83"/>
      <c r="CDS47" s="83"/>
      <c r="CDT47" s="83"/>
      <c r="CDU47" s="83"/>
      <c r="CDV47" s="83"/>
      <c r="CDW47" s="83"/>
      <c r="CDX47" s="83"/>
      <c r="CDY47" s="83"/>
      <c r="CDZ47" s="83"/>
      <c r="CEA47" s="83"/>
      <c r="CEB47" s="83"/>
      <c r="CEC47" s="83"/>
      <c r="CED47" s="83"/>
      <c r="CEE47" s="83"/>
      <c r="CEF47" s="83"/>
      <c r="CEG47" s="83"/>
      <c r="CEH47" s="83"/>
      <c r="CEI47" s="83"/>
      <c r="CEJ47" s="83"/>
      <c r="CEK47" s="83"/>
      <c r="CEL47" s="83"/>
      <c r="CEM47" s="83"/>
      <c r="CEN47" s="83"/>
      <c r="CEO47" s="83"/>
      <c r="CEP47" s="83"/>
      <c r="CEQ47" s="83"/>
      <c r="CER47" s="83"/>
      <c r="CES47" s="83"/>
      <c r="CET47" s="83"/>
      <c r="CEU47" s="83"/>
      <c r="CEV47" s="83"/>
      <c r="CEW47" s="83"/>
      <c r="CEX47" s="83"/>
      <c r="CEY47" s="83"/>
      <c r="CEZ47" s="83"/>
      <c r="CFA47" s="83"/>
      <c r="CFB47" s="83"/>
      <c r="CFC47" s="83"/>
      <c r="CFD47" s="83"/>
      <c r="CFE47" s="83"/>
      <c r="CFF47" s="83"/>
      <c r="CFG47" s="83"/>
      <c r="CFH47" s="83"/>
      <c r="CFI47" s="83"/>
      <c r="CFJ47" s="83"/>
      <c r="CFK47" s="83"/>
      <c r="CFL47" s="83"/>
      <c r="CFM47" s="83"/>
      <c r="CFN47" s="83"/>
      <c r="CFO47" s="83"/>
      <c r="CFP47" s="83"/>
      <c r="CFQ47" s="83"/>
      <c r="CFR47" s="83"/>
      <c r="CFS47" s="83"/>
      <c r="CFT47" s="83"/>
      <c r="CFU47" s="83"/>
      <c r="CFV47" s="83"/>
      <c r="CFW47" s="83"/>
      <c r="CFX47" s="83"/>
      <c r="CFY47" s="83"/>
      <c r="CFZ47" s="83"/>
      <c r="CGA47" s="83"/>
      <c r="CGB47" s="83"/>
      <c r="CGC47" s="83"/>
      <c r="CGD47" s="83"/>
      <c r="CGE47" s="83"/>
      <c r="CGF47" s="83"/>
      <c r="CGG47" s="83"/>
      <c r="CGH47" s="83"/>
      <c r="CGI47" s="83"/>
      <c r="CGJ47" s="83"/>
      <c r="CGK47" s="83"/>
      <c r="CGL47" s="83"/>
      <c r="CGM47" s="83"/>
      <c r="CGN47" s="83"/>
      <c r="CGO47" s="83"/>
      <c r="CGP47" s="83"/>
      <c r="CGQ47" s="83"/>
      <c r="CGR47" s="83"/>
      <c r="CGS47" s="83"/>
      <c r="CGT47" s="83"/>
      <c r="CGU47" s="83"/>
      <c r="CGV47" s="83"/>
      <c r="CGW47" s="83"/>
      <c r="CGX47" s="83"/>
      <c r="CGY47" s="83"/>
      <c r="CGZ47" s="83"/>
      <c r="CHA47" s="83"/>
      <c r="CHB47" s="83"/>
      <c r="CHC47" s="83"/>
      <c r="CHD47" s="83"/>
      <c r="CHE47" s="83"/>
      <c r="CHF47" s="83"/>
      <c r="CHG47" s="83"/>
      <c r="CHH47" s="83"/>
      <c r="CHI47" s="83"/>
      <c r="CHJ47" s="83"/>
      <c r="CHK47" s="83"/>
      <c r="CHL47" s="83"/>
      <c r="CHM47" s="83"/>
      <c r="CHN47" s="83"/>
      <c r="CHO47" s="83"/>
      <c r="CHP47" s="83"/>
      <c r="CHQ47" s="83"/>
      <c r="CHR47" s="83"/>
      <c r="CHS47" s="83"/>
      <c r="CHT47" s="83"/>
      <c r="CHU47" s="83"/>
      <c r="CHV47" s="83"/>
      <c r="CHW47" s="83"/>
      <c r="CHX47" s="83"/>
      <c r="CHY47" s="83"/>
      <c r="CHZ47" s="83"/>
      <c r="CIA47" s="83"/>
      <c r="CIB47" s="83"/>
      <c r="CIC47" s="83"/>
      <c r="CID47" s="83"/>
      <c r="CIE47" s="83"/>
      <c r="CIF47" s="83"/>
      <c r="CIG47" s="83"/>
      <c r="CIH47" s="83"/>
      <c r="CII47" s="83"/>
      <c r="CIJ47" s="83"/>
      <c r="CIK47" s="83"/>
      <c r="CIL47" s="83"/>
      <c r="CIM47" s="83"/>
      <c r="CIN47" s="83"/>
      <c r="CIO47" s="83"/>
      <c r="CIP47" s="83"/>
      <c r="CIQ47" s="83"/>
      <c r="CIR47" s="83"/>
      <c r="CIS47" s="83"/>
      <c r="CIT47" s="83"/>
      <c r="CIU47" s="83"/>
      <c r="CIV47" s="83"/>
      <c r="CIW47" s="83"/>
      <c r="CIX47" s="83"/>
      <c r="CIY47" s="83"/>
      <c r="CIZ47" s="83"/>
      <c r="CJA47" s="83"/>
      <c r="CJB47" s="83"/>
      <c r="CJC47" s="83"/>
      <c r="CJD47" s="83"/>
      <c r="CJE47" s="83"/>
      <c r="CJF47" s="83"/>
      <c r="CJG47" s="83"/>
      <c r="CJH47" s="83"/>
      <c r="CJI47" s="83"/>
      <c r="CJJ47" s="83"/>
      <c r="CJK47" s="83"/>
      <c r="CJL47" s="83"/>
      <c r="CJM47" s="83"/>
      <c r="CJN47" s="83"/>
      <c r="CJO47" s="83"/>
      <c r="CJP47" s="83"/>
      <c r="CJQ47" s="83"/>
      <c r="CJR47" s="83"/>
      <c r="CJS47" s="83"/>
      <c r="CJT47" s="83"/>
      <c r="CJU47" s="83"/>
      <c r="CJV47" s="83"/>
      <c r="CJW47" s="83"/>
      <c r="CJX47" s="83"/>
      <c r="CJY47" s="83"/>
      <c r="CJZ47" s="83"/>
      <c r="CKA47" s="83"/>
      <c r="CKB47" s="83"/>
      <c r="CKC47" s="83"/>
      <c r="CKD47" s="83"/>
      <c r="CKE47" s="83"/>
      <c r="CKF47" s="83"/>
      <c r="CKG47" s="83"/>
      <c r="CKH47" s="83"/>
      <c r="CKI47" s="83"/>
      <c r="CKJ47" s="83"/>
      <c r="CKK47" s="83"/>
      <c r="CKL47" s="83"/>
      <c r="CKM47" s="83"/>
      <c r="CKN47" s="83"/>
      <c r="CKO47" s="83"/>
      <c r="CKP47" s="83"/>
      <c r="CKQ47" s="83"/>
      <c r="CKR47" s="83"/>
      <c r="CKS47" s="83"/>
      <c r="CKT47" s="83"/>
      <c r="CKU47" s="83"/>
      <c r="CKV47" s="83"/>
      <c r="CKW47" s="83"/>
      <c r="CKX47" s="83"/>
      <c r="CKY47" s="83"/>
      <c r="CKZ47" s="83"/>
      <c r="CLA47" s="83"/>
      <c r="CLB47" s="83"/>
      <c r="CLC47" s="83"/>
      <c r="CLD47" s="83"/>
      <c r="CLE47" s="83"/>
      <c r="CLF47" s="83"/>
      <c r="CLG47" s="83"/>
      <c r="CLH47" s="83"/>
      <c r="CLI47" s="83"/>
      <c r="CLJ47" s="83"/>
      <c r="CLK47" s="83"/>
      <c r="CLL47" s="83"/>
      <c r="CLM47" s="83"/>
      <c r="CLN47" s="83"/>
      <c r="CLO47" s="83"/>
      <c r="CLP47" s="83"/>
      <c r="CLQ47" s="83"/>
      <c r="CLR47" s="83"/>
      <c r="CLS47" s="83"/>
      <c r="CLT47" s="83"/>
      <c r="CLU47" s="83"/>
      <c r="CLV47" s="83"/>
      <c r="CLW47" s="83"/>
      <c r="CLX47" s="83"/>
      <c r="CLY47" s="83"/>
      <c r="CLZ47" s="83"/>
      <c r="CMA47" s="83"/>
      <c r="CMB47" s="83"/>
      <c r="CMC47" s="83"/>
      <c r="CMD47" s="83"/>
      <c r="CME47" s="83"/>
      <c r="CMF47" s="83"/>
      <c r="CMG47" s="83"/>
      <c r="CMH47" s="83"/>
      <c r="CMI47" s="83"/>
      <c r="CMJ47" s="83"/>
      <c r="CMK47" s="83"/>
      <c r="CML47" s="83"/>
      <c r="CMM47" s="83"/>
      <c r="CMN47" s="83"/>
      <c r="CMO47" s="83"/>
      <c r="CMP47" s="83"/>
      <c r="CMQ47" s="83"/>
      <c r="CMR47" s="83"/>
      <c r="CMS47" s="83"/>
      <c r="CMT47" s="83"/>
      <c r="CMU47" s="83"/>
      <c r="CMV47" s="83"/>
      <c r="CMW47" s="83"/>
      <c r="CMX47" s="83"/>
      <c r="CMY47" s="83"/>
      <c r="CMZ47" s="83"/>
      <c r="CNA47" s="83"/>
      <c r="CNB47" s="83"/>
      <c r="CNC47" s="83"/>
      <c r="CND47" s="83"/>
      <c r="CNE47" s="83"/>
      <c r="CNF47" s="83"/>
      <c r="CNG47" s="83"/>
      <c r="CNH47" s="83"/>
      <c r="CNI47" s="83"/>
      <c r="CNJ47" s="83"/>
      <c r="CNK47" s="83"/>
      <c r="CNL47" s="83"/>
      <c r="CNM47" s="83"/>
      <c r="CNN47" s="83"/>
      <c r="CNO47" s="83"/>
      <c r="CNP47" s="83"/>
      <c r="CNQ47" s="83"/>
      <c r="CNR47" s="83"/>
      <c r="CNS47" s="83"/>
      <c r="CNT47" s="83"/>
      <c r="CNU47" s="83"/>
      <c r="CNV47" s="83"/>
      <c r="CNW47" s="83"/>
      <c r="CNX47" s="83"/>
      <c r="CNY47" s="83"/>
      <c r="CNZ47" s="83"/>
      <c r="COA47" s="83"/>
      <c r="COB47" s="83"/>
      <c r="COC47" s="83"/>
      <c r="COD47" s="83"/>
      <c r="COE47" s="83"/>
      <c r="COF47" s="83"/>
      <c r="COG47" s="83"/>
      <c r="COH47" s="83"/>
      <c r="COI47" s="83"/>
      <c r="COJ47" s="83"/>
      <c r="COK47" s="83"/>
      <c r="COL47" s="83"/>
      <c r="COM47" s="83"/>
      <c r="CON47" s="83"/>
      <c r="COO47" s="83"/>
      <c r="COP47" s="83"/>
      <c r="COQ47" s="83"/>
      <c r="COR47" s="83"/>
      <c r="COS47" s="83"/>
      <c r="COT47" s="83"/>
      <c r="COU47" s="83"/>
      <c r="COV47" s="83"/>
      <c r="COW47" s="83"/>
      <c r="COX47" s="83"/>
      <c r="COY47" s="83"/>
      <c r="COZ47" s="83"/>
      <c r="CPA47" s="83"/>
      <c r="CPB47" s="83"/>
      <c r="CPC47" s="83"/>
      <c r="CPD47" s="83"/>
      <c r="CPE47" s="83"/>
      <c r="CPF47" s="83"/>
      <c r="CPG47" s="83"/>
      <c r="CPH47" s="83"/>
      <c r="CPI47" s="83"/>
      <c r="CPJ47" s="83"/>
      <c r="CPK47" s="83"/>
      <c r="CPL47" s="83"/>
      <c r="CPM47" s="83"/>
      <c r="CPN47" s="83"/>
      <c r="CPO47" s="83"/>
      <c r="CPP47" s="83"/>
      <c r="CPQ47" s="83"/>
      <c r="CPR47" s="83"/>
      <c r="CPS47" s="83"/>
      <c r="CPT47" s="83"/>
      <c r="CPU47" s="83"/>
      <c r="CPV47" s="83"/>
      <c r="CPW47" s="83"/>
      <c r="CPX47" s="83"/>
      <c r="CPY47" s="83"/>
      <c r="CPZ47" s="83"/>
      <c r="CQA47" s="83"/>
      <c r="CQB47" s="83"/>
      <c r="CQC47" s="83"/>
      <c r="CQD47" s="83"/>
      <c r="CQE47" s="83"/>
      <c r="CQF47" s="83"/>
      <c r="CQG47" s="83"/>
      <c r="CQH47" s="83"/>
      <c r="CQI47" s="83"/>
      <c r="CQJ47" s="83"/>
      <c r="CQK47" s="83"/>
      <c r="CQL47" s="83"/>
      <c r="CQM47" s="83"/>
      <c r="CQN47" s="83"/>
      <c r="CQO47" s="83"/>
      <c r="CQP47" s="83"/>
      <c r="CQQ47" s="83"/>
      <c r="CQR47" s="83"/>
      <c r="CQS47" s="83"/>
      <c r="CQT47" s="83"/>
      <c r="CQU47" s="83"/>
      <c r="CQV47" s="83"/>
      <c r="CQW47" s="83"/>
      <c r="CQX47" s="83"/>
      <c r="CQY47" s="83"/>
      <c r="CQZ47" s="83"/>
      <c r="CRA47" s="83"/>
      <c r="CRB47" s="83"/>
      <c r="CRC47" s="83"/>
      <c r="CRD47" s="83"/>
      <c r="CRE47" s="83"/>
      <c r="CRF47" s="83"/>
      <c r="CRG47" s="83"/>
      <c r="CRH47" s="83"/>
      <c r="CRI47" s="83"/>
      <c r="CRJ47" s="83"/>
      <c r="CRK47" s="83"/>
      <c r="CRL47" s="83"/>
      <c r="CRM47" s="83"/>
      <c r="CRN47" s="83"/>
      <c r="CRO47" s="83"/>
      <c r="CRP47" s="83"/>
      <c r="CRQ47" s="83"/>
      <c r="CRR47" s="83"/>
      <c r="CRS47" s="83"/>
      <c r="CRT47" s="83"/>
      <c r="CRU47" s="83"/>
      <c r="CRV47" s="83"/>
      <c r="CRW47" s="83"/>
      <c r="CRX47" s="83"/>
      <c r="CRY47" s="83"/>
      <c r="CRZ47" s="83"/>
      <c r="CSA47" s="83"/>
      <c r="CSB47" s="83"/>
      <c r="CSC47" s="83"/>
      <c r="CSD47" s="83"/>
      <c r="CSE47" s="83"/>
      <c r="CSF47" s="83"/>
      <c r="CSG47" s="83"/>
      <c r="CSH47" s="83"/>
      <c r="CSI47" s="83"/>
      <c r="CSJ47" s="83"/>
      <c r="CSK47" s="83"/>
      <c r="CSL47" s="83"/>
      <c r="CSM47" s="83"/>
      <c r="CSN47" s="83"/>
      <c r="CSO47" s="83"/>
      <c r="CSP47" s="83"/>
      <c r="CSQ47" s="83"/>
      <c r="CSR47" s="83"/>
      <c r="CSS47" s="83"/>
      <c r="CST47" s="83"/>
      <c r="CSU47" s="83"/>
      <c r="CSV47" s="83"/>
      <c r="CSW47" s="83"/>
      <c r="CSX47" s="83"/>
      <c r="CSY47" s="83"/>
      <c r="CSZ47" s="83"/>
      <c r="CTA47" s="83"/>
      <c r="CTB47" s="83"/>
      <c r="CTC47" s="83"/>
      <c r="CTD47" s="83"/>
      <c r="CTE47" s="83"/>
      <c r="CTF47" s="83"/>
      <c r="CTG47" s="83"/>
      <c r="CTH47" s="83"/>
      <c r="CTI47" s="83"/>
      <c r="CTJ47" s="83"/>
      <c r="CTK47" s="83"/>
      <c r="CTL47" s="83"/>
      <c r="CTM47" s="83"/>
      <c r="CTN47" s="83"/>
      <c r="CTO47" s="83"/>
      <c r="CTP47" s="83"/>
      <c r="CTQ47" s="83"/>
      <c r="CTR47" s="83"/>
      <c r="CTS47" s="83"/>
      <c r="CTT47" s="83"/>
      <c r="CTU47" s="83"/>
      <c r="CTV47" s="83"/>
      <c r="CTW47" s="83"/>
      <c r="CTX47" s="83"/>
      <c r="CTY47" s="83"/>
      <c r="CTZ47" s="83"/>
      <c r="CUA47" s="83"/>
      <c r="CUB47" s="83"/>
      <c r="CUC47" s="83"/>
      <c r="CUD47" s="83"/>
      <c r="CUE47" s="83"/>
      <c r="CUF47" s="83"/>
      <c r="CUG47" s="83"/>
      <c r="CUH47" s="83"/>
      <c r="CUI47" s="83"/>
      <c r="CUJ47" s="83"/>
      <c r="CUK47" s="83"/>
      <c r="CUL47" s="83"/>
      <c r="CUM47" s="83"/>
      <c r="CUN47" s="83"/>
      <c r="CUO47" s="83"/>
      <c r="CUP47" s="83"/>
      <c r="CUQ47" s="83"/>
      <c r="CUR47" s="83"/>
      <c r="CUS47" s="83"/>
      <c r="CUT47" s="83"/>
      <c r="CUU47" s="83"/>
      <c r="CUV47" s="83"/>
      <c r="CUW47" s="83"/>
      <c r="CUX47" s="83"/>
      <c r="CUY47" s="83"/>
      <c r="CUZ47" s="83"/>
      <c r="CVA47" s="83"/>
      <c r="CVB47" s="83"/>
      <c r="CVC47" s="83"/>
      <c r="CVD47" s="83"/>
      <c r="CVE47" s="83"/>
      <c r="CVF47" s="83"/>
      <c r="CVG47" s="83"/>
      <c r="CVH47" s="83"/>
      <c r="CVI47" s="83"/>
      <c r="CVJ47" s="83"/>
      <c r="CVK47" s="83"/>
      <c r="CVL47" s="83"/>
      <c r="CVM47" s="83"/>
      <c r="CVN47" s="83"/>
      <c r="CVO47" s="83"/>
      <c r="CVP47" s="83"/>
      <c r="CVQ47" s="83"/>
      <c r="CVR47" s="83"/>
      <c r="CVS47" s="83"/>
      <c r="CVT47" s="83"/>
      <c r="CVU47" s="83"/>
      <c r="CVV47" s="83"/>
      <c r="CVW47" s="83"/>
      <c r="CVX47" s="83"/>
      <c r="CVY47" s="83"/>
      <c r="CVZ47" s="83"/>
      <c r="CWA47" s="83"/>
      <c r="CWB47" s="83"/>
      <c r="CWC47" s="83"/>
      <c r="CWD47" s="83"/>
      <c r="CWE47" s="83"/>
      <c r="CWF47" s="83"/>
      <c r="CWG47" s="83"/>
      <c r="CWH47" s="83"/>
      <c r="CWI47" s="83"/>
      <c r="CWJ47" s="83"/>
      <c r="CWK47" s="83"/>
      <c r="CWL47" s="83"/>
      <c r="CWM47" s="83"/>
      <c r="CWN47" s="83"/>
      <c r="CWO47" s="83"/>
      <c r="CWP47" s="83"/>
      <c r="CWQ47" s="83"/>
      <c r="CWR47" s="83"/>
      <c r="CWS47" s="83"/>
      <c r="CWT47" s="83"/>
      <c r="CWU47" s="83"/>
      <c r="CWV47" s="83"/>
      <c r="CWW47" s="83"/>
      <c r="CWX47" s="83"/>
      <c r="CWY47" s="83"/>
      <c r="CWZ47" s="83"/>
      <c r="CXA47" s="83"/>
      <c r="CXB47" s="83"/>
      <c r="CXC47" s="83"/>
      <c r="CXD47" s="83"/>
      <c r="CXE47" s="83"/>
      <c r="CXF47" s="83"/>
      <c r="CXG47" s="83"/>
      <c r="CXH47" s="83"/>
      <c r="CXI47" s="83"/>
      <c r="CXJ47" s="83"/>
      <c r="CXK47" s="83"/>
      <c r="CXL47" s="83"/>
      <c r="CXM47" s="83"/>
      <c r="CXN47" s="83"/>
      <c r="CXO47" s="83"/>
      <c r="CXP47" s="83"/>
      <c r="CXQ47" s="83"/>
      <c r="CXR47" s="83"/>
      <c r="CXS47" s="83"/>
      <c r="CXT47" s="83"/>
      <c r="CXU47" s="83"/>
      <c r="CXV47" s="83"/>
      <c r="CXW47" s="83"/>
      <c r="CXX47" s="83"/>
      <c r="CXY47" s="83"/>
      <c r="CXZ47" s="83"/>
      <c r="CYA47" s="83"/>
      <c r="CYB47" s="83"/>
      <c r="CYC47" s="83"/>
      <c r="CYD47" s="83"/>
      <c r="CYE47" s="83"/>
      <c r="CYF47" s="83"/>
      <c r="CYG47" s="83"/>
      <c r="CYH47" s="83"/>
      <c r="CYI47" s="83"/>
      <c r="CYJ47" s="83"/>
      <c r="CYK47" s="83"/>
      <c r="CYL47" s="83"/>
      <c r="CYM47" s="83"/>
      <c r="CYN47" s="83"/>
      <c r="CYO47" s="83"/>
      <c r="CYP47" s="83"/>
      <c r="CYQ47" s="83"/>
      <c r="CYR47" s="83"/>
      <c r="CYS47" s="83"/>
      <c r="CYT47" s="83"/>
      <c r="CYU47" s="83"/>
      <c r="CYV47" s="83"/>
      <c r="CYW47" s="83"/>
      <c r="CYX47" s="83"/>
      <c r="CYY47" s="83"/>
      <c r="CYZ47" s="83"/>
      <c r="CZA47" s="83"/>
      <c r="CZB47" s="83"/>
      <c r="CZC47" s="83"/>
      <c r="CZD47" s="83"/>
      <c r="CZE47" s="83"/>
      <c r="CZF47" s="83"/>
      <c r="CZG47" s="83"/>
      <c r="CZH47" s="83"/>
      <c r="CZI47" s="83"/>
      <c r="CZJ47" s="83"/>
      <c r="CZK47" s="83"/>
      <c r="CZL47" s="83"/>
      <c r="CZM47" s="83"/>
      <c r="CZN47" s="83"/>
      <c r="CZO47" s="83"/>
      <c r="CZP47" s="83"/>
      <c r="CZQ47" s="83"/>
      <c r="CZR47" s="83"/>
      <c r="CZS47" s="83"/>
      <c r="CZT47" s="83"/>
      <c r="CZU47" s="83"/>
      <c r="CZV47" s="83"/>
      <c r="CZW47" s="83"/>
      <c r="CZX47" s="83"/>
      <c r="CZY47" s="83"/>
      <c r="CZZ47" s="83"/>
      <c r="DAA47" s="83"/>
      <c r="DAB47" s="83"/>
      <c r="DAC47" s="83"/>
      <c r="DAD47" s="83"/>
      <c r="DAE47" s="83"/>
      <c r="DAF47" s="83"/>
      <c r="DAG47" s="83"/>
      <c r="DAH47" s="83"/>
      <c r="DAI47" s="83"/>
      <c r="DAJ47" s="83"/>
      <c r="DAK47" s="83"/>
      <c r="DAL47" s="83"/>
      <c r="DAM47" s="83"/>
      <c r="DAN47" s="83"/>
      <c r="DAO47" s="83"/>
      <c r="DAP47" s="83"/>
      <c r="DAQ47" s="83"/>
      <c r="DAR47" s="83"/>
      <c r="DAS47" s="83"/>
      <c r="DAT47" s="83"/>
      <c r="DAU47" s="83"/>
      <c r="DAV47" s="83"/>
      <c r="DAW47" s="83"/>
      <c r="DAX47" s="83"/>
      <c r="DAY47" s="83"/>
      <c r="DAZ47" s="83"/>
      <c r="DBA47" s="83"/>
      <c r="DBB47" s="83"/>
      <c r="DBC47" s="83"/>
      <c r="DBD47" s="83"/>
      <c r="DBE47" s="83"/>
      <c r="DBF47" s="83"/>
      <c r="DBG47" s="83"/>
      <c r="DBH47" s="83"/>
      <c r="DBI47" s="83"/>
      <c r="DBJ47" s="83"/>
      <c r="DBK47" s="83"/>
      <c r="DBL47" s="83"/>
      <c r="DBM47" s="83"/>
      <c r="DBN47" s="83"/>
      <c r="DBO47" s="83"/>
      <c r="DBP47" s="83"/>
      <c r="DBQ47" s="83"/>
      <c r="DBR47" s="83"/>
      <c r="DBS47" s="83"/>
      <c r="DBT47" s="83"/>
      <c r="DBU47" s="83"/>
      <c r="DBV47" s="83"/>
      <c r="DBW47" s="83"/>
      <c r="DBX47" s="83"/>
      <c r="DBY47" s="83"/>
      <c r="DBZ47" s="83"/>
      <c r="DCA47" s="83"/>
      <c r="DCB47" s="83"/>
      <c r="DCC47" s="83"/>
      <c r="DCD47" s="83"/>
      <c r="DCE47" s="83"/>
      <c r="DCF47" s="83"/>
      <c r="DCG47" s="83"/>
      <c r="DCH47" s="83"/>
      <c r="DCI47" s="83"/>
      <c r="DCJ47" s="83"/>
      <c r="DCK47" s="83"/>
      <c r="DCL47" s="83"/>
      <c r="DCM47" s="83"/>
      <c r="DCN47" s="83"/>
      <c r="DCO47" s="83"/>
      <c r="DCP47" s="83"/>
      <c r="DCQ47" s="83"/>
      <c r="DCR47" s="83"/>
      <c r="DCS47" s="83"/>
      <c r="DCT47" s="83"/>
      <c r="DCU47" s="83"/>
      <c r="DCV47" s="83"/>
      <c r="DCW47" s="83"/>
      <c r="DCX47" s="83"/>
      <c r="DCY47" s="83"/>
      <c r="DCZ47" s="83"/>
      <c r="DDA47" s="83"/>
      <c r="DDB47" s="83"/>
      <c r="DDC47" s="83"/>
      <c r="DDD47" s="83"/>
      <c r="DDE47" s="83"/>
      <c r="DDF47" s="83"/>
      <c r="DDG47" s="83"/>
      <c r="DDH47" s="83"/>
      <c r="DDI47" s="83"/>
      <c r="DDJ47" s="83"/>
      <c r="DDK47" s="83"/>
      <c r="DDL47" s="83"/>
      <c r="DDM47" s="83"/>
      <c r="DDN47" s="83"/>
      <c r="DDO47" s="83"/>
      <c r="DDP47" s="83"/>
      <c r="DDQ47" s="83"/>
      <c r="DDR47" s="83"/>
      <c r="DDS47" s="83"/>
      <c r="DDT47" s="83"/>
      <c r="DDU47" s="83"/>
      <c r="DDV47" s="83"/>
      <c r="DDW47" s="83"/>
      <c r="DDX47" s="83"/>
      <c r="DDY47" s="83"/>
      <c r="DDZ47" s="83"/>
      <c r="DEA47" s="83"/>
      <c r="DEB47" s="83"/>
      <c r="DEC47" s="83"/>
      <c r="DED47" s="83"/>
      <c r="DEE47" s="83"/>
      <c r="DEF47" s="83"/>
      <c r="DEG47" s="83"/>
      <c r="DEH47" s="83"/>
      <c r="DEI47" s="83"/>
      <c r="DEJ47" s="83"/>
      <c r="DEK47" s="83"/>
      <c r="DEL47" s="83"/>
      <c r="DEM47" s="83"/>
      <c r="DEN47" s="83"/>
      <c r="DEO47" s="83"/>
      <c r="DEP47" s="83"/>
      <c r="DEQ47" s="83"/>
      <c r="DER47" s="83"/>
      <c r="DES47" s="83"/>
      <c r="DET47" s="83"/>
      <c r="DEU47" s="83"/>
      <c r="DEV47" s="83"/>
      <c r="DEW47" s="83"/>
      <c r="DEX47" s="83"/>
      <c r="DEY47" s="83"/>
      <c r="DEZ47" s="83"/>
      <c r="DFA47" s="83"/>
      <c r="DFB47" s="83"/>
      <c r="DFC47" s="83"/>
      <c r="DFD47" s="83"/>
      <c r="DFE47" s="83"/>
      <c r="DFF47" s="83"/>
      <c r="DFG47" s="83"/>
      <c r="DFH47" s="83"/>
      <c r="DFI47" s="83"/>
      <c r="DFJ47" s="83"/>
      <c r="DFK47" s="83"/>
      <c r="DFL47" s="83"/>
      <c r="DFM47" s="83"/>
      <c r="DFN47" s="83"/>
      <c r="DFO47" s="83"/>
      <c r="DFP47" s="83"/>
      <c r="DFQ47" s="83"/>
      <c r="DFR47" s="83"/>
      <c r="DFS47" s="83"/>
      <c r="DFT47" s="83"/>
      <c r="DFU47" s="83"/>
      <c r="DFV47" s="83"/>
      <c r="DFW47" s="83"/>
      <c r="DFX47" s="83"/>
      <c r="DFY47" s="83"/>
      <c r="DFZ47" s="83"/>
      <c r="DGA47" s="83"/>
      <c r="DGB47" s="83"/>
      <c r="DGC47" s="83"/>
      <c r="DGD47" s="83"/>
      <c r="DGE47" s="83"/>
      <c r="DGF47" s="83"/>
      <c r="DGG47" s="83"/>
      <c r="DGH47" s="83"/>
      <c r="DGI47" s="83"/>
      <c r="DGJ47" s="83"/>
      <c r="DGK47" s="83"/>
      <c r="DGL47" s="83"/>
      <c r="DGM47" s="83"/>
      <c r="DGN47" s="83"/>
      <c r="DGO47" s="83"/>
      <c r="DGP47" s="83"/>
      <c r="DGQ47" s="83"/>
      <c r="DGR47" s="83"/>
      <c r="DGS47" s="83"/>
      <c r="DGT47" s="83"/>
      <c r="DGU47" s="83"/>
      <c r="DGV47" s="83"/>
      <c r="DGW47" s="83"/>
      <c r="DGX47" s="83"/>
      <c r="DGY47" s="83"/>
      <c r="DGZ47" s="83"/>
      <c r="DHA47" s="83"/>
      <c r="DHB47" s="83"/>
      <c r="DHC47" s="83"/>
      <c r="DHD47" s="83"/>
      <c r="DHE47" s="83"/>
      <c r="DHF47" s="83"/>
      <c r="DHG47" s="83"/>
      <c r="DHH47" s="83"/>
      <c r="DHI47" s="83"/>
      <c r="DHJ47" s="83"/>
      <c r="DHK47" s="83"/>
      <c r="DHL47" s="83"/>
      <c r="DHM47" s="83"/>
      <c r="DHN47" s="83"/>
      <c r="DHO47" s="83"/>
      <c r="DHP47" s="83"/>
      <c r="DHQ47" s="83"/>
      <c r="DHR47" s="83"/>
      <c r="DHS47" s="83"/>
      <c r="DHT47" s="83"/>
      <c r="DHU47" s="83"/>
      <c r="DHV47" s="83"/>
      <c r="DHW47" s="83"/>
      <c r="DHX47" s="83"/>
      <c r="DHY47" s="83"/>
      <c r="DHZ47" s="83"/>
      <c r="DIA47" s="83"/>
      <c r="DIB47" s="83"/>
      <c r="DIC47" s="83"/>
      <c r="DID47" s="83"/>
      <c r="DIE47" s="83"/>
      <c r="DIF47" s="83"/>
      <c r="DIG47" s="83"/>
      <c r="DIH47" s="83"/>
      <c r="DII47" s="83"/>
      <c r="DIJ47" s="83"/>
      <c r="DIK47" s="83"/>
      <c r="DIL47" s="83"/>
      <c r="DIM47" s="83"/>
      <c r="DIN47" s="83"/>
      <c r="DIO47" s="83"/>
      <c r="DIP47" s="83"/>
      <c r="DIQ47" s="83"/>
      <c r="DIR47" s="83"/>
      <c r="DIS47" s="83"/>
      <c r="DIT47" s="83"/>
      <c r="DIU47" s="83"/>
      <c r="DIV47" s="83"/>
      <c r="DIW47" s="83"/>
      <c r="DIX47" s="83"/>
      <c r="DIY47" s="83"/>
      <c r="DIZ47" s="83"/>
      <c r="DJA47" s="83"/>
      <c r="DJB47" s="83"/>
      <c r="DJC47" s="83"/>
      <c r="DJD47" s="83"/>
      <c r="DJE47" s="83"/>
      <c r="DJF47" s="83"/>
      <c r="DJG47" s="83"/>
      <c r="DJH47" s="83"/>
      <c r="DJI47" s="83"/>
      <c r="DJJ47" s="83"/>
      <c r="DJK47" s="83"/>
      <c r="DJL47" s="83"/>
      <c r="DJM47" s="83"/>
      <c r="DJN47" s="83"/>
      <c r="DJO47" s="83"/>
      <c r="DJP47" s="83"/>
      <c r="DJQ47" s="83"/>
      <c r="DJR47" s="83"/>
      <c r="DJS47" s="83"/>
      <c r="DJT47" s="83"/>
      <c r="DJU47" s="83"/>
      <c r="DJV47" s="83"/>
      <c r="DJW47" s="83"/>
      <c r="DJX47" s="83"/>
      <c r="DJY47" s="83"/>
      <c r="DJZ47" s="83"/>
      <c r="DKA47" s="83"/>
      <c r="DKB47" s="83"/>
      <c r="DKC47" s="83"/>
      <c r="DKD47" s="83"/>
      <c r="DKE47" s="83"/>
      <c r="DKF47" s="83"/>
      <c r="DKG47" s="83"/>
      <c r="DKH47" s="83"/>
      <c r="DKI47" s="83"/>
      <c r="DKJ47" s="83"/>
      <c r="DKK47" s="83"/>
      <c r="DKL47" s="83"/>
      <c r="DKM47" s="83"/>
      <c r="DKN47" s="83"/>
      <c r="DKO47" s="83"/>
      <c r="DKP47" s="83"/>
      <c r="DKQ47" s="83"/>
      <c r="DKR47" s="83"/>
      <c r="DKS47" s="83"/>
      <c r="DKT47" s="83"/>
      <c r="DKU47" s="83"/>
      <c r="DKV47" s="83"/>
      <c r="DKW47" s="83"/>
      <c r="DKX47" s="83"/>
      <c r="DKY47" s="83"/>
      <c r="DKZ47" s="83"/>
      <c r="DLA47" s="83"/>
      <c r="DLB47" s="83"/>
      <c r="DLC47" s="83"/>
      <c r="DLD47" s="83"/>
      <c r="DLE47" s="83"/>
      <c r="DLF47" s="83"/>
      <c r="DLG47" s="83"/>
      <c r="DLH47" s="83"/>
      <c r="DLI47" s="83"/>
      <c r="DLJ47" s="83"/>
      <c r="DLK47" s="83"/>
      <c r="DLL47" s="83"/>
      <c r="DLM47" s="83"/>
      <c r="DLN47" s="83"/>
      <c r="DLO47" s="83"/>
      <c r="DLP47" s="83"/>
      <c r="DLQ47" s="83"/>
      <c r="DLR47" s="83"/>
      <c r="DLS47" s="83"/>
      <c r="DLT47" s="83"/>
      <c r="DLU47" s="83"/>
      <c r="DLV47" s="83"/>
      <c r="DLW47" s="83"/>
      <c r="DLX47" s="83"/>
      <c r="DLY47" s="83"/>
      <c r="DLZ47" s="83"/>
      <c r="DMA47" s="83"/>
      <c r="DMB47" s="83"/>
      <c r="DMC47" s="83"/>
      <c r="DMD47" s="83"/>
      <c r="DME47" s="83"/>
      <c r="DMF47" s="83"/>
      <c r="DMG47" s="83"/>
      <c r="DMH47" s="83"/>
      <c r="DMI47" s="83"/>
      <c r="DMJ47" s="83"/>
      <c r="DMK47" s="83"/>
      <c r="DML47" s="83"/>
      <c r="DMM47" s="83"/>
      <c r="DMN47" s="83"/>
      <c r="DMO47" s="83"/>
      <c r="DMP47" s="83"/>
      <c r="DMQ47" s="83"/>
      <c r="DMR47" s="83"/>
      <c r="DMS47" s="83"/>
      <c r="DMT47" s="83"/>
      <c r="DMU47" s="83"/>
      <c r="DMV47" s="83"/>
      <c r="DMW47" s="83"/>
      <c r="DMX47" s="83"/>
      <c r="DMY47" s="83"/>
      <c r="DMZ47" s="83"/>
      <c r="DNA47" s="83"/>
      <c r="DNB47" s="83"/>
      <c r="DNC47" s="83"/>
      <c r="DND47" s="83"/>
      <c r="DNE47" s="83"/>
      <c r="DNF47" s="83"/>
      <c r="DNG47" s="83"/>
      <c r="DNH47" s="83"/>
      <c r="DNI47" s="83"/>
      <c r="DNJ47" s="83"/>
      <c r="DNK47" s="83"/>
      <c r="DNL47" s="83"/>
      <c r="DNM47" s="83"/>
      <c r="DNN47" s="83"/>
      <c r="DNO47" s="83"/>
      <c r="DNP47" s="83"/>
      <c r="DNQ47" s="83"/>
      <c r="DNR47" s="83"/>
      <c r="DNS47" s="83"/>
      <c r="DNT47" s="83"/>
      <c r="DNU47" s="83"/>
      <c r="DNV47" s="83"/>
      <c r="DNW47" s="83"/>
      <c r="DNX47" s="83"/>
      <c r="DNY47" s="83"/>
      <c r="DNZ47" s="83"/>
      <c r="DOA47" s="83"/>
      <c r="DOB47" s="83"/>
      <c r="DOC47" s="83"/>
      <c r="DOD47" s="83"/>
      <c r="DOE47" s="83"/>
      <c r="DOF47" s="83"/>
      <c r="DOG47" s="83"/>
      <c r="DOH47" s="83"/>
      <c r="DOI47" s="83"/>
      <c r="DOJ47" s="83"/>
      <c r="DOK47" s="83"/>
      <c r="DOL47" s="83"/>
      <c r="DOM47" s="83"/>
      <c r="DON47" s="83"/>
      <c r="DOO47" s="83"/>
      <c r="DOP47" s="83"/>
      <c r="DOQ47" s="83"/>
      <c r="DOR47" s="83"/>
      <c r="DOS47" s="83"/>
      <c r="DOT47" s="83"/>
      <c r="DOU47" s="83"/>
      <c r="DOV47" s="83"/>
      <c r="DOW47" s="83"/>
      <c r="DOX47" s="83"/>
      <c r="DOY47" s="83"/>
      <c r="DOZ47" s="83"/>
      <c r="DPA47" s="83"/>
      <c r="DPB47" s="83"/>
      <c r="DPC47" s="83"/>
      <c r="DPD47" s="83"/>
      <c r="DPE47" s="83"/>
      <c r="DPF47" s="83"/>
      <c r="DPG47" s="83"/>
      <c r="DPH47" s="83"/>
      <c r="DPI47" s="83"/>
      <c r="DPJ47" s="83"/>
      <c r="DPK47" s="83"/>
      <c r="DPL47" s="83"/>
      <c r="DPM47" s="83"/>
      <c r="DPN47" s="83"/>
      <c r="DPO47" s="83"/>
      <c r="DPP47" s="83"/>
      <c r="DPQ47" s="83"/>
      <c r="DPR47" s="83"/>
      <c r="DPS47" s="83"/>
      <c r="DPT47" s="83"/>
      <c r="DPU47" s="83"/>
      <c r="DPV47" s="83"/>
      <c r="DPW47" s="83"/>
      <c r="DPX47" s="83"/>
      <c r="DPY47" s="83"/>
      <c r="DPZ47" s="83"/>
      <c r="DQA47" s="83"/>
      <c r="DQB47" s="83"/>
      <c r="DQC47" s="83"/>
      <c r="DQD47" s="83"/>
      <c r="DQE47" s="83"/>
      <c r="DQF47" s="83"/>
      <c r="DQG47" s="83"/>
      <c r="DQH47" s="83"/>
      <c r="DQI47" s="83"/>
      <c r="DQJ47" s="83"/>
      <c r="DQK47" s="83"/>
      <c r="DQL47" s="83"/>
      <c r="DQM47" s="83"/>
      <c r="DQN47" s="83"/>
      <c r="DQO47" s="83"/>
      <c r="DQP47" s="83"/>
      <c r="DQQ47" s="83"/>
      <c r="DQR47" s="83"/>
      <c r="DQS47" s="83"/>
      <c r="DQT47" s="83"/>
      <c r="DQU47" s="83"/>
      <c r="DQV47" s="83"/>
      <c r="DQW47" s="83"/>
      <c r="DQX47" s="83"/>
      <c r="DQY47" s="83"/>
      <c r="DQZ47" s="83"/>
      <c r="DRA47" s="83"/>
      <c r="DRB47" s="83"/>
      <c r="DRC47" s="83"/>
      <c r="DRD47" s="83"/>
      <c r="DRE47" s="83"/>
      <c r="DRF47" s="83"/>
      <c r="DRG47" s="83"/>
      <c r="DRH47" s="83"/>
      <c r="DRI47" s="83"/>
      <c r="DRJ47" s="83"/>
      <c r="DRK47" s="83"/>
      <c r="DRL47" s="83"/>
      <c r="DRM47" s="83"/>
      <c r="DRN47" s="83"/>
      <c r="DRO47" s="83"/>
      <c r="DRP47" s="83"/>
      <c r="DRQ47" s="83"/>
      <c r="DRR47" s="83"/>
      <c r="DRS47" s="83"/>
      <c r="DRT47" s="83"/>
      <c r="DRU47" s="83"/>
      <c r="DRV47" s="83"/>
      <c r="DRW47" s="83"/>
      <c r="DRX47" s="83"/>
      <c r="DRY47" s="83"/>
      <c r="DRZ47" s="83"/>
      <c r="DSA47" s="83"/>
      <c r="DSB47" s="83"/>
      <c r="DSC47" s="83"/>
      <c r="DSD47" s="83"/>
      <c r="DSE47" s="83"/>
      <c r="DSF47" s="83"/>
      <c r="DSG47" s="83"/>
      <c r="DSH47" s="83"/>
      <c r="DSI47" s="83"/>
      <c r="DSJ47" s="83"/>
      <c r="DSK47" s="83"/>
      <c r="DSL47" s="83"/>
      <c r="DSM47" s="83"/>
      <c r="DSN47" s="83"/>
      <c r="DSO47" s="83"/>
      <c r="DSP47" s="83"/>
      <c r="DSQ47" s="83"/>
      <c r="DSR47" s="83"/>
      <c r="DSS47" s="83"/>
      <c r="DST47" s="83"/>
      <c r="DSU47" s="83"/>
      <c r="DSV47" s="83"/>
      <c r="DSW47" s="83"/>
      <c r="DSX47" s="83"/>
      <c r="DSY47" s="83"/>
      <c r="DSZ47" s="83"/>
      <c r="DTA47" s="83"/>
      <c r="DTB47" s="83"/>
      <c r="DTC47" s="83"/>
      <c r="DTD47" s="83"/>
      <c r="DTE47" s="83"/>
      <c r="DTF47" s="83"/>
      <c r="DTG47" s="83"/>
      <c r="DTH47" s="83"/>
      <c r="DTI47" s="83"/>
      <c r="DTJ47" s="83"/>
      <c r="DTK47" s="83"/>
      <c r="DTL47" s="83"/>
      <c r="DTM47" s="83"/>
      <c r="DTN47" s="83"/>
      <c r="DTO47" s="83"/>
      <c r="DTP47" s="83"/>
      <c r="DTQ47" s="83"/>
      <c r="DTR47" s="83"/>
      <c r="DTS47" s="83"/>
      <c r="DTT47" s="83"/>
      <c r="DTU47" s="83"/>
      <c r="DTV47" s="83"/>
      <c r="DTW47" s="83"/>
      <c r="DTX47" s="83"/>
      <c r="DTY47" s="83"/>
      <c r="DTZ47" s="83"/>
      <c r="DUA47" s="83"/>
      <c r="DUB47" s="83"/>
      <c r="DUC47" s="83"/>
      <c r="DUD47" s="83"/>
      <c r="DUE47" s="83"/>
      <c r="DUF47" s="83"/>
      <c r="DUG47" s="83"/>
      <c r="DUH47" s="83"/>
      <c r="DUI47" s="83"/>
      <c r="DUJ47" s="83"/>
      <c r="DUK47" s="83"/>
      <c r="DUL47" s="83"/>
      <c r="DUM47" s="83"/>
      <c r="DUN47" s="83"/>
      <c r="DUO47" s="83"/>
      <c r="DUP47" s="83"/>
      <c r="DUQ47" s="83"/>
      <c r="DUR47" s="83"/>
      <c r="DUS47" s="83"/>
      <c r="DUT47" s="83"/>
      <c r="DUU47" s="83"/>
      <c r="DUV47" s="83"/>
      <c r="DUW47" s="83"/>
      <c r="DUX47" s="83"/>
      <c r="DUY47" s="83"/>
      <c r="DUZ47" s="83"/>
      <c r="DVA47" s="83"/>
      <c r="DVB47" s="83"/>
      <c r="DVC47" s="83"/>
      <c r="DVD47" s="83"/>
      <c r="DVE47" s="83"/>
      <c r="DVF47" s="83"/>
      <c r="DVG47" s="83"/>
      <c r="DVH47" s="83"/>
      <c r="DVI47" s="83"/>
      <c r="DVJ47" s="83"/>
      <c r="DVK47" s="83"/>
      <c r="DVL47" s="83"/>
      <c r="DVM47" s="83"/>
      <c r="DVN47" s="83"/>
      <c r="DVO47" s="83"/>
      <c r="DVP47" s="83"/>
      <c r="DVQ47" s="83"/>
      <c r="DVR47" s="83"/>
      <c r="DVS47" s="83"/>
      <c r="DVT47" s="83"/>
      <c r="DVU47" s="83"/>
      <c r="DVV47" s="83"/>
      <c r="DVW47" s="83"/>
      <c r="DVX47" s="83"/>
      <c r="DVY47" s="83"/>
      <c r="DVZ47" s="83"/>
      <c r="DWA47" s="83"/>
      <c r="DWB47" s="83"/>
      <c r="DWC47" s="83"/>
      <c r="DWD47" s="83"/>
      <c r="DWE47" s="83"/>
      <c r="DWF47" s="83"/>
      <c r="DWG47" s="83"/>
      <c r="DWH47" s="83"/>
      <c r="DWI47" s="83"/>
      <c r="DWJ47" s="83"/>
      <c r="DWK47" s="83"/>
      <c r="DWL47" s="83"/>
      <c r="DWM47" s="83"/>
      <c r="DWN47" s="83"/>
      <c r="DWO47" s="83"/>
      <c r="DWP47" s="83"/>
      <c r="DWQ47" s="83"/>
      <c r="DWR47" s="83"/>
      <c r="DWS47" s="83"/>
      <c r="DWT47" s="83"/>
      <c r="DWU47" s="83"/>
      <c r="DWV47" s="83"/>
      <c r="DWW47" s="83"/>
      <c r="DWX47" s="83"/>
      <c r="DWY47" s="83"/>
      <c r="DWZ47" s="83"/>
      <c r="DXA47" s="83"/>
      <c r="DXB47" s="83"/>
      <c r="DXC47" s="83"/>
      <c r="DXD47" s="83"/>
      <c r="DXE47" s="83"/>
      <c r="DXF47" s="83"/>
      <c r="DXG47" s="83"/>
      <c r="DXH47" s="83"/>
      <c r="DXI47" s="83"/>
      <c r="DXJ47" s="83"/>
      <c r="DXK47" s="83"/>
      <c r="DXL47" s="83"/>
      <c r="DXM47" s="83"/>
      <c r="DXN47" s="83"/>
      <c r="DXO47" s="83"/>
      <c r="DXP47" s="83"/>
      <c r="DXQ47" s="83"/>
      <c r="DXR47" s="83"/>
      <c r="DXS47" s="83"/>
      <c r="DXT47" s="83"/>
      <c r="DXU47" s="83"/>
      <c r="DXV47" s="83"/>
      <c r="DXW47" s="83"/>
      <c r="DXX47" s="83"/>
      <c r="DXY47" s="83"/>
      <c r="DXZ47" s="83"/>
      <c r="DYA47" s="83"/>
      <c r="DYB47" s="83"/>
      <c r="DYC47" s="83"/>
      <c r="DYD47" s="83"/>
      <c r="DYE47" s="83"/>
      <c r="DYF47" s="83"/>
      <c r="DYG47" s="83"/>
      <c r="DYH47" s="83"/>
      <c r="DYI47" s="83"/>
      <c r="DYJ47" s="83"/>
      <c r="DYK47" s="83"/>
      <c r="DYL47" s="83"/>
      <c r="DYM47" s="83"/>
      <c r="DYN47" s="83"/>
      <c r="DYO47" s="83"/>
      <c r="DYP47" s="83"/>
      <c r="DYQ47" s="83"/>
      <c r="DYR47" s="83"/>
      <c r="DYS47" s="83"/>
      <c r="DYT47" s="83"/>
      <c r="DYU47" s="83"/>
      <c r="DYV47" s="83"/>
      <c r="DYW47" s="83"/>
      <c r="DYX47" s="83"/>
      <c r="DYY47" s="83"/>
      <c r="DYZ47" s="83"/>
      <c r="DZA47" s="83"/>
      <c r="DZB47" s="83"/>
      <c r="DZC47" s="83"/>
      <c r="DZD47" s="83"/>
      <c r="DZE47" s="83"/>
      <c r="DZF47" s="83"/>
      <c r="DZG47" s="83"/>
      <c r="DZH47" s="83"/>
      <c r="DZI47" s="83"/>
      <c r="DZJ47" s="83"/>
      <c r="DZK47" s="83"/>
      <c r="DZL47" s="83"/>
      <c r="DZM47" s="83"/>
      <c r="DZN47" s="83"/>
      <c r="DZO47" s="83"/>
      <c r="DZP47" s="83"/>
      <c r="DZQ47" s="83"/>
      <c r="DZR47" s="83"/>
      <c r="DZS47" s="83"/>
      <c r="DZT47" s="83"/>
      <c r="DZU47" s="83"/>
      <c r="DZV47" s="83"/>
      <c r="DZW47" s="83"/>
      <c r="DZX47" s="83"/>
      <c r="DZY47" s="83"/>
      <c r="DZZ47" s="83"/>
      <c r="EAA47" s="83"/>
      <c r="EAB47" s="83"/>
      <c r="EAC47" s="83"/>
      <c r="EAD47" s="83"/>
      <c r="EAE47" s="83"/>
      <c r="EAF47" s="83"/>
      <c r="EAG47" s="83"/>
      <c r="EAH47" s="83"/>
      <c r="EAI47" s="83"/>
      <c r="EAJ47" s="83"/>
      <c r="EAK47" s="83"/>
      <c r="EAL47" s="83"/>
      <c r="EAM47" s="83"/>
      <c r="EAN47" s="83"/>
      <c r="EAO47" s="83"/>
      <c r="EAP47" s="83"/>
      <c r="EAQ47" s="83"/>
      <c r="EAR47" s="83"/>
      <c r="EAS47" s="83"/>
      <c r="EAT47" s="83"/>
      <c r="EAU47" s="83"/>
      <c r="EAV47" s="83"/>
      <c r="EAW47" s="83"/>
      <c r="EAX47" s="83"/>
      <c r="EAY47" s="83"/>
      <c r="EAZ47" s="83"/>
      <c r="EBA47" s="83"/>
      <c r="EBB47" s="83"/>
      <c r="EBC47" s="83"/>
      <c r="EBD47" s="83"/>
      <c r="EBE47" s="83"/>
      <c r="EBF47" s="83"/>
      <c r="EBG47" s="83"/>
      <c r="EBH47" s="83"/>
      <c r="EBI47" s="83"/>
      <c r="EBJ47" s="83"/>
      <c r="EBK47" s="83"/>
      <c r="EBL47" s="83"/>
      <c r="EBM47" s="83"/>
      <c r="EBN47" s="83"/>
      <c r="EBO47" s="83"/>
      <c r="EBP47" s="83"/>
      <c r="EBQ47" s="83"/>
      <c r="EBR47" s="83"/>
      <c r="EBS47" s="83"/>
      <c r="EBT47" s="83"/>
      <c r="EBU47" s="83"/>
      <c r="EBV47" s="83"/>
      <c r="EBW47" s="83"/>
      <c r="EBX47" s="83"/>
      <c r="EBY47" s="83"/>
      <c r="EBZ47" s="83"/>
      <c r="ECA47" s="83"/>
      <c r="ECB47" s="83"/>
      <c r="ECC47" s="83"/>
      <c r="ECD47" s="83"/>
      <c r="ECE47" s="83"/>
      <c r="ECF47" s="83"/>
      <c r="ECG47" s="83"/>
      <c r="ECH47" s="83"/>
      <c r="ECI47" s="83"/>
      <c r="ECJ47" s="83"/>
      <c r="ECK47" s="83"/>
      <c r="ECL47" s="83"/>
      <c r="ECM47" s="83"/>
      <c r="ECN47" s="83"/>
      <c r="ECO47" s="83"/>
      <c r="ECP47" s="83"/>
      <c r="ECQ47" s="83"/>
      <c r="ECR47" s="83"/>
      <c r="ECS47" s="83"/>
      <c r="ECT47" s="83"/>
      <c r="ECU47" s="83"/>
      <c r="ECV47" s="83"/>
      <c r="ECW47" s="83"/>
      <c r="ECX47" s="83"/>
      <c r="ECY47" s="83"/>
      <c r="ECZ47" s="83"/>
      <c r="EDA47" s="83"/>
      <c r="EDB47" s="83"/>
      <c r="EDC47" s="83"/>
      <c r="EDD47" s="83"/>
      <c r="EDE47" s="83"/>
      <c r="EDF47" s="83"/>
      <c r="EDG47" s="83"/>
      <c r="EDH47" s="83"/>
      <c r="EDI47" s="83"/>
      <c r="EDJ47" s="83"/>
      <c r="EDK47" s="83"/>
      <c r="EDL47" s="83"/>
      <c r="EDM47" s="83"/>
      <c r="EDN47" s="83"/>
      <c r="EDO47" s="83"/>
      <c r="EDP47" s="83"/>
      <c r="EDQ47" s="83"/>
      <c r="EDR47" s="83"/>
      <c r="EDS47" s="83"/>
      <c r="EDT47" s="83"/>
      <c r="EDU47" s="83"/>
      <c r="EDV47" s="83"/>
      <c r="EDW47" s="83"/>
      <c r="EDX47" s="83"/>
      <c r="EDY47" s="83"/>
      <c r="EDZ47" s="83"/>
      <c r="EEA47" s="83"/>
      <c r="EEB47" s="83"/>
      <c r="EEC47" s="83"/>
      <c r="EED47" s="83"/>
      <c r="EEE47" s="83"/>
      <c r="EEF47" s="83"/>
      <c r="EEG47" s="83"/>
      <c r="EEH47" s="83"/>
      <c r="EEI47" s="83"/>
      <c r="EEJ47" s="83"/>
      <c r="EEK47" s="83"/>
      <c r="EEL47" s="83"/>
      <c r="EEM47" s="83"/>
      <c r="EEN47" s="83"/>
      <c r="EEO47" s="83"/>
      <c r="EEP47" s="83"/>
      <c r="EEQ47" s="83"/>
      <c r="EER47" s="83"/>
      <c r="EES47" s="83"/>
      <c r="EET47" s="83"/>
      <c r="EEU47" s="83"/>
      <c r="EEV47" s="83"/>
      <c r="EEW47" s="83"/>
      <c r="EEX47" s="83"/>
      <c r="EEY47" s="83"/>
      <c r="EEZ47" s="83"/>
      <c r="EFA47" s="83"/>
      <c r="EFB47" s="83"/>
      <c r="EFC47" s="83"/>
      <c r="EFD47" s="83"/>
      <c r="EFE47" s="83"/>
      <c r="EFF47" s="83"/>
      <c r="EFG47" s="83"/>
      <c r="EFH47" s="83"/>
      <c r="EFI47" s="83"/>
      <c r="EFJ47" s="83"/>
      <c r="EFK47" s="83"/>
      <c r="EFL47" s="83"/>
      <c r="EFM47" s="83"/>
      <c r="EFN47" s="83"/>
      <c r="EFO47" s="83"/>
      <c r="EFP47" s="83"/>
      <c r="EFQ47" s="83"/>
      <c r="EFR47" s="83"/>
      <c r="EFS47" s="83"/>
      <c r="EFT47" s="83"/>
      <c r="EFU47" s="83"/>
      <c r="EFV47" s="83"/>
      <c r="EFW47" s="83"/>
      <c r="EFX47" s="83"/>
      <c r="EFY47" s="83"/>
      <c r="EFZ47" s="83"/>
      <c r="EGA47" s="83"/>
      <c r="EGB47" s="83"/>
      <c r="EGC47" s="83"/>
      <c r="EGD47" s="83"/>
      <c r="EGE47" s="83"/>
      <c r="EGF47" s="83"/>
      <c r="EGG47" s="83"/>
      <c r="EGH47" s="83"/>
      <c r="EGI47" s="83"/>
      <c r="EGJ47" s="83"/>
      <c r="EGK47" s="83"/>
      <c r="EGL47" s="83"/>
      <c r="EGM47" s="83"/>
      <c r="EGN47" s="83"/>
      <c r="EGO47" s="83"/>
      <c r="EGP47" s="83"/>
      <c r="EGQ47" s="83"/>
      <c r="EGR47" s="83"/>
      <c r="EGS47" s="83"/>
      <c r="EGT47" s="83"/>
      <c r="EGU47" s="83"/>
      <c r="EGV47" s="83"/>
      <c r="EGW47" s="83"/>
      <c r="EGX47" s="83"/>
      <c r="EGY47" s="83"/>
      <c r="EGZ47" s="83"/>
      <c r="EHA47" s="83"/>
      <c r="EHB47" s="83"/>
      <c r="EHC47" s="83"/>
      <c r="EHD47" s="83"/>
      <c r="EHE47" s="83"/>
      <c r="EHF47" s="83"/>
      <c r="EHG47" s="83"/>
      <c r="EHH47" s="83"/>
      <c r="EHI47" s="83"/>
      <c r="EHJ47" s="83"/>
      <c r="EHK47" s="83"/>
      <c r="EHL47" s="83"/>
      <c r="EHM47" s="83"/>
      <c r="EHN47" s="83"/>
      <c r="EHO47" s="83"/>
      <c r="EHP47" s="83"/>
      <c r="EHQ47" s="83"/>
      <c r="EHR47" s="83"/>
      <c r="EHS47" s="83"/>
      <c r="EHT47" s="83"/>
      <c r="EHU47" s="83"/>
      <c r="EHV47" s="83"/>
      <c r="EHW47" s="83"/>
      <c r="EHX47" s="83"/>
      <c r="EHY47" s="83"/>
      <c r="EHZ47" s="83"/>
      <c r="EIA47" s="83"/>
      <c r="EIB47" s="83"/>
      <c r="EIC47" s="83"/>
      <c r="EID47" s="83"/>
      <c r="EIE47" s="83"/>
      <c r="EIF47" s="83"/>
      <c r="EIG47" s="83"/>
      <c r="EIH47" s="83"/>
      <c r="EII47" s="83"/>
      <c r="EIJ47" s="83"/>
      <c r="EIK47" s="83"/>
      <c r="EIL47" s="83"/>
      <c r="EIM47" s="83"/>
      <c r="EIN47" s="83"/>
      <c r="EIO47" s="83"/>
      <c r="EIP47" s="83"/>
      <c r="EIQ47" s="83"/>
      <c r="EIR47" s="83"/>
      <c r="EIS47" s="83"/>
      <c r="EIT47" s="83"/>
      <c r="EIU47" s="83"/>
      <c r="EIV47" s="83"/>
      <c r="EIW47" s="83"/>
      <c r="EIX47" s="83"/>
      <c r="EIY47" s="83"/>
      <c r="EIZ47" s="83"/>
      <c r="EJA47" s="83"/>
      <c r="EJB47" s="83"/>
      <c r="EJC47" s="83"/>
      <c r="EJD47" s="83"/>
      <c r="EJE47" s="83"/>
      <c r="EJF47" s="83"/>
      <c r="EJG47" s="83"/>
      <c r="EJH47" s="83"/>
      <c r="EJI47" s="83"/>
      <c r="EJJ47" s="83"/>
      <c r="EJK47" s="83"/>
      <c r="EJL47" s="83"/>
      <c r="EJM47" s="83"/>
      <c r="EJN47" s="83"/>
      <c r="EJO47" s="83"/>
      <c r="EJP47" s="83"/>
      <c r="EJQ47" s="83"/>
      <c r="EJR47" s="83"/>
      <c r="EJS47" s="83"/>
      <c r="EJT47" s="83"/>
      <c r="EJU47" s="83"/>
      <c r="EJV47" s="83"/>
      <c r="EJW47" s="83"/>
      <c r="EJX47" s="83"/>
      <c r="EJY47" s="83"/>
      <c r="EJZ47" s="83"/>
      <c r="EKA47" s="83"/>
      <c r="EKB47" s="83"/>
      <c r="EKC47" s="83"/>
      <c r="EKD47" s="83"/>
      <c r="EKE47" s="83"/>
      <c r="EKF47" s="83"/>
      <c r="EKG47" s="83"/>
      <c r="EKH47" s="83"/>
      <c r="EKI47" s="83"/>
      <c r="EKJ47" s="83"/>
      <c r="EKK47" s="83"/>
      <c r="EKL47" s="83"/>
      <c r="EKM47" s="83"/>
      <c r="EKN47" s="83"/>
      <c r="EKO47" s="83"/>
      <c r="EKP47" s="83"/>
      <c r="EKQ47" s="83"/>
      <c r="EKR47" s="83"/>
      <c r="EKS47" s="83"/>
      <c r="EKT47" s="83"/>
      <c r="EKU47" s="83"/>
      <c r="EKV47" s="83"/>
      <c r="EKW47" s="83"/>
      <c r="EKX47" s="83"/>
      <c r="EKY47" s="83"/>
      <c r="EKZ47" s="83"/>
      <c r="ELA47" s="83"/>
      <c r="ELB47" s="83"/>
      <c r="ELC47" s="83"/>
      <c r="ELD47" s="83"/>
      <c r="ELE47" s="83"/>
      <c r="ELF47" s="83"/>
      <c r="ELG47" s="83"/>
      <c r="ELH47" s="83"/>
      <c r="ELI47" s="83"/>
      <c r="ELJ47" s="83"/>
      <c r="ELK47" s="83"/>
      <c r="ELL47" s="83"/>
      <c r="ELM47" s="83"/>
      <c r="ELN47" s="83"/>
      <c r="ELO47" s="83"/>
      <c r="ELP47" s="83"/>
      <c r="ELQ47" s="83"/>
      <c r="ELR47" s="83"/>
      <c r="ELS47" s="83"/>
      <c r="ELT47" s="83"/>
      <c r="ELU47" s="83"/>
      <c r="ELV47" s="83"/>
      <c r="ELW47" s="83"/>
      <c r="ELX47" s="83"/>
      <c r="ELY47" s="83"/>
      <c r="ELZ47" s="83"/>
      <c r="EMA47" s="83"/>
      <c r="EMB47" s="83"/>
      <c r="EMC47" s="83"/>
      <c r="EMD47" s="83"/>
      <c r="EME47" s="83"/>
      <c r="EMF47" s="83"/>
      <c r="EMG47" s="83"/>
      <c r="EMH47" s="83"/>
      <c r="EMI47" s="83"/>
      <c r="EMJ47" s="83"/>
      <c r="EMK47" s="83"/>
      <c r="EML47" s="83"/>
      <c r="EMM47" s="83"/>
      <c r="EMN47" s="83"/>
      <c r="EMO47" s="83"/>
      <c r="EMP47" s="83"/>
      <c r="EMQ47" s="83"/>
      <c r="EMR47" s="83"/>
      <c r="EMS47" s="83"/>
      <c r="EMT47" s="83"/>
      <c r="EMU47" s="83"/>
      <c r="EMV47" s="83"/>
      <c r="EMW47" s="83"/>
      <c r="EMX47" s="83"/>
      <c r="EMY47" s="83"/>
      <c r="EMZ47" s="83"/>
      <c r="ENA47" s="83"/>
      <c r="ENB47" s="83"/>
      <c r="ENC47" s="83"/>
      <c r="END47" s="83"/>
      <c r="ENE47" s="83"/>
      <c r="ENF47" s="83"/>
      <c r="ENG47" s="83"/>
      <c r="ENH47" s="83"/>
      <c r="ENI47" s="83"/>
      <c r="ENJ47" s="83"/>
      <c r="ENK47" s="83"/>
      <c r="ENL47" s="83"/>
      <c r="ENM47" s="83"/>
      <c r="ENN47" s="83"/>
      <c r="ENO47" s="83"/>
      <c r="ENP47" s="83"/>
      <c r="ENQ47" s="83"/>
      <c r="ENR47" s="83"/>
      <c r="ENS47" s="83"/>
      <c r="ENT47" s="83"/>
      <c r="ENU47" s="83"/>
      <c r="ENV47" s="83"/>
      <c r="ENW47" s="83"/>
      <c r="ENX47" s="83"/>
      <c r="ENY47" s="83"/>
      <c r="ENZ47" s="83"/>
      <c r="EOA47" s="83"/>
      <c r="EOB47" s="83"/>
      <c r="EOC47" s="83"/>
      <c r="EOD47" s="83"/>
      <c r="EOE47" s="83"/>
      <c r="EOF47" s="83"/>
      <c r="EOG47" s="83"/>
      <c r="EOH47" s="83"/>
      <c r="EOI47" s="83"/>
      <c r="EOJ47" s="83"/>
      <c r="EOK47" s="83"/>
      <c r="EOL47" s="83"/>
      <c r="EOM47" s="83"/>
      <c r="EON47" s="83"/>
      <c r="EOO47" s="83"/>
      <c r="EOP47" s="83"/>
      <c r="EOQ47" s="83"/>
      <c r="EOR47" s="83"/>
      <c r="EOS47" s="83"/>
      <c r="EOT47" s="83"/>
      <c r="EOU47" s="83"/>
      <c r="EOV47" s="83"/>
      <c r="EOW47" s="83"/>
      <c r="EOX47" s="83"/>
      <c r="EOY47" s="83"/>
      <c r="EOZ47" s="83"/>
      <c r="EPA47" s="83"/>
      <c r="EPB47" s="83"/>
      <c r="EPC47" s="83"/>
      <c r="EPD47" s="83"/>
      <c r="EPE47" s="83"/>
      <c r="EPF47" s="83"/>
      <c r="EPG47" s="83"/>
      <c r="EPH47" s="83"/>
      <c r="EPI47" s="83"/>
      <c r="EPJ47" s="83"/>
      <c r="EPK47" s="83"/>
      <c r="EPL47" s="83"/>
      <c r="EPM47" s="83"/>
      <c r="EPN47" s="83"/>
      <c r="EPO47" s="83"/>
      <c r="EPP47" s="83"/>
      <c r="EPQ47" s="83"/>
      <c r="EPR47" s="83"/>
      <c r="EPS47" s="83"/>
      <c r="EPT47" s="83"/>
      <c r="EPU47" s="83"/>
      <c r="EPV47" s="83"/>
      <c r="EPW47" s="83"/>
      <c r="EPX47" s="83"/>
      <c r="EPY47" s="83"/>
      <c r="EPZ47" s="83"/>
      <c r="EQA47" s="83"/>
      <c r="EQB47" s="83"/>
      <c r="EQC47" s="83"/>
      <c r="EQD47" s="83"/>
      <c r="EQE47" s="83"/>
      <c r="EQF47" s="83"/>
      <c r="EQG47" s="83"/>
      <c r="EQH47" s="83"/>
      <c r="EQI47" s="83"/>
      <c r="EQJ47" s="83"/>
      <c r="EQK47" s="83"/>
      <c r="EQL47" s="83"/>
      <c r="EQM47" s="83"/>
      <c r="EQN47" s="83"/>
      <c r="EQO47" s="83"/>
      <c r="EQP47" s="83"/>
      <c r="EQQ47" s="83"/>
      <c r="EQR47" s="83"/>
      <c r="EQS47" s="83"/>
      <c r="EQT47" s="83"/>
      <c r="EQU47" s="83"/>
      <c r="EQV47" s="83"/>
      <c r="EQW47" s="83"/>
      <c r="EQX47" s="83"/>
      <c r="EQY47" s="83"/>
      <c r="EQZ47" s="83"/>
      <c r="ERA47" s="83"/>
      <c r="ERB47" s="83"/>
      <c r="ERC47" s="83"/>
      <c r="ERD47" s="83"/>
      <c r="ERE47" s="83"/>
      <c r="ERF47" s="83"/>
      <c r="ERG47" s="83"/>
      <c r="ERH47" s="83"/>
      <c r="ERI47" s="83"/>
      <c r="ERJ47" s="83"/>
      <c r="ERK47" s="83"/>
      <c r="ERL47" s="83"/>
      <c r="ERM47" s="83"/>
      <c r="ERN47" s="83"/>
      <c r="ERO47" s="83"/>
      <c r="ERP47" s="83"/>
      <c r="ERQ47" s="83"/>
      <c r="ERR47" s="83"/>
      <c r="ERS47" s="83"/>
      <c r="ERT47" s="83"/>
      <c r="ERU47" s="83"/>
      <c r="ERV47" s="83"/>
      <c r="ERW47" s="83"/>
      <c r="ERX47" s="83"/>
      <c r="ERY47" s="83"/>
      <c r="ERZ47" s="83"/>
      <c r="ESA47" s="83"/>
      <c r="ESB47" s="83"/>
      <c r="ESC47" s="83"/>
      <c r="ESD47" s="83"/>
      <c r="ESE47" s="83"/>
      <c r="ESF47" s="83"/>
      <c r="ESG47" s="83"/>
      <c r="ESH47" s="83"/>
      <c r="ESI47" s="83"/>
      <c r="ESJ47" s="83"/>
      <c r="ESK47" s="83"/>
      <c r="ESL47" s="83"/>
      <c r="ESM47" s="83"/>
      <c r="ESN47" s="83"/>
      <c r="ESO47" s="83"/>
      <c r="ESP47" s="83"/>
      <c r="ESQ47" s="83"/>
      <c r="ESR47" s="83"/>
      <c r="ESS47" s="83"/>
      <c r="EST47" s="83"/>
      <c r="ESU47" s="83"/>
      <c r="ESV47" s="83"/>
      <c r="ESW47" s="83"/>
      <c r="ESX47" s="83"/>
      <c r="ESY47" s="83"/>
      <c r="ESZ47" s="83"/>
      <c r="ETA47" s="83"/>
      <c r="ETB47" s="83"/>
      <c r="ETC47" s="83"/>
      <c r="ETD47" s="83"/>
      <c r="ETE47" s="83"/>
      <c r="ETF47" s="83"/>
      <c r="ETG47" s="83"/>
      <c r="ETH47" s="83"/>
      <c r="ETI47" s="83"/>
      <c r="ETJ47" s="83"/>
      <c r="ETK47" s="83"/>
      <c r="ETL47" s="83"/>
      <c r="ETM47" s="83"/>
      <c r="ETN47" s="83"/>
      <c r="ETO47" s="83"/>
      <c r="ETP47" s="83"/>
      <c r="ETQ47" s="83"/>
      <c r="ETR47" s="83"/>
      <c r="ETS47" s="83"/>
      <c r="ETT47" s="83"/>
      <c r="ETU47" s="83"/>
      <c r="ETV47" s="83"/>
      <c r="ETW47" s="83"/>
      <c r="ETX47" s="83"/>
      <c r="ETY47" s="83"/>
      <c r="ETZ47" s="83"/>
      <c r="EUA47" s="83"/>
      <c r="EUB47" s="83"/>
      <c r="EUC47" s="83"/>
      <c r="EUD47" s="83"/>
      <c r="EUE47" s="83"/>
      <c r="EUF47" s="83"/>
      <c r="EUG47" s="83"/>
      <c r="EUH47" s="83"/>
      <c r="EUI47" s="83"/>
      <c r="EUJ47" s="83"/>
      <c r="EUK47" s="83"/>
      <c r="EUL47" s="83"/>
      <c r="EUM47" s="83"/>
      <c r="EUN47" s="83"/>
      <c r="EUO47" s="83"/>
      <c r="EUP47" s="83"/>
      <c r="EUQ47" s="83"/>
      <c r="EUR47" s="83"/>
      <c r="EUS47" s="83"/>
      <c r="EUT47" s="83"/>
      <c r="EUU47" s="83"/>
      <c r="EUV47" s="83"/>
      <c r="EUW47" s="83"/>
      <c r="EUX47" s="83"/>
      <c r="EUY47" s="83"/>
      <c r="EUZ47" s="83"/>
      <c r="EVA47" s="83"/>
      <c r="EVB47" s="83"/>
      <c r="EVC47" s="83"/>
      <c r="EVD47" s="83"/>
      <c r="EVE47" s="83"/>
      <c r="EVF47" s="83"/>
      <c r="EVG47" s="83"/>
      <c r="EVH47" s="83"/>
      <c r="EVI47" s="83"/>
      <c r="EVJ47" s="83"/>
      <c r="EVK47" s="83"/>
      <c r="EVL47" s="83"/>
      <c r="EVM47" s="83"/>
      <c r="EVN47" s="83"/>
      <c r="EVO47" s="83"/>
      <c r="EVP47" s="83"/>
      <c r="EVQ47" s="83"/>
      <c r="EVR47" s="83"/>
      <c r="EVS47" s="83"/>
      <c r="EVT47" s="83"/>
      <c r="EVU47" s="83"/>
      <c r="EVV47" s="83"/>
      <c r="EVW47" s="83"/>
      <c r="EVX47" s="83"/>
      <c r="EVY47" s="83"/>
      <c r="EVZ47" s="83"/>
      <c r="EWA47" s="83"/>
      <c r="EWB47" s="83"/>
      <c r="EWC47" s="83"/>
      <c r="EWD47" s="83"/>
      <c r="EWE47" s="83"/>
      <c r="EWF47" s="83"/>
      <c r="EWG47" s="83"/>
      <c r="EWH47" s="83"/>
      <c r="EWI47" s="83"/>
      <c r="EWJ47" s="83"/>
      <c r="EWK47" s="83"/>
      <c r="EWL47" s="83"/>
      <c r="EWM47" s="83"/>
      <c r="EWN47" s="83"/>
      <c r="EWO47" s="83"/>
      <c r="EWP47" s="83"/>
      <c r="EWQ47" s="83"/>
      <c r="EWR47" s="83"/>
      <c r="EWS47" s="83"/>
      <c r="EWT47" s="83"/>
      <c r="EWU47" s="83"/>
      <c r="EWV47" s="83"/>
      <c r="EWW47" s="83"/>
      <c r="EWX47" s="83"/>
      <c r="EWY47" s="83"/>
      <c r="EWZ47" s="83"/>
      <c r="EXA47" s="83"/>
      <c r="EXB47" s="83"/>
      <c r="EXC47" s="83"/>
      <c r="EXD47" s="83"/>
      <c r="EXE47" s="83"/>
      <c r="EXF47" s="83"/>
      <c r="EXG47" s="83"/>
      <c r="EXH47" s="83"/>
      <c r="EXI47" s="83"/>
      <c r="EXJ47" s="83"/>
      <c r="EXK47" s="83"/>
      <c r="EXL47" s="83"/>
      <c r="EXM47" s="83"/>
      <c r="EXN47" s="83"/>
      <c r="EXO47" s="83"/>
      <c r="EXP47" s="83"/>
      <c r="EXQ47" s="83"/>
      <c r="EXR47" s="83"/>
      <c r="EXS47" s="83"/>
      <c r="EXT47" s="83"/>
      <c r="EXU47" s="83"/>
      <c r="EXV47" s="83"/>
      <c r="EXW47" s="83"/>
      <c r="EXX47" s="83"/>
      <c r="EXY47" s="83"/>
      <c r="EXZ47" s="83"/>
      <c r="EYA47" s="83"/>
      <c r="EYB47" s="83"/>
      <c r="EYC47" s="83"/>
      <c r="EYD47" s="83"/>
      <c r="EYE47" s="83"/>
      <c r="EYF47" s="83"/>
      <c r="EYG47" s="83"/>
      <c r="EYH47" s="83"/>
      <c r="EYI47" s="83"/>
      <c r="EYJ47" s="83"/>
      <c r="EYK47" s="83"/>
      <c r="EYL47" s="83"/>
      <c r="EYM47" s="83"/>
      <c r="EYN47" s="83"/>
      <c r="EYO47" s="83"/>
      <c r="EYP47" s="83"/>
      <c r="EYQ47" s="83"/>
      <c r="EYR47" s="83"/>
      <c r="EYS47" s="83"/>
      <c r="EYT47" s="83"/>
      <c r="EYU47" s="83"/>
      <c r="EYV47" s="83"/>
      <c r="EYW47" s="83"/>
      <c r="EYX47" s="83"/>
      <c r="EYY47" s="83"/>
      <c r="EYZ47" s="83"/>
      <c r="EZA47" s="83"/>
      <c r="EZB47" s="83"/>
      <c r="EZC47" s="83"/>
      <c r="EZD47" s="83"/>
      <c r="EZE47" s="83"/>
      <c r="EZF47" s="83"/>
      <c r="EZG47" s="83"/>
      <c r="EZH47" s="83"/>
      <c r="EZI47" s="83"/>
      <c r="EZJ47" s="83"/>
      <c r="EZK47" s="83"/>
      <c r="EZL47" s="83"/>
      <c r="EZM47" s="83"/>
      <c r="EZN47" s="83"/>
      <c r="EZO47" s="83"/>
      <c r="EZP47" s="83"/>
      <c r="EZQ47" s="83"/>
      <c r="EZR47" s="83"/>
      <c r="EZS47" s="83"/>
      <c r="EZT47" s="83"/>
      <c r="EZU47" s="83"/>
      <c r="EZV47" s="83"/>
      <c r="EZW47" s="83"/>
      <c r="EZX47" s="83"/>
      <c r="EZY47" s="83"/>
      <c r="EZZ47" s="83"/>
      <c r="FAA47" s="83"/>
      <c r="FAB47" s="83"/>
      <c r="FAC47" s="83"/>
      <c r="FAD47" s="83"/>
      <c r="FAE47" s="83"/>
      <c r="FAF47" s="83"/>
      <c r="FAG47" s="83"/>
      <c r="FAH47" s="83"/>
      <c r="FAI47" s="83"/>
      <c r="FAJ47" s="83"/>
      <c r="FAK47" s="83"/>
      <c r="FAL47" s="83"/>
      <c r="FAM47" s="83"/>
      <c r="FAN47" s="83"/>
      <c r="FAO47" s="83"/>
      <c r="FAP47" s="83"/>
      <c r="FAQ47" s="83"/>
      <c r="FAR47" s="83"/>
      <c r="FAS47" s="83"/>
      <c r="FAT47" s="83"/>
      <c r="FAU47" s="83"/>
      <c r="FAV47" s="83"/>
      <c r="FAW47" s="83"/>
      <c r="FAX47" s="83"/>
      <c r="FAY47" s="83"/>
      <c r="FAZ47" s="83"/>
      <c r="FBA47" s="83"/>
      <c r="FBB47" s="83"/>
      <c r="FBC47" s="83"/>
      <c r="FBD47" s="83"/>
      <c r="FBE47" s="83"/>
      <c r="FBF47" s="83"/>
      <c r="FBG47" s="83"/>
      <c r="FBH47" s="83"/>
      <c r="FBI47" s="83"/>
      <c r="FBJ47" s="83"/>
      <c r="FBK47" s="83"/>
      <c r="FBL47" s="83"/>
      <c r="FBM47" s="83"/>
      <c r="FBN47" s="83"/>
      <c r="FBO47" s="83"/>
      <c r="FBP47" s="83"/>
      <c r="FBQ47" s="83"/>
      <c r="FBR47" s="83"/>
      <c r="FBS47" s="83"/>
      <c r="FBT47" s="83"/>
      <c r="FBU47" s="83"/>
      <c r="FBV47" s="83"/>
      <c r="FBW47" s="83"/>
      <c r="FBX47" s="83"/>
      <c r="FBY47" s="83"/>
      <c r="FBZ47" s="83"/>
      <c r="FCA47" s="83"/>
      <c r="FCB47" s="83"/>
      <c r="FCC47" s="83"/>
      <c r="FCD47" s="83"/>
      <c r="FCE47" s="83"/>
      <c r="FCF47" s="83"/>
      <c r="FCG47" s="83"/>
      <c r="FCH47" s="83"/>
      <c r="FCI47" s="83"/>
      <c r="FCJ47" s="83"/>
      <c r="FCK47" s="83"/>
      <c r="FCL47" s="83"/>
      <c r="FCM47" s="83"/>
      <c r="FCN47" s="83"/>
      <c r="FCO47" s="83"/>
      <c r="FCP47" s="83"/>
      <c r="FCQ47" s="83"/>
      <c r="FCR47" s="83"/>
      <c r="FCS47" s="83"/>
      <c r="FCT47" s="83"/>
      <c r="FCU47" s="83"/>
      <c r="FCV47" s="83"/>
      <c r="FCW47" s="83"/>
      <c r="FCX47" s="83"/>
      <c r="FCY47" s="83"/>
      <c r="FCZ47" s="83"/>
      <c r="FDA47" s="83"/>
      <c r="FDB47" s="83"/>
      <c r="FDC47" s="83"/>
      <c r="FDD47" s="83"/>
      <c r="FDE47" s="83"/>
      <c r="FDF47" s="83"/>
      <c r="FDG47" s="83"/>
      <c r="FDH47" s="83"/>
      <c r="FDI47" s="83"/>
      <c r="FDJ47" s="83"/>
      <c r="FDK47" s="83"/>
      <c r="FDL47" s="83"/>
      <c r="FDM47" s="83"/>
      <c r="FDN47" s="83"/>
      <c r="FDO47" s="83"/>
      <c r="FDP47" s="83"/>
      <c r="FDQ47" s="83"/>
      <c r="FDR47" s="83"/>
      <c r="FDS47" s="83"/>
      <c r="FDT47" s="83"/>
      <c r="FDU47" s="83"/>
      <c r="FDV47" s="83"/>
      <c r="FDW47" s="83"/>
      <c r="FDX47" s="83"/>
      <c r="FDY47" s="83"/>
      <c r="FDZ47" s="83"/>
      <c r="FEA47" s="83"/>
      <c r="FEB47" s="83"/>
      <c r="FEC47" s="83"/>
      <c r="FED47" s="83"/>
      <c r="FEE47" s="83"/>
      <c r="FEF47" s="83"/>
      <c r="FEG47" s="83"/>
      <c r="FEH47" s="83"/>
      <c r="FEI47" s="83"/>
      <c r="FEJ47" s="83"/>
      <c r="FEK47" s="83"/>
      <c r="FEL47" s="83"/>
      <c r="FEM47" s="83"/>
      <c r="FEN47" s="83"/>
      <c r="FEO47" s="83"/>
      <c r="FEP47" s="83"/>
      <c r="FEQ47" s="83"/>
      <c r="FER47" s="83"/>
      <c r="FES47" s="83"/>
      <c r="FET47" s="83"/>
      <c r="FEU47" s="83"/>
      <c r="FEV47" s="83"/>
      <c r="FEW47" s="83"/>
      <c r="FEX47" s="83"/>
      <c r="FEY47" s="83"/>
      <c r="FEZ47" s="83"/>
      <c r="FFA47" s="83"/>
      <c r="FFB47" s="83"/>
      <c r="FFC47" s="83"/>
      <c r="FFD47" s="83"/>
      <c r="FFE47" s="83"/>
      <c r="FFF47" s="83"/>
      <c r="FFG47" s="83"/>
      <c r="FFH47" s="83"/>
      <c r="FFI47" s="83"/>
      <c r="FFJ47" s="83"/>
      <c r="FFK47" s="83"/>
      <c r="FFL47" s="83"/>
      <c r="FFM47" s="83"/>
      <c r="FFN47" s="83"/>
      <c r="FFO47" s="83"/>
      <c r="FFP47" s="83"/>
      <c r="FFQ47" s="83"/>
      <c r="FFR47" s="83"/>
      <c r="FFS47" s="83"/>
      <c r="FFT47" s="83"/>
      <c r="FFU47" s="83"/>
      <c r="FFV47" s="83"/>
      <c r="FFW47" s="83"/>
      <c r="FFX47" s="83"/>
      <c r="FFY47" s="83"/>
      <c r="FFZ47" s="83"/>
      <c r="FGA47" s="83"/>
      <c r="FGB47" s="83"/>
      <c r="FGC47" s="83"/>
      <c r="FGD47" s="83"/>
      <c r="FGE47" s="83"/>
      <c r="FGF47" s="83"/>
      <c r="FGG47" s="83"/>
      <c r="FGH47" s="83"/>
      <c r="FGI47" s="83"/>
      <c r="FGJ47" s="83"/>
      <c r="FGK47" s="83"/>
      <c r="FGL47" s="83"/>
      <c r="FGM47" s="83"/>
      <c r="FGN47" s="83"/>
      <c r="FGO47" s="83"/>
      <c r="FGP47" s="83"/>
      <c r="FGQ47" s="83"/>
      <c r="FGR47" s="83"/>
      <c r="FGS47" s="83"/>
      <c r="FGT47" s="83"/>
      <c r="FGU47" s="83"/>
      <c r="FGV47" s="83"/>
      <c r="FGW47" s="83"/>
      <c r="FGX47" s="83"/>
      <c r="FGY47" s="83"/>
      <c r="FGZ47" s="83"/>
      <c r="FHA47" s="83"/>
      <c r="FHB47" s="83"/>
      <c r="FHC47" s="83"/>
      <c r="FHD47" s="83"/>
      <c r="FHE47" s="83"/>
      <c r="FHF47" s="83"/>
      <c r="FHG47" s="83"/>
      <c r="FHH47" s="83"/>
      <c r="FHI47" s="83"/>
      <c r="FHJ47" s="83"/>
      <c r="FHK47" s="83"/>
      <c r="FHL47" s="83"/>
      <c r="FHM47" s="83"/>
      <c r="FHN47" s="83"/>
      <c r="FHO47" s="83"/>
      <c r="FHP47" s="83"/>
      <c r="FHQ47" s="83"/>
      <c r="FHR47" s="83"/>
      <c r="FHS47" s="83"/>
      <c r="FHT47" s="83"/>
      <c r="FHU47" s="83"/>
      <c r="FHV47" s="83"/>
      <c r="FHW47" s="83"/>
      <c r="FHX47" s="83"/>
      <c r="FHY47" s="83"/>
      <c r="FHZ47" s="83"/>
      <c r="FIA47" s="83"/>
      <c r="FIB47" s="83"/>
      <c r="FIC47" s="83"/>
      <c r="FID47" s="83"/>
      <c r="FIE47" s="83"/>
      <c r="FIF47" s="83"/>
      <c r="FIG47" s="83"/>
      <c r="FIH47" s="83"/>
      <c r="FII47" s="83"/>
      <c r="FIJ47" s="83"/>
      <c r="FIK47" s="83"/>
      <c r="FIL47" s="83"/>
      <c r="FIM47" s="83"/>
      <c r="FIN47" s="83"/>
      <c r="FIO47" s="83"/>
      <c r="FIP47" s="83"/>
      <c r="FIQ47" s="83"/>
      <c r="FIR47" s="83"/>
      <c r="FIS47" s="83"/>
      <c r="FIT47" s="83"/>
      <c r="FIU47" s="83"/>
      <c r="FIV47" s="83"/>
      <c r="FIW47" s="83"/>
      <c r="FIX47" s="83"/>
      <c r="FIY47" s="83"/>
      <c r="FIZ47" s="83"/>
      <c r="FJA47" s="83"/>
      <c r="FJB47" s="83"/>
      <c r="FJC47" s="83"/>
      <c r="FJD47" s="83"/>
      <c r="FJE47" s="83"/>
      <c r="FJF47" s="83"/>
      <c r="FJG47" s="83"/>
      <c r="FJH47" s="83"/>
      <c r="FJI47" s="83"/>
      <c r="FJJ47" s="83"/>
      <c r="FJK47" s="83"/>
      <c r="FJL47" s="83"/>
      <c r="FJM47" s="83"/>
      <c r="FJN47" s="83"/>
      <c r="FJO47" s="83"/>
      <c r="FJP47" s="83"/>
      <c r="FJQ47" s="83"/>
      <c r="FJR47" s="83"/>
      <c r="FJS47" s="83"/>
      <c r="FJT47" s="83"/>
      <c r="FJU47" s="83"/>
      <c r="FJV47" s="83"/>
      <c r="FJW47" s="83"/>
      <c r="FJX47" s="83"/>
      <c r="FJY47" s="83"/>
      <c r="FJZ47" s="83"/>
      <c r="FKA47" s="83"/>
      <c r="FKB47" s="83"/>
      <c r="FKC47" s="83"/>
      <c r="FKD47" s="83"/>
      <c r="FKE47" s="83"/>
      <c r="FKF47" s="83"/>
      <c r="FKG47" s="83"/>
      <c r="FKH47" s="83"/>
      <c r="FKI47" s="83"/>
      <c r="FKJ47" s="83"/>
      <c r="FKK47" s="83"/>
      <c r="FKL47" s="83"/>
      <c r="FKM47" s="83"/>
      <c r="FKN47" s="83"/>
      <c r="FKO47" s="83"/>
      <c r="FKP47" s="83"/>
      <c r="FKQ47" s="83"/>
      <c r="FKR47" s="83"/>
      <c r="FKS47" s="83"/>
      <c r="FKT47" s="83"/>
      <c r="FKU47" s="83"/>
      <c r="FKV47" s="83"/>
      <c r="FKW47" s="83"/>
      <c r="FKX47" s="83"/>
      <c r="FKY47" s="83"/>
      <c r="FKZ47" s="83"/>
      <c r="FLA47" s="83"/>
      <c r="FLB47" s="83"/>
      <c r="FLC47" s="83"/>
      <c r="FLD47" s="83"/>
      <c r="FLE47" s="83"/>
      <c r="FLF47" s="83"/>
      <c r="FLG47" s="83"/>
      <c r="FLH47" s="83"/>
      <c r="FLI47" s="83"/>
      <c r="FLJ47" s="83"/>
      <c r="FLK47" s="83"/>
      <c r="FLL47" s="83"/>
      <c r="FLM47" s="83"/>
      <c r="FLN47" s="83"/>
      <c r="FLO47" s="83"/>
      <c r="FLP47" s="83"/>
      <c r="FLQ47" s="83"/>
      <c r="FLR47" s="83"/>
      <c r="FLS47" s="83"/>
      <c r="FLT47" s="83"/>
      <c r="FLU47" s="83"/>
      <c r="FLV47" s="83"/>
      <c r="FLW47" s="83"/>
      <c r="FLX47" s="83"/>
      <c r="FLY47" s="83"/>
      <c r="FLZ47" s="83"/>
      <c r="FMA47" s="83"/>
      <c r="FMB47" s="83"/>
      <c r="FMC47" s="83"/>
      <c r="FMD47" s="83"/>
      <c r="FME47" s="83"/>
      <c r="FMF47" s="83"/>
      <c r="FMG47" s="83"/>
      <c r="FMH47" s="83"/>
      <c r="FMI47" s="83"/>
      <c r="FMJ47" s="83"/>
      <c r="FMK47" s="83"/>
      <c r="FML47" s="83"/>
      <c r="FMM47" s="83"/>
      <c r="FMN47" s="83"/>
      <c r="FMO47" s="83"/>
      <c r="FMP47" s="83"/>
      <c r="FMQ47" s="83"/>
      <c r="FMR47" s="83"/>
      <c r="FMS47" s="83"/>
      <c r="FMT47" s="83"/>
      <c r="FMU47" s="83"/>
      <c r="FMV47" s="83"/>
      <c r="FMW47" s="83"/>
      <c r="FMX47" s="83"/>
      <c r="FMY47" s="83"/>
      <c r="FMZ47" s="83"/>
      <c r="FNA47" s="83"/>
      <c r="FNB47" s="83"/>
      <c r="FNC47" s="83"/>
      <c r="FND47" s="83"/>
      <c r="FNE47" s="83"/>
      <c r="FNF47" s="83"/>
      <c r="FNG47" s="83"/>
      <c r="FNH47" s="83"/>
      <c r="FNI47" s="83"/>
      <c r="FNJ47" s="83"/>
      <c r="FNK47" s="83"/>
      <c r="FNL47" s="83"/>
      <c r="FNM47" s="83"/>
      <c r="FNN47" s="83"/>
      <c r="FNO47" s="83"/>
      <c r="FNP47" s="83"/>
      <c r="FNQ47" s="83"/>
      <c r="FNR47" s="83"/>
      <c r="FNS47" s="83"/>
      <c r="FNT47" s="83"/>
      <c r="FNU47" s="83"/>
      <c r="FNV47" s="83"/>
      <c r="FNW47" s="83"/>
      <c r="FNX47" s="83"/>
      <c r="FNY47" s="83"/>
      <c r="FNZ47" s="83"/>
      <c r="FOA47" s="83"/>
      <c r="FOB47" s="83"/>
      <c r="FOC47" s="83"/>
      <c r="FOD47" s="83"/>
      <c r="FOE47" s="83"/>
      <c r="FOF47" s="83"/>
      <c r="FOG47" s="83"/>
      <c r="FOH47" s="83"/>
      <c r="FOI47" s="83"/>
      <c r="FOJ47" s="83"/>
      <c r="FOK47" s="83"/>
      <c r="FOL47" s="83"/>
      <c r="FOM47" s="83"/>
      <c r="FON47" s="83"/>
      <c r="FOO47" s="83"/>
      <c r="FOP47" s="83"/>
      <c r="FOQ47" s="83"/>
      <c r="FOR47" s="83"/>
      <c r="FOS47" s="83"/>
      <c r="FOT47" s="83"/>
      <c r="FOU47" s="83"/>
      <c r="FOV47" s="83"/>
      <c r="FOW47" s="83"/>
      <c r="FOX47" s="83"/>
      <c r="FOY47" s="83"/>
      <c r="FOZ47" s="83"/>
      <c r="FPA47" s="83"/>
      <c r="FPB47" s="83"/>
      <c r="FPC47" s="83"/>
      <c r="FPD47" s="83"/>
      <c r="FPE47" s="83"/>
      <c r="FPF47" s="83"/>
      <c r="FPG47" s="83"/>
      <c r="FPH47" s="83"/>
      <c r="FPI47" s="83"/>
      <c r="FPJ47" s="83"/>
      <c r="FPK47" s="83"/>
      <c r="FPL47" s="83"/>
      <c r="FPM47" s="83"/>
      <c r="FPN47" s="83"/>
      <c r="FPO47" s="83"/>
      <c r="FPP47" s="83"/>
      <c r="FPQ47" s="83"/>
      <c r="FPR47" s="83"/>
      <c r="FPS47" s="83"/>
      <c r="FPT47" s="83"/>
      <c r="FPU47" s="83"/>
      <c r="FPV47" s="83"/>
      <c r="FPW47" s="83"/>
      <c r="FPX47" s="83"/>
      <c r="FPY47" s="83"/>
      <c r="FPZ47" s="83"/>
      <c r="FQA47" s="83"/>
      <c r="FQB47" s="83"/>
      <c r="FQC47" s="83"/>
      <c r="FQD47" s="83"/>
      <c r="FQE47" s="83"/>
      <c r="FQF47" s="83"/>
      <c r="FQG47" s="83"/>
      <c r="FQH47" s="83"/>
      <c r="FQI47" s="83"/>
      <c r="FQJ47" s="83"/>
      <c r="FQK47" s="83"/>
      <c r="FQL47" s="83"/>
      <c r="FQM47" s="83"/>
      <c r="FQN47" s="83"/>
      <c r="FQO47" s="83"/>
      <c r="FQP47" s="83"/>
      <c r="FQQ47" s="83"/>
      <c r="FQR47" s="83"/>
      <c r="FQS47" s="83"/>
      <c r="FQT47" s="83"/>
      <c r="FQU47" s="83"/>
      <c r="FQV47" s="83"/>
      <c r="FQW47" s="83"/>
      <c r="FQX47" s="83"/>
      <c r="FQY47" s="83"/>
      <c r="FQZ47" s="83"/>
      <c r="FRA47" s="83"/>
      <c r="FRB47" s="83"/>
      <c r="FRC47" s="83"/>
      <c r="FRD47" s="83"/>
      <c r="FRE47" s="83"/>
      <c r="FRF47" s="83"/>
      <c r="FRG47" s="83"/>
      <c r="FRH47" s="83"/>
      <c r="FRI47" s="83"/>
      <c r="FRJ47" s="83"/>
      <c r="FRK47" s="83"/>
      <c r="FRL47" s="83"/>
      <c r="FRM47" s="83"/>
      <c r="FRN47" s="83"/>
      <c r="FRO47" s="83"/>
      <c r="FRP47" s="83"/>
      <c r="FRQ47" s="83"/>
      <c r="FRR47" s="83"/>
      <c r="FRS47" s="83"/>
      <c r="FRT47" s="83"/>
      <c r="FRU47" s="83"/>
      <c r="FRV47" s="83"/>
      <c r="FRW47" s="83"/>
      <c r="FRX47" s="83"/>
      <c r="FRY47" s="83"/>
      <c r="FRZ47" s="83"/>
      <c r="FSA47" s="83"/>
      <c r="FSB47" s="83"/>
      <c r="FSC47" s="83"/>
      <c r="FSD47" s="83"/>
      <c r="FSE47" s="83"/>
      <c r="FSF47" s="83"/>
      <c r="FSG47" s="83"/>
      <c r="FSH47" s="83"/>
      <c r="FSI47" s="83"/>
      <c r="FSJ47" s="83"/>
      <c r="FSK47" s="83"/>
      <c r="FSL47" s="83"/>
      <c r="FSM47" s="83"/>
      <c r="FSN47" s="83"/>
      <c r="FSO47" s="83"/>
      <c r="FSP47" s="83"/>
      <c r="FSQ47" s="83"/>
      <c r="FSR47" s="83"/>
      <c r="FSS47" s="83"/>
      <c r="FST47" s="83"/>
      <c r="FSU47" s="83"/>
      <c r="FSV47" s="83"/>
      <c r="FSW47" s="83"/>
      <c r="FSX47" s="83"/>
      <c r="FSY47" s="83"/>
      <c r="FSZ47" s="83"/>
      <c r="FTA47" s="83"/>
      <c r="FTB47" s="83"/>
      <c r="FTC47" s="83"/>
      <c r="FTD47" s="83"/>
      <c r="FTE47" s="83"/>
      <c r="FTF47" s="83"/>
      <c r="FTG47" s="83"/>
      <c r="FTH47" s="83"/>
      <c r="FTI47" s="83"/>
      <c r="FTJ47" s="83"/>
      <c r="FTK47" s="83"/>
      <c r="FTL47" s="83"/>
      <c r="FTM47" s="83"/>
      <c r="FTN47" s="83"/>
      <c r="FTO47" s="83"/>
      <c r="FTP47" s="83"/>
      <c r="FTQ47" s="83"/>
      <c r="FTR47" s="83"/>
      <c r="FTS47" s="83"/>
      <c r="FTT47" s="83"/>
      <c r="FTU47" s="83"/>
      <c r="FTV47" s="83"/>
      <c r="FTW47" s="83"/>
      <c r="FTX47" s="83"/>
      <c r="FTY47" s="83"/>
      <c r="FTZ47" s="83"/>
      <c r="FUA47" s="83"/>
      <c r="FUB47" s="83"/>
      <c r="FUC47" s="83"/>
      <c r="FUD47" s="83"/>
      <c r="FUE47" s="83"/>
      <c r="FUF47" s="83"/>
      <c r="FUG47" s="83"/>
      <c r="FUH47" s="83"/>
      <c r="FUI47" s="83"/>
      <c r="FUJ47" s="83"/>
      <c r="FUK47" s="83"/>
      <c r="FUL47" s="83"/>
      <c r="FUM47" s="83"/>
      <c r="FUN47" s="83"/>
      <c r="FUO47" s="83"/>
      <c r="FUP47" s="83"/>
      <c r="FUQ47" s="83"/>
      <c r="FUR47" s="83"/>
      <c r="FUS47" s="83"/>
      <c r="FUT47" s="83"/>
      <c r="FUU47" s="83"/>
      <c r="FUV47" s="83"/>
      <c r="FUW47" s="83"/>
      <c r="FUX47" s="83"/>
      <c r="FUY47" s="83"/>
      <c r="FUZ47" s="83"/>
      <c r="FVA47" s="83"/>
      <c r="FVB47" s="83"/>
      <c r="FVC47" s="83"/>
      <c r="FVD47" s="83"/>
      <c r="FVE47" s="83"/>
      <c r="FVF47" s="83"/>
      <c r="FVG47" s="83"/>
      <c r="FVH47" s="83"/>
      <c r="FVI47" s="83"/>
      <c r="FVJ47" s="83"/>
      <c r="FVK47" s="83"/>
      <c r="FVL47" s="83"/>
      <c r="FVM47" s="83"/>
      <c r="FVN47" s="83"/>
      <c r="FVO47" s="83"/>
      <c r="FVP47" s="83"/>
      <c r="FVQ47" s="83"/>
      <c r="FVR47" s="83"/>
      <c r="FVS47" s="83"/>
      <c r="FVT47" s="83"/>
      <c r="FVU47" s="83"/>
      <c r="FVV47" s="83"/>
      <c r="FVW47" s="83"/>
      <c r="FVX47" s="83"/>
      <c r="FVY47" s="83"/>
      <c r="FVZ47" s="83"/>
      <c r="FWA47" s="83"/>
      <c r="FWB47" s="83"/>
      <c r="FWC47" s="83"/>
      <c r="FWD47" s="83"/>
      <c r="FWE47" s="83"/>
      <c r="FWF47" s="83"/>
      <c r="FWG47" s="83"/>
      <c r="FWH47" s="83"/>
      <c r="FWI47" s="83"/>
      <c r="FWJ47" s="83"/>
      <c r="FWK47" s="83"/>
      <c r="FWL47" s="83"/>
      <c r="FWM47" s="83"/>
      <c r="FWN47" s="83"/>
      <c r="FWO47" s="83"/>
      <c r="FWP47" s="83"/>
      <c r="FWQ47" s="83"/>
      <c r="FWR47" s="83"/>
      <c r="FWS47" s="83"/>
      <c r="FWT47" s="83"/>
      <c r="FWU47" s="83"/>
      <c r="FWV47" s="83"/>
      <c r="FWW47" s="83"/>
      <c r="FWX47" s="83"/>
      <c r="FWY47" s="83"/>
      <c r="FWZ47" s="83"/>
      <c r="FXA47" s="83"/>
      <c r="FXB47" s="83"/>
      <c r="FXC47" s="83"/>
      <c r="FXD47" s="83"/>
      <c r="FXE47" s="83"/>
      <c r="FXF47" s="83"/>
      <c r="FXG47" s="83"/>
      <c r="FXH47" s="83"/>
      <c r="FXI47" s="83"/>
      <c r="FXJ47" s="83"/>
      <c r="FXK47" s="83"/>
      <c r="FXL47" s="83"/>
      <c r="FXM47" s="83"/>
      <c r="FXN47" s="83"/>
      <c r="FXO47" s="83"/>
      <c r="FXP47" s="83"/>
      <c r="FXQ47" s="83"/>
      <c r="FXR47" s="83"/>
      <c r="FXS47" s="83"/>
      <c r="FXT47" s="83"/>
      <c r="FXU47" s="83"/>
      <c r="FXV47" s="83"/>
      <c r="FXW47" s="83"/>
      <c r="FXX47" s="83"/>
      <c r="FXY47" s="83"/>
      <c r="FXZ47" s="83"/>
      <c r="FYA47" s="83"/>
      <c r="FYB47" s="83"/>
      <c r="FYC47" s="83"/>
      <c r="FYD47" s="83"/>
      <c r="FYE47" s="83"/>
      <c r="FYF47" s="83"/>
      <c r="FYG47" s="83"/>
      <c r="FYH47" s="83"/>
      <c r="FYI47" s="83"/>
      <c r="FYJ47" s="83"/>
      <c r="FYK47" s="83"/>
      <c r="FYL47" s="83"/>
      <c r="FYM47" s="83"/>
      <c r="FYN47" s="83"/>
      <c r="FYO47" s="83"/>
      <c r="FYP47" s="83"/>
      <c r="FYQ47" s="83"/>
      <c r="FYR47" s="83"/>
      <c r="FYS47" s="83"/>
      <c r="FYT47" s="83"/>
      <c r="FYU47" s="83"/>
      <c r="FYV47" s="83"/>
      <c r="FYW47" s="83"/>
      <c r="FYX47" s="83"/>
      <c r="FYY47" s="83"/>
      <c r="FYZ47" s="83"/>
      <c r="FZA47" s="83"/>
      <c r="FZB47" s="83"/>
      <c r="FZC47" s="83"/>
      <c r="FZD47" s="83"/>
      <c r="FZE47" s="83"/>
      <c r="FZF47" s="83"/>
      <c r="FZG47" s="83"/>
      <c r="FZH47" s="83"/>
      <c r="FZI47" s="83"/>
      <c r="FZJ47" s="83"/>
      <c r="FZK47" s="83"/>
      <c r="FZL47" s="83"/>
      <c r="FZM47" s="83"/>
      <c r="FZN47" s="83"/>
      <c r="FZO47" s="83"/>
      <c r="FZP47" s="83"/>
      <c r="FZQ47" s="83"/>
      <c r="FZR47" s="83"/>
      <c r="FZS47" s="83"/>
      <c r="FZT47" s="83"/>
      <c r="FZU47" s="83"/>
      <c r="FZV47" s="83"/>
      <c r="FZW47" s="83"/>
      <c r="FZX47" s="83"/>
      <c r="FZY47" s="83"/>
      <c r="FZZ47" s="83"/>
      <c r="GAA47" s="83"/>
      <c r="GAB47" s="83"/>
      <c r="GAC47" s="83"/>
      <c r="GAD47" s="83"/>
      <c r="GAE47" s="83"/>
      <c r="GAF47" s="83"/>
      <c r="GAG47" s="83"/>
      <c r="GAH47" s="83"/>
      <c r="GAI47" s="83"/>
      <c r="GAJ47" s="83"/>
      <c r="GAK47" s="83"/>
      <c r="GAL47" s="83"/>
      <c r="GAM47" s="83"/>
      <c r="GAN47" s="83"/>
      <c r="GAO47" s="83"/>
      <c r="GAP47" s="83"/>
      <c r="GAQ47" s="83"/>
      <c r="GAR47" s="83"/>
      <c r="GAS47" s="83"/>
      <c r="GAT47" s="83"/>
      <c r="GAU47" s="83"/>
      <c r="GAV47" s="83"/>
      <c r="GAW47" s="83"/>
      <c r="GAX47" s="83"/>
      <c r="GAY47" s="83"/>
      <c r="GAZ47" s="83"/>
      <c r="GBA47" s="83"/>
      <c r="GBB47" s="83"/>
      <c r="GBC47" s="83"/>
      <c r="GBD47" s="83"/>
      <c r="GBE47" s="83"/>
      <c r="GBF47" s="83"/>
      <c r="GBG47" s="83"/>
      <c r="GBH47" s="83"/>
      <c r="GBI47" s="83"/>
      <c r="GBJ47" s="83"/>
      <c r="GBK47" s="83"/>
      <c r="GBL47" s="83"/>
      <c r="GBM47" s="83"/>
      <c r="GBN47" s="83"/>
      <c r="GBO47" s="83"/>
      <c r="GBP47" s="83"/>
      <c r="GBQ47" s="83"/>
      <c r="GBR47" s="83"/>
      <c r="GBS47" s="83"/>
      <c r="GBT47" s="83"/>
      <c r="GBU47" s="83"/>
      <c r="GBV47" s="83"/>
      <c r="GBW47" s="83"/>
      <c r="GBX47" s="83"/>
      <c r="GBY47" s="83"/>
      <c r="GBZ47" s="83"/>
      <c r="GCA47" s="83"/>
      <c r="GCB47" s="83"/>
      <c r="GCC47" s="83"/>
      <c r="GCD47" s="83"/>
      <c r="GCE47" s="83"/>
      <c r="GCF47" s="83"/>
      <c r="GCG47" s="83"/>
      <c r="GCH47" s="83"/>
      <c r="GCI47" s="83"/>
      <c r="GCJ47" s="83"/>
      <c r="GCK47" s="83"/>
      <c r="GCL47" s="83"/>
      <c r="GCM47" s="83"/>
      <c r="GCN47" s="83"/>
      <c r="GCO47" s="83"/>
      <c r="GCP47" s="83"/>
      <c r="GCQ47" s="83"/>
      <c r="GCR47" s="83"/>
      <c r="GCS47" s="83"/>
      <c r="GCT47" s="83"/>
      <c r="GCU47" s="83"/>
      <c r="GCV47" s="83"/>
      <c r="GCW47" s="83"/>
      <c r="GCX47" s="83"/>
      <c r="GCY47" s="83"/>
      <c r="GCZ47" s="83"/>
      <c r="GDA47" s="83"/>
      <c r="GDB47" s="83"/>
      <c r="GDC47" s="83"/>
      <c r="GDD47" s="83"/>
      <c r="GDE47" s="83"/>
      <c r="GDF47" s="83"/>
      <c r="GDG47" s="83"/>
      <c r="GDH47" s="83"/>
      <c r="GDI47" s="83"/>
      <c r="GDJ47" s="83"/>
      <c r="GDK47" s="83"/>
      <c r="GDL47" s="83"/>
      <c r="GDM47" s="83"/>
      <c r="GDN47" s="83"/>
      <c r="GDO47" s="83"/>
      <c r="GDP47" s="83"/>
      <c r="GDQ47" s="83"/>
      <c r="GDR47" s="83"/>
      <c r="GDS47" s="83"/>
      <c r="GDT47" s="83"/>
      <c r="GDU47" s="83"/>
      <c r="GDV47" s="83"/>
      <c r="GDW47" s="83"/>
      <c r="GDX47" s="83"/>
      <c r="GDY47" s="83"/>
      <c r="GDZ47" s="83"/>
      <c r="GEA47" s="83"/>
      <c r="GEB47" s="83"/>
      <c r="GEC47" s="83"/>
      <c r="GED47" s="83"/>
      <c r="GEE47" s="83"/>
      <c r="GEF47" s="83"/>
      <c r="GEG47" s="83"/>
      <c r="GEH47" s="83"/>
      <c r="GEI47" s="83"/>
      <c r="GEJ47" s="83"/>
      <c r="GEK47" s="83"/>
      <c r="GEL47" s="83"/>
      <c r="GEM47" s="83"/>
      <c r="GEN47" s="83"/>
      <c r="GEO47" s="83"/>
      <c r="GEP47" s="83"/>
      <c r="GEQ47" s="83"/>
      <c r="GER47" s="83"/>
      <c r="GES47" s="83"/>
      <c r="GET47" s="83"/>
      <c r="GEU47" s="83"/>
      <c r="GEV47" s="83"/>
      <c r="GEW47" s="83"/>
      <c r="GEX47" s="83"/>
      <c r="GEY47" s="83"/>
      <c r="GEZ47" s="83"/>
      <c r="GFA47" s="83"/>
      <c r="GFB47" s="83"/>
      <c r="GFC47" s="83"/>
      <c r="GFD47" s="83"/>
      <c r="GFE47" s="83"/>
      <c r="GFF47" s="83"/>
      <c r="GFG47" s="83"/>
      <c r="GFH47" s="83"/>
      <c r="GFI47" s="83"/>
      <c r="GFJ47" s="83"/>
      <c r="GFK47" s="83"/>
      <c r="GFL47" s="83"/>
      <c r="GFM47" s="83"/>
      <c r="GFN47" s="83"/>
      <c r="GFO47" s="83"/>
      <c r="GFP47" s="83"/>
      <c r="GFQ47" s="83"/>
      <c r="GFR47" s="83"/>
      <c r="GFS47" s="83"/>
      <c r="GFT47" s="83"/>
      <c r="GFU47" s="83"/>
      <c r="GFV47" s="83"/>
      <c r="GFW47" s="83"/>
      <c r="GFX47" s="83"/>
      <c r="GFY47" s="83"/>
      <c r="GFZ47" s="83"/>
      <c r="GGA47" s="83"/>
      <c r="GGB47" s="83"/>
      <c r="GGC47" s="83"/>
      <c r="GGD47" s="83"/>
      <c r="GGE47" s="83"/>
      <c r="GGF47" s="83"/>
      <c r="GGG47" s="83"/>
      <c r="GGH47" s="83"/>
      <c r="GGI47" s="83"/>
      <c r="GGJ47" s="83"/>
      <c r="GGK47" s="83"/>
      <c r="GGL47" s="83"/>
      <c r="GGM47" s="83"/>
      <c r="GGN47" s="83"/>
      <c r="GGO47" s="83"/>
      <c r="GGP47" s="83"/>
      <c r="GGQ47" s="83"/>
      <c r="GGR47" s="83"/>
      <c r="GGS47" s="83"/>
      <c r="GGT47" s="83"/>
      <c r="GGU47" s="83"/>
      <c r="GGV47" s="83"/>
      <c r="GGW47" s="83"/>
      <c r="GGX47" s="83"/>
      <c r="GGY47" s="83"/>
      <c r="GGZ47" s="83"/>
      <c r="GHA47" s="83"/>
      <c r="GHB47" s="83"/>
      <c r="GHC47" s="83"/>
      <c r="GHD47" s="83"/>
      <c r="GHE47" s="83"/>
      <c r="GHF47" s="83"/>
      <c r="GHG47" s="83"/>
      <c r="GHH47" s="83"/>
      <c r="GHI47" s="83"/>
      <c r="GHJ47" s="83"/>
      <c r="GHK47" s="83"/>
      <c r="GHL47" s="83"/>
      <c r="GHM47" s="83"/>
      <c r="GHN47" s="83"/>
      <c r="GHO47" s="83"/>
      <c r="GHP47" s="83"/>
      <c r="GHQ47" s="83"/>
      <c r="GHR47" s="83"/>
      <c r="GHS47" s="83"/>
      <c r="GHT47" s="83"/>
      <c r="GHU47" s="83"/>
      <c r="GHV47" s="83"/>
      <c r="GHW47" s="83"/>
      <c r="GHX47" s="83"/>
      <c r="GHY47" s="83"/>
      <c r="GHZ47" s="83"/>
      <c r="GIA47" s="83"/>
      <c r="GIB47" s="83"/>
      <c r="GIC47" s="83"/>
      <c r="GID47" s="83"/>
      <c r="GIE47" s="83"/>
      <c r="GIF47" s="83"/>
      <c r="GIG47" s="83"/>
      <c r="GIH47" s="83"/>
      <c r="GII47" s="83"/>
      <c r="GIJ47" s="83"/>
      <c r="GIK47" s="83"/>
      <c r="GIL47" s="83"/>
      <c r="GIM47" s="83"/>
      <c r="GIN47" s="83"/>
      <c r="GIO47" s="83"/>
      <c r="GIP47" s="83"/>
      <c r="GIQ47" s="83"/>
      <c r="GIR47" s="83"/>
      <c r="GIS47" s="83"/>
      <c r="GIT47" s="83"/>
      <c r="GIU47" s="83"/>
      <c r="GIV47" s="83"/>
      <c r="GIW47" s="83"/>
      <c r="GIX47" s="83"/>
      <c r="GIY47" s="83"/>
      <c r="GIZ47" s="83"/>
      <c r="GJA47" s="83"/>
      <c r="GJB47" s="83"/>
      <c r="GJC47" s="83"/>
      <c r="GJD47" s="83"/>
      <c r="GJE47" s="83"/>
      <c r="GJF47" s="83"/>
      <c r="GJG47" s="83"/>
      <c r="GJH47" s="83"/>
      <c r="GJI47" s="83"/>
      <c r="GJJ47" s="83"/>
      <c r="GJK47" s="83"/>
      <c r="GJL47" s="83"/>
      <c r="GJM47" s="83"/>
      <c r="GJN47" s="83"/>
      <c r="GJO47" s="83"/>
      <c r="GJP47" s="83"/>
      <c r="GJQ47" s="83"/>
      <c r="GJR47" s="83"/>
      <c r="GJS47" s="83"/>
      <c r="GJT47" s="83"/>
      <c r="GJU47" s="83"/>
      <c r="GJV47" s="83"/>
      <c r="GJW47" s="83"/>
      <c r="GJX47" s="83"/>
      <c r="GJY47" s="83"/>
      <c r="GJZ47" s="83"/>
      <c r="GKA47" s="83"/>
      <c r="GKB47" s="83"/>
      <c r="GKC47" s="83"/>
      <c r="GKD47" s="83"/>
      <c r="GKE47" s="83"/>
      <c r="GKF47" s="83"/>
      <c r="GKG47" s="83"/>
      <c r="GKH47" s="83"/>
      <c r="GKI47" s="83"/>
      <c r="GKJ47" s="83"/>
      <c r="GKK47" s="83"/>
      <c r="GKL47" s="83"/>
      <c r="GKM47" s="83"/>
      <c r="GKN47" s="83"/>
      <c r="GKO47" s="83"/>
      <c r="GKP47" s="83"/>
      <c r="GKQ47" s="83"/>
      <c r="GKR47" s="83"/>
      <c r="GKS47" s="83"/>
      <c r="GKT47" s="83"/>
      <c r="GKU47" s="83"/>
      <c r="GKV47" s="83"/>
      <c r="GKW47" s="83"/>
      <c r="GKX47" s="83"/>
      <c r="GKY47" s="83"/>
      <c r="GKZ47" s="83"/>
      <c r="GLA47" s="83"/>
      <c r="GLB47" s="83"/>
      <c r="GLC47" s="83"/>
      <c r="GLD47" s="83"/>
      <c r="GLE47" s="83"/>
      <c r="GLF47" s="83"/>
      <c r="GLG47" s="83"/>
      <c r="GLH47" s="83"/>
      <c r="GLI47" s="83"/>
      <c r="GLJ47" s="83"/>
      <c r="GLK47" s="83"/>
      <c r="GLL47" s="83"/>
      <c r="GLM47" s="83"/>
      <c r="GLN47" s="83"/>
      <c r="GLO47" s="83"/>
      <c r="GLP47" s="83"/>
      <c r="GLQ47" s="83"/>
      <c r="GLR47" s="83"/>
      <c r="GLS47" s="83"/>
      <c r="GLT47" s="83"/>
      <c r="GLU47" s="83"/>
      <c r="GLV47" s="83"/>
      <c r="GLW47" s="83"/>
      <c r="GLX47" s="83"/>
      <c r="GLY47" s="83"/>
      <c r="GLZ47" s="83"/>
      <c r="GMA47" s="83"/>
      <c r="GMB47" s="83"/>
      <c r="GMC47" s="83"/>
      <c r="GMD47" s="83"/>
      <c r="GME47" s="83"/>
      <c r="GMF47" s="83"/>
      <c r="GMG47" s="83"/>
      <c r="GMH47" s="83"/>
      <c r="GMI47" s="83"/>
      <c r="GMJ47" s="83"/>
      <c r="GMK47" s="83"/>
      <c r="GML47" s="83"/>
      <c r="GMM47" s="83"/>
      <c r="GMN47" s="83"/>
      <c r="GMO47" s="83"/>
      <c r="GMP47" s="83"/>
      <c r="GMQ47" s="83"/>
      <c r="GMR47" s="83"/>
      <c r="GMS47" s="83"/>
      <c r="GMT47" s="83"/>
      <c r="GMU47" s="83"/>
      <c r="GMV47" s="83"/>
      <c r="GMW47" s="83"/>
      <c r="GMX47" s="83"/>
      <c r="GMY47" s="83"/>
      <c r="GMZ47" s="83"/>
      <c r="GNA47" s="83"/>
      <c r="GNB47" s="83"/>
      <c r="GNC47" s="83"/>
      <c r="GND47" s="83"/>
      <c r="GNE47" s="83"/>
      <c r="GNF47" s="83"/>
      <c r="GNG47" s="83"/>
      <c r="GNH47" s="83"/>
      <c r="GNI47" s="83"/>
      <c r="GNJ47" s="83"/>
      <c r="GNK47" s="83"/>
      <c r="GNL47" s="83"/>
      <c r="GNM47" s="83"/>
      <c r="GNN47" s="83"/>
      <c r="GNO47" s="83"/>
      <c r="GNP47" s="83"/>
      <c r="GNQ47" s="83"/>
      <c r="GNR47" s="83"/>
      <c r="GNS47" s="83"/>
      <c r="GNT47" s="83"/>
      <c r="GNU47" s="83"/>
      <c r="GNV47" s="83"/>
      <c r="GNW47" s="83"/>
      <c r="GNX47" s="83"/>
      <c r="GNY47" s="83"/>
      <c r="GNZ47" s="83"/>
      <c r="GOA47" s="83"/>
      <c r="GOB47" s="83"/>
      <c r="GOC47" s="83"/>
      <c r="GOD47" s="83"/>
      <c r="GOE47" s="83"/>
      <c r="GOF47" s="83"/>
      <c r="GOG47" s="83"/>
      <c r="GOH47" s="83"/>
      <c r="GOI47" s="83"/>
      <c r="GOJ47" s="83"/>
      <c r="GOK47" s="83"/>
      <c r="GOL47" s="83"/>
      <c r="GOM47" s="83"/>
      <c r="GON47" s="83"/>
      <c r="GOO47" s="83"/>
      <c r="GOP47" s="83"/>
      <c r="GOQ47" s="83"/>
      <c r="GOR47" s="83"/>
      <c r="GOS47" s="83"/>
      <c r="GOT47" s="83"/>
      <c r="GOU47" s="83"/>
      <c r="GOV47" s="83"/>
      <c r="GOW47" s="83"/>
      <c r="GOX47" s="83"/>
      <c r="GOY47" s="83"/>
      <c r="GOZ47" s="83"/>
      <c r="GPA47" s="83"/>
      <c r="GPB47" s="83"/>
      <c r="GPC47" s="83"/>
      <c r="GPD47" s="83"/>
      <c r="GPE47" s="83"/>
      <c r="GPF47" s="83"/>
      <c r="GPG47" s="83"/>
      <c r="GPH47" s="83"/>
      <c r="GPI47" s="83"/>
      <c r="GPJ47" s="83"/>
      <c r="GPK47" s="83"/>
      <c r="GPL47" s="83"/>
      <c r="GPM47" s="83"/>
      <c r="GPN47" s="83"/>
      <c r="GPO47" s="83"/>
      <c r="GPP47" s="83"/>
      <c r="GPQ47" s="83"/>
      <c r="GPR47" s="83"/>
      <c r="GPS47" s="83"/>
      <c r="GPT47" s="83"/>
      <c r="GPU47" s="83"/>
      <c r="GPV47" s="83"/>
      <c r="GPW47" s="83"/>
      <c r="GPX47" s="83"/>
      <c r="GPY47" s="83"/>
      <c r="GPZ47" s="83"/>
      <c r="GQA47" s="83"/>
      <c r="GQB47" s="83"/>
      <c r="GQC47" s="83"/>
      <c r="GQD47" s="83"/>
      <c r="GQE47" s="83"/>
      <c r="GQF47" s="83"/>
      <c r="GQG47" s="83"/>
      <c r="GQH47" s="83"/>
      <c r="GQI47" s="83"/>
      <c r="GQJ47" s="83"/>
      <c r="GQK47" s="83"/>
      <c r="GQL47" s="83"/>
      <c r="GQM47" s="83"/>
      <c r="GQN47" s="83"/>
      <c r="GQO47" s="83"/>
      <c r="GQP47" s="83"/>
      <c r="GQQ47" s="83"/>
      <c r="GQR47" s="83"/>
      <c r="GQS47" s="83"/>
      <c r="GQT47" s="83"/>
      <c r="GQU47" s="83"/>
      <c r="GQV47" s="83"/>
      <c r="GQW47" s="83"/>
      <c r="GQX47" s="83"/>
      <c r="GQY47" s="83"/>
      <c r="GQZ47" s="83"/>
      <c r="GRA47" s="83"/>
      <c r="GRB47" s="83"/>
      <c r="GRC47" s="83"/>
      <c r="GRD47" s="83"/>
      <c r="GRE47" s="83"/>
      <c r="GRF47" s="83"/>
      <c r="GRG47" s="83"/>
      <c r="GRH47" s="83"/>
      <c r="GRI47" s="83"/>
      <c r="GRJ47" s="83"/>
      <c r="GRK47" s="83"/>
      <c r="GRL47" s="83"/>
      <c r="GRM47" s="83"/>
      <c r="GRN47" s="83"/>
      <c r="GRO47" s="83"/>
      <c r="GRP47" s="83"/>
      <c r="GRQ47" s="83"/>
      <c r="GRR47" s="83"/>
      <c r="GRS47" s="83"/>
      <c r="GRT47" s="83"/>
      <c r="GRU47" s="83"/>
      <c r="GRV47" s="83"/>
      <c r="GRW47" s="83"/>
      <c r="GRX47" s="83"/>
      <c r="GRY47" s="83"/>
      <c r="GRZ47" s="83"/>
      <c r="GSA47" s="83"/>
      <c r="GSB47" s="83"/>
      <c r="GSC47" s="83"/>
      <c r="GSD47" s="83"/>
      <c r="GSE47" s="83"/>
      <c r="GSF47" s="83"/>
      <c r="GSG47" s="83"/>
      <c r="GSH47" s="83"/>
      <c r="GSI47" s="83"/>
      <c r="GSJ47" s="83"/>
      <c r="GSK47" s="83"/>
      <c r="GSL47" s="83"/>
      <c r="GSM47" s="83"/>
      <c r="GSN47" s="83"/>
      <c r="GSO47" s="83"/>
      <c r="GSP47" s="83"/>
      <c r="GSQ47" s="83"/>
      <c r="GSR47" s="83"/>
      <c r="GSS47" s="83"/>
      <c r="GST47" s="83"/>
      <c r="GSU47" s="83"/>
      <c r="GSV47" s="83"/>
      <c r="GSW47" s="83"/>
      <c r="GSX47" s="83"/>
      <c r="GSY47" s="83"/>
      <c r="GSZ47" s="83"/>
      <c r="GTA47" s="83"/>
      <c r="GTB47" s="83"/>
      <c r="GTC47" s="83"/>
      <c r="GTD47" s="83"/>
      <c r="GTE47" s="83"/>
      <c r="GTF47" s="83"/>
      <c r="GTG47" s="83"/>
      <c r="GTH47" s="83"/>
      <c r="GTI47" s="83"/>
      <c r="GTJ47" s="83"/>
      <c r="GTK47" s="83"/>
      <c r="GTL47" s="83"/>
      <c r="GTM47" s="83"/>
      <c r="GTN47" s="83"/>
      <c r="GTO47" s="83"/>
      <c r="GTP47" s="83"/>
      <c r="GTQ47" s="83"/>
      <c r="GTR47" s="83"/>
      <c r="GTS47" s="83"/>
      <c r="GTT47" s="83"/>
      <c r="GTU47" s="83"/>
      <c r="GTV47" s="83"/>
      <c r="GTW47" s="83"/>
      <c r="GTX47" s="83"/>
      <c r="GTY47" s="83"/>
      <c r="GTZ47" s="83"/>
      <c r="GUA47" s="83"/>
      <c r="GUB47" s="83"/>
      <c r="GUC47" s="83"/>
      <c r="GUD47" s="83"/>
      <c r="GUE47" s="83"/>
      <c r="GUF47" s="83"/>
      <c r="GUG47" s="83"/>
      <c r="GUH47" s="83"/>
      <c r="GUI47" s="83"/>
      <c r="GUJ47" s="83"/>
      <c r="GUK47" s="83"/>
      <c r="GUL47" s="83"/>
      <c r="GUM47" s="83"/>
      <c r="GUN47" s="83"/>
      <c r="GUO47" s="83"/>
      <c r="GUP47" s="83"/>
      <c r="GUQ47" s="83"/>
      <c r="GUR47" s="83"/>
      <c r="GUS47" s="83"/>
      <c r="GUT47" s="83"/>
      <c r="GUU47" s="83"/>
      <c r="GUV47" s="83"/>
      <c r="GUW47" s="83"/>
      <c r="GUX47" s="83"/>
      <c r="GUY47" s="83"/>
      <c r="GUZ47" s="83"/>
      <c r="GVA47" s="83"/>
      <c r="GVB47" s="83"/>
      <c r="GVC47" s="83"/>
      <c r="GVD47" s="83"/>
      <c r="GVE47" s="83"/>
      <c r="GVF47" s="83"/>
      <c r="GVG47" s="83"/>
      <c r="GVH47" s="83"/>
      <c r="GVI47" s="83"/>
      <c r="GVJ47" s="83"/>
      <c r="GVK47" s="83"/>
      <c r="GVL47" s="83"/>
      <c r="GVM47" s="83"/>
      <c r="GVN47" s="83"/>
      <c r="GVO47" s="83"/>
      <c r="GVP47" s="83"/>
      <c r="GVQ47" s="83"/>
      <c r="GVR47" s="83"/>
      <c r="GVS47" s="83"/>
      <c r="GVT47" s="83"/>
      <c r="GVU47" s="83"/>
      <c r="GVV47" s="83"/>
      <c r="GVW47" s="83"/>
      <c r="GVX47" s="83"/>
      <c r="GVY47" s="83"/>
      <c r="GVZ47" s="83"/>
      <c r="GWA47" s="83"/>
      <c r="GWB47" s="83"/>
      <c r="GWC47" s="83"/>
      <c r="GWD47" s="83"/>
      <c r="GWE47" s="83"/>
      <c r="GWF47" s="83"/>
      <c r="GWG47" s="83"/>
      <c r="GWH47" s="83"/>
      <c r="GWI47" s="83"/>
      <c r="GWJ47" s="83"/>
      <c r="GWK47" s="83"/>
      <c r="GWL47" s="83"/>
      <c r="GWM47" s="83"/>
      <c r="GWN47" s="83"/>
      <c r="GWO47" s="83"/>
      <c r="GWP47" s="83"/>
      <c r="GWQ47" s="83"/>
      <c r="GWR47" s="83"/>
      <c r="GWS47" s="83"/>
      <c r="GWT47" s="83"/>
      <c r="GWU47" s="83"/>
      <c r="GWV47" s="83"/>
      <c r="GWW47" s="83"/>
      <c r="GWX47" s="83"/>
      <c r="GWY47" s="83"/>
      <c r="GWZ47" s="83"/>
      <c r="GXA47" s="83"/>
      <c r="GXB47" s="83"/>
      <c r="GXC47" s="83"/>
      <c r="GXD47" s="83"/>
      <c r="GXE47" s="83"/>
      <c r="GXF47" s="83"/>
      <c r="GXG47" s="83"/>
      <c r="GXH47" s="83"/>
      <c r="GXI47" s="83"/>
      <c r="GXJ47" s="83"/>
      <c r="GXK47" s="83"/>
      <c r="GXL47" s="83"/>
      <c r="GXM47" s="83"/>
      <c r="GXN47" s="83"/>
      <c r="GXO47" s="83"/>
      <c r="GXP47" s="83"/>
      <c r="GXQ47" s="83"/>
      <c r="GXR47" s="83"/>
      <c r="GXS47" s="83"/>
      <c r="GXT47" s="83"/>
      <c r="GXU47" s="83"/>
      <c r="GXV47" s="83"/>
      <c r="GXW47" s="83"/>
      <c r="GXX47" s="83"/>
      <c r="GXY47" s="83"/>
      <c r="GXZ47" s="83"/>
      <c r="GYA47" s="83"/>
      <c r="GYB47" s="83"/>
      <c r="GYC47" s="83"/>
      <c r="GYD47" s="83"/>
      <c r="GYE47" s="83"/>
      <c r="GYF47" s="83"/>
      <c r="GYG47" s="83"/>
      <c r="GYH47" s="83"/>
      <c r="GYI47" s="83"/>
      <c r="GYJ47" s="83"/>
      <c r="GYK47" s="83"/>
      <c r="GYL47" s="83"/>
      <c r="GYM47" s="83"/>
      <c r="GYN47" s="83"/>
      <c r="GYO47" s="83"/>
      <c r="GYP47" s="83"/>
      <c r="GYQ47" s="83"/>
      <c r="GYR47" s="83"/>
      <c r="GYS47" s="83"/>
      <c r="GYT47" s="83"/>
      <c r="GYU47" s="83"/>
      <c r="GYV47" s="83"/>
      <c r="GYW47" s="83"/>
      <c r="GYX47" s="83"/>
      <c r="GYY47" s="83"/>
      <c r="GYZ47" s="83"/>
      <c r="GZA47" s="83"/>
      <c r="GZB47" s="83"/>
      <c r="GZC47" s="83"/>
      <c r="GZD47" s="83"/>
      <c r="GZE47" s="83"/>
      <c r="GZF47" s="83"/>
      <c r="GZG47" s="83"/>
      <c r="GZH47" s="83"/>
      <c r="GZI47" s="83"/>
      <c r="GZJ47" s="83"/>
      <c r="GZK47" s="83"/>
      <c r="GZL47" s="83"/>
      <c r="GZM47" s="83"/>
      <c r="GZN47" s="83"/>
      <c r="GZO47" s="83"/>
      <c r="GZP47" s="83"/>
      <c r="GZQ47" s="83"/>
      <c r="GZR47" s="83"/>
      <c r="GZS47" s="83"/>
      <c r="GZT47" s="83"/>
      <c r="GZU47" s="83"/>
      <c r="GZV47" s="83"/>
      <c r="GZW47" s="83"/>
      <c r="GZX47" s="83"/>
      <c r="GZY47" s="83"/>
      <c r="GZZ47" s="83"/>
      <c r="HAA47" s="83"/>
      <c r="HAB47" s="83"/>
      <c r="HAC47" s="83"/>
      <c r="HAD47" s="83"/>
      <c r="HAE47" s="83"/>
      <c r="HAF47" s="83"/>
      <c r="HAG47" s="83"/>
      <c r="HAH47" s="83"/>
      <c r="HAI47" s="83"/>
      <c r="HAJ47" s="83"/>
      <c r="HAK47" s="83"/>
      <c r="HAL47" s="83"/>
      <c r="HAM47" s="83"/>
      <c r="HAN47" s="83"/>
      <c r="HAO47" s="83"/>
      <c r="HAP47" s="83"/>
      <c r="HAQ47" s="83"/>
      <c r="HAR47" s="83"/>
      <c r="HAS47" s="83"/>
      <c r="HAT47" s="83"/>
      <c r="HAU47" s="83"/>
      <c r="HAV47" s="83"/>
      <c r="HAW47" s="83"/>
      <c r="HAX47" s="83"/>
      <c r="HAY47" s="83"/>
      <c r="HAZ47" s="83"/>
      <c r="HBA47" s="83"/>
      <c r="HBB47" s="83"/>
      <c r="HBC47" s="83"/>
      <c r="HBD47" s="83"/>
      <c r="HBE47" s="83"/>
      <c r="HBF47" s="83"/>
      <c r="HBG47" s="83"/>
      <c r="HBH47" s="83"/>
      <c r="HBI47" s="83"/>
      <c r="HBJ47" s="83"/>
      <c r="HBK47" s="83"/>
      <c r="HBL47" s="83"/>
      <c r="HBM47" s="83"/>
      <c r="HBN47" s="83"/>
      <c r="HBO47" s="83"/>
      <c r="HBP47" s="83"/>
      <c r="HBQ47" s="83"/>
      <c r="HBR47" s="83"/>
      <c r="HBS47" s="83"/>
      <c r="HBT47" s="83"/>
      <c r="HBU47" s="83"/>
      <c r="HBV47" s="83"/>
      <c r="HBW47" s="83"/>
      <c r="HBX47" s="83"/>
      <c r="HBY47" s="83"/>
      <c r="HBZ47" s="83"/>
      <c r="HCA47" s="83"/>
      <c r="HCB47" s="83"/>
      <c r="HCC47" s="83"/>
      <c r="HCD47" s="83"/>
      <c r="HCE47" s="83"/>
      <c r="HCF47" s="83"/>
      <c r="HCG47" s="83"/>
      <c r="HCH47" s="83"/>
      <c r="HCI47" s="83"/>
      <c r="HCJ47" s="83"/>
      <c r="HCK47" s="83"/>
      <c r="HCL47" s="83"/>
      <c r="HCM47" s="83"/>
      <c r="HCN47" s="83"/>
      <c r="HCO47" s="83"/>
      <c r="HCP47" s="83"/>
      <c r="HCQ47" s="83"/>
      <c r="HCR47" s="83"/>
      <c r="HCS47" s="83"/>
      <c r="HCT47" s="83"/>
      <c r="HCU47" s="83"/>
      <c r="HCV47" s="83"/>
      <c r="HCW47" s="83"/>
      <c r="HCX47" s="83"/>
      <c r="HCY47" s="83"/>
      <c r="HCZ47" s="83"/>
      <c r="HDA47" s="83"/>
      <c r="HDB47" s="83"/>
      <c r="HDC47" s="83"/>
      <c r="HDD47" s="83"/>
      <c r="HDE47" s="83"/>
      <c r="HDF47" s="83"/>
      <c r="HDG47" s="83"/>
      <c r="HDH47" s="83"/>
      <c r="HDI47" s="83"/>
      <c r="HDJ47" s="83"/>
      <c r="HDK47" s="83"/>
      <c r="HDL47" s="83"/>
      <c r="HDM47" s="83"/>
      <c r="HDN47" s="83"/>
      <c r="HDO47" s="83"/>
      <c r="HDP47" s="83"/>
      <c r="HDQ47" s="83"/>
      <c r="HDR47" s="83"/>
      <c r="HDS47" s="83"/>
      <c r="HDT47" s="83"/>
      <c r="HDU47" s="83"/>
      <c r="HDV47" s="83"/>
      <c r="HDW47" s="83"/>
      <c r="HDX47" s="83"/>
      <c r="HDY47" s="83"/>
      <c r="HDZ47" s="83"/>
      <c r="HEA47" s="83"/>
      <c r="HEB47" s="83"/>
      <c r="HEC47" s="83"/>
      <c r="HED47" s="83"/>
      <c r="HEE47" s="83"/>
      <c r="HEF47" s="83"/>
      <c r="HEG47" s="83"/>
      <c r="HEH47" s="83"/>
      <c r="HEI47" s="83"/>
      <c r="HEJ47" s="83"/>
      <c r="HEK47" s="83"/>
      <c r="HEL47" s="83"/>
      <c r="HEM47" s="83"/>
      <c r="HEN47" s="83"/>
      <c r="HEO47" s="83"/>
      <c r="HEP47" s="83"/>
      <c r="HEQ47" s="83"/>
      <c r="HER47" s="83"/>
      <c r="HES47" s="83"/>
      <c r="HET47" s="83"/>
      <c r="HEU47" s="83"/>
      <c r="HEV47" s="83"/>
      <c r="HEW47" s="83"/>
      <c r="HEX47" s="83"/>
      <c r="HEY47" s="83"/>
      <c r="HEZ47" s="83"/>
      <c r="HFA47" s="83"/>
      <c r="HFB47" s="83"/>
      <c r="HFC47" s="83"/>
      <c r="HFD47" s="83"/>
      <c r="HFE47" s="83"/>
      <c r="HFF47" s="83"/>
      <c r="HFG47" s="83"/>
      <c r="HFH47" s="83"/>
      <c r="HFI47" s="83"/>
      <c r="HFJ47" s="83"/>
      <c r="HFK47" s="83"/>
      <c r="HFL47" s="83"/>
      <c r="HFM47" s="83"/>
      <c r="HFN47" s="83"/>
      <c r="HFO47" s="83"/>
      <c r="HFP47" s="83"/>
      <c r="HFQ47" s="83"/>
      <c r="HFR47" s="83"/>
      <c r="HFS47" s="83"/>
      <c r="HFT47" s="83"/>
      <c r="HFU47" s="83"/>
      <c r="HFV47" s="83"/>
      <c r="HFW47" s="83"/>
      <c r="HFX47" s="83"/>
      <c r="HFY47" s="83"/>
      <c r="HFZ47" s="83"/>
      <c r="HGA47" s="83"/>
      <c r="HGB47" s="83"/>
      <c r="HGC47" s="83"/>
      <c r="HGD47" s="83"/>
      <c r="HGE47" s="83"/>
      <c r="HGF47" s="83"/>
      <c r="HGG47" s="83"/>
      <c r="HGH47" s="83"/>
      <c r="HGI47" s="83"/>
      <c r="HGJ47" s="83"/>
      <c r="HGK47" s="83"/>
      <c r="HGL47" s="83"/>
      <c r="HGM47" s="83"/>
      <c r="HGN47" s="83"/>
      <c r="HGO47" s="83"/>
      <c r="HGP47" s="83"/>
      <c r="HGQ47" s="83"/>
      <c r="HGR47" s="83"/>
      <c r="HGS47" s="83"/>
      <c r="HGT47" s="83"/>
      <c r="HGU47" s="83"/>
      <c r="HGV47" s="83"/>
      <c r="HGW47" s="83"/>
      <c r="HGX47" s="83"/>
      <c r="HGY47" s="83"/>
      <c r="HGZ47" s="83"/>
      <c r="HHA47" s="83"/>
      <c r="HHB47" s="83"/>
      <c r="HHC47" s="83"/>
      <c r="HHD47" s="83"/>
      <c r="HHE47" s="83"/>
      <c r="HHF47" s="83"/>
      <c r="HHG47" s="83"/>
      <c r="HHH47" s="83"/>
      <c r="HHI47" s="83"/>
      <c r="HHJ47" s="83"/>
      <c r="HHK47" s="83"/>
      <c r="HHL47" s="83"/>
      <c r="HHM47" s="83"/>
      <c r="HHN47" s="83"/>
      <c r="HHO47" s="83"/>
      <c r="HHP47" s="83"/>
      <c r="HHQ47" s="83"/>
      <c r="HHR47" s="83"/>
      <c r="HHS47" s="83"/>
      <c r="HHT47" s="83"/>
      <c r="HHU47" s="83"/>
      <c r="HHV47" s="83"/>
      <c r="HHW47" s="83"/>
      <c r="HHX47" s="83"/>
      <c r="HHY47" s="83"/>
      <c r="HHZ47" s="83"/>
      <c r="HIA47" s="83"/>
      <c r="HIB47" s="83"/>
      <c r="HIC47" s="83"/>
      <c r="HID47" s="83"/>
      <c r="HIE47" s="83"/>
      <c r="HIF47" s="83"/>
      <c r="HIG47" s="83"/>
      <c r="HIH47" s="83"/>
      <c r="HII47" s="83"/>
      <c r="HIJ47" s="83"/>
      <c r="HIK47" s="83"/>
      <c r="HIL47" s="83"/>
      <c r="HIM47" s="83"/>
      <c r="HIN47" s="83"/>
      <c r="HIO47" s="83"/>
      <c r="HIP47" s="83"/>
      <c r="HIQ47" s="83"/>
      <c r="HIR47" s="83"/>
      <c r="HIS47" s="83"/>
      <c r="HIT47" s="83"/>
      <c r="HIU47" s="83"/>
      <c r="HIV47" s="83"/>
      <c r="HIW47" s="83"/>
      <c r="HIX47" s="83"/>
      <c r="HIY47" s="83"/>
      <c r="HIZ47" s="83"/>
      <c r="HJA47" s="83"/>
      <c r="HJB47" s="83"/>
      <c r="HJC47" s="83"/>
      <c r="HJD47" s="83"/>
      <c r="HJE47" s="83"/>
      <c r="HJF47" s="83"/>
      <c r="HJG47" s="83"/>
      <c r="HJH47" s="83"/>
      <c r="HJI47" s="83"/>
      <c r="HJJ47" s="83"/>
      <c r="HJK47" s="83"/>
      <c r="HJL47" s="83"/>
      <c r="HJM47" s="83"/>
      <c r="HJN47" s="83"/>
      <c r="HJO47" s="83"/>
      <c r="HJP47" s="83"/>
      <c r="HJQ47" s="83"/>
      <c r="HJR47" s="83"/>
      <c r="HJS47" s="83"/>
      <c r="HJT47" s="83"/>
      <c r="HJU47" s="83"/>
      <c r="HJV47" s="83"/>
      <c r="HJW47" s="83"/>
      <c r="HJX47" s="83"/>
      <c r="HJY47" s="83"/>
      <c r="HJZ47" s="83"/>
      <c r="HKA47" s="83"/>
      <c r="HKB47" s="83"/>
      <c r="HKC47" s="83"/>
      <c r="HKD47" s="83"/>
      <c r="HKE47" s="83"/>
      <c r="HKF47" s="83"/>
      <c r="HKG47" s="83"/>
      <c r="HKH47" s="83"/>
      <c r="HKI47" s="83"/>
      <c r="HKJ47" s="83"/>
      <c r="HKK47" s="83"/>
      <c r="HKL47" s="83"/>
      <c r="HKM47" s="83"/>
      <c r="HKN47" s="83"/>
      <c r="HKO47" s="83"/>
      <c r="HKP47" s="83"/>
      <c r="HKQ47" s="83"/>
      <c r="HKR47" s="83"/>
      <c r="HKS47" s="83"/>
      <c r="HKT47" s="83"/>
      <c r="HKU47" s="83"/>
      <c r="HKV47" s="83"/>
      <c r="HKW47" s="83"/>
      <c r="HKX47" s="83"/>
      <c r="HKY47" s="83"/>
      <c r="HKZ47" s="83"/>
      <c r="HLA47" s="83"/>
      <c r="HLB47" s="83"/>
      <c r="HLC47" s="83"/>
      <c r="HLD47" s="83"/>
      <c r="HLE47" s="83"/>
      <c r="HLF47" s="83"/>
      <c r="HLG47" s="83"/>
      <c r="HLH47" s="83"/>
      <c r="HLI47" s="83"/>
      <c r="HLJ47" s="83"/>
      <c r="HLK47" s="83"/>
      <c r="HLL47" s="83"/>
      <c r="HLM47" s="83"/>
      <c r="HLN47" s="83"/>
      <c r="HLO47" s="83"/>
      <c r="HLP47" s="83"/>
      <c r="HLQ47" s="83"/>
      <c r="HLR47" s="83"/>
      <c r="HLS47" s="83"/>
      <c r="HLT47" s="83"/>
      <c r="HLU47" s="83"/>
      <c r="HLV47" s="83"/>
      <c r="HLW47" s="83"/>
      <c r="HLX47" s="83"/>
      <c r="HLY47" s="83"/>
      <c r="HLZ47" s="83"/>
      <c r="HMA47" s="83"/>
      <c r="HMB47" s="83"/>
      <c r="HMC47" s="83"/>
      <c r="HMD47" s="83"/>
      <c r="HME47" s="83"/>
      <c r="HMF47" s="83"/>
      <c r="HMG47" s="83"/>
      <c r="HMH47" s="83"/>
      <c r="HMI47" s="83"/>
      <c r="HMJ47" s="83"/>
      <c r="HMK47" s="83"/>
      <c r="HML47" s="83"/>
      <c r="HMM47" s="83"/>
      <c r="HMN47" s="83"/>
      <c r="HMO47" s="83"/>
      <c r="HMP47" s="83"/>
      <c r="HMQ47" s="83"/>
      <c r="HMR47" s="83"/>
      <c r="HMS47" s="83"/>
      <c r="HMT47" s="83"/>
      <c r="HMU47" s="83"/>
      <c r="HMV47" s="83"/>
      <c r="HMW47" s="83"/>
      <c r="HMX47" s="83"/>
      <c r="HMY47" s="83"/>
      <c r="HMZ47" s="83"/>
      <c r="HNA47" s="83"/>
      <c r="HNB47" s="83"/>
      <c r="HNC47" s="83"/>
      <c r="HND47" s="83"/>
      <c r="HNE47" s="83"/>
      <c r="HNF47" s="83"/>
      <c r="HNG47" s="83"/>
      <c r="HNH47" s="83"/>
      <c r="HNI47" s="83"/>
      <c r="HNJ47" s="83"/>
      <c r="HNK47" s="83"/>
      <c r="HNL47" s="83"/>
      <c r="HNM47" s="83"/>
      <c r="HNN47" s="83"/>
      <c r="HNO47" s="83"/>
      <c r="HNP47" s="83"/>
      <c r="HNQ47" s="83"/>
      <c r="HNR47" s="83"/>
      <c r="HNS47" s="83"/>
      <c r="HNT47" s="83"/>
      <c r="HNU47" s="83"/>
      <c r="HNV47" s="83"/>
      <c r="HNW47" s="83"/>
      <c r="HNX47" s="83"/>
      <c r="HNY47" s="83"/>
      <c r="HNZ47" s="83"/>
      <c r="HOA47" s="83"/>
      <c r="HOB47" s="83"/>
      <c r="HOC47" s="83"/>
      <c r="HOD47" s="83"/>
      <c r="HOE47" s="83"/>
      <c r="HOF47" s="83"/>
      <c r="HOG47" s="83"/>
      <c r="HOH47" s="83"/>
      <c r="HOI47" s="83"/>
      <c r="HOJ47" s="83"/>
      <c r="HOK47" s="83"/>
      <c r="HOL47" s="83"/>
      <c r="HOM47" s="83"/>
      <c r="HON47" s="83"/>
      <c r="HOO47" s="83"/>
      <c r="HOP47" s="83"/>
      <c r="HOQ47" s="83"/>
      <c r="HOR47" s="83"/>
      <c r="HOS47" s="83"/>
      <c r="HOT47" s="83"/>
      <c r="HOU47" s="83"/>
      <c r="HOV47" s="83"/>
      <c r="HOW47" s="83"/>
      <c r="HOX47" s="83"/>
      <c r="HOY47" s="83"/>
      <c r="HOZ47" s="83"/>
      <c r="HPA47" s="83"/>
      <c r="HPB47" s="83"/>
      <c r="HPC47" s="83"/>
      <c r="HPD47" s="83"/>
      <c r="HPE47" s="83"/>
      <c r="HPF47" s="83"/>
      <c r="HPG47" s="83"/>
      <c r="HPH47" s="83"/>
      <c r="HPI47" s="83"/>
      <c r="HPJ47" s="83"/>
      <c r="HPK47" s="83"/>
      <c r="HPL47" s="83"/>
      <c r="HPM47" s="83"/>
      <c r="HPN47" s="83"/>
      <c r="HPO47" s="83"/>
      <c r="HPP47" s="83"/>
      <c r="HPQ47" s="83"/>
      <c r="HPR47" s="83"/>
      <c r="HPS47" s="83"/>
      <c r="HPT47" s="83"/>
      <c r="HPU47" s="83"/>
      <c r="HPV47" s="83"/>
      <c r="HPW47" s="83"/>
      <c r="HPX47" s="83"/>
      <c r="HPY47" s="83"/>
      <c r="HPZ47" s="83"/>
      <c r="HQA47" s="83"/>
      <c r="HQB47" s="83"/>
      <c r="HQC47" s="83"/>
      <c r="HQD47" s="83"/>
      <c r="HQE47" s="83"/>
      <c r="HQF47" s="83"/>
      <c r="HQG47" s="83"/>
      <c r="HQH47" s="83"/>
      <c r="HQI47" s="83"/>
      <c r="HQJ47" s="83"/>
      <c r="HQK47" s="83"/>
      <c r="HQL47" s="83"/>
      <c r="HQM47" s="83"/>
      <c r="HQN47" s="83"/>
      <c r="HQO47" s="83"/>
      <c r="HQP47" s="83"/>
      <c r="HQQ47" s="83"/>
      <c r="HQR47" s="83"/>
      <c r="HQS47" s="83"/>
      <c r="HQT47" s="83"/>
      <c r="HQU47" s="83"/>
      <c r="HQV47" s="83"/>
      <c r="HQW47" s="83"/>
      <c r="HQX47" s="83"/>
      <c r="HQY47" s="83"/>
      <c r="HQZ47" s="83"/>
      <c r="HRA47" s="83"/>
      <c r="HRB47" s="83"/>
      <c r="HRC47" s="83"/>
      <c r="HRD47" s="83"/>
      <c r="HRE47" s="83"/>
      <c r="HRF47" s="83"/>
      <c r="HRG47" s="83"/>
      <c r="HRH47" s="83"/>
      <c r="HRI47" s="83"/>
      <c r="HRJ47" s="83"/>
      <c r="HRK47" s="83"/>
      <c r="HRL47" s="83"/>
      <c r="HRM47" s="83"/>
      <c r="HRN47" s="83"/>
      <c r="HRO47" s="83"/>
      <c r="HRP47" s="83"/>
      <c r="HRQ47" s="83"/>
      <c r="HRR47" s="83"/>
      <c r="HRS47" s="83"/>
      <c r="HRT47" s="83"/>
      <c r="HRU47" s="83"/>
      <c r="HRV47" s="83"/>
      <c r="HRW47" s="83"/>
      <c r="HRX47" s="83"/>
      <c r="HRY47" s="83"/>
      <c r="HRZ47" s="83"/>
      <c r="HSA47" s="83"/>
      <c r="HSB47" s="83"/>
      <c r="HSC47" s="83"/>
      <c r="HSD47" s="83"/>
      <c r="HSE47" s="83"/>
      <c r="HSF47" s="83"/>
      <c r="HSG47" s="83"/>
      <c r="HSH47" s="83"/>
      <c r="HSI47" s="83"/>
      <c r="HSJ47" s="83"/>
      <c r="HSK47" s="83"/>
      <c r="HSL47" s="83"/>
      <c r="HSM47" s="83"/>
      <c r="HSN47" s="83"/>
      <c r="HSO47" s="83"/>
      <c r="HSP47" s="83"/>
      <c r="HSQ47" s="83"/>
      <c r="HSR47" s="83"/>
      <c r="HSS47" s="83"/>
      <c r="HST47" s="83"/>
      <c r="HSU47" s="83"/>
      <c r="HSV47" s="83"/>
      <c r="HSW47" s="83"/>
      <c r="HSX47" s="83"/>
      <c r="HSY47" s="83"/>
      <c r="HSZ47" s="83"/>
      <c r="HTA47" s="83"/>
      <c r="HTB47" s="83"/>
      <c r="HTC47" s="83"/>
      <c r="HTD47" s="83"/>
      <c r="HTE47" s="83"/>
      <c r="HTF47" s="83"/>
      <c r="HTG47" s="83"/>
      <c r="HTH47" s="83"/>
      <c r="HTI47" s="83"/>
      <c r="HTJ47" s="83"/>
      <c r="HTK47" s="83"/>
      <c r="HTL47" s="83"/>
      <c r="HTM47" s="83"/>
      <c r="HTN47" s="83"/>
      <c r="HTO47" s="83"/>
      <c r="HTP47" s="83"/>
      <c r="HTQ47" s="83"/>
      <c r="HTR47" s="83"/>
      <c r="HTS47" s="83"/>
      <c r="HTT47" s="83"/>
      <c r="HTU47" s="83"/>
      <c r="HTV47" s="83"/>
      <c r="HTW47" s="83"/>
      <c r="HTX47" s="83"/>
      <c r="HTY47" s="83"/>
      <c r="HTZ47" s="83"/>
      <c r="HUA47" s="83"/>
      <c r="HUB47" s="83"/>
      <c r="HUC47" s="83"/>
      <c r="HUD47" s="83"/>
      <c r="HUE47" s="83"/>
      <c r="HUF47" s="83"/>
      <c r="HUG47" s="83"/>
      <c r="HUH47" s="83"/>
      <c r="HUI47" s="83"/>
      <c r="HUJ47" s="83"/>
      <c r="HUK47" s="83"/>
      <c r="HUL47" s="83"/>
      <c r="HUM47" s="83"/>
      <c r="HUN47" s="83"/>
      <c r="HUO47" s="83"/>
      <c r="HUP47" s="83"/>
      <c r="HUQ47" s="83"/>
      <c r="HUR47" s="83"/>
      <c r="HUS47" s="83"/>
      <c r="HUT47" s="83"/>
      <c r="HUU47" s="83"/>
      <c r="HUV47" s="83"/>
      <c r="HUW47" s="83"/>
      <c r="HUX47" s="83"/>
      <c r="HUY47" s="83"/>
      <c r="HUZ47" s="83"/>
      <c r="HVA47" s="83"/>
      <c r="HVB47" s="83"/>
      <c r="HVC47" s="83"/>
      <c r="HVD47" s="83"/>
      <c r="HVE47" s="83"/>
      <c r="HVF47" s="83"/>
      <c r="HVG47" s="83"/>
      <c r="HVH47" s="83"/>
      <c r="HVI47" s="83"/>
      <c r="HVJ47" s="83"/>
      <c r="HVK47" s="83"/>
      <c r="HVL47" s="83"/>
      <c r="HVM47" s="83"/>
      <c r="HVN47" s="83"/>
      <c r="HVO47" s="83"/>
      <c r="HVP47" s="83"/>
      <c r="HVQ47" s="83"/>
      <c r="HVR47" s="83"/>
      <c r="HVS47" s="83"/>
      <c r="HVT47" s="83"/>
      <c r="HVU47" s="83"/>
      <c r="HVV47" s="83"/>
      <c r="HVW47" s="83"/>
      <c r="HVX47" s="83"/>
      <c r="HVY47" s="83"/>
      <c r="HVZ47" s="83"/>
      <c r="HWA47" s="83"/>
      <c r="HWB47" s="83"/>
      <c r="HWC47" s="83"/>
      <c r="HWD47" s="83"/>
      <c r="HWE47" s="83"/>
      <c r="HWF47" s="83"/>
      <c r="HWG47" s="83"/>
      <c r="HWH47" s="83"/>
      <c r="HWI47" s="83"/>
      <c r="HWJ47" s="83"/>
      <c r="HWK47" s="83"/>
      <c r="HWL47" s="83"/>
      <c r="HWM47" s="83"/>
      <c r="HWN47" s="83"/>
      <c r="HWO47" s="83"/>
      <c r="HWP47" s="83"/>
      <c r="HWQ47" s="83"/>
      <c r="HWR47" s="83"/>
      <c r="HWS47" s="83"/>
      <c r="HWT47" s="83"/>
      <c r="HWU47" s="83"/>
      <c r="HWV47" s="83"/>
      <c r="HWW47" s="83"/>
      <c r="HWX47" s="83"/>
      <c r="HWY47" s="83"/>
      <c r="HWZ47" s="83"/>
      <c r="HXA47" s="83"/>
      <c r="HXB47" s="83"/>
      <c r="HXC47" s="83"/>
      <c r="HXD47" s="83"/>
      <c r="HXE47" s="83"/>
      <c r="HXF47" s="83"/>
      <c r="HXG47" s="83"/>
      <c r="HXH47" s="83"/>
      <c r="HXI47" s="83"/>
      <c r="HXJ47" s="83"/>
      <c r="HXK47" s="83"/>
      <c r="HXL47" s="83"/>
      <c r="HXM47" s="83"/>
      <c r="HXN47" s="83"/>
      <c r="HXO47" s="83"/>
      <c r="HXP47" s="83"/>
      <c r="HXQ47" s="83"/>
      <c r="HXR47" s="83"/>
      <c r="HXS47" s="83"/>
      <c r="HXT47" s="83"/>
      <c r="HXU47" s="83"/>
      <c r="HXV47" s="83"/>
      <c r="HXW47" s="83"/>
      <c r="HXX47" s="83"/>
      <c r="HXY47" s="83"/>
      <c r="HXZ47" s="83"/>
      <c r="HYA47" s="83"/>
      <c r="HYB47" s="83"/>
      <c r="HYC47" s="83"/>
      <c r="HYD47" s="83"/>
      <c r="HYE47" s="83"/>
      <c r="HYF47" s="83"/>
      <c r="HYG47" s="83"/>
      <c r="HYH47" s="83"/>
      <c r="HYI47" s="83"/>
      <c r="HYJ47" s="83"/>
      <c r="HYK47" s="83"/>
      <c r="HYL47" s="83"/>
      <c r="HYM47" s="83"/>
      <c r="HYN47" s="83"/>
      <c r="HYO47" s="83"/>
      <c r="HYP47" s="83"/>
      <c r="HYQ47" s="83"/>
      <c r="HYR47" s="83"/>
      <c r="HYS47" s="83"/>
      <c r="HYT47" s="83"/>
      <c r="HYU47" s="83"/>
      <c r="HYV47" s="83"/>
      <c r="HYW47" s="83"/>
      <c r="HYX47" s="83"/>
      <c r="HYY47" s="83"/>
      <c r="HYZ47" s="83"/>
      <c r="HZA47" s="83"/>
      <c r="HZB47" s="83"/>
      <c r="HZC47" s="83"/>
      <c r="HZD47" s="83"/>
      <c r="HZE47" s="83"/>
      <c r="HZF47" s="83"/>
      <c r="HZG47" s="83"/>
      <c r="HZH47" s="83"/>
      <c r="HZI47" s="83"/>
      <c r="HZJ47" s="83"/>
      <c r="HZK47" s="83"/>
      <c r="HZL47" s="83"/>
      <c r="HZM47" s="83"/>
      <c r="HZN47" s="83"/>
      <c r="HZO47" s="83"/>
      <c r="HZP47" s="83"/>
      <c r="HZQ47" s="83"/>
      <c r="HZR47" s="83"/>
      <c r="HZS47" s="83"/>
      <c r="HZT47" s="83"/>
      <c r="HZU47" s="83"/>
      <c r="HZV47" s="83"/>
      <c r="HZW47" s="83"/>
      <c r="HZX47" s="83"/>
      <c r="HZY47" s="83"/>
      <c r="HZZ47" s="83"/>
      <c r="IAA47" s="83"/>
      <c r="IAB47" s="83"/>
      <c r="IAC47" s="83"/>
      <c r="IAD47" s="83"/>
      <c r="IAE47" s="83"/>
      <c r="IAF47" s="83"/>
      <c r="IAG47" s="83"/>
      <c r="IAH47" s="83"/>
      <c r="IAI47" s="83"/>
      <c r="IAJ47" s="83"/>
      <c r="IAK47" s="83"/>
      <c r="IAL47" s="83"/>
      <c r="IAM47" s="83"/>
      <c r="IAN47" s="83"/>
      <c r="IAO47" s="83"/>
      <c r="IAP47" s="83"/>
      <c r="IAQ47" s="83"/>
      <c r="IAR47" s="83"/>
      <c r="IAS47" s="83"/>
      <c r="IAT47" s="83"/>
      <c r="IAU47" s="83"/>
      <c r="IAV47" s="83"/>
      <c r="IAW47" s="83"/>
      <c r="IAX47" s="83"/>
      <c r="IAY47" s="83"/>
      <c r="IAZ47" s="83"/>
      <c r="IBA47" s="83"/>
      <c r="IBB47" s="83"/>
      <c r="IBC47" s="83"/>
      <c r="IBD47" s="83"/>
      <c r="IBE47" s="83"/>
      <c r="IBF47" s="83"/>
      <c r="IBG47" s="83"/>
      <c r="IBH47" s="83"/>
      <c r="IBI47" s="83"/>
      <c r="IBJ47" s="83"/>
      <c r="IBK47" s="83"/>
      <c r="IBL47" s="83"/>
      <c r="IBM47" s="83"/>
      <c r="IBN47" s="83"/>
      <c r="IBO47" s="83"/>
      <c r="IBP47" s="83"/>
      <c r="IBQ47" s="83"/>
      <c r="IBR47" s="83"/>
      <c r="IBS47" s="83"/>
      <c r="IBT47" s="83"/>
      <c r="IBU47" s="83"/>
      <c r="IBV47" s="83"/>
      <c r="IBW47" s="83"/>
      <c r="IBX47" s="83"/>
      <c r="IBY47" s="83"/>
      <c r="IBZ47" s="83"/>
      <c r="ICA47" s="83"/>
      <c r="ICB47" s="83"/>
      <c r="ICC47" s="83"/>
      <c r="ICD47" s="83"/>
      <c r="ICE47" s="83"/>
      <c r="ICF47" s="83"/>
      <c r="ICG47" s="83"/>
      <c r="ICH47" s="83"/>
      <c r="ICI47" s="83"/>
      <c r="ICJ47" s="83"/>
      <c r="ICK47" s="83"/>
      <c r="ICL47" s="83"/>
      <c r="ICM47" s="83"/>
      <c r="ICN47" s="83"/>
      <c r="ICO47" s="83"/>
      <c r="ICP47" s="83"/>
      <c r="ICQ47" s="83"/>
      <c r="ICR47" s="83"/>
      <c r="ICS47" s="83"/>
      <c r="ICT47" s="83"/>
      <c r="ICU47" s="83"/>
      <c r="ICV47" s="83"/>
      <c r="ICW47" s="83"/>
      <c r="ICX47" s="83"/>
      <c r="ICY47" s="83"/>
      <c r="ICZ47" s="83"/>
      <c r="IDA47" s="83"/>
      <c r="IDB47" s="83"/>
      <c r="IDC47" s="83"/>
      <c r="IDD47" s="83"/>
      <c r="IDE47" s="83"/>
      <c r="IDF47" s="83"/>
      <c r="IDG47" s="83"/>
      <c r="IDH47" s="83"/>
      <c r="IDI47" s="83"/>
      <c r="IDJ47" s="83"/>
      <c r="IDK47" s="83"/>
      <c r="IDL47" s="83"/>
      <c r="IDM47" s="83"/>
      <c r="IDN47" s="83"/>
      <c r="IDO47" s="83"/>
      <c r="IDP47" s="83"/>
      <c r="IDQ47" s="83"/>
      <c r="IDR47" s="83"/>
      <c r="IDS47" s="83"/>
      <c r="IDT47" s="83"/>
      <c r="IDU47" s="83"/>
      <c r="IDV47" s="83"/>
      <c r="IDW47" s="83"/>
      <c r="IDX47" s="83"/>
      <c r="IDY47" s="83"/>
      <c r="IDZ47" s="83"/>
      <c r="IEA47" s="83"/>
      <c r="IEB47" s="83"/>
      <c r="IEC47" s="83"/>
      <c r="IED47" s="83"/>
      <c r="IEE47" s="83"/>
      <c r="IEF47" s="83"/>
      <c r="IEG47" s="83"/>
      <c r="IEH47" s="83"/>
      <c r="IEI47" s="83"/>
      <c r="IEJ47" s="83"/>
      <c r="IEK47" s="83"/>
      <c r="IEL47" s="83"/>
      <c r="IEM47" s="83"/>
      <c r="IEN47" s="83"/>
      <c r="IEO47" s="83"/>
      <c r="IEP47" s="83"/>
      <c r="IEQ47" s="83"/>
      <c r="IER47" s="83"/>
      <c r="IES47" s="83"/>
      <c r="IET47" s="83"/>
      <c r="IEU47" s="83"/>
      <c r="IEV47" s="83"/>
      <c r="IEW47" s="83"/>
      <c r="IEX47" s="83"/>
      <c r="IEY47" s="83"/>
      <c r="IEZ47" s="83"/>
      <c r="IFA47" s="83"/>
      <c r="IFB47" s="83"/>
      <c r="IFC47" s="83"/>
      <c r="IFD47" s="83"/>
      <c r="IFE47" s="83"/>
      <c r="IFF47" s="83"/>
      <c r="IFG47" s="83"/>
      <c r="IFH47" s="83"/>
      <c r="IFI47" s="83"/>
      <c r="IFJ47" s="83"/>
      <c r="IFK47" s="83"/>
      <c r="IFL47" s="83"/>
      <c r="IFM47" s="83"/>
      <c r="IFN47" s="83"/>
      <c r="IFO47" s="83"/>
      <c r="IFP47" s="83"/>
      <c r="IFQ47" s="83"/>
      <c r="IFR47" s="83"/>
      <c r="IFS47" s="83"/>
      <c r="IFT47" s="83"/>
      <c r="IFU47" s="83"/>
      <c r="IFV47" s="83"/>
      <c r="IFW47" s="83"/>
      <c r="IFX47" s="83"/>
      <c r="IFY47" s="83"/>
      <c r="IFZ47" s="83"/>
      <c r="IGA47" s="83"/>
      <c r="IGB47" s="83"/>
      <c r="IGC47" s="83"/>
      <c r="IGD47" s="83"/>
      <c r="IGE47" s="83"/>
      <c r="IGF47" s="83"/>
      <c r="IGG47" s="83"/>
      <c r="IGH47" s="83"/>
      <c r="IGI47" s="83"/>
      <c r="IGJ47" s="83"/>
      <c r="IGK47" s="83"/>
      <c r="IGL47" s="83"/>
      <c r="IGM47" s="83"/>
      <c r="IGN47" s="83"/>
      <c r="IGO47" s="83"/>
      <c r="IGP47" s="83"/>
      <c r="IGQ47" s="83"/>
      <c r="IGR47" s="83"/>
      <c r="IGS47" s="83"/>
      <c r="IGT47" s="83"/>
      <c r="IGU47" s="83"/>
      <c r="IGV47" s="83"/>
      <c r="IGW47" s="83"/>
      <c r="IGX47" s="83"/>
      <c r="IGY47" s="83"/>
      <c r="IGZ47" s="83"/>
      <c r="IHA47" s="83"/>
      <c r="IHB47" s="83"/>
      <c r="IHC47" s="83"/>
      <c r="IHD47" s="83"/>
      <c r="IHE47" s="83"/>
      <c r="IHF47" s="83"/>
      <c r="IHG47" s="83"/>
      <c r="IHH47" s="83"/>
      <c r="IHI47" s="83"/>
      <c r="IHJ47" s="83"/>
      <c r="IHK47" s="83"/>
      <c r="IHL47" s="83"/>
      <c r="IHM47" s="83"/>
      <c r="IHN47" s="83"/>
      <c r="IHO47" s="83"/>
      <c r="IHP47" s="83"/>
      <c r="IHQ47" s="83"/>
      <c r="IHR47" s="83"/>
      <c r="IHS47" s="83"/>
      <c r="IHT47" s="83"/>
      <c r="IHU47" s="83"/>
      <c r="IHV47" s="83"/>
      <c r="IHW47" s="83"/>
      <c r="IHX47" s="83"/>
      <c r="IHY47" s="83"/>
      <c r="IHZ47" s="83"/>
      <c r="IIA47" s="83"/>
      <c r="IIB47" s="83"/>
      <c r="IIC47" s="83"/>
      <c r="IID47" s="83"/>
      <c r="IIE47" s="83"/>
      <c r="IIF47" s="83"/>
      <c r="IIG47" s="83"/>
      <c r="IIH47" s="83"/>
      <c r="III47" s="83"/>
      <c r="IIJ47" s="83"/>
      <c r="IIK47" s="83"/>
      <c r="IIL47" s="83"/>
      <c r="IIM47" s="83"/>
      <c r="IIN47" s="83"/>
      <c r="IIO47" s="83"/>
      <c r="IIP47" s="83"/>
      <c r="IIQ47" s="83"/>
      <c r="IIR47" s="83"/>
      <c r="IIS47" s="83"/>
      <c r="IIT47" s="83"/>
      <c r="IIU47" s="83"/>
      <c r="IIV47" s="83"/>
      <c r="IIW47" s="83"/>
      <c r="IIX47" s="83"/>
      <c r="IIY47" s="83"/>
      <c r="IIZ47" s="83"/>
      <c r="IJA47" s="83"/>
      <c r="IJB47" s="83"/>
      <c r="IJC47" s="83"/>
      <c r="IJD47" s="83"/>
      <c r="IJE47" s="83"/>
      <c r="IJF47" s="83"/>
      <c r="IJG47" s="83"/>
      <c r="IJH47" s="83"/>
      <c r="IJI47" s="83"/>
      <c r="IJJ47" s="83"/>
      <c r="IJK47" s="83"/>
      <c r="IJL47" s="83"/>
      <c r="IJM47" s="83"/>
      <c r="IJN47" s="83"/>
      <c r="IJO47" s="83"/>
      <c r="IJP47" s="83"/>
      <c r="IJQ47" s="83"/>
      <c r="IJR47" s="83"/>
      <c r="IJS47" s="83"/>
      <c r="IJT47" s="83"/>
      <c r="IJU47" s="83"/>
      <c r="IJV47" s="83"/>
      <c r="IJW47" s="83"/>
      <c r="IJX47" s="83"/>
      <c r="IJY47" s="83"/>
      <c r="IJZ47" s="83"/>
      <c r="IKA47" s="83"/>
      <c r="IKB47" s="83"/>
      <c r="IKC47" s="83"/>
      <c r="IKD47" s="83"/>
      <c r="IKE47" s="83"/>
      <c r="IKF47" s="83"/>
      <c r="IKG47" s="83"/>
      <c r="IKH47" s="83"/>
      <c r="IKI47" s="83"/>
      <c r="IKJ47" s="83"/>
      <c r="IKK47" s="83"/>
      <c r="IKL47" s="83"/>
      <c r="IKM47" s="83"/>
      <c r="IKN47" s="83"/>
      <c r="IKO47" s="83"/>
      <c r="IKP47" s="83"/>
      <c r="IKQ47" s="83"/>
      <c r="IKR47" s="83"/>
      <c r="IKS47" s="83"/>
      <c r="IKT47" s="83"/>
      <c r="IKU47" s="83"/>
      <c r="IKV47" s="83"/>
      <c r="IKW47" s="83"/>
      <c r="IKX47" s="83"/>
      <c r="IKY47" s="83"/>
      <c r="IKZ47" s="83"/>
      <c r="ILA47" s="83"/>
      <c r="ILB47" s="83"/>
      <c r="ILC47" s="83"/>
      <c r="ILD47" s="83"/>
      <c r="ILE47" s="83"/>
      <c r="ILF47" s="83"/>
      <c r="ILG47" s="83"/>
      <c r="ILH47" s="83"/>
      <c r="ILI47" s="83"/>
      <c r="ILJ47" s="83"/>
      <c r="ILK47" s="83"/>
      <c r="ILL47" s="83"/>
      <c r="ILM47" s="83"/>
      <c r="ILN47" s="83"/>
      <c r="ILO47" s="83"/>
      <c r="ILP47" s="83"/>
      <c r="ILQ47" s="83"/>
      <c r="ILR47" s="83"/>
      <c r="ILS47" s="83"/>
      <c r="ILT47" s="83"/>
      <c r="ILU47" s="83"/>
      <c r="ILV47" s="83"/>
      <c r="ILW47" s="83"/>
      <c r="ILX47" s="83"/>
      <c r="ILY47" s="83"/>
      <c r="ILZ47" s="83"/>
      <c r="IMA47" s="83"/>
      <c r="IMB47" s="83"/>
      <c r="IMC47" s="83"/>
      <c r="IMD47" s="83"/>
      <c r="IME47" s="83"/>
      <c r="IMF47" s="83"/>
      <c r="IMG47" s="83"/>
      <c r="IMH47" s="83"/>
      <c r="IMI47" s="83"/>
      <c r="IMJ47" s="83"/>
      <c r="IMK47" s="83"/>
      <c r="IML47" s="83"/>
      <c r="IMM47" s="83"/>
      <c r="IMN47" s="83"/>
      <c r="IMO47" s="83"/>
      <c r="IMP47" s="83"/>
      <c r="IMQ47" s="83"/>
      <c r="IMR47" s="83"/>
      <c r="IMS47" s="83"/>
      <c r="IMT47" s="83"/>
      <c r="IMU47" s="83"/>
      <c r="IMV47" s="83"/>
      <c r="IMW47" s="83"/>
      <c r="IMX47" s="83"/>
      <c r="IMY47" s="83"/>
      <c r="IMZ47" s="83"/>
      <c r="INA47" s="83"/>
      <c r="INB47" s="83"/>
      <c r="INC47" s="83"/>
      <c r="IND47" s="83"/>
      <c r="INE47" s="83"/>
      <c r="INF47" s="83"/>
      <c r="ING47" s="83"/>
      <c r="INH47" s="83"/>
      <c r="INI47" s="83"/>
      <c r="INJ47" s="83"/>
      <c r="INK47" s="83"/>
      <c r="INL47" s="83"/>
      <c r="INM47" s="83"/>
      <c r="INN47" s="83"/>
      <c r="INO47" s="83"/>
      <c r="INP47" s="83"/>
      <c r="INQ47" s="83"/>
      <c r="INR47" s="83"/>
      <c r="INS47" s="83"/>
      <c r="INT47" s="83"/>
      <c r="INU47" s="83"/>
      <c r="INV47" s="83"/>
      <c r="INW47" s="83"/>
      <c r="INX47" s="83"/>
      <c r="INY47" s="83"/>
      <c r="INZ47" s="83"/>
      <c r="IOA47" s="83"/>
      <c r="IOB47" s="83"/>
      <c r="IOC47" s="83"/>
      <c r="IOD47" s="83"/>
      <c r="IOE47" s="83"/>
      <c r="IOF47" s="83"/>
      <c r="IOG47" s="83"/>
      <c r="IOH47" s="83"/>
      <c r="IOI47" s="83"/>
      <c r="IOJ47" s="83"/>
      <c r="IOK47" s="83"/>
      <c r="IOL47" s="83"/>
      <c r="IOM47" s="83"/>
      <c r="ION47" s="83"/>
      <c r="IOO47" s="83"/>
      <c r="IOP47" s="83"/>
      <c r="IOQ47" s="83"/>
      <c r="IOR47" s="83"/>
      <c r="IOS47" s="83"/>
      <c r="IOT47" s="83"/>
      <c r="IOU47" s="83"/>
      <c r="IOV47" s="83"/>
      <c r="IOW47" s="83"/>
      <c r="IOX47" s="83"/>
      <c r="IOY47" s="83"/>
      <c r="IOZ47" s="83"/>
      <c r="IPA47" s="83"/>
      <c r="IPB47" s="83"/>
      <c r="IPC47" s="83"/>
      <c r="IPD47" s="83"/>
      <c r="IPE47" s="83"/>
      <c r="IPF47" s="83"/>
      <c r="IPG47" s="83"/>
      <c r="IPH47" s="83"/>
      <c r="IPI47" s="83"/>
      <c r="IPJ47" s="83"/>
      <c r="IPK47" s="83"/>
      <c r="IPL47" s="83"/>
      <c r="IPM47" s="83"/>
      <c r="IPN47" s="83"/>
      <c r="IPO47" s="83"/>
      <c r="IPP47" s="83"/>
      <c r="IPQ47" s="83"/>
      <c r="IPR47" s="83"/>
      <c r="IPS47" s="83"/>
      <c r="IPT47" s="83"/>
      <c r="IPU47" s="83"/>
      <c r="IPV47" s="83"/>
      <c r="IPW47" s="83"/>
      <c r="IPX47" s="83"/>
      <c r="IPY47" s="83"/>
      <c r="IPZ47" s="83"/>
      <c r="IQA47" s="83"/>
      <c r="IQB47" s="83"/>
      <c r="IQC47" s="83"/>
      <c r="IQD47" s="83"/>
      <c r="IQE47" s="83"/>
      <c r="IQF47" s="83"/>
      <c r="IQG47" s="83"/>
      <c r="IQH47" s="83"/>
      <c r="IQI47" s="83"/>
      <c r="IQJ47" s="83"/>
      <c r="IQK47" s="83"/>
      <c r="IQL47" s="83"/>
      <c r="IQM47" s="83"/>
      <c r="IQN47" s="83"/>
      <c r="IQO47" s="83"/>
      <c r="IQP47" s="83"/>
      <c r="IQQ47" s="83"/>
      <c r="IQR47" s="83"/>
      <c r="IQS47" s="83"/>
      <c r="IQT47" s="83"/>
      <c r="IQU47" s="83"/>
      <c r="IQV47" s="83"/>
      <c r="IQW47" s="83"/>
      <c r="IQX47" s="83"/>
      <c r="IQY47" s="83"/>
      <c r="IQZ47" s="83"/>
      <c r="IRA47" s="83"/>
      <c r="IRB47" s="83"/>
      <c r="IRC47" s="83"/>
      <c r="IRD47" s="83"/>
      <c r="IRE47" s="83"/>
      <c r="IRF47" s="83"/>
      <c r="IRG47" s="83"/>
      <c r="IRH47" s="83"/>
      <c r="IRI47" s="83"/>
      <c r="IRJ47" s="83"/>
      <c r="IRK47" s="83"/>
      <c r="IRL47" s="83"/>
      <c r="IRM47" s="83"/>
      <c r="IRN47" s="83"/>
      <c r="IRO47" s="83"/>
      <c r="IRP47" s="83"/>
      <c r="IRQ47" s="83"/>
      <c r="IRR47" s="83"/>
      <c r="IRS47" s="83"/>
      <c r="IRT47" s="83"/>
      <c r="IRU47" s="83"/>
      <c r="IRV47" s="83"/>
      <c r="IRW47" s="83"/>
      <c r="IRX47" s="83"/>
      <c r="IRY47" s="83"/>
      <c r="IRZ47" s="83"/>
      <c r="ISA47" s="83"/>
      <c r="ISB47" s="83"/>
      <c r="ISC47" s="83"/>
      <c r="ISD47" s="83"/>
      <c r="ISE47" s="83"/>
      <c r="ISF47" s="83"/>
      <c r="ISG47" s="83"/>
      <c r="ISH47" s="83"/>
      <c r="ISI47" s="83"/>
      <c r="ISJ47" s="83"/>
      <c r="ISK47" s="83"/>
      <c r="ISL47" s="83"/>
      <c r="ISM47" s="83"/>
      <c r="ISN47" s="83"/>
      <c r="ISO47" s="83"/>
      <c r="ISP47" s="83"/>
      <c r="ISQ47" s="83"/>
      <c r="ISR47" s="83"/>
      <c r="ISS47" s="83"/>
      <c r="IST47" s="83"/>
      <c r="ISU47" s="83"/>
      <c r="ISV47" s="83"/>
      <c r="ISW47" s="83"/>
      <c r="ISX47" s="83"/>
      <c r="ISY47" s="83"/>
      <c r="ISZ47" s="83"/>
      <c r="ITA47" s="83"/>
      <c r="ITB47" s="83"/>
      <c r="ITC47" s="83"/>
      <c r="ITD47" s="83"/>
      <c r="ITE47" s="83"/>
      <c r="ITF47" s="83"/>
      <c r="ITG47" s="83"/>
      <c r="ITH47" s="83"/>
      <c r="ITI47" s="83"/>
      <c r="ITJ47" s="83"/>
      <c r="ITK47" s="83"/>
      <c r="ITL47" s="83"/>
      <c r="ITM47" s="83"/>
      <c r="ITN47" s="83"/>
      <c r="ITO47" s="83"/>
      <c r="ITP47" s="83"/>
      <c r="ITQ47" s="83"/>
      <c r="ITR47" s="83"/>
      <c r="ITS47" s="83"/>
      <c r="ITT47" s="83"/>
      <c r="ITU47" s="83"/>
      <c r="ITV47" s="83"/>
      <c r="ITW47" s="83"/>
      <c r="ITX47" s="83"/>
      <c r="ITY47" s="83"/>
      <c r="ITZ47" s="83"/>
      <c r="IUA47" s="83"/>
      <c r="IUB47" s="83"/>
      <c r="IUC47" s="83"/>
      <c r="IUD47" s="83"/>
      <c r="IUE47" s="83"/>
      <c r="IUF47" s="83"/>
      <c r="IUG47" s="83"/>
      <c r="IUH47" s="83"/>
      <c r="IUI47" s="83"/>
      <c r="IUJ47" s="83"/>
      <c r="IUK47" s="83"/>
      <c r="IUL47" s="83"/>
      <c r="IUM47" s="83"/>
      <c r="IUN47" s="83"/>
      <c r="IUO47" s="83"/>
      <c r="IUP47" s="83"/>
      <c r="IUQ47" s="83"/>
      <c r="IUR47" s="83"/>
      <c r="IUS47" s="83"/>
      <c r="IUT47" s="83"/>
      <c r="IUU47" s="83"/>
      <c r="IUV47" s="83"/>
      <c r="IUW47" s="83"/>
      <c r="IUX47" s="83"/>
      <c r="IUY47" s="83"/>
      <c r="IUZ47" s="83"/>
      <c r="IVA47" s="83"/>
      <c r="IVB47" s="83"/>
      <c r="IVC47" s="83"/>
      <c r="IVD47" s="83"/>
      <c r="IVE47" s="83"/>
      <c r="IVF47" s="83"/>
      <c r="IVG47" s="83"/>
      <c r="IVH47" s="83"/>
      <c r="IVI47" s="83"/>
      <c r="IVJ47" s="83"/>
      <c r="IVK47" s="83"/>
      <c r="IVL47" s="83"/>
      <c r="IVM47" s="83"/>
      <c r="IVN47" s="83"/>
      <c r="IVO47" s="83"/>
      <c r="IVP47" s="83"/>
      <c r="IVQ47" s="83"/>
      <c r="IVR47" s="83"/>
      <c r="IVS47" s="83"/>
      <c r="IVT47" s="83"/>
      <c r="IVU47" s="83"/>
      <c r="IVV47" s="83"/>
      <c r="IVW47" s="83"/>
      <c r="IVX47" s="83"/>
      <c r="IVY47" s="83"/>
      <c r="IVZ47" s="83"/>
      <c r="IWA47" s="83"/>
      <c r="IWB47" s="83"/>
      <c r="IWC47" s="83"/>
      <c r="IWD47" s="83"/>
      <c r="IWE47" s="83"/>
      <c r="IWF47" s="83"/>
      <c r="IWG47" s="83"/>
      <c r="IWH47" s="83"/>
      <c r="IWI47" s="83"/>
      <c r="IWJ47" s="83"/>
      <c r="IWK47" s="83"/>
      <c r="IWL47" s="83"/>
      <c r="IWM47" s="83"/>
      <c r="IWN47" s="83"/>
      <c r="IWO47" s="83"/>
      <c r="IWP47" s="83"/>
      <c r="IWQ47" s="83"/>
      <c r="IWR47" s="83"/>
      <c r="IWS47" s="83"/>
      <c r="IWT47" s="83"/>
      <c r="IWU47" s="83"/>
      <c r="IWV47" s="83"/>
      <c r="IWW47" s="83"/>
      <c r="IWX47" s="83"/>
      <c r="IWY47" s="83"/>
      <c r="IWZ47" s="83"/>
      <c r="IXA47" s="83"/>
      <c r="IXB47" s="83"/>
      <c r="IXC47" s="83"/>
      <c r="IXD47" s="83"/>
      <c r="IXE47" s="83"/>
      <c r="IXF47" s="83"/>
      <c r="IXG47" s="83"/>
      <c r="IXH47" s="83"/>
      <c r="IXI47" s="83"/>
      <c r="IXJ47" s="83"/>
      <c r="IXK47" s="83"/>
      <c r="IXL47" s="83"/>
      <c r="IXM47" s="83"/>
      <c r="IXN47" s="83"/>
      <c r="IXO47" s="83"/>
      <c r="IXP47" s="83"/>
      <c r="IXQ47" s="83"/>
      <c r="IXR47" s="83"/>
      <c r="IXS47" s="83"/>
      <c r="IXT47" s="83"/>
      <c r="IXU47" s="83"/>
      <c r="IXV47" s="83"/>
      <c r="IXW47" s="83"/>
      <c r="IXX47" s="83"/>
      <c r="IXY47" s="83"/>
      <c r="IXZ47" s="83"/>
      <c r="IYA47" s="83"/>
      <c r="IYB47" s="83"/>
      <c r="IYC47" s="83"/>
      <c r="IYD47" s="83"/>
      <c r="IYE47" s="83"/>
      <c r="IYF47" s="83"/>
      <c r="IYG47" s="83"/>
      <c r="IYH47" s="83"/>
      <c r="IYI47" s="83"/>
      <c r="IYJ47" s="83"/>
      <c r="IYK47" s="83"/>
      <c r="IYL47" s="83"/>
      <c r="IYM47" s="83"/>
      <c r="IYN47" s="83"/>
      <c r="IYO47" s="83"/>
      <c r="IYP47" s="83"/>
      <c r="IYQ47" s="83"/>
      <c r="IYR47" s="83"/>
      <c r="IYS47" s="83"/>
      <c r="IYT47" s="83"/>
      <c r="IYU47" s="83"/>
      <c r="IYV47" s="83"/>
      <c r="IYW47" s="83"/>
      <c r="IYX47" s="83"/>
      <c r="IYY47" s="83"/>
      <c r="IYZ47" s="83"/>
      <c r="IZA47" s="83"/>
      <c r="IZB47" s="83"/>
      <c r="IZC47" s="83"/>
      <c r="IZD47" s="83"/>
      <c r="IZE47" s="83"/>
      <c r="IZF47" s="83"/>
      <c r="IZG47" s="83"/>
      <c r="IZH47" s="83"/>
      <c r="IZI47" s="83"/>
      <c r="IZJ47" s="83"/>
      <c r="IZK47" s="83"/>
      <c r="IZL47" s="83"/>
      <c r="IZM47" s="83"/>
      <c r="IZN47" s="83"/>
      <c r="IZO47" s="83"/>
      <c r="IZP47" s="83"/>
      <c r="IZQ47" s="83"/>
      <c r="IZR47" s="83"/>
      <c r="IZS47" s="83"/>
      <c r="IZT47" s="83"/>
      <c r="IZU47" s="83"/>
      <c r="IZV47" s="83"/>
      <c r="IZW47" s="83"/>
      <c r="IZX47" s="83"/>
      <c r="IZY47" s="83"/>
      <c r="IZZ47" s="83"/>
      <c r="JAA47" s="83"/>
      <c r="JAB47" s="83"/>
      <c r="JAC47" s="83"/>
      <c r="JAD47" s="83"/>
      <c r="JAE47" s="83"/>
      <c r="JAF47" s="83"/>
      <c r="JAG47" s="83"/>
      <c r="JAH47" s="83"/>
      <c r="JAI47" s="83"/>
      <c r="JAJ47" s="83"/>
      <c r="JAK47" s="83"/>
      <c r="JAL47" s="83"/>
      <c r="JAM47" s="83"/>
      <c r="JAN47" s="83"/>
      <c r="JAO47" s="83"/>
      <c r="JAP47" s="83"/>
      <c r="JAQ47" s="83"/>
      <c r="JAR47" s="83"/>
      <c r="JAS47" s="83"/>
      <c r="JAT47" s="83"/>
      <c r="JAU47" s="83"/>
      <c r="JAV47" s="83"/>
      <c r="JAW47" s="83"/>
      <c r="JAX47" s="83"/>
      <c r="JAY47" s="83"/>
      <c r="JAZ47" s="83"/>
      <c r="JBA47" s="83"/>
      <c r="JBB47" s="83"/>
      <c r="JBC47" s="83"/>
      <c r="JBD47" s="83"/>
      <c r="JBE47" s="83"/>
      <c r="JBF47" s="83"/>
      <c r="JBG47" s="83"/>
      <c r="JBH47" s="83"/>
      <c r="JBI47" s="83"/>
      <c r="JBJ47" s="83"/>
      <c r="JBK47" s="83"/>
      <c r="JBL47" s="83"/>
      <c r="JBM47" s="83"/>
      <c r="JBN47" s="83"/>
      <c r="JBO47" s="83"/>
      <c r="JBP47" s="83"/>
      <c r="JBQ47" s="83"/>
      <c r="JBR47" s="83"/>
      <c r="JBS47" s="83"/>
      <c r="JBT47" s="83"/>
      <c r="JBU47" s="83"/>
      <c r="JBV47" s="83"/>
      <c r="JBW47" s="83"/>
      <c r="JBX47" s="83"/>
      <c r="JBY47" s="83"/>
      <c r="JBZ47" s="83"/>
      <c r="JCA47" s="83"/>
      <c r="JCB47" s="83"/>
      <c r="JCC47" s="83"/>
      <c r="JCD47" s="83"/>
      <c r="JCE47" s="83"/>
      <c r="JCF47" s="83"/>
      <c r="JCG47" s="83"/>
      <c r="JCH47" s="83"/>
      <c r="JCI47" s="83"/>
      <c r="JCJ47" s="83"/>
      <c r="JCK47" s="83"/>
      <c r="JCL47" s="83"/>
      <c r="JCM47" s="83"/>
      <c r="JCN47" s="83"/>
      <c r="JCO47" s="83"/>
      <c r="JCP47" s="83"/>
      <c r="JCQ47" s="83"/>
      <c r="JCR47" s="83"/>
      <c r="JCS47" s="83"/>
      <c r="JCT47" s="83"/>
      <c r="JCU47" s="83"/>
      <c r="JCV47" s="83"/>
      <c r="JCW47" s="83"/>
      <c r="JCX47" s="83"/>
      <c r="JCY47" s="83"/>
      <c r="JCZ47" s="83"/>
      <c r="JDA47" s="83"/>
      <c r="JDB47" s="83"/>
      <c r="JDC47" s="83"/>
      <c r="JDD47" s="83"/>
      <c r="JDE47" s="83"/>
      <c r="JDF47" s="83"/>
      <c r="JDG47" s="83"/>
      <c r="JDH47" s="83"/>
      <c r="JDI47" s="83"/>
      <c r="JDJ47" s="83"/>
      <c r="JDK47" s="83"/>
      <c r="JDL47" s="83"/>
      <c r="JDM47" s="83"/>
      <c r="JDN47" s="83"/>
      <c r="JDO47" s="83"/>
      <c r="JDP47" s="83"/>
      <c r="JDQ47" s="83"/>
      <c r="JDR47" s="83"/>
      <c r="JDS47" s="83"/>
      <c r="JDT47" s="83"/>
      <c r="JDU47" s="83"/>
      <c r="JDV47" s="83"/>
      <c r="JDW47" s="83"/>
      <c r="JDX47" s="83"/>
      <c r="JDY47" s="83"/>
      <c r="JDZ47" s="83"/>
      <c r="JEA47" s="83"/>
      <c r="JEB47" s="83"/>
      <c r="JEC47" s="83"/>
      <c r="JED47" s="83"/>
      <c r="JEE47" s="83"/>
      <c r="JEF47" s="83"/>
      <c r="JEG47" s="83"/>
      <c r="JEH47" s="83"/>
      <c r="JEI47" s="83"/>
      <c r="JEJ47" s="83"/>
      <c r="JEK47" s="83"/>
      <c r="JEL47" s="83"/>
      <c r="JEM47" s="83"/>
      <c r="JEN47" s="83"/>
      <c r="JEO47" s="83"/>
      <c r="JEP47" s="83"/>
      <c r="JEQ47" s="83"/>
      <c r="JER47" s="83"/>
      <c r="JES47" s="83"/>
      <c r="JET47" s="83"/>
      <c r="JEU47" s="83"/>
      <c r="JEV47" s="83"/>
      <c r="JEW47" s="83"/>
      <c r="JEX47" s="83"/>
      <c r="JEY47" s="83"/>
      <c r="JEZ47" s="83"/>
      <c r="JFA47" s="83"/>
      <c r="JFB47" s="83"/>
      <c r="JFC47" s="83"/>
      <c r="JFD47" s="83"/>
      <c r="JFE47" s="83"/>
      <c r="JFF47" s="83"/>
      <c r="JFG47" s="83"/>
      <c r="JFH47" s="83"/>
      <c r="JFI47" s="83"/>
      <c r="JFJ47" s="83"/>
      <c r="JFK47" s="83"/>
      <c r="JFL47" s="83"/>
      <c r="JFM47" s="83"/>
      <c r="JFN47" s="83"/>
      <c r="JFO47" s="83"/>
      <c r="JFP47" s="83"/>
      <c r="JFQ47" s="83"/>
      <c r="JFR47" s="83"/>
      <c r="JFS47" s="83"/>
      <c r="JFT47" s="83"/>
      <c r="JFU47" s="83"/>
      <c r="JFV47" s="83"/>
      <c r="JFW47" s="83"/>
      <c r="JFX47" s="83"/>
      <c r="JFY47" s="83"/>
      <c r="JFZ47" s="83"/>
      <c r="JGA47" s="83"/>
      <c r="JGB47" s="83"/>
      <c r="JGC47" s="83"/>
      <c r="JGD47" s="83"/>
      <c r="JGE47" s="83"/>
      <c r="JGF47" s="83"/>
      <c r="JGG47" s="83"/>
      <c r="JGH47" s="83"/>
      <c r="JGI47" s="83"/>
      <c r="JGJ47" s="83"/>
      <c r="JGK47" s="83"/>
      <c r="JGL47" s="83"/>
      <c r="JGM47" s="83"/>
      <c r="JGN47" s="83"/>
      <c r="JGO47" s="83"/>
      <c r="JGP47" s="83"/>
      <c r="JGQ47" s="83"/>
      <c r="JGR47" s="83"/>
      <c r="JGS47" s="83"/>
      <c r="JGT47" s="83"/>
      <c r="JGU47" s="83"/>
      <c r="JGV47" s="83"/>
      <c r="JGW47" s="83"/>
      <c r="JGX47" s="83"/>
      <c r="JGY47" s="83"/>
      <c r="JGZ47" s="83"/>
      <c r="JHA47" s="83"/>
      <c r="JHB47" s="83"/>
      <c r="JHC47" s="83"/>
      <c r="JHD47" s="83"/>
      <c r="JHE47" s="83"/>
      <c r="JHF47" s="83"/>
      <c r="JHG47" s="83"/>
      <c r="JHH47" s="83"/>
      <c r="JHI47" s="83"/>
      <c r="JHJ47" s="83"/>
      <c r="JHK47" s="83"/>
      <c r="JHL47" s="83"/>
      <c r="JHM47" s="83"/>
      <c r="JHN47" s="83"/>
      <c r="JHO47" s="83"/>
      <c r="JHP47" s="83"/>
      <c r="JHQ47" s="83"/>
      <c r="JHR47" s="83"/>
      <c r="JHS47" s="83"/>
      <c r="JHT47" s="83"/>
      <c r="JHU47" s="83"/>
      <c r="JHV47" s="83"/>
      <c r="JHW47" s="83"/>
      <c r="JHX47" s="83"/>
      <c r="JHY47" s="83"/>
      <c r="JHZ47" s="83"/>
      <c r="JIA47" s="83"/>
      <c r="JIB47" s="83"/>
      <c r="JIC47" s="83"/>
      <c r="JID47" s="83"/>
      <c r="JIE47" s="83"/>
      <c r="JIF47" s="83"/>
      <c r="JIG47" s="83"/>
      <c r="JIH47" s="83"/>
      <c r="JII47" s="83"/>
      <c r="JIJ47" s="83"/>
      <c r="JIK47" s="83"/>
      <c r="JIL47" s="83"/>
      <c r="JIM47" s="83"/>
      <c r="JIN47" s="83"/>
      <c r="JIO47" s="83"/>
      <c r="JIP47" s="83"/>
      <c r="JIQ47" s="83"/>
      <c r="JIR47" s="83"/>
      <c r="JIS47" s="83"/>
      <c r="JIT47" s="83"/>
      <c r="JIU47" s="83"/>
      <c r="JIV47" s="83"/>
      <c r="JIW47" s="83"/>
      <c r="JIX47" s="83"/>
      <c r="JIY47" s="83"/>
      <c r="JIZ47" s="83"/>
      <c r="JJA47" s="83"/>
      <c r="JJB47" s="83"/>
      <c r="JJC47" s="83"/>
      <c r="JJD47" s="83"/>
      <c r="JJE47" s="83"/>
      <c r="JJF47" s="83"/>
      <c r="JJG47" s="83"/>
      <c r="JJH47" s="83"/>
      <c r="JJI47" s="83"/>
      <c r="JJJ47" s="83"/>
      <c r="JJK47" s="83"/>
      <c r="JJL47" s="83"/>
      <c r="JJM47" s="83"/>
      <c r="JJN47" s="83"/>
      <c r="JJO47" s="83"/>
      <c r="JJP47" s="83"/>
      <c r="JJQ47" s="83"/>
      <c r="JJR47" s="83"/>
      <c r="JJS47" s="83"/>
      <c r="JJT47" s="83"/>
      <c r="JJU47" s="83"/>
      <c r="JJV47" s="83"/>
      <c r="JJW47" s="83"/>
      <c r="JJX47" s="83"/>
      <c r="JJY47" s="83"/>
      <c r="JJZ47" s="83"/>
      <c r="JKA47" s="83"/>
      <c r="JKB47" s="83"/>
      <c r="JKC47" s="83"/>
      <c r="JKD47" s="83"/>
      <c r="JKE47" s="83"/>
      <c r="JKF47" s="83"/>
      <c r="JKG47" s="83"/>
      <c r="JKH47" s="83"/>
      <c r="JKI47" s="83"/>
      <c r="JKJ47" s="83"/>
      <c r="JKK47" s="83"/>
      <c r="JKL47" s="83"/>
      <c r="JKM47" s="83"/>
      <c r="JKN47" s="83"/>
      <c r="JKO47" s="83"/>
      <c r="JKP47" s="83"/>
      <c r="JKQ47" s="83"/>
      <c r="JKR47" s="83"/>
      <c r="JKS47" s="83"/>
      <c r="JKT47" s="83"/>
      <c r="JKU47" s="83"/>
      <c r="JKV47" s="83"/>
      <c r="JKW47" s="83"/>
      <c r="JKX47" s="83"/>
      <c r="JKY47" s="83"/>
      <c r="JKZ47" s="83"/>
      <c r="JLA47" s="83"/>
      <c r="JLB47" s="83"/>
      <c r="JLC47" s="83"/>
      <c r="JLD47" s="83"/>
      <c r="JLE47" s="83"/>
      <c r="JLF47" s="83"/>
      <c r="JLG47" s="83"/>
      <c r="JLH47" s="83"/>
      <c r="JLI47" s="83"/>
      <c r="JLJ47" s="83"/>
      <c r="JLK47" s="83"/>
      <c r="JLL47" s="83"/>
      <c r="JLM47" s="83"/>
      <c r="JLN47" s="83"/>
      <c r="JLO47" s="83"/>
      <c r="JLP47" s="83"/>
      <c r="JLQ47" s="83"/>
      <c r="JLR47" s="83"/>
      <c r="JLS47" s="83"/>
      <c r="JLT47" s="83"/>
      <c r="JLU47" s="83"/>
      <c r="JLV47" s="83"/>
      <c r="JLW47" s="83"/>
      <c r="JLX47" s="83"/>
      <c r="JLY47" s="83"/>
      <c r="JLZ47" s="83"/>
      <c r="JMA47" s="83"/>
      <c r="JMB47" s="83"/>
      <c r="JMC47" s="83"/>
      <c r="JMD47" s="83"/>
      <c r="JME47" s="83"/>
      <c r="JMF47" s="83"/>
      <c r="JMG47" s="83"/>
      <c r="JMH47" s="83"/>
      <c r="JMI47" s="83"/>
      <c r="JMJ47" s="83"/>
      <c r="JMK47" s="83"/>
      <c r="JML47" s="83"/>
      <c r="JMM47" s="83"/>
      <c r="JMN47" s="83"/>
      <c r="JMO47" s="83"/>
      <c r="JMP47" s="83"/>
      <c r="JMQ47" s="83"/>
      <c r="JMR47" s="83"/>
      <c r="JMS47" s="83"/>
      <c r="JMT47" s="83"/>
      <c r="JMU47" s="83"/>
      <c r="JMV47" s="83"/>
      <c r="JMW47" s="83"/>
      <c r="JMX47" s="83"/>
      <c r="JMY47" s="83"/>
      <c r="JMZ47" s="83"/>
      <c r="JNA47" s="83"/>
      <c r="JNB47" s="83"/>
      <c r="JNC47" s="83"/>
      <c r="JND47" s="83"/>
      <c r="JNE47" s="83"/>
      <c r="JNF47" s="83"/>
      <c r="JNG47" s="83"/>
      <c r="JNH47" s="83"/>
      <c r="JNI47" s="83"/>
      <c r="JNJ47" s="83"/>
      <c r="JNK47" s="83"/>
      <c r="JNL47" s="83"/>
      <c r="JNM47" s="83"/>
      <c r="JNN47" s="83"/>
      <c r="JNO47" s="83"/>
      <c r="JNP47" s="83"/>
      <c r="JNQ47" s="83"/>
      <c r="JNR47" s="83"/>
      <c r="JNS47" s="83"/>
      <c r="JNT47" s="83"/>
      <c r="JNU47" s="83"/>
      <c r="JNV47" s="83"/>
      <c r="JNW47" s="83"/>
      <c r="JNX47" s="83"/>
      <c r="JNY47" s="83"/>
      <c r="JNZ47" s="83"/>
      <c r="JOA47" s="83"/>
      <c r="JOB47" s="83"/>
      <c r="JOC47" s="83"/>
      <c r="JOD47" s="83"/>
      <c r="JOE47" s="83"/>
      <c r="JOF47" s="83"/>
      <c r="JOG47" s="83"/>
      <c r="JOH47" s="83"/>
      <c r="JOI47" s="83"/>
      <c r="JOJ47" s="83"/>
      <c r="JOK47" s="83"/>
      <c r="JOL47" s="83"/>
      <c r="JOM47" s="83"/>
      <c r="JON47" s="83"/>
      <c r="JOO47" s="83"/>
      <c r="JOP47" s="83"/>
      <c r="JOQ47" s="83"/>
      <c r="JOR47" s="83"/>
      <c r="JOS47" s="83"/>
      <c r="JOT47" s="83"/>
      <c r="JOU47" s="83"/>
      <c r="JOV47" s="83"/>
      <c r="JOW47" s="83"/>
      <c r="JOX47" s="83"/>
      <c r="JOY47" s="83"/>
      <c r="JOZ47" s="83"/>
      <c r="JPA47" s="83"/>
      <c r="JPB47" s="83"/>
      <c r="JPC47" s="83"/>
      <c r="JPD47" s="83"/>
      <c r="JPE47" s="83"/>
      <c r="JPF47" s="83"/>
      <c r="JPG47" s="83"/>
      <c r="JPH47" s="83"/>
      <c r="JPI47" s="83"/>
      <c r="JPJ47" s="83"/>
      <c r="JPK47" s="83"/>
      <c r="JPL47" s="83"/>
      <c r="JPM47" s="83"/>
      <c r="JPN47" s="83"/>
      <c r="JPO47" s="83"/>
      <c r="JPP47" s="83"/>
      <c r="JPQ47" s="83"/>
      <c r="JPR47" s="83"/>
      <c r="JPS47" s="83"/>
      <c r="JPT47" s="83"/>
      <c r="JPU47" s="83"/>
      <c r="JPV47" s="83"/>
      <c r="JPW47" s="83"/>
      <c r="JPX47" s="83"/>
      <c r="JPY47" s="83"/>
      <c r="JPZ47" s="83"/>
      <c r="JQA47" s="83"/>
      <c r="JQB47" s="83"/>
      <c r="JQC47" s="83"/>
      <c r="JQD47" s="83"/>
      <c r="JQE47" s="83"/>
      <c r="JQF47" s="83"/>
      <c r="JQG47" s="83"/>
      <c r="JQH47" s="83"/>
      <c r="JQI47" s="83"/>
      <c r="JQJ47" s="83"/>
      <c r="JQK47" s="83"/>
      <c r="JQL47" s="83"/>
      <c r="JQM47" s="83"/>
      <c r="JQN47" s="83"/>
      <c r="JQO47" s="83"/>
      <c r="JQP47" s="83"/>
      <c r="JQQ47" s="83"/>
      <c r="JQR47" s="83"/>
      <c r="JQS47" s="83"/>
      <c r="JQT47" s="83"/>
      <c r="JQU47" s="83"/>
      <c r="JQV47" s="83"/>
      <c r="JQW47" s="83"/>
      <c r="JQX47" s="83"/>
      <c r="JQY47" s="83"/>
      <c r="JQZ47" s="83"/>
      <c r="JRA47" s="83"/>
      <c r="JRB47" s="83"/>
      <c r="JRC47" s="83"/>
      <c r="JRD47" s="83"/>
      <c r="JRE47" s="83"/>
      <c r="JRF47" s="83"/>
      <c r="JRG47" s="83"/>
      <c r="JRH47" s="83"/>
      <c r="JRI47" s="83"/>
      <c r="JRJ47" s="83"/>
      <c r="JRK47" s="83"/>
      <c r="JRL47" s="83"/>
      <c r="JRM47" s="83"/>
      <c r="JRN47" s="83"/>
      <c r="JRO47" s="83"/>
      <c r="JRP47" s="83"/>
      <c r="JRQ47" s="83"/>
      <c r="JRR47" s="83"/>
      <c r="JRS47" s="83"/>
      <c r="JRT47" s="83"/>
      <c r="JRU47" s="83"/>
      <c r="JRV47" s="83"/>
      <c r="JRW47" s="83"/>
      <c r="JRX47" s="83"/>
      <c r="JRY47" s="83"/>
      <c r="JRZ47" s="83"/>
      <c r="JSA47" s="83"/>
      <c r="JSB47" s="83"/>
      <c r="JSC47" s="83"/>
      <c r="JSD47" s="83"/>
      <c r="JSE47" s="83"/>
      <c r="JSF47" s="83"/>
      <c r="JSG47" s="83"/>
      <c r="JSH47" s="83"/>
      <c r="JSI47" s="83"/>
      <c r="JSJ47" s="83"/>
      <c r="JSK47" s="83"/>
      <c r="JSL47" s="83"/>
      <c r="JSM47" s="83"/>
      <c r="JSN47" s="83"/>
      <c r="JSO47" s="83"/>
      <c r="JSP47" s="83"/>
      <c r="JSQ47" s="83"/>
      <c r="JSR47" s="83"/>
      <c r="JSS47" s="83"/>
      <c r="JST47" s="83"/>
      <c r="JSU47" s="83"/>
      <c r="JSV47" s="83"/>
      <c r="JSW47" s="83"/>
      <c r="JSX47" s="83"/>
      <c r="JSY47" s="83"/>
      <c r="JSZ47" s="83"/>
      <c r="JTA47" s="83"/>
      <c r="JTB47" s="83"/>
      <c r="JTC47" s="83"/>
      <c r="JTD47" s="83"/>
      <c r="JTE47" s="83"/>
      <c r="JTF47" s="83"/>
      <c r="JTG47" s="83"/>
      <c r="JTH47" s="83"/>
      <c r="JTI47" s="83"/>
      <c r="JTJ47" s="83"/>
      <c r="JTK47" s="83"/>
      <c r="JTL47" s="83"/>
      <c r="JTM47" s="83"/>
      <c r="JTN47" s="83"/>
      <c r="JTO47" s="83"/>
      <c r="JTP47" s="83"/>
      <c r="JTQ47" s="83"/>
      <c r="JTR47" s="83"/>
      <c r="JTS47" s="83"/>
      <c r="JTT47" s="83"/>
      <c r="JTU47" s="83"/>
      <c r="JTV47" s="83"/>
      <c r="JTW47" s="83"/>
      <c r="JTX47" s="83"/>
      <c r="JTY47" s="83"/>
      <c r="JTZ47" s="83"/>
      <c r="JUA47" s="83"/>
      <c r="JUB47" s="83"/>
      <c r="JUC47" s="83"/>
      <c r="JUD47" s="83"/>
      <c r="JUE47" s="83"/>
      <c r="JUF47" s="83"/>
      <c r="JUG47" s="83"/>
      <c r="JUH47" s="83"/>
      <c r="JUI47" s="83"/>
      <c r="JUJ47" s="83"/>
      <c r="JUK47" s="83"/>
      <c r="JUL47" s="83"/>
      <c r="JUM47" s="83"/>
      <c r="JUN47" s="83"/>
      <c r="JUO47" s="83"/>
      <c r="JUP47" s="83"/>
      <c r="JUQ47" s="83"/>
      <c r="JUR47" s="83"/>
      <c r="JUS47" s="83"/>
      <c r="JUT47" s="83"/>
      <c r="JUU47" s="83"/>
      <c r="JUV47" s="83"/>
      <c r="JUW47" s="83"/>
      <c r="JUX47" s="83"/>
      <c r="JUY47" s="83"/>
      <c r="JUZ47" s="83"/>
      <c r="JVA47" s="83"/>
      <c r="JVB47" s="83"/>
      <c r="JVC47" s="83"/>
      <c r="JVD47" s="83"/>
      <c r="JVE47" s="83"/>
      <c r="JVF47" s="83"/>
      <c r="JVG47" s="83"/>
      <c r="JVH47" s="83"/>
      <c r="JVI47" s="83"/>
      <c r="JVJ47" s="83"/>
      <c r="JVK47" s="83"/>
      <c r="JVL47" s="83"/>
      <c r="JVM47" s="83"/>
      <c r="JVN47" s="83"/>
      <c r="JVO47" s="83"/>
      <c r="JVP47" s="83"/>
      <c r="JVQ47" s="83"/>
      <c r="JVR47" s="83"/>
      <c r="JVS47" s="83"/>
      <c r="JVT47" s="83"/>
      <c r="JVU47" s="83"/>
      <c r="JVV47" s="83"/>
      <c r="JVW47" s="83"/>
      <c r="JVX47" s="83"/>
      <c r="JVY47" s="83"/>
      <c r="JVZ47" s="83"/>
      <c r="JWA47" s="83"/>
      <c r="JWB47" s="83"/>
      <c r="JWC47" s="83"/>
      <c r="JWD47" s="83"/>
      <c r="JWE47" s="83"/>
      <c r="JWF47" s="83"/>
      <c r="JWG47" s="83"/>
      <c r="JWH47" s="83"/>
      <c r="JWI47" s="83"/>
      <c r="JWJ47" s="83"/>
      <c r="JWK47" s="83"/>
      <c r="JWL47" s="83"/>
      <c r="JWM47" s="83"/>
      <c r="JWN47" s="83"/>
      <c r="JWO47" s="83"/>
      <c r="JWP47" s="83"/>
      <c r="JWQ47" s="83"/>
      <c r="JWR47" s="83"/>
      <c r="JWS47" s="83"/>
      <c r="JWT47" s="83"/>
      <c r="JWU47" s="83"/>
      <c r="JWV47" s="83"/>
      <c r="JWW47" s="83"/>
      <c r="JWX47" s="83"/>
      <c r="JWY47" s="83"/>
      <c r="JWZ47" s="83"/>
      <c r="JXA47" s="83"/>
      <c r="JXB47" s="83"/>
      <c r="JXC47" s="83"/>
      <c r="JXD47" s="83"/>
      <c r="JXE47" s="83"/>
      <c r="JXF47" s="83"/>
      <c r="JXG47" s="83"/>
      <c r="JXH47" s="83"/>
      <c r="JXI47" s="83"/>
      <c r="JXJ47" s="83"/>
      <c r="JXK47" s="83"/>
      <c r="JXL47" s="83"/>
      <c r="JXM47" s="83"/>
      <c r="JXN47" s="83"/>
      <c r="JXO47" s="83"/>
      <c r="JXP47" s="83"/>
      <c r="JXQ47" s="83"/>
      <c r="JXR47" s="83"/>
      <c r="JXS47" s="83"/>
      <c r="JXT47" s="83"/>
      <c r="JXU47" s="83"/>
      <c r="JXV47" s="83"/>
      <c r="JXW47" s="83"/>
      <c r="JXX47" s="83"/>
      <c r="JXY47" s="83"/>
      <c r="JXZ47" s="83"/>
      <c r="JYA47" s="83"/>
      <c r="JYB47" s="83"/>
      <c r="JYC47" s="83"/>
      <c r="JYD47" s="83"/>
      <c r="JYE47" s="83"/>
      <c r="JYF47" s="83"/>
      <c r="JYG47" s="83"/>
      <c r="JYH47" s="83"/>
      <c r="JYI47" s="83"/>
      <c r="JYJ47" s="83"/>
      <c r="JYK47" s="83"/>
      <c r="JYL47" s="83"/>
      <c r="JYM47" s="83"/>
      <c r="JYN47" s="83"/>
      <c r="JYO47" s="83"/>
      <c r="JYP47" s="83"/>
      <c r="JYQ47" s="83"/>
      <c r="JYR47" s="83"/>
      <c r="JYS47" s="83"/>
      <c r="JYT47" s="83"/>
      <c r="JYU47" s="83"/>
      <c r="JYV47" s="83"/>
      <c r="JYW47" s="83"/>
      <c r="JYX47" s="83"/>
      <c r="JYY47" s="83"/>
      <c r="JYZ47" s="83"/>
      <c r="JZA47" s="83"/>
      <c r="JZB47" s="83"/>
      <c r="JZC47" s="83"/>
      <c r="JZD47" s="83"/>
      <c r="JZE47" s="83"/>
      <c r="JZF47" s="83"/>
      <c r="JZG47" s="83"/>
      <c r="JZH47" s="83"/>
      <c r="JZI47" s="83"/>
      <c r="JZJ47" s="83"/>
      <c r="JZK47" s="83"/>
      <c r="JZL47" s="83"/>
      <c r="JZM47" s="83"/>
      <c r="JZN47" s="83"/>
      <c r="JZO47" s="83"/>
      <c r="JZP47" s="83"/>
      <c r="JZQ47" s="83"/>
      <c r="JZR47" s="83"/>
      <c r="JZS47" s="83"/>
      <c r="JZT47" s="83"/>
      <c r="JZU47" s="83"/>
      <c r="JZV47" s="83"/>
      <c r="JZW47" s="83"/>
      <c r="JZX47" s="83"/>
      <c r="JZY47" s="83"/>
      <c r="JZZ47" s="83"/>
      <c r="KAA47" s="83"/>
      <c r="KAB47" s="83"/>
      <c r="KAC47" s="83"/>
      <c r="KAD47" s="83"/>
      <c r="KAE47" s="83"/>
      <c r="KAF47" s="83"/>
      <c r="KAG47" s="83"/>
      <c r="KAH47" s="83"/>
      <c r="KAI47" s="83"/>
      <c r="KAJ47" s="83"/>
      <c r="KAK47" s="83"/>
      <c r="KAL47" s="83"/>
      <c r="KAM47" s="83"/>
      <c r="KAN47" s="83"/>
      <c r="KAO47" s="83"/>
      <c r="KAP47" s="83"/>
      <c r="KAQ47" s="83"/>
      <c r="KAR47" s="83"/>
      <c r="KAS47" s="83"/>
      <c r="KAT47" s="83"/>
      <c r="KAU47" s="83"/>
      <c r="KAV47" s="83"/>
      <c r="KAW47" s="83"/>
      <c r="KAX47" s="83"/>
      <c r="KAY47" s="83"/>
      <c r="KAZ47" s="83"/>
      <c r="KBA47" s="83"/>
      <c r="KBB47" s="83"/>
      <c r="KBC47" s="83"/>
      <c r="KBD47" s="83"/>
      <c r="KBE47" s="83"/>
      <c r="KBF47" s="83"/>
      <c r="KBG47" s="83"/>
      <c r="KBH47" s="83"/>
      <c r="KBI47" s="83"/>
      <c r="KBJ47" s="83"/>
      <c r="KBK47" s="83"/>
      <c r="KBL47" s="83"/>
      <c r="KBM47" s="83"/>
      <c r="KBN47" s="83"/>
      <c r="KBO47" s="83"/>
      <c r="KBP47" s="83"/>
      <c r="KBQ47" s="83"/>
      <c r="KBR47" s="83"/>
      <c r="KBS47" s="83"/>
      <c r="KBT47" s="83"/>
      <c r="KBU47" s="83"/>
      <c r="KBV47" s="83"/>
      <c r="KBW47" s="83"/>
      <c r="KBX47" s="83"/>
      <c r="KBY47" s="83"/>
      <c r="KBZ47" s="83"/>
      <c r="KCA47" s="83"/>
      <c r="KCB47" s="83"/>
      <c r="KCC47" s="83"/>
      <c r="KCD47" s="83"/>
      <c r="KCE47" s="83"/>
      <c r="KCF47" s="83"/>
      <c r="KCG47" s="83"/>
      <c r="KCH47" s="83"/>
      <c r="KCI47" s="83"/>
      <c r="KCJ47" s="83"/>
      <c r="KCK47" s="83"/>
      <c r="KCL47" s="83"/>
      <c r="KCM47" s="83"/>
      <c r="KCN47" s="83"/>
      <c r="KCO47" s="83"/>
      <c r="KCP47" s="83"/>
      <c r="KCQ47" s="83"/>
      <c r="KCR47" s="83"/>
      <c r="KCS47" s="83"/>
      <c r="KCT47" s="83"/>
      <c r="KCU47" s="83"/>
      <c r="KCV47" s="83"/>
      <c r="KCW47" s="83"/>
      <c r="KCX47" s="83"/>
      <c r="KCY47" s="83"/>
      <c r="KCZ47" s="83"/>
      <c r="KDA47" s="83"/>
      <c r="KDB47" s="83"/>
      <c r="KDC47" s="83"/>
      <c r="KDD47" s="83"/>
      <c r="KDE47" s="83"/>
      <c r="KDF47" s="83"/>
      <c r="KDG47" s="83"/>
      <c r="KDH47" s="83"/>
      <c r="KDI47" s="83"/>
      <c r="KDJ47" s="83"/>
      <c r="KDK47" s="83"/>
      <c r="KDL47" s="83"/>
      <c r="KDM47" s="83"/>
      <c r="KDN47" s="83"/>
      <c r="KDO47" s="83"/>
      <c r="KDP47" s="83"/>
      <c r="KDQ47" s="83"/>
      <c r="KDR47" s="83"/>
      <c r="KDS47" s="83"/>
      <c r="KDT47" s="83"/>
      <c r="KDU47" s="83"/>
      <c r="KDV47" s="83"/>
      <c r="KDW47" s="83"/>
      <c r="KDX47" s="83"/>
      <c r="KDY47" s="83"/>
      <c r="KDZ47" s="83"/>
      <c r="KEA47" s="83"/>
      <c r="KEB47" s="83"/>
      <c r="KEC47" s="83"/>
      <c r="KED47" s="83"/>
      <c r="KEE47" s="83"/>
      <c r="KEF47" s="83"/>
      <c r="KEG47" s="83"/>
      <c r="KEH47" s="83"/>
      <c r="KEI47" s="83"/>
      <c r="KEJ47" s="83"/>
      <c r="KEK47" s="83"/>
      <c r="KEL47" s="83"/>
      <c r="KEM47" s="83"/>
      <c r="KEN47" s="83"/>
      <c r="KEO47" s="83"/>
      <c r="KEP47" s="83"/>
      <c r="KEQ47" s="83"/>
      <c r="KER47" s="83"/>
      <c r="KES47" s="83"/>
      <c r="KET47" s="83"/>
      <c r="KEU47" s="83"/>
      <c r="KEV47" s="83"/>
      <c r="KEW47" s="83"/>
      <c r="KEX47" s="83"/>
      <c r="KEY47" s="83"/>
      <c r="KEZ47" s="83"/>
      <c r="KFA47" s="83"/>
      <c r="KFB47" s="83"/>
      <c r="KFC47" s="83"/>
      <c r="KFD47" s="83"/>
      <c r="KFE47" s="83"/>
      <c r="KFF47" s="83"/>
      <c r="KFG47" s="83"/>
      <c r="KFH47" s="83"/>
      <c r="KFI47" s="83"/>
      <c r="KFJ47" s="83"/>
      <c r="KFK47" s="83"/>
      <c r="KFL47" s="83"/>
      <c r="KFM47" s="83"/>
      <c r="KFN47" s="83"/>
      <c r="KFO47" s="83"/>
      <c r="KFP47" s="83"/>
      <c r="KFQ47" s="83"/>
      <c r="KFR47" s="83"/>
      <c r="KFS47" s="83"/>
      <c r="KFT47" s="83"/>
      <c r="KFU47" s="83"/>
      <c r="KFV47" s="83"/>
      <c r="KFW47" s="83"/>
      <c r="KFX47" s="83"/>
      <c r="KFY47" s="83"/>
      <c r="KFZ47" s="83"/>
      <c r="KGA47" s="83"/>
      <c r="KGB47" s="83"/>
      <c r="KGC47" s="83"/>
      <c r="KGD47" s="83"/>
      <c r="KGE47" s="83"/>
      <c r="KGF47" s="83"/>
      <c r="KGG47" s="83"/>
      <c r="KGH47" s="83"/>
      <c r="KGI47" s="83"/>
      <c r="KGJ47" s="83"/>
      <c r="KGK47" s="83"/>
      <c r="KGL47" s="83"/>
      <c r="KGM47" s="83"/>
      <c r="KGN47" s="83"/>
      <c r="KGO47" s="83"/>
      <c r="KGP47" s="83"/>
      <c r="KGQ47" s="83"/>
      <c r="KGR47" s="83"/>
      <c r="KGS47" s="83"/>
      <c r="KGT47" s="83"/>
      <c r="KGU47" s="83"/>
      <c r="KGV47" s="83"/>
      <c r="KGW47" s="83"/>
      <c r="KGX47" s="83"/>
      <c r="KGY47" s="83"/>
      <c r="KGZ47" s="83"/>
      <c r="KHA47" s="83"/>
      <c r="KHB47" s="83"/>
      <c r="KHC47" s="83"/>
      <c r="KHD47" s="83"/>
      <c r="KHE47" s="83"/>
      <c r="KHF47" s="83"/>
      <c r="KHG47" s="83"/>
      <c r="KHH47" s="83"/>
      <c r="KHI47" s="83"/>
      <c r="KHJ47" s="83"/>
      <c r="KHK47" s="83"/>
      <c r="KHL47" s="83"/>
      <c r="KHM47" s="83"/>
      <c r="KHN47" s="83"/>
      <c r="KHO47" s="83"/>
      <c r="KHP47" s="83"/>
      <c r="KHQ47" s="83"/>
      <c r="KHR47" s="83"/>
      <c r="KHS47" s="83"/>
      <c r="KHT47" s="83"/>
      <c r="KHU47" s="83"/>
      <c r="KHV47" s="83"/>
      <c r="KHW47" s="83"/>
      <c r="KHX47" s="83"/>
      <c r="KHY47" s="83"/>
      <c r="KHZ47" s="83"/>
      <c r="KIA47" s="83"/>
      <c r="KIB47" s="83"/>
      <c r="KIC47" s="83"/>
      <c r="KID47" s="83"/>
      <c r="KIE47" s="83"/>
      <c r="KIF47" s="83"/>
      <c r="KIG47" s="83"/>
      <c r="KIH47" s="83"/>
      <c r="KII47" s="83"/>
      <c r="KIJ47" s="83"/>
      <c r="KIK47" s="83"/>
      <c r="KIL47" s="83"/>
      <c r="KIM47" s="83"/>
      <c r="KIN47" s="83"/>
      <c r="KIO47" s="83"/>
      <c r="KIP47" s="83"/>
      <c r="KIQ47" s="83"/>
      <c r="KIR47" s="83"/>
      <c r="KIS47" s="83"/>
      <c r="KIT47" s="83"/>
      <c r="KIU47" s="83"/>
      <c r="KIV47" s="83"/>
      <c r="KIW47" s="83"/>
      <c r="KIX47" s="83"/>
      <c r="KIY47" s="83"/>
      <c r="KIZ47" s="83"/>
      <c r="KJA47" s="83"/>
      <c r="KJB47" s="83"/>
      <c r="KJC47" s="83"/>
      <c r="KJD47" s="83"/>
      <c r="KJE47" s="83"/>
      <c r="KJF47" s="83"/>
      <c r="KJG47" s="83"/>
      <c r="KJH47" s="83"/>
      <c r="KJI47" s="83"/>
      <c r="KJJ47" s="83"/>
      <c r="KJK47" s="83"/>
      <c r="KJL47" s="83"/>
      <c r="KJM47" s="83"/>
      <c r="KJN47" s="83"/>
      <c r="KJO47" s="83"/>
      <c r="KJP47" s="83"/>
      <c r="KJQ47" s="83"/>
      <c r="KJR47" s="83"/>
      <c r="KJS47" s="83"/>
      <c r="KJT47" s="83"/>
      <c r="KJU47" s="83"/>
      <c r="KJV47" s="83"/>
      <c r="KJW47" s="83"/>
      <c r="KJX47" s="83"/>
      <c r="KJY47" s="83"/>
      <c r="KJZ47" s="83"/>
      <c r="KKA47" s="83"/>
      <c r="KKB47" s="83"/>
      <c r="KKC47" s="83"/>
      <c r="KKD47" s="83"/>
      <c r="KKE47" s="83"/>
      <c r="KKF47" s="83"/>
      <c r="KKG47" s="83"/>
      <c r="KKH47" s="83"/>
      <c r="KKI47" s="83"/>
      <c r="KKJ47" s="83"/>
      <c r="KKK47" s="83"/>
      <c r="KKL47" s="83"/>
      <c r="KKM47" s="83"/>
      <c r="KKN47" s="83"/>
      <c r="KKO47" s="83"/>
      <c r="KKP47" s="83"/>
      <c r="KKQ47" s="83"/>
      <c r="KKR47" s="83"/>
      <c r="KKS47" s="83"/>
      <c r="KKT47" s="83"/>
      <c r="KKU47" s="83"/>
      <c r="KKV47" s="83"/>
      <c r="KKW47" s="83"/>
      <c r="KKX47" s="83"/>
      <c r="KKY47" s="83"/>
      <c r="KKZ47" s="83"/>
      <c r="KLA47" s="83"/>
      <c r="KLB47" s="83"/>
      <c r="KLC47" s="83"/>
      <c r="KLD47" s="83"/>
      <c r="KLE47" s="83"/>
      <c r="KLF47" s="83"/>
      <c r="KLG47" s="83"/>
      <c r="KLH47" s="83"/>
      <c r="KLI47" s="83"/>
      <c r="KLJ47" s="83"/>
      <c r="KLK47" s="83"/>
      <c r="KLL47" s="83"/>
      <c r="KLM47" s="83"/>
      <c r="KLN47" s="83"/>
      <c r="KLO47" s="83"/>
      <c r="KLP47" s="83"/>
      <c r="KLQ47" s="83"/>
      <c r="KLR47" s="83"/>
      <c r="KLS47" s="83"/>
      <c r="KLT47" s="83"/>
      <c r="KLU47" s="83"/>
      <c r="KLV47" s="83"/>
      <c r="KLW47" s="83"/>
      <c r="KLX47" s="83"/>
      <c r="KLY47" s="83"/>
      <c r="KLZ47" s="83"/>
      <c r="KMA47" s="83"/>
      <c r="KMB47" s="83"/>
      <c r="KMC47" s="83"/>
      <c r="KMD47" s="83"/>
      <c r="KME47" s="83"/>
      <c r="KMF47" s="83"/>
      <c r="KMG47" s="83"/>
      <c r="KMH47" s="83"/>
      <c r="KMI47" s="83"/>
      <c r="KMJ47" s="83"/>
      <c r="KMK47" s="83"/>
      <c r="KML47" s="83"/>
      <c r="KMM47" s="83"/>
      <c r="KMN47" s="83"/>
      <c r="KMO47" s="83"/>
      <c r="KMP47" s="83"/>
      <c r="KMQ47" s="83"/>
      <c r="KMR47" s="83"/>
      <c r="KMS47" s="83"/>
      <c r="KMT47" s="83"/>
      <c r="KMU47" s="83"/>
      <c r="KMV47" s="83"/>
      <c r="KMW47" s="83"/>
      <c r="KMX47" s="83"/>
      <c r="KMY47" s="83"/>
      <c r="KMZ47" s="83"/>
      <c r="KNA47" s="83"/>
      <c r="KNB47" s="83"/>
      <c r="KNC47" s="83"/>
      <c r="KND47" s="83"/>
      <c r="KNE47" s="83"/>
      <c r="KNF47" s="83"/>
      <c r="KNG47" s="83"/>
      <c r="KNH47" s="83"/>
      <c r="KNI47" s="83"/>
      <c r="KNJ47" s="83"/>
      <c r="KNK47" s="83"/>
      <c r="KNL47" s="83"/>
      <c r="KNM47" s="83"/>
      <c r="KNN47" s="83"/>
      <c r="KNO47" s="83"/>
      <c r="KNP47" s="83"/>
      <c r="KNQ47" s="83"/>
      <c r="KNR47" s="83"/>
      <c r="KNS47" s="83"/>
      <c r="KNT47" s="83"/>
      <c r="KNU47" s="83"/>
      <c r="KNV47" s="83"/>
      <c r="KNW47" s="83"/>
      <c r="KNX47" s="83"/>
      <c r="KNY47" s="83"/>
      <c r="KNZ47" s="83"/>
      <c r="KOA47" s="83"/>
      <c r="KOB47" s="83"/>
      <c r="KOC47" s="83"/>
      <c r="KOD47" s="83"/>
      <c r="KOE47" s="83"/>
      <c r="KOF47" s="83"/>
      <c r="KOG47" s="83"/>
      <c r="KOH47" s="83"/>
      <c r="KOI47" s="83"/>
      <c r="KOJ47" s="83"/>
      <c r="KOK47" s="83"/>
      <c r="KOL47" s="83"/>
      <c r="KOM47" s="83"/>
      <c r="KON47" s="83"/>
      <c r="KOO47" s="83"/>
      <c r="KOP47" s="83"/>
      <c r="KOQ47" s="83"/>
      <c r="KOR47" s="83"/>
      <c r="KOS47" s="83"/>
      <c r="KOT47" s="83"/>
      <c r="KOU47" s="83"/>
      <c r="KOV47" s="83"/>
      <c r="KOW47" s="83"/>
      <c r="KOX47" s="83"/>
      <c r="KOY47" s="83"/>
      <c r="KOZ47" s="83"/>
      <c r="KPA47" s="83"/>
      <c r="KPB47" s="83"/>
      <c r="KPC47" s="83"/>
      <c r="KPD47" s="83"/>
      <c r="KPE47" s="83"/>
      <c r="KPF47" s="83"/>
      <c r="KPG47" s="83"/>
      <c r="KPH47" s="83"/>
      <c r="KPI47" s="83"/>
      <c r="KPJ47" s="83"/>
      <c r="KPK47" s="83"/>
      <c r="KPL47" s="83"/>
      <c r="KPM47" s="83"/>
      <c r="KPN47" s="83"/>
      <c r="KPO47" s="83"/>
      <c r="KPP47" s="83"/>
      <c r="KPQ47" s="83"/>
      <c r="KPR47" s="83"/>
      <c r="KPS47" s="83"/>
      <c r="KPT47" s="83"/>
      <c r="KPU47" s="83"/>
      <c r="KPV47" s="83"/>
      <c r="KPW47" s="83"/>
      <c r="KPX47" s="83"/>
      <c r="KPY47" s="83"/>
      <c r="KPZ47" s="83"/>
      <c r="KQA47" s="83"/>
      <c r="KQB47" s="83"/>
      <c r="KQC47" s="83"/>
      <c r="KQD47" s="83"/>
      <c r="KQE47" s="83"/>
      <c r="KQF47" s="83"/>
      <c r="KQG47" s="83"/>
      <c r="KQH47" s="83"/>
      <c r="KQI47" s="83"/>
      <c r="KQJ47" s="83"/>
      <c r="KQK47" s="83"/>
      <c r="KQL47" s="83"/>
      <c r="KQM47" s="83"/>
      <c r="KQN47" s="83"/>
      <c r="KQO47" s="83"/>
      <c r="KQP47" s="83"/>
      <c r="KQQ47" s="83"/>
      <c r="KQR47" s="83"/>
      <c r="KQS47" s="83"/>
      <c r="KQT47" s="83"/>
      <c r="KQU47" s="83"/>
      <c r="KQV47" s="83"/>
      <c r="KQW47" s="83"/>
      <c r="KQX47" s="83"/>
      <c r="KQY47" s="83"/>
      <c r="KQZ47" s="83"/>
      <c r="KRA47" s="83"/>
      <c r="KRB47" s="83"/>
      <c r="KRC47" s="83"/>
      <c r="KRD47" s="83"/>
      <c r="KRE47" s="83"/>
      <c r="KRF47" s="83"/>
      <c r="KRG47" s="83"/>
      <c r="KRH47" s="83"/>
      <c r="KRI47" s="83"/>
      <c r="KRJ47" s="83"/>
      <c r="KRK47" s="83"/>
      <c r="KRL47" s="83"/>
      <c r="KRM47" s="83"/>
      <c r="KRN47" s="83"/>
      <c r="KRO47" s="83"/>
      <c r="KRP47" s="83"/>
      <c r="KRQ47" s="83"/>
      <c r="KRR47" s="83"/>
      <c r="KRS47" s="83"/>
      <c r="KRT47" s="83"/>
      <c r="KRU47" s="83"/>
      <c r="KRV47" s="83"/>
      <c r="KRW47" s="83"/>
      <c r="KRX47" s="83"/>
      <c r="KRY47" s="83"/>
      <c r="KRZ47" s="83"/>
      <c r="KSA47" s="83"/>
      <c r="KSB47" s="83"/>
      <c r="KSC47" s="83"/>
      <c r="KSD47" s="83"/>
      <c r="KSE47" s="83"/>
      <c r="KSF47" s="83"/>
      <c r="KSG47" s="83"/>
      <c r="KSH47" s="83"/>
      <c r="KSI47" s="83"/>
      <c r="KSJ47" s="83"/>
      <c r="KSK47" s="83"/>
      <c r="KSL47" s="83"/>
      <c r="KSM47" s="83"/>
      <c r="KSN47" s="83"/>
      <c r="KSO47" s="83"/>
      <c r="KSP47" s="83"/>
      <c r="KSQ47" s="83"/>
      <c r="KSR47" s="83"/>
      <c r="KSS47" s="83"/>
      <c r="KST47" s="83"/>
      <c r="KSU47" s="83"/>
      <c r="KSV47" s="83"/>
      <c r="KSW47" s="83"/>
      <c r="KSX47" s="83"/>
      <c r="KSY47" s="83"/>
      <c r="KSZ47" s="83"/>
      <c r="KTA47" s="83"/>
      <c r="KTB47" s="83"/>
      <c r="KTC47" s="83"/>
      <c r="KTD47" s="83"/>
      <c r="KTE47" s="83"/>
      <c r="KTF47" s="83"/>
      <c r="KTG47" s="83"/>
      <c r="KTH47" s="83"/>
      <c r="KTI47" s="83"/>
      <c r="KTJ47" s="83"/>
      <c r="KTK47" s="83"/>
      <c r="KTL47" s="83"/>
      <c r="KTM47" s="83"/>
      <c r="KTN47" s="83"/>
      <c r="KTO47" s="83"/>
      <c r="KTP47" s="83"/>
      <c r="KTQ47" s="83"/>
      <c r="KTR47" s="83"/>
      <c r="KTS47" s="83"/>
      <c r="KTT47" s="83"/>
      <c r="KTU47" s="83"/>
      <c r="KTV47" s="83"/>
      <c r="KTW47" s="83"/>
      <c r="KTX47" s="83"/>
      <c r="KTY47" s="83"/>
      <c r="KTZ47" s="83"/>
      <c r="KUA47" s="83"/>
      <c r="KUB47" s="83"/>
      <c r="KUC47" s="83"/>
      <c r="KUD47" s="83"/>
      <c r="KUE47" s="83"/>
      <c r="KUF47" s="83"/>
      <c r="KUG47" s="83"/>
      <c r="KUH47" s="83"/>
      <c r="KUI47" s="83"/>
      <c r="KUJ47" s="83"/>
      <c r="KUK47" s="83"/>
      <c r="KUL47" s="83"/>
      <c r="KUM47" s="83"/>
      <c r="KUN47" s="83"/>
      <c r="KUO47" s="83"/>
      <c r="KUP47" s="83"/>
      <c r="KUQ47" s="83"/>
      <c r="KUR47" s="83"/>
      <c r="KUS47" s="83"/>
      <c r="KUT47" s="83"/>
      <c r="KUU47" s="83"/>
      <c r="KUV47" s="83"/>
      <c r="KUW47" s="83"/>
      <c r="KUX47" s="83"/>
      <c r="KUY47" s="83"/>
      <c r="KUZ47" s="83"/>
      <c r="KVA47" s="83"/>
      <c r="KVB47" s="83"/>
      <c r="KVC47" s="83"/>
      <c r="KVD47" s="83"/>
      <c r="KVE47" s="83"/>
      <c r="KVF47" s="83"/>
      <c r="KVG47" s="83"/>
      <c r="KVH47" s="83"/>
      <c r="KVI47" s="83"/>
      <c r="KVJ47" s="83"/>
      <c r="KVK47" s="83"/>
      <c r="KVL47" s="83"/>
      <c r="KVM47" s="83"/>
      <c r="KVN47" s="83"/>
      <c r="KVO47" s="83"/>
      <c r="KVP47" s="83"/>
      <c r="KVQ47" s="83"/>
      <c r="KVR47" s="83"/>
      <c r="KVS47" s="83"/>
      <c r="KVT47" s="83"/>
      <c r="KVU47" s="83"/>
      <c r="KVV47" s="83"/>
      <c r="KVW47" s="83"/>
      <c r="KVX47" s="83"/>
      <c r="KVY47" s="83"/>
      <c r="KVZ47" s="83"/>
      <c r="KWA47" s="83"/>
      <c r="KWB47" s="83"/>
      <c r="KWC47" s="83"/>
      <c r="KWD47" s="83"/>
      <c r="KWE47" s="83"/>
      <c r="KWF47" s="83"/>
      <c r="KWG47" s="83"/>
      <c r="KWH47" s="83"/>
      <c r="KWI47" s="83"/>
      <c r="KWJ47" s="83"/>
      <c r="KWK47" s="83"/>
      <c r="KWL47" s="83"/>
      <c r="KWM47" s="83"/>
      <c r="KWN47" s="83"/>
      <c r="KWO47" s="83"/>
      <c r="KWP47" s="83"/>
      <c r="KWQ47" s="83"/>
      <c r="KWR47" s="83"/>
      <c r="KWS47" s="83"/>
      <c r="KWT47" s="83"/>
      <c r="KWU47" s="83"/>
      <c r="KWV47" s="83"/>
      <c r="KWW47" s="83"/>
      <c r="KWX47" s="83"/>
      <c r="KWY47" s="83"/>
      <c r="KWZ47" s="83"/>
      <c r="KXA47" s="83"/>
      <c r="KXB47" s="83"/>
      <c r="KXC47" s="83"/>
      <c r="KXD47" s="83"/>
      <c r="KXE47" s="83"/>
      <c r="KXF47" s="83"/>
      <c r="KXG47" s="83"/>
      <c r="KXH47" s="83"/>
      <c r="KXI47" s="83"/>
      <c r="KXJ47" s="83"/>
      <c r="KXK47" s="83"/>
      <c r="KXL47" s="83"/>
      <c r="KXM47" s="83"/>
      <c r="KXN47" s="83"/>
      <c r="KXO47" s="83"/>
      <c r="KXP47" s="83"/>
      <c r="KXQ47" s="83"/>
      <c r="KXR47" s="83"/>
      <c r="KXS47" s="83"/>
      <c r="KXT47" s="83"/>
      <c r="KXU47" s="83"/>
      <c r="KXV47" s="83"/>
      <c r="KXW47" s="83"/>
      <c r="KXX47" s="83"/>
      <c r="KXY47" s="83"/>
      <c r="KXZ47" s="83"/>
      <c r="KYA47" s="83"/>
      <c r="KYB47" s="83"/>
      <c r="KYC47" s="83"/>
      <c r="KYD47" s="83"/>
      <c r="KYE47" s="83"/>
      <c r="KYF47" s="83"/>
      <c r="KYG47" s="83"/>
      <c r="KYH47" s="83"/>
      <c r="KYI47" s="83"/>
      <c r="KYJ47" s="83"/>
      <c r="KYK47" s="83"/>
      <c r="KYL47" s="83"/>
      <c r="KYM47" s="83"/>
      <c r="KYN47" s="83"/>
      <c r="KYO47" s="83"/>
      <c r="KYP47" s="83"/>
      <c r="KYQ47" s="83"/>
      <c r="KYR47" s="83"/>
      <c r="KYS47" s="83"/>
      <c r="KYT47" s="83"/>
      <c r="KYU47" s="83"/>
      <c r="KYV47" s="83"/>
      <c r="KYW47" s="83"/>
      <c r="KYX47" s="83"/>
      <c r="KYY47" s="83"/>
      <c r="KYZ47" s="83"/>
      <c r="KZA47" s="83"/>
      <c r="KZB47" s="83"/>
      <c r="KZC47" s="83"/>
      <c r="KZD47" s="83"/>
      <c r="KZE47" s="83"/>
      <c r="KZF47" s="83"/>
      <c r="KZG47" s="83"/>
      <c r="KZH47" s="83"/>
      <c r="KZI47" s="83"/>
      <c r="KZJ47" s="83"/>
      <c r="KZK47" s="83"/>
      <c r="KZL47" s="83"/>
      <c r="KZM47" s="83"/>
      <c r="KZN47" s="83"/>
      <c r="KZO47" s="83"/>
      <c r="KZP47" s="83"/>
      <c r="KZQ47" s="83"/>
      <c r="KZR47" s="83"/>
      <c r="KZS47" s="83"/>
      <c r="KZT47" s="83"/>
      <c r="KZU47" s="83"/>
      <c r="KZV47" s="83"/>
      <c r="KZW47" s="83"/>
      <c r="KZX47" s="83"/>
      <c r="KZY47" s="83"/>
      <c r="KZZ47" s="83"/>
      <c r="LAA47" s="83"/>
      <c r="LAB47" s="83"/>
      <c r="LAC47" s="83"/>
      <c r="LAD47" s="83"/>
      <c r="LAE47" s="83"/>
      <c r="LAF47" s="83"/>
      <c r="LAG47" s="83"/>
      <c r="LAH47" s="83"/>
      <c r="LAI47" s="83"/>
      <c r="LAJ47" s="83"/>
      <c r="LAK47" s="83"/>
      <c r="LAL47" s="83"/>
      <c r="LAM47" s="83"/>
      <c r="LAN47" s="83"/>
      <c r="LAO47" s="83"/>
      <c r="LAP47" s="83"/>
      <c r="LAQ47" s="83"/>
      <c r="LAR47" s="83"/>
      <c r="LAS47" s="83"/>
      <c r="LAT47" s="83"/>
      <c r="LAU47" s="83"/>
      <c r="LAV47" s="83"/>
      <c r="LAW47" s="83"/>
      <c r="LAX47" s="83"/>
      <c r="LAY47" s="83"/>
      <c r="LAZ47" s="83"/>
      <c r="LBA47" s="83"/>
      <c r="LBB47" s="83"/>
      <c r="LBC47" s="83"/>
      <c r="LBD47" s="83"/>
      <c r="LBE47" s="83"/>
      <c r="LBF47" s="83"/>
      <c r="LBG47" s="83"/>
      <c r="LBH47" s="83"/>
      <c r="LBI47" s="83"/>
      <c r="LBJ47" s="83"/>
      <c r="LBK47" s="83"/>
      <c r="LBL47" s="83"/>
      <c r="LBM47" s="83"/>
      <c r="LBN47" s="83"/>
      <c r="LBO47" s="83"/>
      <c r="LBP47" s="83"/>
      <c r="LBQ47" s="83"/>
      <c r="LBR47" s="83"/>
      <c r="LBS47" s="83"/>
      <c r="LBT47" s="83"/>
      <c r="LBU47" s="83"/>
      <c r="LBV47" s="83"/>
      <c r="LBW47" s="83"/>
      <c r="LBX47" s="83"/>
      <c r="LBY47" s="83"/>
      <c r="LBZ47" s="83"/>
      <c r="LCA47" s="83"/>
      <c r="LCB47" s="83"/>
      <c r="LCC47" s="83"/>
      <c r="LCD47" s="83"/>
      <c r="LCE47" s="83"/>
      <c r="LCF47" s="83"/>
      <c r="LCG47" s="83"/>
      <c r="LCH47" s="83"/>
      <c r="LCI47" s="83"/>
      <c r="LCJ47" s="83"/>
      <c r="LCK47" s="83"/>
      <c r="LCL47" s="83"/>
      <c r="LCM47" s="83"/>
      <c r="LCN47" s="83"/>
      <c r="LCO47" s="83"/>
      <c r="LCP47" s="83"/>
      <c r="LCQ47" s="83"/>
      <c r="LCR47" s="83"/>
      <c r="LCS47" s="83"/>
      <c r="LCT47" s="83"/>
      <c r="LCU47" s="83"/>
      <c r="LCV47" s="83"/>
      <c r="LCW47" s="83"/>
      <c r="LCX47" s="83"/>
      <c r="LCY47" s="83"/>
      <c r="LCZ47" s="83"/>
      <c r="LDA47" s="83"/>
      <c r="LDB47" s="83"/>
      <c r="LDC47" s="83"/>
      <c r="LDD47" s="83"/>
      <c r="LDE47" s="83"/>
      <c r="LDF47" s="83"/>
      <c r="LDG47" s="83"/>
      <c r="LDH47" s="83"/>
      <c r="LDI47" s="83"/>
      <c r="LDJ47" s="83"/>
      <c r="LDK47" s="83"/>
      <c r="LDL47" s="83"/>
      <c r="LDM47" s="83"/>
      <c r="LDN47" s="83"/>
      <c r="LDO47" s="83"/>
      <c r="LDP47" s="83"/>
      <c r="LDQ47" s="83"/>
      <c r="LDR47" s="83"/>
      <c r="LDS47" s="83"/>
      <c r="LDT47" s="83"/>
      <c r="LDU47" s="83"/>
      <c r="LDV47" s="83"/>
      <c r="LDW47" s="83"/>
      <c r="LDX47" s="83"/>
      <c r="LDY47" s="83"/>
      <c r="LDZ47" s="83"/>
      <c r="LEA47" s="83"/>
      <c r="LEB47" s="83"/>
      <c r="LEC47" s="83"/>
      <c r="LED47" s="83"/>
      <c r="LEE47" s="83"/>
      <c r="LEF47" s="83"/>
      <c r="LEG47" s="83"/>
      <c r="LEH47" s="83"/>
      <c r="LEI47" s="83"/>
      <c r="LEJ47" s="83"/>
      <c r="LEK47" s="83"/>
      <c r="LEL47" s="83"/>
      <c r="LEM47" s="83"/>
      <c r="LEN47" s="83"/>
      <c r="LEO47" s="83"/>
      <c r="LEP47" s="83"/>
      <c r="LEQ47" s="83"/>
      <c r="LER47" s="83"/>
      <c r="LES47" s="83"/>
      <c r="LET47" s="83"/>
      <c r="LEU47" s="83"/>
      <c r="LEV47" s="83"/>
      <c r="LEW47" s="83"/>
      <c r="LEX47" s="83"/>
      <c r="LEY47" s="83"/>
      <c r="LEZ47" s="83"/>
      <c r="LFA47" s="83"/>
      <c r="LFB47" s="83"/>
      <c r="LFC47" s="83"/>
      <c r="LFD47" s="83"/>
      <c r="LFE47" s="83"/>
      <c r="LFF47" s="83"/>
      <c r="LFG47" s="83"/>
      <c r="LFH47" s="83"/>
      <c r="LFI47" s="83"/>
      <c r="LFJ47" s="83"/>
      <c r="LFK47" s="83"/>
      <c r="LFL47" s="83"/>
      <c r="LFM47" s="83"/>
      <c r="LFN47" s="83"/>
      <c r="LFO47" s="83"/>
      <c r="LFP47" s="83"/>
      <c r="LFQ47" s="83"/>
      <c r="LFR47" s="83"/>
      <c r="LFS47" s="83"/>
      <c r="LFT47" s="83"/>
      <c r="LFU47" s="83"/>
      <c r="LFV47" s="83"/>
      <c r="LFW47" s="83"/>
      <c r="LFX47" s="83"/>
      <c r="LFY47" s="83"/>
      <c r="LFZ47" s="83"/>
      <c r="LGA47" s="83"/>
      <c r="LGB47" s="83"/>
      <c r="LGC47" s="83"/>
      <c r="LGD47" s="83"/>
      <c r="LGE47" s="83"/>
      <c r="LGF47" s="83"/>
      <c r="LGG47" s="83"/>
      <c r="LGH47" s="83"/>
      <c r="LGI47" s="83"/>
      <c r="LGJ47" s="83"/>
      <c r="LGK47" s="83"/>
      <c r="LGL47" s="83"/>
      <c r="LGM47" s="83"/>
      <c r="LGN47" s="83"/>
      <c r="LGO47" s="83"/>
      <c r="LGP47" s="83"/>
      <c r="LGQ47" s="83"/>
      <c r="LGR47" s="83"/>
      <c r="LGS47" s="83"/>
      <c r="LGT47" s="83"/>
      <c r="LGU47" s="83"/>
      <c r="LGV47" s="83"/>
      <c r="LGW47" s="83"/>
      <c r="LGX47" s="83"/>
      <c r="LGY47" s="83"/>
      <c r="LGZ47" s="83"/>
      <c r="LHA47" s="83"/>
      <c r="LHB47" s="83"/>
      <c r="LHC47" s="83"/>
      <c r="LHD47" s="83"/>
      <c r="LHE47" s="83"/>
      <c r="LHF47" s="83"/>
      <c r="LHG47" s="83"/>
      <c r="LHH47" s="83"/>
      <c r="LHI47" s="83"/>
      <c r="LHJ47" s="83"/>
      <c r="LHK47" s="83"/>
      <c r="LHL47" s="83"/>
      <c r="LHM47" s="83"/>
      <c r="LHN47" s="83"/>
      <c r="LHO47" s="83"/>
      <c r="LHP47" s="83"/>
      <c r="LHQ47" s="83"/>
      <c r="LHR47" s="83"/>
      <c r="LHS47" s="83"/>
      <c r="LHT47" s="83"/>
      <c r="LHU47" s="83"/>
      <c r="LHV47" s="83"/>
      <c r="LHW47" s="83"/>
      <c r="LHX47" s="83"/>
      <c r="LHY47" s="83"/>
      <c r="LHZ47" s="83"/>
      <c r="LIA47" s="83"/>
      <c r="LIB47" s="83"/>
      <c r="LIC47" s="83"/>
      <c r="LID47" s="83"/>
      <c r="LIE47" s="83"/>
      <c r="LIF47" s="83"/>
      <c r="LIG47" s="83"/>
      <c r="LIH47" s="83"/>
      <c r="LII47" s="83"/>
      <c r="LIJ47" s="83"/>
      <c r="LIK47" s="83"/>
      <c r="LIL47" s="83"/>
      <c r="LIM47" s="83"/>
      <c r="LIN47" s="83"/>
      <c r="LIO47" s="83"/>
      <c r="LIP47" s="83"/>
      <c r="LIQ47" s="83"/>
      <c r="LIR47" s="83"/>
      <c r="LIS47" s="83"/>
      <c r="LIT47" s="83"/>
      <c r="LIU47" s="83"/>
      <c r="LIV47" s="83"/>
      <c r="LIW47" s="83"/>
      <c r="LIX47" s="83"/>
      <c r="LIY47" s="83"/>
      <c r="LIZ47" s="83"/>
      <c r="LJA47" s="83"/>
      <c r="LJB47" s="83"/>
      <c r="LJC47" s="83"/>
      <c r="LJD47" s="83"/>
      <c r="LJE47" s="83"/>
      <c r="LJF47" s="83"/>
      <c r="LJG47" s="83"/>
      <c r="LJH47" s="83"/>
      <c r="LJI47" s="83"/>
      <c r="LJJ47" s="83"/>
      <c r="LJK47" s="83"/>
      <c r="LJL47" s="83"/>
      <c r="LJM47" s="83"/>
      <c r="LJN47" s="83"/>
      <c r="LJO47" s="83"/>
      <c r="LJP47" s="83"/>
      <c r="LJQ47" s="83"/>
      <c r="LJR47" s="83"/>
      <c r="LJS47" s="83"/>
      <c r="LJT47" s="83"/>
      <c r="LJU47" s="83"/>
      <c r="LJV47" s="83"/>
      <c r="LJW47" s="83"/>
      <c r="LJX47" s="83"/>
      <c r="LJY47" s="83"/>
      <c r="LJZ47" s="83"/>
      <c r="LKA47" s="83"/>
      <c r="LKB47" s="83"/>
      <c r="LKC47" s="83"/>
      <c r="LKD47" s="83"/>
      <c r="LKE47" s="83"/>
      <c r="LKF47" s="83"/>
      <c r="LKG47" s="83"/>
      <c r="LKH47" s="83"/>
      <c r="LKI47" s="83"/>
      <c r="LKJ47" s="83"/>
      <c r="LKK47" s="83"/>
      <c r="LKL47" s="83"/>
      <c r="LKM47" s="83"/>
      <c r="LKN47" s="83"/>
      <c r="LKO47" s="83"/>
      <c r="LKP47" s="83"/>
      <c r="LKQ47" s="83"/>
      <c r="LKR47" s="83"/>
      <c r="LKS47" s="83"/>
      <c r="LKT47" s="83"/>
      <c r="LKU47" s="83"/>
      <c r="LKV47" s="83"/>
      <c r="LKW47" s="83"/>
      <c r="LKX47" s="83"/>
      <c r="LKY47" s="83"/>
      <c r="LKZ47" s="83"/>
      <c r="LLA47" s="83"/>
      <c r="LLB47" s="83"/>
      <c r="LLC47" s="83"/>
      <c r="LLD47" s="83"/>
      <c r="LLE47" s="83"/>
      <c r="LLF47" s="83"/>
      <c r="LLG47" s="83"/>
      <c r="LLH47" s="83"/>
      <c r="LLI47" s="83"/>
      <c r="LLJ47" s="83"/>
      <c r="LLK47" s="83"/>
      <c r="LLL47" s="83"/>
      <c r="LLM47" s="83"/>
      <c r="LLN47" s="83"/>
      <c r="LLO47" s="83"/>
      <c r="LLP47" s="83"/>
      <c r="LLQ47" s="83"/>
      <c r="LLR47" s="83"/>
      <c r="LLS47" s="83"/>
      <c r="LLT47" s="83"/>
      <c r="LLU47" s="83"/>
      <c r="LLV47" s="83"/>
      <c r="LLW47" s="83"/>
      <c r="LLX47" s="83"/>
      <c r="LLY47" s="83"/>
      <c r="LLZ47" s="83"/>
      <c r="LMA47" s="83"/>
      <c r="LMB47" s="83"/>
      <c r="LMC47" s="83"/>
      <c r="LMD47" s="83"/>
      <c r="LME47" s="83"/>
      <c r="LMF47" s="83"/>
      <c r="LMG47" s="83"/>
      <c r="LMH47" s="83"/>
      <c r="LMI47" s="83"/>
      <c r="LMJ47" s="83"/>
      <c r="LMK47" s="83"/>
      <c r="LML47" s="83"/>
      <c r="LMM47" s="83"/>
      <c r="LMN47" s="83"/>
      <c r="LMO47" s="83"/>
      <c r="LMP47" s="83"/>
      <c r="LMQ47" s="83"/>
      <c r="LMR47" s="83"/>
      <c r="LMS47" s="83"/>
      <c r="LMT47" s="83"/>
      <c r="LMU47" s="83"/>
      <c r="LMV47" s="83"/>
      <c r="LMW47" s="83"/>
      <c r="LMX47" s="83"/>
      <c r="LMY47" s="83"/>
      <c r="LMZ47" s="83"/>
      <c r="LNA47" s="83"/>
      <c r="LNB47" s="83"/>
      <c r="LNC47" s="83"/>
      <c r="LND47" s="83"/>
      <c r="LNE47" s="83"/>
      <c r="LNF47" s="83"/>
      <c r="LNG47" s="83"/>
      <c r="LNH47" s="83"/>
      <c r="LNI47" s="83"/>
      <c r="LNJ47" s="83"/>
      <c r="LNK47" s="83"/>
      <c r="LNL47" s="83"/>
      <c r="LNM47" s="83"/>
      <c r="LNN47" s="83"/>
      <c r="LNO47" s="83"/>
      <c r="LNP47" s="83"/>
      <c r="LNQ47" s="83"/>
      <c r="LNR47" s="83"/>
      <c r="LNS47" s="83"/>
      <c r="LNT47" s="83"/>
      <c r="LNU47" s="83"/>
      <c r="LNV47" s="83"/>
      <c r="LNW47" s="83"/>
      <c r="LNX47" s="83"/>
      <c r="LNY47" s="83"/>
      <c r="LNZ47" s="83"/>
      <c r="LOA47" s="83"/>
      <c r="LOB47" s="83"/>
      <c r="LOC47" s="83"/>
      <c r="LOD47" s="83"/>
      <c r="LOE47" s="83"/>
      <c r="LOF47" s="83"/>
      <c r="LOG47" s="83"/>
      <c r="LOH47" s="83"/>
      <c r="LOI47" s="83"/>
      <c r="LOJ47" s="83"/>
      <c r="LOK47" s="83"/>
      <c r="LOL47" s="83"/>
      <c r="LOM47" s="83"/>
      <c r="LON47" s="83"/>
      <c r="LOO47" s="83"/>
      <c r="LOP47" s="83"/>
      <c r="LOQ47" s="83"/>
      <c r="LOR47" s="83"/>
      <c r="LOS47" s="83"/>
      <c r="LOT47" s="83"/>
      <c r="LOU47" s="83"/>
      <c r="LOV47" s="83"/>
      <c r="LOW47" s="83"/>
      <c r="LOX47" s="83"/>
      <c r="LOY47" s="83"/>
      <c r="LOZ47" s="83"/>
      <c r="LPA47" s="83"/>
      <c r="LPB47" s="83"/>
      <c r="LPC47" s="83"/>
      <c r="LPD47" s="83"/>
      <c r="LPE47" s="83"/>
      <c r="LPF47" s="83"/>
      <c r="LPG47" s="83"/>
      <c r="LPH47" s="83"/>
      <c r="LPI47" s="83"/>
      <c r="LPJ47" s="83"/>
      <c r="LPK47" s="83"/>
      <c r="LPL47" s="83"/>
      <c r="LPM47" s="83"/>
      <c r="LPN47" s="83"/>
      <c r="LPO47" s="83"/>
      <c r="LPP47" s="83"/>
      <c r="LPQ47" s="83"/>
      <c r="LPR47" s="83"/>
      <c r="LPS47" s="83"/>
      <c r="LPT47" s="83"/>
      <c r="LPU47" s="83"/>
      <c r="LPV47" s="83"/>
      <c r="LPW47" s="83"/>
      <c r="LPX47" s="83"/>
      <c r="LPY47" s="83"/>
      <c r="LPZ47" s="83"/>
      <c r="LQA47" s="83"/>
      <c r="LQB47" s="83"/>
      <c r="LQC47" s="83"/>
      <c r="LQD47" s="83"/>
      <c r="LQE47" s="83"/>
      <c r="LQF47" s="83"/>
      <c r="LQG47" s="83"/>
      <c r="LQH47" s="83"/>
      <c r="LQI47" s="83"/>
      <c r="LQJ47" s="83"/>
      <c r="LQK47" s="83"/>
      <c r="LQL47" s="83"/>
      <c r="LQM47" s="83"/>
      <c r="LQN47" s="83"/>
      <c r="LQO47" s="83"/>
      <c r="LQP47" s="83"/>
      <c r="LQQ47" s="83"/>
      <c r="LQR47" s="83"/>
      <c r="LQS47" s="83"/>
      <c r="LQT47" s="83"/>
      <c r="LQU47" s="83"/>
      <c r="LQV47" s="83"/>
      <c r="LQW47" s="83"/>
      <c r="LQX47" s="83"/>
      <c r="LQY47" s="83"/>
      <c r="LQZ47" s="83"/>
      <c r="LRA47" s="83"/>
      <c r="LRB47" s="83"/>
      <c r="LRC47" s="83"/>
      <c r="LRD47" s="83"/>
      <c r="LRE47" s="83"/>
      <c r="LRF47" s="83"/>
      <c r="LRG47" s="83"/>
      <c r="LRH47" s="83"/>
      <c r="LRI47" s="83"/>
      <c r="LRJ47" s="83"/>
      <c r="LRK47" s="83"/>
      <c r="LRL47" s="83"/>
      <c r="LRM47" s="83"/>
      <c r="LRN47" s="83"/>
      <c r="LRO47" s="83"/>
      <c r="LRP47" s="83"/>
      <c r="LRQ47" s="83"/>
      <c r="LRR47" s="83"/>
      <c r="LRS47" s="83"/>
      <c r="LRT47" s="83"/>
      <c r="LRU47" s="83"/>
      <c r="LRV47" s="83"/>
      <c r="LRW47" s="83"/>
      <c r="LRX47" s="83"/>
      <c r="LRY47" s="83"/>
      <c r="LRZ47" s="83"/>
      <c r="LSA47" s="83"/>
      <c r="LSB47" s="83"/>
      <c r="LSC47" s="83"/>
      <c r="LSD47" s="83"/>
      <c r="LSE47" s="83"/>
      <c r="LSF47" s="83"/>
      <c r="LSG47" s="83"/>
      <c r="LSH47" s="83"/>
      <c r="LSI47" s="83"/>
      <c r="LSJ47" s="83"/>
      <c r="LSK47" s="83"/>
      <c r="LSL47" s="83"/>
      <c r="LSM47" s="83"/>
      <c r="LSN47" s="83"/>
      <c r="LSO47" s="83"/>
      <c r="LSP47" s="83"/>
      <c r="LSQ47" s="83"/>
      <c r="LSR47" s="83"/>
      <c r="LSS47" s="83"/>
      <c r="LST47" s="83"/>
      <c r="LSU47" s="83"/>
      <c r="LSV47" s="83"/>
      <c r="LSW47" s="83"/>
      <c r="LSX47" s="83"/>
      <c r="LSY47" s="83"/>
      <c r="LSZ47" s="83"/>
      <c r="LTA47" s="83"/>
      <c r="LTB47" s="83"/>
      <c r="LTC47" s="83"/>
      <c r="LTD47" s="83"/>
      <c r="LTE47" s="83"/>
      <c r="LTF47" s="83"/>
      <c r="LTG47" s="83"/>
      <c r="LTH47" s="83"/>
      <c r="LTI47" s="83"/>
      <c r="LTJ47" s="83"/>
      <c r="LTK47" s="83"/>
      <c r="LTL47" s="83"/>
      <c r="LTM47" s="83"/>
      <c r="LTN47" s="83"/>
      <c r="LTO47" s="83"/>
      <c r="LTP47" s="83"/>
      <c r="LTQ47" s="83"/>
      <c r="LTR47" s="83"/>
      <c r="LTS47" s="83"/>
      <c r="LTT47" s="83"/>
      <c r="LTU47" s="83"/>
      <c r="LTV47" s="83"/>
      <c r="LTW47" s="83"/>
      <c r="LTX47" s="83"/>
      <c r="LTY47" s="83"/>
      <c r="LTZ47" s="83"/>
      <c r="LUA47" s="83"/>
      <c r="LUB47" s="83"/>
      <c r="LUC47" s="83"/>
      <c r="LUD47" s="83"/>
      <c r="LUE47" s="83"/>
      <c r="LUF47" s="83"/>
      <c r="LUG47" s="83"/>
      <c r="LUH47" s="83"/>
      <c r="LUI47" s="83"/>
      <c r="LUJ47" s="83"/>
      <c r="LUK47" s="83"/>
      <c r="LUL47" s="83"/>
      <c r="LUM47" s="83"/>
      <c r="LUN47" s="83"/>
      <c r="LUO47" s="83"/>
      <c r="LUP47" s="83"/>
      <c r="LUQ47" s="83"/>
      <c r="LUR47" s="83"/>
      <c r="LUS47" s="83"/>
      <c r="LUT47" s="83"/>
      <c r="LUU47" s="83"/>
      <c r="LUV47" s="83"/>
      <c r="LUW47" s="83"/>
      <c r="LUX47" s="83"/>
      <c r="LUY47" s="83"/>
      <c r="LUZ47" s="83"/>
      <c r="LVA47" s="83"/>
      <c r="LVB47" s="83"/>
      <c r="LVC47" s="83"/>
      <c r="LVD47" s="83"/>
      <c r="LVE47" s="83"/>
      <c r="LVF47" s="83"/>
      <c r="LVG47" s="83"/>
      <c r="LVH47" s="83"/>
      <c r="LVI47" s="83"/>
      <c r="LVJ47" s="83"/>
      <c r="LVK47" s="83"/>
      <c r="LVL47" s="83"/>
      <c r="LVM47" s="83"/>
      <c r="LVN47" s="83"/>
      <c r="LVO47" s="83"/>
      <c r="LVP47" s="83"/>
      <c r="LVQ47" s="83"/>
      <c r="LVR47" s="83"/>
      <c r="LVS47" s="83"/>
      <c r="LVT47" s="83"/>
      <c r="LVU47" s="83"/>
      <c r="LVV47" s="83"/>
      <c r="LVW47" s="83"/>
      <c r="LVX47" s="83"/>
      <c r="LVY47" s="83"/>
      <c r="LVZ47" s="83"/>
      <c r="LWA47" s="83"/>
      <c r="LWB47" s="83"/>
      <c r="LWC47" s="83"/>
      <c r="LWD47" s="83"/>
      <c r="LWE47" s="83"/>
      <c r="LWF47" s="83"/>
      <c r="LWG47" s="83"/>
      <c r="LWH47" s="83"/>
      <c r="LWI47" s="83"/>
      <c r="LWJ47" s="83"/>
      <c r="LWK47" s="83"/>
      <c r="LWL47" s="83"/>
      <c r="LWM47" s="83"/>
      <c r="LWN47" s="83"/>
      <c r="LWO47" s="83"/>
      <c r="LWP47" s="83"/>
      <c r="LWQ47" s="83"/>
      <c r="LWR47" s="83"/>
      <c r="LWS47" s="83"/>
      <c r="LWT47" s="83"/>
      <c r="LWU47" s="83"/>
      <c r="LWV47" s="83"/>
      <c r="LWW47" s="83"/>
      <c r="LWX47" s="83"/>
      <c r="LWY47" s="83"/>
      <c r="LWZ47" s="83"/>
      <c r="LXA47" s="83"/>
      <c r="LXB47" s="83"/>
      <c r="LXC47" s="83"/>
      <c r="LXD47" s="83"/>
      <c r="LXE47" s="83"/>
      <c r="LXF47" s="83"/>
      <c r="LXG47" s="83"/>
      <c r="LXH47" s="83"/>
      <c r="LXI47" s="83"/>
      <c r="LXJ47" s="83"/>
      <c r="LXK47" s="83"/>
      <c r="LXL47" s="83"/>
      <c r="LXM47" s="83"/>
      <c r="LXN47" s="83"/>
      <c r="LXO47" s="83"/>
      <c r="LXP47" s="83"/>
      <c r="LXQ47" s="83"/>
      <c r="LXR47" s="83"/>
      <c r="LXS47" s="83"/>
      <c r="LXT47" s="83"/>
      <c r="LXU47" s="83"/>
      <c r="LXV47" s="83"/>
      <c r="LXW47" s="83"/>
      <c r="LXX47" s="83"/>
      <c r="LXY47" s="83"/>
      <c r="LXZ47" s="83"/>
      <c r="LYA47" s="83"/>
      <c r="LYB47" s="83"/>
      <c r="LYC47" s="83"/>
      <c r="LYD47" s="83"/>
      <c r="LYE47" s="83"/>
      <c r="LYF47" s="83"/>
      <c r="LYG47" s="83"/>
      <c r="LYH47" s="83"/>
      <c r="LYI47" s="83"/>
      <c r="LYJ47" s="83"/>
      <c r="LYK47" s="83"/>
      <c r="LYL47" s="83"/>
      <c r="LYM47" s="83"/>
      <c r="LYN47" s="83"/>
      <c r="LYO47" s="83"/>
      <c r="LYP47" s="83"/>
      <c r="LYQ47" s="83"/>
      <c r="LYR47" s="83"/>
      <c r="LYS47" s="83"/>
      <c r="LYT47" s="83"/>
      <c r="LYU47" s="83"/>
      <c r="LYV47" s="83"/>
      <c r="LYW47" s="83"/>
      <c r="LYX47" s="83"/>
      <c r="LYY47" s="83"/>
      <c r="LYZ47" s="83"/>
      <c r="LZA47" s="83"/>
      <c r="LZB47" s="83"/>
      <c r="LZC47" s="83"/>
      <c r="LZD47" s="83"/>
      <c r="LZE47" s="83"/>
      <c r="LZF47" s="83"/>
      <c r="LZG47" s="83"/>
      <c r="LZH47" s="83"/>
      <c r="LZI47" s="83"/>
      <c r="LZJ47" s="83"/>
      <c r="LZK47" s="83"/>
      <c r="LZL47" s="83"/>
      <c r="LZM47" s="83"/>
      <c r="LZN47" s="83"/>
      <c r="LZO47" s="83"/>
      <c r="LZP47" s="83"/>
      <c r="LZQ47" s="83"/>
      <c r="LZR47" s="83"/>
      <c r="LZS47" s="83"/>
      <c r="LZT47" s="83"/>
      <c r="LZU47" s="83"/>
      <c r="LZV47" s="83"/>
      <c r="LZW47" s="83"/>
      <c r="LZX47" s="83"/>
      <c r="LZY47" s="83"/>
      <c r="LZZ47" s="83"/>
      <c r="MAA47" s="83"/>
      <c r="MAB47" s="83"/>
      <c r="MAC47" s="83"/>
      <c r="MAD47" s="83"/>
      <c r="MAE47" s="83"/>
      <c r="MAF47" s="83"/>
      <c r="MAG47" s="83"/>
      <c r="MAH47" s="83"/>
      <c r="MAI47" s="83"/>
      <c r="MAJ47" s="83"/>
      <c r="MAK47" s="83"/>
      <c r="MAL47" s="83"/>
      <c r="MAM47" s="83"/>
      <c r="MAN47" s="83"/>
      <c r="MAO47" s="83"/>
      <c r="MAP47" s="83"/>
      <c r="MAQ47" s="83"/>
      <c r="MAR47" s="83"/>
      <c r="MAS47" s="83"/>
      <c r="MAT47" s="83"/>
      <c r="MAU47" s="83"/>
      <c r="MAV47" s="83"/>
      <c r="MAW47" s="83"/>
      <c r="MAX47" s="83"/>
      <c r="MAY47" s="83"/>
      <c r="MAZ47" s="83"/>
      <c r="MBA47" s="83"/>
      <c r="MBB47" s="83"/>
      <c r="MBC47" s="83"/>
      <c r="MBD47" s="83"/>
      <c r="MBE47" s="83"/>
      <c r="MBF47" s="83"/>
      <c r="MBG47" s="83"/>
      <c r="MBH47" s="83"/>
      <c r="MBI47" s="83"/>
      <c r="MBJ47" s="83"/>
      <c r="MBK47" s="83"/>
      <c r="MBL47" s="83"/>
      <c r="MBM47" s="83"/>
      <c r="MBN47" s="83"/>
      <c r="MBO47" s="83"/>
      <c r="MBP47" s="83"/>
      <c r="MBQ47" s="83"/>
      <c r="MBR47" s="83"/>
      <c r="MBS47" s="83"/>
      <c r="MBT47" s="83"/>
      <c r="MBU47" s="83"/>
      <c r="MBV47" s="83"/>
      <c r="MBW47" s="83"/>
      <c r="MBX47" s="83"/>
      <c r="MBY47" s="83"/>
      <c r="MBZ47" s="83"/>
      <c r="MCA47" s="83"/>
      <c r="MCB47" s="83"/>
      <c r="MCC47" s="83"/>
      <c r="MCD47" s="83"/>
      <c r="MCE47" s="83"/>
      <c r="MCF47" s="83"/>
      <c r="MCG47" s="83"/>
      <c r="MCH47" s="83"/>
      <c r="MCI47" s="83"/>
      <c r="MCJ47" s="83"/>
      <c r="MCK47" s="83"/>
      <c r="MCL47" s="83"/>
      <c r="MCM47" s="83"/>
      <c r="MCN47" s="83"/>
      <c r="MCO47" s="83"/>
      <c r="MCP47" s="83"/>
      <c r="MCQ47" s="83"/>
      <c r="MCR47" s="83"/>
      <c r="MCS47" s="83"/>
      <c r="MCT47" s="83"/>
      <c r="MCU47" s="83"/>
      <c r="MCV47" s="83"/>
      <c r="MCW47" s="83"/>
      <c r="MCX47" s="83"/>
      <c r="MCY47" s="83"/>
      <c r="MCZ47" s="83"/>
      <c r="MDA47" s="83"/>
      <c r="MDB47" s="83"/>
      <c r="MDC47" s="83"/>
      <c r="MDD47" s="83"/>
      <c r="MDE47" s="83"/>
      <c r="MDF47" s="83"/>
      <c r="MDG47" s="83"/>
      <c r="MDH47" s="83"/>
      <c r="MDI47" s="83"/>
      <c r="MDJ47" s="83"/>
      <c r="MDK47" s="83"/>
      <c r="MDL47" s="83"/>
      <c r="MDM47" s="83"/>
      <c r="MDN47" s="83"/>
      <c r="MDO47" s="83"/>
      <c r="MDP47" s="83"/>
      <c r="MDQ47" s="83"/>
      <c r="MDR47" s="83"/>
      <c r="MDS47" s="83"/>
      <c r="MDT47" s="83"/>
      <c r="MDU47" s="83"/>
      <c r="MDV47" s="83"/>
      <c r="MDW47" s="83"/>
      <c r="MDX47" s="83"/>
      <c r="MDY47" s="83"/>
      <c r="MDZ47" s="83"/>
      <c r="MEA47" s="83"/>
      <c r="MEB47" s="83"/>
      <c r="MEC47" s="83"/>
      <c r="MED47" s="83"/>
      <c r="MEE47" s="83"/>
      <c r="MEF47" s="83"/>
      <c r="MEG47" s="83"/>
      <c r="MEH47" s="83"/>
      <c r="MEI47" s="83"/>
      <c r="MEJ47" s="83"/>
      <c r="MEK47" s="83"/>
      <c r="MEL47" s="83"/>
      <c r="MEM47" s="83"/>
      <c r="MEN47" s="83"/>
      <c r="MEO47" s="83"/>
      <c r="MEP47" s="83"/>
      <c r="MEQ47" s="83"/>
      <c r="MER47" s="83"/>
      <c r="MES47" s="83"/>
      <c r="MET47" s="83"/>
      <c r="MEU47" s="83"/>
      <c r="MEV47" s="83"/>
      <c r="MEW47" s="83"/>
      <c r="MEX47" s="83"/>
      <c r="MEY47" s="83"/>
      <c r="MEZ47" s="83"/>
      <c r="MFA47" s="83"/>
      <c r="MFB47" s="83"/>
      <c r="MFC47" s="83"/>
      <c r="MFD47" s="83"/>
      <c r="MFE47" s="83"/>
      <c r="MFF47" s="83"/>
      <c r="MFG47" s="83"/>
      <c r="MFH47" s="83"/>
      <c r="MFI47" s="83"/>
      <c r="MFJ47" s="83"/>
      <c r="MFK47" s="83"/>
      <c r="MFL47" s="83"/>
      <c r="MFM47" s="83"/>
      <c r="MFN47" s="83"/>
      <c r="MFO47" s="83"/>
      <c r="MFP47" s="83"/>
      <c r="MFQ47" s="83"/>
      <c r="MFR47" s="83"/>
      <c r="MFS47" s="83"/>
      <c r="MFT47" s="83"/>
      <c r="MFU47" s="83"/>
      <c r="MFV47" s="83"/>
      <c r="MFW47" s="83"/>
      <c r="MFX47" s="83"/>
      <c r="MFY47" s="83"/>
      <c r="MFZ47" s="83"/>
      <c r="MGA47" s="83"/>
      <c r="MGB47" s="83"/>
      <c r="MGC47" s="83"/>
      <c r="MGD47" s="83"/>
      <c r="MGE47" s="83"/>
      <c r="MGF47" s="83"/>
      <c r="MGG47" s="83"/>
      <c r="MGH47" s="83"/>
      <c r="MGI47" s="83"/>
      <c r="MGJ47" s="83"/>
      <c r="MGK47" s="83"/>
      <c r="MGL47" s="83"/>
      <c r="MGM47" s="83"/>
      <c r="MGN47" s="83"/>
      <c r="MGO47" s="83"/>
      <c r="MGP47" s="83"/>
      <c r="MGQ47" s="83"/>
      <c r="MGR47" s="83"/>
      <c r="MGS47" s="83"/>
      <c r="MGT47" s="83"/>
      <c r="MGU47" s="83"/>
      <c r="MGV47" s="83"/>
      <c r="MGW47" s="83"/>
      <c r="MGX47" s="83"/>
      <c r="MGY47" s="83"/>
      <c r="MGZ47" s="83"/>
      <c r="MHA47" s="83"/>
      <c r="MHB47" s="83"/>
      <c r="MHC47" s="83"/>
      <c r="MHD47" s="83"/>
      <c r="MHE47" s="83"/>
      <c r="MHF47" s="83"/>
      <c r="MHG47" s="83"/>
      <c r="MHH47" s="83"/>
      <c r="MHI47" s="83"/>
      <c r="MHJ47" s="83"/>
      <c r="MHK47" s="83"/>
      <c r="MHL47" s="83"/>
      <c r="MHM47" s="83"/>
      <c r="MHN47" s="83"/>
      <c r="MHO47" s="83"/>
      <c r="MHP47" s="83"/>
      <c r="MHQ47" s="83"/>
      <c r="MHR47" s="83"/>
      <c r="MHS47" s="83"/>
      <c r="MHT47" s="83"/>
      <c r="MHU47" s="83"/>
      <c r="MHV47" s="83"/>
      <c r="MHW47" s="83"/>
      <c r="MHX47" s="83"/>
      <c r="MHY47" s="83"/>
      <c r="MHZ47" s="83"/>
      <c r="MIA47" s="83"/>
      <c r="MIB47" s="83"/>
      <c r="MIC47" s="83"/>
      <c r="MID47" s="83"/>
      <c r="MIE47" s="83"/>
      <c r="MIF47" s="83"/>
      <c r="MIG47" s="83"/>
      <c r="MIH47" s="83"/>
      <c r="MII47" s="83"/>
      <c r="MIJ47" s="83"/>
      <c r="MIK47" s="83"/>
      <c r="MIL47" s="83"/>
      <c r="MIM47" s="83"/>
      <c r="MIN47" s="83"/>
      <c r="MIO47" s="83"/>
      <c r="MIP47" s="83"/>
      <c r="MIQ47" s="83"/>
      <c r="MIR47" s="83"/>
      <c r="MIS47" s="83"/>
      <c r="MIT47" s="83"/>
      <c r="MIU47" s="83"/>
      <c r="MIV47" s="83"/>
      <c r="MIW47" s="83"/>
      <c r="MIX47" s="83"/>
      <c r="MIY47" s="83"/>
      <c r="MIZ47" s="83"/>
      <c r="MJA47" s="83"/>
      <c r="MJB47" s="83"/>
      <c r="MJC47" s="83"/>
      <c r="MJD47" s="83"/>
      <c r="MJE47" s="83"/>
      <c r="MJF47" s="83"/>
      <c r="MJG47" s="83"/>
      <c r="MJH47" s="83"/>
      <c r="MJI47" s="83"/>
      <c r="MJJ47" s="83"/>
      <c r="MJK47" s="83"/>
      <c r="MJL47" s="83"/>
      <c r="MJM47" s="83"/>
      <c r="MJN47" s="83"/>
      <c r="MJO47" s="83"/>
      <c r="MJP47" s="83"/>
      <c r="MJQ47" s="83"/>
      <c r="MJR47" s="83"/>
      <c r="MJS47" s="83"/>
      <c r="MJT47" s="83"/>
      <c r="MJU47" s="83"/>
      <c r="MJV47" s="83"/>
      <c r="MJW47" s="83"/>
      <c r="MJX47" s="83"/>
      <c r="MJY47" s="83"/>
      <c r="MJZ47" s="83"/>
      <c r="MKA47" s="83"/>
      <c r="MKB47" s="83"/>
      <c r="MKC47" s="83"/>
      <c r="MKD47" s="83"/>
      <c r="MKE47" s="83"/>
      <c r="MKF47" s="83"/>
      <c r="MKG47" s="83"/>
      <c r="MKH47" s="83"/>
      <c r="MKI47" s="83"/>
      <c r="MKJ47" s="83"/>
      <c r="MKK47" s="83"/>
      <c r="MKL47" s="83"/>
      <c r="MKM47" s="83"/>
      <c r="MKN47" s="83"/>
      <c r="MKO47" s="83"/>
      <c r="MKP47" s="83"/>
      <c r="MKQ47" s="83"/>
      <c r="MKR47" s="83"/>
      <c r="MKS47" s="83"/>
      <c r="MKT47" s="83"/>
      <c r="MKU47" s="83"/>
      <c r="MKV47" s="83"/>
      <c r="MKW47" s="83"/>
      <c r="MKX47" s="83"/>
      <c r="MKY47" s="83"/>
      <c r="MKZ47" s="83"/>
      <c r="MLA47" s="83"/>
      <c r="MLB47" s="83"/>
      <c r="MLC47" s="83"/>
      <c r="MLD47" s="83"/>
      <c r="MLE47" s="83"/>
      <c r="MLF47" s="83"/>
      <c r="MLG47" s="83"/>
      <c r="MLH47" s="83"/>
      <c r="MLI47" s="83"/>
      <c r="MLJ47" s="83"/>
      <c r="MLK47" s="83"/>
      <c r="MLL47" s="83"/>
      <c r="MLM47" s="83"/>
      <c r="MLN47" s="83"/>
      <c r="MLO47" s="83"/>
      <c r="MLP47" s="83"/>
      <c r="MLQ47" s="83"/>
      <c r="MLR47" s="83"/>
      <c r="MLS47" s="83"/>
      <c r="MLT47" s="83"/>
      <c r="MLU47" s="83"/>
      <c r="MLV47" s="83"/>
      <c r="MLW47" s="83"/>
      <c r="MLX47" s="83"/>
      <c r="MLY47" s="83"/>
      <c r="MLZ47" s="83"/>
      <c r="MMA47" s="83"/>
      <c r="MMB47" s="83"/>
      <c r="MMC47" s="83"/>
      <c r="MMD47" s="83"/>
      <c r="MME47" s="83"/>
      <c r="MMF47" s="83"/>
      <c r="MMG47" s="83"/>
      <c r="MMH47" s="83"/>
      <c r="MMI47" s="83"/>
      <c r="MMJ47" s="83"/>
      <c r="MMK47" s="83"/>
      <c r="MML47" s="83"/>
      <c r="MMM47" s="83"/>
      <c r="MMN47" s="83"/>
      <c r="MMO47" s="83"/>
      <c r="MMP47" s="83"/>
      <c r="MMQ47" s="83"/>
      <c r="MMR47" s="83"/>
      <c r="MMS47" s="83"/>
      <c r="MMT47" s="83"/>
      <c r="MMU47" s="83"/>
      <c r="MMV47" s="83"/>
      <c r="MMW47" s="83"/>
      <c r="MMX47" s="83"/>
      <c r="MMY47" s="83"/>
      <c r="MMZ47" s="83"/>
      <c r="MNA47" s="83"/>
      <c r="MNB47" s="83"/>
      <c r="MNC47" s="83"/>
      <c r="MND47" s="83"/>
      <c r="MNE47" s="83"/>
      <c r="MNF47" s="83"/>
      <c r="MNG47" s="83"/>
      <c r="MNH47" s="83"/>
      <c r="MNI47" s="83"/>
      <c r="MNJ47" s="83"/>
      <c r="MNK47" s="83"/>
      <c r="MNL47" s="83"/>
      <c r="MNM47" s="83"/>
      <c r="MNN47" s="83"/>
      <c r="MNO47" s="83"/>
      <c r="MNP47" s="83"/>
      <c r="MNQ47" s="83"/>
      <c r="MNR47" s="83"/>
      <c r="MNS47" s="83"/>
      <c r="MNT47" s="83"/>
      <c r="MNU47" s="83"/>
      <c r="MNV47" s="83"/>
      <c r="MNW47" s="83"/>
      <c r="MNX47" s="83"/>
      <c r="MNY47" s="83"/>
      <c r="MNZ47" s="83"/>
      <c r="MOA47" s="83"/>
      <c r="MOB47" s="83"/>
      <c r="MOC47" s="83"/>
      <c r="MOD47" s="83"/>
      <c r="MOE47" s="83"/>
      <c r="MOF47" s="83"/>
      <c r="MOG47" s="83"/>
      <c r="MOH47" s="83"/>
      <c r="MOI47" s="83"/>
      <c r="MOJ47" s="83"/>
      <c r="MOK47" s="83"/>
      <c r="MOL47" s="83"/>
      <c r="MOM47" s="83"/>
      <c r="MON47" s="83"/>
      <c r="MOO47" s="83"/>
      <c r="MOP47" s="83"/>
      <c r="MOQ47" s="83"/>
      <c r="MOR47" s="83"/>
      <c r="MOS47" s="83"/>
      <c r="MOT47" s="83"/>
      <c r="MOU47" s="83"/>
      <c r="MOV47" s="83"/>
      <c r="MOW47" s="83"/>
      <c r="MOX47" s="83"/>
      <c r="MOY47" s="83"/>
      <c r="MOZ47" s="83"/>
      <c r="MPA47" s="83"/>
      <c r="MPB47" s="83"/>
      <c r="MPC47" s="83"/>
      <c r="MPD47" s="83"/>
      <c r="MPE47" s="83"/>
      <c r="MPF47" s="83"/>
      <c r="MPG47" s="83"/>
      <c r="MPH47" s="83"/>
      <c r="MPI47" s="83"/>
      <c r="MPJ47" s="83"/>
      <c r="MPK47" s="83"/>
      <c r="MPL47" s="83"/>
      <c r="MPM47" s="83"/>
      <c r="MPN47" s="83"/>
      <c r="MPO47" s="83"/>
      <c r="MPP47" s="83"/>
      <c r="MPQ47" s="83"/>
      <c r="MPR47" s="83"/>
      <c r="MPS47" s="83"/>
      <c r="MPT47" s="83"/>
      <c r="MPU47" s="83"/>
      <c r="MPV47" s="83"/>
      <c r="MPW47" s="83"/>
      <c r="MPX47" s="83"/>
      <c r="MPY47" s="83"/>
      <c r="MPZ47" s="83"/>
      <c r="MQA47" s="83"/>
      <c r="MQB47" s="83"/>
      <c r="MQC47" s="83"/>
      <c r="MQD47" s="83"/>
      <c r="MQE47" s="83"/>
      <c r="MQF47" s="83"/>
      <c r="MQG47" s="83"/>
      <c r="MQH47" s="83"/>
      <c r="MQI47" s="83"/>
      <c r="MQJ47" s="83"/>
      <c r="MQK47" s="83"/>
      <c r="MQL47" s="83"/>
      <c r="MQM47" s="83"/>
      <c r="MQN47" s="83"/>
      <c r="MQO47" s="83"/>
      <c r="MQP47" s="83"/>
      <c r="MQQ47" s="83"/>
      <c r="MQR47" s="83"/>
      <c r="MQS47" s="83"/>
      <c r="MQT47" s="83"/>
      <c r="MQU47" s="83"/>
      <c r="MQV47" s="83"/>
      <c r="MQW47" s="83"/>
      <c r="MQX47" s="83"/>
      <c r="MQY47" s="83"/>
      <c r="MQZ47" s="83"/>
      <c r="MRA47" s="83"/>
      <c r="MRB47" s="83"/>
      <c r="MRC47" s="83"/>
      <c r="MRD47" s="83"/>
      <c r="MRE47" s="83"/>
      <c r="MRF47" s="83"/>
      <c r="MRG47" s="83"/>
      <c r="MRH47" s="83"/>
      <c r="MRI47" s="83"/>
      <c r="MRJ47" s="83"/>
      <c r="MRK47" s="83"/>
      <c r="MRL47" s="83"/>
      <c r="MRM47" s="83"/>
      <c r="MRN47" s="83"/>
      <c r="MRO47" s="83"/>
      <c r="MRP47" s="83"/>
      <c r="MRQ47" s="83"/>
      <c r="MRR47" s="83"/>
      <c r="MRS47" s="83"/>
      <c r="MRT47" s="83"/>
      <c r="MRU47" s="83"/>
      <c r="MRV47" s="83"/>
      <c r="MRW47" s="83"/>
      <c r="MRX47" s="83"/>
      <c r="MRY47" s="83"/>
      <c r="MRZ47" s="83"/>
      <c r="MSA47" s="83"/>
      <c r="MSB47" s="83"/>
      <c r="MSC47" s="83"/>
      <c r="MSD47" s="83"/>
      <c r="MSE47" s="83"/>
      <c r="MSF47" s="83"/>
      <c r="MSG47" s="83"/>
      <c r="MSH47" s="83"/>
      <c r="MSI47" s="83"/>
      <c r="MSJ47" s="83"/>
      <c r="MSK47" s="83"/>
      <c r="MSL47" s="83"/>
      <c r="MSM47" s="83"/>
      <c r="MSN47" s="83"/>
      <c r="MSO47" s="83"/>
      <c r="MSP47" s="83"/>
      <c r="MSQ47" s="83"/>
      <c r="MSR47" s="83"/>
      <c r="MSS47" s="83"/>
      <c r="MST47" s="83"/>
      <c r="MSU47" s="83"/>
      <c r="MSV47" s="83"/>
      <c r="MSW47" s="83"/>
      <c r="MSX47" s="83"/>
      <c r="MSY47" s="83"/>
      <c r="MSZ47" s="83"/>
      <c r="MTA47" s="83"/>
      <c r="MTB47" s="83"/>
      <c r="MTC47" s="83"/>
      <c r="MTD47" s="83"/>
      <c r="MTE47" s="83"/>
      <c r="MTF47" s="83"/>
      <c r="MTG47" s="83"/>
      <c r="MTH47" s="83"/>
      <c r="MTI47" s="83"/>
      <c r="MTJ47" s="83"/>
      <c r="MTK47" s="83"/>
      <c r="MTL47" s="83"/>
      <c r="MTM47" s="83"/>
      <c r="MTN47" s="83"/>
      <c r="MTO47" s="83"/>
      <c r="MTP47" s="83"/>
      <c r="MTQ47" s="83"/>
      <c r="MTR47" s="83"/>
      <c r="MTS47" s="83"/>
      <c r="MTT47" s="83"/>
      <c r="MTU47" s="83"/>
      <c r="MTV47" s="83"/>
      <c r="MTW47" s="83"/>
      <c r="MTX47" s="83"/>
      <c r="MTY47" s="83"/>
      <c r="MTZ47" s="83"/>
      <c r="MUA47" s="83"/>
      <c r="MUB47" s="83"/>
      <c r="MUC47" s="83"/>
      <c r="MUD47" s="83"/>
      <c r="MUE47" s="83"/>
      <c r="MUF47" s="83"/>
      <c r="MUG47" s="83"/>
      <c r="MUH47" s="83"/>
      <c r="MUI47" s="83"/>
      <c r="MUJ47" s="83"/>
      <c r="MUK47" s="83"/>
      <c r="MUL47" s="83"/>
      <c r="MUM47" s="83"/>
      <c r="MUN47" s="83"/>
      <c r="MUO47" s="83"/>
      <c r="MUP47" s="83"/>
      <c r="MUQ47" s="83"/>
      <c r="MUR47" s="83"/>
      <c r="MUS47" s="83"/>
      <c r="MUT47" s="83"/>
      <c r="MUU47" s="83"/>
      <c r="MUV47" s="83"/>
      <c r="MUW47" s="83"/>
      <c r="MUX47" s="83"/>
      <c r="MUY47" s="83"/>
      <c r="MUZ47" s="83"/>
      <c r="MVA47" s="83"/>
      <c r="MVB47" s="83"/>
      <c r="MVC47" s="83"/>
      <c r="MVD47" s="83"/>
      <c r="MVE47" s="83"/>
      <c r="MVF47" s="83"/>
      <c r="MVG47" s="83"/>
      <c r="MVH47" s="83"/>
      <c r="MVI47" s="83"/>
      <c r="MVJ47" s="83"/>
      <c r="MVK47" s="83"/>
      <c r="MVL47" s="83"/>
      <c r="MVM47" s="83"/>
      <c r="MVN47" s="83"/>
      <c r="MVO47" s="83"/>
      <c r="MVP47" s="83"/>
      <c r="MVQ47" s="83"/>
      <c r="MVR47" s="83"/>
      <c r="MVS47" s="83"/>
      <c r="MVT47" s="83"/>
      <c r="MVU47" s="83"/>
      <c r="MVV47" s="83"/>
      <c r="MVW47" s="83"/>
      <c r="MVX47" s="83"/>
      <c r="MVY47" s="83"/>
      <c r="MVZ47" s="83"/>
      <c r="MWA47" s="83"/>
      <c r="MWB47" s="83"/>
      <c r="MWC47" s="83"/>
      <c r="MWD47" s="83"/>
      <c r="MWE47" s="83"/>
      <c r="MWF47" s="83"/>
      <c r="MWG47" s="83"/>
      <c r="MWH47" s="83"/>
      <c r="MWI47" s="83"/>
      <c r="MWJ47" s="83"/>
      <c r="MWK47" s="83"/>
      <c r="MWL47" s="83"/>
      <c r="MWM47" s="83"/>
      <c r="MWN47" s="83"/>
      <c r="MWO47" s="83"/>
      <c r="MWP47" s="83"/>
      <c r="MWQ47" s="83"/>
      <c r="MWR47" s="83"/>
      <c r="MWS47" s="83"/>
      <c r="MWT47" s="83"/>
      <c r="MWU47" s="83"/>
      <c r="MWV47" s="83"/>
      <c r="MWW47" s="83"/>
      <c r="MWX47" s="83"/>
      <c r="MWY47" s="83"/>
      <c r="MWZ47" s="83"/>
      <c r="MXA47" s="83"/>
      <c r="MXB47" s="83"/>
      <c r="MXC47" s="83"/>
      <c r="MXD47" s="83"/>
      <c r="MXE47" s="83"/>
      <c r="MXF47" s="83"/>
      <c r="MXG47" s="83"/>
      <c r="MXH47" s="83"/>
      <c r="MXI47" s="83"/>
      <c r="MXJ47" s="83"/>
      <c r="MXK47" s="83"/>
      <c r="MXL47" s="83"/>
      <c r="MXM47" s="83"/>
      <c r="MXN47" s="83"/>
      <c r="MXO47" s="83"/>
      <c r="MXP47" s="83"/>
      <c r="MXQ47" s="83"/>
      <c r="MXR47" s="83"/>
      <c r="MXS47" s="83"/>
      <c r="MXT47" s="83"/>
      <c r="MXU47" s="83"/>
      <c r="MXV47" s="83"/>
      <c r="MXW47" s="83"/>
      <c r="MXX47" s="83"/>
      <c r="MXY47" s="83"/>
      <c r="MXZ47" s="83"/>
      <c r="MYA47" s="83"/>
      <c r="MYB47" s="83"/>
      <c r="MYC47" s="83"/>
      <c r="MYD47" s="83"/>
      <c r="MYE47" s="83"/>
      <c r="MYF47" s="83"/>
      <c r="MYG47" s="83"/>
      <c r="MYH47" s="83"/>
      <c r="MYI47" s="83"/>
      <c r="MYJ47" s="83"/>
      <c r="MYK47" s="83"/>
      <c r="MYL47" s="83"/>
      <c r="MYM47" s="83"/>
      <c r="MYN47" s="83"/>
      <c r="MYO47" s="83"/>
      <c r="MYP47" s="83"/>
      <c r="MYQ47" s="83"/>
      <c r="MYR47" s="83"/>
      <c r="MYS47" s="83"/>
      <c r="MYT47" s="83"/>
      <c r="MYU47" s="83"/>
      <c r="MYV47" s="83"/>
      <c r="MYW47" s="83"/>
      <c r="MYX47" s="83"/>
      <c r="MYY47" s="83"/>
      <c r="MYZ47" s="83"/>
      <c r="MZA47" s="83"/>
      <c r="MZB47" s="83"/>
      <c r="MZC47" s="83"/>
      <c r="MZD47" s="83"/>
      <c r="MZE47" s="83"/>
      <c r="MZF47" s="83"/>
      <c r="MZG47" s="83"/>
      <c r="MZH47" s="83"/>
      <c r="MZI47" s="83"/>
      <c r="MZJ47" s="83"/>
      <c r="MZK47" s="83"/>
      <c r="MZL47" s="83"/>
      <c r="MZM47" s="83"/>
      <c r="MZN47" s="83"/>
      <c r="MZO47" s="83"/>
      <c r="MZP47" s="83"/>
      <c r="MZQ47" s="83"/>
      <c r="MZR47" s="83"/>
      <c r="MZS47" s="83"/>
      <c r="MZT47" s="83"/>
      <c r="MZU47" s="83"/>
      <c r="MZV47" s="83"/>
      <c r="MZW47" s="83"/>
      <c r="MZX47" s="83"/>
      <c r="MZY47" s="83"/>
      <c r="MZZ47" s="83"/>
      <c r="NAA47" s="83"/>
      <c r="NAB47" s="83"/>
      <c r="NAC47" s="83"/>
      <c r="NAD47" s="83"/>
      <c r="NAE47" s="83"/>
      <c r="NAF47" s="83"/>
      <c r="NAG47" s="83"/>
      <c r="NAH47" s="83"/>
      <c r="NAI47" s="83"/>
      <c r="NAJ47" s="83"/>
      <c r="NAK47" s="83"/>
      <c r="NAL47" s="83"/>
      <c r="NAM47" s="83"/>
      <c r="NAN47" s="83"/>
      <c r="NAO47" s="83"/>
      <c r="NAP47" s="83"/>
      <c r="NAQ47" s="83"/>
      <c r="NAR47" s="83"/>
      <c r="NAS47" s="83"/>
      <c r="NAT47" s="83"/>
      <c r="NAU47" s="83"/>
      <c r="NAV47" s="83"/>
      <c r="NAW47" s="83"/>
      <c r="NAX47" s="83"/>
      <c r="NAY47" s="83"/>
      <c r="NAZ47" s="83"/>
      <c r="NBA47" s="83"/>
      <c r="NBB47" s="83"/>
      <c r="NBC47" s="83"/>
      <c r="NBD47" s="83"/>
      <c r="NBE47" s="83"/>
      <c r="NBF47" s="83"/>
      <c r="NBG47" s="83"/>
      <c r="NBH47" s="83"/>
      <c r="NBI47" s="83"/>
      <c r="NBJ47" s="83"/>
      <c r="NBK47" s="83"/>
      <c r="NBL47" s="83"/>
      <c r="NBM47" s="83"/>
      <c r="NBN47" s="83"/>
      <c r="NBO47" s="83"/>
      <c r="NBP47" s="83"/>
      <c r="NBQ47" s="83"/>
      <c r="NBR47" s="83"/>
      <c r="NBS47" s="83"/>
      <c r="NBT47" s="83"/>
      <c r="NBU47" s="83"/>
      <c r="NBV47" s="83"/>
      <c r="NBW47" s="83"/>
      <c r="NBX47" s="83"/>
      <c r="NBY47" s="83"/>
      <c r="NBZ47" s="83"/>
      <c r="NCA47" s="83"/>
      <c r="NCB47" s="83"/>
      <c r="NCC47" s="83"/>
      <c r="NCD47" s="83"/>
      <c r="NCE47" s="83"/>
      <c r="NCF47" s="83"/>
      <c r="NCG47" s="83"/>
      <c r="NCH47" s="83"/>
      <c r="NCI47" s="83"/>
      <c r="NCJ47" s="83"/>
      <c r="NCK47" s="83"/>
      <c r="NCL47" s="83"/>
      <c r="NCM47" s="83"/>
      <c r="NCN47" s="83"/>
      <c r="NCO47" s="83"/>
      <c r="NCP47" s="83"/>
      <c r="NCQ47" s="83"/>
      <c r="NCR47" s="83"/>
      <c r="NCS47" s="83"/>
      <c r="NCT47" s="83"/>
      <c r="NCU47" s="83"/>
      <c r="NCV47" s="83"/>
      <c r="NCW47" s="83"/>
      <c r="NCX47" s="83"/>
      <c r="NCY47" s="83"/>
      <c r="NCZ47" s="83"/>
      <c r="NDA47" s="83"/>
      <c r="NDB47" s="83"/>
      <c r="NDC47" s="83"/>
      <c r="NDD47" s="83"/>
      <c r="NDE47" s="83"/>
      <c r="NDF47" s="83"/>
      <c r="NDG47" s="83"/>
      <c r="NDH47" s="83"/>
      <c r="NDI47" s="83"/>
      <c r="NDJ47" s="83"/>
      <c r="NDK47" s="83"/>
      <c r="NDL47" s="83"/>
      <c r="NDM47" s="83"/>
      <c r="NDN47" s="83"/>
      <c r="NDO47" s="83"/>
      <c r="NDP47" s="83"/>
      <c r="NDQ47" s="83"/>
      <c r="NDR47" s="83"/>
      <c r="NDS47" s="83"/>
      <c r="NDT47" s="83"/>
      <c r="NDU47" s="83"/>
      <c r="NDV47" s="83"/>
      <c r="NDW47" s="83"/>
      <c r="NDX47" s="83"/>
      <c r="NDY47" s="83"/>
      <c r="NDZ47" s="83"/>
      <c r="NEA47" s="83"/>
      <c r="NEB47" s="83"/>
      <c r="NEC47" s="83"/>
      <c r="NED47" s="83"/>
      <c r="NEE47" s="83"/>
      <c r="NEF47" s="83"/>
      <c r="NEG47" s="83"/>
      <c r="NEH47" s="83"/>
      <c r="NEI47" s="83"/>
      <c r="NEJ47" s="83"/>
      <c r="NEK47" s="83"/>
      <c r="NEL47" s="83"/>
      <c r="NEM47" s="83"/>
      <c r="NEN47" s="83"/>
      <c r="NEO47" s="83"/>
      <c r="NEP47" s="83"/>
      <c r="NEQ47" s="83"/>
      <c r="NER47" s="83"/>
      <c r="NES47" s="83"/>
      <c r="NET47" s="83"/>
      <c r="NEU47" s="83"/>
      <c r="NEV47" s="83"/>
      <c r="NEW47" s="83"/>
      <c r="NEX47" s="83"/>
      <c r="NEY47" s="83"/>
      <c r="NEZ47" s="83"/>
      <c r="NFA47" s="83"/>
      <c r="NFB47" s="83"/>
      <c r="NFC47" s="83"/>
      <c r="NFD47" s="83"/>
      <c r="NFE47" s="83"/>
      <c r="NFF47" s="83"/>
      <c r="NFG47" s="83"/>
      <c r="NFH47" s="83"/>
      <c r="NFI47" s="83"/>
      <c r="NFJ47" s="83"/>
      <c r="NFK47" s="83"/>
      <c r="NFL47" s="83"/>
      <c r="NFM47" s="83"/>
      <c r="NFN47" s="83"/>
      <c r="NFO47" s="83"/>
      <c r="NFP47" s="83"/>
      <c r="NFQ47" s="83"/>
      <c r="NFR47" s="83"/>
      <c r="NFS47" s="83"/>
      <c r="NFT47" s="83"/>
      <c r="NFU47" s="83"/>
      <c r="NFV47" s="83"/>
      <c r="NFW47" s="83"/>
      <c r="NFX47" s="83"/>
      <c r="NFY47" s="83"/>
      <c r="NFZ47" s="83"/>
      <c r="NGA47" s="83"/>
      <c r="NGB47" s="83"/>
      <c r="NGC47" s="83"/>
      <c r="NGD47" s="83"/>
      <c r="NGE47" s="83"/>
      <c r="NGF47" s="83"/>
      <c r="NGG47" s="83"/>
      <c r="NGH47" s="83"/>
      <c r="NGI47" s="83"/>
      <c r="NGJ47" s="83"/>
      <c r="NGK47" s="83"/>
      <c r="NGL47" s="83"/>
      <c r="NGM47" s="83"/>
      <c r="NGN47" s="83"/>
      <c r="NGO47" s="83"/>
      <c r="NGP47" s="83"/>
      <c r="NGQ47" s="83"/>
      <c r="NGR47" s="83"/>
      <c r="NGS47" s="83"/>
      <c r="NGT47" s="83"/>
      <c r="NGU47" s="83"/>
      <c r="NGV47" s="83"/>
      <c r="NGW47" s="83"/>
      <c r="NGX47" s="83"/>
      <c r="NGY47" s="83"/>
      <c r="NGZ47" s="83"/>
      <c r="NHA47" s="83"/>
      <c r="NHB47" s="83"/>
      <c r="NHC47" s="83"/>
      <c r="NHD47" s="83"/>
      <c r="NHE47" s="83"/>
      <c r="NHF47" s="83"/>
      <c r="NHG47" s="83"/>
      <c r="NHH47" s="83"/>
      <c r="NHI47" s="83"/>
      <c r="NHJ47" s="83"/>
      <c r="NHK47" s="83"/>
      <c r="NHL47" s="83"/>
      <c r="NHM47" s="83"/>
      <c r="NHN47" s="83"/>
      <c r="NHO47" s="83"/>
      <c r="NHP47" s="83"/>
      <c r="NHQ47" s="83"/>
      <c r="NHR47" s="83"/>
      <c r="NHS47" s="83"/>
      <c r="NHT47" s="83"/>
      <c r="NHU47" s="83"/>
      <c r="NHV47" s="83"/>
      <c r="NHW47" s="83"/>
      <c r="NHX47" s="83"/>
      <c r="NHY47" s="83"/>
      <c r="NHZ47" s="83"/>
      <c r="NIA47" s="83"/>
      <c r="NIB47" s="83"/>
      <c r="NIC47" s="83"/>
      <c r="NID47" s="83"/>
      <c r="NIE47" s="83"/>
      <c r="NIF47" s="83"/>
      <c r="NIG47" s="83"/>
      <c r="NIH47" s="83"/>
      <c r="NII47" s="83"/>
      <c r="NIJ47" s="83"/>
      <c r="NIK47" s="83"/>
      <c r="NIL47" s="83"/>
      <c r="NIM47" s="83"/>
      <c r="NIN47" s="83"/>
      <c r="NIO47" s="83"/>
      <c r="NIP47" s="83"/>
      <c r="NIQ47" s="83"/>
      <c r="NIR47" s="83"/>
      <c r="NIS47" s="83"/>
      <c r="NIT47" s="83"/>
      <c r="NIU47" s="83"/>
      <c r="NIV47" s="83"/>
      <c r="NIW47" s="83"/>
      <c r="NIX47" s="83"/>
      <c r="NIY47" s="83"/>
      <c r="NIZ47" s="83"/>
      <c r="NJA47" s="83"/>
      <c r="NJB47" s="83"/>
      <c r="NJC47" s="83"/>
      <c r="NJD47" s="83"/>
      <c r="NJE47" s="83"/>
      <c r="NJF47" s="83"/>
      <c r="NJG47" s="83"/>
      <c r="NJH47" s="83"/>
      <c r="NJI47" s="83"/>
      <c r="NJJ47" s="83"/>
      <c r="NJK47" s="83"/>
      <c r="NJL47" s="83"/>
      <c r="NJM47" s="83"/>
      <c r="NJN47" s="83"/>
      <c r="NJO47" s="83"/>
      <c r="NJP47" s="83"/>
      <c r="NJQ47" s="83"/>
      <c r="NJR47" s="83"/>
      <c r="NJS47" s="83"/>
      <c r="NJT47" s="83"/>
      <c r="NJU47" s="83"/>
      <c r="NJV47" s="83"/>
      <c r="NJW47" s="83"/>
      <c r="NJX47" s="83"/>
      <c r="NJY47" s="83"/>
      <c r="NJZ47" s="83"/>
      <c r="NKA47" s="83"/>
      <c r="NKB47" s="83"/>
      <c r="NKC47" s="83"/>
      <c r="NKD47" s="83"/>
      <c r="NKE47" s="83"/>
      <c r="NKF47" s="83"/>
      <c r="NKG47" s="83"/>
      <c r="NKH47" s="83"/>
      <c r="NKI47" s="83"/>
      <c r="NKJ47" s="83"/>
      <c r="NKK47" s="83"/>
      <c r="NKL47" s="83"/>
      <c r="NKM47" s="83"/>
      <c r="NKN47" s="83"/>
      <c r="NKO47" s="83"/>
      <c r="NKP47" s="83"/>
      <c r="NKQ47" s="83"/>
      <c r="NKR47" s="83"/>
      <c r="NKS47" s="83"/>
      <c r="NKT47" s="83"/>
      <c r="NKU47" s="83"/>
      <c r="NKV47" s="83"/>
      <c r="NKW47" s="83"/>
      <c r="NKX47" s="83"/>
      <c r="NKY47" s="83"/>
      <c r="NKZ47" s="83"/>
      <c r="NLA47" s="83"/>
      <c r="NLB47" s="83"/>
      <c r="NLC47" s="83"/>
      <c r="NLD47" s="83"/>
      <c r="NLE47" s="83"/>
      <c r="NLF47" s="83"/>
      <c r="NLG47" s="83"/>
      <c r="NLH47" s="83"/>
      <c r="NLI47" s="83"/>
      <c r="NLJ47" s="83"/>
      <c r="NLK47" s="83"/>
      <c r="NLL47" s="83"/>
      <c r="NLM47" s="83"/>
      <c r="NLN47" s="83"/>
      <c r="NLO47" s="83"/>
      <c r="NLP47" s="83"/>
      <c r="NLQ47" s="83"/>
      <c r="NLR47" s="83"/>
      <c r="NLS47" s="83"/>
      <c r="NLT47" s="83"/>
      <c r="NLU47" s="83"/>
      <c r="NLV47" s="83"/>
      <c r="NLW47" s="83"/>
      <c r="NLX47" s="83"/>
      <c r="NLY47" s="83"/>
      <c r="NLZ47" s="83"/>
      <c r="NMA47" s="83"/>
      <c r="NMB47" s="83"/>
      <c r="NMC47" s="83"/>
      <c r="NMD47" s="83"/>
      <c r="NME47" s="83"/>
      <c r="NMF47" s="83"/>
      <c r="NMG47" s="83"/>
      <c r="NMH47" s="83"/>
      <c r="NMI47" s="83"/>
      <c r="NMJ47" s="83"/>
      <c r="NMK47" s="83"/>
      <c r="NML47" s="83"/>
      <c r="NMM47" s="83"/>
      <c r="NMN47" s="83"/>
      <c r="NMO47" s="83"/>
      <c r="NMP47" s="83"/>
      <c r="NMQ47" s="83"/>
      <c r="NMR47" s="83"/>
      <c r="NMS47" s="83"/>
      <c r="NMT47" s="83"/>
      <c r="NMU47" s="83"/>
      <c r="NMV47" s="83"/>
      <c r="NMW47" s="83"/>
      <c r="NMX47" s="83"/>
      <c r="NMY47" s="83"/>
      <c r="NMZ47" s="83"/>
      <c r="NNA47" s="83"/>
      <c r="NNB47" s="83"/>
      <c r="NNC47" s="83"/>
      <c r="NND47" s="83"/>
      <c r="NNE47" s="83"/>
      <c r="NNF47" s="83"/>
      <c r="NNG47" s="83"/>
      <c r="NNH47" s="83"/>
      <c r="NNI47" s="83"/>
      <c r="NNJ47" s="83"/>
      <c r="NNK47" s="83"/>
      <c r="NNL47" s="83"/>
      <c r="NNM47" s="83"/>
      <c r="NNN47" s="83"/>
      <c r="NNO47" s="83"/>
      <c r="NNP47" s="83"/>
      <c r="NNQ47" s="83"/>
      <c r="NNR47" s="83"/>
      <c r="NNS47" s="83"/>
      <c r="NNT47" s="83"/>
      <c r="NNU47" s="83"/>
      <c r="NNV47" s="83"/>
      <c r="NNW47" s="83"/>
      <c r="NNX47" s="83"/>
      <c r="NNY47" s="83"/>
      <c r="NNZ47" s="83"/>
      <c r="NOA47" s="83"/>
      <c r="NOB47" s="83"/>
      <c r="NOC47" s="83"/>
      <c r="NOD47" s="83"/>
      <c r="NOE47" s="83"/>
      <c r="NOF47" s="83"/>
      <c r="NOG47" s="83"/>
      <c r="NOH47" s="83"/>
      <c r="NOI47" s="83"/>
      <c r="NOJ47" s="83"/>
      <c r="NOK47" s="83"/>
      <c r="NOL47" s="83"/>
      <c r="NOM47" s="83"/>
      <c r="NON47" s="83"/>
      <c r="NOO47" s="83"/>
      <c r="NOP47" s="83"/>
      <c r="NOQ47" s="83"/>
      <c r="NOR47" s="83"/>
      <c r="NOS47" s="83"/>
      <c r="NOT47" s="83"/>
      <c r="NOU47" s="83"/>
      <c r="NOV47" s="83"/>
      <c r="NOW47" s="83"/>
      <c r="NOX47" s="83"/>
      <c r="NOY47" s="83"/>
      <c r="NOZ47" s="83"/>
      <c r="NPA47" s="83"/>
      <c r="NPB47" s="83"/>
      <c r="NPC47" s="83"/>
      <c r="NPD47" s="83"/>
      <c r="NPE47" s="83"/>
      <c r="NPF47" s="83"/>
      <c r="NPG47" s="83"/>
      <c r="NPH47" s="83"/>
      <c r="NPI47" s="83"/>
      <c r="NPJ47" s="83"/>
      <c r="NPK47" s="83"/>
      <c r="NPL47" s="83"/>
      <c r="NPM47" s="83"/>
      <c r="NPN47" s="83"/>
      <c r="NPO47" s="83"/>
      <c r="NPP47" s="83"/>
      <c r="NPQ47" s="83"/>
      <c r="NPR47" s="83"/>
      <c r="NPS47" s="83"/>
      <c r="NPT47" s="83"/>
      <c r="NPU47" s="83"/>
      <c r="NPV47" s="83"/>
      <c r="NPW47" s="83"/>
      <c r="NPX47" s="83"/>
      <c r="NPY47" s="83"/>
      <c r="NPZ47" s="83"/>
      <c r="NQA47" s="83"/>
      <c r="NQB47" s="83"/>
      <c r="NQC47" s="83"/>
      <c r="NQD47" s="83"/>
      <c r="NQE47" s="83"/>
      <c r="NQF47" s="83"/>
      <c r="NQG47" s="83"/>
      <c r="NQH47" s="83"/>
      <c r="NQI47" s="83"/>
      <c r="NQJ47" s="83"/>
      <c r="NQK47" s="83"/>
      <c r="NQL47" s="83"/>
      <c r="NQM47" s="83"/>
      <c r="NQN47" s="83"/>
      <c r="NQO47" s="83"/>
      <c r="NQP47" s="83"/>
      <c r="NQQ47" s="83"/>
      <c r="NQR47" s="83"/>
      <c r="NQS47" s="83"/>
      <c r="NQT47" s="83"/>
      <c r="NQU47" s="83"/>
      <c r="NQV47" s="83"/>
      <c r="NQW47" s="83"/>
      <c r="NQX47" s="83"/>
      <c r="NQY47" s="83"/>
      <c r="NQZ47" s="83"/>
      <c r="NRA47" s="83"/>
      <c r="NRB47" s="83"/>
      <c r="NRC47" s="83"/>
      <c r="NRD47" s="83"/>
      <c r="NRE47" s="83"/>
      <c r="NRF47" s="83"/>
      <c r="NRG47" s="83"/>
      <c r="NRH47" s="83"/>
      <c r="NRI47" s="83"/>
      <c r="NRJ47" s="83"/>
      <c r="NRK47" s="83"/>
      <c r="NRL47" s="83"/>
      <c r="NRM47" s="83"/>
      <c r="NRN47" s="83"/>
      <c r="NRO47" s="83"/>
      <c r="NRP47" s="83"/>
      <c r="NRQ47" s="83"/>
      <c r="NRR47" s="83"/>
      <c r="NRS47" s="83"/>
      <c r="NRT47" s="83"/>
      <c r="NRU47" s="83"/>
      <c r="NRV47" s="83"/>
      <c r="NRW47" s="83"/>
      <c r="NRX47" s="83"/>
      <c r="NRY47" s="83"/>
      <c r="NRZ47" s="83"/>
      <c r="NSA47" s="83"/>
      <c r="NSB47" s="83"/>
      <c r="NSC47" s="83"/>
      <c r="NSD47" s="83"/>
      <c r="NSE47" s="83"/>
      <c r="NSF47" s="83"/>
      <c r="NSG47" s="83"/>
      <c r="NSH47" s="83"/>
      <c r="NSI47" s="83"/>
      <c r="NSJ47" s="83"/>
      <c r="NSK47" s="83"/>
      <c r="NSL47" s="83"/>
      <c r="NSM47" s="83"/>
      <c r="NSN47" s="83"/>
      <c r="NSO47" s="83"/>
      <c r="NSP47" s="83"/>
      <c r="NSQ47" s="83"/>
      <c r="NSR47" s="83"/>
      <c r="NSS47" s="83"/>
      <c r="NST47" s="83"/>
      <c r="NSU47" s="83"/>
      <c r="NSV47" s="83"/>
      <c r="NSW47" s="83"/>
      <c r="NSX47" s="83"/>
      <c r="NSY47" s="83"/>
      <c r="NSZ47" s="83"/>
      <c r="NTA47" s="83"/>
      <c r="NTB47" s="83"/>
      <c r="NTC47" s="83"/>
      <c r="NTD47" s="83"/>
      <c r="NTE47" s="83"/>
      <c r="NTF47" s="83"/>
      <c r="NTG47" s="83"/>
      <c r="NTH47" s="83"/>
      <c r="NTI47" s="83"/>
      <c r="NTJ47" s="83"/>
      <c r="NTK47" s="83"/>
      <c r="NTL47" s="83"/>
      <c r="NTM47" s="83"/>
      <c r="NTN47" s="83"/>
      <c r="NTO47" s="83"/>
      <c r="NTP47" s="83"/>
      <c r="NTQ47" s="83"/>
      <c r="NTR47" s="83"/>
      <c r="NTS47" s="83"/>
      <c r="NTT47" s="83"/>
      <c r="NTU47" s="83"/>
      <c r="NTV47" s="83"/>
      <c r="NTW47" s="83"/>
      <c r="NTX47" s="83"/>
      <c r="NTY47" s="83"/>
      <c r="NTZ47" s="83"/>
      <c r="NUA47" s="83"/>
      <c r="NUB47" s="83"/>
      <c r="NUC47" s="83"/>
      <c r="NUD47" s="83"/>
      <c r="NUE47" s="83"/>
      <c r="NUF47" s="83"/>
      <c r="NUG47" s="83"/>
      <c r="NUH47" s="83"/>
      <c r="NUI47" s="83"/>
      <c r="NUJ47" s="83"/>
      <c r="NUK47" s="83"/>
      <c r="NUL47" s="83"/>
      <c r="NUM47" s="83"/>
      <c r="NUN47" s="83"/>
      <c r="NUO47" s="83"/>
      <c r="NUP47" s="83"/>
      <c r="NUQ47" s="83"/>
      <c r="NUR47" s="83"/>
      <c r="NUS47" s="83"/>
      <c r="NUT47" s="83"/>
      <c r="NUU47" s="83"/>
      <c r="NUV47" s="83"/>
      <c r="NUW47" s="83"/>
      <c r="NUX47" s="83"/>
      <c r="NUY47" s="83"/>
      <c r="NUZ47" s="83"/>
      <c r="NVA47" s="83"/>
      <c r="NVB47" s="83"/>
      <c r="NVC47" s="83"/>
      <c r="NVD47" s="83"/>
      <c r="NVE47" s="83"/>
      <c r="NVF47" s="83"/>
      <c r="NVG47" s="83"/>
      <c r="NVH47" s="83"/>
      <c r="NVI47" s="83"/>
      <c r="NVJ47" s="83"/>
      <c r="NVK47" s="83"/>
      <c r="NVL47" s="83"/>
      <c r="NVM47" s="83"/>
      <c r="NVN47" s="83"/>
      <c r="NVO47" s="83"/>
      <c r="NVP47" s="83"/>
      <c r="NVQ47" s="83"/>
      <c r="NVR47" s="83"/>
      <c r="NVS47" s="83"/>
      <c r="NVT47" s="83"/>
      <c r="NVU47" s="83"/>
      <c r="NVV47" s="83"/>
      <c r="NVW47" s="83"/>
      <c r="NVX47" s="83"/>
      <c r="NVY47" s="83"/>
      <c r="NVZ47" s="83"/>
      <c r="NWA47" s="83"/>
      <c r="NWB47" s="83"/>
      <c r="NWC47" s="83"/>
      <c r="NWD47" s="83"/>
      <c r="NWE47" s="83"/>
      <c r="NWF47" s="83"/>
      <c r="NWG47" s="83"/>
      <c r="NWH47" s="83"/>
      <c r="NWI47" s="83"/>
      <c r="NWJ47" s="83"/>
      <c r="NWK47" s="83"/>
      <c r="NWL47" s="83"/>
      <c r="NWM47" s="83"/>
      <c r="NWN47" s="83"/>
      <c r="NWO47" s="83"/>
      <c r="NWP47" s="83"/>
      <c r="NWQ47" s="83"/>
      <c r="NWR47" s="83"/>
      <c r="NWS47" s="83"/>
      <c r="NWT47" s="83"/>
      <c r="NWU47" s="83"/>
      <c r="NWV47" s="83"/>
      <c r="NWW47" s="83"/>
      <c r="NWX47" s="83"/>
      <c r="NWY47" s="83"/>
      <c r="NWZ47" s="83"/>
      <c r="NXA47" s="83"/>
      <c r="NXB47" s="83"/>
      <c r="NXC47" s="83"/>
      <c r="NXD47" s="83"/>
      <c r="NXE47" s="83"/>
      <c r="NXF47" s="83"/>
      <c r="NXG47" s="83"/>
      <c r="NXH47" s="83"/>
      <c r="NXI47" s="83"/>
      <c r="NXJ47" s="83"/>
      <c r="NXK47" s="83"/>
      <c r="NXL47" s="83"/>
      <c r="NXM47" s="83"/>
      <c r="NXN47" s="83"/>
      <c r="NXO47" s="83"/>
      <c r="NXP47" s="83"/>
      <c r="NXQ47" s="83"/>
      <c r="NXR47" s="83"/>
      <c r="NXS47" s="83"/>
      <c r="NXT47" s="83"/>
      <c r="NXU47" s="83"/>
      <c r="NXV47" s="83"/>
      <c r="NXW47" s="83"/>
      <c r="NXX47" s="83"/>
      <c r="NXY47" s="83"/>
      <c r="NXZ47" s="83"/>
      <c r="NYA47" s="83"/>
      <c r="NYB47" s="83"/>
      <c r="NYC47" s="83"/>
      <c r="NYD47" s="83"/>
      <c r="NYE47" s="83"/>
      <c r="NYF47" s="83"/>
      <c r="NYG47" s="83"/>
      <c r="NYH47" s="83"/>
      <c r="NYI47" s="83"/>
      <c r="NYJ47" s="83"/>
      <c r="NYK47" s="83"/>
      <c r="NYL47" s="83"/>
      <c r="NYM47" s="83"/>
      <c r="NYN47" s="83"/>
      <c r="NYO47" s="83"/>
      <c r="NYP47" s="83"/>
      <c r="NYQ47" s="83"/>
      <c r="NYR47" s="83"/>
      <c r="NYS47" s="83"/>
      <c r="NYT47" s="83"/>
      <c r="NYU47" s="83"/>
      <c r="NYV47" s="83"/>
      <c r="NYW47" s="83"/>
      <c r="NYX47" s="83"/>
      <c r="NYY47" s="83"/>
      <c r="NYZ47" s="83"/>
      <c r="NZA47" s="83"/>
      <c r="NZB47" s="83"/>
      <c r="NZC47" s="83"/>
      <c r="NZD47" s="83"/>
      <c r="NZE47" s="83"/>
      <c r="NZF47" s="83"/>
      <c r="NZG47" s="83"/>
      <c r="NZH47" s="83"/>
      <c r="NZI47" s="83"/>
      <c r="NZJ47" s="83"/>
      <c r="NZK47" s="83"/>
      <c r="NZL47" s="83"/>
      <c r="NZM47" s="83"/>
      <c r="NZN47" s="83"/>
      <c r="NZO47" s="83"/>
      <c r="NZP47" s="83"/>
      <c r="NZQ47" s="83"/>
      <c r="NZR47" s="83"/>
      <c r="NZS47" s="83"/>
      <c r="NZT47" s="83"/>
      <c r="NZU47" s="83"/>
      <c r="NZV47" s="83"/>
      <c r="NZW47" s="83"/>
      <c r="NZX47" s="83"/>
      <c r="NZY47" s="83"/>
      <c r="NZZ47" s="83"/>
      <c r="OAA47" s="83"/>
      <c r="OAB47" s="83"/>
      <c r="OAC47" s="83"/>
      <c r="OAD47" s="83"/>
      <c r="OAE47" s="83"/>
      <c r="OAF47" s="83"/>
      <c r="OAG47" s="83"/>
      <c r="OAH47" s="83"/>
      <c r="OAI47" s="83"/>
      <c r="OAJ47" s="83"/>
      <c r="OAK47" s="83"/>
      <c r="OAL47" s="83"/>
      <c r="OAM47" s="83"/>
      <c r="OAN47" s="83"/>
      <c r="OAO47" s="83"/>
      <c r="OAP47" s="83"/>
      <c r="OAQ47" s="83"/>
      <c r="OAR47" s="83"/>
      <c r="OAS47" s="83"/>
      <c r="OAT47" s="83"/>
      <c r="OAU47" s="83"/>
      <c r="OAV47" s="83"/>
      <c r="OAW47" s="83"/>
      <c r="OAX47" s="83"/>
      <c r="OAY47" s="83"/>
      <c r="OAZ47" s="83"/>
      <c r="OBA47" s="83"/>
      <c r="OBB47" s="83"/>
      <c r="OBC47" s="83"/>
      <c r="OBD47" s="83"/>
      <c r="OBE47" s="83"/>
      <c r="OBF47" s="83"/>
      <c r="OBG47" s="83"/>
      <c r="OBH47" s="83"/>
      <c r="OBI47" s="83"/>
      <c r="OBJ47" s="83"/>
      <c r="OBK47" s="83"/>
      <c r="OBL47" s="83"/>
      <c r="OBM47" s="83"/>
      <c r="OBN47" s="83"/>
      <c r="OBO47" s="83"/>
      <c r="OBP47" s="83"/>
      <c r="OBQ47" s="83"/>
      <c r="OBR47" s="83"/>
      <c r="OBS47" s="83"/>
      <c r="OBT47" s="83"/>
      <c r="OBU47" s="83"/>
      <c r="OBV47" s="83"/>
      <c r="OBW47" s="83"/>
      <c r="OBX47" s="83"/>
      <c r="OBY47" s="83"/>
      <c r="OBZ47" s="83"/>
      <c r="OCA47" s="83"/>
      <c r="OCB47" s="83"/>
      <c r="OCC47" s="83"/>
      <c r="OCD47" s="83"/>
      <c r="OCE47" s="83"/>
      <c r="OCF47" s="83"/>
      <c r="OCG47" s="83"/>
      <c r="OCH47" s="83"/>
      <c r="OCI47" s="83"/>
      <c r="OCJ47" s="83"/>
      <c r="OCK47" s="83"/>
      <c r="OCL47" s="83"/>
      <c r="OCM47" s="83"/>
      <c r="OCN47" s="83"/>
      <c r="OCO47" s="83"/>
      <c r="OCP47" s="83"/>
      <c r="OCQ47" s="83"/>
      <c r="OCR47" s="83"/>
      <c r="OCS47" s="83"/>
      <c r="OCT47" s="83"/>
      <c r="OCU47" s="83"/>
      <c r="OCV47" s="83"/>
      <c r="OCW47" s="83"/>
      <c r="OCX47" s="83"/>
      <c r="OCY47" s="83"/>
      <c r="OCZ47" s="83"/>
      <c r="ODA47" s="83"/>
      <c r="ODB47" s="83"/>
      <c r="ODC47" s="83"/>
      <c r="ODD47" s="83"/>
      <c r="ODE47" s="83"/>
      <c r="ODF47" s="83"/>
      <c r="ODG47" s="83"/>
      <c r="ODH47" s="83"/>
      <c r="ODI47" s="83"/>
      <c r="ODJ47" s="83"/>
      <c r="ODK47" s="83"/>
      <c r="ODL47" s="83"/>
      <c r="ODM47" s="83"/>
      <c r="ODN47" s="83"/>
      <c r="ODO47" s="83"/>
      <c r="ODP47" s="83"/>
      <c r="ODQ47" s="83"/>
      <c r="ODR47" s="83"/>
      <c r="ODS47" s="83"/>
      <c r="ODT47" s="83"/>
      <c r="ODU47" s="83"/>
      <c r="ODV47" s="83"/>
      <c r="ODW47" s="83"/>
      <c r="ODX47" s="83"/>
      <c r="ODY47" s="83"/>
      <c r="ODZ47" s="83"/>
      <c r="OEA47" s="83"/>
      <c r="OEB47" s="83"/>
      <c r="OEC47" s="83"/>
      <c r="OED47" s="83"/>
      <c r="OEE47" s="83"/>
      <c r="OEF47" s="83"/>
      <c r="OEG47" s="83"/>
      <c r="OEH47" s="83"/>
      <c r="OEI47" s="83"/>
      <c r="OEJ47" s="83"/>
      <c r="OEK47" s="83"/>
      <c r="OEL47" s="83"/>
      <c r="OEM47" s="83"/>
      <c r="OEN47" s="83"/>
      <c r="OEO47" s="83"/>
      <c r="OEP47" s="83"/>
      <c r="OEQ47" s="83"/>
      <c r="OER47" s="83"/>
      <c r="OES47" s="83"/>
      <c r="OET47" s="83"/>
      <c r="OEU47" s="83"/>
      <c r="OEV47" s="83"/>
      <c r="OEW47" s="83"/>
      <c r="OEX47" s="83"/>
      <c r="OEY47" s="83"/>
      <c r="OEZ47" s="83"/>
      <c r="OFA47" s="83"/>
      <c r="OFB47" s="83"/>
      <c r="OFC47" s="83"/>
      <c r="OFD47" s="83"/>
      <c r="OFE47" s="83"/>
      <c r="OFF47" s="83"/>
      <c r="OFG47" s="83"/>
      <c r="OFH47" s="83"/>
      <c r="OFI47" s="83"/>
      <c r="OFJ47" s="83"/>
      <c r="OFK47" s="83"/>
      <c r="OFL47" s="83"/>
      <c r="OFM47" s="83"/>
      <c r="OFN47" s="83"/>
      <c r="OFO47" s="83"/>
      <c r="OFP47" s="83"/>
      <c r="OFQ47" s="83"/>
      <c r="OFR47" s="83"/>
      <c r="OFS47" s="83"/>
      <c r="OFT47" s="83"/>
      <c r="OFU47" s="83"/>
      <c r="OFV47" s="83"/>
      <c r="OFW47" s="83"/>
      <c r="OFX47" s="83"/>
      <c r="OFY47" s="83"/>
      <c r="OFZ47" s="83"/>
      <c r="OGA47" s="83"/>
      <c r="OGB47" s="83"/>
      <c r="OGC47" s="83"/>
      <c r="OGD47" s="83"/>
      <c r="OGE47" s="83"/>
      <c r="OGF47" s="83"/>
      <c r="OGG47" s="83"/>
      <c r="OGH47" s="83"/>
      <c r="OGI47" s="83"/>
      <c r="OGJ47" s="83"/>
      <c r="OGK47" s="83"/>
      <c r="OGL47" s="83"/>
      <c r="OGM47" s="83"/>
      <c r="OGN47" s="83"/>
      <c r="OGO47" s="83"/>
      <c r="OGP47" s="83"/>
      <c r="OGQ47" s="83"/>
      <c r="OGR47" s="83"/>
      <c r="OGS47" s="83"/>
      <c r="OGT47" s="83"/>
      <c r="OGU47" s="83"/>
      <c r="OGV47" s="83"/>
      <c r="OGW47" s="83"/>
      <c r="OGX47" s="83"/>
      <c r="OGY47" s="83"/>
      <c r="OGZ47" s="83"/>
      <c r="OHA47" s="83"/>
      <c r="OHB47" s="83"/>
      <c r="OHC47" s="83"/>
      <c r="OHD47" s="83"/>
      <c r="OHE47" s="83"/>
      <c r="OHF47" s="83"/>
      <c r="OHG47" s="83"/>
      <c r="OHH47" s="83"/>
      <c r="OHI47" s="83"/>
      <c r="OHJ47" s="83"/>
      <c r="OHK47" s="83"/>
      <c r="OHL47" s="83"/>
      <c r="OHM47" s="83"/>
      <c r="OHN47" s="83"/>
      <c r="OHO47" s="83"/>
      <c r="OHP47" s="83"/>
      <c r="OHQ47" s="83"/>
      <c r="OHR47" s="83"/>
      <c r="OHS47" s="83"/>
      <c r="OHT47" s="83"/>
      <c r="OHU47" s="83"/>
      <c r="OHV47" s="83"/>
      <c r="OHW47" s="83"/>
      <c r="OHX47" s="83"/>
      <c r="OHY47" s="83"/>
      <c r="OHZ47" s="83"/>
      <c r="OIA47" s="83"/>
      <c r="OIB47" s="83"/>
      <c r="OIC47" s="83"/>
      <c r="OID47" s="83"/>
      <c r="OIE47" s="83"/>
      <c r="OIF47" s="83"/>
      <c r="OIG47" s="83"/>
      <c r="OIH47" s="83"/>
      <c r="OII47" s="83"/>
      <c r="OIJ47" s="83"/>
      <c r="OIK47" s="83"/>
      <c r="OIL47" s="83"/>
      <c r="OIM47" s="83"/>
      <c r="OIN47" s="83"/>
      <c r="OIO47" s="83"/>
      <c r="OIP47" s="83"/>
      <c r="OIQ47" s="83"/>
      <c r="OIR47" s="83"/>
      <c r="OIS47" s="83"/>
      <c r="OIT47" s="83"/>
      <c r="OIU47" s="83"/>
      <c r="OIV47" s="83"/>
      <c r="OIW47" s="83"/>
      <c r="OIX47" s="83"/>
      <c r="OIY47" s="83"/>
      <c r="OIZ47" s="83"/>
      <c r="OJA47" s="83"/>
      <c r="OJB47" s="83"/>
      <c r="OJC47" s="83"/>
      <c r="OJD47" s="83"/>
      <c r="OJE47" s="83"/>
      <c r="OJF47" s="83"/>
      <c r="OJG47" s="83"/>
      <c r="OJH47" s="83"/>
      <c r="OJI47" s="83"/>
      <c r="OJJ47" s="83"/>
      <c r="OJK47" s="83"/>
      <c r="OJL47" s="83"/>
      <c r="OJM47" s="83"/>
      <c r="OJN47" s="83"/>
      <c r="OJO47" s="83"/>
      <c r="OJP47" s="83"/>
      <c r="OJQ47" s="83"/>
      <c r="OJR47" s="83"/>
      <c r="OJS47" s="83"/>
      <c r="OJT47" s="83"/>
      <c r="OJU47" s="83"/>
      <c r="OJV47" s="83"/>
      <c r="OJW47" s="83"/>
      <c r="OJX47" s="83"/>
      <c r="OJY47" s="83"/>
      <c r="OJZ47" s="83"/>
      <c r="OKA47" s="83"/>
      <c r="OKB47" s="83"/>
      <c r="OKC47" s="83"/>
      <c r="OKD47" s="83"/>
      <c r="OKE47" s="83"/>
      <c r="OKF47" s="83"/>
      <c r="OKG47" s="83"/>
      <c r="OKH47" s="83"/>
      <c r="OKI47" s="83"/>
      <c r="OKJ47" s="83"/>
      <c r="OKK47" s="83"/>
      <c r="OKL47" s="83"/>
      <c r="OKM47" s="83"/>
      <c r="OKN47" s="83"/>
      <c r="OKO47" s="83"/>
      <c r="OKP47" s="83"/>
      <c r="OKQ47" s="83"/>
      <c r="OKR47" s="83"/>
      <c r="OKS47" s="83"/>
      <c r="OKT47" s="83"/>
      <c r="OKU47" s="83"/>
      <c r="OKV47" s="83"/>
      <c r="OKW47" s="83"/>
      <c r="OKX47" s="83"/>
      <c r="OKY47" s="83"/>
      <c r="OKZ47" s="83"/>
      <c r="OLA47" s="83"/>
      <c r="OLB47" s="83"/>
      <c r="OLC47" s="83"/>
      <c r="OLD47" s="83"/>
      <c r="OLE47" s="83"/>
      <c r="OLF47" s="83"/>
      <c r="OLG47" s="83"/>
      <c r="OLH47" s="83"/>
      <c r="OLI47" s="83"/>
      <c r="OLJ47" s="83"/>
      <c r="OLK47" s="83"/>
      <c r="OLL47" s="83"/>
      <c r="OLM47" s="83"/>
      <c r="OLN47" s="83"/>
      <c r="OLO47" s="83"/>
      <c r="OLP47" s="83"/>
      <c r="OLQ47" s="83"/>
      <c r="OLR47" s="83"/>
      <c r="OLS47" s="83"/>
      <c r="OLT47" s="83"/>
      <c r="OLU47" s="83"/>
      <c r="OLV47" s="83"/>
      <c r="OLW47" s="83"/>
      <c r="OLX47" s="83"/>
      <c r="OLY47" s="83"/>
      <c r="OLZ47" s="83"/>
      <c r="OMA47" s="83"/>
      <c r="OMB47" s="83"/>
      <c r="OMC47" s="83"/>
      <c r="OMD47" s="83"/>
      <c r="OME47" s="83"/>
      <c r="OMF47" s="83"/>
      <c r="OMG47" s="83"/>
      <c r="OMH47" s="83"/>
      <c r="OMI47" s="83"/>
      <c r="OMJ47" s="83"/>
      <c r="OMK47" s="83"/>
      <c r="OML47" s="83"/>
      <c r="OMM47" s="83"/>
      <c r="OMN47" s="83"/>
      <c r="OMO47" s="83"/>
      <c r="OMP47" s="83"/>
      <c r="OMQ47" s="83"/>
      <c r="OMR47" s="83"/>
      <c r="OMS47" s="83"/>
      <c r="OMT47" s="83"/>
      <c r="OMU47" s="83"/>
      <c r="OMV47" s="83"/>
      <c r="OMW47" s="83"/>
      <c r="OMX47" s="83"/>
      <c r="OMY47" s="83"/>
      <c r="OMZ47" s="83"/>
      <c r="ONA47" s="83"/>
      <c r="ONB47" s="83"/>
      <c r="ONC47" s="83"/>
      <c r="OND47" s="83"/>
      <c r="ONE47" s="83"/>
      <c r="ONF47" s="83"/>
      <c r="ONG47" s="83"/>
      <c r="ONH47" s="83"/>
      <c r="ONI47" s="83"/>
      <c r="ONJ47" s="83"/>
      <c r="ONK47" s="83"/>
      <c r="ONL47" s="83"/>
      <c r="ONM47" s="83"/>
      <c r="ONN47" s="83"/>
      <c r="ONO47" s="83"/>
      <c r="ONP47" s="83"/>
      <c r="ONQ47" s="83"/>
      <c r="ONR47" s="83"/>
      <c r="ONS47" s="83"/>
      <c r="ONT47" s="83"/>
      <c r="ONU47" s="83"/>
      <c r="ONV47" s="83"/>
      <c r="ONW47" s="83"/>
      <c r="ONX47" s="83"/>
      <c r="ONY47" s="83"/>
      <c r="ONZ47" s="83"/>
      <c r="OOA47" s="83"/>
      <c r="OOB47" s="83"/>
      <c r="OOC47" s="83"/>
      <c r="OOD47" s="83"/>
      <c r="OOE47" s="83"/>
      <c r="OOF47" s="83"/>
      <c r="OOG47" s="83"/>
      <c r="OOH47" s="83"/>
      <c r="OOI47" s="83"/>
      <c r="OOJ47" s="83"/>
      <c r="OOK47" s="83"/>
      <c r="OOL47" s="83"/>
      <c r="OOM47" s="83"/>
      <c r="OON47" s="83"/>
      <c r="OOO47" s="83"/>
      <c r="OOP47" s="83"/>
      <c r="OOQ47" s="83"/>
      <c r="OOR47" s="83"/>
      <c r="OOS47" s="83"/>
      <c r="OOT47" s="83"/>
      <c r="OOU47" s="83"/>
      <c r="OOV47" s="83"/>
      <c r="OOW47" s="83"/>
      <c r="OOX47" s="83"/>
      <c r="OOY47" s="83"/>
      <c r="OOZ47" s="83"/>
      <c r="OPA47" s="83"/>
      <c r="OPB47" s="83"/>
      <c r="OPC47" s="83"/>
      <c r="OPD47" s="83"/>
      <c r="OPE47" s="83"/>
      <c r="OPF47" s="83"/>
      <c r="OPG47" s="83"/>
      <c r="OPH47" s="83"/>
      <c r="OPI47" s="83"/>
      <c r="OPJ47" s="83"/>
      <c r="OPK47" s="83"/>
      <c r="OPL47" s="83"/>
      <c r="OPM47" s="83"/>
      <c r="OPN47" s="83"/>
      <c r="OPO47" s="83"/>
      <c r="OPP47" s="83"/>
      <c r="OPQ47" s="83"/>
      <c r="OPR47" s="83"/>
      <c r="OPS47" s="83"/>
      <c r="OPT47" s="83"/>
      <c r="OPU47" s="83"/>
      <c r="OPV47" s="83"/>
      <c r="OPW47" s="83"/>
      <c r="OPX47" s="83"/>
      <c r="OPY47" s="83"/>
      <c r="OPZ47" s="83"/>
      <c r="OQA47" s="83"/>
      <c r="OQB47" s="83"/>
      <c r="OQC47" s="83"/>
      <c r="OQD47" s="83"/>
      <c r="OQE47" s="83"/>
      <c r="OQF47" s="83"/>
      <c r="OQG47" s="83"/>
      <c r="OQH47" s="83"/>
      <c r="OQI47" s="83"/>
      <c r="OQJ47" s="83"/>
      <c r="OQK47" s="83"/>
      <c r="OQL47" s="83"/>
      <c r="OQM47" s="83"/>
      <c r="OQN47" s="83"/>
      <c r="OQO47" s="83"/>
      <c r="OQP47" s="83"/>
      <c r="OQQ47" s="83"/>
      <c r="OQR47" s="83"/>
      <c r="OQS47" s="83"/>
      <c r="OQT47" s="83"/>
      <c r="OQU47" s="83"/>
      <c r="OQV47" s="83"/>
      <c r="OQW47" s="83"/>
      <c r="OQX47" s="83"/>
      <c r="OQY47" s="83"/>
      <c r="OQZ47" s="83"/>
      <c r="ORA47" s="83"/>
      <c r="ORB47" s="83"/>
      <c r="ORC47" s="83"/>
      <c r="ORD47" s="83"/>
      <c r="ORE47" s="83"/>
      <c r="ORF47" s="83"/>
      <c r="ORG47" s="83"/>
      <c r="ORH47" s="83"/>
      <c r="ORI47" s="83"/>
      <c r="ORJ47" s="83"/>
      <c r="ORK47" s="83"/>
      <c r="ORL47" s="83"/>
      <c r="ORM47" s="83"/>
      <c r="ORN47" s="83"/>
      <c r="ORO47" s="83"/>
      <c r="ORP47" s="83"/>
      <c r="ORQ47" s="83"/>
      <c r="ORR47" s="83"/>
      <c r="ORS47" s="83"/>
      <c r="ORT47" s="83"/>
      <c r="ORU47" s="83"/>
      <c r="ORV47" s="83"/>
      <c r="ORW47" s="83"/>
      <c r="ORX47" s="83"/>
      <c r="ORY47" s="83"/>
      <c r="ORZ47" s="83"/>
      <c r="OSA47" s="83"/>
      <c r="OSB47" s="83"/>
      <c r="OSC47" s="83"/>
      <c r="OSD47" s="83"/>
      <c r="OSE47" s="83"/>
      <c r="OSF47" s="83"/>
      <c r="OSG47" s="83"/>
      <c r="OSH47" s="83"/>
      <c r="OSI47" s="83"/>
      <c r="OSJ47" s="83"/>
      <c r="OSK47" s="83"/>
      <c r="OSL47" s="83"/>
      <c r="OSM47" s="83"/>
      <c r="OSN47" s="83"/>
      <c r="OSO47" s="83"/>
      <c r="OSP47" s="83"/>
      <c r="OSQ47" s="83"/>
      <c r="OSR47" s="83"/>
      <c r="OSS47" s="83"/>
      <c r="OST47" s="83"/>
      <c r="OSU47" s="83"/>
      <c r="OSV47" s="83"/>
      <c r="OSW47" s="83"/>
      <c r="OSX47" s="83"/>
      <c r="OSY47" s="83"/>
      <c r="OSZ47" s="83"/>
      <c r="OTA47" s="83"/>
      <c r="OTB47" s="83"/>
      <c r="OTC47" s="83"/>
      <c r="OTD47" s="83"/>
      <c r="OTE47" s="83"/>
      <c r="OTF47" s="83"/>
      <c r="OTG47" s="83"/>
      <c r="OTH47" s="83"/>
      <c r="OTI47" s="83"/>
      <c r="OTJ47" s="83"/>
      <c r="OTK47" s="83"/>
      <c r="OTL47" s="83"/>
      <c r="OTM47" s="83"/>
      <c r="OTN47" s="83"/>
      <c r="OTO47" s="83"/>
      <c r="OTP47" s="83"/>
      <c r="OTQ47" s="83"/>
      <c r="OTR47" s="83"/>
      <c r="OTS47" s="83"/>
      <c r="OTT47" s="83"/>
      <c r="OTU47" s="83"/>
      <c r="OTV47" s="83"/>
      <c r="OTW47" s="83"/>
      <c r="OTX47" s="83"/>
      <c r="OTY47" s="83"/>
      <c r="OTZ47" s="83"/>
      <c r="OUA47" s="83"/>
      <c r="OUB47" s="83"/>
      <c r="OUC47" s="83"/>
      <c r="OUD47" s="83"/>
      <c r="OUE47" s="83"/>
      <c r="OUF47" s="83"/>
      <c r="OUG47" s="83"/>
      <c r="OUH47" s="83"/>
      <c r="OUI47" s="83"/>
      <c r="OUJ47" s="83"/>
      <c r="OUK47" s="83"/>
      <c r="OUL47" s="83"/>
      <c r="OUM47" s="83"/>
      <c r="OUN47" s="83"/>
      <c r="OUO47" s="83"/>
      <c r="OUP47" s="83"/>
      <c r="OUQ47" s="83"/>
      <c r="OUR47" s="83"/>
      <c r="OUS47" s="83"/>
      <c r="OUT47" s="83"/>
      <c r="OUU47" s="83"/>
      <c r="OUV47" s="83"/>
      <c r="OUW47" s="83"/>
      <c r="OUX47" s="83"/>
      <c r="OUY47" s="83"/>
      <c r="OUZ47" s="83"/>
      <c r="OVA47" s="83"/>
      <c r="OVB47" s="83"/>
      <c r="OVC47" s="83"/>
      <c r="OVD47" s="83"/>
      <c r="OVE47" s="83"/>
      <c r="OVF47" s="83"/>
      <c r="OVG47" s="83"/>
      <c r="OVH47" s="83"/>
      <c r="OVI47" s="83"/>
      <c r="OVJ47" s="83"/>
      <c r="OVK47" s="83"/>
      <c r="OVL47" s="83"/>
      <c r="OVM47" s="83"/>
      <c r="OVN47" s="83"/>
      <c r="OVO47" s="83"/>
      <c r="OVP47" s="83"/>
      <c r="OVQ47" s="83"/>
      <c r="OVR47" s="83"/>
      <c r="OVS47" s="83"/>
      <c r="OVT47" s="83"/>
      <c r="OVU47" s="83"/>
      <c r="OVV47" s="83"/>
      <c r="OVW47" s="83"/>
      <c r="OVX47" s="83"/>
      <c r="OVY47" s="83"/>
      <c r="OVZ47" s="83"/>
      <c r="OWA47" s="83"/>
      <c r="OWB47" s="83"/>
      <c r="OWC47" s="83"/>
      <c r="OWD47" s="83"/>
      <c r="OWE47" s="83"/>
      <c r="OWF47" s="83"/>
      <c r="OWG47" s="83"/>
      <c r="OWH47" s="83"/>
      <c r="OWI47" s="83"/>
      <c r="OWJ47" s="83"/>
      <c r="OWK47" s="83"/>
      <c r="OWL47" s="83"/>
      <c r="OWM47" s="83"/>
      <c r="OWN47" s="83"/>
      <c r="OWO47" s="83"/>
      <c r="OWP47" s="83"/>
      <c r="OWQ47" s="83"/>
      <c r="OWR47" s="83"/>
      <c r="OWS47" s="83"/>
      <c r="OWT47" s="83"/>
      <c r="OWU47" s="83"/>
      <c r="OWV47" s="83"/>
      <c r="OWW47" s="83"/>
      <c r="OWX47" s="83"/>
      <c r="OWY47" s="83"/>
      <c r="OWZ47" s="83"/>
      <c r="OXA47" s="83"/>
      <c r="OXB47" s="83"/>
      <c r="OXC47" s="83"/>
      <c r="OXD47" s="83"/>
      <c r="OXE47" s="83"/>
      <c r="OXF47" s="83"/>
      <c r="OXG47" s="83"/>
      <c r="OXH47" s="83"/>
      <c r="OXI47" s="83"/>
      <c r="OXJ47" s="83"/>
      <c r="OXK47" s="83"/>
      <c r="OXL47" s="83"/>
      <c r="OXM47" s="83"/>
      <c r="OXN47" s="83"/>
      <c r="OXO47" s="83"/>
      <c r="OXP47" s="83"/>
      <c r="OXQ47" s="83"/>
      <c r="OXR47" s="83"/>
      <c r="OXS47" s="83"/>
      <c r="OXT47" s="83"/>
      <c r="OXU47" s="83"/>
      <c r="OXV47" s="83"/>
      <c r="OXW47" s="83"/>
      <c r="OXX47" s="83"/>
      <c r="OXY47" s="83"/>
      <c r="OXZ47" s="83"/>
      <c r="OYA47" s="83"/>
      <c r="OYB47" s="83"/>
      <c r="OYC47" s="83"/>
      <c r="OYD47" s="83"/>
      <c r="OYE47" s="83"/>
      <c r="OYF47" s="83"/>
      <c r="OYG47" s="83"/>
      <c r="OYH47" s="83"/>
      <c r="OYI47" s="83"/>
      <c r="OYJ47" s="83"/>
      <c r="OYK47" s="83"/>
      <c r="OYL47" s="83"/>
      <c r="OYM47" s="83"/>
      <c r="OYN47" s="83"/>
      <c r="OYO47" s="83"/>
      <c r="OYP47" s="83"/>
      <c r="OYQ47" s="83"/>
      <c r="OYR47" s="83"/>
      <c r="OYS47" s="83"/>
      <c r="OYT47" s="83"/>
      <c r="OYU47" s="83"/>
      <c r="OYV47" s="83"/>
      <c r="OYW47" s="83"/>
      <c r="OYX47" s="83"/>
      <c r="OYY47" s="83"/>
      <c r="OYZ47" s="83"/>
      <c r="OZA47" s="83"/>
      <c r="OZB47" s="83"/>
      <c r="OZC47" s="83"/>
      <c r="OZD47" s="83"/>
      <c r="OZE47" s="83"/>
      <c r="OZF47" s="83"/>
      <c r="OZG47" s="83"/>
      <c r="OZH47" s="83"/>
      <c r="OZI47" s="83"/>
      <c r="OZJ47" s="83"/>
      <c r="OZK47" s="83"/>
      <c r="OZL47" s="83"/>
      <c r="OZM47" s="83"/>
      <c r="OZN47" s="83"/>
      <c r="OZO47" s="83"/>
      <c r="OZP47" s="83"/>
      <c r="OZQ47" s="83"/>
      <c r="OZR47" s="83"/>
      <c r="OZS47" s="83"/>
      <c r="OZT47" s="83"/>
      <c r="OZU47" s="83"/>
      <c r="OZV47" s="83"/>
      <c r="OZW47" s="83"/>
      <c r="OZX47" s="83"/>
      <c r="OZY47" s="83"/>
      <c r="OZZ47" s="83"/>
      <c r="PAA47" s="83"/>
      <c r="PAB47" s="83"/>
      <c r="PAC47" s="83"/>
      <c r="PAD47" s="83"/>
      <c r="PAE47" s="83"/>
      <c r="PAF47" s="83"/>
      <c r="PAG47" s="83"/>
      <c r="PAH47" s="83"/>
      <c r="PAI47" s="83"/>
      <c r="PAJ47" s="83"/>
      <c r="PAK47" s="83"/>
      <c r="PAL47" s="83"/>
      <c r="PAM47" s="83"/>
      <c r="PAN47" s="83"/>
      <c r="PAO47" s="83"/>
      <c r="PAP47" s="83"/>
      <c r="PAQ47" s="83"/>
      <c r="PAR47" s="83"/>
      <c r="PAS47" s="83"/>
      <c r="PAT47" s="83"/>
      <c r="PAU47" s="83"/>
      <c r="PAV47" s="83"/>
      <c r="PAW47" s="83"/>
      <c r="PAX47" s="83"/>
      <c r="PAY47" s="83"/>
      <c r="PAZ47" s="83"/>
      <c r="PBA47" s="83"/>
      <c r="PBB47" s="83"/>
      <c r="PBC47" s="83"/>
      <c r="PBD47" s="83"/>
      <c r="PBE47" s="83"/>
      <c r="PBF47" s="83"/>
      <c r="PBG47" s="83"/>
      <c r="PBH47" s="83"/>
      <c r="PBI47" s="83"/>
      <c r="PBJ47" s="83"/>
      <c r="PBK47" s="83"/>
      <c r="PBL47" s="83"/>
      <c r="PBM47" s="83"/>
      <c r="PBN47" s="83"/>
      <c r="PBO47" s="83"/>
      <c r="PBP47" s="83"/>
      <c r="PBQ47" s="83"/>
      <c r="PBR47" s="83"/>
      <c r="PBS47" s="83"/>
      <c r="PBT47" s="83"/>
      <c r="PBU47" s="83"/>
      <c r="PBV47" s="83"/>
      <c r="PBW47" s="83"/>
      <c r="PBX47" s="83"/>
      <c r="PBY47" s="83"/>
      <c r="PBZ47" s="83"/>
      <c r="PCA47" s="83"/>
      <c r="PCB47" s="83"/>
      <c r="PCC47" s="83"/>
      <c r="PCD47" s="83"/>
      <c r="PCE47" s="83"/>
      <c r="PCF47" s="83"/>
      <c r="PCG47" s="83"/>
      <c r="PCH47" s="83"/>
      <c r="PCI47" s="83"/>
      <c r="PCJ47" s="83"/>
      <c r="PCK47" s="83"/>
      <c r="PCL47" s="83"/>
      <c r="PCM47" s="83"/>
      <c r="PCN47" s="83"/>
      <c r="PCO47" s="83"/>
      <c r="PCP47" s="83"/>
      <c r="PCQ47" s="83"/>
      <c r="PCR47" s="83"/>
      <c r="PCS47" s="83"/>
      <c r="PCT47" s="83"/>
      <c r="PCU47" s="83"/>
      <c r="PCV47" s="83"/>
      <c r="PCW47" s="83"/>
      <c r="PCX47" s="83"/>
      <c r="PCY47" s="83"/>
      <c r="PCZ47" s="83"/>
      <c r="PDA47" s="83"/>
      <c r="PDB47" s="83"/>
      <c r="PDC47" s="83"/>
      <c r="PDD47" s="83"/>
      <c r="PDE47" s="83"/>
      <c r="PDF47" s="83"/>
      <c r="PDG47" s="83"/>
      <c r="PDH47" s="83"/>
      <c r="PDI47" s="83"/>
      <c r="PDJ47" s="83"/>
      <c r="PDK47" s="83"/>
      <c r="PDL47" s="83"/>
      <c r="PDM47" s="83"/>
      <c r="PDN47" s="83"/>
      <c r="PDO47" s="83"/>
      <c r="PDP47" s="83"/>
      <c r="PDQ47" s="83"/>
      <c r="PDR47" s="83"/>
      <c r="PDS47" s="83"/>
      <c r="PDT47" s="83"/>
      <c r="PDU47" s="83"/>
      <c r="PDV47" s="83"/>
      <c r="PDW47" s="83"/>
      <c r="PDX47" s="83"/>
      <c r="PDY47" s="83"/>
      <c r="PDZ47" s="83"/>
      <c r="PEA47" s="83"/>
      <c r="PEB47" s="83"/>
      <c r="PEC47" s="83"/>
      <c r="PED47" s="83"/>
      <c r="PEE47" s="83"/>
      <c r="PEF47" s="83"/>
      <c r="PEG47" s="83"/>
      <c r="PEH47" s="83"/>
      <c r="PEI47" s="83"/>
      <c r="PEJ47" s="83"/>
      <c r="PEK47" s="83"/>
      <c r="PEL47" s="83"/>
      <c r="PEM47" s="83"/>
      <c r="PEN47" s="83"/>
      <c r="PEO47" s="83"/>
      <c r="PEP47" s="83"/>
      <c r="PEQ47" s="83"/>
      <c r="PER47" s="83"/>
      <c r="PES47" s="83"/>
      <c r="PET47" s="83"/>
      <c r="PEU47" s="83"/>
      <c r="PEV47" s="83"/>
      <c r="PEW47" s="83"/>
      <c r="PEX47" s="83"/>
      <c r="PEY47" s="83"/>
      <c r="PEZ47" s="83"/>
      <c r="PFA47" s="83"/>
      <c r="PFB47" s="83"/>
      <c r="PFC47" s="83"/>
      <c r="PFD47" s="83"/>
      <c r="PFE47" s="83"/>
      <c r="PFF47" s="83"/>
      <c r="PFG47" s="83"/>
      <c r="PFH47" s="83"/>
      <c r="PFI47" s="83"/>
      <c r="PFJ47" s="83"/>
      <c r="PFK47" s="83"/>
      <c r="PFL47" s="83"/>
      <c r="PFM47" s="83"/>
      <c r="PFN47" s="83"/>
      <c r="PFO47" s="83"/>
      <c r="PFP47" s="83"/>
      <c r="PFQ47" s="83"/>
      <c r="PFR47" s="83"/>
      <c r="PFS47" s="83"/>
      <c r="PFT47" s="83"/>
      <c r="PFU47" s="83"/>
      <c r="PFV47" s="83"/>
      <c r="PFW47" s="83"/>
      <c r="PFX47" s="83"/>
      <c r="PFY47" s="83"/>
      <c r="PFZ47" s="83"/>
      <c r="PGA47" s="83"/>
      <c r="PGB47" s="83"/>
      <c r="PGC47" s="83"/>
      <c r="PGD47" s="83"/>
      <c r="PGE47" s="83"/>
      <c r="PGF47" s="83"/>
      <c r="PGG47" s="83"/>
      <c r="PGH47" s="83"/>
      <c r="PGI47" s="83"/>
      <c r="PGJ47" s="83"/>
      <c r="PGK47" s="83"/>
      <c r="PGL47" s="83"/>
      <c r="PGM47" s="83"/>
      <c r="PGN47" s="83"/>
      <c r="PGO47" s="83"/>
      <c r="PGP47" s="83"/>
      <c r="PGQ47" s="83"/>
      <c r="PGR47" s="83"/>
      <c r="PGS47" s="83"/>
      <c r="PGT47" s="83"/>
      <c r="PGU47" s="83"/>
      <c r="PGV47" s="83"/>
      <c r="PGW47" s="83"/>
      <c r="PGX47" s="83"/>
      <c r="PGY47" s="83"/>
      <c r="PGZ47" s="83"/>
      <c r="PHA47" s="83"/>
      <c r="PHB47" s="83"/>
      <c r="PHC47" s="83"/>
      <c r="PHD47" s="83"/>
      <c r="PHE47" s="83"/>
      <c r="PHF47" s="83"/>
      <c r="PHG47" s="83"/>
      <c r="PHH47" s="83"/>
      <c r="PHI47" s="83"/>
      <c r="PHJ47" s="83"/>
      <c r="PHK47" s="83"/>
      <c r="PHL47" s="83"/>
      <c r="PHM47" s="83"/>
      <c r="PHN47" s="83"/>
      <c r="PHO47" s="83"/>
      <c r="PHP47" s="83"/>
      <c r="PHQ47" s="83"/>
      <c r="PHR47" s="83"/>
      <c r="PHS47" s="83"/>
      <c r="PHT47" s="83"/>
      <c r="PHU47" s="83"/>
      <c r="PHV47" s="83"/>
      <c r="PHW47" s="83"/>
      <c r="PHX47" s="83"/>
      <c r="PHY47" s="83"/>
      <c r="PHZ47" s="83"/>
      <c r="PIA47" s="83"/>
      <c r="PIB47" s="83"/>
      <c r="PIC47" s="83"/>
      <c r="PID47" s="83"/>
      <c r="PIE47" s="83"/>
      <c r="PIF47" s="83"/>
      <c r="PIG47" s="83"/>
      <c r="PIH47" s="83"/>
      <c r="PII47" s="83"/>
      <c r="PIJ47" s="83"/>
      <c r="PIK47" s="83"/>
      <c r="PIL47" s="83"/>
      <c r="PIM47" s="83"/>
      <c r="PIN47" s="83"/>
      <c r="PIO47" s="83"/>
      <c r="PIP47" s="83"/>
      <c r="PIQ47" s="83"/>
      <c r="PIR47" s="83"/>
      <c r="PIS47" s="83"/>
      <c r="PIT47" s="83"/>
      <c r="PIU47" s="83"/>
      <c r="PIV47" s="83"/>
      <c r="PIW47" s="83"/>
      <c r="PIX47" s="83"/>
      <c r="PIY47" s="83"/>
      <c r="PIZ47" s="83"/>
      <c r="PJA47" s="83"/>
      <c r="PJB47" s="83"/>
      <c r="PJC47" s="83"/>
      <c r="PJD47" s="83"/>
      <c r="PJE47" s="83"/>
      <c r="PJF47" s="83"/>
      <c r="PJG47" s="83"/>
      <c r="PJH47" s="83"/>
      <c r="PJI47" s="83"/>
      <c r="PJJ47" s="83"/>
      <c r="PJK47" s="83"/>
      <c r="PJL47" s="83"/>
      <c r="PJM47" s="83"/>
      <c r="PJN47" s="83"/>
      <c r="PJO47" s="83"/>
      <c r="PJP47" s="83"/>
      <c r="PJQ47" s="83"/>
      <c r="PJR47" s="83"/>
      <c r="PJS47" s="83"/>
      <c r="PJT47" s="83"/>
      <c r="PJU47" s="83"/>
      <c r="PJV47" s="83"/>
      <c r="PJW47" s="83"/>
      <c r="PJX47" s="83"/>
      <c r="PJY47" s="83"/>
      <c r="PJZ47" s="83"/>
      <c r="PKA47" s="83"/>
      <c r="PKB47" s="83"/>
      <c r="PKC47" s="83"/>
      <c r="PKD47" s="83"/>
      <c r="PKE47" s="83"/>
      <c r="PKF47" s="83"/>
      <c r="PKG47" s="83"/>
      <c r="PKH47" s="83"/>
      <c r="PKI47" s="83"/>
      <c r="PKJ47" s="83"/>
      <c r="PKK47" s="83"/>
      <c r="PKL47" s="83"/>
      <c r="PKM47" s="83"/>
      <c r="PKN47" s="83"/>
      <c r="PKO47" s="83"/>
      <c r="PKP47" s="83"/>
      <c r="PKQ47" s="83"/>
      <c r="PKR47" s="83"/>
      <c r="PKS47" s="83"/>
      <c r="PKT47" s="83"/>
      <c r="PKU47" s="83"/>
      <c r="PKV47" s="83"/>
      <c r="PKW47" s="83"/>
      <c r="PKX47" s="83"/>
      <c r="PKY47" s="83"/>
      <c r="PKZ47" s="83"/>
      <c r="PLA47" s="83"/>
      <c r="PLB47" s="83"/>
      <c r="PLC47" s="83"/>
      <c r="PLD47" s="83"/>
      <c r="PLE47" s="83"/>
      <c r="PLF47" s="83"/>
      <c r="PLG47" s="83"/>
      <c r="PLH47" s="83"/>
      <c r="PLI47" s="83"/>
      <c r="PLJ47" s="83"/>
      <c r="PLK47" s="83"/>
      <c r="PLL47" s="83"/>
      <c r="PLM47" s="83"/>
      <c r="PLN47" s="83"/>
      <c r="PLO47" s="83"/>
      <c r="PLP47" s="83"/>
      <c r="PLQ47" s="83"/>
      <c r="PLR47" s="83"/>
      <c r="PLS47" s="83"/>
      <c r="PLT47" s="83"/>
      <c r="PLU47" s="83"/>
      <c r="PLV47" s="83"/>
      <c r="PLW47" s="83"/>
      <c r="PLX47" s="83"/>
      <c r="PLY47" s="83"/>
      <c r="PLZ47" s="83"/>
      <c r="PMA47" s="83"/>
      <c r="PMB47" s="83"/>
      <c r="PMC47" s="83"/>
      <c r="PMD47" s="83"/>
      <c r="PME47" s="83"/>
      <c r="PMF47" s="83"/>
      <c r="PMG47" s="83"/>
      <c r="PMH47" s="83"/>
      <c r="PMI47" s="83"/>
      <c r="PMJ47" s="83"/>
      <c r="PMK47" s="83"/>
      <c r="PML47" s="83"/>
      <c r="PMM47" s="83"/>
      <c r="PMN47" s="83"/>
      <c r="PMO47" s="83"/>
      <c r="PMP47" s="83"/>
      <c r="PMQ47" s="83"/>
      <c r="PMR47" s="83"/>
      <c r="PMS47" s="83"/>
      <c r="PMT47" s="83"/>
      <c r="PMU47" s="83"/>
      <c r="PMV47" s="83"/>
      <c r="PMW47" s="83"/>
      <c r="PMX47" s="83"/>
      <c r="PMY47" s="83"/>
      <c r="PMZ47" s="83"/>
      <c r="PNA47" s="83"/>
      <c r="PNB47" s="83"/>
      <c r="PNC47" s="83"/>
      <c r="PND47" s="83"/>
      <c r="PNE47" s="83"/>
      <c r="PNF47" s="83"/>
      <c r="PNG47" s="83"/>
      <c r="PNH47" s="83"/>
      <c r="PNI47" s="83"/>
      <c r="PNJ47" s="83"/>
      <c r="PNK47" s="83"/>
      <c r="PNL47" s="83"/>
      <c r="PNM47" s="83"/>
      <c r="PNN47" s="83"/>
      <c r="PNO47" s="83"/>
      <c r="PNP47" s="83"/>
      <c r="PNQ47" s="83"/>
      <c r="PNR47" s="83"/>
      <c r="PNS47" s="83"/>
      <c r="PNT47" s="83"/>
      <c r="PNU47" s="83"/>
      <c r="PNV47" s="83"/>
      <c r="PNW47" s="83"/>
      <c r="PNX47" s="83"/>
      <c r="PNY47" s="83"/>
      <c r="PNZ47" s="83"/>
      <c r="POA47" s="83"/>
      <c r="POB47" s="83"/>
      <c r="POC47" s="83"/>
      <c r="POD47" s="83"/>
      <c r="POE47" s="83"/>
      <c r="POF47" s="83"/>
      <c r="POG47" s="83"/>
      <c r="POH47" s="83"/>
      <c r="POI47" s="83"/>
      <c r="POJ47" s="83"/>
      <c r="POK47" s="83"/>
      <c r="POL47" s="83"/>
      <c r="POM47" s="83"/>
      <c r="PON47" s="83"/>
      <c r="POO47" s="83"/>
      <c r="POP47" s="83"/>
      <c r="POQ47" s="83"/>
      <c r="POR47" s="83"/>
      <c r="POS47" s="83"/>
      <c r="POT47" s="83"/>
      <c r="POU47" s="83"/>
      <c r="POV47" s="83"/>
      <c r="POW47" s="83"/>
      <c r="POX47" s="83"/>
      <c r="POY47" s="83"/>
      <c r="POZ47" s="83"/>
      <c r="PPA47" s="83"/>
      <c r="PPB47" s="83"/>
      <c r="PPC47" s="83"/>
      <c r="PPD47" s="83"/>
      <c r="PPE47" s="83"/>
      <c r="PPF47" s="83"/>
      <c r="PPG47" s="83"/>
      <c r="PPH47" s="83"/>
      <c r="PPI47" s="83"/>
      <c r="PPJ47" s="83"/>
      <c r="PPK47" s="83"/>
      <c r="PPL47" s="83"/>
      <c r="PPM47" s="83"/>
      <c r="PPN47" s="83"/>
      <c r="PPO47" s="83"/>
      <c r="PPP47" s="83"/>
      <c r="PPQ47" s="83"/>
      <c r="PPR47" s="83"/>
      <c r="PPS47" s="83"/>
      <c r="PPT47" s="83"/>
      <c r="PPU47" s="83"/>
      <c r="PPV47" s="83"/>
      <c r="PPW47" s="83"/>
      <c r="PPX47" s="83"/>
      <c r="PPY47" s="83"/>
      <c r="PPZ47" s="83"/>
      <c r="PQA47" s="83"/>
      <c r="PQB47" s="83"/>
      <c r="PQC47" s="83"/>
      <c r="PQD47" s="83"/>
      <c r="PQE47" s="83"/>
      <c r="PQF47" s="83"/>
      <c r="PQG47" s="83"/>
      <c r="PQH47" s="83"/>
      <c r="PQI47" s="83"/>
      <c r="PQJ47" s="83"/>
      <c r="PQK47" s="83"/>
      <c r="PQL47" s="83"/>
      <c r="PQM47" s="83"/>
      <c r="PQN47" s="83"/>
      <c r="PQO47" s="83"/>
      <c r="PQP47" s="83"/>
      <c r="PQQ47" s="83"/>
      <c r="PQR47" s="83"/>
      <c r="PQS47" s="83"/>
      <c r="PQT47" s="83"/>
      <c r="PQU47" s="83"/>
      <c r="PQV47" s="83"/>
      <c r="PQW47" s="83"/>
      <c r="PQX47" s="83"/>
      <c r="PQY47" s="83"/>
      <c r="PQZ47" s="83"/>
      <c r="PRA47" s="83"/>
      <c r="PRB47" s="83"/>
      <c r="PRC47" s="83"/>
      <c r="PRD47" s="83"/>
      <c r="PRE47" s="83"/>
      <c r="PRF47" s="83"/>
      <c r="PRG47" s="83"/>
      <c r="PRH47" s="83"/>
      <c r="PRI47" s="83"/>
      <c r="PRJ47" s="83"/>
      <c r="PRK47" s="83"/>
      <c r="PRL47" s="83"/>
      <c r="PRM47" s="83"/>
      <c r="PRN47" s="83"/>
      <c r="PRO47" s="83"/>
      <c r="PRP47" s="83"/>
      <c r="PRQ47" s="83"/>
      <c r="PRR47" s="83"/>
      <c r="PRS47" s="83"/>
      <c r="PRT47" s="83"/>
      <c r="PRU47" s="83"/>
      <c r="PRV47" s="83"/>
      <c r="PRW47" s="83"/>
      <c r="PRX47" s="83"/>
      <c r="PRY47" s="83"/>
      <c r="PRZ47" s="83"/>
      <c r="PSA47" s="83"/>
      <c r="PSB47" s="83"/>
      <c r="PSC47" s="83"/>
      <c r="PSD47" s="83"/>
      <c r="PSE47" s="83"/>
      <c r="PSF47" s="83"/>
      <c r="PSG47" s="83"/>
      <c r="PSH47" s="83"/>
      <c r="PSI47" s="83"/>
      <c r="PSJ47" s="83"/>
      <c r="PSK47" s="83"/>
      <c r="PSL47" s="83"/>
      <c r="PSM47" s="83"/>
      <c r="PSN47" s="83"/>
      <c r="PSO47" s="83"/>
      <c r="PSP47" s="83"/>
      <c r="PSQ47" s="83"/>
      <c r="PSR47" s="83"/>
      <c r="PSS47" s="83"/>
      <c r="PST47" s="83"/>
      <c r="PSU47" s="83"/>
      <c r="PSV47" s="83"/>
      <c r="PSW47" s="83"/>
      <c r="PSX47" s="83"/>
      <c r="PSY47" s="83"/>
      <c r="PSZ47" s="83"/>
      <c r="PTA47" s="83"/>
      <c r="PTB47" s="83"/>
      <c r="PTC47" s="83"/>
      <c r="PTD47" s="83"/>
      <c r="PTE47" s="83"/>
      <c r="PTF47" s="83"/>
      <c r="PTG47" s="83"/>
      <c r="PTH47" s="83"/>
      <c r="PTI47" s="83"/>
      <c r="PTJ47" s="83"/>
      <c r="PTK47" s="83"/>
      <c r="PTL47" s="83"/>
      <c r="PTM47" s="83"/>
      <c r="PTN47" s="83"/>
      <c r="PTO47" s="83"/>
      <c r="PTP47" s="83"/>
      <c r="PTQ47" s="83"/>
      <c r="PTR47" s="83"/>
      <c r="PTS47" s="83"/>
      <c r="PTT47" s="83"/>
      <c r="PTU47" s="83"/>
      <c r="PTV47" s="83"/>
      <c r="PTW47" s="83"/>
      <c r="PTX47" s="83"/>
      <c r="PTY47" s="83"/>
      <c r="PTZ47" s="83"/>
      <c r="PUA47" s="83"/>
      <c r="PUB47" s="83"/>
      <c r="PUC47" s="83"/>
      <c r="PUD47" s="83"/>
      <c r="PUE47" s="83"/>
      <c r="PUF47" s="83"/>
      <c r="PUG47" s="83"/>
      <c r="PUH47" s="83"/>
      <c r="PUI47" s="83"/>
      <c r="PUJ47" s="83"/>
      <c r="PUK47" s="83"/>
      <c r="PUL47" s="83"/>
      <c r="PUM47" s="83"/>
      <c r="PUN47" s="83"/>
      <c r="PUO47" s="83"/>
      <c r="PUP47" s="83"/>
      <c r="PUQ47" s="83"/>
      <c r="PUR47" s="83"/>
      <c r="PUS47" s="83"/>
      <c r="PUT47" s="83"/>
      <c r="PUU47" s="83"/>
      <c r="PUV47" s="83"/>
      <c r="PUW47" s="83"/>
      <c r="PUX47" s="83"/>
      <c r="PUY47" s="83"/>
      <c r="PUZ47" s="83"/>
      <c r="PVA47" s="83"/>
      <c r="PVB47" s="83"/>
      <c r="PVC47" s="83"/>
      <c r="PVD47" s="83"/>
      <c r="PVE47" s="83"/>
      <c r="PVF47" s="83"/>
      <c r="PVG47" s="83"/>
      <c r="PVH47" s="83"/>
      <c r="PVI47" s="83"/>
      <c r="PVJ47" s="83"/>
      <c r="PVK47" s="83"/>
      <c r="PVL47" s="83"/>
      <c r="PVM47" s="83"/>
      <c r="PVN47" s="83"/>
      <c r="PVO47" s="83"/>
      <c r="PVP47" s="83"/>
      <c r="PVQ47" s="83"/>
      <c r="PVR47" s="83"/>
      <c r="PVS47" s="83"/>
      <c r="PVT47" s="83"/>
      <c r="PVU47" s="83"/>
      <c r="PVV47" s="83"/>
      <c r="PVW47" s="83"/>
      <c r="PVX47" s="83"/>
      <c r="PVY47" s="83"/>
      <c r="PVZ47" s="83"/>
      <c r="PWA47" s="83"/>
      <c r="PWB47" s="83"/>
      <c r="PWC47" s="83"/>
      <c r="PWD47" s="83"/>
      <c r="PWE47" s="83"/>
      <c r="PWF47" s="83"/>
      <c r="PWG47" s="83"/>
      <c r="PWH47" s="83"/>
      <c r="PWI47" s="83"/>
      <c r="PWJ47" s="83"/>
      <c r="PWK47" s="83"/>
      <c r="PWL47" s="83"/>
      <c r="PWM47" s="83"/>
      <c r="PWN47" s="83"/>
      <c r="PWO47" s="83"/>
      <c r="PWP47" s="83"/>
      <c r="PWQ47" s="83"/>
      <c r="PWR47" s="83"/>
      <c r="PWS47" s="83"/>
      <c r="PWT47" s="83"/>
      <c r="PWU47" s="83"/>
      <c r="PWV47" s="83"/>
      <c r="PWW47" s="83"/>
      <c r="PWX47" s="83"/>
      <c r="PWY47" s="83"/>
      <c r="PWZ47" s="83"/>
      <c r="PXA47" s="83"/>
      <c r="PXB47" s="83"/>
      <c r="PXC47" s="83"/>
      <c r="PXD47" s="83"/>
      <c r="PXE47" s="83"/>
      <c r="PXF47" s="83"/>
      <c r="PXG47" s="83"/>
      <c r="PXH47" s="83"/>
      <c r="PXI47" s="83"/>
      <c r="PXJ47" s="83"/>
      <c r="PXK47" s="83"/>
      <c r="PXL47" s="83"/>
      <c r="PXM47" s="83"/>
      <c r="PXN47" s="83"/>
      <c r="PXO47" s="83"/>
      <c r="PXP47" s="83"/>
      <c r="PXQ47" s="83"/>
      <c r="PXR47" s="83"/>
      <c r="PXS47" s="83"/>
      <c r="PXT47" s="83"/>
      <c r="PXU47" s="83"/>
      <c r="PXV47" s="83"/>
      <c r="PXW47" s="83"/>
      <c r="PXX47" s="83"/>
      <c r="PXY47" s="83"/>
      <c r="PXZ47" s="83"/>
      <c r="PYA47" s="83"/>
      <c r="PYB47" s="83"/>
      <c r="PYC47" s="83"/>
      <c r="PYD47" s="83"/>
      <c r="PYE47" s="83"/>
      <c r="PYF47" s="83"/>
      <c r="PYG47" s="83"/>
      <c r="PYH47" s="83"/>
      <c r="PYI47" s="83"/>
      <c r="PYJ47" s="83"/>
      <c r="PYK47" s="83"/>
      <c r="PYL47" s="83"/>
      <c r="PYM47" s="83"/>
      <c r="PYN47" s="83"/>
      <c r="PYO47" s="83"/>
      <c r="PYP47" s="83"/>
      <c r="PYQ47" s="83"/>
      <c r="PYR47" s="83"/>
      <c r="PYS47" s="83"/>
      <c r="PYT47" s="83"/>
      <c r="PYU47" s="83"/>
      <c r="PYV47" s="83"/>
      <c r="PYW47" s="83"/>
      <c r="PYX47" s="83"/>
      <c r="PYY47" s="83"/>
      <c r="PYZ47" s="83"/>
      <c r="PZA47" s="83"/>
      <c r="PZB47" s="83"/>
      <c r="PZC47" s="83"/>
      <c r="PZD47" s="83"/>
      <c r="PZE47" s="83"/>
      <c r="PZF47" s="83"/>
      <c r="PZG47" s="83"/>
      <c r="PZH47" s="83"/>
      <c r="PZI47" s="83"/>
      <c r="PZJ47" s="83"/>
      <c r="PZK47" s="83"/>
      <c r="PZL47" s="83"/>
      <c r="PZM47" s="83"/>
      <c r="PZN47" s="83"/>
      <c r="PZO47" s="83"/>
      <c r="PZP47" s="83"/>
      <c r="PZQ47" s="83"/>
      <c r="PZR47" s="83"/>
      <c r="PZS47" s="83"/>
      <c r="PZT47" s="83"/>
      <c r="PZU47" s="83"/>
      <c r="PZV47" s="83"/>
      <c r="PZW47" s="83"/>
      <c r="PZX47" s="83"/>
      <c r="PZY47" s="83"/>
      <c r="PZZ47" s="83"/>
      <c r="QAA47" s="83"/>
      <c r="QAB47" s="83"/>
      <c r="QAC47" s="83"/>
      <c r="QAD47" s="83"/>
      <c r="QAE47" s="83"/>
      <c r="QAF47" s="83"/>
      <c r="QAG47" s="83"/>
      <c r="QAH47" s="83"/>
      <c r="QAI47" s="83"/>
      <c r="QAJ47" s="83"/>
      <c r="QAK47" s="83"/>
      <c r="QAL47" s="83"/>
      <c r="QAM47" s="83"/>
      <c r="QAN47" s="83"/>
      <c r="QAO47" s="83"/>
      <c r="QAP47" s="83"/>
      <c r="QAQ47" s="83"/>
      <c r="QAR47" s="83"/>
      <c r="QAS47" s="83"/>
      <c r="QAT47" s="83"/>
      <c r="QAU47" s="83"/>
      <c r="QAV47" s="83"/>
      <c r="QAW47" s="83"/>
      <c r="QAX47" s="83"/>
      <c r="QAY47" s="83"/>
      <c r="QAZ47" s="83"/>
      <c r="QBA47" s="83"/>
      <c r="QBB47" s="83"/>
      <c r="QBC47" s="83"/>
      <c r="QBD47" s="83"/>
      <c r="QBE47" s="83"/>
      <c r="QBF47" s="83"/>
      <c r="QBG47" s="83"/>
      <c r="QBH47" s="83"/>
      <c r="QBI47" s="83"/>
      <c r="QBJ47" s="83"/>
      <c r="QBK47" s="83"/>
      <c r="QBL47" s="83"/>
      <c r="QBM47" s="83"/>
      <c r="QBN47" s="83"/>
      <c r="QBO47" s="83"/>
      <c r="QBP47" s="83"/>
      <c r="QBQ47" s="83"/>
      <c r="QBR47" s="83"/>
      <c r="QBS47" s="83"/>
      <c r="QBT47" s="83"/>
      <c r="QBU47" s="83"/>
      <c r="QBV47" s="83"/>
      <c r="QBW47" s="83"/>
      <c r="QBX47" s="83"/>
      <c r="QBY47" s="83"/>
      <c r="QBZ47" s="83"/>
      <c r="QCA47" s="83"/>
      <c r="QCB47" s="83"/>
      <c r="QCC47" s="83"/>
      <c r="QCD47" s="83"/>
      <c r="QCE47" s="83"/>
      <c r="QCF47" s="83"/>
      <c r="QCG47" s="83"/>
      <c r="QCH47" s="83"/>
      <c r="QCI47" s="83"/>
      <c r="QCJ47" s="83"/>
      <c r="QCK47" s="83"/>
      <c r="QCL47" s="83"/>
      <c r="QCM47" s="83"/>
      <c r="QCN47" s="83"/>
      <c r="QCO47" s="83"/>
      <c r="QCP47" s="83"/>
      <c r="QCQ47" s="83"/>
      <c r="QCR47" s="83"/>
      <c r="QCS47" s="83"/>
      <c r="QCT47" s="83"/>
      <c r="QCU47" s="83"/>
      <c r="QCV47" s="83"/>
      <c r="QCW47" s="83"/>
      <c r="QCX47" s="83"/>
      <c r="QCY47" s="83"/>
      <c r="QCZ47" s="83"/>
      <c r="QDA47" s="83"/>
      <c r="QDB47" s="83"/>
      <c r="QDC47" s="83"/>
      <c r="QDD47" s="83"/>
      <c r="QDE47" s="83"/>
      <c r="QDF47" s="83"/>
      <c r="QDG47" s="83"/>
      <c r="QDH47" s="83"/>
      <c r="QDI47" s="83"/>
      <c r="QDJ47" s="83"/>
      <c r="QDK47" s="83"/>
      <c r="QDL47" s="83"/>
      <c r="QDM47" s="83"/>
      <c r="QDN47" s="83"/>
      <c r="QDO47" s="83"/>
      <c r="QDP47" s="83"/>
      <c r="QDQ47" s="83"/>
      <c r="QDR47" s="83"/>
      <c r="QDS47" s="83"/>
      <c r="QDT47" s="83"/>
      <c r="QDU47" s="83"/>
      <c r="QDV47" s="83"/>
      <c r="QDW47" s="83"/>
      <c r="QDX47" s="83"/>
      <c r="QDY47" s="83"/>
      <c r="QDZ47" s="83"/>
      <c r="QEA47" s="83"/>
      <c r="QEB47" s="83"/>
      <c r="QEC47" s="83"/>
      <c r="QED47" s="83"/>
      <c r="QEE47" s="83"/>
      <c r="QEF47" s="83"/>
      <c r="QEG47" s="83"/>
      <c r="QEH47" s="83"/>
      <c r="QEI47" s="83"/>
      <c r="QEJ47" s="83"/>
      <c r="QEK47" s="83"/>
      <c r="QEL47" s="83"/>
      <c r="QEM47" s="83"/>
      <c r="QEN47" s="83"/>
      <c r="QEO47" s="83"/>
      <c r="QEP47" s="83"/>
      <c r="QEQ47" s="83"/>
      <c r="QER47" s="83"/>
      <c r="QES47" s="83"/>
      <c r="QET47" s="83"/>
      <c r="QEU47" s="83"/>
      <c r="QEV47" s="83"/>
      <c r="QEW47" s="83"/>
      <c r="QEX47" s="83"/>
      <c r="QEY47" s="83"/>
      <c r="QEZ47" s="83"/>
      <c r="QFA47" s="83"/>
      <c r="QFB47" s="83"/>
      <c r="QFC47" s="83"/>
      <c r="QFD47" s="83"/>
      <c r="QFE47" s="83"/>
      <c r="QFF47" s="83"/>
      <c r="QFG47" s="83"/>
      <c r="QFH47" s="83"/>
      <c r="QFI47" s="83"/>
      <c r="QFJ47" s="83"/>
      <c r="QFK47" s="83"/>
      <c r="QFL47" s="83"/>
      <c r="QFM47" s="83"/>
      <c r="QFN47" s="83"/>
      <c r="QFO47" s="83"/>
      <c r="QFP47" s="83"/>
      <c r="QFQ47" s="83"/>
      <c r="QFR47" s="83"/>
      <c r="QFS47" s="83"/>
      <c r="QFT47" s="83"/>
      <c r="QFU47" s="83"/>
      <c r="QFV47" s="83"/>
      <c r="QFW47" s="83"/>
      <c r="QFX47" s="83"/>
      <c r="QFY47" s="83"/>
      <c r="QFZ47" s="83"/>
      <c r="QGA47" s="83"/>
      <c r="QGB47" s="83"/>
      <c r="QGC47" s="83"/>
      <c r="QGD47" s="83"/>
      <c r="QGE47" s="83"/>
      <c r="QGF47" s="83"/>
      <c r="QGG47" s="83"/>
      <c r="QGH47" s="83"/>
      <c r="QGI47" s="83"/>
      <c r="QGJ47" s="83"/>
      <c r="QGK47" s="83"/>
      <c r="QGL47" s="83"/>
      <c r="QGM47" s="83"/>
      <c r="QGN47" s="83"/>
      <c r="QGO47" s="83"/>
      <c r="QGP47" s="83"/>
      <c r="QGQ47" s="83"/>
      <c r="QGR47" s="83"/>
      <c r="QGS47" s="83"/>
      <c r="QGT47" s="83"/>
      <c r="QGU47" s="83"/>
      <c r="QGV47" s="83"/>
      <c r="QGW47" s="83"/>
      <c r="QGX47" s="83"/>
      <c r="QGY47" s="83"/>
      <c r="QGZ47" s="83"/>
      <c r="QHA47" s="83"/>
      <c r="QHB47" s="83"/>
      <c r="QHC47" s="83"/>
      <c r="QHD47" s="83"/>
      <c r="QHE47" s="83"/>
      <c r="QHF47" s="83"/>
      <c r="QHG47" s="83"/>
      <c r="QHH47" s="83"/>
      <c r="QHI47" s="83"/>
      <c r="QHJ47" s="83"/>
      <c r="QHK47" s="83"/>
      <c r="QHL47" s="83"/>
      <c r="QHM47" s="83"/>
      <c r="QHN47" s="83"/>
      <c r="QHO47" s="83"/>
      <c r="QHP47" s="83"/>
      <c r="QHQ47" s="83"/>
      <c r="QHR47" s="83"/>
      <c r="QHS47" s="83"/>
      <c r="QHT47" s="83"/>
      <c r="QHU47" s="83"/>
      <c r="QHV47" s="83"/>
      <c r="QHW47" s="83"/>
      <c r="QHX47" s="83"/>
      <c r="QHY47" s="83"/>
      <c r="QHZ47" s="83"/>
      <c r="QIA47" s="83"/>
      <c r="QIB47" s="83"/>
      <c r="QIC47" s="83"/>
      <c r="QID47" s="83"/>
      <c r="QIE47" s="83"/>
      <c r="QIF47" s="83"/>
      <c r="QIG47" s="83"/>
      <c r="QIH47" s="83"/>
      <c r="QII47" s="83"/>
      <c r="QIJ47" s="83"/>
      <c r="QIK47" s="83"/>
      <c r="QIL47" s="83"/>
      <c r="QIM47" s="83"/>
      <c r="QIN47" s="83"/>
      <c r="QIO47" s="83"/>
      <c r="QIP47" s="83"/>
      <c r="QIQ47" s="83"/>
      <c r="QIR47" s="83"/>
      <c r="QIS47" s="83"/>
      <c r="QIT47" s="83"/>
      <c r="QIU47" s="83"/>
      <c r="QIV47" s="83"/>
      <c r="QIW47" s="83"/>
      <c r="QIX47" s="83"/>
      <c r="QIY47" s="83"/>
      <c r="QIZ47" s="83"/>
      <c r="QJA47" s="83"/>
      <c r="QJB47" s="83"/>
      <c r="QJC47" s="83"/>
      <c r="QJD47" s="83"/>
      <c r="QJE47" s="83"/>
      <c r="QJF47" s="83"/>
      <c r="QJG47" s="83"/>
      <c r="QJH47" s="83"/>
      <c r="QJI47" s="83"/>
      <c r="QJJ47" s="83"/>
      <c r="QJK47" s="83"/>
      <c r="QJL47" s="83"/>
      <c r="QJM47" s="83"/>
      <c r="QJN47" s="83"/>
      <c r="QJO47" s="83"/>
      <c r="QJP47" s="83"/>
      <c r="QJQ47" s="83"/>
      <c r="QJR47" s="83"/>
      <c r="QJS47" s="83"/>
      <c r="QJT47" s="83"/>
      <c r="QJU47" s="83"/>
      <c r="QJV47" s="83"/>
      <c r="QJW47" s="83"/>
      <c r="QJX47" s="83"/>
      <c r="QJY47" s="83"/>
      <c r="QJZ47" s="83"/>
      <c r="QKA47" s="83"/>
      <c r="QKB47" s="83"/>
      <c r="QKC47" s="83"/>
      <c r="QKD47" s="83"/>
      <c r="QKE47" s="83"/>
      <c r="QKF47" s="83"/>
      <c r="QKG47" s="83"/>
      <c r="QKH47" s="83"/>
      <c r="QKI47" s="83"/>
      <c r="QKJ47" s="83"/>
      <c r="QKK47" s="83"/>
      <c r="QKL47" s="83"/>
      <c r="QKM47" s="83"/>
      <c r="QKN47" s="83"/>
      <c r="QKO47" s="83"/>
      <c r="QKP47" s="83"/>
      <c r="QKQ47" s="83"/>
      <c r="QKR47" s="83"/>
      <c r="QKS47" s="83"/>
      <c r="QKT47" s="83"/>
      <c r="QKU47" s="83"/>
      <c r="QKV47" s="83"/>
      <c r="QKW47" s="83"/>
      <c r="QKX47" s="83"/>
      <c r="QKY47" s="83"/>
      <c r="QKZ47" s="83"/>
      <c r="QLA47" s="83"/>
      <c r="QLB47" s="83"/>
      <c r="QLC47" s="83"/>
      <c r="QLD47" s="83"/>
      <c r="QLE47" s="83"/>
      <c r="QLF47" s="83"/>
      <c r="QLG47" s="83"/>
      <c r="QLH47" s="83"/>
      <c r="QLI47" s="83"/>
      <c r="QLJ47" s="83"/>
      <c r="QLK47" s="83"/>
      <c r="QLL47" s="83"/>
      <c r="QLM47" s="83"/>
      <c r="QLN47" s="83"/>
      <c r="QLO47" s="83"/>
      <c r="QLP47" s="83"/>
      <c r="QLQ47" s="83"/>
      <c r="QLR47" s="83"/>
      <c r="QLS47" s="83"/>
      <c r="QLT47" s="83"/>
      <c r="QLU47" s="83"/>
      <c r="QLV47" s="83"/>
      <c r="QLW47" s="83"/>
      <c r="QLX47" s="83"/>
      <c r="QLY47" s="83"/>
      <c r="QLZ47" s="83"/>
      <c r="QMA47" s="83"/>
      <c r="QMB47" s="83"/>
      <c r="QMC47" s="83"/>
      <c r="QMD47" s="83"/>
      <c r="QME47" s="83"/>
      <c r="QMF47" s="83"/>
      <c r="QMG47" s="83"/>
      <c r="QMH47" s="83"/>
      <c r="QMI47" s="83"/>
      <c r="QMJ47" s="83"/>
      <c r="QMK47" s="83"/>
      <c r="QML47" s="83"/>
      <c r="QMM47" s="83"/>
      <c r="QMN47" s="83"/>
      <c r="QMO47" s="83"/>
      <c r="QMP47" s="83"/>
      <c r="QMQ47" s="83"/>
      <c r="QMR47" s="83"/>
      <c r="QMS47" s="83"/>
      <c r="QMT47" s="83"/>
      <c r="QMU47" s="83"/>
      <c r="QMV47" s="83"/>
      <c r="QMW47" s="83"/>
      <c r="QMX47" s="83"/>
      <c r="QMY47" s="83"/>
      <c r="QMZ47" s="83"/>
      <c r="QNA47" s="83"/>
      <c r="QNB47" s="83"/>
      <c r="QNC47" s="83"/>
      <c r="QND47" s="83"/>
      <c r="QNE47" s="83"/>
      <c r="QNF47" s="83"/>
      <c r="QNG47" s="83"/>
      <c r="QNH47" s="83"/>
      <c r="QNI47" s="83"/>
      <c r="QNJ47" s="83"/>
      <c r="QNK47" s="83"/>
      <c r="QNL47" s="83"/>
      <c r="QNM47" s="83"/>
      <c r="QNN47" s="83"/>
      <c r="QNO47" s="83"/>
      <c r="QNP47" s="83"/>
      <c r="QNQ47" s="83"/>
      <c r="QNR47" s="83"/>
      <c r="QNS47" s="83"/>
      <c r="QNT47" s="83"/>
      <c r="QNU47" s="83"/>
      <c r="QNV47" s="83"/>
      <c r="QNW47" s="83"/>
      <c r="QNX47" s="83"/>
      <c r="QNY47" s="83"/>
      <c r="QNZ47" s="83"/>
      <c r="QOA47" s="83"/>
      <c r="QOB47" s="83"/>
      <c r="QOC47" s="83"/>
      <c r="QOD47" s="83"/>
      <c r="QOE47" s="83"/>
      <c r="QOF47" s="83"/>
      <c r="QOG47" s="83"/>
      <c r="QOH47" s="83"/>
      <c r="QOI47" s="83"/>
      <c r="QOJ47" s="83"/>
      <c r="QOK47" s="83"/>
      <c r="QOL47" s="83"/>
      <c r="QOM47" s="83"/>
      <c r="QON47" s="83"/>
      <c r="QOO47" s="83"/>
      <c r="QOP47" s="83"/>
      <c r="QOQ47" s="83"/>
      <c r="QOR47" s="83"/>
      <c r="QOS47" s="83"/>
      <c r="QOT47" s="83"/>
      <c r="QOU47" s="83"/>
      <c r="QOV47" s="83"/>
      <c r="QOW47" s="83"/>
      <c r="QOX47" s="83"/>
      <c r="QOY47" s="83"/>
      <c r="QOZ47" s="83"/>
      <c r="QPA47" s="83"/>
      <c r="QPB47" s="83"/>
      <c r="QPC47" s="83"/>
      <c r="QPD47" s="83"/>
      <c r="QPE47" s="83"/>
      <c r="QPF47" s="83"/>
      <c r="QPG47" s="83"/>
      <c r="QPH47" s="83"/>
      <c r="QPI47" s="83"/>
      <c r="QPJ47" s="83"/>
      <c r="QPK47" s="83"/>
      <c r="QPL47" s="83"/>
      <c r="QPM47" s="83"/>
      <c r="QPN47" s="83"/>
      <c r="QPO47" s="83"/>
      <c r="QPP47" s="83"/>
      <c r="QPQ47" s="83"/>
      <c r="QPR47" s="83"/>
      <c r="QPS47" s="83"/>
      <c r="QPT47" s="83"/>
      <c r="QPU47" s="83"/>
      <c r="QPV47" s="83"/>
      <c r="QPW47" s="83"/>
      <c r="QPX47" s="83"/>
      <c r="QPY47" s="83"/>
      <c r="QPZ47" s="83"/>
      <c r="QQA47" s="83"/>
      <c r="QQB47" s="83"/>
      <c r="QQC47" s="83"/>
      <c r="QQD47" s="83"/>
      <c r="QQE47" s="83"/>
      <c r="QQF47" s="83"/>
      <c r="QQG47" s="83"/>
      <c r="QQH47" s="83"/>
      <c r="QQI47" s="83"/>
      <c r="QQJ47" s="83"/>
      <c r="QQK47" s="83"/>
      <c r="QQL47" s="83"/>
      <c r="QQM47" s="83"/>
      <c r="QQN47" s="83"/>
      <c r="QQO47" s="83"/>
      <c r="QQP47" s="83"/>
      <c r="QQQ47" s="83"/>
      <c r="QQR47" s="83"/>
      <c r="QQS47" s="83"/>
      <c r="QQT47" s="83"/>
      <c r="QQU47" s="83"/>
      <c r="QQV47" s="83"/>
      <c r="QQW47" s="83"/>
      <c r="QQX47" s="83"/>
      <c r="QQY47" s="83"/>
      <c r="QQZ47" s="83"/>
      <c r="QRA47" s="83"/>
      <c r="QRB47" s="83"/>
      <c r="QRC47" s="83"/>
      <c r="QRD47" s="83"/>
      <c r="QRE47" s="83"/>
      <c r="QRF47" s="83"/>
      <c r="QRG47" s="83"/>
      <c r="QRH47" s="83"/>
      <c r="QRI47" s="83"/>
      <c r="QRJ47" s="83"/>
      <c r="QRK47" s="83"/>
      <c r="QRL47" s="83"/>
      <c r="QRM47" s="83"/>
      <c r="QRN47" s="83"/>
      <c r="QRO47" s="83"/>
      <c r="QRP47" s="83"/>
      <c r="QRQ47" s="83"/>
      <c r="QRR47" s="83"/>
      <c r="QRS47" s="83"/>
      <c r="QRT47" s="83"/>
      <c r="QRU47" s="83"/>
      <c r="QRV47" s="83"/>
      <c r="QRW47" s="83"/>
      <c r="QRX47" s="83"/>
      <c r="QRY47" s="83"/>
      <c r="QRZ47" s="83"/>
      <c r="QSA47" s="83"/>
      <c r="QSB47" s="83"/>
      <c r="QSC47" s="83"/>
      <c r="QSD47" s="83"/>
      <c r="QSE47" s="83"/>
      <c r="QSF47" s="83"/>
      <c r="QSG47" s="83"/>
      <c r="QSH47" s="83"/>
      <c r="QSI47" s="83"/>
      <c r="QSJ47" s="83"/>
      <c r="QSK47" s="83"/>
      <c r="QSL47" s="83"/>
      <c r="QSM47" s="83"/>
      <c r="QSN47" s="83"/>
      <c r="QSO47" s="83"/>
      <c r="QSP47" s="83"/>
      <c r="QSQ47" s="83"/>
      <c r="QSR47" s="83"/>
      <c r="QSS47" s="83"/>
      <c r="QST47" s="83"/>
      <c r="QSU47" s="83"/>
      <c r="QSV47" s="83"/>
      <c r="QSW47" s="83"/>
      <c r="QSX47" s="83"/>
      <c r="QSY47" s="83"/>
      <c r="QSZ47" s="83"/>
      <c r="QTA47" s="83"/>
      <c r="QTB47" s="83"/>
      <c r="QTC47" s="83"/>
      <c r="QTD47" s="83"/>
      <c r="QTE47" s="83"/>
      <c r="QTF47" s="83"/>
      <c r="QTG47" s="83"/>
      <c r="QTH47" s="83"/>
      <c r="QTI47" s="83"/>
      <c r="QTJ47" s="83"/>
      <c r="QTK47" s="83"/>
      <c r="QTL47" s="83"/>
      <c r="QTM47" s="83"/>
      <c r="QTN47" s="83"/>
      <c r="QTO47" s="83"/>
      <c r="QTP47" s="83"/>
      <c r="QTQ47" s="83"/>
      <c r="QTR47" s="83"/>
      <c r="QTS47" s="83"/>
      <c r="QTT47" s="83"/>
      <c r="QTU47" s="83"/>
      <c r="QTV47" s="83"/>
      <c r="QTW47" s="83"/>
      <c r="QTX47" s="83"/>
      <c r="QTY47" s="83"/>
      <c r="QTZ47" s="83"/>
      <c r="QUA47" s="83"/>
      <c r="QUB47" s="83"/>
      <c r="QUC47" s="83"/>
      <c r="QUD47" s="83"/>
      <c r="QUE47" s="83"/>
      <c r="QUF47" s="83"/>
      <c r="QUG47" s="83"/>
      <c r="QUH47" s="83"/>
      <c r="QUI47" s="83"/>
      <c r="QUJ47" s="83"/>
      <c r="QUK47" s="83"/>
      <c r="QUL47" s="83"/>
      <c r="QUM47" s="83"/>
      <c r="QUN47" s="83"/>
      <c r="QUO47" s="83"/>
      <c r="QUP47" s="83"/>
      <c r="QUQ47" s="83"/>
      <c r="QUR47" s="83"/>
      <c r="QUS47" s="83"/>
      <c r="QUT47" s="83"/>
      <c r="QUU47" s="83"/>
      <c r="QUV47" s="83"/>
      <c r="QUW47" s="83"/>
      <c r="QUX47" s="83"/>
      <c r="QUY47" s="83"/>
      <c r="QUZ47" s="83"/>
      <c r="QVA47" s="83"/>
      <c r="QVB47" s="83"/>
      <c r="QVC47" s="83"/>
      <c r="QVD47" s="83"/>
      <c r="QVE47" s="83"/>
      <c r="QVF47" s="83"/>
      <c r="QVG47" s="83"/>
      <c r="QVH47" s="83"/>
      <c r="QVI47" s="83"/>
      <c r="QVJ47" s="83"/>
      <c r="QVK47" s="83"/>
      <c r="QVL47" s="83"/>
      <c r="QVM47" s="83"/>
      <c r="QVN47" s="83"/>
      <c r="QVO47" s="83"/>
      <c r="QVP47" s="83"/>
      <c r="QVQ47" s="83"/>
      <c r="QVR47" s="83"/>
      <c r="QVS47" s="83"/>
      <c r="QVT47" s="83"/>
      <c r="QVU47" s="83"/>
      <c r="QVV47" s="83"/>
      <c r="QVW47" s="83"/>
      <c r="QVX47" s="83"/>
      <c r="QVY47" s="83"/>
      <c r="QVZ47" s="83"/>
      <c r="QWA47" s="83"/>
      <c r="QWB47" s="83"/>
      <c r="QWC47" s="83"/>
      <c r="QWD47" s="83"/>
      <c r="QWE47" s="83"/>
      <c r="QWF47" s="83"/>
      <c r="QWG47" s="83"/>
      <c r="QWH47" s="83"/>
      <c r="QWI47" s="83"/>
      <c r="QWJ47" s="83"/>
      <c r="QWK47" s="83"/>
      <c r="QWL47" s="83"/>
      <c r="QWM47" s="83"/>
      <c r="QWN47" s="83"/>
      <c r="QWO47" s="83"/>
      <c r="QWP47" s="83"/>
      <c r="QWQ47" s="83"/>
      <c r="QWR47" s="83"/>
      <c r="QWS47" s="83"/>
      <c r="QWT47" s="83"/>
      <c r="QWU47" s="83"/>
      <c r="QWV47" s="83"/>
      <c r="QWW47" s="83"/>
      <c r="QWX47" s="83"/>
      <c r="QWY47" s="83"/>
      <c r="QWZ47" s="83"/>
      <c r="QXA47" s="83"/>
      <c r="QXB47" s="83"/>
      <c r="QXC47" s="83"/>
      <c r="QXD47" s="83"/>
      <c r="QXE47" s="83"/>
      <c r="QXF47" s="83"/>
      <c r="QXG47" s="83"/>
      <c r="QXH47" s="83"/>
      <c r="QXI47" s="83"/>
      <c r="QXJ47" s="83"/>
      <c r="QXK47" s="83"/>
      <c r="QXL47" s="83"/>
      <c r="QXM47" s="83"/>
      <c r="QXN47" s="83"/>
      <c r="QXO47" s="83"/>
      <c r="QXP47" s="83"/>
      <c r="QXQ47" s="83"/>
      <c r="QXR47" s="83"/>
      <c r="QXS47" s="83"/>
      <c r="QXT47" s="83"/>
      <c r="QXU47" s="83"/>
      <c r="QXV47" s="83"/>
      <c r="QXW47" s="83"/>
      <c r="QXX47" s="83"/>
      <c r="QXY47" s="83"/>
      <c r="QXZ47" s="83"/>
      <c r="QYA47" s="83"/>
      <c r="QYB47" s="83"/>
      <c r="QYC47" s="83"/>
      <c r="QYD47" s="83"/>
      <c r="QYE47" s="83"/>
      <c r="QYF47" s="83"/>
      <c r="QYG47" s="83"/>
      <c r="QYH47" s="83"/>
      <c r="QYI47" s="83"/>
      <c r="QYJ47" s="83"/>
      <c r="QYK47" s="83"/>
      <c r="QYL47" s="83"/>
      <c r="QYM47" s="83"/>
      <c r="QYN47" s="83"/>
      <c r="QYO47" s="83"/>
      <c r="QYP47" s="83"/>
      <c r="QYQ47" s="83"/>
      <c r="QYR47" s="83"/>
      <c r="QYS47" s="83"/>
      <c r="QYT47" s="83"/>
      <c r="QYU47" s="83"/>
      <c r="QYV47" s="83"/>
      <c r="QYW47" s="83"/>
      <c r="QYX47" s="83"/>
      <c r="QYY47" s="83"/>
      <c r="QYZ47" s="83"/>
      <c r="QZA47" s="83"/>
      <c r="QZB47" s="83"/>
      <c r="QZC47" s="83"/>
      <c r="QZD47" s="83"/>
      <c r="QZE47" s="83"/>
      <c r="QZF47" s="83"/>
      <c r="QZG47" s="83"/>
      <c r="QZH47" s="83"/>
      <c r="QZI47" s="83"/>
      <c r="QZJ47" s="83"/>
      <c r="QZK47" s="83"/>
      <c r="QZL47" s="83"/>
      <c r="QZM47" s="83"/>
      <c r="QZN47" s="83"/>
      <c r="QZO47" s="83"/>
      <c r="QZP47" s="83"/>
      <c r="QZQ47" s="83"/>
      <c r="QZR47" s="83"/>
      <c r="QZS47" s="83"/>
      <c r="QZT47" s="83"/>
      <c r="QZU47" s="83"/>
      <c r="QZV47" s="83"/>
      <c r="QZW47" s="83"/>
      <c r="QZX47" s="83"/>
      <c r="QZY47" s="83"/>
      <c r="QZZ47" s="83"/>
      <c r="RAA47" s="83"/>
      <c r="RAB47" s="83"/>
      <c r="RAC47" s="83"/>
      <c r="RAD47" s="83"/>
      <c r="RAE47" s="83"/>
      <c r="RAF47" s="83"/>
      <c r="RAG47" s="83"/>
      <c r="RAH47" s="83"/>
      <c r="RAI47" s="83"/>
      <c r="RAJ47" s="83"/>
      <c r="RAK47" s="83"/>
      <c r="RAL47" s="83"/>
      <c r="RAM47" s="83"/>
      <c r="RAN47" s="83"/>
      <c r="RAO47" s="83"/>
      <c r="RAP47" s="83"/>
      <c r="RAQ47" s="83"/>
      <c r="RAR47" s="83"/>
      <c r="RAS47" s="83"/>
      <c r="RAT47" s="83"/>
      <c r="RAU47" s="83"/>
      <c r="RAV47" s="83"/>
      <c r="RAW47" s="83"/>
      <c r="RAX47" s="83"/>
      <c r="RAY47" s="83"/>
      <c r="RAZ47" s="83"/>
      <c r="RBA47" s="83"/>
      <c r="RBB47" s="83"/>
      <c r="RBC47" s="83"/>
      <c r="RBD47" s="83"/>
      <c r="RBE47" s="83"/>
      <c r="RBF47" s="83"/>
      <c r="RBG47" s="83"/>
      <c r="RBH47" s="83"/>
      <c r="RBI47" s="83"/>
      <c r="RBJ47" s="83"/>
      <c r="RBK47" s="83"/>
      <c r="RBL47" s="83"/>
      <c r="RBM47" s="83"/>
      <c r="RBN47" s="83"/>
      <c r="RBO47" s="83"/>
      <c r="RBP47" s="83"/>
      <c r="RBQ47" s="83"/>
      <c r="RBR47" s="83"/>
      <c r="RBS47" s="83"/>
      <c r="RBT47" s="83"/>
      <c r="RBU47" s="83"/>
      <c r="RBV47" s="83"/>
      <c r="RBW47" s="83"/>
      <c r="RBX47" s="83"/>
      <c r="RBY47" s="83"/>
      <c r="RBZ47" s="83"/>
      <c r="RCA47" s="83"/>
      <c r="RCB47" s="83"/>
      <c r="RCC47" s="83"/>
      <c r="RCD47" s="83"/>
      <c r="RCE47" s="83"/>
      <c r="RCF47" s="83"/>
      <c r="RCG47" s="83"/>
      <c r="RCH47" s="83"/>
      <c r="RCI47" s="83"/>
      <c r="RCJ47" s="83"/>
      <c r="RCK47" s="83"/>
      <c r="RCL47" s="83"/>
      <c r="RCM47" s="83"/>
      <c r="RCN47" s="83"/>
      <c r="RCO47" s="83"/>
      <c r="RCP47" s="83"/>
      <c r="RCQ47" s="83"/>
      <c r="RCR47" s="83"/>
      <c r="RCS47" s="83"/>
      <c r="RCT47" s="83"/>
      <c r="RCU47" s="83"/>
      <c r="RCV47" s="83"/>
      <c r="RCW47" s="83"/>
      <c r="RCX47" s="83"/>
      <c r="RCY47" s="83"/>
      <c r="RCZ47" s="83"/>
      <c r="RDA47" s="83"/>
      <c r="RDB47" s="83"/>
      <c r="RDC47" s="83"/>
      <c r="RDD47" s="83"/>
      <c r="RDE47" s="83"/>
      <c r="RDF47" s="83"/>
      <c r="RDG47" s="83"/>
      <c r="RDH47" s="83"/>
      <c r="RDI47" s="83"/>
      <c r="RDJ47" s="83"/>
      <c r="RDK47" s="83"/>
      <c r="RDL47" s="83"/>
      <c r="RDM47" s="83"/>
      <c r="RDN47" s="83"/>
      <c r="RDO47" s="83"/>
      <c r="RDP47" s="83"/>
      <c r="RDQ47" s="83"/>
      <c r="RDR47" s="83"/>
      <c r="RDS47" s="83"/>
      <c r="RDT47" s="83"/>
      <c r="RDU47" s="83"/>
      <c r="RDV47" s="83"/>
      <c r="RDW47" s="83"/>
      <c r="RDX47" s="83"/>
      <c r="RDY47" s="83"/>
      <c r="RDZ47" s="83"/>
      <c r="REA47" s="83"/>
      <c r="REB47" s="83"/>
      <c r="REC47" s="83"/>
      <c r="RED47" s="83"/>
      <c r="REE47" s="83"/>
      <c r="REF47" s="83"/>
      <c r="REG47" s="83"/>
      <c r="REH47" s="83"/>
      <c r="REI47" s="83"/>
      <c r="REJ47" s="83"/>
      <c r="REK47" s="83"/>
      <c r="REL47" s="83"/>
      <c r="REM47" s="83"/>
      <c r="REN47" s="83"/>
      <c r="REO47" s="83"/>
      <c r="REP47" s="83"/>
      <c r="REQ47" s="83"/>
      <c r="RER47" s="83"/>
      <c r="RES47" s="83"/>
      <c r="RET47" s="83"/>
      <c r="REU47" s="83"/>
      <c r="REV47" s="83"/>
      <c r="REW47" s="83"/>
      <c r="REX47" s="83"/>
      <c r="REY47" s="83"/>
      <c r="REZ47" s="83"/>
      <c r="RFA47" s="83"/>
      <c r="RFB47" s="83"/>
      <c r="RFC47" s="83"/>
      <c r="RFD47" s="83"/>
      <c r="RFE47" s="83"/>
      <c r="RFF47" s="83"/>
      <c r="RFG47" s="83"/>
      <c r="RFH47" s="83"/>
      <c r="RFI47" s="83"/>
      <c r="RFJ47" s="83"/>
      <c r="RFK47" s="83"/>
      <c r="RFL47" s="83"/>
      <c r="RFM47" s="83"/>
      <c r="RFN47" s="83"/>
      <c r="RFO47" s="83"/>
      <c r="RFP47" s="83"/>
      <c r="RFQ47" s="83"/>
      <c r="RFR47" s="83"/>
      <c r="RFS47" s="83"/>
      <c r="RFT47" s="83"/>
      <c r="RFU47" s="83"/>
      <c r="RFV47" s="83"/>
      <c r="RFW47" s="83"/>
      <c r="RFX47" s="83"/>
      <c r="RFY47" s="83"/>
      <c r="RFZ47" s="83"/>
      <c r="RGA47" s="83"/>
      <c r="RGB47" s="83"/>
      <c r="RGC47" s="83"/>
      <c r="RGD47" s="83"/>
      <c r="RGE47" s="83"/>
      <c r="RGF47" s="83"/>
      <c r="RGG47" s="83"/>
      <c r="RGH47" s="83"/>
      <c r="RGI47" s="83"/>
      <c r="RGJ47" s="83"/>
      <c r="RGK47" s="83"/>
      <c r="RGL47" s="83"/>
      <c r="RGM47" s="83"/>
      <c r="RGN47" s="83"/>
      <c r="RGO47" s="83"/>
      <c r="RGP47" s="83"/>
      <c r="RGQ47" s="83"/>
      <c r="RGR47" s="83"/>
      <c r="RGS47" s="83"/>
      <c r="RGT47" s="83"/>
      <c r="RGU47" s="83"/>
      <c r="RGV47" s="83"/>
      <c r="RGW47" s="83"/>
      <c r="RGX47" s="83"/>
      <c r="RGY47" s="83"/>
      <c r="RGZ47" s="83"/>
      <c r="RHA47" s="83"/>
      <c r="RHB47" s="83"/>
      <c r="RHC47" s="83"/>
      <c r="RHD47" s="83"/>
      <c r="RHE47" s="83"/>
      <c r="RHF47" s="83"/>
      <c r="RHG47" s="83"/>
      <c r="RHH47" s="83"/>
      <c r="RHI47" s="83"/>
      <c r="RHJ47" s="83"/>
      <c r="RHK47" s="83"/>
      <c r="RHL47" s="83"/>
      <c r="RHM47" s="83"/>
      <c r="RHN47" s="83"/>
      <c r="RHO47" s="83"/>
      <c r="RHP47" s="83"/>
      <c r="RHQ47" s="83"/>
      <c r="RHR47" s="83"/>
      <c r="RHS47" s="83"/>
      <c r="RHT47" s="83"/>
      <c r="RHU47" s="83"/>
      <c r="RHV47" s="83"/>
      <c r="RHW47" s="83"/>
      <c r="RHX47" s="83"/>
      <c r="RHY47" s="83"/>
      <c r="RHZ47" s="83"/>
      <c r="RIA47" s="83"/>
      <c r="RIB47" s="83"/>
      <c r="RIC47" s="83"/>
      <c r="RID47" s="83"/>
      <c r="RIE47" s="83"/>
      <c r="RIF47" s="83"/>
      <c r="RIG47" s="83"/>
      <c r="RIH47" s="83"/>
      <c r="RII47" s="83"/>
      <c r="RIJ47" s="83"/>
      <c r="RIK47" s="83"/>
      <c r="RIL47" s="83"/>
      <c r="RIM47" s="83"/>
      <c r="RIN47" s="83"/>
      <c r="RIO47" s="83"/>
      <c r="RIP47" s="83"/>
      <c r="RIQ47" s="83"/>
      <c r="RIR47" s="83"/>
      <c r="RIS47" s="83"/>
      <c r="RIT47" s="83"/>
      <c r="RIU47" s="83"/>
      <c r="RIV47" s="83"/>
      <c r="RIW47" s="83"/>
      <c r="RIX47" s="83"/>
      <c r="RIY47" s="83"/>
      <c r="RIZ47" s="83"/>
      <c r="RJA47" s="83"/>
      <c r="RJB47" s="83"/>
      <c r="RJC47" s="83"/>
      <c r="RJD47" s="83"/>
      <c r="RJE47" s="83"/>
      <c r="RJF47" s="83"/>
      <c r="RJG47" s="83"/>
      <c r="RJH47" s="83"/>
      <c r="RJI47" s="83"/>
      <c r="RJJ47" s="83"/>
      <c r="RJK47" s="83"/>
      <c r="RJL47" s="83"/>
      <c r="RJM47" s="83"/>
      <c r="RJN47" s="83"/>
      <c r="RJO47" s="83"/>
      <c r="RJP47" s="83"/>
      <c r="RJQ47" s="83"/>
      <c r="RJR47" s="83"/>
      <c r="RJS47" s="83"/>
      <c r="RJT47" s="83"/>
      <c r="RJU47" s="83"/>
      <c r="RJV47" s="83"/>
      <c r="RJW47" s="83"/>
      <c r="RJX47" s="83"/>
      <c r="RJY47" s="83"/>
      <c r="RJZ47" s="83"/>
      <c r="RKA47" s="83"/>
      <c r="RKB47" s="83"/>
      <c r="RKC47" s="83"/>
      <c r="RKD47" s="83"/>
      <c r="RKE47" s="83"/>
      <c r="RKF47" s="83"/>
      <c r="RKG47" s="83"/>
      <c r="RKH47" s="83"/>
      <c r="RKI47" s="83"/>
      <c r="RKJ47" s="83"/>
      <c r="RKK47" s="83"/>
      <c r="RKL47" s="83"/>
      <c r="RKM47" s="83"/>
      <c r="RKN47" s="83"/>
      <c r="RKO47" s="83"/>
      <c r="RKP47" s="83"/>
      <c r="RKQ47" s="83"/>
      <c r="RKR47" s="83"/>
      <c r="RKS47" s="83"/>
      <c r="RKT47" s="83"/>
      <c r="RKU47" s="83"/>
      <c r="RKV47" s="83"/>
      <c r="RKW47" s="83"/>
      <c r="RKX47" s="83"/>
      <c r="RKY47" s="83"/>
      <c r="RKZ47" s="83"/>
      <c r="RLA47" s="83"/>
      <c r="RLB47" s="83"/>
      <c r="RLC47" s="83"/>
      <c r="RLD47" s="83"/>
      <c r="RLE47" s="83"/>
      <c r="RLF47" s="83"/>
      <c r="RLG47" s="83"/>
      <c r="RLH47" s="83"/>
      <c r="RLI47" s="83"/>
      <c r="RLJ47" s="83"/>
      <c r="RLK47" s="83"/>
      <c r="RLL47" s="83"/>
      <c r="RLM47" s="83"/>
      <c r="RLN47" s="83"/>
      <c r="RLO47" s="83"/>
      <c r="RLP47" s="83"/>
      <c r="RLQ47" s="83"/>
      <c r="RLR47" s="83"/>
      <c r="RLS47" s="83"/>
      <c r="RLT47" s="83"/>
      <c r="RLU47" s="83"/>
      <c r="RLV47" s="83"/>
      <c r="RLW47" s="83"/>
      <c r="RLX47" s="83"/>
      <c r="RLY47" s="83"/>
      <c r="RLZ47" s="83"/>
      <c r="RMA47" s="83"/>
      <c r="RMB47" s="83"/>
      <c r="RMC47" s="83"/>
      <c r="RMD47" s="83"/>
      <c r="RME47" s="83"/>
      <c r="RMF47" s="83"/>
      <c r="RMG47" s="83"/>
      <c r="RMH47" s="83"/>
      <c r="RMI47" s="83"/>
      <c r="RMJ47" s="83"/>
      <c r="RMK47" s="83"/>
      <c r="RML47" s="83"/>
      <c r="RMM47" s="83"/>
      <c r="RMN47" s="83"/>
      <c r="RMO47" s="83"/>
      <c r="RMP47" s="83"/>
      <c r="RMQ47" s="83"/>
      <c r="RMR47" s="83"/>
      <c r="RMS47" s="83"/>
      <c r="RMT47" s="83"/>
      <c r="RMU47" s="83"/>
      <c r="RMV47" s="83"/>
      <c r="RMW47" s="83"/>
      <c r="RMX47" s="83"/>
      <c r="RMY47" s="83"/>
      <c r="RMZ47" s="83"/>
      <c r="RNA47" s="83"/>
      <c r="RNB47" s="83"/>
      <c r="RNC47" s="83"/>
      <c r="RND47" s="83"/>
      <c r="RNE47" s="83"/>
      <c r="RNF47" s="83"/>
      <c r="RNG47" s="83"/>
      <c r="RNH47" s="83"/>
      <c r="RNI47" s="83"/>
      <c r="RNJ47" s="83"/>
      <c r="RNK47" s="83"/>
      <c r="RNL47" s="83"/>
      <c r="RNM47" s="83"/>
      <c r="RNN47" s="83"/>
      <c r="RNO47" s="83"/>
      <c r="RNP47" s="83"/>
      <c r="RNQ47" s="83"/>
      <c r="RNR47" s="83"/>
      <c r="RNS47" s="83"/>
      <c r="RNT47" s="83"/>
      <c r="RNU47" s="83"/>
      <c r="RNV47" s="83"/>
      <c r="RNW47" s="83"/>
      <c r="RNX47" s="83"/>
      <c r="RNY47" s="83"/>
      <c r="RNZ47" s="83"/>
      <c r="ROA47" s="83"/>
      <c r="ROB47" s="83"/>
      <c r="ROC47" s="83"/>
      <c r="ROD47" s="83"/>
      <c r="ROE47" s="83"/>
      <c r="ROF47" s="83"/>
      <c r="ROG47" s="83"/>
      <c r="ROH47" s="83"/>
      <c r="ROI47" s="83"/>
      <c r="ROJ47" s="83"/>
      <c r="ROK47" s="83"/>
      <c r="ROL47" s="83"/>
      <c r="ROM47" s="83"/>
      <c r="RON47" s="83"/>
      <c r="ROO47" s="83"/>
      <c r="ROP47" s="83"/>
      <c r="ROQ47" s="83"/>
      <c r="ROR47" s="83"/>
      <c r="ROS47" s="83"/>
      <c r="ROT47" s="83"/>
      <c r="ROU47" s="83"/>
      <c r="ROV47" s="83"/>
      <c r="ROW47" s="83"/>
      <c r="ROX47" s="83"/>
      <c r="ROY47" s="83"/>
      <c r="ROZ47" s="83"/>
      <c r="RPA47" s="83"/>
      <c r="RPB47" s="83"/>
      <c r="RPC47" s="83"/>
      <c r="RPD47" s="83"/>
      <c r="RPE47" s="83"/>
      <c r="RPF47" s="83"/>
      <c r="RPG47" s="83"/>
      <c r="RPH47" s="83"/>
      <c r="RPI47" s="83"/>
      <c r="RPJ47" s="83"/>
      <c r="RPK47" s="83"/>
      <c r="RPL47" s="83"/>
      <c r="RPM47" s="83"/>
      <c r="RPN47" s="83"/>
      <c r="RPO47" s="83"/>
      <c r="RPP47" s="83"/>
      <c r="RPQ47" s="83"/>
      <c r="RPR47" s="83"/>
      <c r="RPS47" s="83"/>
      <c r="RPT47" s="83"/>
      <c r="RPU47" s="83"/>
      <c r="RPV47" s="83"/>
      <c r="RPW47" s="83"/>
      <c r="RPX47" s="83"/>
      <c r="RPY47" s="83"/>
      <c r="RPZ47" s="83"/>
      <c r="RQA47" s="83"/>
      <c r="RQB47" s="83"/>
      <c r="RQC47" s="83"/>
      <c r="RQD47" s="83"/>
      <c r="RQE47" s="83"/>
      <c r="RQF47" s="83"/>
      <c r="RQG47" s="83"/>
      <c r="RQH47" s="83"/>
      <c r="RQI47" s="83"/>
      <c r="RQJ47" s="83"/>
      <c r="RQK47" s="83"/>
      <c r="RQL47" s="83"/>
      <c r="RQM47" s="83"/>
      <c r="RQN47" s="83"/>
      <c r="RQO47" s="83"/>
      <c r="RQP47" s="83"/>
      <c r="RQQ47" s="83"/>
      <c r="RQR47" s="83"/>
      <c r="RQS47" s="83"/>
      <c r="RQT47" s="83"/>
      <c r="RQU47" s="83"/>
      <c r="RQV47" s="83"/>
      <c r="RQW47" s="83"/>
      <c r="RQX47" s="83"/>
      <c r="RQY47" s="83"/>
      <c r="RQZ47" s="83"/>
      <c r="RRA47" s="83"/>
      <c r="RRB47" s="83"/>
      <c r="RRC47" s="83"/>
      <c r="RRD47" s="83"/>
      <c r="RRE47" s="83"/>
      <c r="RRF47" s="83"/>
      <c r="RRG47" s="83"/>
      <c r="RRH47" s="83"/>
      <c r="RRI47" s="83"/>
      <c r="RRJ47" s="83"/>
      <c r="RRK47" s="83"/>
      <c r="RRL47" s="83"/>
      <c r="RRM47" s="83"/>
      <c r="RRN47" s="83"/>
      <c r="RRO47" s="83"/>
      <c r="RRP47" s="83"/>
      <c r="RRQ47" s="83"/>
      <c r="RRR47" s="83"/>
      <c r="RRS47" s="83"/>
      <c r="RRT47" s="83"/>
      <c r="RRU47" s="83"/>
      <c r="RRV47" s="83"/>
      <c r="RRW47" s="83"/>
      <c r="RRX47" s="83"/>
      <c r="RRY47" s="83"/>
      <c r="RRZ47" s="83"/>
      <c r="RSA47" s="83"/>
      <c r="RSB47" s="83"/>
      <c r="RSC47" s="83"/>
      <c r="RSD47" s="83"/>
      <c r="RSE47" s="83"/>
      <c r="RSF47" s="83"/>
      <c r="RSG47" s="83"/>
      <c r="RSH47" s="83"/>
      <c r="RSI47" s="83"/>
      <c r="RSJ47" s="83"/>
      <c r="RSK47" s="83"/>
      <c r="RSL47" s="83"/>
      <c r="RSM47" s="83"/>
      <c r="RSN47" s="83"/>
      <c r="RSO47" s="83"/>
      <c r="RSP47" s="83"/>
      <c r="RSQ47" s="83"/>
      <c r="RSR47" s="83"/>
      <c r="RSS47" s="83"/>
      <c r="RST47" s="83"/>
      <c r="RSU47" s="83"/>
      <c r="RSV47" s="83"/>
      <c r="RSW47" s="83"/>
      <c r="RSX47" s="83"/>
      <c r="RSY47" s="83"/>
      <c r="RSZ47" s="83"/>
      <c r="RTA47" s="83"/>
      <c r="RTB47" s="83"/>
      <c r="RTC47" s="83"/>
      <c r="RTD47" s="83"/>
      <c r="RTE47" s="83"/>
      <c r="RTF47" s="83"/>
      <c r="RTG47" s="83"/>
      <c r="RTH47" s="83"/>
      <c r="RTI47" s="83"/>
      <c r="RTJ47" s="83"/>
      <c r="RTK47" s="83"/>
      <c r="RTL47" s="83"/>
      <c r="RTM47" s="83"/>
      <c r="RTN47" s="83"/>
      <c r="RTO47" s="83"/>
      <c r="RTP47" s="83"/>
      <c r="RTQ47" s="83"/>
      <c r="RTR47" s="83"/>
      <c r="RTS47" s="83"/>
      <c r="RTT47" s="83"/>
      <c r="RTU47" s="83"/>
      <c r="RTV47" s="83"/>
      <c r="RTW47" s="83"/>
      <c r="RTX47" s="83"/>
      <c r="RTY47" s="83"/>
      <c r="RTZ47" s="83"/>
      <c r="RUA47" s="83"/>
      <c r="RUB47" s="83"/>
      <c r="RUC47" s="83"/>
      <c r="RUD47" s="83"/>
      <c r="RUE47" s="83"/>
      <c r="RUF47" s="83"/>
      <c r="RUG47" s="83"/>
      <c r="RUH47" s="83"/>
      <c r="RUI47" s="83"/>
      <c r="RUJ47" s="83"/>
      <c r="RUK47" s="83"/>
      <c r="RUL47" s="83"/>
      <c r="RUM47" s="83"/>
      <c r="RUN47" s="83"/>
      <c r="RUO47" s="83"/>
      <c r="RUP47" s="83"/>
      <c r="RUQ47" s="83"/>
      <c r="RUR47" s="83"/>
      <c r="RUS47" s="83"/>
      <c r="RUT47" s="83"/>
      <c r="RUU47" s="83"/>
      <c r="RUV47" s="83"/>
      <c r="RUW47" s="83"/>
      <c r="RUX47" s="83"/>
      <c r="RUY47" s="83"/>
      <c r="RUZ47" s="83"/>
      <c r="RVA47" s="83"/>
      <c r="RVB47" s="83"/>
      <c r="RVC47" s="83"/>
      <c r="RVD47" s="83"/>
      <c r="RVE47" s="83"/>
      <c r="RVF47" s="83"/>
      <c r="RVG47" s="83"/>
      <c r="RVH47" s="83"/>
      <c r="RVI47" s="83"/>
      <c r="RVJ47" s="83"/>
      <c r="RVK47" s="83"/>
      <c r="RVL47" s="83"/>
      <c r="RVM47" s="83"/>
      <c r="RVN47" s="83"/>
      <c r="RVO47" s="83"/>
      <c r="RVP47" s="83"/>
      <c r="RVQ47" s="83"/>
      <c r="RVR47" s="83"/>
      <c r="RVS47" s="83"/>
      <c r="RVT47" s="83"/>
      <c r="RVU47" s="83"/>
      <c r="RVV47" s="83"/>
      <c r="RVW47" s="83"/>
      <c r="RVX47" s="83"/>
      <c r="RVY47" s="83"/>
      <c r="RVZ47" s="83"/>
      <c r="RWA47" s="83"/>
      <c r="RWB47" s="83"/>
      <c r="RWC47" s="83"/>
      <c r="RWD47" s="83"/>
      <c r="RWE47" s="83"/>
      <c r="RWF47" s="83"/>
      <c r="RWG47" s="83"/>
      <c r="RWH47" s="83"/>
      <c r="RWI47" s="83"/>
      <c r="RWJ47" s="83"/>
      <c r="RWK47" s="83"/>
      <c r="RWL47" s="83"/>
      <c r="RWM47" s="83"/>
      <c r="RWN47" s="83"/>
      <c r="RWO47" s="83"/>
      <c r="RWP47" s="83"/>
      <c r="RWQ47" s="83"/>
      <c r="RWR47" s="83"/>
      <c r="RWS47" s="83"/>
      <c r="RWT47" s="83"/>
      <c r="RWU47" s="83"/>
      <c r="RWV47" s="83"/>
      <c r="RWW47" s="83"/>
      <c r="RWX47" s="83"/>
      <c r="RWY47" s="83"/>
      <c r="RWZ47" s="83"/>
      <c r="RXA47" s="83"/>
      <c r="RXB47" s="83"/>
      <c r="RXC47" s="83"/>
      <c r="RXD47" s="83"/>
      <c r="RXE47" s="83"/>
      <c r="RXF47" s="83"/>
      <c r="RXG47" s="83"/>
      <c r="RXH47" s="83"/>
      <c r="RXI47" s="83"/>
      <c r="RXJ47" s="83"/>
      <c r="RXK47" s="83"/>
      <c r="RXL47" s="83"/>
      <c r="RXM47" s="83"/>
      <c r="RXN47" s="83"/>
      <c r="RXO47" s="83"/>
      <c r="RXP47" s="83"/>
      <c r="RXQ47" s="83"/>
      <c r="RXR47" s="83"/>
      <c r="RXS47" s="83"/>
      <c r="RXT47" s="83"/>
      <c r="RXU47" s="83"/>
      <c r="RXV47" s="83"/>
      <c r="RXW47" s="83"/>
      <c r="RXX47" s="83"/>
      <c r="RXY47" s="83"/>
      <c r="RXZ47" s="83"/>
      <c r="RYA47" s="83"/>
      <c r="RYB47" s="83"/>
      <c r="RYC47" s="83"/>
      <c r="RYD47" s="83"/>
      <c r="RYE47" s="83"/>
      <c r="RYF47" s="83"/>
      <c r="RYG47" s="83"/>
      <c r="RYH47" s="83"/>
      <c r="RYI47" s="83"/>
      <c r="RYJ47" s="83"/>
      <c r="RYK47" s="83"/>
      <c r="RYL47" s="83"/>
      <c r="RYM47" s="83"/>
      <c r="RYN47" s="83"/>
      <c r="RYO47" s="83"/>
      <c r="RYP47" s="83"/>
      <c r="RYQ47" s="83"/>
      <c r="RYR47" s="83"/>
      <c r="RYS47" s="83"/>
      <c r="RYT47" s="83"/>
      <c r="RYU47" s="83"/>
      <c r="RYV47" s="83"/>
      <c r="RYW47" s="83"/>
      <c r="RYX47" s="83"/>
      <c r="RYY47" s="83"/>
      <c r="RYZ47" s="83"/>
      <c r="RZA47" s="83"/>
      <c r="RZB47" s="83"/>
      <c r="RZC47" s="83"/>
      <c r="RZD47" s="83"/>
      <c r="RZE47" s="83"/>
      <c r="RZF47" s="83"/>
      <c r="RZG47" s="83"/>
      <c r="RZH47" s="83"/>
      <c r="RZI47" s="83"/>
      <c r="RZJ47" s="83"/>
      <c r="RZK47" s="83"/>
      <c r="RZL47" s="83"/>
      <c r="RZM47" s="83"/>
      <c r="RZN47" s="83"/>
      <c r="RZO47" s="83"/>
      <c r="RZP47" s="83"/>
      <c r="RZQ47" s="83"/>
      <c r="RZR47" s="83"/>
      <c r="RZS47" s="83"/>
      <c r="RZT47" s="83"/>
      <c r="RZU47" s="83"/>
      <c r="RZV47" s="83"/>
      <c r="RZW47" s="83"/>
      <c r="RZX47" s="83"/>
      <c r="RZY47" s="83"/>
      <c r="RZZ47" s="83"/>
      <c r="SAA47" s="83"/>
      <c r="SAB47" s="83"/>
      <c r="SAC47" s="83"/>
      <c r="SAD47" s="83"/>
      <c r="SAE47" s="83"/>
      <c r="SAF47" s="83"/>
      <c r="SAG47" s="83"/>
      <c r="SAH47" s="83"/>
      <c r="SAI47" s="83"/>
      <c r="SAJ47" s="83"/>
      <c r="SAK47" s="83"/>
      <c r="SAL47" s="83"/>
      <c r="SAM47" s="83"/>
      <c r="SAN47" s="83"/>
      <c r="SAO47" s="83"/>
      <c r="SAP47" s="83"/>
      <c r="SAQ47" s="83"/>
      <c r="SAR47" s="83"/>
      <c r="SAS47" s="83"/>
      <c r="SAT47" s="83"/>
      <c r="SAU47" s="83"/>
      <c r="SAV47" s="83"/>
      <c r="SAW47" s="83"/>
      <c r="SAX47" s="83"/>
      <c r="SAY47" s="83"/>
      <c r="SAZ47" s="83"/>
      <c r="SBA47" s="83"/>
      <c r="SBB47" s="83"/>
      <c r="SBC47" s="83"/>
      <c r="SBD47" s="83"/>
      <c r="SBE47" s="83"/>
      <c r="SBF47" s="83"/>
      <c r="SBG47" s="83"/>
      <c r="SBH47" s="83"/>
      <c r="SBI47" s="83"/>
      <c r="SBJ47" s="83"/>
      <c r="SBK47" s="83"/>
      <c r="SBL47" s="83"/>
      <c r="SBM47" s="83"/>
      <c r="SBN47" s="83"/>
      <c r="SBO47" s="83"/>
      <c r="SBP47" s="83"/>
      <c r="SBQ47" s="83"/>
      <c r="SBR47" s="83"/>
      <c r="SBS47" s="83"/>
      <c r="SBT47" s="83"/>
      <c r="SBU47" s="83"/>
      <c r="SBV47" s="83"/>
      <c r="SBW47" s="83"/>
      <c r="SBX47" s="83"/>
      <c r="SBY47" s="83"/>
      <c r="SBZ47" s="83"/>
      <c r="SCA47" s="83"/>
      <c r="SCB47" s="83"/>
      <c r="SCC47" s="83"/>
      <c r="SCD47" s="83"/>
      <c r="SCE47" s="83"/>
      <c r="SCF47" s="83"/>
      <c r="SCG47" s="83"/>
      <c r="SCH47" s="83"/>
      <c r="SCI47" s="83"/>
      <c r="SCJ47" s="83"/>
      <c r="SCK47" s="83"/>
      <c r="SCL47" s="83"/>
      <c r="SCM47" s="83"/>
      <c r="SCN47" s="83"/>
      <c r="SCO47" s="83"/>
      <c r="SCP47" s="83"/>
      <c r="SCQ47" s="83"/>
      <c r="SCR47" s="83"/>
      <c r="SCS47" s="83"/>
      <c r="SCT47" s="83"/>
      <c r="SCU47" s="83"/>
      <c r="SCV47" s="83"/>
      <c r="SCW47" s="83"/>
      <c r="SCX47" s="83"/>
      <c r="SCY47" s="83"/>
      <c r="SCZ47" s="83"/>
      <c r="SDA47" s="83"/>
      <c r="SDB47" s="83"/>
      <c r="SDC47" s="83"/>
      <c r="SDD47" s="83"/>
      <c r="SDE47" s="83"/>
      <c r="SDF47" s="83"/>
      <c r="SDG47" s="83"/>
      <c r="SDH47" s="83"/>
      <c r="SDI47" s="83"/>
      <c r="SDJ47" s="83"/>
      <c r="SDK47" s="83"/>
      <c r="SDL47" s="83"/>
      <c r="SDM47" s="83"/>
      <c r="SDN47" s="83"/>
      <c r="SDO47" s="83"/>
      <c r="SDP47" s="83"/>
      <c r="SDQ47" s="83"/>
      <c r="SDR47" s="83"/>
      <c r="SDS47" s="83"/>
      <c r="SDT47" s="83"/>
      <c r="SDU47" s="83"/>
      <c r="SDV47" s="83"/>
      <c r="SDW47" s="83"/>
      <c r="SDX47" s="83"/>
      <c r="SDY47" s="83"/>
      <c r="SDZ47" s="83"/>
      <c r="SEA47" s="83"/>
      <c r="SEB47" s="83"/>
      <c r="SEC47" s="83"/>
      <c r="SED47" s="83"/>
      <c r="SEE47" s="83"/>
      <c r="SEF47" s="83"/>
      <c r="SEG47" s="83"/>
      <c r="SEH47" s="83"/>
      <c r="SEI47" s="83"/>
      <c r="SEJ47" s="83"/>
      <c r="SEK47" s="83"/>
      <c r="SEL47" s="83"/>
      <c r="SEM47" s="83"/>
      <c r="SEN47" s="83"/>
      <c r="SEO47" s="83"/>
      <c r="SEP47" s="83"/>
      <c r="SEQ47" s="83"/>
      <c r="SER47" s="83"/>
      <c r="SES47" s="83"/>
      <c r="SET47" s="83"/>
      <c r="SEU47" s="83"/>
      <c r="SEV47" s="83"/>
      <c r="SEW47" s="83"/>
      <c r="SEX47" s="83"/>
      <c r="SEY47" s="83"/>
      <c r="SEZ47" s="83"/>
      <c r="SFA47" s="83"/>
      <c r="SFB47" s="83"/>
      <c r="SFC47" s="83"/>
      <c r="SFD47" s="83"/>
      <c r="SFE47" s="83"/>
      <c r="SFF47" s="83"/>
      <c r="SFG47" s="83"/>
      <c r="SFH47" s="83"/>
      <c r="SFI47" s="83"/>
      <c r="SFJ47" s="83"/>
      <c r="SFK47" s="83"/>
      <c r="SFL47" s="83"/>
      <c r="SFM47" s="83"/>
      <c r="SFN47" s="83"/>
      <c r="SFO47" s="83"/>
      <c r="SFP47" s="83"/>
      <c r="SFQ47" s="83"/>
      <c r="SFR47" s="83"/>
      <c r="SFS47" s="83"/>
      <c r="SFT47" s="83"/>
      <c r="SFU47" s="83"/>
      <c r="SFV47" s="83"/>
      <c r="SFW47" s="83"/>
      <c r="SFX47" s="83"/>
      <c r="SFY47" s="83"/>
      <c r="SFZ47" s="83"/>
      <c r="SGA47" s="83"/>
      <c r="SGB47" s="83"/>
      <c r="SGC47" s="83"/>
      <c r="SGD47" s="83"/>
      <c r="SGE47" s="83"/>
      <c r="SGF47" s="83"/>
      <c r="SGG47" s="83"/>
      <c r="SGH47" s="83"/>
      <c r="SGI47" s="83"/>
      <c r="SGJ47" s="83"/>
      <c r="SGK47" s="83"/>
      <c r="SGL47" s="83"/>
      <c r="SGM47" s="83"/>
      <c r="SGN47" s="83"/>
      <c r="SGO47" s="83"/>
      <c r="SGP47" s="83"/>
      <c r="SGQ47" s="83"/>
      <c r="SGR47" s="83"/>
      <c r="SGS47" s="83"/>
      <c r="SGT47" s="83"/>
      <c r="SGU47" s="83"/>
      <c r="SGV47" s="83"/>
      <c r="SGW47" s="83"/>
      <c r="SGX47" s="83"/>
      <c r="SGY47" s="83"/>
      <c r="SGZ47" s="83"/>
      <c r="SHA47" s="83"/>
      <c r="SHB47" s="83"/>
      <c r="SHC47" s="83"/>
      <c r="SHD47" s="83"/>
      <c r="SHE47" s="83"/>
      <c r="SHF47" s="83"/>
      <c r="SHG47" s="83"/>
      <c r="SHH47" s="83"/>
      <c r="SHI47" s="83"/>
      <c r="SHJ47" s="83"/>
      <c r="SHK47" s="83"/>
      <c r="SHL47" s="83"/>
      <c r="SHM47" s="83"/>
      <c r="SHN47" s="83"/>
      <c r="SHO47" s="83"/>
      <c r="SHP47" s="83"/>
      <c r="SHQ47" s="83"/>
      <c r="SHR47" s="83"/>
      <c r="SHS47" s="83"/>
      <c r="SHT47" s="83"/>
      <c r="SHU47" s="83"/>
      <c r="SHV47" s="83"/>
      <c r="SHW47" s="83"/>
      <c r="SHX47" s="83"/>
      <c r="SHY47" s="83"/>
      <c r="SHZ47" s="83"/>
      <c r="SIA47" s="83"/>
      <c r="SIB47" s="83"/>
      <c r="SIC47" s="83"/>
      <c r="SID47" s="83"/>
      <c r="SIE47" s="83"/>
      <c r="SIF47" s="83"/>
      <c r="SIG47" s="83"/>
      <c r="SIH47" s="83"/>
      <c r="SII47" s="83"/>
      <c r="SIJ47" s="83"/>
      <c r="SIK47" s="83"/>
      <c r="SIL47" s="83"/>
      <c r="SIM47" s="83"/>
      <c r="SIN47" s="83"/>
      <c r="SIO47" s="83"/>
      <c r="SIP47" s="83"/>
      <c r="SIQ47" s="83"/>
      <c r="SIR47" s="83"/>
      <c r="SIS47" s="83"/>
      <c r="SIT47" s="83"/>
      <c r="SIU47" s="83"/>
      <c r="SIV47" s="83"/>
      <c r="SIW47" s="83"/>
      <c r="SIX47" s="83"/>
      <c r="SIY47" s="83"/>
      <c r="SIZ47" s="83"/>
      <c r="SJA47" s="83"/>
      <c r="SJB47" s="83"/>
      <c r="SJC47" s="83"/>
      <c r="SJD47" s="83"/>
      <c r="SJE47" s="83"/>
      <c r="SJF47" s="83"/>
      <c r="SJG47" s="83"/>
      <c r="SJH47" s="83"/>
      <c r="SJI47" s="83"/>
      <c r="SJJ47" s="83"/>
      <c r="SJK47" s="83"/>
      <c r="SJL47" s="83"/>
      <c r="SJM47" s="83"/>
      <c r="SJN47" s="83"/>
      <c r="SJO47" s="83"/>
      <c r="SJP47" s="83"/>
      <c r="SJQ47" s="83"/>
      <c r="SJR47" s="83"/>
      <c r="SJS47" s="83"/>
      <c r="SJT47" s="83"/>
      <c r="SJU47" s="83"/>
      <c r="SJV47" s="83"/>
      <c r="SJW47" s="83"/>
      <c r="SJX47" s="83"/>
      <c r="SJY47" s="83"/>
      <c r="SJZ47" s="83"/>
      <c r="SKA47" s="83"/>
      <c r="SKB47" s="83"/>
      <c r="SKC47" s="83"/>
      <c r="SKD47" s="83"/>
      <c r="SKE47" s="83"/>
      <c r="SKF47" s="83"/>
      <c r="SKG47" s="83"/>
      <c r="SKH47" s="83"/>
      <c r="SKI47" s="83"/>
      <c r="SKJ47" s="83"/>
      <c r="SKK47" s="83"/>
      <c r="SKL47" s="83"/>
      <c r="SKM47" s="83"/>
      <c r="SKN47" s="83"/>
      <c r="SKO47" s="83"/>
      <c r="SKP47" s="83"/>
      <c r="SKQ47" s="83"/>
      <c r="SKR47" s="83"/>
      <c r="SKS47" s="83"/>
      <c r="SKT47" s="83"/>
      <c r="SKU47" s="83"/>
      <c r="SKV47" s="83"/>
      <c r="SKW47" s="83"/>
      <c r="SKX47" s="83"/>
      <c r="SKY47" s="83"/>
      <c r="SKZ47" s="83"/>
      <c r="SLA47" s="83"/>
      <c r="SLB47" s="83"/>
      <c r="SLC47" s="83"/>
      <c r="SLD47" s="83"/>
      <c r="SLE47" s="83"/>
      <c r="SLF47" s="83"/>
      <c r="SLG47" s="83"/>
      <c r="SLH47" s="83"/>
      <c r="SLI47" s="83"/>
      <c r="SLJ47" s="83"/>
      <c r="SLK47" s="83"/>
      <c r="SLL47" s="83"/>
      <c r="SLM47" s="83"/>
      <c r="SLN47" s="83"/>
      <c r="SLO47" s="83"/>
      <c r="SLP47" s="83"/>
      <c r="SLQ47" s="83"/>
      <c r="SLR47" s="83"/>
      <c r="SLS47" s="83"/>
      <c r="SLT47" s="83"/>
      <c r="SLU47" s="83"/>
      <c r="SLV47" s="83"/>
      <c r="SLW47" s="83"/>
      <c r="SLX47" s="83"/>
      <c r="SLY47" s="83"/>
      <c r="SLZ47" s="83"/>
      <c r="SMA47" s="83"/>
      <c r="SMB47" s="83"/>
      <c r="SMC47" s="83"/>
      <c r="SMD47" s="83"/>
      <c r="SME47" s="83"/>
      <c r="SMF47" s="83"/>
      <c r="SMG47" s="83"/>
      <c r="SMH47" s="83"/>
      <c r="SMI47" s="83"/>
      <c r="SMJ47" s="83"/>
      <c r="SMK47" s="83"/>
      <c r="SML47" s="83"/>
      <c r="SMM47" s="83"/>
      <c r="SMN47" s="83"/>
      <c r="SMO47" s="83"/>
      <c r="SMP47" s="83"/>
      <c r="SMQ47" s="83"/>
      <c r="SMR47" s="83"/>
      <c r="SMS47" s="83"/>
      <c r="SMT47" s="83"/>
      <c r="SMU47" s="83"/>
      <c r="SMV47" s="83"/>
      <c r="SMW47" s="83"/>
      <c r="SMX47" s="83"/>
      <c r="SMY47" s="83"/>
      <c r="SMZ47" s="83"/>
      <c r="SNA47" s="83"/>
      <c r="SNB47" s="83"/>
      <c r="SNC47" s="83"/>
      <c r="SND47" s="83"/>
      <c r="SNE47" s="83"/>
      <c r="SNF47" s="83"/>
      <c r="SNG47" s="83"/>
      <c r="SNH47" s="83"/>
      <c r="SNI47" s="83"/>
      <c r="SNJ47" s="83"/>
      <c r="SNK47" s="83"/>
      <c r="SNL47" s="83"/>
      <c r="SNM47" s="83"/>
      <c r="SNN47" s="83"/>
      <c r="SNO47" s="83"/>
      <c r="SNP47" s="83"/>
      <c r="SNQ47" s="83"/>
      <c r="SNR47" s="83"/>
      <c r="SNS47" s="83"/>
      <c r="SNT47" s="83"/>
      <c r="SNU47" s="83"/>
      <c r="SNV47" s="83"/>
      <c r="SNW47" s="83"/>
      <c r="SNX47" s="83"/>
      <c r="SNY47" s="83"/>
      <c r="SNZ47" s="83"/>
      <c r="SOA47" s="83"/>
      <c r="SOB47" s="83"/>
      <c r="SOC47" s="83"/>
      <c r="SOD47" s="83"/>
      <c r="SOE47" s="83"/>
      <c r="SOF47" s="83"/>
      <c r="SOG47" s="83"/>
      <c r="SOH47" s="83"/>
      <c r="SOI47" s="83"/>
      <c r="SOJ47" s="83"/>
      <c r="SOK47" s="83"/>
      <c r="SOL47" s="83"/>
      <c r="SOM47" s="83"/>
      <c r="SON47" s="83"/>
      <c r="SOO47" s="83"/>
      <c r="SOP47" s="83"/>
      <c r="SOQ47" s="83"/>
      <c r="SOR47" s="83"/>
      <c r="SOS47" s="83"/>
      <c r="SOT47" s="83"/>
      <c r="SOU47" s="83"/>
      <c r="SOV47" s="83"/>
      <c r="SOW47" s="83"/>
      <c r="SOX47" s="83"/>
      <c r="SOY47" s="83"/>
      <c r="SOZ47" s="83"/>
      <c r="SPA47" s="83"/>
      <c r="SPB47" s="83"/>
      <c r="SPC47" s="83"/>
      <c r="SPD47" s="83"/>
      <c r="SPE47" s="83"/>
      <c r="SPF47" s="83"/>
      <c r="SPG47" s="83"/>
      <c r="SPH47" s="83"/>
      <c r="SPI47" s="83"/>
      <c r="SPJ47" s="83"/>
      <c r="SPK47" s="83"/>
      <c r="SPL47" s="83"/>
      <c r="SPM47" s="83"/>
      <c r="SPN47" s="83"/>
      <c r="SPO47" s="83"/>
      <c r="SPP47" s="83"/>
      <c r="SPQ47" s="83"/>
      <c r="SPR47" s="83"/>
      <c r="SPS47" s="83"/>
      <c r="SPT47" s="83"/>
      <c r="SPU47" s="83"/>
      <c r="SPV47" s="83"/>
      <c r="SPW47" s="83"/>
      <c r="SPX47" s="83"/>
      <c r="SPY47" s="83"/>
      <c r="SPZ47" s="83"/>
      <c r="SQA47" s="83"/>
      <c r="SQB47" s="83"/>
      <c r="SQC47" s="83"/>
      <c r="SQD47" s="83"/>
      <c r="SQE47" s="83"/>
      <c r="SQF47" s="83"/>
      <c r="SQG47" s="83"/>
      <c r="SQH47" s="83"/>
      <c r="SQI47" s="83"/>
      <c r="SQJ47" s="83"/>
      <c r="SQK47" s="83"/>
      <c r="SQL47" s="83"/>
      <c r="SQM47" s="83"/>
      <c r="SQN47" s="83"/>
      <c r="SQO47" s="83"/>
      <c r="SQP47" s="83"/>
      <c r="SQQ47" s="83"/>
      <c r="SQR47" s="83"/>
      <c r="SQS47" s="83"/>
      <c r="SQT47" s="83"/>
      <c r="SQU47" s="83"/>
      <c r="SQV47" s="83"/>
      <c r="SQW47" s="83"/>
      <c r="SQX47" s="83"/>
      <c r="SQY47" s="83"/>
      <c r="SQZ47" s="83"/>
      <c r="SRA47" s="83"/>
      <c r="SRB47" s="83"/>
      <c r="SRC47" s="83"/>
      <c r="SRD47" s="83"/>
      <c r="SRE47" s="83"/>
      <c r="SRF47" s="83"/>
      <c r="SRG47" s="83"/>
      <c r="SRH47" s="83"/>
      <c r="SRI47" s="83"/>
      <c r="SRJ47" s="83"/>
      <c r="SRK47" s="83"/>
      <c r="SRL47" s="83"/>
      <c r="SRM47" s="83"/>
      <c r="SRN47" s="83"/>
      <c r="SRO47" s="83"/>
      <c r="SRP47" s="83"/>
      <c r="SRQ47" s="83"/>
      <c r="SRR47" s="83"/>
      <c r="SRS47" s="83"/>
      <c r="SRT47" s="83"/>
      <c r="SRU47" s="83"/>
      <c r="SRV47" s="83"/>
      <c r="SRW47" s="83"/>
      <c r="SRX47" s="83"/>
      <c r="SRY47" s="83"/>
      <c r="SRZ47" s="83"/>
      <c r="SSA47" s="83"/>
      <c r="SSB47" s="83"/>
      <c r="SSC47" s="83"/>
      <c r="SSD47" s="83"/>
      <c r="SSE47" s="83"/>
      <c r="SSF47" s="83"/>
      <c r="SSG47" s="83"/>
      <c r="SSH47" s="83"/>
      <c r="SSI47" s="83"/>
      <c r="SSJ47" s="83"/>
      <c r="SSK47" s="83"/>
      <c r="SSL47" s="83"/>
      <c r="SSM47" s="83"/>
      <c r="SSN47" s="83"/>
      <c r="SSO47" s="83"/>
      <c r="SSP47" s="83"/>
      <c r="SSQ47" s="83"/>
      <c r="SSR47" s="83"/>
      <c r="SSS47" s="83"/>
      <c r="SST47" s="83"/>
      <c r="SSU47" s="83"/>
      <c r="SSV47" s="83"/>
      <c r="SSW47" s="83"/>
      <c r="SSX47" s="83"/>
      <c r="SSY47" s="83"/>
      <c r="SSZ47" s="83"/>
      <c r="STA47" s="83"/>
      <c r="STB47" s="83"/>
      <c r="STC47" s="83"/>
      <c r="STD47" s="83"/>
      <c r="STE47" s="83"/>
      <c r="STF47" s="83"/>
      <c r="STG47" s="83"/>
      <c r="STH47" s="83"/>
      <c r="STI47" s="83"/>
      <c r="STJ47" s="83"/>
      <c r="STK47" s="83"/>
      <c r="STL47" s="83"/>
      <c r="STM47" s="83"/>
      <c r="STN47" s="83"/>
      <c r="STO47" s="83"/>
      <c r="STP47" s="83"/>
      <c r="STQ47" s="83"/>
      <c r="STR47" s="83"/>
      <c r="STS47" s="83"/>
      <c r="STT47" s="83"/>
      <c r="STU47" s="83"/>
      <c r="STV47" s="83"/>
      <c r="STW47" s="83"/>
      <c r="STX47" s="83"/>
      <c r="STY47" s="83"/>
      <c r="STZ47" s="83"/>
      <c r="SUA47" s="83"/>
      <c r="SUB47" s="83"/>
      <c r="SUC47" s="83"/>
      <c r="SUD47" s="83"/>
      <c r="SUE47" s="83"/>
      <c r="SUF47" s="83"/>
      <c r="SUG47" s="83"/>
      <c r="SUH47" s="83"/>
      <c r="SUI47" s="83"/>
      <c r="SUJ47" s="83"/>
      <c r="SUK47" s="83"/>
      <c r="SUL47" s="83"/>
      <c r="SUM47" s="83"/>
      <c r="SUN47" s="83"/>
      <c r="SUO47" s="83"/>
      <c r="SUP47" s="83"/>
      <c r="SUQ47" s="83"/>
      <c r="SUR47" s="83"/>
      <c r="SUS47" s="83"/>
      <c r="SUT47" s="83"/>
      <c r="SUU47" s="83"/>
      <c r="SUV47" s="83"/>
      <c r="SUW47" s="83"/>
      <c r="SUX47" s="83"/>
      <c r="SUY47" s="83"/>
      <c r="SUZ47" s="83"/>
      <c r="SVA47" s="83"/>
      <c r="SVB47" s="83"/>
      <c r="SVC47" s="83"/>
      <c r="SVD47" s="83"/>
      <c r="SVE47" s="83"/>
      <c r="SVF47" s="83"/>
      <c r="SVG47" s="83"/>
      <c r="SVH47" s="83"/>
      <c r="SVI47" s="83"/>
      <c r="SVJ47" s="83"/>
      <c r="SVK47" s="83"/>
      <c r="SVL47" s="83"/>
      <c r="SVM47" s="83"/>
      <c r="SVN47" s="83"/>
      <c r="SVO47" s="83"/>
      <c r="SVP47" s="83"/>
      <c r="SVQ47" s="83"/>
      <c r="SVR47" s="83"/>
      <c r="SVS47" s="83"/>
      <c r="SVT47" s="83"/>
      <c r="SVU47" s="83"/>
      <c r="SVV47" s="83"/>
      <c r="SVW47" s="83"/>
      <c r="SVX47" s="83"/>
      <c r="SVY47" s="83"/>
      <c r="SVZ47" s="83"/>
      <c r="SWA47" s="83"/>
      <c r="SWB47" s="83"/>
      <c r="SWC47" s="83"/>
      <c r="SWD47" s="83"/>
      <c r="SWE47" s="83"/>
      <c r="SWF47" s="83"/>
      <c r="SWG47" s="83"/>
      <c r="SWH47" s="83"/>
      <c r="SWI47" s="83"/>
      <c r="SWJ47" s="83"/>
      <c r="SWK47" s="83"/>
      <c r="SWL47" s="83"/>
      <c r="SWM47" s="83"/>
      <c r="SWN47" s="83"/>
      <c r="SWO47" s="83"/>
      <c r="SWP47" s="83"/>
      <c r="SWQ47" s="83"/>
      <c r="SWR47" s="83"/>
      <c r="SWS47" s="83"/>
      <c r="SWT47" s="83"/>
      <c r="SWU47" s="83"/>
      <c r="SWV47" s="83"/>
      <c r="SWW47" s="83"/>
      <c r="SWX47" s="83"/>
      <c r="SWY47" s="83"/>
      <c r="SWZ47" s="83"/>
      <c r="SXA47" s="83"/>
      <c r="SXB47" s="83"/>
      <c r="SXC47" s="83"/>
      <c r="SXD47" s="83"/>
      <c r="SXE47" s="83"/>
      <c r="SXF47" s="83"/>
      <c r="SXG47" s="83"/>
      <c r="SXH47" s="83"/>
      <c r="SXI47" s="83"/>
      <c r="SXJ47" s="83"/>
      <c r="SXK47" s="83"/>
      <c r="SXL47" s="83"/>
      <c r="SXM47" s="83"/>
      <c r="SXN47" s="83"/>
      <c r="SXO47" s="83"/>
      <c r="SXP47" s="83"/>
      <c r="SXQ47" s="83"/>
      <c r="SXR47" s="83"/>
      <c r="SXS47" s="83"/>
      <c r="SXT47" s="83"/>
      <c r="SXU47" s="83"/>
      <c r="SXV47" s="83"/>
      <c r="SXW47" s="83"/>
      <c r="SXX47" s="83"/>
      <c r="SXY47" s="83"/>
      <c r="SXZ47" s="83"/>
      <c r="SYA47" s="83"/>
      <c r="SYB47" s="83"/>
      <c r="SYC47" s="83"/>
      <c r="SYD47" s="83"/>
      <c r="SYE47" s="83"/>
      <c r="SYF47" s="83"/>
      <c r="SYG47" s="83"/>
      <c r="SYH47" s="83"/>
      <c r="SYI47" s="83"/>
      <c r="SYJ47" s="83"/>
      <c r="SYK47" s="83"/>
      <c r="SYL47" s="83"/>
      <c r="SYM47" s="83"/>
      <c r="SYN47" s="83"/>
      <c r="SYO47" s="83"/>
      <c r="SYP47" s="83"/>
      <c r="SYQ47" s="83"/>
      <c r="SYR47" s="83"/>
      <c r="SYS47" s="83"/>
      <c r="SYT47" s="83"/>
      <c r="SYU47" s="83"/>
      <c r="SYV47" s="83"/>
      <c r="SYW47" s="83"/>
      <c r="SYX47" s="83"/>
      <c r="SYY47" s="83"/>
      <c r="SYZ47" s="83"/>
      <c r="SZA47" s="83"/>
      <c r="SZB47" s="83"/>
      <c r="SZC47" s="83"/>
      <c r="SZD47" s="83"/>
      <c r="SZE47" s="83"/>
      <c r="SZF47" s="83"/>
      <c r="SZG47" s="83"/>
      <c r="SZH47" s="83"/>
      <c r="SZI47" s="83"/>
      <c r="SZJ47" s="83"/>
      <c r="SZK47" s="83"/>
      <c r="SZL47" s="83"/>
      <c r="SZM47" s="83"/>
      <c r="SZN47" s="83"/>
      <c r="SZO47" s="83"/>
      <c r="SZP47" s="83"/>
      <c r="SZQ47" s="83"/>
      <c r="SZR47" s="83"/>
      <c r="SZS47" s="83"/>
      <c r="SZT47" s="83"/>
      <c r="SZU47" s="83"/>
      <c r="SZV47" s="83"/>
      <c r="SZW47" s="83"/>
      <c r="SZX47" s="83"/>
      <c r="SZY47" s="83"/>
      <c r="SZZ47" s="83"/>
      <c r="TAA47" s="83"/>
      <c r="TAB47" s="83"/>
      <c r="TAC47" s="83"/>
      <c r="TAD47" s="83"/>
      <c r="TAE47" s="83"/>
      <c r="TAF47" s="83"/>
      <c r="TAG47" s="83"/>
      <c r="TAH47" s="83"/>
      <c r="TAI47" s="83"/>
      <c r="TAJ47" s="83"/>
      <c r="TAK47" s="83"/>
      <c r="TAL47" s="83"/>
      <c r="TAM47" s="83"/>
      <c r="TAN47" s="83"/>
      <c r="TAO47" s="83"/>
      <c r="TAP47" s="83"/>
      <c r="TAQ47" s="83"/>
      <c r="TAR47" s="83"/>
      <c r="TAS47" s="83"/>
      <c r="TAT47" s="83"/>
      <c r="TAU47" s="83"/>
      <c r="TAV47" s="83"/>
      <c r="TAW47" s="83"/>
      <c r="TAX47" s="83"/>
      <c r="TAY47" s="83"/>
      <c r="TAZ47" s="83"/>
      <c r="TBA47" s="83"/>
      <c r="TBB47" s="83"/>
      <c r="TBC47" s="83"/>
      <c r="TBD47" s="83"/>
      <c r="TBE47" s="83"/>
      <c r="TBF47" s="83"/>
      <c r="TBG47" s="83"/>
      <c r="TBH47" s="83"/>
      <c r="TBI47" s="83"/>
      <c r="TBJ47" s="83"/>
      <c r="TBK47" s="83"/>
      <c r="TBL47" s="83"/>
      <c r="TBM47" s="83"/>
      <c r="TBN47" s="83"/>
      <c r="TBO47" s="83"/>
      <c r="TBP47" s="83"/>
      <c r="TBQ47" s="83"/>
      <c r="TBR47" s="83"/>
      <c r="TBS47" s="83"/>
      <c r="TBT47" s="83"/>
      <c r="TBU47" s="83"/>
      <c r="TBV47" s="83"/>
      <c r="TBW47" s="83"/>
      <c r="TBX47" s="83"/>
      <c r="TBY47" s="83"/>
      <c r="TBZ47" s="83"/>
      <c r="TCA47" s="83"/>
      <c r="TCB47" s="83"/>
      <c r="TCC47" s="83"/>
      <c r="TCD47" s="83"/>
      <c r="TCE47" s="83"/>
      <c r="TCF47" s="83"/>
      <c r="TCG47" s="83"/>
      <c r="TCH47" s="83"/>
      <c r="TCI47" s="83"/>
      <c r="TCJ47" s="83"/>
      <c r="TCK47" s="83"/>
      <c r="TCL47" s="83"/>
      <c r="TCM47" s="83"/>
      <c r="TCN47" s="83"/>
      <c r="TCO47" s="83"/>
      <c r="TCP47" s="83"/>
      <c r="TCQ47" s="83"/>
      <c r="TCR47" s="83"/>
      <c r="TCS47" s="83"/>
      <c r="TCT47" s="83"/>
      <c r="TCU47" s="83"/>
      <c r="TCV47" s="83"/>
      <c r="TCW47" s="83"/>
      <c r="TCX47" s="83"/>
      <c r="TCY47" s="83"/>
      <c r="TCZ47" s="83"/>
      <c r="TDA47" s="83"/>
      <c r="TDB47" s="83"/>
      <c r="TDC47" s="83"/>
      <c r="TDD47" s="83"/>
      <c r="TDE47" s="83"/>
      <c r="TDF47" s="83"/>
      <c r="TDG47" s="83"/>
      <c r="TDH47" s="83"/>
      <c r="TDI47" s="83"/>
      <c r="TDJ47" s="83"/>
      <c r="TDK47" s="83"/>
      <c r="TDL47" s="83"/>
      <c r="TDM47" s="83"/>
      <c r="TDN47" s="83"/>
      <c r="TDO47" s="83"/>
      <c r="TDP47" s="83"/>
      <c r="TDQ47" s="83"/>
      <c r="TDR47" s="83"/>
      <c r="TDS47" s="83"/>
      <c r="TDT47" s="83"/>
      <c r="TDU47" s="83"/>
      <c r="TDV47" s="83"/>
      <c r="TDW47" s="83"/>
      <c r="TDX47" s="83"/>
      <c r="TDY47" s="83"/>
      <c r="TDZ47" s="83"/>
      <c r="TEA47" s="83"/>
      <c r="TEB47" s="83"/>
      <c r="TEC47" s="83"/>
      <c r="TED47" s="83"/>
      <c r="TEE47" s="83"/>
      <c r="TEF47" s="83"/>
      <c r="TEG47" s="83"/>
      <c r="TEH47" s="83"/>
      <c r="TEI47" s="83"/>
      <c r="TEJ47" s="83"/>
      <c r="TEK47" s="83"/>
      <c r="TEL47" s="83"/>
      <c r="TEM47" s="83"/>
      <c r="TEN47" s="83"/>
      <c r="TEO47" s="83"/>
      <c r="TEP47" s="83"/>
      <c r="TEQ47" s="83"/>
      <c r="TER47" s="83"/>
      <c r="TES47" s="83"/>
      <c r="TET47" s="83"/>
      <c r="TEU47" s="83"/>
      <c r="TEV47" s="83"/>
      <c r="TEW47" s="83"/>
      <c r="TEX47" s="83"/>
      <c r="TEY47" s="83"/>
      <c r="TEZ47" s="83"/>
      <c r="TFA47" s="83"/>
      <c r="TFB47" s="83"/>
      <c r="TFC47" s="83"/>
      <c r="TFD47" s="83"/>
      <c r="TFE47" s="83"/>
      <c r="TFF47" s="83"/>
      <c r="TFG47" s="83"/>
      <c r="TFH47" s="83"/>
      <c r="TFI47" s="83"/>
      <c r="TFJ47" s="83"/>
      <c r="TFK47" s="83"/>
      <c r="TFL47" s="83"/>
      <c r="TFM47" s="83"/>
      <c r="TFN47" s="83"/>
      <c r="TFO47" s="83"/>
      <c r="TFP47" s="83"/>
      <c r="TFQ47" s="83"/>
      <c r="TFR47" s="83"/>
      <c r="TFS47" s="83"/>
      <c r="TFT47" s="83"/>
      <c r="TFU47" s="83"/>
      <c r="TFV47" s="83"/>
      <c r="TFW47" s="83"/>
      <c r="TFX47" s="83"/>
      <c r="TFY47" s="83"/>
      <c r="TFZ47" s="83"/>
      <c r="TGA47" s="83"/>
      <c r="TGB47" s="83"/>
      <c r="TGC47" s="83"/>
      <c r="TGD47" s="83"/>
      <c r="TGE47" s="83"/>
      <c r="TGF47" s="83"/>
      <c r="TGG47" s="83"/>
      <c r="TGH47" s="83"/>
      <c r="TGI47" s="83"/>
      <c r="TGJ47" s="83"/>
      <c r="TGK47" s="83"/>
      <c r="TGL47" s="83"/>
      <c r="TGM47" s="83"/>
      <c r="TGN47" s="83"/>
      <c r="TGO47" s="83"/>
      <c r="TGP47" s="83"/>
      <c r="TGQ47" s="83"/>
      <c r="TGR47" s="83"/>
      <c r="TGS47" s="83"/>
      <c r="TGT47" s="83"/>
      <c r="TGU47" s="83"/>
      <c r="TGV47" s="83"/>
      <c r="TGW47" s="83"/>
      <c r="TGX47" s="83"/>
      <c r="TGY47" s="83"/>
      <c r="TGZ47" s="83"/>
      <c r="THA47" s="83"/>
      <c r="THB47" s="83"/>
      <c r="THC47" s="83"/>
      <c r="THD47" s="83"/>
      <c r="THE47" s="83"/>
      <c r="THF47" s="83"/>
      <c r="THG47" s="83"/>
      <c r="THH47" s="83"/>
      <c r="THI47" s="83"/>
      <c r="THJ47" s="83"/>
      <c r="THK47" s="83"/>
      <c r="THL47" s="83"/>
      <c r="THM47" s="83"/>
      <c r="THN47" s="83"/>
      <c r="THO47" s="83"/>
      <c r="THP47" s="83"/>
      <c r="THQ47" s="83"/>
      <c r="THR47" s="83"/>
      <c r="THS47" s="83"/>
      <c r="THT47" s="83"/>
      <c r="THU47" s="83"/>
      <c r="THV47" s="83"/>
      <c r="THW47" s="83"/>
      <c r="THX47" s="83"/>
      <c r="THY47" s="83"/>
      <c r="THZ47" s="83"/>
      <c r="TIA47" s="83"/>
      <c r="TIB47" s="83"/>
      <c r="TIC47" s="83"/>
      <c r="TID47" s="83"/>
      <c r="TIE47" s="83"/>
      <c r="TIF47" s="83"/>
      <c r="TIG47" s="83"/>
      <c r="TIH47" s="83"/>
      <c r="TII47" s="83"/>
      <c r="TIJ47" s="83"/>
      <c r="TIK47" s="83"/>
      <c r="TIL47" s="83"/>
      <c r="TIM47" s="83"/>
      <c r="TIN47" s="83"/>
      <c r="TIO47" s="83"/>
      <c r="TIP47" s="83"/>
      <c r="TIQ47" s="83"/>
      <c r="TIR47" s="83"/>
      <c r="TIS47" s="83"/>
      <c r="TIT47" s="83"/>
      <c r="TIU47" s="83"/>
      <c r="TIV47" s="83"/>
      <c r="TIW47" s="83"/>
      <c r="TIX47" s="83"/>
      <c r="TIY47" s="83"/>
      <c r="TIZ47" s="83"/>
      <c r="TJA47" s="83"/>
      <c r="TJB47" s="83"/>
      <c r="TJC47" s="83"/>
      <c r="TJD47" s="83"/>
      <c r="TJE47" s="83"/>
      <c r="TJF47" s="83"/>
      <c r="TJG47" s="83"/>
      <c r="TJH47" s="83"/>
      <c r="TJI47" s="83"/>
      <c r="TJJ47" s="83"/>
      <c r="TJK47" s="83"/>
      <c r="TJL47" s="83"/>
      <c r="TJM47" s="83"/>
      <c r="TJN47" s="83"/>
      <c r="TJO47" s="83"/>
      <c r="TJP47" s="83"/>
      <c r="TJQ47" s="83"/>
      <c r="TJR47" s="83"/>
      <c r="TJS47" s="83"/>
      <c r="TJT47" s="83"/>
      <c r="TJU47" s="83"/>
      <c r="TJV47" s="83"/>
      <c r="TJW47" s="83"/>
      <c r="TJX47" s="83"/>
      <c r="TJY47" s="83"/>
      <c r="TJZ47" s="83"/>
      <c r="TKA47" s="83"/>
      <c r="TKB47" s="83"/>
      <c r="TKC47" s="83"/>
      <c r="TKD47" s="83"/>
      <c r="TKE47" s="83"/>
      <c r="TKF47" s="83"/>
      <c r="TKG47" s="83"/>
      <c r="TKH47" s="83"/>
      <c r="TKI47" s="83"/>
      <c r="TKJ47" s="83"/>
      <c r="TKK47" s="83"/>
      <c r="TKL47" s="83"/>
      <c r="TKM47" s="83"/>
      <c r="TKN47" s="83"/>
      <c r="TKO47" s="83"/>
      <c r="TKP47" s="83"/>
      <c r="TKQ47" s="83"/>
      <c r="TKR47" s="83"/>
      <c r="TKS47" s="83"/>
      <c r="TKT47" s="83"/>
      <c r="TKU47" s="83"/>
      <c r="TKV47" s="83"/>
      <c r="TKW47" s="83"/>
      <c r="TKX47" s="83"/>
      <c r="TKY47" s="83"/>
      <c r="TKZ47" s="83"/>
      <c r="TLA47" s="83"/>
      <c r="TLB47" s="83"/>
      <c r="TLC47" s="83"/>
      <c r="TLD47" s="83"/>
      <c r="TLE47" s="83"/>
      <c r="TLF47" s="83"/>
      <c r="TLG47" s="83"/>
      <c r="TLH47" s="83"/>
      <c r="TLI47" s="83"/>
      <c r="TLJ47" s="83"/>
      <c r="TLK47" s="83"/>
      <c r="TLL47" s="83"/>
      <c r="TLM47" s="83"/>
      <c r="TLN47" s="83"/>
      <c r="TLO47" s="83"/>
      <c r="TLP47" s="83"/>
      <c r="TLQ47" s="83"/>
      <c r="TLR47" s="83"/>
      <c r="TLS47" s="83"/>
      <c r="TLT47" s="83"/>
      <c r="TLU47" s="83"/>
      <c r="TLV47" s="83"/>
      <c r="TLW47" s="83"/>
      <c r="TLX47" s="83"/>
      <c r="TLY47" s="83"/>
      <c r="TLZ47" s="83"/>
      <c r="TMA47" s="83"/>
      <c r="TMB47" s="83"/>
      <c r="TMC47" s="83"/>
      <c r="TMD47" s="83"/>
      <c r="TME47" s="83"/>
      <c r="TMF47" s="83"/>
      <c r="TMG47" s="83"/>
      <c r="TMH47" s="83"/>
      <c r="TMI47" s="83"/>
      <c r="TMJ47" s="83"/>
      <c r="TMK47" s="83"/>
      <c r="TML47" s="83"/>
      <c r="TMM47" s="83"/>
      <c r="TMN47" s="83"/>
      <c r="TMO47" s="83"/>
      <c r="TMP47" s="83"/>
      <c r="TMQ47" s="83"/>
      <c r="TMR47" s="83"/>
      <c r="TMS47" s="83"/>
      <c r="TMT47" s="83"/>
      <c r="TMU47" s="83"/>
      <c r="TMV47" s="83"/>
      <c r="TMW47" s="83"/>
      <c r="TMX47" s="83"/>
      <c r="TMY47" s="83"/>
      <c r="TMZ47" s="83"/>
      <c r="TNA47" s="83"/>
      <c r="TNB47" s="83"/>
      <c r="TNC47" s="83"/>
      <c r="TND47" s="83"/>
      <c r="TNE47" s="83"/>
      <c r="TNF47" s="83"/>
      <c r="TNG47" s="83"/>
      <c r="TNH47" s="83"/>
      <c r="TNI47" s="83"/>
      <c r="TNJ47" s="83"/>
      <c r="TNK47" s="83"/>
      <c r="TNL47" s="83"/>
      <c r="TNM47" s="83"/>
      <c r="TNN47" s="83"/>
      <c r="TNO47" s="83"/>
      <c r="TNP47" s="83"/>
      <c r="TNQ47" s="83"/>
      <c r="TNR47" s="83"/>
      <c r="TNS47" s="83"/>
      <c r="TNT47" s="83"/>
      <c r="TNU47" s="83"/>
      <c r="TNV47" s="83"/>
      <c r="TNW47" s="83"/>
      <c r="TNX47" s="83"/>
      <c r="TNY47" s="83"/>
      <c r="TNZ47" s="83"/>
      <c r="TOA47" s="83"/>
      <c r="TOB47" s="83"/>
      <c r="TOC47" s="83"/>
      <c r="TOD47" s="83"/>
      <c r="TOE47" s="83"/>
      <c r="TOF47" s="83"/>
      <c r="TOG47" s="83"/>
      <c r="TOH47" s="83"/>
      <c r="TOI47" s="83"/>
      <c r="TOJ47" s="83"/>
      <c r="TOK47" s="83"/>
      <c r="TOL47" s="83"/>
      <c r="TOM47" s="83"/>
      <c r="TON47" s="83"/>
      <c r="TOO47" s="83"/>
      <c r="TOP47" s="83"/>
      <c r="TOQ47" s="83"/>
      <c r="TOR47" s="83"/>
      <c r="TOS47" s="83"/>
      <c r="TOT47" s="83"/>
      <c r="TOU47" s="83"/>
      <c r="TOV47" s="83"/>
      <c r="TOW47" s="83"/>
      <c r="TOX47" s="83"/>
      <c r="TOY47" s="83"/>
      <c r="TOZ47" s="83"/>
      <c r="TPA47" s="83"/>
      <c r="TPB47" s="83"/>
      <c r="TPC47" s="83"/>
      <c r="TPD47" s="83"/>
      <c r="TPE47" s="83"/>
      <c r="TPF47" s="83"/>
      <c r="TPG47" s="83"/>
      <c r="TPH47" s="83"/>
      <c r="TPI47" s="83"/>
      <c r="TPJ47" s="83"/>
      <c r="TPK47" s="83"/>
      <c r="TPL47" s="83"/>
      <c r="TPM47" s="83"/>
      <c r="TPN47" s="83"/>
      <c r="TPO47" s="83"/>
      <c r="TPP47" s="83"/>
      <c r="TPQ47" s="83"/>
      <c r="TPR47" s="83"/>
      <c r="TPS47" s="83"/>
      <c r="TPT47" s="83"/>
      <c r="TPU47" s="83"/>
      <c r="TPV47" s="83"/>
      <c r="TPW47" s="83"/>
      <c r="TPX47" s="83"/>
      <c r="TPY47" s="83"/>
      <c r="TPZ47" s="83"/>
      <c r="TQA47" s="83"/>
      <c r="TQB47" s="83"/>
      <c r="TQC47" s="83"/>
      <c r="TQD47" s="83"/>
      <c r="TQE47" s="83"/>
      <c r="TQF47" s="83"/>
      <c r="TQG47" s="83"/>
      <c r="TQH47" s="83"/>
      <c r="TQI47" s="83"/>
      <c r="TQJ47" s="83"/>
      <c r="TQK47" s="83"/>
      <c r="TQL47" s="83"/>
      <c r="TQM47" s="83"/>
      <c r="TQN47" s="83"/>
      <c r="TQO47" s="83"/>
      <c r="TQP47" s="83"/>
      <c r="TQQ47" s="83"/>
      <c r="TQR47" s="83"/>
      <c r="TQS47" s="83"/>
      <c r="TQT47" s="83"/>
      <c r="TQU47" s="83"/>
      <c r="TQV47" s="83"/>
      <c r="TQW47" s="83"/>
      <c r="TQX47" s="83"/>
      <c r="TQY47" s="83"/>
      <c r="TQZ47" s="83"/>
      <c r="TRA47" s="83"/>
      <c r="TRB47" s="83"/>
      <c r="TRC47" s="83"/>
      <c r="TRD47" s="83"/>
      <c r="TRE47" s="83"/>
      <c r="TRF47" s="83"/>
      <c r="TRG47" s="83"/>
      <c r="TRH47" s="83"/>
      <c r="TRI47" s="83"/>
      <c r="TRJ47" s="83"/>
      <c r="TRK47" s="83"/>
      <c r="TRL47" s="83"/>
      <c r="TRM47" s="83"/>
      <c r="TRN47" s="83"/>
      <c r="TRO47" s="83"/>
      <c r="TRP47" s="83"/>
      <c r="TRQ47" s="83"/>
      <c r="TRR47" s="83"/>
      <c r="TRS47" s="83"/>
      <c r="TRT47" s="83"/>
      <c r="TRU47" s="83"/>
      <c r="TRV47" s="83"/>
      <c r="TRW47" s="83"/>
      <c r="TRX47" s="83"/>
      <c r="TRY47" s="83"/>
      <c r="TRZ47" s="83"/>
      <c r="TSA47" s="83"/>
      <c r="TSB47" s="83"/>
      <c r="TSC47" s="83"/>
      <c r="TSD47" s="83"/>
      <c r="TSE47" s="83"/>
      <c r="TSF47" s="83"/>
      <c r="TSG47" s="83"/>
      <c r="TSH47" s="83"/>
      <c r="TSI47" s="83"/>
      <c r="TSJ47" s="83"/>
      <c r="TSK47" s="83"/>
      <c r="TSL47" s="83"/>
      <c r="TSM47" s="83"/>
      <c r="TSN47" s="83"/>
      <c r="TSO47" s="83"/>
      <c r="TSP47" s="83"/>
      <c r="TSQ47" s="83"/>
      <c r="TSR47" s="83"/>
      <c r="TSS47" s="83"/>
      <c r="TST47" s="83"/>
      <c r="TSU47" s="83"/>
      <c r="TSV47" s="83"/>
      <c r="TSW47" s="83"/>
      <c r="TSX47" s="83"/>
      <c r="TSY47" s="83"/>
      <c r="TSZ47" s="83"/>
      <c r="TTA47" s="83"/>
      <c r="TTB47" s="83"/>
      <c r="TTC47" s="83"/>
      <c r="TTD47" s="83"/>
      <c r="TTE47" s="83"/>
      <c r="TTF47" s="83"/>
      <c r="TTG47" s="83"/>
      <c r="TTH47" s="83"/>
      <c r="TTI47" s="83"/>
      <c r="TTJ47" s="83"/>
      <c r="TTK47" s="83"/>
      <c r="TTL47" s="83"/>
      <c r="TTM47" s="83"/>
      <c r="TTN47" s="83"/>
      <c r="TTO47" s="83"/>
      <c r="TTP47" s="83"/>
      <c r="TTQ47" s="83"/>
      <c r="TTR47" s="83"/>
      <c r="TTS47" s="83"/>
      <c r="TTT47" s="83"/>
      <c r="TTU47" s="83"/>
      <c r="TTV47" s="83"/>
      <c r="TTW47" s="83"/>
      <c r="TTX47" s="83"/>
      <c r="TTY47" s="83"/>
      <c r="TTZ47" s="83"/>
      <c r="TUA47" s="83"/>
      <c r="TUB47" s="83"/>
      <c r="TUC47" s="83"/>
      <c r="TUD47" s="83"/>
      <c r="TUE47" s="83"/>
      <c r="TUF47" s="83"/>
      <c r="TUG47" s="83"/>
      <c r="TUH47" s="83"/>
      <c r="TUI47" s="83"/>
      <c r="TUJ47" s="83"/>
      <c r="TUK47" s="83"/>
      <c r="TUL47" s="83"/>
      <c r="TUM47" s="83"/>
      <c r="TUN47" s="83"/>
      <c r="TUO47" s="83"/>
      <c r="TUP47" s="83"/>
      <c r="TUQ47" s="83"/>
      <c r="TUR47" s="83"/>
      <c r="TUS47" s="83"/>
      <c r="TUT47" s="83"/>
      <c r="TUU47" s="83"/>
      <c r="TUV47" s="83"/>
      <c r="TUW47" s="83"/>
      <c r="TUX47" s="83"/>
      <c r="TUY47" s="83"/>
      <c r="TUZ47" s="83"/>
      <c r="TVA47" s="83"/>
      <c r="TVB47" s="83"/>
      <c r="TVC47" s="83"/>
      <c r="TVD47" s="83"/>
      <c r="TVE47" s="83"/>
      <c r="TVF47" s="83"/>
      <c r="TVG47" s="83"/>
      <c r="TVH47" s="83"/>
      <c r="TVI47" s="83"/>
      <c r="TVJ47" s="83"/>
      <c r="TVK47" s="83"/>
      <c r="TVL47" s="83"/>
      <c r="TVM47" s="83"/>
      <c r="TVN47" s="83"/>
      <c r="TVO47" s="83"/>
      <c r="TVP47" s="83"/>
      <c r="TVQ47" s="83"/>
      <c r="TVR47" s="83"/>
      <c r="TVS47" s="83"/>
      <c r="TVT47" s="83"/>
      <c r="TVU47" s="83"/>
      <c r="TVV47" s="83"/>
      <c r="TVW47" s="83"/>
      <c r="TVX47" s="83"/>
      <c r="TVY47" s="83"/>
      <c r="TVZ47" s="83"/>
      <c r="TWA47" s="83"/>
      <c r="TWB47" s="83"/>
      <c r="TWC47" s="83"/>
      <c r="TWD47" s="83"/>
      <c r="TWE47" s="83"/>
      <c r="TWF47" s="83"/>
      <c r="TWG47" s="83"/>
      <c r="TWH47" s="83"/>
      <c r="TWI47" s="83"/>
      <c r="TWJ47" s="83"/>
      <c r="TWK47" s="83"/>
      <c r="TWL47" s="83"/>
      <c r="TWM47" s="83"/>
      <c r="TWN47" s="83"/>
      <c r="TWO47" s="83"/>
      <c r="TWP47" s="83"/>
      <c r="TWQ47" s="83"/>
      <c r="TWR47" s="83"/>
      <c r="TWS47" s="83"/>
      <c r="TWT47" s="83"/>
      <c r="TWU47" s="83"/>
      <c r="TWV47" s="83"/>
      <c r="TWW47" s="83"/>
      <c r="TWX47" s="83"/>
      <c r="TWY47" s="83"/>
      <c r="TWZ47" s="83"/>
      <c r="TXA47" s="83"/>
      <c r="TXB47" s="83"/>
      <c r="TXC47" s="83"/>
      <c r="TXD47" s="83"/>
      <c r="TXE47" s="83"/>
      <c r="TXF47" s="83"/>
      <c r="TXG47" s="83"/>
      <c r="TXH47" s="83"/>
      <c r="TXI47" s="83"/>
      <c r="TXJ47" s="83"/>
      <c r="TXK47" s="83"/>
      <c r="TXL47" s="83"/>
      <c r="TXM47" s="83"/>
      <c r="TXN47" s="83"/>
      <c r="TXO47" s="83"/>
      <c r="TXP47" s="83"/>
      <c r="TXQ47" s="83"/>
      <c r="TXR47" s="83"/>
      <c r="TXS47" s="83"/>
      <c r="TXT47" s="83"/>
      <c r="TXU47" s="83"/>
      <c r="TXV47" s="83"/>
      <c r="TXW47" s="83"/>
      <c r="TXX47" s="83"/>
      <c r="TXY47" s="83"/>
      <c r="TXZ47" s="83"/>
      <c r="TYA47" s="83"/>
      <c r="TYB47" s="83"/>
      <c r="TYC47" s="83"/>
      <c r="TYD47" s="83"/>
      <c r="TYE47" s="83"/>
      <c r="TYF47" s="83"/>
      <c r="TYG47" s="83"/>
      <c r="TYH47" s="83"/>
      <c r="TYI47" s="83"/>
      <c r="TYJ47" s="83"/>
      <c r="TYK47" s="83"/>
      <c r="TYL47" s="83"/>
      <c r="TYM47" s="83"/>
      <c r="TYN47" s="83"/>
      <c r="TYO47" s="83"/>
      <c r="TYP47" s="83"/>
      <c r="TYQ47" s="83"/>
      <c r="TYR47" s="83"/>
      <c r="TYS47" s="83"/>
      <c r="TYT47" s="83"/>
      <c r="TYU47" s="83"/>
      <c r="TYV47" s="83"/>
      <c r="TYW47" s="83"/>
      <c r="TYX47" s="83"/>
      <c r="TYY47" s="83"/>
      <c r="TYZ47" s="83"/>
      <c r="TZA47" s="83"/>
      <c r="TZB47" s="83"/>
      <c r="TZC47" s="83"/>
      <c r="TZD47" s="83"/>
      <c r="TZE47" s="83"/>
      <c r="TZF47" s="83"/>
      <c r="TZG47" s="83"/>
      <c r="TZH47" s="83"/>
      <c r="TZI47" s="83"/>
      <c r="TZJ47" s="83"/>
      <c r="TZK47" s="83"/>
      <c r="TZL47" s="83"/>
      <c r="TZM47" s="83"/>
      <c r="TZN47" s="83"/>
      <c r="TZO47" s="83"/>
      <c r="TZP47" s="83"/>
      <c r="TZQ47" s="83"/>
      <c r="TZR47" s="83"/>
      <c r="TZS47" s="83"/>
      <c r="TZT47" s="83"/>
      <c r="TZU47" s="83"/>
      <c r="TZV47" s="83"/>
      <c r="TZW47" s="83"/>
      <c r="TZX47" s="83"/>
      <c r="TZY47" s="83"/>
      <c r="TZZ47" s="83"/>
      <c r="UAA47" s="83"/>
      <c r="UAB47" s="83"/>
      <c r="UAC47" s="83"/>
      <c r="UAD47" s="83"/>
      <c r="UAE47" s="83"/>
      <c r="UAF47" s="83"/>
      <c r="UAG47" s="83"/>
      <c r="UAH47" s="83"/>
      <c r="UAI47" s="83"/>
      <c r="UAJ47" s="83"/>
      <c r="UAK47" s="83"/>
      <c r="UAL47" s="83"/>
      <c r="UAM47" s="83"/>
      <c r="UAN47" s="83"/>
      <c r="UAO47" s="83"/>
      <c r="UAP47" s="83"/>
      <c r="UAQ47" s="83"/>
      <c r="UAR47" s="83"/>
      <c r="UAS47" s="83"/>
      <c r="UAT47" s="83"/>
      <c r="UAU47" s="83"/>
      <c r="UAV47" s="83"/>
      <c r="UAW47" s="83"/>
      <c r="UAX47" s="83"/>
      <c r="UAY47" s="83"/>
      <c r="UAZ47" s="83"/>
      <c r="UBA47" s="83"/>
      <c r="UBB47" s="83"/>
      <c r="UBC47" s="83"/>
      <c r="UBD47" s="83"/>
      <c r="UBE47" s="83"/>
      <c r="UBF47" s="83"/>
      <c r="UBG47" s="83"/>
      <c r="UBH47" s="83"/>
      <c r="UBI47" s="83"/>
      <c r="UBJ47" s="83"/>
      <c r="UBK47" s="83"/>
      <c r="UBL47" s="83"/>
      <c r="UBM47" s="83"/>
      <c r="UBN47" s="83"/>
      <c r="UBO47" s="83"/>
      <c r="UBP47" s="83"/>
      <c r="UBQ47" s="83"/>
      <c r="UBR47" s="83"/>
      <c r="UBS47" s="83"/>
      <c r="UBT47" s="83"/>
      <c r="UBU47" s="83"/>
      <c r="UBV47" s="83"/>
      <c r="UBW47" s="83"/>
      <c r="UBX47" s="83"/>
      <c r="UBY47" s="83"/>
      <c r="UBZ47" s="83"/>
      <c r="UCA47" s="83"/>
      <c r="UCB47" s="83"/>
      <c r="UCC47" s="83"/>
      <c r="UCD47" s="83"/>
      <c r="UCE47" s="83"/>
      <c r="UCF47" s="83"/>
      <c r="UCG47" s="83"/>
      <c r="UCH47" s="83"/>
      <c r="UCI47" s="83"/>
      <c r="UCJ47" s="83"/>
      <c r="UCK47" s="83"/>
      <c r="UCL47" s="83"/>
      <c r="UCM47" s="83"/>
      <c r="UCN47" s="83"/>
      <c r="UCO47" s="83"/>
      <c r="UCP47" s="83"/>
      <c r="UCQ47" s="83"/>
      <c r="UCR47" s="83"/>
      <c r="UCS47" s="83"/>
      <c r="UCT47" s="83"/>
      <c r="UCU47" s="83"/>
      <c r="UCV47" s="83"/>
      <c r="UCW47" s="83"/>
      <c r="UCX47" s="83"/>
      <c r="UCY47" s="83"/>
      <c r="UCZ47" s="83"/>
      <c r="UDA47" s="83"/>
      <c r="UDB47" s="83"/>
      <c r="UDC47" s="83"/>
      <c r="UDD47" s="83"/>
      <c r="UDE47" s="83"/>
      <c r="UDF47" s="83"/>
      <c r="UDG47" s="83"/>
      <c r="UDH47" s="83"/>
      <c r="UDI47" s="83"/>
      <c r="UDJ47" s="83"/>
      <c r="UDK47" s="83"/>
      <c r="UDL47" s="83"/>
      <c r="UDM47" s="83"/>
      <c r="UDN47" s="83"/>
      <c r="UDO47" s="83"/>
      <c r="UDP47" s="83"/>
      <c r="UDQ47" s="83"/>
      <c r="UDR47" s="83"/>
      <c r="UDS47" s="83"/>
      <c r="UDT47" s="83"/>
      <c r="UDU47" s="83"/>
      <c r="UDV47" s="83"/>
      <c r="UDW47" s="83"/>
      <c r="UDX47" s="83"/>
      <c r="UDY47" s="83"/>
      <c r="UDZ47" s="83"/>
      <c r="UEA47" s="83"/>
      <c r="UEB47" s="83"/>
      <c r="UEC47" s="83"/>
      <c r="UED47" s="83"/>
      <c r="UEE47" s="83"/>
      <c r="UEF47" s="83"/>
      <c r="UEG47" s="83"/>
      <c r="UEH47" s="83"/>
      <c r="UEI47" s="83"/>
      <c r="UEJ47" s="83"/>
      <c r="UEK47" s="83"/>
      <c r="UEL47" s="83"/>
      <c r="UEM47" s="83"/>
      <c r="UEN47" s="83"/>
      <c r="UEO47" s="83"/>
      <c r="UEP47" s="83"/>
      <c r="UEQ47" s="83"/>
      <c r="UER47" s="83"/>
      <c r="UES47" s="83"/>
      <c r="UET47" s="83"/>
      <c r="UEU47" s="83"/>
      <c r="UEV47" s="83"/>
      <c r="UEW47" s="83"/>
      <c r="UEX47" s="83"/>
      <c r="UEY47" s="83"/>
      <c r="UEZ47" s="83"/>
      <c r="UFA47" s="83"/>
      <c r="UFB47" s="83"/>
      <c r="UFC47" s="83"/>
      <c r="UFD47" s="83"/>
      <c r="UFE47" s="83"/>
      <c r="UFF47" s="83"/>
      <c r="UFG47" s="83"/>
      <c r="UFH47" s="83"/>
      <c r="UFI47" s="83"/>
      <c r="UFJ47" s="83"/>
      <c r="UFK47" s="83"/>
      <c r="UFL47" s="83"/>
      <c r="UFM47" s="83"/>
      <c r="UFN47" s="83"/>
      <c r="UFO47" s="83"/>
      <c r="UFP47" s="83"/>
      <c r="UFQ47" s="83"/>
      <c r="UFR47" s="83"/>
      <c r="UFS47" s="83"/>
      <c r="UFT47" s="83"/>
      <c r="UFU47" s="83"/>
      <c r="UFV47" s="83"/>
      <c r="UFW47" s="83"/>
      <c r="UFX47" s="83"/>
      <c r="UFY47" s="83"/>
      <c r="UFZ47" s="83"/>
      <c r="UGA47" s="83"/>
      <c r="UGB47" s="83"/>
      <c r="UGC47" s="83"/>
      <c r="UGD47" s="83"/>
      <c r="UGE47" s="83"/>
      <c r="UGF47" s="83"/>
      <c r="UGG47" s="83"/>
      <c r="UGH47" s="83"/>
      <c r="UGI47" s="83"/>
      <c r="UGJ47" s="83"/>
      <c r="UGK47" s="83"/>
      <c r="UGL47" s="83"/>
      <c r="UGM47" s="83"/>
      <c r="UGN47" s="83"/>
      <c r="UGO47" s="83"/>
      <c r="UGP47" s="83"/>
      <c r="UGQ47" s="83"/>
      <c r="UGR47" s="83"/>
      <c r="UGS47" s="83"/>
      <c r="UGT47" s="83"/>
      <c r="UGU47" s="83"/>
      <c r="UGV47" s="83"/>
      <c r="UGW47" s="83"/>
      <c r="UGX47" s="83"/>
      <c r="UGY47" s="83"/>
      <c r="UGZ47" s="83"/>
      <c r="UHA47" s="83"/>
      <c r="UHB47" s="83"/>
      <c r="UHC47" s="83"/>
      <c r="UHD47" s="83"/>
      <c r="UHE47" s="83"/>
      <c r="UHF47" s="83"/>
      <c r="UHG47" s="83"/>
      <c r="UHH47" s="83"/>
      <c r="UHI47" s="83"/>
      <c r="UHJ47" s="83"/>
      <c r="UHK47" s="83"/>
      <c r="UHL47" s="83"/>
      <c r="UHM47" s="83"/>
      <c r="UHN47" s="83"/>
      <c r="UHO47" s="83"/>
      <c r="UHP47" s="83"/>
      <c r="UHQ47" s="83"/>
      <c r="UHR47" s="83"/>
      <c r="UHS47" s="83"/>
      <c r="UHT47" s="83"/>
      <c r="UHU47" s="83"/>
      <c r="UHV47" s="83"/>
      <c r="UHW47" s="83"/>
      <c r="UHX47" s="83"/>
      <c r="UHY47" s="83"/>
      <c r="UHZ47" s="83"/>
      <c r="UIA47" s="83"/>
      <c r="UIB47" s="83"/>
      <c r="UIC47" s="83"/>
      <c r="UID47" s="83"/>
      <c r="UIE47" s="83"/>
      <c r="UIF47" s="83"/>
      <c r="UIG47" s="83"/>
      <c r="UIH47" s="83"/>
      <c r="UII47" s="83"/>
      <c r="UIJ47" s="83"/>
      <c r="UIK47" s="83"/>
      <c r="UIL47" s="83"/>
      <c r="UIM47" s="83"/>
      <c r="UIN47" s="83"/>
      <c r="UIO47" s="83"/>
      <c r="UIP47" s="83"/>
      <c r="UIQ47" s="83"/>
      <c r="UIR47" s="83"/>
      <c r="UIS47" s="83"/>
      <c r="UIT47" s="83"/>
      <c r="UIU47" s="83"/>
      <c r="UIV47" s="83"/>
      <c r="UIW47" s="83"/>
      <c r="UIX47" s="83"/>
      <c r="UIY47" s="83"/>
      <c r="UIZ47" s="83"/>
      <c r="UJA47" s="83"/>
      <c r="UJB47" s="83"/>
      <c r="UJC47" s="83"/>
      <c r="UJD47" s="83"/>
      <c r="UJE47" s="83"/>
      <c r="UJF47" s="83"/>
      <c r="UJG47" s="83"/>
      <c r="UJH47" s="83"/>
      <c r="UJI47" s="83"/>
      <c r="UJJ47" s="83"/>
      <c r="UJK47" s="83"/>
      <c r="UJL47" s="83"/>
      <c r="UJM47" s="83"/>
      <c r="UJN47" s="83"/>
      <c r="UJO47" s="83"/>
      <c r="UJP47" s="83"/>
      <c r="UJQ47" s="83"/>
      <c r="UJR47" s="83"/>
      <c r="UJS47" s="83"/>
      <c r="UJT47" s="83"/>
      <c r="UJU47" s="83"/>
      <c r="UJV47" s="83"/>
      <c r="UJW47" s="83"/>
      <c r="UJX47" s="83"/>
      <c r="UJY47" s="83"/>
      <c r="UJZ47" s="83"/>
      <c r="UKA47" s="83"/>
      <c r="UKB47" s="83"/>
      <c r="UKC47" s="83"/>
      <c r="UKD47" s="83"/>
      <c r="UKE47" s="83"/>
      <c r="UKF47" s="83"/>
      <c r="UKG47" s="83"/>
      <c r="UKH47" s="83"/>
      <c r="UKI47" s="83"/>
      <c r="UKJ47" s="83"/>
      <c r="UKK47" s="83"/>
      <c r="UKL47" s="83"/>
      <c r="UKM47" s="83"/>
      <c r="UKN47" s="83"/>
      <c r="UKO47" s="83"/>
      <c r="UKP47" s="83"/>
      <c r="UKQ47" s="83"/>
      <c r="UKR47" s="83"/>
      <c r="UKS47" s="83"/>
      <c r="UKT47" s="83"/>
      <c r="UKU47" s="83"/>
      <c r="UKV47" s="83"/>
      <c r="UKW47" s="83"/>
      <c r="UKX47" s="83"/>
      <c r="UKY47" s="83"/>
      <c r="UKZ47" s="83"/>
      <c r="ULA47" s="83"/>
      <c r="ULB47" s="83"/>
      <c r="ULC47" s="83"/>
      <c r="ULD47" s="83"/>
      <c r="ULE47" s="83"/>
      <c r="ULF47" s="83"/>
      <c r="ULG47" s="83"/>
      <c r="ULH47" s="83"/>
      <c r="ULI47" s="83"/>
      <c r="ULJ47" s="83"/>
      <c r="ULK47" s="83"/>
      <c r="ULL47" s="83"/>
      <c r="ULM47" s="83"/>
      <c r="ULN47" s="83"/>
      <c r="ULO47" s="83"/>
      <c r="ULP47" s="83"/>
      <c r="ULQ47" s="83"/>
      <c r="ULR47" s="83"/>
      <c r="ULS47" s="83"/>
      <c r="ULT47" s="83"/>
      <c r="ULU47" s="83"/>
      <c r="ULV47" s="83"/>
      <c r="ULW47" s="83"/>
      <c r="ULX47" s="83"/>
      <c r="ULY47" s="83"/>
      <c r="ULZ47" s="83"/>
      <c r="UMA47" s="83"/>
      <c r="UMB47" s="83"/>
      <c r="UMC47" s="83"/>
      <c r="UMD47" s="83"/>
      <c r="UME47" s="83"/>
      <c r="UMF47" s="83"/>
      <c r="UMG47" s="83"/>
      <c r="UMH47" s="83"/>
      <c r="UMI47" s="83"/>
      <c r="UMJ47" s="83"/>
      <c r="UMK47" s="83"/>
      <c r="UML47" s="83"/>
      <c r="UMM47" s="83"/>
      <c r="UMN47" s="83"/>
      <c r="UMO47" s="83"/>
      <c r="UMP47" s="83"/>
      <c r="UMQ47" s="83"/>
      <c r="UMR47" s="83"/>
      <c r="UMS47" s="83"/>
      <c r="UMT47" s="83"/>
      <c r="UMU47" s="83"/>
      <c r="UMV47" s="83"/>
      <c r="UMW47" s="83"/>
      <c r="UMX47" s="83"/>
      <c r="UMY47" s="83"/>
      <c r="UMZ47" s="83"/>
      <c r="UNA47" s="83"/>
      <c r="UNB47" s="83"/>
      <c r="UNC47" s="83"/>
      <c r="UND47" s="83"/>
      <c r="UNE47" s="83"/>
      <c r="UNF47" s="83"/>
      <c r="UNG47" s="83"/>
      <c r="UNH47" s="83"/>
      <c r="UNI47" s="83"/>
      <c r="UNJ47" s="83"/>
      <c r="UNK47" s="83"/>
      <c r="UNL47" s="83"/>
      <c r="UNM47" s="83"/>
      <c r="UNN47" s="83"/>
      <c r="UNO47" s="83"/>
      <c r="UNP47" s="83"/>
      <c r="UNQ47" s="83"/>
      <c r="UNR47" s="83"/>
      <c r="UNS47" s="83"/>
      <c r="UNT47" s="83"/>
      <c r="UNU47" s="83"/>
      <c r="UNV47" s="83"/>
      <c r="UNW47" s="83"/>
      <c r="UNX47" s="83"/>
      <c r="UNY47" s="83"/>
      <c r="UNZ47" s="83"/>
      <c r="UOA47" s="83"/>
      <c r="UOB47" s="83"/>
      <c r="UOC47" s="83"/>
      <c r="UOD47" s="83"/>
      <c r="UOE47" s="83"/>
      <c r="UOF47" s="83"/>
      <c r="UOG47" s="83"/>
      <c r="UOH47" s="83"/>
      <c r="UOI47" s="83"/>
      <c r="UOJ47" s="83"/>
      <c r="UOK47" s="83"/>
      <c r="UOL47" s="83"/>
      <c r="UOM47" s="83"/>
      <c r="UON47" s="83"/>
      <c r="UOO47" s="83"/>
      <c r="UOP47" s="83"/>
      <c r="UOQ47" s="83"/>
      <c r="UOR47" s="83"/>
      <c r="UOS47" s="83"/>
      <c r="UOT47" s="83"/>
      <c r="UOU47" s="83"/>
      <c r="UOV47" s="83"/>
      <c r="UOW47" s="83"/>
      <c r="UOX47" s="83"/>
      <c r="UOY47" s="83"/>
      <c r="UOZ47" s="83"/>
      <c r="UPA47" s="83"/>
      <c r="UPB47" s="83"/>
      <c r="UPC47" s="83"/>
      <c r="UPD47" s="83"/>
      <c r="UPE47" s="83"/>
      <c r="UPF47" s="83"/>
      <c r="UPG47" s="83"/>
      <c r="UPH47" s="83"/>
      <c r="UPI47" s="83"/>
      <c r="UPJ47" s="83"/>
      <c r="UPK47" s="83"/>
      <c r="UPL47" s="83"/>
      <c r="UPM47" s="83"/>
      <c r="UPN47" s="83"/>
      <c r="UPO47" s="83"/>
      <c r="UPP47" s="83"/>
      <c r="UPQ47" s="83"/>
      <c r="UPR47" s="83"/>
      <c r="UPS47" s="83"/>
      <c r="UPT47" s="83"/>
      <c r="UPU47" s="83"/>
      <c r="UPV47" s="83"/>
      <c r="UPW47" s="83"/>
      <c r="UPX47" s="83"/>
      <c r="UPY47" s="83"/>
      <c r="UPZ47" s="83"/>
      <c r="UQA47" s="83"/>
      <c r="UQB47" s="83"/>
      <c r="UQC47" s="83"/>
      <c r="UQD47" s="83"/>
      <c r="UQE47" s="83"/>
      <c r="UQF47" s="83"/>
      <c r="UQG47" s="83"/>
      <c r="UQH47" s="83"/>
      <c r="UQI47" s="83"/>
      <c r="UQJ47" s="83"/>
      <c r="UQK47" s="83"/>
      <c r="UQL47" s="83"/>
      <c r="UQM47" s="83"/>
      <c r="UQN47" s="83"/>
      <c r="UQO47" s="83"/>
      <c r="UQP47" s="83"/>
      <c r="UQQ47" s="83"/>
      <c r="UQR47" s="83"/>
      <c r="UQS47" s="83"/>
      <c r="UQT47" s="83"/>
      <c r="UQU47" s="83"/>
      <c r="UQV47" s="83"/>
      <c r="UQW47" s="83"/>
      <c r="UQX47" s="83"/>
      <c r="UQY47" s="83"/>
      <c r="UQZ47" s="83"/>
      <c r="URA47" s="83"/>
      <c r="URB47" s="83"/>
      <c r="URC47" s="83"/>
      <c r="URD47" s="83"/>
      <c r="URE47" s="83"/>
      <c r="URF47" s="83"/>
      <c r="URG47" s="83"/>
      <c r="URH47" s="83"/>
      <c r="URI47" s="83"/>
      <c r="URJ47" s="83"/>
      <c r="URK47" s="83"/>
      <c r="URL47" s="83"/>
      <c r="URM47" s="83"/>
      <c r="URN47" s="83"/>
      <c r="URO47" s="83"/>
      <c r="URP47" s="83"/>
      <c r="URQ47" s="83"/>
      <c r="URR47" s="83"/>
      <c r="URS47" s="83"/>
      <c r="URT47" s="83"/>
      <c r="URU47" s="83"/>
      <c r="URV47" s="83"/>
      <c r="URW47" s="83"/>
      <c r="URX47" s="83"/>
      <c r="URY47" s="83"/>
      <c r="URZ47" s="83"/>
      <c r="USA47" s="83"/>
      <c r="USB47" s="83"/>
      <c r="USC47" s="83"/>
      <c r="USD47" s="83"/>
      <c r="USE47" s="83"/>
      <c r="USF47" s="83"/>
      <c r="USG47" s="83"/>
      <c r="USH47" s="83"/>
      <c r="USI47" s="83"/>
      <c r="USJ47" s="83"/>
      <c r="USK47" s="83"/>
      <c r="USL47" s="83"/>
      <c r="USM47" s="83"/>
      <c r="USN47" s="83"/>
      <c r="USO47" s="83"/>
      <c r="USP47" s="83"/>
      <c r="USQ47" s="83"/>
      <c r="USR47" s="83"/>
      <c r="USS47" s="83"/>
      <c r="UST47" s="83"/>
      <c r="USU47" s="83"/>
      <c r="USV47" s="83"/>
      <c r="USW47" s="83"/>
      <c r="USX47" s="83"/>
      <c r="USY47" s="83"/>
      <c r="USZ47" s="83"/>
      <c r="UTA47" s="83"/>
      <c r="UTB47" s="83"/>
      <c r="UTC47" s="83"/>
      <c r="UTD47" s="83"/>
      <c r="UTE47" s="83"/>
      <c r="UTF47" s="83"/>
      <c r="UTG47" s="83"/>
      <c r="UTH47" s="83"/>
      <c r="UTI47" s="83"/>
      <c r="UTJ47" s="83"/>
      <c r="UTK47" s="83"/>
      <c r="UTL47" s="83"/>
      <c r="UTM47" s="83"/>
      <c r="UTN47" s="83"/>
      <c r="UTO47" s="83"/>
      <c r="UTP47" s="83"/>
      <c r="UTQ47" s="83"/>
      <c r="UTR47" s="83"/>
      <c r="UTS47" s="83"/>
      <c r="UTT47" s="83"/>
      <c r="UTU47" s="83"/>
      <c r="UTV47" s="83"/>
      <c r="UTW47" s="83"/>
      <c r="UTX47" s="83"/>
      <c r="UTY47" s="83"/>
      <c r="UTZ47" s="83"/>
      <c r="UUA47" s="83"/>
      <c r="UUB47" s="83"/>
      <c r="UUC47" s="83"/>
      <c r="UUD47" s="83"/>
      <c r="UUE47" s="83"/>
      <c r="UUF47" s="83"/>
      <c r="UUG47" s="83"/>
      <c r="UUH47" s="83"/>
      <c r="UUI47" s="83"/>
      <c r="UUJ47" s="83"/>
      <c r="UUK47" s="83"/>
      <c r="UUL47" s="83"/>
      <c r="UUM47" s="83"/>
      <c r="UUN47" s="83"/>
      <c r="UUO47" s="83"/>
      <c r="UUP47" s="83"/>
      <c r="UUQ47" s="83"/>
      <c r="UUR47" s="83"/>
      <c r="UUS47" s="83"/>
      <c r="UUT47" s="83"/>
      <c r="UUU47" s="83"/>
      <c r="UUV47" s="83"/>
      <c r="UUW47" s="83"/>
      <c r="UUX47" s="83"/>
      <c r="UUY47" s="83"/>
      <c r="UUZ47" s="83"/>
      <c r="UVA47" s="83"/>
      <c r="UVB47" s="83"/>
      <c r="UVC47" s="83"/>
      <c r="UVD47" s="83"/>
      <c r="UVE47" s="83"/>
      <c r="UVF47" s="83"/>
      <c r="UVG47" s="83"/>
      <c r="UVH47" s="83"/>
      <c r="UVI47" s="83"/>
      <c r="UVJ47" s="83"/>
      <c r="UVK47" s="83"/>
      <c r="UVL47" s="83"/>
      <c r="UVM47" s="83"/>
      <c r="UVN47" s="83"/>
      <c r="UVO47" s="83"/>
      <c r="UVP47" s="83"/>
      <c r="UVQ47" s="83"/>
      <c r="UVR47" s="83"/>
      <c r="UVS47" s="83"/>
      <c r="UVT47" s="83"/>
      <c r="UVU47" s="83"/>
      <c r="UVV47" s="83"/>
      <c r="UVW47" s="83"/>
      <c r="UVX47" s="83"/>
      <c r="UVY47" s="83"/>
      <c r="UVZ47" s="83"/>
      <c r="UWA47" s="83"/>
      <c r="UWB47" s="83"/>
      <c r="UWC47" s="83"/>
      <c r="UWD47" s="83"/>
      <c r="UWE47" s="83"/>
      <c r="UWF47" s="83"/>
      <c r="UWG47" s="83"/>
      <c r="UWH47" s="83"/>
      <c r="UWI47" s="83"/>
      <c r="UWJ47" s="83"/>
      <c r="UWK47" s="83"/>
      <c r="UWL47" s="83"/>
      <c r="UWM47" s="83"/>
      <c r="UWN47" s="83"/>
      <c r="UWO47" s="83"/>
      <c r="UWP47" s="83"/>
      <c r="UWQ47" s="83"/>
      <c r="UWR47" s="83"/>
      <c r="UWS47" s="83"/>
      <c r="UWT47" s="83"/>
      <c r="UWU47" s="83"/>
      <c r="UWV47" s="83"/>
      <c r="UWW47" s="83"/>
      <c r="UWX47" s="83"/>
      <c r="UWY47" s="83"/>
      <c r="UWZ47" s="83"/>
      <c r="UXA47" s="83"/>
      <c r="UXB47" s="83"/>
      <c r="UXC47" s="83"/>
      <c r="UXD47" s="83"/>
      <c r="UXE47" s="83"/>
      <c r="UXF47" s="83"/>
      <c r="UXG47" s="83"/>
      <c r="UXH47" s="83"/>
      <c r="UXI47" s="83"/>
      <c r="UXJ47" s="83"/>
      <c r="UXK47" s="83"/>
      <c r="UXL47" s="83"/>
      <c r="UXM47" s="83"/>
      <c r="UXN47" s="83"/>
      <c r="UXO47" s="83"/>
      <c r="UXP47" s="83"/>
      <c r="UXQ47" s="83"/>
      <c r="UXR47" s="83"/>
      <c r="UXS47" s="83"/>
      <c r="UXT47" s="83"/>
      <c r="UXU47" s="83"/>
      <c r="UXV47" s="83"/>
      <c r="UXW47" s="83"/>
      <c r="UXX47" s="83"/>
      <c r="UXY47" s="83"/>
      <c r="UXZ47" s="83"/>
      <c r="UYA47" s="83"/>
      <c r="UYB47" s="83"/>
      <c r="UYC47" s="83"/>
      <c r="UYD47" s="83"/>
      <c r="UYE47" s="83"/>
      <c r="UYF47" s="83"/>
      <c r="UYG47" s="83"/>
      <c r="UYH47" s="83"/>
      <c r="UYI47" s="83"/>
      <c r="UYJ47" s="83"/>
      <c r="UYK47" s="83"/>
      <c r="UYL47" s="83"/>
      <c r="UYM47" s="83"/>
      <c r="UYN47" s="83"/>
      <c r="UYO47" s="83"/>
      <c r="UYP47" s="83"/>
      <c r="UYQ47" s="83"/>
      <c r="UYR47" s="83"/>
      <c r="UYS47" s="83"/>
      <c r="UYT47" s="83"/>
      <c r="UYU47" s="83"/>
      <c r="UYV47" s="83"/>
      <c r="UYW47" s="83"/>
      <c r="UYX47" s="83"/>
      <c r="UYY47" s="83"/>
      <c r="UYZ47" s="83"/>
      <c r="UZA47" s="83"/>
      <c r="UZB47" s="83"/>
      <c r="UZC47" s="83"/>
      <c r="UZD47" s="83"/>
      <c r="UZE47" s="83"/>
      <c r="UZF47" s="83"/>
      <c r="UZG47" s="83"/>
      <c r="UZH47" s="83"/>
      <c r="UZI47" s="83"/>
      <c r="UZJ47" s="83"/>
      <c r="UZK47" s="83"/>
      <c r="UZL47" s="83"/>
      <c r="UZM47" s="83"/>
      <c r="UZN47" s="83"/>
      <c r="UZO47" s="83"/>
      <c r="UZP47" s="83"/>
      <c r="UZQ47" s="83"/>
      <c r="UZR47" s="83"/>
      <c r="UZS47" s="83"/>
      <c r="UZT47" s="83"/>
      <c r="UZU47" s="83"/>
      <c r="UZV47" s="83"/>
      <c r="UZW47" s="83"/>
      <c r="UZX47" s="83"/>
      <c r="UZY47" s="83"/>
      <c r="UZZ47" s="83"/>
      <c r="VAA47" s="83"/>
      <c r="VAB47" s="83"/>
      <c r="VAC47" s="83"/>
      <c r="VAD47" s="83"/>
      <c r="VAE47" s="83"/>
      <c r="VAF47" s="83"/>
      <c r="VAG47" s="83"/>
      <c r="VAH47" s="83"/>
      <c r="VAI47" s="83"/>
      <c r="VAJ47" s="83"/>
      <c r="VAK47" s="83"/>
      <c r="VAL47" s="83"/>
      <c r="VAM47" s="83"/>
      <c r="VAN47" s="83"/>
      <c r="VAO47" s="83"/>
      <c r="VAP47" s="83"/>
      <c r="VAQ47" s="83"/>
      <c r="VAR47" s="83"/>
      <c r="VAS47" s="83"/>
      <c r="VAT47" s="83"/>
      <c r="VAU47" s="83"/>
      <c r="VAV47" s="83"/>
      <c r="VAW47" s="83"/>
      <c r="VAX47" s="83"/>
      <c r="VAY47" s="83"/>
      <c r="VAZ47" s="83"/>
      <c r="VBA47" s="83"/>
      <c r="VBB47" s="83"/>
      <c r="VBC47" s="83"/>
      <c r="VBD47" s="83"/>
      <c r="VBE47" s="83"/>
      <c r="VBF47" s="83"/>
      <c r="VBG47" s="83"/>
      <c r="VBH47" s="83"/>
      <c r="VBI47" s="83"/>
      <c r="VBJ47" s="83"/>
      <c r="VBK47" s="83"/>
      <c r="VBL47" s="83"/>
      <c r="VBM47" s="83"/>
      <c r="VBN47" s="83"/>
      <c r="VBO47" s="83"/>
      <c r="VBP47" s="83"/>
      <c r="VBQ47" s="83"/>
      <c r="VBR47" s="83"/>
      <c r="VBS47" s="83"/>
      <c r="VBT47" s="83"/>
      <c r="VBU47" s="83"/>
      <c r="VBV47" s="83"/>
      <c r="VBW47" s="83"/>
      <c r="VBX47" s="83"/>
      <c r="VBY47" s="83"/>
      <c r="VBZ47" s="83"/>
      <c r="VCA47" s="83"/>
      <c r="VCB47" s="83"/>
      <c r="VCC47" s="83"/>
      <c r="VCD47" s="83"/>
      <c r="VCE47" s="83"/>
      <c r="VCF47" s="83"/>
      <c r="VCG47" s="83"/>
      <c r="VCH47" s="83"/>
      <c r="VCI47" s="83"/>
      <c r="VCJ47" s="83"/>
      <c r="VCK47" s="83"/>
      <c r="VCL47" s="83"/>
      <c r="VCM47" s="83"/>
      <c r="VCN47" s="83"/>
      <c r="VCO47" s="83"/>
      <c r="VCP47" s="83"/>
      <c r="VCQ47" s="83"/>
      <c r="VCR47" s="83"/>
      <c r="VCS47" s="83"/>
      <c r="VCT47" s="83"/>
      <c r="VCU47" s="83"/>
      <c r="VCV47" s="83"/>
      <c r="VCW47" s="83"/>
    </row>
    <row r="48" spans="5:14973" ht="15" customHeight="1" x14ac:dyDescent="0.3">
      <c r="F48" s="135"/>
      <c r="G48" s="194" t="s">
        <v>91</v>
      </c>
      <c r="H48" s="199">
        <f>SUM(H50:H51)</f>
        <v>0</v>
      </c>
      <c r="I48" s="195" t="s">
        <v>16</v>
      </c>
      <c r="J48" s="190">
        <f>SUM(J50:J51)</f>
        <v>0</v>
      </c>
      <c r="K48" s="190">
        <f>K51+K50</f>
        <v>0</v>
      </c>
      <c r="L48" s="190">
        <f t="shared" ref="L48:AM48" si="11">SUM(L50:L51)</f>
        <v>0</v>
      </c>
      <c r="M48" s="190">
        <f t="shared" si="11"/>
        <v>0</v>
      </c>
      <c r="N48" s="190">
        <f t="shared" si="11"/>
        <v>0</v>
      </c>
      <c r="O48" s="259">
        <f>O51+O50</f>
        <v>0</v>
      </c>
      <c r="P48" s="190">
        <f t="shared" si="11"/>
        <v>0</v>
      </c>
      <c r="Q48" s="190">
        <f t="shared" si="11"/>
        <v>0</v>
      </c>
      <c r="R48" s="190">
        <f>R51+R50</f>
        <v>0</v>
      </c>
      <c r="S48" s="190">
        <f t="shared" si="11"/>
        <v>201200</v>
      </c>
      <c r="T48" s="190">
        <f t="shared" si="11"/>
        <v>0</v>
      </c>
      <c r="U48" s="190">
        <f t="shared" si="11"/>
        <v>0</v>
      </c>
      <c r="V48" s="190" t="s">
        <v>85</v>
      </c>
      <c r="W48" s="190">
        <f t="shared" si="11"/>
        <v>0</v>
      </c>
      <c r="X48" s="190">
        <f t="shared" si="11"/>
        <v>0</v>
      </c>
      <c r="Y48" s="190">
        <f t="shared" si="11"/>
        <v>0</v>
      </c>
      <c r="Z48" s="190">
        <f t="shared" si="11"/>
        <v>209500</v>
      </c>
      <c r="AA48" s="190">
        <f>SUM(AA50:AA51)</f>
        <v>0</v>
      </c>
      <c r="AB48" s="190">
        <f t="shared" si="11"/>
        <v>0</v>
      </c>
      <c r="AC48" s="190">
        <f t="shared" si="11"/>
        <v>150500</v>
      </c>
      <c r="AD48" s="190">
        <f t="shared" si="11"/>
        <v>0</v>
      </c>
      <c r="AE48" s="190">
        <f t="shared" si="11"/>
        <v>0</v>
      </c>
      <c r="AF48" s="190">
        <f t="shared" si="11"/>
        <v>0</v>
      </c>
      <c r="AG48" s="190">
        <f t="shared" si="11"/>
        <v>0</v>
      </c>
      <c r="AH48" s="190">
        <f t="shared" si="11"/>
        <v>0</v>
      </c>
      <c r="AI48" s="190">
        <f t="shared" si="11"/>
        <v>0</v>
      </c>
      <c r="AJ48" s="190">
        <f t="shared" si="11"/>
        <v>0</v>
      </c>
      <c r="AK48" s="190">
        <f t="shared" si="11"/>
        <v>0</v>
      </c>
      <c r="AL48" s="190">
        <f t="shared" si="11"/>
        <v>0</v>
      </c>
      <c r="AM48" s="190">
        <f t="shared" si="11"/>
        <v>0</v>
      </c>
      <c r="AN48" s="190">
        <v>0</v>
      </c>
      <c r="AO48" s="10"/>
      <c r="AP48" s="26">
        <f>SUM(J48:AN48)</f>
        <v>561200</v>
      </c>
      <c r="AQ48" s="156"/>
      <c r="AR48" s="41"/>
      <c r="AT48" s="35"/>
      <c r="CB48" s="40"/>
      <c r="CC48" s="40"/>
      <c r="DF48" s="40"/>
      <c r="EN48" s="30"/>
      <c r="EO48" s="40">
        <v>2136</v>
      </c>
      <c r="EP48" s="40"/>
      <c r="EQ48" s="40"/>
      <c r="ER48" s="40"/>
      <c r="GU48" s="40"/>
      <c r="KP48" s="40"/>
      <c r="KQ48" s="40"/>
      <c r="KR48" s="40"/>
      <c r="KS48" s="40"/>
      <c r="PW48" s="40"/>
      <c r="PX48" s="40"/>
      <c r="PZ48" s="40"/>
      <c r="QN48" s="39"/>
      <c r="QR48" s="40"/>
      <c r="SU48" s="39"/>
      <c r="AID48" s="5"/>
      <c r="AJS48" s="5"/>
      <c r="AJT48" s="5"/>
      <c r="AJU48" s="5"/>
    </row>
    <row r="49" spans="6:957" ht="15" customHeight="1" x14ac:dyDescent="0.3">
      <c r="F49" s="135"/>
      <c r="G49" s="194" t="s">
        <v>90</v>
      </c>
      <c r="H49" s="199"/>
      <c r="I49" s="195" t="s">
        <v>16</v>
      </c>
      <c r="J49" s="190"/>
      <c r="K49" s="190"/>
      <c r="L49" s="190"/>
      <c r="M49" s="190"/>
      <c r="N49" s="190"/>
      <c r="O49" s="259" t="s">
        <v>156</v>
      </c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0"/>
      <c r="AP49" s="26">
        <f>SUM(J49:AN49)</f>
        <v>0</v>
      </c>
      <c r="AR49" s="41"/>
      <c r="AT49" s="35"/>
      <c r="CB49" s="40"/>
      <c r="CC49" s="40"/>
      <c r="DF49" s="40"/>
      <c r="EN49" s="30"/>
      <c r="EO49" s="40"/>
      <c r="EP49" s="40"/>
      <c r="EQ49" s="40"/>
      <c r="ER49" s="40"/>
      <c r="GU49" s="40"/>
      <c r="KP49" s="40"/>
      <c r="KQ49" s="40"/>
      <c r="KR49" s="40"/>
      <c r="KS49" s="40"/>
      <c r="PW49" s="40"/>
      <c r="PX49" s="40"/>
      <c r="PZ49" s="40"/>
      <c r="QN49" s="39"/>
      <c r="QR49" s="40"/>
      <c r="SU49" s="39"/>
      <c r="AID49" s="5"/>
      <c r="AJS49" s="5"/>
      <c r="AJT49" s="5"/>
      <c r="AJU49" s="5"/>
    </row>
    <row r="50" spans="6:957" ht="15" customHeight="1" x14ac:dyDescent="0.3">
      <c r="F50" s="135"/>
      <c r="G50" s="194" t="s">
        <v>89</v>
      </c>
      <c r="H50" s="199"/>
      <c r="I50" s="195" t="s">
        <v>16</v>
      </c>
      <c r="J50" s="190">
        <v>0</v>
      </c>
      <c r="K50" s="190"/>
      <c r="L50" s="190">
        <v>0</v>
      </c>
      <c r="M50" s="190">
        <v>0</v>
      </c>
      <c r="N50" s="190">
        <v>0</v>
      </c>
      <c r="O50" s="259"/>
      <c r="P50" s="190">
        <v>0</v>
      </c>
      <c r="Q50" s="190">
        <v>0</v>
      </c>
      <c r="R50" s="190"/>
      <c r="S50" s="190">
        <v>120600</v>
      </c>
      <c r="T50" s="190">
        <v>0</v>
      </c>
      <c r="U50" s="190">
        <v>0</v>
      </c>
      <c r="V50" s="190">
        <v>0</v>
      </c>
      <c r="W50" s="190">
        <v>0</v>
      </c>
      <c r="X50" s="190">
        <v>0</v>
      </c>
      <c r="Y50" s="190">
        <v>0</v>
      </c>
      <c r="Z50" s="190">
        <v>126300</v>
      </c>
      <c r="AA50" s="190">
        <v>0</v>
      </c>
      <c r="AB50" s="190">
        <v>0</v>
      </c>
      <c r="AC50" s="190">
        <v>91400</v>
      </c>
      <c r="AD50" s="190"/>
      <c r="AE50" s="190">
        <v>0</v>
      </c>
      <c r="AF50" s="190"/>
      <c r="AG50" s="190">
        <v>0</v>
      </c>
      <c r="AH50" s="190">
        <v>0</v>
      </c>
      <c r="AI50" s="190"/>
      <c r="AJ50" s="190">
        <v>0</v>
      </c>
      <c r="AK50" s="190">
        <v>0</v>
      </c>
      <c r="AL50" s="190">
        <v>0</v>
      </c>
      <c r="AM50" s="190"/>
      <c r="AN50" s="190">
        <v>0</v>
      </c>
      <c r="AO50" s="10"/>
      <c r="AP50" s="26">
        <f>SUM(J50:AN50)</f>
        <v>338300</v>
      </c>
      <c r="AQ50" s="31"/>
      <c r="AR50" s="41"/>
      <c r="AT50" s="35"/>
      <c r="CB50" s="40"/>
      <c r="CC50" s="40"/>
      <c r="CD50" s="31">
        <f>AR50/1000</f>
        <v>0</v>
      </c>
      <c r="DF50" s="40"/>
      <c r="EN50" s="30"/>
      <c r="EO50" s="40">
        <v>1796</v>
      </c>
      <c r="EP50" s="40"/>
      <c r="EQ50" s="40"/>
      <c r="ER50" s="40"/>
      <c r="GU50" s="40"/>
      <c r="KP50" s="40"/>
      <c r="KQ50" s="40"/>
      <c r="KR50" s="40"/>
      <c r="KS50" s="40"/>
      <c r="PW50" s="40"/>
      <c r="PX50" s="40"/>
      <c r="PZ50" s="40"/>
      <c r="QN50" s="39"/>
      <c r="QR50" s="40"/>
      <c r="SU50" s="39"/>
      <c r="AID50" s="5"/>
      <c r="AJS50" s="5"/>
      <c r="AJT50" s="5"/>
      <c r="AJU50" s="5"/>
    </row>
    <row r="51" spans="6:957" ht="15" customHeight="1" x14ac:dyDescent="0.3">
      <c r="F51" s="135"/>
      <c r="G51" s="194" t="s">
        <v>88</v>
      </c>
      <c r="H51" s="199"/>
      <c r="I51" s="195" t="s">
        <v>16</v>
      </c>
      <c r="J51" s="190">
        <v>0</v>
      </c>
      <c r="K51" s="190"/>
      <c r="L51" s="190">
        <v>0</v>
      </c>
      <c r="M51" s="190">
        <v>0</v>
      </c>
      <c r="N51" s="190">
        <v>0</v>
      </c>
      <c r="O51" s="259"/>
      <c r="P51" s="190">
        <v>0</v>
      </c>
      <c r="Q51" s="190">
        <v>0</v>
      </c>
      <c r="R51" s="190"/>
      <c r="S51" s="190">
        <v>80600</v>
      </c>
      <c r="T51" s="190">
        <v>0</v>
      </c>
      <c r="U51" s="190">
        <v>0</v>
      </c>
      <c r="V51" s="190">
        <v>0</v>
      </c>
      <c r="W51" s="190">
        <v>0</v>
      </c>
      <c r="X51" s="190">
        <v>0</v>
      </c>
      <c r="Y51" s="190">
        <v>0</v>
      </c>
      <c r="Z51" s="190">
        <v>83200</v>
      </c>
      <c r="AA51" s="190">
        <v>0</v>
      </c>
      <c r="AB51" s="190">
        <v>0</v>
      </c>
      <c r="AC51" s="190">
        <v>59100</v>
      </c>
      <c r="AD51" s="190"/>
      <c r="AE51" s="190">
        <v>0</v>
      </c>
      <c r="AF51" s="190"/>
      <c r="AG51" s="190">
        <v>0</v>
      </c>
      <c r="AH51" s="190">
        <v>0</v>
      </c>
      <c r="AI51" s="190"/>
      <c r="AJ51" s="190">
        <v>0</v>
      </c>
      <c r="AK51" s="190">
        <v>0</v>
      </c>
      <c r="AL51" s="190">
        <v>0</v>
      </c>
      <c r="AM51" s="190"/>
      <c r="AN51" s="190">
        <v>0</v>
      </c>
      <c r="AO51" s="10"/>
      <c r="AP51" s="26">
        <f>SUM(J51:AN51)</f>
        <v>222900</v>
      </c>
      <c r="AR51" s="41"/>
      <c r="CB51" s="40"/>
      <c r="CC51" s="40"/>
      <c r="CD51" s="31">
        <f>AR51/1000</f>
        <v>0</v>
      </c>
      <c r="DF51" s="40"/>
      <c r="EN51" s="30"/>
      <c r="EO51" s="40">
        <f>EO48/EO50*100</f>
        <v>118.93095768374164</v>
      </c>
      <c r="EP51" s="40"/>
      <c r="EQ51" s="40"/>
      <c r="ER51" s="40"/>
      <c r="GU51" s="40"/>
      <c r="KP51" s="40"/>
      <c r="KQ51" s="40"/>
      <c r="KR51" s="40"/>
      <c r="KS51" s="40"/>
      <c r="PW51" s="40"/>
      <c r="PX51" s="40"/>
      <c r="PZ51" s="40"/>
      <c r="QN51" s="39"/>
      <c r="QR51" s="40"/>
      <c r="SU51" s="39"/>
      <c r="AID51" s="5"/>
      <c r="AJS51" s="5"/>
      <c r="AJT51" s="5"/>
      <c r="AJU51" s="5"/>
    </row>
    <row r="52" spans="6:957" x14ac:dyDescent="0.3">
      <c r="F52" s="137"/>
      <c r="G52" s="209" t="s">
        <v>87</v>
      </c>
      <c r="H52" s="210"/>
      <c r="I52" s="210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0"/>
      <c r="AP52" s="46" t="s">
        <v>86</v>
      </c>
      <c r="DN52" s="1" t="s">
        <v>85</v>
      </c>
      <c r="PX52" s="5">
        <v>678</v>
      </c>
    </row>
    <row r="53" spans="6:957" x14ac:dyDescent="0.3">
      <c r="F53" s="135"/>
      <c r="G53" s="211" t="s">
        <v>84</v>
      </c>
      <c r="H53" s="295">
        <v>94.2</v>
      </c>
      <c r="I53" s="212" t="s">
        <v>29</v>
      </c>
      <c r="J53" s="297">
        <f t="shared" ref="J53:AN53" si="12">(J35/(J29+J30))*100</f>
        <v>95.003231809638706</v>
      </c>
      <c r="K53" s="297">
        <f t="shared" si="12"/>
        <v>95.177391062584832</v>
      </c>
      <c r="L53" s="297">
        <f t="shared" si="12"/>
        <v>94.856726464764719</v>
      </c>
      <c r="M53" s="297">
        <f t="shared" si="12"/>
        <v>95.159140519676015</v>
      </c>
      <c r="N53" s="297">
        <f t="shared" si="12"/>
        <v>94.363834493869163</v>
      </c>
      <c r="O53" s="312">
        <f t="shared" si="12"/>
        <v>94.563455805171941</v>
      </c>
      <c r="P53" s="297">
        <f t="shared" si="12"/>
        <v>94.654159829042982</v>
      </c>
      <c r="Q53" s="297">
        <f t="shared" si="12"/>
        <v>94.633484525485528</v>
      </c>
      <c r="R53" s="297">
        <f t="shared" si="12"/>
        <v>93.465616875186129</v>
      </c>
      <c r="S53" s="297">
        <f t="shared" si="12"/>
        <v>93.638083713515641</v>
      </c>
      <c r="T53" s="297">
        <f t="shared" si="12"/>
        <v>94.377521202175132</v>
      </c>
      <c r="U53" s="297">
        <f t="shared" si="12"/>
        <v>94.652968052841587</v>
      </c>
      <c r="V53" s="297">
        <f t="shared" si="12"/>
        <v>94.039650575755857</v>
      </c>
      <c r="W53" s="297">
        <f t="shared" si="12"/>
        <v>94.879568939339279</v>
      </c>
      <c r="X53" s="297">
        <f t="shared" si="12"/>
        <v>95.164314934444889</v>
      </c>
      <c r="Y53" s="297">
        <f t="shared" si="12"/>
        <v>95.863396320080184</v>
      </c>
      <c r="Z53" s="297">
        <f t="shared" si="12"/>
        <v>94.640661001775783</v>
      </c>
      <c r="AA53" s="297">
        <f t="shared" si="12"/>
        <v>95.058564802437189</v>
      </c>
      <c r="AB53" s="297">
        <f>(AB35/(AB29+AB30))*100</f>
        <v>94.387265309136552</v>
      </c>
      <c r="AC53" s="297">
        <f t="shared" si="12"/>
        <v>94.900600356337634</v>
      </c>
      <c r="AD53" s="297">
        <f t="shared" si="12"/>
        <v>94.04492564976195</v>
      </c>
      <c r="AE53" s="297">
        <f t="shared" si="12"/>
        <v>92.970324514654678</v>
      </c>
      <c r="AF53" s="297">
        <f t="shared" si="12"/>
        <v>93.999946787990055</v>
      </c>
      <c r="AG53" s="297">
        <f t="shared" si="12"/>
        <v>94.525888416548582</v>
      </c>
      <c r="AH53" s="297">
        <f t="shared" si="12"/>
        <v>95.174412469814456</v>
      </c>
      <c r="AI53" s="297">
        <f t="shared" si="12"/>
        <v>94.794482179119115</v>
      </c>
      <c r="AJ53" s="297">
        <f t="shared" si="12"/>
        <v>95.642472549770503</v>
      </c>
      <c r="AK53" s="297">
        <f t="shared" si="12"/>
        <v>95.130788991867377</v>
      </c>
      <c r="AL53" s="297">
        <f t="shared" si="12"/>
        <v>95.133882198460668</v>
      </c>
      <c r="AM53" s="297">
        <f t="shared" si="12"/>
        <v>94.843947701391812</v>
      </c>
      <c r="AN53" s="297">
        <f t="shared" si="12"/>
        <v>94.496298141430472</v>
      </c>
      <c r="AO53" s="7"/>
      <c r="AP53" s="298">
        <f>AP35/(SUM(AP29:AP30))*100</f>
        <v>94.69812463514053</v>
      </c>
      <c r="AQ53" s="66"/>
      <c r="AR53" s="27"/>
      <c r="PX53" s="5">
        <v>420</v>
      </c>
      <c r="PZ53" s="27">
        <f>PX53/PX52*100</f>
        <v>61.946902654867252</v>
      </c>
    </row>
    <row r="54" spans="6:957" x14ac:dyDescent="0.3">
      <c r="F54" s="135"/>
      <c r="G54" s="211" t="s">
        <v>83</v>
      </c>
      <c r="H54" s="295">
        <v>5</v>
      </c>
      <c r="I54" s="212" t="s">
        <v>29</v>
      </c>
      <c r="J54" s="297">
        <f t="shared" ref="J54:AN54" si="13">(J36/(J29+J30))*100</f>
        <v>4.3167522830756964</v>
      </c>
      <c r="K54" s="297">
        <f t="shared" si="13"/>
        <v>4.1495596660699334</v>
      </c>
      <c r="L54" s="297">
        <f t="shared" si="13"/>
        <v>4.403835758804715</v>
      </c>
      <c r="M54" s="297">
        <f t="shared" si="13"/>
        <v>4.0845865247644877</v>
      </c>
      <c r="N54" s="297">
        <f t="shared" si="13"/>
        <v>4.9053852593020606</v>
      </c>
      <c r="O54" s="312">
        <f t="shared" si="13"/>
        <v>4.6740809513909856</v>
      </c>
      <c r="P54" s="297">
        <f t="shared" si="13"/>
        <v>4.5669074061240096</v>
      </c>
      <c r="Q54" s="297">
        <f t="shared" si="13"/>
        <v>4.5976598604869006</v>
      </c>
      <c r="R54" s="297">
        <f t="shared" si="13"/>
        <v>5.2380267221677546</v>
      </c>
      <c r="S54" s="297">
        <f t="shared" si="13"/>
        <v>5.6088162163027153</v>
      </c>
      <c r="T54" s="297">
        <f t="shared" si="13"/>
        <v>4.9378558607588632</v>
      </c>
      <c r="U54" s="297">
        <f t="shared" si="13"/>
        <v>4.6791530770082623</v>
      </c>
      <c r="V54" s="297">
        <f t="shared" si="13"/>
        <v>5.3005700833853311</v>
      </c>
      <c r="W54" s="297">
        <f t="shared" si="13"/>
        <v>4.4687816399619118</v>
      </c>
      <c r="X54" s="297">
        <f t="shared" si="13"/>
        <v>4.2092823902233798</v>
      </c>
      <c r="Y54" s="297">
        <f t="shared" si="13"/>
        <v>3.5166149783356611</v>
      </c>
      <c r="Z54" s="297">
        <f t="shared" si="13"/>
        <v>4.6169594505349361</v>
      </c>
      <c r="AA54" s="297">
        <f t="shared" si="13"/>
        <v>4.1688432234703434</v>
      </c>
      <c r="AB54" s="297">
        <f t="shared" si="13"/>
        <v>4.8958160257475338</v>
      </c>
      <c r="AC54" s="297">
        <f t="shared" si="13"/>
        <v>4.329779185900942</v>
      </c>
      <c r="AD54" s="297">
        <f t="shared" si="13"/>
        <v>5.1730452443276134</v>
      </c>
      <c r="AE54" s="297">
        <f t="shared" si="13"/>
        <v>6.3409230176880644</v>
      </c>
      <c r="AF54" s="297">
        <f t="shared" si="13"/>
        <v>5.2187678759095926</v>
      </c>
      <c r="AG54" s="297">
        <f t="shared" si="13"/>
        <v>4.7876552471451195</v>
      </c>
      <c r="AH54" s="297">
        <f t="shared" si="13"/>
        <v>4.0711589166069064</v>
      </c>
      <c r="AI54" s="297">
        <f t="shared" si="13"/>
        <v>4.4048220123166963</v>
      </c>
      <c r="AJ54" s="297">
        <f t="shared" si="13"/>
        <v>3.5946797139803262</v>
      </c>
      <c r="AK54" s="297">
        <f t="shared" si="13"/>
        <v>4.1286884198873075</v>
      </c>
      <c r="AL54" s="297">
        <f t="shared" si="13"/>
        <v>4.1077345597006421</v>
      </c>
      <c r="AM54" s="297">
        <f t="shared" si="13"/>
        <v>4.371780176105446</v>
      </c>
      <c r="AN54" s="297">
        <f t="shared" si="13"/>
        <v>4.710232145012661</v>
      </c>
      <c r="AO54" s="7"/>
      <c r="AP54" s="298">
        <f>AP36/(AP29+AP30)*100</f>
        <v>4.5522880030386865</v>
      </c>
      <c r="AR54" s="27">
        <f>100-AP53-AP54</f>
        <v>0.74958736182078312</v>
      </c>
      <c r="PX54" s="5">
        <f>PX52-PX53</f>
        <v>258</v>
      </c>
      <c r="PZ54" s="27">
        <f>PX54/PX52*100</f>
        <v>38.053097345132741</v>
      </c>
    </row>
    <row r="55" spans="6:957" x14ac:dyDescent="0.3">
      <c r="F55" s="135"/>
      <c r="G55" s="211" t="s">
        <v>82</v>
      </c>
      <c r="H55" s="295">
        <v>82</v>
      </c>
      <c r="I55" s="212" t="s">
        <v>29</v>
      </c>
      <c r="J55" s="297">
        <f t="shared" ref="J55:AN55" si="14">(J39/J38)*100</f>
        <v>81.404582455933053</v>
      </c>
      <c r="K55" s="297">
        <f t="shared" si="14"/>
        <v>81.891344315970827</v>
      </c>
      <c r="L55" s="297">
        <f t="shared" si="14"/>
        <v>78.050042734707631</v>
      </c>
      <c r="M55" s="297">
        <f t="shared" si="14"/>
        <v>82.030092486081074</v>
      </c>
      <c r="N55" s="297">
        <f>(N39/N38)*100</f>
        <v>80.028756471782714</v>
      </c>
      <c r="O55" s="312">
        <f t="shared" si="14"/>
        <v>80.195079125916763</v>
      </c>
      <c r="P55" s="297">
        <f t="shared" si="14"/>
        <v>80.416376741079446</v>
      </c>
      <c r="Q55" s="297">
        <f t="shared" si="14"/>
        <v>81.623804231024195</v>
      </c>
      <c r="R55" s="297">
        <f t="shared" si="14"/>
        <v>80.140848415349311</v>
      </c>
      <c r="S55" s="297">
        <f t="shared" si="14"/>
        <v>85.441468680031846</v>
      </c>
      <c r="T55" s="297">
        <f t="shared" si="14"/>
        <v>81.076959308871182</v>
      </c>
      <c r="U55" s="297">
        <f t="shared" si="14"/>
        <v>82.501857867326109</v>
      </c>
      <c r="V55" s="297">
        <f t="shared" si="14"/>
        <v>82.362164375702136</v>
      </c>
      <c r="W55" s="297">
        <f t="shared" si="14"/>
        <v>82.214090673790125</v>
      </c>
      <c r="X55" s="297">
        <f t="shared" si="14"/>
        <v>82.231214024941934</v>
      </c>
      <c r="Y55" s="297">
        <f t="shared" si="14"/>
        <v>80.107659268292849</v>
      </c>
      <c r="Z55" s="297">
        <f t="shared" si="14"/>
        <v>80.206025133739871</v>
      </c>
      <c r="AA55" s="297">
        <f t="shared" si="14"/>
        <v>80.928495813684918</v>
      </c>
      <c r="AB55" s="297">
        <f t="shared" si="14"/>
        <v>82.353790348032959</v>
      </c>
      <c r="AC55" s="297">
        <f t="shared" si="14"/>
        <v>82.012311098960637</v>
      </c>
      <c r="AD55" s="297">
        <f t="shared" si="14"/>
        <v>80.817946516663881</v>
      </c>
      <c r="AE55" s="297">
        <f t="shared" si="14"/>
        <v>80.06910881405615</v>
      </c>
      <c r="AF55" s="297">
        <f t="shared" si="14"/>
        <v>74.949734976101738</v>
      </c>
      <c r="AG55" s="297">
        <f t="shared" si="14"/>
        <v>80.753189432742545</v>
      </c>
      <c r="AH55" s="297">
        <f t="shared" si="14"/>
        <v>82.862695862004315</v>
      </c>
      <c r="AI55" s="297">
        <f t="shared" si="14"/>
        <v>81.05243402250855</v>
      </c>
      <c r="AJ55" s="297">
        <f t="shared" si="14"/>
        <v>80.169072001897916</v>
      </c>
      <c r="AK55" s="297">
        <f t="shared" si="14"/>
        <v>80.145154387948608</v>
      </c>
      <c r="AL55" s="297">
        <f t="shared" si="14"/>
        <v>83.986071347638614</v>
      </c>
      <c r="AM55" s="297">
        <f t="shared" si="14"/>
        <v>83.071045367491649</v>
      </c>
      <c r="AN55" s="297">
        <f t="shared" si="14"/>
        <v>80.13666896171091</v>
      </c>
      <c r="AO55" s="7"/>
      <c r="AP55" s="298">
        <f>AP39/AP38*100</f>
        <v>81.167156466668345</v>
      </c>
    </row>
    <row r="56" spans="6:957" x14ac:dyDescent="0.3">
      <c r="F56" s="135"/>
      <c r="G56" s="211" t="s">
        <v>80</v>
      </c>
      <c r="H56" s="295">
        <v>18</v>
      </c>
      <c r="I56" s="212" t="s">
        <v>29</v>
      </c>
      <c r="J56" s="297">
        <f t="shared" ref="J56:AN56" si="15">(J40/J38)*100</f>
        <v>18.595417544066944</v>
      </c>
      <c r="K56" s="297">
        <f t="shared" si="15"/>
        <v>18.108655684029177</v>
      </c>
      <c r="L56" s="297">
        <f t="shared" si="15"/>
        <v>21.949957265292362</v>
      </c>
      <c r="M56" s="297">
        <f t="shared" si="15"/>
        <v>17.969907513918926</v>
      </c>
      <c r="N56" s="297">
        <f t="shared" si="15"/>
        <v>19.97124352821729</v>
      </c>
      <c r="O56" s="312">
        <f t="shared" si="15"/>
        <v>19.80492087408323</v>
      </c>
      <c r="P56" s="297">
        <f t="shared" si="15"/>
        <v>19.58362325892055</v>
      </c>
      <c r="Q56" s="297">
        <f t="shared" si="15"/>
        <v>18.376195768975801</v>
      </c>
      <c r="R56" s="297">
        <f t="shared" si="15"/>
        <v>19.859151584650693</v>
      </c>
      <c r="S56" s="297">
        <f t="shared" si="15"/>
        <v>14.558531319968163</v>
      </c>
      <c r="T56" s="297">
        <f t="shared" si="15"/>
        <v>18.923040691128829</v>
      </c>
      <c r="U56" s="297">
        <f t="shared" si="15"/>
        <v>17.498142132673895</v>
      </c>
      <c r="V56" s="297">
        <f t="shared" si="15"/>
        <v>17.637835624297875</v>
      </c>
      <c r="W56" s="297">
        <f t="shared" si="15"/>
        <v>17.785909326209886</v>
      </c>
      <c r="X56" s="297">
        <f t="shared" si="15"/>
        <v>17.768785975058066</v>
      </c>
      <c r="Y56" s="297">
        <f t="shared" si="15"/>
        <v>19.892340731707151</v>
      </c>
      <c r="Z56" s="297">
        <f t="shared" si="15"/>
        <v>19.793974866260129</v>
      </c>
      <c r="AA56" s="297">
        <f t="shared" si="15"/>
        <v>19.071504186315082</v>
      </c>
      <c r="AB56" s="297">
        <f t="shared" si="15"/>
        <v>17.646209651967034</v>
      </c>
      <c r="AC56" s="297">
        <f t="shared" si="15"/>
        <v>17.987688901039352</v>
      </c>
      <c r="AD56" s="297">
        <f t="shared" si="15"/>
        <v>19.182053483336109</v>
      </c>
      <c r="AE56" s="297">
        <f t="shared" si="15"/>
        <v>19.930891185943839</v>
      </c>
      <c r="AF56" s="297">
        <f t="shared" si="15"/>
        <v>25.050265023898266</v>
      </c>
      <c r="AG56" s="297">
        <f t="shared" si="15"/>
        <v>19.246810567257459</v>
      </c>
      <c r="AH56" s="297">
        <f t="shared" si="15"/>
        <v>17.137304137995695</v>
      </c>
      <c r="AI56" s="297">
        <f t="shared" si="15"/>
        <v>18.947565977491454</v>
      </c>
      <c r="AJ56" s="297">
        <f t="shared" si="15"/>
        <v>19.830927998102091</v>
      </c>
      <c r="AK56" s="297">
        <f t="shared" si="15"/>
        <v>19.854845612051388</v>
      </c>
      <c r="AL56" s="297">
        <f t="shared" si="15"/>
        <v>16.013928652361393</v>
      </c>
      <c r="AM56" s="297">
        <f t="shared" si="15"/>
        <v>16.928954632508347</v>
      </c>
      <c r="AN56" s="297">
        <f t="shared" si="15"/>
        <v>19.86333103828909</v>
      </c>
      <c r="AO56" s="7"/>
      <c r="AP56" s="298">
        <f>AP40/AP38*100</f>
        <v>18.832843533331651</v>
      </c>
    </row>
    <row r="57" spans="6:957" ht="15" customHeight="1" x14ac:dyDescent="0.3">
      <c r="F57" s="135"/>
      <c r="G57" s="211" t="s">
        <v>81</v>
      </c>
      <c r="H57" s="295">
        <v>70</v>
      </c>
      <c r="I57" s="212" t="s">
        <v>29</v>
      </c>
      <c r="J57" s="297" t="e">
        <f t="shared" ref="J57:AL57" si="16">J44/J43*100</f>
        <v>#DIV/0!</v>
      </c>
      <c r="K57" s="297" t="e">
        <f t="shared" si="16"/>
        <v>#DIV/0!</v>
      </c>
      <c r="L57" s="297" t="e">
        <f t="shared" si="16"/>
        <v>#DIV/0!</v>
      </c>
      <c r="M57" s="297" t="e">
        <f t="shared" si="16"/>
        <v>#DIV/0!</v>
      </c>
      <c r="N57" s="297" t="e">
        <f t="shared" si="16"/>
        <v>#DIV/0!</v>
      </c>
      <c r="O57" s="312" t="e">
        <f t="shared" si="16"/>
        <v>#DIV/0!</v>
      </c>
      <c r="P57" s="297" t="e">
        <f t="shared" si="16"/>
        <v>#DIV/0!</v>
      </c>
      <c r="Q57" s="297" t="e">
        <f t="shared" si="16"/>
        <v>#DIV/0!</v>
      </c>
      <c r="R57" s="297" t="e">
        <f t="shared" si="16"/>
        <v>#DIV/0!</v>
      </c>
      <c r="S57" s="297" t="e">
        <f t="shared" si="16"/>
        <v>#DIV/0!</v>
      </c>
      <c r="T57" s="297" t="e">
        <f t="shared" si="16"/>
        <v>#DIV/0!</v>
      </c>
      <c r="U57" s="297" t="e">
        <f t="shared" si="16"/>
        <v>#DIV/0!</v>
      </c>
      <c r="V57" s="297" t="e">
        <f t="shared" si="16"/>
        <v>#DIV/0!</v>
      </c>
      <c r="W57" s="297" t="e">
        <f t="shared" si="16"/>
        <v>#DIV/0!</v>
      </c>
      <c r="X57" s="297" t="e">
        <f t="shared" si="16"/>
        <v>#DIV/0!</v>
      </c>
      <c r="Y57" s="297" t="e">
        <f t="shared" si="16"/>
        <v>#DIV/0!</v>
      </c>
      <c r="Z57" s="297" t="e">
        <f t="shared" si="16"/>
        <v>#DIV/0!</v>
      </c>
      <c r="AA57" s="297" t="e">
        <f t="shared" si="16"/>
        <v>#DIV/0!</v>
      </c>
      <c r="AB57" s="297" t="e">
        <f t="shared" si="16"/>
        <v>#DIV/0!</v>
      </c>
      <c r="AC57" s="297" t="e">
        <f t="shared" si="16"/>
        <v>#DIV/0!</v>
      </c>
      <c r="AD57" s="297" t="e">
        <f t="shared" si="16"/>
        <v>#DIV/0!</v>
      </c>
      <c r="AE57" s="297" t="e">
        <f t="shared" si="16"/>
        <v>#DIV/0!</v>
      </c>
      <c r="AF57" s="297" t="e">
        <f t="shared" si="16"/>
        <v>#DIV/0!</v>
      </c>
      <c r="AG57" s="297" t="e">
        <f t="shared" si="16"/>
        <v>#DIV/0!</v>
      </c>
      <c r="AH57" s="297">
        <f t="shared" si="16"/>
        <v>74.444444444444443</v>
      </c>
      <c r="AI57" s="297" t="e">
        <f t="shared" si="16"/>
        <v>#DIV/0!</v>
      </c>
      <c r="AJ57" s="297" t="e">
        <f t="shared" si="16"/>
        <v>#DIV/0!</v>
      </c>
      <c r="AK57" s="297" t="e">
        <f t="shared" si="16"/>
        <v>#DIV/0!</v>
      </c>
      <c r="AL57" s="297">
        <f t="shared" si="16"/>
        <v>73.333333333333329</v>
      </c>
      <c r="AM57" s="297" t="e">
        <f>AM44/AM43*100</f>
        <v>#DIV/0!</v>
      </c>
      <c r="AN57" s="297" t="e">
        <f>AN44/AN43*100</f>
        <v>#DIV/0!</v>
      </c>
      <c r="AO57" s="7"/>
      <c r="AP57" s="298">
        <f>AP44/AP43*100</f>
        <v>73.888888888888886</v>
      </c>
    </row>
    <row r="58" spans="6:957" ht="15" customHeight="1" x14ac:dyDescent="0.3">
      <c r="F58" s="135"/>
      <c r="G58" s="211" t="s">
        <v>80</v>
      </c>
      <c r="H58" s="295">
        <v>30</v>
      </c>
      <c r="I58" s="212" t="s">
        <v>29</v>
      </c>
      <c r="J58" s="297" t="e">
        <f t="shared" ref="J58:AN58" si="17">J45/J43*100</f>
        <v>#DIV/0!</v>
      </c>
      <c r="K58" s="297" t="e">
        <f t="shared" si="17"/>
        <v>#DIV/0!</v>
      </c>
      <c r="L58" s="297" t="e">
        <f t="shared" si="17"/>
        <v>#DIV/0!</v>
      </c>
      <c r="M58" s="297" t="e">
        <f t="shared" si="17"/>
        <v>#DIV/0!</v>
      </c>
      <c r="N58" s="297" t="e">
        <f t="shared" si="17"/>
        <v>#DIV/0!</v>
      </c>
      <c r="O58" s="312" t="e">
        <f t="shared" si="17"/>
        <v>#DIV/0!</v>
      </c>
      <c r="P58" s="297" t="e">
        <f t="shared" si="17"/>
        <v>#DIV/0!</v>
      </c>
      <c r="Q58" s="297" t="e">
        <f t="shared" si="17"/>
        <v>#DIV/0!</v>
      </c>
      <c r="R58" s="297" t="e">
        <f t="shared" si="17"/>
        <v>#DIV/0!</v>
      </c>
      <c r="S58" s="297" t="e">
        <f t="shared" si="17"/>
        <v>#DIV/0!</v>
      </c>
      <c r="T58" s="297" t="e">
        <f t="shared" si="17"/>
        <v>#DIV/0!</v>
      </c>
      <c r="U58" s="297" t="e">
        <f t="shared" si="17"/>
        <v>#DIV/0!</v>
      </c>
      <c r="V58" s="297" t="e">
        <f t="shared" si="17"/>
        <v>#DIV/0!</v>
      </c>
      <c r="W58" s="297" t="e">
        <f t="shared" si="17"/>
        <v>#DIV/0!</v>
      </c>
      <c r="X58" s="297" t="e">
        <f t="shared" si="17"/>
        <v>#DIV/0!</v>
      </c>
      <c r="Y58" s="297" t="e">
        <f t="shared" si="17"/>
        <v>#DIV/0!</v>
      </c>
      <c r="Z58" s="297" t="e">
        <f t="shared" si="17"/>
        <v>#DIV/0!</v>
      </c>
      <c r="AA58" s="297" t="e">
        <f t="shared" si="17"/>
        <v>#DIV/0!</v>
      </c>
      <c r="AB58" s="297" t="e">
        <f t="shared" si="17"/>
        <v>#DIV/0!</v>
      </c>
      <c r="AC58" s="297" t="e">
        <f t="shared" si="17"/>
        <v>#DIV/0!</v>
      </c>
      <c r="AD58" s="297" t="e">
        <f t="shared" si="17"/>
        <v>#DIV/0!</v>
      </c>
      <c r="AE58" s="297" t="e">
        <f t="shared" si="17"/>
        <v>#DIV/0!</v>
      </c>
      <c r="AF58" s="297" t="e">
        <f t="shared" si="17"/>
        <v>#DIV/0!</v>
      </c>
      <c r="AG58" s="297" t="e">
        <f t="shared" si="17"/>
        <v>#DIV/0!</v>
      </c>
      <c r="AH58" s="297">
        <f t="shared" si="17"/>
        <v>25.555555555555554</v>
      </c>
      <c r="AI58" s="297" t="e">
        <f t="shared" si="17"/>
        <v>#DIV/0!</v>
      </c>
      <c r="AJ58" s="297" t="e">
        <f t="shared" si="17"/>
        <v>#DIV/0!</v>
      </c>
      <c r="AK58" s="297" t="e">
        <f t="shared" si="17"/>
        <v>#DIV/0!</v>
      </c>
      <c r="AL58" s="297">
        <f t="shared" si="17"/>
        <v>26.666666666666668</v>
      </c>
      <c r="AM58" s="297" t="e">
        <f t="shared" si="17"/>
        <v>#DIV/0!</v>
      </c>
      <c r="AN58" s="297" t="e">
        <f t="shared" si="17"/>
        <v>#DIV/0!</v>
      </c>
      <c r="AO58" s="299"/>
      <c r="AP58" s="298">
        <f>AP45/AP43*100</f>
        <v>26.111111111111114</v>
      </c>
      <c r="GV58" s="1">
        <v>95.03</v>
      </c>
    </row>
    <row r="59" spans="6:957" ht="15" customHeight="1" x14ac:dyDescent="0.3">
      <c r="F59" s="135"/>
      <c r="G59" s="211" t="s">
        <v>79</v>
      </c>
      <c r="H59" s="295">
        <v>60</v>
      </c>
      <c r="I59" s="212" t="s">
        <v>29</v>
      </c>
      <c r="J59" s="297" t="e">
        <f t="shared" ref="J59:W59" si="18">J50/J48*100</f>
        <v>#DIV/0!</v>
      </c>
      <c r="K59" s="297" t="e">
        <f t="shared" si="18"/>
        <v>#DIV/0!</v>
      </c>
      <c r="L59" s="297" t="e">
        <f t="shared" si="18"/>
        <v>#DIV/0!</v>
      </c>
      <c r="M59" s="297" t="e">
        <f t="shared" si="18"/>
        <v>#DIV/0!</v>
      </c>
      <c r="N59" s="297" t="e">
        <f t="shared" si="18"/>
        <v>#DIV/0!</v>
      </c>
      <c r="O59" s="312" t="e">
        <f t="shared" si="18"/>
        <v>#DIV/0!</v>
      </c>
      <c r="P59" s="297" t="e">
        <f t="shared" si="18"/>
        <v>#DIV/0!</v>
      </c>
      <c r="Q59" s="297" t="e">
        <f t="shared" si="18"/>
        <v>#DIV/0!</v>
      </c>
      <c r="R59" s="297" t="e">
        <f t="shared" si="18"/>
        <v>#DIV/0!</v>
      </c>
      <c r="S59" s="297">
        <f t="shared" si="18"/>
        <v>59.940357852882705</v>
      </c>
      <c r="T59" s="297" t="e">
        <f t="shared" si="18"/>
        <v>#DIV/0!</v>
      </c>
      <c r="U59" s="297" t="e">
        <f t="shared" si="18"/>
        <v>#DIV/0!</v>
      </c>
      <c r="V59" s="297" t="e">
        <f t="shared" si="18"/>
        <v>#VALUE!</v>
      </c>
      <c r="W59" s="297" t="e">
        <f t="shared" si="18"/>
        <v>#DIV/0!</v>
      </c>
      <c r="X59" s="297" t="e">
        <f>(X50+X49)/X48*100</f>
        <v>#DIV/0!</v>
      </c>
      <c r="Y59" s="297" t="e">
        <f>(Y50+Y49)/Y48*100</f>
        <v>#DIV/0!</v>
      </c>
      <c r="Z59" s="297">
        <f>(Z50+Z49)/Z48*100</f>
        <v>60.286396181384248</v>
      </c>
      <c r="AA59" s="297" t="e">
        <f>(AA50+AA49)/AA48*100</f>
        <v>#DIV/0!</v>
      </c>
      <c r="AB59" s="297" t="e">
        <f t="shared" ref="AB59:AN59" si="19">AB50/AB48*100</f>
        <v>#DIV/0!</v>
      </c>
      <c r="AC59" s="297">
        <f t="shared" si="19"/>
        <v>60.730897009966775</v>
      </c>
      <c r="AD59" s="297" t="e">
        <f t="shared" si="19"/>
        <v>#DIV/0!</v>
      </c>
      <c r="AE59" s="297" t="e">
        <f t="shared" si="19"/>
        <v>#DIV/0!</v>
      </c>
      <c r="AF59" s="297" t="e">
        <f t="shared" si="19"/>
        <v>#DIV/0!</v>
      </c>
      <c r="AG59" s="297" t="e">
        <f t="shared" si="19"/>
        <v>#DIV/0!</v>
      </c>
      <c r="AH59" s="297" t="e">
        <f>AH50/AH48*100</f>
        <v>#DIV/0!</v>
      </c>
      <c r="AI59" s="297" t="e">
        <f t="shared" si="19"/>
        <v>#DIV/0!</v>
      </c>
      <c r="AJ59" s="297" t="e">
        <f t="shared" si="19"/>
        <v>#DIV/0!</v>
      </c>
      <c r="AK59" s="297" t="e">
        <f t="shared" si="19"/>
        <v>#DIV/0!</v>
      </c>
      <c r="AL59" s="297" t="e">
        <f t="shared" si="19"/>
        <v>#DIV/0!</v>
      </c>
      <c r="AM59" s="297" t="e">
        <f t="shared" si="19"/>
        <v>#DIV/0!</v>
      </c>
      <c r="AN59" s="297" t="e">
        <f t="shared" si="19"/>
        <v>#DIV/0!</v>
      </c>
      <c r="AO59" s="7"/>
      <c r="AP59" s="298">
        <f>(AP50+AP49)/AP48*100</f>
        <v>60.281539558089804</v>
      </c>
      <c r="GV59" s="1">
        <v>4.2300000000000004</v>
      </c>
      <c r="PZ59" s="5">
        <f>PZ60/94.2%</f>
        <v>1307.8556263269638</v>
      </c>
      <c r="QA59" s="1" t="s">
        <v>78</v>
      </c>
    </row>
    <row r="60" spans="6:957" ht="15" customHeight="1" x14ac:dyDescent="0.3">
      <c r="F60" s="135"/>
      <c r="G60" s="211" t="s">
        <v>77</v>
      </c>
      <c r="H60" s="295">
        <v>40</v>
      </c>
      <c r="I60" s="212" t="s">
        <v>29</v>
      </c>
      <c r="J60" s="297" t="e">
        <f t="shared" ref="J60:AN60" si="20">J51/J48*100</f>
        <v>#DIV/0!</v>
      </c>
      <c r="K60" s="297" t="e">
        <f t="shared" si="20"/>
        <v>#DIV/0!</v>
      </c>
      <c r="L60" s="297" t="e">
        <f t="shared" si="20"/>
        <v>#DIV/0!</v>
      </c>
      <c r="M60" s="297" t="e">
        <f t="shared" si="20"/>
        <v>#DIV/0!</v>
      </c>
      <c r="N60" s="297" t="e">
        <f t="shared" si="20"/>
        <v>#DIV/0!</v>
      </c>
      <c r="O60" s="312" t="e">
        <f t="shared" si="20"/>
        <v>#DIV/0!</v>
      </c>
      <c r="P60" s="297" t="e">
        <f t="shared" si="20"/>
        <v>#DIV/0!</v>
      </c>
      <c r="Q60" s="297" t="e">
        <f t="shared" si="20"/>
        <v>#DIV/0!</v>
      </c>
      <c r="R60" s="297" t="e">
        <f t="shared" si="20"/>
        <v>#DIV/0!</v>
      </c>
      <c r="S60" s="297">
        <f t="shared" si="20"/>
        <v>40.059642147117295</v>
      </c>
      <c r="T60" s="297" t="e">
        <f t="shared" si="20"/>
        <v>#DIV/0!</v>
      </c>
      <c r="U60" s="297" t="e">
        <f t="shared" si="20"/>
        <v>#DIV/0!</v>
      </c>
      <c r="V60" s="297" t="e">
        <f t="shared" si="20"/>
        <v>#VALUE!</v>
      </c>
      <c r="W60" s="297" t="e">
        <f t="shared" si="20"/>
        <v>#DIV/0!</v>
      </c>
      <c r="X60" s="297" t="e">
        <f t="shared" si="20"/>
        <v>#DIV/0!</v>
      </c>
      <c r="Y60" s="297" t="e">
        <f t="shared" si="20"/>
        <v>#DIV/0!</v>
      </c>
      <c r="Z60" s="297">
        <f t="shared" si="20"/>
        <v>39.713603818615752</v>
      </c>
      <c r="AA60" s="297" t="e">
        <f t="shared" si="20"/>
        <v>#DIV/0!</v>
      </c>
      <c r="AB60" s="297" t="e">
        <f t="shared" si="20"/>
        <v>#DIV/0!</v>
      </c>
      <c r="AC60" s="297">
        <f t="shared" si="20"/>
        <v>39.269102990033225</v>
      </c>
      <c r="AD60" s="297" t="e">
        <f t="shared" si="20"/>
        <v>#DIV/0!</v>
      </c>
      <c r="AE60" s="297" t="e">
        <f t="shared" si="20"/>
        <v>#DIV/0!</v>
      </c>
      <c r="AF60" s="297" t="e">
        <f t="shared" si="20"/>
        <v>#DIV/0!</v>
      </c>
      <c r="AG60" s="297" t="e">
        <f t="shared" si="20"/>
        <v>#DIV/0!</v>
      </c>
      <c r="AH60" s="297" t="e">
        <f t="shared" si="20"/>
        <v>#DIV/0!</v>
      </c>
      <c r="AI60" s="297" t="e">
        <f t="shared" si="20"/>
        <v>#DIV/0!</v>
      </c>
      <c r="AJ60" s="297" t="e">
        <f t="shared" si="20"/>
        <v>#DIV/0!</v>
      </c>
      <c r="AK60" s="297" t="e">
        <f t="shared" si="20"/>
        <v>#DIV/0!</v>
      </c>
      <c r="AL60" s="297" t="e">
        <f t="shared" si="20"/>
        <v>#DIV/0!</v>
      </c>
      <c r="AM60" s="297" t="e">
        <f t="shared" si="20"/>
        <v>#DIV/0!</v>
      </c>
      <c r="AN60" s="297" t="e">
        <f t="shared" si="20"/>
        <v>#DIV/0!</v>
      </c>
      <c r="AO60" s="299"/>
      <c r="AP60" s="298">
        <f>AP51/AP48*100</f>
        <v>39.718460441910189</v>
      </c>
      <c r="GV60" s="1">
        <f>100-GV58-GV59</f>
        <v>0.73999999999999844</v>
      </c>
      <c r="PZ60" s="5">
        <f>22*56</f>
        <v>1232</v>
      </c>
      <c r="QA60" s="1" t="s">
        <v>76</v>
      </c>
    </row>
    <row r="61" spans="6:957" x14ac:dyDescent="0.3">
      <c r="F61" s="179">
        <v>3</v>
      </c>
      <c r="G61" s="213" t="s">
        <v>75</v>
      </c>
      <c r="H61" s="210"/>
      <c r="I61" s="210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0"/>
      <c r="AP61" s="43" t="s">
        <v>74</v>
      </c>
      <c r="AQ61" s="31"/>
      <c r="DA61" s="5"/>
      <c r="PZ61" s="5">
        <f>16.5*PZ59</f>
        <v>21579.617834394903</v>
      </c>
    </row>
    <row r="62" spans="6:957" x14ac:dyDescent="0.3">
      <c r="F62" s="137"/>
      <c r="G62" s="136" t="s">
        <v>73</v>
      </c>
      <c r="H62" s="295">
        <v>8</v>
      </c>
      <c r="I62" s="214" t="s">
        <v>70</v>
      </c>
      <c r="J62" s="11">
        <v>16288</v>
      </c>
      <c r="K62" s="289">
        <v>18848</v>
      </c>
      <c r="L62" s="289">
        <v>16992</v>
      </c>
      <c r="M62" s="11">
        <v>12976</v>
      </c>
      <c r="N62" s="289">
        <v>17816</v>
      </c>
      <c r="O62" s="349">
        <v>19360</v>
      </c>
      <c r="P62" s="11">
        <v>13816</v>
      </c>
      <c r="Q62" s="289">
        <v>13672</v>
      </c>
      <c r="R62" s="289">
        <f>20236-9656+3000+3000</f>
        <v>16580</v>
      </c>
      <c r="S62" s="289">
        <v>15404</v>
      </c>
      <c r="T62" s="11">
        <v>12872</v>
      </c>
      <c r="U62" s="289">
        <v>12960</v>
      </c>
      <c r="V62" s="289">
        <v>8528</v>
      </c>
      <c r="W62" s="11">
        <v>10184</v>
      </c>
      <c r="X62" s="11">
        <f>10032+1000</f>
        <v>11032</v>
      </c>
      <c r="Y62" s="11">
        <f>10296+1500</f>
        <v>11796</v>
      </c>
      <c r="Z62" s="11">
        <f>15240-6372+300</f>
        <v>9168</v>
      </c>
      <c r="AA62" s="11">
        <f>11024+1000</f>
        <v>12024</v>
      </c>
      <c r="AB62" s="11">
        <f>11792-1000</f>
        <v>10792</v>
      </c>
      <c r="AC62" s="289">
        <f>15880-1800</f>
        <v>14080</v>
      </c>
      <c r="AD62" s="289">
        <f>20096-2475</f>
        <v>17621</v>
      </c>
      <c r="AE62" s="11">
        <f>11184-1200</f>
        <v>9984</v>
      </c>
      <c r="AF62" s="289">
        <f>9648-2000</f>
        <v>7648</v>
      </c>
      <c r="AG62" s="11">
        <f>6552-1700</f>
        <v>4852</v>
      </c>
      <c r="AH62" s="11">
        <f>9224+1700+1200</f>
        <v>12124</v>
      </c>
      <c r="AI62" s="11">
        <f>9340+1000</f>
        <v>10340</v>
      </c>
      <c r="AJ62" s="11">
        <f>9676+1500</f>
        <v>11176</v>
      </c>
      <c r="AK62" s="11">
        <f>12560-1500+300</f>
        <v>11360</v>
      </c>
      <c r="AL62" s="11">
        <f>11416+1500</f>
        <v>12916</v>
      </c>
      <c r="AM62" s="11">
        <f>14920-1800-1000</f>
        <v>12120</v>
      </c>
      <c r="AN62" s="11">
        <f>16352</f>
        <v>16352</v>
      </c>
      <c r="AO62" s="10"/>
      <c r="AP62" s="9">
        <f>SUM(J62:AN62)</f>
        <v>401681</v>
      </c>
      <c r="AQ62" s="31"/>
      <c r="DA62" s="5"/>
    </row>
    <row r="63" spans="6:957" x14ac:dyDescent="0.3">
      <c r="F63" s="135"/>
      <c r="G63" s="215"/>
      <c r="H63" s="192"/>
      <c r="I63" s="214" t="s">
        <v>29</v>
      </c>
      <c r="J63" s="297">
        <f>J62/J29*100</f>
        <v>0.83687941804819255</v>
      </c>
      <c r="K63" s="300">
        <f>K62/(K29-K47)*100</f>
        <v>1.0000498751529416</v>
      </c>
      <c r="L63" s="300">
        <f t="shared" ref="L63:Q63" si="21">L62/((L29+L30)-L47)*100</f>
        <v>1.0149052259376614</v>
      </c>
      <c r="M63" s="297">
        <f t="shared" si="21"/>
        <v>0.82555715246404249</v>
      </c>
      <c r="N63" s="300">
        <f t="shared" si="21"/>
        <v>0.98700484250635856</v>
      </c>
      <c r="O63" s="350">
        <f t="shared" si="21"/>
        <v>1.096678186696999</v>
      </c>
      <c r="P63" s="297">
        <f t="shared" si="21"/>
        <v>0.87843727686987427</v>
      </c>
      <c r="Q63" s="300">
        <f t="shared" si="21"/>
        <v>0.94445588095103217</v>
      </c>
      <c r="R63" s="300">
        <f t="shared" ref="R63:AN63" si="22">R62/((R29+R30)-(R47+R42))*100</f>
        <v>1.1095756107517742</v>
      </c>
      <c r="S63" s="300">
        <f t="shared" si="22"/>
        <v>1.4019937727594176</v>
      </c>
      <c r="T63" s="297">
        <f t="shared" si="22"/>
        <v>0.83199267805076382</v>
      </c>
      <c r="U63" s="300">
        <f t="shared" si="22"/>
        <v>0.92594246439301109</v>
      </c>
      <c r="V63" s="300">
        <f t="shared" si="22"/>
        <v>1.0078091024259268</v>
      </c>
      <c r="W63" s="297">
        <f t="shared" si="22"/>
        <v>0.80744588154236119</v>
      </c>
      <c r="X63" s="297">
        <f t="shared" si="22"/>
        <v>0.79203144002975145</v>
      </c>
      <c r="Y63" s="297">
        <f t="shared" si="22"/>
        <v>0.79997667073798462</v>
      </c>
      <c r="Z63" s="297">
        <f t="shared" si="22"/>
        <v>0.8032790045228253</v>
      </c>
      <c r="AA63" s="297">
        <f t="shared" si="22"/>
        <v>0.82428091361914435</v>
      </c>
      <c r="AB63" s="297">
        <f t="shared" si="22"/>
        <v>0.83014873754623053</v>
      </c>
      <c r="AC63" s="300">
        <f t="shared" si="22"/>
        <v>1.1969379470984032</v>
      </c>
      <c r="AD63" s="300">
        <f t="shared" si="22"/>
        <v>1.3968712493915789</v>
      </c>
      <c r="AE63" s="297">
        <f t="shared" si="22"/>
        <v>0.85806147206014671</v>
      </c>
      <c r="AF63" s="300">
        <f t="shared" si="22"/>
        <v>1.0174136302563488</v>
      </c>
      <c r="AG63" s="297">
        <f>AG62/((AG29+AG30)-(AG47+AG42))*100</f>
        <v>0.84257175404962359</v>
      </c>
      <c r="AH63" s="297">
        <f>AH62/((AH29+AH30)-(AH47+AH42))*100</f>
        <v>0.8471704270160999</v>
      </c>
      <c r="AI63" s="297">
        <f t="shared" si="22"/>
        <v>0.76214624510298923</v>
      </c>
      <c r="AJ63" s="297">
        <f t="shared" si="22"/>
        <v>0.79850016861671425</v>
      </c>
      <c r="AK63" s="297">
        <f t="shared" si="22"/>
        <v>0.80616546262259248</v>
      </c>
      <c r="AL63" s="297">
        <f t="shared" si="22"/>
        <v>0.82510791371502357</v>
      </c>
      <c r="AM63" s="297">
        <f t="shared" si="22"/>
        <v>0.78401337221487655</v>
      </c>
      <c r="AN63" s="297">
        <f t="shared" si="22"/>
        <v>1.140944139648437</v>
      </c>
      <c r="AO63" s="10"/>
      <c r="AP63" s="301">
        <f>AP62/(((AP29)-(AP42+AP47)))*100</f>
        <v>0.9308416372065802</v>
      </c>
      <c r="AQ63" s="67">
        <f>AP63*10</f>
        <v>9.3084163720658015</v>
      </c>
      <c r="AR63" s="302">
        <f>AP63*10</f>
        <v>9.3084163720658015</v>
      </c>
      <c r="DA63" s="4"/>
      <c r="GV63" s="27">
        <f>V63*10</f>
        <v>10.078091024259269</v>
      </c>
      <c r="PW63" s="27"/>
      <c r="PZ63" s="5">
        <f>PZ59+(AP47/1000)</f>
        <v>1902.9396263269637</v>
      </c>
      <c r="QA63" s="5" t="s">
        <v>72</v>
      </c>
    </row>
    <row r="64" spans="6:957" x14ac:dyDescent="0.3">
      <c r="F64" s="137"/>
      <c r="G64" s="216" t="s">
        <v>71</v>
      </c>
      <c r="H64" s="303">
        <v>16</v>
      </c>
      <c r="I64" s="217" t="s">
        <v>70</v>
      </c>
      <c r="J64" s="218">
        <v>0</v>
      </c>
      <c r="K64" s="218">
        <v>0</v>
      </c>
      <c r="L64" s="218"/>
      <c r="M64" s="218"/>
      <c r="N64" s="218"/>
      <c r="O64" s="351"/>
      <c r="P64" s="218"/>
      <c r="Q64" s="218"/>
      <c r="R64" s="218">
        <f>9656-3000-3000</f>
        <v>3656</v>
      </c>
      <c r="S64" s="218"/>
      <c r="T64" s="218"/>
      <c r="U64" s="218"/>
      <c r="V64" s="218"/>
      <c r="W64" s="218"/>
      <c r="X64" s="218"/>
      <c r="Y64" s="218"/>
      <c r="Z64" s="218">
        <f>6372-1500-1000-300</f>
        <v>3572</v>
      </c>
      <c r="AA64" s="218"/>
      <c r="AB64" s="218"/>
      <c r="AC64" s="218">
        <f>2475+1800</f>
        <v>4275</v>
      </c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10"/>
      <c r="AP64" s="80">
        <f>SUM(J64:AN64)</f>
        <v>11503</v>
      </c>
      <c r="AQ64" s="66"/>
      <c r="AR64" s="302"/>
      <c r="AT64" s="3">
        <f>AP64+AP66</f>
        <v>34618.674999999988</v>
      </c>
      <c r="CB64" s="5"/>
      <c r="CC64" s="5"/>
      <c r="DF64" s="5"/>
      <c r="EN64" s="30"/>
      <c r="EO64" s="5"/>
      <c r="EP64" s="5"/>
      <c r="EQ64" s="5"/>
      <c r="ER64" s="5"/>
      <c r="GU64" s="5"/>
      <c r="GV64" s="27"/>
      <c r="KP64" s="5"/>
      <c r="KQ64" s="5"/>
      <c r="KR64" s="5"/>
      <c r="KS64" s="5"/>
      <c r="PW64" s="5"/>
      <c r="PX64" s="5"/>
      <c r="PZ64" s="5">
        <f>PZ61+AP64</f>
        <v>33082.6178343949</v>
      </c>
      <c r="QA64" s="5" t="s">
        <v>69</v>
      </c>
      <c r="QN64" s="27"/>
      <c r="QR64" s="5"/>
      <c r="SU64" s="27"/>
      <c r="AID64" s="5"/>
      <c r="AJS64" s="5"/>
      <c r="AJT64" s="5"/>
      <c r="AJU64" s="5"/>
    </row>
    <row r="65" spans="6:957" x14ac:dyDescent="0.3">
      <c r="F65" s="135"/>
      <c r="G65" s="219"/>
      <c r="H65" s="220"/>
      <c r="I65" s="221" t="s">
        <v>29</v>
      </c>
      <c r="J65" s="304" t="e">
        <f t="shared" ref="J65:Q65" si="23">J64/J47*100</f>
        <v>#DIV/0!</v>
      </c>
      <c r="K65" s="304" t="e">
        <f t="shared" si="23"/>
        <v>#DIV/0!</v>
      </c>
      <c r="L65" s="304" t="e">
        <f t="shared" si="23"/>
        <v>#DIV/0!</v>
      </c>
      <c r="M65" s="304" t="e">
        <f t="shared" si="23"/>
        <v>#DIV/0!</v>
      </c>
      <c r="N65" s="304" t="e">
        <f t="shared" si="23"/>
        <v>#DIV/0!</v>
      </c>
      <c r="O65" s="352" t="e">
        <f t="shared" si="23"/>
        <v>#DIV/0!</v>
      </c>
      <c r="P65" s="304" t="e">
        <f t="shared" si="23"/>
        <v>#DIV/0!</v>
      </c>
      <c r="Q65" s="304" t="e">
        <f t="shared" si="23"/>
        <v>#DIV/0!</v>
      </c>
      <c r="R65" s="304" t="e">
        <f>R64/(R42+R47)*100</f>
        <v>#DIV/0!</v>
      </c>
      <c r="S65" s="304">
        <f>S64/(S42+S47)*100</f>
        <v>0</v>
      </c>
      <c r="T65" s="304" t="e">
        <f>T64/(T47+T42)*100</f>
        <v>#DIV/0!</v>
      </c>
      <c r="U65" s="304" t="e">
        <f>U64/U47*100</f>
        <v>#DIV/0!</v>
      </c>
      <c r="V65" s="304" t="e">
        <f>V64/V47*100</f>
        <v>#DIV/0!</v>
      </c>
      <c r="W65" s="304" t="e">
        <f>W64/W47*100</f>
        <v>#DIV/0!</v>
      </c>
      <c r="X65" s="304" t="e">
        <f>X64/(X47+X42)*100</f>
        <v>#DIV/0!</v>
      </c>
      <c r="Y65" s="304" t="e">
        <f t="shared" ref="Y65:AE65" si="24">Y64/Y47*100</f>
        <v>#DIV/0!</v>
      </c>
      <c r="Z65" s="304">
        <f>Z64/Z47*100</f>
        <v>1.6129469244732635</v>
      </c>
      <c r="AA65" s="304" t="e">
        <f>AA64/AA47*100</f>
        <v>#DIV/0!</v>
      </c>
      <c r="AB65" s="304" t="e">
        <f t="shared" si="24"/>
        <v>#DIV/0!</v>
      </c>
      <c r="AC65" s="304">
        <f t="shared" si="24"/>
        <v>2.6712405803621642</v>
      </c>
      <c r="AD65" s="304" t="e">
        <f t="shared" si="24"/>
        <v>#DIV/0!</v>
      </c>
      <c r="AE65" s="304" t="e">
        <f t="shared" si="24"/>
        <v>#DIV/0!</v>
      </c>
      <c r="AF65" s="304" t="e">
        <f>AF64/(AF47+AF42)*100</f>
        <v>#DIV/0!</v>
      </c>
      <c r="AG65" s="304" t="e">
        <f>AG64/(AG47)*100</f>
        <v>#DIV/0!</v>
      </c>
      <c r="AH65" s="304" t="e">
        <f t="shared" ref="AH65" si="25">AH64/AH47*100</f>
        <v>#DIV/0!</v>
      </c>
      <c r="AI65" s="304" t="e">
        <f>AI64/AI47*100</f>
        <v>#DIV/0!</v>
      </c>
      <c r="AJ65" s="304" t="e">
        <f t="shared" ref="AJ65:AN65" si="26">AJ64/AJ47*100</f>
        <v>#DIV/0!</v>
      </c>
      <c r="AK65" s="304" t="e">
        <f t="shared" si="26"/>
        <v>#DIV/0!</v>
      </c>
      <c r="AL65" s="304" t="e">
        <f t="shared" si="26"/>
        <v>#DIV/0!</v>
      </c>
      <c r="AM65" s="304" t="e">
        <f t="shared" si="26"/>
        <v>#DIV/0!</v>
      </c>
      <c r="AN65" s="304" t="e">
        <f t="shared" si="26"/>
        <v>#DIV/0!</v>
      </c>
      <c r="AO65" s="10"/>
      <c r="AP65" s="305">
        <f>AP64/((AP47)+AP42)*100</f>
        <v>1.6233143102290113</v>
      </c>
      <c r="AQ65" s="67"/>
      <c r="AR65" s="302">
        <f>AP65*10</f>
        <v>16.233143102290114</v>
      </c>
      <c r="CB65" s="5"/>
      <c r="CC65" s="5"/>
      <c r="DA65" s="4"/>
      <c r="DF65" s="5"/>
      <c r="EN65" s="30"/>
      <c r="EO65" s="5"/>
      <c r="EP65" s="5"/>
      <c r="EQ65" s="5"/>
      <c r="ER65" s="5"/>
      <c r="GU65" s="5"/>
      <c r="GV65" s="27"/>
      <c r="KP65" s="5"/>
      <c r="KQ65" s="5"/>
      <c r="KR65" s="5"/>
      <c r="KS65" s="5"/>
      <c r="PW65" s="27"/>
      <c r="PX65" s="5"/>
      <c r="PZ65" s="82">
        <f>PZ64/PZ63</f>
        <v>17.385006532367324</v>
      </c>
      <c r="QA65" s="81" t="s">
        <v>68</v>
      </c>
      <c r="QN65" s="27"/>
      <c r="QR65" s="5"/>
      <c r="SU65" s="27"/>
      <c r="AID65" s="5"/>
      <c r="AJS65" s="5"/>
      <c r="AJT65" s="5"/>
      <c r="AJU65" s="5"/>
    </row>
    <row r="66" spans="6:957" x14ac:dyDescent="0.3">
      <c r="F66" s="135"/>
      <c r="G66" s="136" t="s">
        <v>67</v>
      </c>
      <c r="H66" s="295">
        <v>0.55000000000000004</v>
      </c>
      <c r="I66" s="214" t="s">
        <v>16</v>
      </c>
      <c r="J66" s="11">
        <v>978</v>
      </c>
      <c r="K66" s="11">
        <v>1087</v>
      </c>
      <c r="L66" s="11">
        <v>912</v>
      </c>
      <c r="M66" s="11">
        <v>830</v>
      </c>
      <c r="N66" s="11">
        <v>974</v>
      </c>
      <c r="O66" s="259">
        <v>1046</v>
      </c>
      <c r="P66" s="11">
        <v>839</v>
      </c>
      <c r="Q66" s="11">
        <v>659.95500000000004</v>
      </c>
      <c r="R66" s="11">
        <v>854</v>
      </c>
      <c r="S66" s="11">
        <v>789</v>
      </c>
      <c r="T66" s="11">
        <v>813</v>
      </c>
      <c r="U66" s="11">
        <v>729.92</v>
      </c>
      <c r="V66" s="11">
        <v>447</v>
      </c>
      <c r="W66" s="11">
        <v>660</v>
      </c>
      <c r="X66" s="11">
        <v>695</v>
      </c>
      <c r="Y66" s="11">
        <v>778.8</v>
      </c>
      <c r="Z66" s="11">
        <v>669.2</v>
      </c>
      <c r="AA66" s="11">
        <v>758</v>
      </c>
      <c r="AB66" s="11">
        <v>669.2</v>
      </c>
      <c r="AC66" s="11">
        <v>751</v>
      </c>
      <c r="AD66" s="11">
        <v>692.6</v>
      </c>
      <c r="AE66" s="11">
        <v>563.1</v>
      </c>
      <c r="AF66" s="11">
        <v>411.6</v>
      </c>
      <c r="AG66" s="11">
        <v>270.5</v>
      </c>
      <c r="AH66" s="11">
        <v>662</v>
      </c>
      <c r="AI66" s="11">
        <v>670</v>
      </c>
      <c r="AJ66" s="11">
        <v>677.4</v>
      </c>
      <c r="AK66" s="11">
        <v>675.1</v>
      </c>
      <c r="AL66" s="11">
        <v>854.6</v>
      </c>
      <c r="AM66" s="11">
        <v>858.1</v>
      </c>
      <c r="AN66" s="11">
        <v>840.6</v>
      </c>
      <c r="AO66" s="10"/>
      <c r="AP66" s="80">
        <f>SUM(J66:AN66)</f>
        <v>23115.674999999992</v>
      </c>
      <c r="GV66" s="27"/>
      <c r="PZ66" s="27">
        <v>16</v>
      </c>
      <c r="QA66" s="1" t="s">
        <v>66</v>
      </c>
    </row>
    <row r="67" spans="6:957" x14ac:dyDescent="0.3">
      <c r="F67" s="222"/>
      <c r="G67" s="223"/>
      <c r="H67" s="192"/>
      <c r="I67" s="224" t="s">
        <v>29</v>
      </c>
      <c r="J67" s="79">
        <f t="shared" ref="J67:AN67" si="27">J66/(J29+J30)*100</f>
        <v>5.0249758770329833E-2</v>
      </c>
      <c r="K67" s="79">
        <f t="shared" si="27"/>
        <v>5.7674777922922721E-2</v>
      </c>
      <c r="L67" s="79">
        <f t="shared" si="27"/>
        <v>5.4472314386484658E-2</v>
      </c>
      <c r="M67" s="79">
        <f t="shared" si="27"/>
        <v>5.2806137218338101E-2</v>
      </c>
      <c r="N67" s="79">
        <f t="shared" si="27"/>
        <v>5.3959514851885569E-2</v>
      </c>
      <c r="O67" s="353">
        <f t="shared" si="27"/>
        <v>5.9252344177947364E-2</v>
      </c>
      <c r="P67" s="79">
        <f t="shared" si="27"/>
        <v>5.3344591437016822E-2</v>
      </c>
      <c r="Q67" s="79">
        <f t="shared" si="27"/>
        <v>4.5589407615055484E-2</v>
      </c>
      <c r="R67" s="79">
        <f t="shared" si="27"/>
        <v>5.7151843883113104E-2</v>
      </c>
      <c r="S67" s="79">
        <f t="shared" si="27"/>
        <v>6.0123035047385948E-2</v>
      </c>
      <c r="T67" s="79">
        <f t="shared" si="27"/>
        <v>5.2548947114300096E-2</v>
      </c>
      <c r="U67" s="79">
        <f t="shared" si="27"/>
        <v>5.2149994105690337E-2</v>
      </c>
      <c r="V67" s="79">
        <f t="shared" si="27"/>
        <v>5.282489080492371E-2</v>
      </c>
      <c r="W67" s="79">
        <f t="shared" si="27"/>
        <v>5.2328582268063473E-2</v>
      </c>
      <c r="X67" s="79">
        <f t="shared" si="27"/>
        <v>4.9896832017827887E-2</v>
      </c>
      <c r="Y67" s="79">
        <f t="shared" si="27"/>
        <v>5.2816364120951365E-2</v>
      </c>
      <c r="Z67" s="79">
        <f t="shared" si="27"/>
        <v>4.9105504923758786E-2</v>
      </c>
      <c r="AA67" s="79">
        <f t="shared" si="27"/>
        <v>5.1963151407461036E-2</v>
      </c>
      <c r="AB67" s="79">
        <f t="shared" si="27"/>
        <v>5.1476606297807398E-2</v>
      </c>
      <c r="AC67" s="79">
        <f t="shared" si="27"/>
        <v>5.6196885151076827E-2</v>
      </c>
      <c r="AD67" s="79">
        <f t="shared" si="27"/>
        <v>5.4904547263413407E-2</v>
      </c>
      <c r="AE67" s="79">
        <f t="shared" si="27"/>
        <v>4.8394873288969215E-2</v>
      </c>
      <c r="AF67" s="79">
        <f t="shared" si="27"/>
        <v>5.4755158239214598E-2</v>
      </c>
      <c r="AG67" s="79">
        <f t="shared" si="27"/>
        <v>4.6973548942791252E-2</v>
      </c>
      <c r="AH67" s="79">
        <f t="shared" si="27"/>
        <v>4.4492805540228018E-2</v>
      </c>
      <c r="AI67" s="79">
        <f t="shared" si="27"/>
        <v>4.9384718009574738E-2</v>
      </c>
      <c r="AJ67" s="79">
        <f t="shared" si="27"/>
        <v>4.839871279715123E-2</v>
      </c>
      <c r="AK67" s="79">
        <f t="shared" si="27"/>
        <v>4.7908653504974669E-2</v>
      </c>
      <c r="AL67" s="79">
        <f t="shared" si="27"/>
        <v>5.2683654566358533E-2</v>
      </c>
      <c r="AM67" s="79">
        <f t="shared" si="27"/>
        <v>5.5508405503101127E-2</v>
      </c>
      <c r="AN67" s="79">
        <f t="shared" si="27"/>
        <v>5.8652008548708168E-2</v>
      </c>
      <c r="AO67" s="78"/>
      <c r="AP67" s="77">
        <f>AP66/(AP29+71450)*100</f>
        <v>5.2616325288911844E-2</v>
      </c>
      <c r="AR67" s="302">
        <f>AP67*10</f>
        <v>0.52616325288911847</v>
      </c>
      <c r="AX67" s="2" t="s">
        <v>85</v>
      </c>
      <c r="GV67" s="27">
        <f>T67*10</f>
        <v>0.52548947114300093</v>
      </c>
      <c r="PW67" s="27"/>
      <c r="PZ67" s="27">
        <f>PZ65-PZ66</f>
        <v>1.3850065323673242</v>
      </c>
      <c r="QA67" s="1" t="s">
        <v>65</v>
      </c>
    </row>
    <row r="68" spans="6:957" x14ac:dyDescent="0.3">
      <c r="F68" s="225">
        <v>4</v>
      </c>
      <c r="G68" s="226" t="s">
        <v>64</v>
      </c>
      <c r="H68" s="227">
        <v>0.8</v>
      </c>
      <c r="I68" s="228" t="s">
        <v>29</v>
      </c>
      <c r="J68" s="294">
        <f t="shared" ref="J68:AN68" si="28">((SUM(J35:J36))-(SUM(J29:J30)))/(SUM(J29:J30))*100</f>
        <v>-0.68001590728559846</v>
      </c>
      <c r="K68" s="294">
        <f t="shared" si="28"/>
        <v>-0.67304927134523906</v>
      </c>
      <c r="L68" s="294">
        <f t="shared" si="28"/>
        <v>-0.73943777643057018</v>
      </c>
      <c r="M68" s="294">
        <f t="shared" si="28"/>
        <v>-0.75627295555950014</v>
      </c>
      <c r="N68" s="294">
        <f t="shared" si="28"/>
        <v>-0.73078024682877052</v>
      </c>
      <c r="O68" s="311">
        <f t="shared" si="28"/>
        <v>-0.76246324343706651</v>
      </c>
      <c r="P68" s="294">
        <f t="shared" si="28"/>
        <v>-0.77893276483300722</v>
      </c>
      <c r="Q68" s="294">
        <f t="shared" si="28"/>
        <v>-0.76885561402757385</v>
      </c>
      <c r="R68" s="294">
        <f t="shared" si="28"/>
        <v>-1.296356402646117</v>
      </c>
      <c r="S68" s="294">
        <f t="shared" si="28"/>
        <v>-0.75310007018164171</v>
      </c>
      <c r="T68" s="294">
        <f t="shared" si="28"/>
        <v>-0.68462293706601063</v>
      </c>
      <c r="U68" s="294">
        <f t="shared" si="28"/>
        <v>-0.66787887015014413</v>
      </c>
      <c r="V68" s="294">
        <f t="shared" si="28"/>
        <v>-0.65977934085881218</v>
      </c>
      <c r="W68" s="294">
        <f t="shared" si="28"/>
        <v>-0.6516494206988086</v>
      </c>
      <c r="X68" s="294">
        <f t="shared" si="28"/>
        <v>-0.62640267533172422</v>
      </c>
      <c r="Y68" s="294">
        <f t="shared" si="28"/>
        <v>-0.61998870158415187</v>
      </c>
      <c r="Z68" s="294">
        <f t="shared" si="28"/>
        <v>-0.74237954768928216</v>
      </c>
      <c r="AA68" s="294">
        <f t="shared" si="28"/>
        <v>-0.7725919740924615</v>
      </c>
      <c r="AB68" s="294">
        <f t="shared" si="28"/>
        <v>-0.71691866511590696</v>
      </c>
      <c r="AC68" s="294">
        <f t="shared" si="28"/>
        <v>-0.76962045776141841</v>
      </c>
      <c r="AD68" s="294">
        <f t="shared" si="28"/>
        <v>-0.78202910591044361</v>
      </c>
      <c r="AE68" s="294">
        <f t="shared" si="28"/>
        <v>-0.68875246765725318</v>
      </c>
      <c r="AF68" s="294">
        <f t="shared" si="28"/>
        <v>-0.78128533610035789</v>
      </c>
      <c r="AG68" s="294">
        <f t="shared" si="28"/>
        <v>-0.68645633630629888</v>
      </c>
      <c r="AH68" s="294">
        <f t="shared" ref="AH68" si="29">((SUM(AH35:AH36))-(SUM(AH29:AH30)))/(SUM(AH29:AH30))*100</f>
        <v>-0.75442861357863966</v>
      </c>
      <c r="AI68" s="294">
        <f t="shared" si="28"/>
        <v>-0.80069580856419464</v>
      </c>
      <c r="AJ68" s="294">
        <f t="shared" si="28"/>
        <v>-0.76284773624916402</v>
      </c>
      <c r="AK68" s="294">
        <f t="shared" si="28"/>
        <v>-0.74052258824531281</v>
      </c>
      <c r="AL68" s="294">
        <f t="shared" si="28"/>
        <v>-0.75838324183868799</v>
      </c>
      <c r="AM68" s="294">
        <f t="shared" si="28"/>
        <v>-0.78427212250273637</v>
      </c>
      <c r="AN68" s="294">
        <f t="shared" si="28"/>
        <v>-0.79346971355687512</v>
      </c>
      <c r="AO68" s="76"/>
      <c r="AP68" s="306">
        <f>((SUM(AP35:AP36))-(SUM(AP29:AP30)))/(SUM(AP29:AP30))*100</f>
        <v>-0.74958736182078578</v>
      </c>
      <c r="AQ68" s="75"/>
      <c r="AR68" s="73"/>
      <c r="CB68" s="35"/>
      <c r="CC68" s="35"/>
      <c r="DF68" s="35"/>
      <c r="EN68" s="36"/>
      <c r="EO68" s="35"/>
      <c r="EP68" s="35"/>
      <c r="EQ68" s="35"/>
      <c r="ER68" s="35"/>
      <c r="GU68" s="35"/>
      <c r="KP68" s="35"/>
      <c r="KQ68" s="35"/>
      <c r="KR68" s="35"/>
      <c r="KS68" s="35"/>
      <c r="PW68" s="35"/>
      <c r="PX68" s="35"/>
      <c r="PZ68" s="27"/>
      <c r="QN68" s="3"/>
      <c r="QR68" s="35"/>
      <c r="SU68" s="3"/>
      <c r="AID68" s="35"/>
      <c r="AJS68" s="35"/>
      <c r="AJT68" s="35"/>
      <c r="AJU68" s="35"/>
    </row>
    <row r="69" spans="6:957" x14ac:dyDescent="0.3">
      <c r="F69" s="193"/>
      <c r="G69" s="211" t="s">
        <v>63</v>
      </c>
      <c r="H69" s="229">
        <v>22</v>
      </c>
      <c r="I69" s="212" t="s">
        <v>29</v>
      </c>
      <c r="J69" s="297">
        <v>21.41</v>
      </c>
      <c r="K69" s="297">
        <v>21.41</v>
      </c>
      <c r="L69" s="297">
        <v>21.41</v>
      </c>
      <c r="M69" s="297">
        <v>21.36</v>
      </c>
      <c r="N69" s="297">
        <v>21.36</v>
      </c>
      <c r="O69" s="312">
        <v>21.44</v>
      </c>
      <c r="P69" s="297">
        <v>21.41</v>
      </c>
      <c r="Q69" s="297">
        <v>21.4</v>
      </c>
      <c r="R69" s="297">
        <v>21.39</v>
      </c>
      <c r="S69" s="297">
        <v>21.39</v>
      </c>
      <c r="T69" s="297">
        <v>21.38</v>
      </c>
      <c r="U69" s="297">
        <v>21.38</v>
      </c>
      <c r="V69" s="297">
        <v>21.43</v>
      </c>
      <c r="W69" s="297">
        <v>21.49</v>
      </c>
      <c r="X69" s="297">
        <v>21.5</v>
      </c>
      <c r="Y69" s="297">
        <v>21.5</v>
      </c>
      <c r="Z69" s="297">
        <v>21.5</v>
      </c>
      <c r="AA69" s="297">
        <v>21.5</v>
      </c>
      <c r="AB69" s="297">
        <v>21.54</v>
      </c>
      <c r="AC69" s="297">
        <v>21.64</v>
      </c>
      <c r="AD69" s="297">
        <v>21.81</v>
      </c>
      <c r="AE69" s="297">
        <v>21.64</v>
      </c>
      <c r="AF69" s="297">
        <v>21.71</v>
      </c>
      <c r="AG69" s="297">
        <v>21.86</v>
      </c>
      <c r="AH69" s="297">
        <v>21.8</v>
      </c>
      <c r="AI69" s="297">
        <v>21.83</v>
      </c>
      <c r="AJ69" s="297">
        <v>22.1</v>
      </c>
      <c r="AK69" s="297">
        <v>22.1</v>
      </c>
      <c r="AL69" s="297">
        <v>22.16</v>
      </c>
      <c r="AM69" s="297">
        <v>21.9</v>
      </c>
      <c r="AN69" s="297">
        <v>21.71</v>
      </c>
      <c r="AO69" s="7"/>
      <c r="AP69" s="74">
        <f>AVERAGE(J69:AN69)</f>
        <v>21.595483870967744</v>
      </c>
      <c r="AQ69" s="35"/>
      <c r="AR69" s="73"/>
      <c r="CB69" s="35"/>
      <c r="CC69" s="35"/>
      <c r="DF69" s="35"/>
      <c r="EN69" s="36"/>
      <c r="EO69" s="35"/>
      <c r="EP69" s="35"/>
      <c r="EQ69" s="35"/>
      <c r="ER69" s="35"/>
      <c r="GU69" s="35"/>
      <c r="KP69" s="35"/>
      <c r="KQ69" s="35"/>
      <c r="KR69" s="35"/>
      <c r="KS69" s="35"/>
      <c r="PW69" s="35"/>
      <c r="PX69" s="35"/>
      <c r="PZ69" s="35"/>
      <c r="QN69" s="3"/>
      <c r="QR69" s="35"/>
      <c r="SU69" s="3"/>
      <c r="AID69" s="35"/>
      <c r="AJS69" s="35"/>
      <c r="AJT69" s="35"/>
      <c r="AJU69" s="35"/>
    </row>
    <row r="70" spans="6:957" x14ac:dyDescent="0.3">
      <c r="F70" s="230"/>
      <c r="G70" s="231" t="s">
        <v>62</v>
      </c>
      <c r="H70" s="192"/>
      <c r="I70" s="232" t="s">
        <v>16</v>
      </c>
      <c r="J70" s="297">
        <f t="shared" ref="J70:AN70" si="30">SUM(J62,J64)+(J69%*SUM(J62,J64))</f>
        <v>19775.2608</v>
      </c>
      <c r="K70" s="297">
        <f t="shared" si="30"/>
        <v>22883.356800000001</v>
      </c>
      <c r="L70" s="297">
        <f t="shared" si="30"/>
        <v>20629.9872</v>
      </c>
      <c r="M70" s="297">
        <f t="shared" si="30"/>
        <v>15747.6736</v>
      </c>
      <c r="N70" s="297">
        <f t="shared" si="30"/>
        <v>21621.497599999999</v>
      </c>
      <c r="O70" s="312">
        <f t="shared" si="30"/>
        <v>23510.784</v>
      </c>
      <c r="P70" s="297">
        <f t="shared" si="30"/>
        <v>16774.0056</v>
      </c>
      <c r="Q70" s="297">
        <f t="shared" si="30"/>
        <v>16597.808000000001</v>
      </c>
      <c r="R70" s="297">
        <f t="shared" si="30"/>
        <v>24564.4804</v>
      </c>
      <c r="S70" s="297">
        <f t="shared" si="30"/>
        <v>18698.9156</v>
      </c>
      <c r="T70" s="297">
        <f t="shared" si="30"/>
        <v>15624.033599999999</v>
      </c>
      <c r="U70" s="297">
        <f t="shared" si="30"/>
        <v>15730.848</v>
      </c>
      <c r="V70" s="297">
        <f t="shared" si="30"/>
        <v>10355.5504</v>
      </c>
      <c r="W70" s="297">
        <f t="shared" si="30"/>
        <v>12372.5416</v>
      </c>
      <c r="X70" s="297">
        <f t="shared" si="30"/>
        <v>13403.880000000001</v>
      </c>
      <c r="Y70" s="297">
        <f t="shared" si="30"/>
        <v>14332.14</v>
      </c>
      <c r="Z70" s="297">
        <f>SUM(Z62,Z64)+(Z69%*SUM(Z62,Z64))</f>
        <v>15479.1</v>
      </c>
      <c r="AA70" s="297">
        <f>SUM(AA62,AA64)+(AA69%*SUM(AA62,AA64))</f>
        <v>14609.16</v>
      </c>
      <c r="AB70" s="297">
        <f t="shared" si="30"/>
        <v>13116.596799999999</v>
      </c>
      <c r="AC70" s="297">
        <f t="shared" si="30"/>
        <v>22327.022000000001</v>
      </c>
      <c r="AD70" s="297">
        <f t="shared" si="30"/>
        <v>21464.140100000001</v>
      </c>
      <c r="AE70" s="297">
        <f t="shared" si="30"/>
        <v>12144.5376</v>
      </c>
      <c r="AF70" s="297">
        <f t="shared" si="30"/>
        <v>9308.3808000000008</v>
      </c>
      <c r="AG70" s="297">
        <f t="shared" si="30"/>
        <v>5912.6471999999994</v>
      </c>
      <c r="AH70" s="297">
        <f t="shared" si="30"/>
        <v>14767.031999999999</v>
      </c>
      <c r="AI70" s="297">
        <f t="shared" si="30"/>
        <v>12597.222</v>
      </c>
      <c r="AJ70" s="297">
        <f t="shared" si="30"/>
        <v>13645.896000000001</v>
      </c>
      <c r="AK70" s="297">
        <f t="shared" si="30"/>
        <v>13870.56</v>
      </c>
      <c r="AL70" s="297">
        <f t="shared" si="30"/>
        <v>15778.185600000001</v>
      </c>
      <c r="AM70" s="297">
        <f t="shared" si="30"/>
        <v>14774.279999999999</v>
      </c>
      <c r="AN70" s="297">
        <f t="shared" si="30"/>
        <v>19902.019199999999</v>
      </c>
      <c r="AO70" s="7"/>
      <c r="AP70" s="74">
        <f>SUM(AP62,AP64)+(AP69%*SUM(AP62,AP64))</f>
        <v>502413.08407741936</v>
      </c>
      <c r="AQ70" s="54"/>
      <c r="AR70" s="73"/>
      <c r="CB70" s="35"/>
      <c r="CC70" s="35"/>
      <c r="DF70" s="35"/>
      <c r="EN70" s="36"/>
      <c r="EO70" s="35"/>
      <c r="EP70" s="35"/>
      <c r="EQ70" s="35"/>
      <c r="ER70" s="35"/>
      <c r="GU70" s="35"/>
      <c r="GV70" s="72">
        <f>AR70+400</f>
        <v>400</v>
      </c>
      <c r="KP70" s="35"/>
      <c r="KQ70" s="35"/>
      <c r="KR70" s="35"/>
      <c r="KS70" s="35"/>
      <c r="PW70" s="35"/>
      <c r="PX70" s="35"/>
      <c r="PZ70" s="35"/>
      <c r="QN70" s="3"/>
      <c r="QR70" s="35"/>
      <c r="SU70" s="3"/>
      <c r="AID70" s="35"/>
      <c r="AJS70" s="35"/>
      <c r="AJT70" s="35"/>
      <c r="AJU70" s="35"/>
    </row>
    <row r="71" spans="6:957" hidden="1" x14ac:dyDescent="0.3">
      <c r="F71" s="179">
        <v>5</v>
      </c>
      <c r="G71" s="161" t="s">
        <v>61</v>
      </c>
      <c r="H71" s="180"/>
      <c r="I71" s="180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2"/>
      <c r="AH71" s="181"/>
      <c r="AI71" s="181"/>
      <c r="AJ71" s="181"/>
      <c r="AK71" s="181"/>
      <c r="AL71" s="181"/>
      <c r="AM71" s="181"/>
      <c r="AN71" s="181"/>
      <c r="AO71" s="31"/>
      <c r="AP71" s="46" t="s">
        <v>47</v>
      </c>
      <c r="GV71" s="31">
        <v>17292</v>
      </c>
      <c r="PW71" s="5">
        <f>AR71-GV71</f>
        <v>-17292</v>
      </c>
    </row>
    <row r="72" spans="6:957" hidden="1" x14ac:dyDescent="0.3">
      <c r="F72" s="137"/>
      <c r="G72" s="233" t="s">
        <v>60</v>
      </c>
      <c r="H72" s="234"/>
      <c r="I72" s="235" t="s">
        <v>16</v>
      </c>
      <c r="J72" s="236">
        <v>0</v>
      </c>
      <c r="K72" s="236"/>
      <c r="L72" s="236"/>
      <c r="M72" s="236"/>
      <c r="N72" s="236"/>
      <c r="O72" s="354"/>
      <c r="P72" s="236"/>
      <c r="Q72" s="236"/>
      <c r="R72" s="236"/>
      <c r="S72" s="236">
        <v>120625</v>
      </c>
      <c r="T72" s="236">
        <v>0</v>
      </c>
      <c r="U72" s="236"/>
      <c r="V72" s="236"/>
      <c r="W72" s="236"/>
      <c r="X72" s="237"/>
      <c r="Y72" s="236"/>
      <c r="Z72" s="236"/>
      <c r="AA72" s="237">
        <v>126386</v>
      </c>
      <c r="AB72" s="236"/>
      <c r="AC72" s="236"/>
      <c r="AD72" s="236">
        <v>91414</v>
      </c>
      <c r="AE72" s="237"/>
      <c r="AF72" s="237"/>
      <c r="AG72" s="237"/>
      <c r="AH72" s="237"/>
      <c r="AI72" s="237"/>
      <c r="AJ72" s="237">
        <v>13711</v>
      </c>
      <c r="AK72" s="237"/>
      <c r="AL72" s="237">
        <v>11660</v>
      </c>
      <c r="AM72" s="237"/>
      <c r="AN72" s="237"/>
      <c r="AO72" s="28"/>
      <c r="AP72" s="52">
        <f>SUM(J72:AN72)</f>
        <v>363796</v>
      </c>
      <c r="AR72" s="61"/>
      <c r="AT72" s="2"/>
      <c r="CB72" s="60"/>
      <c r="CC72" s="60"/>
      <c r="DF72" s="60"/>
      <c r="EN72" s="22"/>
      <c r="EO72" s="60"/>
      <c r="EP72" s="60"/>
      <c r="EQ72" s="60"/>
      <c r="ER72" s="60"/>
      <c r="GU72" s="60"/>
      <c r="KP72" s="60"/>
      <c r="KQ72" s="60"/>
      <c r="KR72" s="60"/>
      <c r="KS72" s="60"/>
      <c r="PW72" s="60"/>
      <c r="PX72" s="60"/>
      <c r="PZ72" s="60"/>
      <c r="QN72" s="59"/>
      <c r="QR72" s="60"/>
      <c r="SU72" s="59"/>
      <c r="AID72" s="20"/>
      <c r="AJS72" s="20"/>
      <c r="AJT72" s="20"/>
      <c r="AJU72" s="20"/>
    </row>
    <row r="73" spans="6:957" s="3" customFormat="1" ht="13.8" hidden="1" x14ac:dyDescent="0.25">
      <c r="F73" s="238"/>
      <c r="G73" s="239" t="s">
        <v>54</v>
      </c>
      <c r="H73" s="240"/>
      <c r="I73" s="241" t="s">
        <v>16</v>
      </c>
      <c r="J73" s="242">
        <v>5274.68</v>
      </c>
      <c r="K73" s="243"/>
      <c r="L73" s="242">
        <v>29993.52</v>
      </c>
      <c r="M73" s="242">
        <v>1238.95</v>
      </c>
      <c r="N73" s="242"/>
      <c r="O73" s="348">
        <v>38287.839999999997</v>
      </c>
      <c r="P73" s="242"/>
      <c r="Q73" s="242"/>
      <c r="R73" s="242"/>
      <c r="S73" s="242">
        <v>21615.02</v>
      </c>
      <c r="T73" s="242">
        <v>17272.830000000002</v>
      </c>
      <c r="U73" s="242">
        <v>0</v>
      </c>
      <c r="V73" s="242"/>
      <c r="W73" s="242">
        <v>38289.65</v>
      </c>
      <c r="X73" s="242">
        <v>38314.080000000002</v>
      </c>
      <c r="Y73" s="242"/>
      <c r="Z73" s="242">
        <v>38236.25</v>
      </c>
      <c r="AA73" s="242">
        <v>38291.46</v>
      </c>
      <c r="AB73" s="242">
        <v>38399.15</v>
      </c>
      <c r="AC73" s="242">
        <v>38484.22</v>
      </c>
      <c r="AD73" s="242">
        <v>38291.46</v>
      </c>
      <c r="AE73" s="242"/>
      <c r="AF73" s="242"/>
      <c r="AG73" s="242">
        <v>440</v>
      </c>
      <c r="AH73" s="242">
        <v>12773.17</v>
      </c>
      <c r="AI73" s="242">
        <v>12762.31</v>
      </c>
      <c r="AJ73" s="242">
        <v>13282.31</v>
      </c>
      <c r="AK73" s="242">
        <v>12763.22</v>
      </c>
      <c r="AL73" s="242">
        <v>12763.22</v>
      </c>
      <c r="AM73" s="243"/>
      <c r="AN73" s="243">
        <f>12761.41+27780</f>
        <v>40541.410000000003</v>
      </c>
      <c r="AO73" s="71"/>
      <c r="AP73" s="70">
        <f>SUM(J73:AN73)</f>
        <v>487314.75</v>
      </c>
      <c r="AR73" s="68">
        <f>SUM(AP73+AP100+AP127+AP175)</f>
        <v>571898.21000000008</v>
      </c>
      <c r="AS73" s="68"/>
      <c r="AT73" s="2"/>
      <c r="AU73" s="2" t="s">
        <v>157</v>
      </c>
      <c r="AV73" s="2"/>
      <c r="AW73" s="2" t="s">
        <v>158</v>
      </c>
      <c r="AX73" s="2"/>
      <c r="AY73" s="2"/>
      <c r="AZ73" s="2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  <c r="EE73" s="68"/>
      <c r="EF73" s="68"/>
      <c r="EG73" s="68"/>
      <c r="EH73" s="68"/>
      <c r="EI73" s="68"/>
      <c r="EJ73" s="68"/>
      <c r="EK73" s="68"/>
      <c r="EL73" s="68"/>
      <c r="EM73" s="68"/>
      <c r="EN73" s="69"/>
      <c r="EO73" s="68"/>
      <c r="EP73" s="68"/>
      <c r="EQ73" s="68"/>
      <c r="ER73" s="68"/>
      <c r="ES73" s="68"/>
      <c r="ET73" s="68"/>
      <c r="EU73" s="68"/>
      <c r="EV73" s="68"/>
      <c r="EW73" s="68"/>
      <c r="EX73" s="68"/>
      <c r="EY73" s="68"/>
      <c r="EZ73" s="68"/>
      <c r="FA73" s="68"/>
      <c r="FB73" s="68"/>
      <c r="FC73" s="68"/>
      <c r="FD73" s="68"/>
      <c r="FE73" s="68"/>
      <c r="FF73" s="68"/>
      <c r="FG73" s="68"/>
      <c r="FH73" s="68"/>
      <c r="FI73" s="68"/>
      <c r="FJ73" s="68"/>
      <c r="FK73" s="68"/>
      <c r="FL73" s="68"/>
      <c r="FM73" s="68"/>
      <c r="FN73" s="68"/>
      <c r="FO73" s="68"/>
      <c r="FP73" s="68"/>
      <c r="FQ73" s="68"/>
      <c r="FR73" s="68"/>
      <c r="FS73" s="68"/>
      <c r="FT73" s="68"/>
      <c r="FU73" s="68"/>
      <c r="FV73" s="68"/>
      <c r="FW73" s="68"/>
      <c r="FX73" s="68"/>
      <c r="FY73" s="68"/>
      <c r="FZ73" s="68"/>
      <c r="GA73" s="68"/>
      <c r="GB73" s="68"/>
      <c r="GC73" s="68"/>
      <c r="GD73" s="68"/>
      <c r="GE73" s="68"/>
      <c r="GF73" s="68"/>
      <c r="GG73" s="68"/>
      <c r="GH73" s="68"/>
      <c r="GI73" s="68"/>
      <c r="GJ73" s="68"/>
      <c r="GK73" s="68"/>
      <c r="GL73" s="68"/>
      <c r="GM73" s="68"/>
      <c r="GN73" s="68"/>
      <c r="GO73" s="68"/>
      <c r="GP73" s="68"/>
      <c r="GQ73" s="68"/>
      <c r="GR73" s="68"/>
      <c r="GS73" s="68"/>
      <c r="GT73" s="68"/>
      <c r="GU73" s="68"/>
      <c r="GV73" s="68"/>
      <c r="GW73" s="68"/>
      <c r="GX73" s="68"/>
      <c r="GY73" s="68"/>
      <c r="GZ73" s="68"/>
      <c r="HA73" s="68"/>
      <c r="HB73" s="68"/>
      <c r="HC73" s="68"/>
      <c r="HD73" s="68"/>
      <c r="HE73" s="68"/>
      <c r="HF73" s="68"/>
      <c r="HG73" s="68"/>
      <c r="HH73" s="68"/>
      <c r="HI73" s="68"/>
      <c r="HJ73" s="68"/>
      <c r="HK73" s="68"/>
      <c r="HL73" s="68"/>
      <c r="HM73" s="68"/>
      <c r="HN73" s="68"/>
      <c r="HO73" s="68"/>
      <c r="HP73" s="68"/>
      <c r="HQ73" s="68"/>
      <c r="HR73" s="68"/>
      <c r="HS73" s="68"/>
      <c r="HT73" s="68"/>
      <c r="HU73" s="68"/>
      <c r="HV73" s="68"/>
      <c r="HW73" s="68"/>
      <c r="HX73" s="68"/>
      <c r="HY73" s="68"/>
      <c r="HZ73" s="68"/>
      <c r="IA73" s="68"/>
      <c r="IB73" s="68"/>
      <c r="IC73" s="68"/>
      <c r="ID73" s="68"/>
      <c r="IE73" s="68"/>
      <c r="IF73" s="68"/>
      <c r="IG73" s="68"/>
      <c r="IH73" s="68"/>
      <c r="II73" s="68"/>
      <c r="IJ73" s="68"/>
      <c r="IK73" s="68"/>
      <c r="IL73" s="68"/>
      <c r="IM73" s="68"/>
      <c r="IN73" s="68"/>
      <c r="IO73" s="68"/>
      <c r="IP73" s="68"/>
      <c r="IQ73" s="68"/>
      <c r="IR73" s="68"/>
      <c r="IS73" s="68"/>
      <c r="IT73" s="68"/>
      <c r="IU73" s="68"/>
      <c r="IV73" s="68"/>
      <c r="IW73" s="68"/>
      <c r="IX73" s="68"/>
      <c r="IY73" s="68"/>
      <c r="IZ73" s="68"/>
      <c r="JA73" s="68"/>
      <c r="JB73" s="68"/>
      <c r="JC73" s="68"/>
      <c r="JD73" s="68"/>
      <c r="JE73" s="68"/>
      <c r="JF73" s="68"/>
      <c r="JG73" s="68"/>
      <c r="JH73" s="68"/>
      <c r="JI73" s="68"/>
      <c r="JJ73" s="68"/>
      <c r="JK73" s="68"/>
      <c r="JL73" s="68"/>
      <c r="JM73" s="68"/>
      <c r="JN73" s="68"/>
      <c r="JO73" s="68"/>
      <c r="JP73" s="68"/>
      <c r="JQ73" s="68"/>
      <c r="JR73" s="68"/>
      <c r="JS73" s="68"/>
      <c r="JT73" s="68"/>
      <c r="JU73" s="68"/>
      <c r="JV73" s="68"/>
      <c r="JW73" s="68"/>
      <c r="JX73" s="68"/>
      <c r="JY73" s="68"/>
      <c r="JZ73" s="68"/>
      <c r="KA73" s="68"/>
      <c r="KB73" s="68"/>
      <c r="KC73" s="68"/>
      <c r="KD73" s="68"/>
      <c r="KE73" s="68"/>
      <c r="KF73" s="68"/>
      <c r="KG73" s="68"/>
      <c r="KH73" s="68"/>
      <c r="KI73" s="68"/>
      <c r="KJ73" s="68"/>
      <c r="KK73" s="68"/>
      <c r="KL73" s="68"/>
      <c r="KM73" s="68"/>
      <c r="KN73" s="68"/>
      <c r="KO73" s="68"/>
      <c r="KP73" s="68"/>
      <c r="KQ73" s="68"/>
      <c r="KR73" s="68"/>
      <c r="KS73" s="68"/>
      <c r="KT73" s="68"/>
      <c r="KU73" s="68"/>
      <c r="KV73" s="68"/>
      <c r="KW73" s="68"/>
      <c r="KX73" s="68"/>
      <c r="KY73" s="68"/>
      <c r="KZ73" s="68"/>
      <c r="LA73" s="68"/>
      <c r="LB73" s="68"/>
      <c r="LC73" s="68"/>
      <c r="LD73" s="68"/>
      <c r="LE73" s="68"/>
      <c r="LF73" s="68"/>
      <c r="LG73" s="68"/>
      <c r="LH73" s="68"/>
      <c r="LI73" s="68"/>
      <c r="LJ73" s="68"/>
      <c r="LK73" s="68"/>
      <c r="LL73" s="68"/>
      <c r="LM73" s="68"/>
      <c r="LN73" s="68"/>
      <c r="LO73" s="68"/>
      <c r="LP73" s="68"/>
      <c r="LQ73" s="68"/>
      <c r="LR73" s="68"/>
      <c r="LS73" s="68"/>
      <c r="LT73" s="68"/>
      <c r="LU73" s="68"/>
      <c r="LV73" s="68"/>
      <c r="LW73" s="68"/>
      <c r="LX73" s="68"/>
      <c r="LY73" s="68"/>
      <c r="LZ73" s="68"/>
      <c r="MA73" s="68"/>
      <c r="MB73" s="68"/>
      <c r="MC73" s="68"/>
      <c r="MD73" s="68"/>
      <c r="ME73" s="68"/>
      <c r="MF73" s="68"/>
      <c r="MG73" s="68"/>
      <c r="MH73" s="68"/>
      <c r="MI73" s="68"/>
      <c r="MJ73" s="68"/>
      <c r="MK73" s="68"/>
      <c r="ML73" s="68"/>
      <c r="MM73" s="68"/>
      <c r="MN73" s="68"/>
      <c r="MO73" s="68"/>
      <c r="MP73" s="68"/>
      <c r="MQ73" s="68"/>
      <c r="MR73" s="68"/>
      <c r="MS73" s="68"/>
      <c r="MT73" s="68"/>
      <c r="MU73" s="68"/>
      <c r="MV73" s="68"/>
      <c r="MW73" s="68"/>
      <c r="MX73" s="68"/>
      <c r="MY73" s="68"/>
      <c r="MZ73" s="68"/>
      <c r="NA73" s="68"/>
      <c r="NB73" s="68"/>
      <c r="NC73" s="68"/>
      <c r="ND73" s="68"/>
      <c r="NE73" s="68"/>
      <c r="NF73" s="68"/>
      <c r="NG73" s="68"/>
      <c r="NH73" s="68"/>
      <c r="NI73" s="68"/>
      <c r="NJ73" s="68"/>
      <c r="NK73" s="68"/>
      <c r="NL73" s="68"/>
      <c r="NM73" s="68"/>
      <c r="NN73" s="68"/>
      <c r="NO73" s="68"/>
      <c r="NP73" s="68"/>
      <c r="NQ73" s="68"/>
      <c r="NR73" s="68"/>
      <c r="NS73" s="68"/>
      <c r="NT73" s="68"/>
      <c r="NU73" s="68"/>
      <c r="NV73" s="68"/>
      <c r="NW73" s="68"/>
      <c r="NX73" s="68"/>
      <c r="NY73" s="68"/>
      <c r="NZ73" s="68"/>
      <c r="OA73" s="68"/>
      <c r="OB73" s="68"/>
      <c r="OC73" s="68"/>
      <c r="OD73" s="68"/>
      <c r="OE73" s="68"/>
      <c r="OF73" s="68"/>
      <c r="OG73" s="68"/>
      <c r="OH73" s="68"/>
      <c r="OI73" s="68"/>
      <c r="OJ73" s="68"/>
      <c r="OK73" s="68"/>
      <c r="OL73" s="68"/>
      <c r="OM73" s="68"/>
      <c r="ON73" s="68"/>
      <c r="OO73" s="68"/>
      <c r="OP73" s="68"/>
      <c r="OQ73" s="68"/>
      <c r="OR73" s="68"/>
      <c r="OS73" s="68"/>
      <c r="OT73" s="68"/>
      <c r="OU73" s="68"/>
      <c r="OV73" s="68"/>
      <c r="OW73" s="68"/>
      <c r="OX73" s="68"/>
      <c r="OY73" s="68"/>
      <c r="OZ73" s="68"/>
      <c r="PA73" s="68"/>
      <c r="PB73" s="68"/>
      <c r="PC73" s="68"/>
      <c r="PD73" s="68"/>
      <c r="PE73" s="68"/>
      <c r="PF73" s="68"/>
      <c r="PG73" s="68"/>
      <c r="PH73" s="68"/>
      <c r="PI73" s="68"/>
      <c r="PJ73" s="68"/>
      <c r="PK73" s="68"/>
      <c r="PL73" s="68"/>
      <c r="PM73" s="68"/>
      <c r="PN73" s="68"/>
      <c r="PO73" s="68"/>
      <c r="PP73" s="68"/>
      <c r="PQ73" s="68"/>
      <c r="PR73" s="68"/>
      <c r="PS73" s="68"/>
      <c r="PT73" s="68"/>
      <c r="PU73" s="68"/>
      <c r="PV73" s="68"/>
      <c r="PW73" s="68"/>
      <c r="PX73" s="68"/>
      <c r="PY73" s="68"/>
      <c r="PZ73" s="68"/>
      <c r="QA73" s="68"/>
      <c r="QB73" s="68"/>
      <c r="QC73" s="68"/>
      <c r="QD73" s="68"/>
      <c r="QE73" s="68"/>
      <c r="QF73" s="68"/>
      <c r="QG73" s="68"/>
      <c r="QH73" s="68"/>
      <c r="QI73" s="68"/>
      <c r="QJ73" s="68"/>
      <c r="QK73" s="68"/>
      <c r="QL73" s="68"/>
      <c r="QM73" s="68"/>
      <c r="QN73" s="68"/>
      <c r="QO73" s="68"/>
      <c r="QP73" s="68"/>
      <c r="QQ73" s="68"/>
      <c r="QR73" s="68"/>
      <c r="QS73" s="68"/>
      <c r="QT73" s="68"/>
      <c r="QU73" s="68"/>
      <c r="QV73" s="68"/>
      <c r="QW73" s="68"/>
      <c r="QX73" s="68"/>
      <c r="QY73" s="68"/>
      <c r="QZ73" s="68"/>
      <c r="RA73" s="68"/>
      <c r="RB73" s="68"/>
      <c r="RC73" s="68"/>
      <c r="RD73" s="68"/>
      <c r="RE73" s="68"/>
      <c r="RF73" s="68"/>
      <c r="RG73" s="68"/>
      <c r="RH73" s="68"/>
      <c r="RI73" s="68"/>
      <c r="RJ73" s="68"/>
      <c r="RK73" s="68"/>
      <c r="RL73" s="68"/>
      <c r="RM73" s="68"/>
      <c r="RN73" s="68"/>
      <c r="RO73" s="68"/>
      <c r="RP73" s="68"/>
      <c r="RQ73" s="68"/>
      <c r="RR73" s="68"/>
      <c r="RS73" s="68"/>
      <c r="RT73" s="68"/>
      <c r="RU73" s="68"/>
      <c r="RV73" s="68"/>
      <c r="RW73" s="68"/>
      <c r="RX73" s="68"/>
      <c r="RY73" s="68"/>
      <c r="RZ73" s="68"/>
      <c r="SA73" s="68"/>
      <c r="SB73" s="68"/>
      <c r="SC73" s="68"/>
      <c r="SD73" s="68"/>
      <c r="SE73" s="68"/>
      <c r="SF73" s="68"/>
      <c r="SG73" s="68"/>
      <c r="SH73" s="68"/>
      <c r="SI73" s="68"/>
      <c r="SJ73" s="68"/>
      <c r="SK73" s="68"/>
      <c r="SL73" s="68"/>
      <c r="SM73" s="68"/>
      <c r="SN73" s="68"/>
      <c r="SO73" s="68"/>
      <c r="SP73" s="68"/>
      <c r="SQ73" s="68"/>
      <c r="SR73" s="68"/>
      <c r="SS73" s="68"/>
      <c r="ST73" s="68"/>
      <c r="SU73" s="68"/>
      <c r="SV73" s="68"/>
      <c r="SW73" s="68"/>
      <c r="SX73" s="68"/>
      <c r="SY73" s="68"/>
      <c r="SZ73" s="68"/>
      <c r="TA73" s="68"/>
      <c r="TB73" s="68"/>
      <c r="TC73" s="68"/>
      <c r="TD73" s="68"/>
      <c r="TE73" s="68"/>
      <c r="TF73" s="68"/>
      <c r="TG73" s="68"/>
      <c r="TH73" s="68"/>
      <c r="TI73" s="68"/>
      <c r="TJ73" s="68"/>
      <c r="TK73" s="68"/>
      <c r="TL73" s="68"/>
      <c r="TM73" s="68"/>
      <c r="TN73" s="68"/>
      <c r="TO73" s="68"/>
      <c r="TP73" s="68"/>
      <c r="TQ73" s="68"/>
      <c r="TR73" s="68"/>
      <c r="TS73" s="68"/>
      <c r="TT73" s="68"/>
      <c r="TU73" s="68"/>
      <c r="TV73" s="68"/>
      <c r="TW73" s="68"/>
      <c r="TX73" s="68"/>
      <c r="TY73" s="68"/>
      <c r="TZ73" s="68"/>
      <c r="UA73" s="68"/>
      <c r="UB73" s="68"/>
      <c r="UC73" s="68"/>
      <c r="UD73" s="68"/>
      <c r="UE73" s="68"/>
      <c r="UF73" s="68"/>
      <c r="UG73" s="68"/>
      <c r="UH73" s="68"/>
      <c r="UI73" s="68"/>
      <c r="UJ73" s="68"/>
      <c r="UK73" s="68"/>
      <c r="UL73" s="68"/>
      <c r="UM73" s="68"/>
      <c r="UN73" s="68"/>
      <c r="UO73" s="68"/>
      <c r="UP73" s="68"/>
      <c r="UQ73" s="68"/>
      <c r="UR73" s="68"/>
      <c r="US73" s="68"/>
      <c r="UT73" s="68"/>
      <c r="UU73" s="68"/>
      <c r="UV73" s="68"/>
      <c r="UW73" s="68"/>
      <c r="UX73" s="68"/>
      <c r="UY73" s="68"/>
      <c r="UZ73" s="68"/>
      <c r="VA73" s="68"/>
      <c r="VB73" s="68"/>
      <c r="VC73" s="68"/>
      <c r="VD73" s="68"/>
      <c r="VE73" s="68"/>
      <c r="VF73" s="68"/>
      <c r="VG73" s="68"/>
      <c r="VH73" s="68"/>
      <c r="VI73" s="68"/>
      <c r="VJ73" s="68"/>
      <c r="VK73" s="68"/>
      <c r="VL73" s="68"/>
      <c r="VM73" s="68"/>
      <c r="VN73" s="68"/>
      <c r="VO73" s="68"/>
      <c r="VP73" s="68"/>
      <c r="VQ73" s="68"/>
      <c r="VR73" s="68"/>
      <c r="VS73" s="68"/>
      <c r="VT73" s="68"/>
      <c r="VU73" s="68"/>
      <c r="VV73" s="68"/>
      <c r="VW73" s="68"/>
      <c r="VX73" s="68"/>
      <c r="VY73" s="68"/>
      <c r="VZ73" s="68"/>
      <c r="WA73" s="68"/>
      <c r="WB73" s="68"/>
      <c r="WC73" s="68"/>
      <c r="WD73" s="68"/>
      <c r="WE73" s="68"/>
      <c r="WF73" s="68"/>
      <c r="WG73" s="68"/>
      <c r="WH73" s="68"/>
      <c r="WI73" s="68"/>
      <c r="WJ73" s="68"/>
      <c r="WK73" s="68"/>
      <c r="WL73" s="68"/>
      <c r="WM73" s="68"/>
      <c r="WN73" s="68"/>
      <c r="WO73" s="68"/>
      <c r="WP73" s="68"/>
      <c r="WQ73" s="68"/>
      <c r="WR73" s="68"/>
      <c r="WS73" s="68"/>
      <c r="WT73" s="68"/>
      <c r="WU73" s="68"/>
      <c r="WV73" s="68"/>
      <c r="WW73" s="68"/>
      <c r="WX73" s="68"/>
      <c r="WY73" s="68"/>
      <c r="WZ73" s="68"/>
      <c r="XA73" s="68"/>
      <c r="XB73" s="68"/>
      <c r="XC73" s="68"/>
      <c r="XD73" s="68"/>
      <c r="XE73" s="68"/>
      <c r="XF73" s="68"/>
      <c r="XG73" s="68"/>
      <c r="XH73" s="68"/>
      <c r="XI73" s="68"/>
      <c r="XJ73" s="68"/>
      <c r="XK73" s="68"/>
      <c r="XL73" s="68"/>
      <c r="XM73" s="68"/>
      <c r="XN73" s="68"/>
      <c r="XO73" s="68"/>
      <c r="XP73" s="68"/>
      <c r="XQ73" s="68"/>
      <c r="XR73" s="68"/>
      <c r="XS73" s="68"/>
      <c r="XT73" s="68"/>
      <c r="XU73" s="68"/>
      <c r="XV73" s="68"/>
      <c r="XW73" s="68"/>
      <c r="XX73" s="68"/>
      <c r="XY73" s="68"/>
      <c r="XZ73" s="68"/>
      <c r="YA73" s="68"/>
      <c r="YB73" s="68"/>
      <c r="YC73" s="68"/>
      <c r="YD73" s="68"/>
      <c r="YE73" s="68"/>
      <c r="YF73" s="68"/>
      <c r="YG73" s="68"/>
      <c r="YH73" s="68"/>
      <c r="YI73" s="68"/>
      <c r="YJ73" s="68"/>
      <c r="YK73" s="68"/>
      <c r="YL73" s="68"/>
      <c r="YM73" s="68"/>
      <c r="YN73" s="68"/>
      <c r="YO73" s="68"/>
      <c r="YP73" s="68"/>
      <c r="YQ73" s="68"/>
      <c r="YR73" s="68"/>
      <c r="YS73" s="68"/>
      <c r="YT73" s="68"/>
      <c r="YU73" s="68"/>
      <c r="YV73" s="68"/>
      <c r="YW73" s="68"/>
      <c r="YX73" s="68"/>
      <c r="YY73" s="68"/>
      <c r="YZ73" s="68"/>
      <c r="ZA73" s="68"/>
      <c r="ZB73" s="68"/>
      <c r="ZC73" s="68"/>
      <c r="ZD73" s="68"/>
      <c r="ZE73" s="68"/>
      <c r="ZF73" s="68"/>
      <c r="ZG73" s="68"/>
      <c r="ZH73" s="68"/>
      <c r="ZI73" s="68"/>
      <c r="ZJ73" s="68"/>
      <c r="ZK73" s="68"/>
      <c r="ZL73" s="68"/>
      <c r="ZM73" s="68"/>
      <c r="ZN73" s="68"/>
      <c r="ZO73" s="68"/>
      <c r="ZP73" s="68"/>
      <c r="ZQ73" s="68"/>
      <c r="ZR73" s="68"/>
      <c r="ZS73" s="68"/>
      <c r="ZT73" s="68"/>
      <c r="ZU73" s="68"/>
      <c r="ZV73" s="68"/>
      <c r="ZW73" s="68"/>
      <c r="ZX73" s="68"/>
      <c r="ZY73" s="68"/>
      <c r="ZZ73" s="68"/>
      <c r="AAA73" s="68"/>
      <c r="AAB73" s="68"/>
      <c r="AAC73" s="68"/>
      <c r="AAD73" s="68"/>
      <c r="AAE73" s="68"/>
      <c r="AAF73" s="68"/>
      <c r="AAG73" s="68"/>
      <c r="AAH73" s="68"/>
      <c r="AAI73" s="68"/>
      <c r="AAJ73" s="68"/>
      <c r="AAK73" s="68"/>
      <c r="AAL73" s="68"/>
      <c r="AAM73" s="68"/>
      <c r="AAN73" s="68"/>
      <c r="AAO73" s="68"/>
      <c r="AAP73" s="68"/>
      <c r="AAQ73" s="68"/>
      <c r="AAR73" s="68"/>
      <c r="AAS73" s="68"/>
      <c r="AAT73" s="68"/>
      <c r="AAU73" s="68"/>
      <c r="AAV73" s="68"/>
      <c r="AAW73" s="68"/>
      <c r="AAX73" s="68"/>
      <c r="AAY73" s="68"/>
      <c r="AAZ73" s="68"/>
      <c r="ABA73" s="68"/>
      <c r="ABB73" s="68"/>
      <c r="ABC73" s="68"/>
      <c r="ABD73" s="68"/>
      <c r="ABE73" s="68"/>
      <c r="ABF73" s="68"/>
      <c r="ABG73" s="68"/>
      <c r="ABH73" s="68"/>
      <c r="ABI73" s="68"/>
      <c r="ABJ73" s="68"/>
      <c r="ABK73" s="68"/>
      <c r="ABL73" s="68"/>
      <c r="ABM73" s="68"/>
      <c r="ABN73" s="68"/>
      <c r="ABO73" s="68"/>
      <c r="ABP73" s="68"/>
      <c r="ABQ73" s="68"/>
      <c r="ABR73" s="68"/>
      <c r="ABS73" s="68"/>
      <c r="ABT73" s="68"/>
      <c r="ABU73" s="68"/>
      <c r="ABV73" s="68"/>
      <c r="ABW73" s="68"/>
      <c r="ABX73" s="68"/>
      <c r="ABY73" s="68"/>
      <c r="ABZ73" s="68"/>
      <c r="ACA73" s="68"/>
      <c r="ACB73" s="68"/>
      <c r="ACC73" s="68"/>
      <c r="ACD73" s="68"/>
      <c r="ACE73" s="68"/>
      <c r="ACF73" s="68"/>
      <c r="ACG73" s="68"/>
      <c r="ACH73" s="68"/>
      <c r="ACI73" s="68"/>
      <c r="ACJ73" s="68"/>
      <c r="ACK73" s="68"/>
      <c r="ACL73" s="68"/>
      <c r="ACM73" s="68"/>
      <c r="ACN73" s="68"/>
      <c r="ACO73" s="68"/>
      <c r="ACP73" s="68"/>
      <c r="ACQ73" s="68"/>
      <c r="ACR73" s="68"/>
      <c r="ACS73" s="68"/>
      <c r="ACT73" s="68"/>
      <c r="ACU73" s="68"/>
      <c r="ACV73" s="68"/>
      <c r="ACW73" s="68"/>
      <c r="ACX73" s="68"/>
      <c r="ACY73" s="68"/>
      <c r="ACZ73" s="68"/>
      <c r="ADA73" s="68"/>
      <c r="ADB73" s="68"/>
      <c r="ADC73" s="68"/>
      <c r="ADD73" s="68"/>
      <c r="ADE73" s="68"/>
      <c r="ADF73" s="68"/>
      <c r="ADG73" s="68"/>
      <c r="ADH73" s="68"/>
      <c r="ADI73" s="68"/>
      <c r="ADJ73" s="68"/>
      <c r="ADK73" s="68"/>
      <c r="ADL73" s="68"/>
      <c r="ADM73" s="68"/>
      <c r="ADN73" s="68"/>
      <c r="ADO73" s="68"/>
      <c r="ADP73" s="68"/>
      <c r="ADQ73" s="68"/>
      <c r="ADR73" s="68"/>
      <c r="ADS73" s="68"/>
      <c r="ADT73" s="68"/>
      <c r="ADU73" s="68"/>
      <c r="ADV73" s="68"/>
      <c r="ADW73" s="68"/>
      <c r="ADX73" s="68"/>
      <c r="ADY73" s="68"/>
      <c r="ADZ73" s="68"/>
      <c r="AEA73" s="68"/>
      <c r="AEB73" s="68"/>
      <c r="AEC73" s="68"/>
      <c r="AED73" s="68"/>
      <c r="AEE73" s="68"/>
      <c r="AEF73" s="68"/>
      <c r="AEG73" s="68"/>
      <c r="AEH73" s="68"/>
      <c r="AEI73" s="68"/>
      <c r="AEJ73" s="68"/>
      <c r="AEK73" s="68"/>
      <c r="AEL73" s="68"/>
      <c r="AEM73" s="68"/>
      <c r="AEN73" s="68"/>
      <c r="AEO73" s="68"/>
      <c r="AEP73" s="68"/>
      <c r="AEQ73" s="68"/>
      <c r="AER73" s="68"/>
      <c r="AES73" s="68"/>
      <c r="AET73" s="68"/>
      <c r="AEU73" s="68"/>
      <c r="AEV73" s="68"/>
      <c r="AEW73" s="68"/>
      <c r="AEX73" s="68"/>
      <c r="AEY73" s="68"/>
      <c r="AEZ73" s="68"/>
      <c r="AFA73" s="68"/>
      <c r="AFB73" s="68"/>
      <c r="AFC73" s="68"/>
      <c r="AFD73" s="68"/>
      <c r="AFE73" s="68"/>
      <c r="AFF73" s="68"/>
      <c r="AFG73" s="68"/>
      <c r="AFH73" s="68"/>
      <c r="AFI73" s="68"/>
      <c r="AFJ73" s="68"/>
      <c r="AFK73" s="68"/>
      <c r="AFL73" s="68"/>
      <c r="AFM73" s="68"/>
      <c r="AFN73" s="68"/>
      <c r="AFO73" s="68"/>
      <c r="AFP73" s="68"/>
      <c r="AFQ73" s="68"/>
      <c r="AFR73" s="68"/>
      <c r="AFS73" s="68"/>
      <c r="AFT73" s="68"/>
      <c r="AFU73" s="68"/>
      <c r="AFV73" s="68"/>
      <c r="AFW73" s="68"/>
      <c r="AFX73" s="68"/>
      <c r="AFY73" s="68"/>
      <c r="AFZ73" s="68"/>
      <c r="AGA73" s="68"/>
      <c r="AGB73" s="68"/>
      <c r="AGC73" s="68"/>
      <c r="AGD73" s="68"/>
      <c r="AGE73" s="68"/>
      <c r="AGF73" s="68"/>
      <c r="AGG73" s="68"/>
      <c r="AGH73" s="68"/>
      <c r="AGI73" s="68"/>
      <c r="AGJ73" s="68"/>
      <c r="AGK73" s="68"/>
      <c r="AGL73" s="68"/>
      <c r="AGM73" s="68"/>
      <c r="AGN73" s="68"/>
      <c r="AGO73" s="68"/>
      <c r="AGP73" s="3" t="s">
        <v>16</v>
      </c>
      <c r="AGQ73" s="68" t="s">
        <v>59</v>
      </c>
    </row>
    <row r="74" spans="6:957" hidden="1" x14ac:dyDescent="0.3">
      <c r="F74" s="135"/>
      <c r="G74" s="244" t="s">
        <v>44</v>
      </c>
      <c r="H74" s="192"/>
      <c r="I74" s="214" t="s">
        <v>16</v>
      </c>
      <c r="J74" s="297">
        <f t="shared" ref="J74:AL74" si="31">SUM(J78:J79)*10.86</f>
        <v>4191.96</v>
      </c>
      <c r="K74" s="297">
        <f t="shared" si="31"/>
        <v>0</v>
      </c>
      <c r="L74" s="297">
        <f t="shared" si="31"/>
        <v>30125.64</v>
      </c>
      <c r="M74" s="297">
        <f t="shared" si="31"/>
        <v>1238.04</v>
      </c>
      <c r="N74" s="297">
        <f t="shared" si="31"/>
        <v>0</v>
      </c>
      <c r="O74" s="312">
        <f t="shared" si="31"/>
        <v>38281.5</v>
      </c>
      <c r="P74" s="297"/>
      <c r="Q74" s="297">
        <f t="shared" si="31"/>
        <v>0</v>
      </c>
      <c r="R74" s="297">
        <f t="shared" si="31"/>
        <v>0</v>
      </c>
      <c r="S74" s="297">
        <f t="shared" si="31"/>
        <v>21676.559999999998</v>
      </c>
      <c r="T74" s="297">
        <f t="shared" si="31"/>
        <v>17278.259999999998</v>
      </c>
      <c r="U74" s="297">
        <f t="shared" si="31"/>
        <v>0</v>
      </c>
      <c r="V74" s="297">
        <f t="shared" si="31"/>
        <v>0</v>
      </c>
      <c r="W74" s="297">
        <f t="shared" si="31"/>
        <v>38422.68</v>
      </c>
      <c r="X74" s="297">
        <f t="shared" si="31"/>
        <v>38335.799999999996</v>
      </c>
      <c r="Y74" s="297">
        <f t="shared" si="31"/>
        <v>0</v>
      </c>
      <c r="Z74" s="297">
        <f t="shared" si="31"/>
        <v>38248.92</v>
      </c>
      <c r="AA74" s="297">
        <f t="shared" si="31"/>
        <v>38281.5</v>
      </c>
      <c r="AB74" s="297">
        <f t="shared" si="31"/>
        <v>38411.82</v>
      </c>
      <c r="AC74" s="297">
        <f t="shared" si="31"/>
        <v>38574.720000000001</v>
      </c>
      <c r="AD74" s="297">
        <f t="shared" si="31"/>
        <v>38368.379999999997</v>
      </c>
      <c r="AE74" s="297">
        <f t="shared" si="31"/>
        <v>0</v>
      </c>
      <c r="AF74" s="297">
        <f t="shared" si="31"/>
        <v>0</v>
      </c>
      <c r="AG74" s="297">
        <f t="shared" si="31"/>
        <v>0</v>
      </c>
      <c r="AH74" s="297">
        <f>SUM(AH78:AH79)*10.86</f>
        <v>12793.08</v>
      </c>
      <c r="AI74" s="297">
        <f t="shared" ref="AI74:AK74" si="32">SUM(AI78:AI79)*10.86</f>
        <v>12793.08</v>
      </c>
      <c r="AJ74" s="245">
        <f t="shared" si="32"/>
        <v>12771.359999999999</v>
      </c>
      <c r="AK74" s="297">
        <f t="shared" si="32"/>
        <v>12760.5</v>
      </c>
      <c r="AL74" s="297">
        <f t="shared" si="31"/>
        <v>12760.5</v>
      </c>
      <c r="AM74" s="297">
        <f t="shared" ref="AM74:AN74" si="33">SUM(AM78:AM79)*10.86</f>
        <v>0</v>
      </c>
      <c r="AN74" s="245">
        <f t="shared" si="33"/>
        <v>12814.8</v>
      </c>
      <c r="AO74" s="10"/>
      <c r="AP74" s="44">
        <f>SUM(J74:AN74)</f>
        <v>458129.10000000003</v>
      </c>
      <c r="AQ74" s="67"/>
      <c r="AR74" s="307">
        <f>SUM(AP74,AP101)</f>
        <v>458129.10000000003</v>
      </c>
      <c r="AT74" s="2"/>
      <c r="CB74" s="40"/>
      <c r="CC74" s="40"/>
      <c r="DF74" s="40"/>
      <c r="EN74" s="30"/>
      <c r="EO74" s="40"/>
      <c r="EP74" s="40"/>
      <c r="EQ74" s="40"/>
      <c r="ER74" s="40"/>
      <c r="GU74" s="40"/>
      <c r="GV74" s="66">
        <f>AR74/1000</f>
        <v>458.12910000000005</v>
      </c>
      <c r="KP74" s="40"/>
      <c r="KQ74" s="40"/>
      <c r="KR74" s="40"/>
      <c r="KS74" s="40"/>
      <c r="PW74" s="40">
        <v>4696</v>
      </c>
      <c r="PX74" s="39">
        <f>GV74/PW74*100</f>
        <v>9.7557304088586037</v>
      </c>
      <c r="PZ74" s="40"/>
      <c r="QN74" s="39"/>
      <c r="QR74" s="40"/>
      <c r="SU74" s="39"/>
      <c r="AID74" s="5"/>
      <c r="AJS74" s="5"/>
      <c r="AJT74" s="5"/>
      <c r="AJU74" s="5"/>
    </row>
    <row r="75" spans="6:957" hidden="1" x14ac:dyDescent="0.3">
      <c r="F75" s="135"/>
      <c r="G75" s="244" t="s">
        <v>43</v>
      </c>
      <c r="H75" s="192"/>
      <c r="I75" s="214" t="s">
        <v>16</v>
      </c>
      <c r="J75" s="297">
        <f>J73-J74</f>
        <v>1082.7200000000003</v>
      </c>
      <c r="K75" s="297">
        <f t="shared" ref="K75:AN75" si="34">K73-K74</f>
        <v>0</v>
      </c>
      <c r="L75" s="297">
        <f t="shared" si="34"/>
        <v>-132.11999999999898</v>
      </c>
      <c r="M75" s="297">
        <f t="shared" si="34"/>
        <v>0.91000000000008185</v>
      </c>
      <c r="N75" s="297">
        <f t="shared" si="34"/>
        <v>0</v>
      </c>
      <c r="O75" s="312">
        <f>O73-O74</f>
        <v>6.3399999999965075</v>
      </c>
      <c r="P75" s="297">
        <f t="shared" si="34"/>
        <v>0</v>
      </c>
      <c r="Q75" s="297">
        <f>Q73-Q74</f>
        <v>0</v>
      </c>
      <c r="R75" s="297">
        <f t="shared" si="34"/>
        <v>0</v>
      </c>
      <c r="S75" s="297">
        <f t="shared" si="34"/>
        <v>-61.539999999997235</v>
      </c>
      <c r="T75" s="297">
        <f t="shared" si="34"/>
        <v>-5.4299999999966531</v>
      </c>
      <c r="U75" s="297">
        <f t="shared" si="34"/>
        <v>0</v>
      </c>
      <c r="V75" s="297">
        <f t="shared" si="34"/>
        <v>0</v>
      </c>
      <c r="W75" s="297">
        <f t="shared" si="34"/>
        <v>-133.02999999999884</v>
      </c>
      <c r="X75" s="297">
        <f t="shared" si="34"/>
        <v>-21.719999999993888</v>
      </c>
      <c r="Y75" s="297">
        <f t="shared" si="34"/>
        <v>0</v>
      </c>
      <c r="Z75" s="297">
        <f t="shared" si="34"/>
        <v>-12.669999999998254</v>
      </c>
      <c r="AA75" s="297">
        <f t="shared" si="34"/>
        <v>9.9599999999991269</v>
      </c>
      <c r="AB75" s="297">
        <f>AB73-AB74</f>
        <v>-12.669999999998254</v>
      </c>
      <c r="AC75" s="297">
        <f t="shared" si="34"/>
        <v>-90.5</v>
      </c>
      <c r="AD75" s="297">
        <f t="shared" si="34"/>
        <v>-76.919999999998254</v>
      </c>
      <c r="AE75" s="297">
        <f t="shared" si="34"/>
        <v>0</v>
      </c>
      <c r="AF75" s="297">
        <f t="shared" si="34"/>
        <v>0</v>
      </c>
      <c r="AG75" s="297">
        <f t="shared" si="34"/>
        <v>440</v>
      </c>
      <c r="AH75" s="297">
        <f t="shared" si="34"/>
        <v>-19.909999999999854</v>
      </c>
      <c r="AI75" s="297">
        <f t="shared" si="34"/>
        <v>-30.770000000000437</v>
      </c>
      <c r="AJ75" s="297">
        <f t="shared" si="34"/>
        <v>510.95000000000073</v>
      </c>
      <c r="AK75" s="297">
        <f t="shared" si="34"/>
        <v>2.7199999999993452</v>
      </c>
      <c r="AL75" s="297">
        <f t="shared" si="34"/>
        <v>2.7199999999993452</v>
      </c>
      <c r="AM75" s="297">
        <f t="shared" si="34"/>
        <v>0</v>
      </c>
      <c r="AN75" s="297">
        <f t="shared" si="34"/>
        <v>27726.610000000004</v>
      </c>
      <c r="AO75" s="10"/>
      <c r="AP75" s="44">
        <f>SUM(J75:AN75)</f>
        <v>29185.65000000002</v>
      </c>
      <c r="AQ75" s="66"/>
      <c r="AR75" s="41">
        <f>AP128</f>
        <v>71483.254919999992</v>
      </c>
      <c r="AT75" s="2" t="s">
        <v>101</v>
      </c>
      <c r="AU75" s="89">
        <v>17448</v>
      </c>
      <c r="AV75" s="3">
        <v>10.86</v>
      </c>
      <c r="AW75" s="35">
        <f>AU75*AV75</f>
        <v>189485.28</v>
      </c>
      <c r="AX75" s="3">
        <f>AW75/1000</f>
        <v>189.48527999999999</v>
      </c>
      <c r="CB75" s="40"/>
      <c r="CC75" s="40"/>
      <c r="DF75" s="40"/>
      <c r="EN75" s="30"/>
      <c r="EO75" s="40"/>
      <c r="EP75" s="40"/>
      <c r="EQ75" s="40"/>
      <c r="ER75" s="40"/>
      <c r="GU75" s="40"/>
      <c r="GV75" s="27">
        <f>AR75/1000</f>
        <v>71.483254919999993</v>
      </c>
      <c r="KP75" s="40"/>
      <c r="KQ75" s="40"/>
      <c r="KR75" s="40"/>
      <c r="KS75" s="40"/>
      <c r="PW75" s="40">
        <v>565</v>
      </c>
      <c r="PX75" s="39">
        <f>GV75/PW75*100</f>
        <v>12.651903525663716</v>
      </c>
      <c r="PZ75" s="40"/>
      <c r="QN75" s="39"/>
      <c r="QR75" s="40"/>
      <c r="SU75" s="39"/>
      <c r="AID75" s="5"/>
      <c r="AJS75" s="5"/>
      <c r="AJT75" s="5"/>
      <c r="AJU75" s="5"/>
    </row>
    <row r="76" spans="6:957" hidden="1" x14ac:dyDescent="0.3">
      <c r="F76" s="135"/>
      <c r="G76" s="244" t="s">
        <v>58</v>
      </c>
      <c r="H76" s="192"/>
      <c r="I76" s="135" t="s">
        <v>16</v>
      </c>
      <c r="J76" s="297">
        <v>0</v>
      </c>
      <c r="K76" s="297">
        <v>0</v>
      </c>
      <c r="L76" s="297"/>
      <c r="M76" s="297">
        <v>0</v>
      </c>
      <c r="N76" s="297">
        <v>0</v>
      </c>
      <c r="O76" s="312"/>
      <c r="P76" s="297">
        <v>0</v>
      </c>
      <c r="Q76" s="297">
        <v>0</v>
      </c>
      <c r="R76" s="297">
        <v>0</v>
      </c>
      <c r="S76" s="297">
        <v>0</v>
      </c>
      <c r="T76" s="297">
        <v>0</v>
      </c>
      <c r="U76" s="297">
        <v>0</v>
      </c>
      <c r="V76" s="297">
        <v>0</v>
      </c>
      <c r="W76" s="297">
        <v>0</v>
      </c>
      <c r="X76" s="297">
        <v>0</v>
      </c>
      <c r="Y76" s="297">
        <v>0</v>
      </c>
      <c r="Z76" s="297">
        <v>0</v>
      </c>
      <c r="AA76" s="297">
        <v>0</v>
      </c>
      <c r="AB76" s="297">
        <v>0</v>
      </c>
      <c r="AC76" s="297">
        <v>0</v>
      </c>
      <c r="AD76" s="297">
        <v>0</v>
      </c>
      <c r="AE76" s="297">
        <v>0</v>
      </c>
      <c r="AF76" s="297">
        <v>0</v>
      </c>
      <c r="AG76" s="297">
        <v>440</v>
      </c>
      <c r="AH76" s="297">
        <v>0</v>
      </c>
      <c r="AI76" s="297">
        <v>0</v>
      </c>
      <c r="AJ76" s="297">
        <v>0</v>
      </c>
      <c r="AK76" s="297">
        <v>0</v>
      </c>
      <c r="AL76" s="297">
        <v>0</v>
      </c>
      <c r="AM76" s="297">
        <v>0</v>
      </c>
      <c r="AN76" s="297">
        <v>0</v>
      </c>
      <c r="AO76" s="10"/>
      <c r="AP76" s="44">
        <f>SUM(J76:AN76)</f>
        <v>440</v>
      </c>
      <c r="AR76" s="41"/>
      <c r="AT76" s="2" t="s">
        <v>98</v>
      </c>
      <c r="AU76" s="89">
        <v>23557</v>
      </c>
      <c r="AV76" s="3">
        <v>10.86</v>
      </c>
      <c r="AW76" s="35">
        <f>AU76*AV76</f>
        <v>255829.02</v>
      </c>
      <c r="AX76" s="3">
        <f>AW76/1000</f>
        <v>255.82901999999999</v>
      </c>
      <c r="CB76" s="40"/>
      <c r="CC76" s="40"/>
      <c r="DF76" s="40"/>
      <c r="EN76" s="30"/>
      <c r="EO76" s="40"/>
      <c r="EP76" s="40"/>
      <c r="EQ76" s="40"/>
      <c r="ER76" s="40"/>
      <c r="GU76" s="40"/>
      <c r="KP76" s="40"/>
      <c r="KQ76" s="40"/>
      <c r="KR76" s="40"/>
      <c r="KS76" s="40"/>
      <c r="PW76" s="40"/>
      <c r="PX76" s="40"/>
      <c r="PZ76" s="40"/>
      <c r="QN76" s="39"/>
      <c r="QR76" s="40"/>
      <c r="SU76" s="39"/>
      <c r="AID76" s="5"/>
      <c r="AJS76" s="5"/>
      <c r="AJT76" s="5"/>
      <c r="AJU76" s="5"/>
    </row>
    <row r="77" spans="6:957" hidden="1" x14ac:dyDescent="0.3">
      <c r="F77" s="135"/>
      <c r="G77" s="244" t="s">
        <v>33</v>
      </c>
      <c r="H77" s="192"/>
      <c r="I77" s="135"/>
      <c r="J77" s="11"/>
      <c r="K77" s="11"/>
      <c r="L77" s="11"/>
      <c r="M77" s="11"/>
      <c r="N77" s="11"/>
      <c r="O77" s="259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/>
      <c r="AP77" s="45" t="s">
        <v>33</v>
      </c>
      <c r="AR77" s="41">
        <f>12764.12+25546.34</f>
        <v>38310.46</v>
      </c>
      <c r="AT77" s="2"/>
      <c r="AU77" s="35"/>
      <c r="AX77" s="124">
        <f>SUM(AX75:AX76)</f>
        <v>445.3143</v>
      </c>
      <c r="CB77" s="40"/>
      <c r="CC77" s="40"/>
      <c r="DF77" s="40"/>
      <c r="EN77" s="30"/>
      <c r="EO77" s="40"/>
      <c r="EP77" s="40"/>
      <c r="EQ77" s="40"/>
      <c r="ER77" s="40"/>
      <c r="GU77" s="40"/>
      <c r="KP77" s="40"/>
      <c r="KQ77" s="40"/>
      <c r="KR77" s="40"/>
      <c r="KS77" s="40"/>
      <c r="PW77" s="40"/>
      <c r="PX77" s="40"/>
      <c r="PZ77" s="40"/>
      <c r="QN77" s="39"/>
      <c r="QR77" s="40"/>
      <c r="SU77" s="39"/>
      <c r="AID77" s="5"/>
      <c r="AJS77" s="5"/>
      <c r="AJT77" s="5"/>
      <c r="AJU77" s="5"/>
    </row>
    <row r="78" spans="6:957" hidden="1" x14ac:dyDescent="0.3">
      <c r="F78" s="167"/>
      <c r="G78" s="246" t="s">
        <v>57</v>
      </c>
      <c r="H78" s="166"/>
      <c r="I78" s="247" t="s">
        <v>36</v>
      </c>
      <c r="J78" s="248">
        <v>386</v>
      </c>
      <c r="K78" s="248"/>
      <c r="L78" s="248">
        <v>411</v>
      </c>
      <c r="M78" s="248">
        <v>114</v>
      </c>
      <c r="N78" s="248"/>
      <c r="O78" s="355">
        <v>1175</v>
      </c>
      <c r="P78" s="248"/>
      <c r="Q78" s="248"/>
      <c r="R78" s="248"/>
      <c r="S78" s="248">
        <v>664</v>
      </c>
      <c r="T78" s="248">
        <v>571</v>
      </c>
      <c r="U78" s="248">
        <v>0</v>
      </c>
      <c r="V78" s="248"/>
      <c r="W78" s="248">
        <v>1182</v>
      </c>
      <c r="X78" s="248">
        <v>1176</v>
      </c>
      <c r="Y78" s="248">
        <v>0</v>
      </c>
      <c r="Z78" s="248">
        <v>1177</v>
      </c>
      <c r="AA78" s="248">
        <v>1175</v>
      </c>
      <c r="AB78" s="248">
        <v>1177</v>
      </c>
      <c r="AC78" s="248">
        <v>1180</v>
      </c>
      <c r="AD78" s="248">
        <v>1178</v>
      </c>
      <c r="AE78" s="248"/>
      <c r="AF78" s="248"/>
      <c r="AG78" s="248"/>
      <c r="AH78" s="248">
        <v>1178</v>
      </c>
      <c r="AI78" s="248">
        <v>1178</v>
      </c>
      <c r="AJ78" s="248">
        <v>1176</v>
      </c>
      <c r="AK78" s="248">
        <v>1175</v>
      </c>
      <c r="AL78" s="248">
        <v>1175</v>
      </c>
      <c r="AM78" s="248"/>
      <c r="AN78" s="248">
        <v>1180</v>
      </c>
      <c r="AO78" s="51"/>
      <c r="AP78" s="26">
        <f>SUM(J78:AN78)</f>
        <v>18628</v>
      </c>
      <c r="AR78" s="65"/>
      <c r="AT78" s="2"/>
      <c r="AU78" s="3"/>
      <c r="AV78" s="123"/>
      <c r="CB78" s="48"/>
      <c r="CC78" s="48"/>
      <c r="DF78" s="48"/>
      <c r="EN78" s="16"/>
      <c r="EO78" s="48"/>
      <c r="EP78" s="48"/>
      <c r="EQ78" s="48"/>
      <c r="ER78" s="48"/>
      <c r="GU78" s="48"/>
      <c r="KP78" s="48"/>
      <c r="KQ78" s="48"/>
      <c r="KR78" s="48"/>
      <c r="KS78" s="48"/>
      <c r="PW78" s="48"/>
      <c r="PX78" s="48"/>
      <c r="PZ78" s="48"/>
      <c r="QN78" s="47"/>
      <c r="QR78" s="48"/>
      <c r="SU78" s="47"/>
      <c r="AID78" s="14"/>
      <c r="AJS78" s="14"/>
      <c r="AJT78" s="14"/>
      <c r="AJU78" s="14"/>
    </row>
    <row r="79" spans="6:957" hidden="1" x14ac:dyDescent="0.3">
      <c r="F79" s="167"/>
      <c r="G79" s="246" t="s">
        <v>56</v>
      </c>
      <c r="H79" s="166"/>
      <c r="I79" s="247" t="s">
        <v>36</v>
      </c>
      <c r="J79" s="248">
        <v>0</v>
      </c>
      <c r="K79" s="248"/>
      <c r="L79" s="248">
        <v>2363</v>
      </c>
      <c r="M79" s="248"/>
      <c r="N79" s="248"/>
      <c r="O79" s="355">
        <v>2350</v>
      </c>
      <c r="P79" s="248"/>
      <c r="Q79" s="248"/>
      <c r="R79" s="248"/>
      <c r="S79" s="248">
        <v>1332</v>
      </c>
      <c r="T79" s="248">
        <v>1020</v>
      </c>
      <c r="U79" s="248">
        <v>0</v>
      </c>
      <c r="V79" s="248"/>
      <c r="W79" s="248">
        <v>2356</v>
      </c>
      <c r="X79" s="248">
        <v>2354</v>
      </c>
      <c r="Y79" s="248">
        <v>0</v>
      </c>
      <c r="Z79" s="248">
        <v>2345</v>
      </c>
      <c r="AA79" s="248">
        <v>2350</v>
      </c>
      <c r="AB79" s="248">
        <v>2360</v>
      </c>
      <c r="AC79" s="248">
        <v>2372</v>
      </c>
      <c r="AD79" s="248">
        <v>2355</v>
      </c>
      <c r="AE79" s="248"/>
      <c r="AF79" s="248"/>
      <c r="AG79" s="248"/>
      <c r="AH79" s="248"/>
      <c r="AI79" s="248"/>
      <c r="AJ79" s="248"/>
      <c r="AK79" s="248"/>
      <c r="AL79" s="248"/>
      <c r="AM79" s="248"/>
      <c r="AN79" s="248"/>
      <c r="AO79" s="51"/>
      <c r="AP79" s="26">
        <f>SUM(J79:AN79)</f>
        <v>23557</v>
      </c>
      <c r="AR79" s="49"/>
      <c r="AT79" s="2"/>
      <c r="AX79" s="3">
        <v>0</v>
      </c>
      <c r="CB79" s="48"/>
      <c r="CC79" s="48"/>
      <c r="DF79" s="48"/>
      <c r="EN79" s="16"/>
      <c r="EO79" s="48"/>
      <c r="EP79" s="48"/>
      <c r="EQ79" s="48"/>
      <c r="ER79" s="48"/>
      <c r="GU79" s="48"/>
      <c r="KP79" s="48"/>
      <c r="KQ79" s="48"/>
      <c r="KR79" s="48"/>
      <c r="KS79" s="48"/>
      <c r="PW79" s="48"/>
      <c r="PX79" s="48"/>
      <c r="PZ79" s="48"/>
      <c r="QN79" s="47"/>
      <c r="QR79" s="48"/>
      <c r="SU79" s="47"/>
      <c r="AID79" s="14"/>
      <c r="AJS79" s="14"/>
      <c r="AJT79" s="14"/>
      <c r="AJU79" s="14"/>
    </row>
    <row r="80" spans="6:957" hidden="1" x14ac:dyDescent="0.3">
      <c r="F80" s="135"/>
      <c r="G80" s="244" t="s">
        <v>32</v>
      </c>
      <c r="H80" s="192"/>
      <c r="I80" s="135"/>
      <c r="J80" s="11"/>
      <c r="K80" s="11"/>
      <c r="L80" s="11"/>
      <c r="M80" s="11"/>
      <c r="N80" s="11"/>
      <c r="O80" s="259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/>
      <c r="AP80" s="45" t="s">
        <v>32</v>
      </c>
      <c r="AR80" s="41"/>
      <c r="AT80" s="2"/>
      <c r="AX80" s="3">
        <f>SUM(AX79,AX77)</f>
        <v>445.3143</v>
      </c>
      <c r="AY80" s="2" t="s">
        <v>159</v>
      </c>
      <c r="CB80" s="40"/>
      <c r="CC80" s="40"/>
      <c r="DF80" s="40"/>
      <c r="EN80" s="30"/>
      <c r="EO80" s="40"/>
      <c r="EP80" s="40"/>
      <c r="EQ80" s="40"/>
      <c r="ER80" s="40"/>
      <c r="GU80" s="40"/>
      <c r="KP80" s="40"/>
      <c r="KQ80" s="40"/>
      <c r="KR80" s="40"/>
      <c r="KS80" s="40"/>
      <c r="PW80" s="40"/>
      <c r="PX80" s="40"/>
      <c r="PZ80" s="40"/>
      <c r="QN80" s="39"/>
      <c r="QR80" s="40"/>
      <c r="SU80" s="39"/>
      <c r="AID80" s="5"/>
      <c r="AJS80" s="5"/>
      <c r="AJT80" s="5"/>
      <c r="AJU80" s="5"/>
    </row>
    <row r="81" spans="6:957" hidden="1" x14ac:dyDescent="0.3">
      <c r="F81" s="135"/>
      <c r="G81" s="136" t="s">
        <v>57</v>
      </c>
      <c r="H81" s="192"/>
      <c r="I81" s="214" t="s">
        <v>32</v>
      </c>
      <c r="J81" s="11">
        <f>J78*12</f>
        <v>4632</v>
      </c>
      <c r="K81" s="11">
        <f t="shared" ref="K81:AN81" si="35">K78*12</f>
        <v>0</v>
      </c>
      <c r="L81" s="11">
        <f t="shared" si="35"/>
        <v>4932</v>
      </c>
      <c r="M81" s="11">
        <f t="shared" si="35"/>
        <v>1368</v>
      </c>
      <c r="N81" s="11">
        <f t="shared" si="35"/>
        <v>0</v>
      </c>
      <c r="O81" s="259">
        <f t="shared" si="35"/>
        <v>14100</v>
      </c>
      <c r="P81" s="11">
        <f t="shared" si="35"/>
        <v>0</v>
      </c>
      <c r="Q81" s="11">
        <f t="shared" si="35"/>
        <v>0</v>
      </c>
      <c r="R81" s="11">
        <f t="shared" si="35"/>
        <v>0</v>
      </c>
      <c r="S81" s="11">
        <f t="shared" si="35"/>
        <v>7968</v>
      </c>
      <c r="T81" s="11">
        <f t="shared" si="35"/>
        <v>6852</v>
      </c>
      <c r="U81" s="11">
        <f t="shared" si="35"/>
        <v>0</v>
      </c>
      <c r="V81" s="11">
        <f t="shared" si="35"/>
        <v>0</v>
      </c>
      <c r="W81" s="11">
        <f t="shared" si="35"/>
        <v>14184</v>
      </c>
      <c r="X81" s="11">
        <f t="shared" si="35"/>
        <v>14112</v>
      </c>
      <c r="Y81" s="11">
        <f t="shared" si="35"/>
        <v>0</v>
      </c>
      <c r="Z81" s="11">
        <f t="shared" si="35"/>
        <v>14124</v>
      </c>
      <c r="AA81" s="11">
        <f t="shared" si="35"/>
        <v>14100</v>
      </c>
      <c r="AB81" s="11">
        <f t="shared" si="35"/>
        <v>14124</v>
      </c>
      <c r="AC81" s="11">
        <f t="shared" si="35"/>
        <v>14160</v>
      </c>
      <c r="AD81" s="11">
        <f t="shared" si="35"/>
        <v>14136</v>
      </c>
      <c r="AE81" s="11">
        <f t="shared" si="35"/>
        <v>0</v>
      </c>
      <c r="AF81" s="11">
        <f t="shared" si="35"/>
        <v>0</v>
      </c>
      <c r="AG81" s="11">
        <f t="shared" si="35"/>
        <v>0</v>
      </c>
      <c r="AH81" s="11">
        <f t="shared" si="35"/>
        <v>14136</v>
      </c>
      <c r="AI81" s="11">
        <f t="shared" si="35"/>
        <v>14136</v>
      </c>
      <c r="AJ81" s="11">
        <f t="shared" si="35"/>
        <v>14112</v>
      </c>
      <c r="AK81" s="11">
        <f t="shared" si="35"/>
        <v>14100</v>
      </c>
      <c r="AL81" s="11">
        <f t="shared" si="35"/>
        <v>14100</v>
      </c>
      <c r="AM81" s="11">
        <f t="shared" si="35"/>
        <v>0</v>
      </c>
      <c r="AN81" s="11">
        <f t="shared" si="35"/>
        <v>14160</v>
      </c>
      <c r="AO81" s="10"/>
      <c r="AP81" s="26">
        <f>AP78*12</f>
        <v>223536</v>
      </c>
      <c r="AR81" s="41">
        <f>SUM(AP73+AP100+AP127+AP175)</f>
        <v>571898.21000000008</v>
      </c>
      <c r="AT81" s="2"/>
      <c r="AX81" s="35">
        <v>4427</v>
      </c>
      <c r="AY81" s="2" t="s">
        <v>160</v>
      </c>
      <c r="CB81" s="40"/>
      <c r="CC81" s="40"/>
      <c r="DF81" s="40"/>
      <c r="EN81" s="30"/>
      <c r="EO81" s="40"/>
      <c r="EP81" s="40"/>
      <c r="EQ81" s="40"/>
      <c r="ER81" s="40"/>
      <c r="GU81" s="40"/>
      <c r="KP81" s="40"/>
      <c r="KQ81" s="40"/>
      <c r="KR81" s="40"/>
      <c r="KS81" s="40"/>
      <c r="PW81" s="40"/>
      <c r="PX81" s="40"/>
      <c r="PZ81" s="40"/>
      <c r="QN81" s="39"/>
      <c r="QR81" s="40"/>
      <c r="SU81" s="39"/>
      <c r="AID81" s="5"/>
      <c r="AJS81" s="5"/>
      <c r="AJT81" s="5"/>
      <c r="AJU81" s="5"/>
    </row>
    <row r="82" spans="6:957" hidden="1" x14ac:dyDescent="0.3">
      <c r="F82" s="135"/>
      <c r="G82" s="136" t="s">
        <v>56</v>
      </c>
      <c r="H82" s="192"/>
      <c r="I82" s="214" t="s">
        <v>32</v>
      </c>
      <c r="J82" s="11">
        <f t="shared" ref="J82:AN82" si="36">J79*6</f>
        <v>0</v>
      </c>
      <c r="K82" s="11">
        <f t="shared" si="36"/>
        <v>0</v>
      </c>
      <c r="L82" s="11">
        <v>0</v>
      </c>
      <c r="M82" s="11">
        <f t="shared" si="36"/>
        <v>0</v>
      </c>
      <c r="N82" s="11">
        <f t="shared" si="36"/>
        <v>0</v>
      </c>
      <c r="O82" s="259">
        <f t="shared" si="36"/>
        <v>14100</v>
      </c>
      <c r="P82" s="11">
        <f t="shared" si="36"/>
        <v>0</v>
      </c>
      <c r="Q82" s="11">
        <f t="shared" si="36"/>
        <v>0</v>
      </c>
      <c r="R82" s="11">
        <f t="shared" si="36"/>
        <v>0</v>
      </c>
      <c r="S82" s="11">
        <f t="shared" si="36"/>
        <v>7992</v>
      </c>
      <c r="T82" s="11">
        <f t="shared" si="36"/>
        <v>6120</v>
      </c>
      <c r="U82" s="11">
        <f t="shared" si="36"/>
        <v>0</v>
      </c>
      <c r="V82" s="11">
        <f t="shared" si="36"/>
        <v>0</v>
      </c>
      <c r="W82" s="11">
        <f t="shared" si="36"/>
        <v>14136</v>
      </c>
      <c r="X82" s="11">
        <f t="shared" si="36"/>
        <v>14124</v>
      </c>
      <c r="Y82" s="11">
        <f t="shared" si="36"/>
        <v>0</v>
      </c>
      <c r="Z82" s="11">
        <f t="shared" si="36"/>
        <v>14070</v>
      </c>
      <c r="AA82" s="11">
        <f t="shared" si="36"/>
        <v>14100</v>
      </c>
      <c r="AB82" s="11">
        <f t="shared" si="36"/>
        <v>14160</v>
      </c>
      <c r="AC82" s="11">
        <f t="shared" si="36"/>
        <v>14232</v>
      </c>
      <c r="AD82" s="11">
        <f t="shared" si="36"/>
        <v>14130</v>
      </c>
      <c r="AE82" s="11">
        <f t="shared" si="36"/>
        <v>0</v>
      </c>
      <c r="AF82" s="11">
        <f t="shared" si="36"/>
        <v>0</v>
      </c>
      <c r="AG82" s="11">
        <v>0</v>
      </c>
      <c r="AH82" s="11">
        <f t="shared" ref="AH82" si="37">AH79*6</f>
        <v>0</v>
      </c>
      <c r="AI82" s="11">
        <f t="shared" si="36"/>
        <v>0</v>
      </c>
      <c r="AJ82" s="11">
        <f t="shared" si="36"/>
        <v>0</v>
      </c>
      <c r="AK82" s="11">
        <f t="shared" si="36"/>
        <v>0</v>
      </c>
      <c r="AL82" s="11">
        <f t="shared" si="36"/>
        <v>0</v>
      </c>
      <c r="AM82" s="11">
        <f t="shared" si="36"/>
        <v>0</v>
      </c>
      <c r="AN82" s="11">
        <f t="shared" si="36"/>
        <v>0</v>
      </c>
      <c r="AO82" s="10"/>
      <c r="AP82" s="26">
        <f>AP79*6</f>
        <v>141342</v>
      </c>
      <c r="AR82" s="41"/>
      <c r="AT82" s="2"/>
      <c r="AX82" s="3">
        <f>AX80/AX81*100</f>
        <v>10.059053535125367</v>
      </c>
      <c r="AY82" s="2" t="s">
        <v>29</v>
      </c>
      <c r="CB82" s="40"/>
      <c r="CC82" s="40"/>
      <c r="DF82" s="40"/>
      <c r="EN82" s="30"/>
      <c r="EO82" s="40"/>
      <c r="EP82" s="40"/>
      <c r="EQ82" s="40"/>
      <c r="ER82" s="40"/>
      <c r="GU82" s="40"/>
      <c r="KP82" s="40"/>
      <c r="KQ82" s="40"/>
      <c r="KR82" s="40"/>
      <c r="KS82" s="40"/>
      <c r="PW82" s="40"/>
      <c r="PX82" s="40"/>
      <c r="PZ82" s="40"/>
      <c r="QN82" s="39"/>
      <c r="QR82" s="40"/>
      <c r="SU82" s="39"/>
      <c r="AID82" s="5"/>
      <c r="AJS82" s="5"/>
      <c r="AJT82" s="5"/>
      <c r="AJU82" s="5"/>
    </row>
    <row r="83" spans="6:957" hidden="1" x14ac:dyDescent="0.3">
      <c r="F83" s="135"/>
      <c r="G83" s="244" t="s">
        <v>41</v>
      </c>
      <c r="H83" s="192"/>
      <c r="I83" s="214" t="s">
        <v>40</v>
      </c>
      <c r="J83" s="249">
        <f>(J73*45)/1700</f>
        <v>139.62388235294117</v>
      </c>
      <c r="K83" s="250">
        <f>(K73*45)/1700</f>
        <v>0</v>
      </c>
      <c r="L83" s="250">
        <f t="shared" ref="L83:AN83" si="38">(L73*45)/1700</f>
        <v>793.94611764705871</v>
      </c>
      <c r="M83" s="250">
        <f t="shared" si="38"/>
        <v>32.795735294117648</v>
      </c>
      <c r="N83" s="250">
        <f t="shared" si="38"/>
        <v>0</v>
      </c>
      <c r="O83" s="356">
        <f t="shared" si="38"/>
        <v>1013.5016470588234</v>
      </c>
      <c r="P83" s="250">
        <f t="shared" si="38"/>
        <v>0</v>
      </c>
      <c r="Q83" s="250">
        <f t="shared" si="38"/>
        <v>0</v>
      </c>
      <c r="R83" s="250">
        <f t="shared" si="38"/>
        <v>0</v>
      </c>
      <c r="S83" s="250">
        <f t="shared" si="38"/>
        <v>572.16229411764709</v>
      </c>
      <c r="T83" s="249">
        <f t="shared" si="38"/>
        <v>457.22197058823537</v>
      </c>
      <c r="U83" s="249">
        <f t="shared" si="38"/>
        <v>0</v>
      </c>
      <c r="V83" s="249">
        <f t="shared" si="38"/>
        <v>0</v>
      </c>
      <c r="W83" s="249">
        <f t="shared" si="38"/>
        <v>1013.5495588235294</v>
      </c>
      <c r="X83" s="249">
        <f t="shared" si="38"/>
        <v>1014.1962352941177</v>
      </c>
      <c r="Y83" s="249">
        <f t="shared" si="38"/>
        <v>0</v>
      </c>
      <c r="Z83" s="249">
        <f t="shared" si="38"/>
        <v>1012.1360294117648</v>
      </c>
      <c r="AA83" s="249">
        <f t="shared" si="38"/>
        <v>1013.5974705882353</v>
      </c>
      <c r="AB83" s="249">
        <f t="shared" si="38"/>
        <v>1016.4480882352941</v>
      </c>
      <c r="AC83" s="249">
        <f t="shared" si="38"/>
        <v>1018.6999411764707</v>
      </c>
      <c r="AD83" s="249">
        <f t="shared" si="38"/>
        <v>1013.5974705882353</v>
      </c>
      <c r="AE83" s="249">
        <f t="shared" si="38"/>
        <v>0</v>
      </c>
      <c r="AF83" s="249">
        <f t="shared" si="38"/>
        <v>0</v>
      </c>
      <c r="AG83" s="249">
        <f t="shared" si="38"/>
        <v>11.647058823529411</v>
      </c>
      <c r="AH83" s="249">
        <f t="shared" si="38"/>
        <v>338.11332352941179</v>
      </c>
      <c r="AI83" s="249">
        <f t="shared" si="38"/>
        <v>337.82585294117644</v>
      </c>
      <c r="AJ83" s="249">
        <f t="shared" si="38"/>
        <v>351.59055882352936</v>
      </c>
      <c r="AK83" s="249">
        <f t="shared" si="38"/>
        <v>337.84994117647062</v>
      </c>
      <c r="AL83" s="249">
        <f t="shared" si="38"/>
        <v>337.84994117647062</v>
      </c>
      <c r="AM83" s="249">
        <f t="shared" si="38"/>
        <v>0</v>
      </c>
      <c r="AN83" s="249">
        <f t="shared" si="38"/>
        <v>1073.1549705882353</v>
      </c>
      <c r="AO83" s="10"/>
      <c r="AP83" s="26">
        <f>SUM(J83:AN83)</f>
        <v>12899.508088235294</v>
      </c>
      <c r="AR83" s="41"/>
      <c r="AT83" s="2"/>
      <c r="CB83" s="40"/>
      <c r="CC83" s="40"/>
      <c r="DF83" s="40"/>
      <c r="EN83" s="30"/>
      <c r="EO83" s="40"/>
      <c r="EP83" s="40"/>
      <c r="EQ83" s="40"/>
      <c r="ER83" s="40"/>
      <c r="GU83" s="40"/>
      <c r="KP83" s="40"/>
      <c r="KQ83" s="40"/>
      <c r="KR83" s="40"/>
      <c r="KS83" s="40"/>
      <c r="PW83" s="40"/>
      <c r="PX83" s="40"/>
      <c r="PZ83" s="40"/>
      <c r="QN83" s="39"/>
      <c r="QR83" s="40"/>
      <c r="SU83" s="39"/>
      <c r="AID83" s="5"/>
      <c r="AJS83" s="5"/>
      <c r="AJT83" s="5"/>
      <c r="AJU83" s="5"/>
    </row>
    <row r="84" spans="6:957" hidden="1" x14ac:dyDescent="0.3">
      <c r="F84" s="135"/>
      <c r="G84" s="244" t="s">
        <v>39</v>
      </c>
      <c r="H84" s="192"/>
      <c r="I84" s="214" t="s">
        <v>38</v>
      </c>
      <c r="J84" s="11">
        <f t="shared" ref="J84:AL84" si="39">SUM(J78:J79)/500</f>
        <v>0.77200000000000002</v>
      </c>
      <c r="K84" s="11">
        <f t="shared" si="39"/>
        <v>0</v>
      </c>
      <c r="L84" s="11">
        <f t="shared" si="39"/>
        <v>5.548</v>
      </c>
      <c r="M84" s="11">
        <f t="shared" si="39"/>
        <v>0.22800000000000001</v>
      </c>
      <c r="N84" s="11">
        <f t="shared" si="39"/>
        <v>0</v>
      </c>
      <c r="O84" s="259">
        <f t="shared" si="39"/>
        <v>7.05</v>
      </c>
      <c r="P84" s="11">
        <f t="shared" si="39"/>
        <v>0</v>
      </c>
      <c r="Q84" s="11">
        <f t="shared" si="39"/>
        <v>0</v>
      </c>
      <c r="R84" s="11">
        <f t="shared" si="39"/>
        <v>0</v>
      </c>
      <c r="S84" s="11">
        <f t="shared" si="39"/>
        <v>3.992</v>
      </c>
      <c r="T84" s="11">
        <f t="shared" si="39"/>
        <v>3.1819999999999999</v>
      </c>
      <c r="U84" s="11">
        <f t="shared" si="39"/>
        <v>0</v>
      </c>
      <c r="V84" s="11">
        <f t="shared" si="39"/>
        <v>0</v>
      </c>
      <c r="W84" s="11">
        <f t="shared" si="39"/>
        <v>7.0759999999999996</v>
      </c>
      <c r="X84" s="11">
        <f t="shared" si="39"/>
        <v>7.06</v>
      </c>
      <c r="Y84" s="11">
        <f t="shared" si="39"/>
        <v>0</v>
      </c>
      <c r="Z84" s="11">
        <f t="shared" si="39"/>
        <v>7.0439999999999996</v>
      </c>
      <c r="AA84" s="11">
        <f t="shared" si="39"/>
        <v>7.05</v>
      </c>
      <c r="AB84" s="11">
        <f t="shared" si="39"/>
        <v>7.0739999999999998</v>
      </c>
      <c r="AC84" s="11">
        <f t="shared" si="39"/>
        <v>7.1040000000000001</v>
      </c>
      <c r="AD84" s="11">
        <f t="shared" ref="AD84:AE84" si="40">SUM(AD78:AD79)/500</f>
        <v>7.0659999999999998</v>
      </c>
      <c r="AE84" s="11">
        <f t="shared" si="40"/>
        <v>0</v>
      </c>
      <c r="AF84" s="11">
        <f t="shared" si="39"/>
        <v>0</v>
      </c>
      <c r="AG84" s="11">
        <f t="shared" si="39"/>
        <v>0</v>
      </c>
      <c r="AH84" s="11">
        <f t="shared" si="39"/>
        <v>2.3559999999999999</v>
      </c>
      <c r="AI84" s="11">
        <f t="shared" ref="AI84:AK84" si="41">SUM(AI78:AI79)/500</f>
        <v>2.3559999999999999</v>
      </c>
      <c r="AJ84" s="11">
        <f t="shared" si="41"/>
        <v>2.3519999999999999</v>
      </c>
      <c r="AK84" s="11">
        <f t="shared" si="41"/>
        <v>2.35</v>
      </c>
      <c r="AL84" s="11">
        <f t="shared" si="39"/>
        <v>2.35</v>
      </c>
      <c r="AM84" s="11">
        <f t="shared" ref="AM84:AN84" si="42">SUM(AM78:AM79)/500</f>
        <v>0</v>
      </c>
      <c r="AN84" s="11">
        <f t="shared" si="42"/>
        <v>2.36</v>
      </c>
      <c r="AO84" s="10"/>
      <c r="AP84" s="26">
        <f>SUM(J84:AN84)</f>
        <v>84.369999999999976</v>
      </c>
      <c r="AR84" s="41"/>
      <c r="CB84" s="40"/>
      <c r="CC84" s="40"/>
      <c r="DF84" s="40"/>
      <c r="EN84" s="30"/>
      <c r="EO84" s="40"/>
      <c r="EP84" s="40"/>
      <c r="EQ84" s="40"/>
      <c r="ER84" s="40"/>
      <c r="GU84" s="40"/>
      <c r="KP84" s="40"/>
      <c r="KQ84" s="40"/>
      <c r="KR84" s="40"/>
      <c r="KS84" s="40"/>
      <c r="PW84" s="40"/>
      <c r="PX84" s="40"/>
      <c r="PZ84" s="40"/>
      <c r="QN84" s="39"/>
      <c r="QR84" s="40"/>
      <c r="SU84" s="39"/>
      <c r="AID84" s="5"/>
      <c r="AJS84" s="5"/>
      <c r="AJT84" s="5"/>
      <c r="AJU84" s="5"/>
    </row>
    <row r="85" spans="6:957" hidden="1" x14ac:dyDescent="0.3">
      <c r="F85" s="137"/>
      <c r="G85" s="161" t="s">
        <v>37</v>
      </c>
      <c r="H85" s="180"/>
      <c r="I85" s="180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2"/>
      <c r="AH85" s="181"/>
      <c r="AI85" s="181"/>
      <c r="AJ85" s="181"/>
      <c r="AK85" s="181"/>
      <c r="AL85" s="181"/>
      <c r="AM85" s="181"/>
      <c r="AN85" s="181"/>
      <c r="AO85" s="31"/>
      <c r="AP85" s="46" t="s">
        <v>34</v>
      </c>
    </row>
    <row r="86" spans="6:957" hidden="1" x14ac:dyDescent="0.3">
      <c r="F86" s="135"/>
      <c r="G86" s="244" t="s">
        <v>33</v>
      </c>
      <c r="H86" s="192"/>
      <c r="I86" s="135"/>
      <c r="J86" s="11"/>
      <c r="K86" s="11"/>
      <c r="L86" s="11"/>
      <c r="M86" s="11"/>
      <c r="N86" s="11"/>
      <c r="O86" s="259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/>
      <c r="AP86" s="45" t="s">
        <v>33</v>
      </c>
      <c r="AR86" s="41"/>
      <c r="CB86" s="40"/>
      <c r="CC86" s="40"/>
      <c r="DF86" s="40"/>
      <c r="EN86" s="30"/>
      <c r="EO86" s="40"/>
      <c r="EP86" s="40"/>
      <c r="EQ86" s="40"/>
      <c r="ER86" s="40"/>
      <c r="GU86" s="40"/>
      <c r="KP86" s="40"/>
      <c r="KQ86" s="40"/>
      <c r="KR86" s="40"/>
      <c r="KS86" s="40"/>
      <c r="PW86" s="40"/>
      <c r="PX86" s="40"/>
      <c r="PZ86" s="40"/>
      <c r="QN86" s="39"/>
      <c r="QR86" s="40"/>
      <c r="SU86" s="39"/>
      <c r="AID86" s="5"/>
      <c r="AJS86" s="5"/>
      <c r="AJT86" s="5"/>
      <c r="AJU86" s="5"/>
    </row>
    <row r="87" spans="6:957" hidden="1" x14ac:dyDescent="0.3">
      <c r="F87" s="135"/>
      <c r="G87" s="136" t="s">
        <v>57</v>
      </c>
      <c r="H87" s="192"/>
      <c r="I87" s="214" t="s">
        <v>36</v>
      </c>
      <c r="J87" s="248">
        <v>0</v>
      </c>
      <c r="K87" s="248"/>
      <c r="L87" s="248"/>
      <c r="M87" s="248"/>
      <c r="N87" s="248"/>
      <c r="O87" s="355"/>
      <c r="P87" s="248"/>
      <c r="Q87" s="248"/>
      <c r="R87" s="248"/>
      <c r="S87" s="248">
        <v>4</v>
      </c>
      <c r="T87" s="248">
        <v>1</v>
      </c>
      <c r="U87" s="248"/>
      <c r="V87" s="11"/>
      <c r="W87" s="248">
        <v>7</v>
      </c>
      <c r="X87" s="248">
        <v>1</v>
      </c>
      <c r="Y87" s="248"/>
      <c r="Z87" s="248">
        <v>2</v>
      </c>
      <c r="AA87" s="248"/>
      <c r="AB87" s="248">
        <v>2</v>
      </c>
      <c r="AC87" s="248">
        <v>5</v>
      </c>
      <c r="AD87" s="248">
        <v>3</v>
      </c>
      <c r="AE87" s="248"/>
      <c r="AF87" s="248"/>
      <c r="AG87" s="248"/>
      <c r="AH87" s="248">
        <v>2</v>
      </c>
      <c r="AI87" s="248">
        <v>3</v>
      </c>
      <c r="AJ87" s="248">
        <v>1</v>
      </c>
      <c r="AK87" s="248"/>
      <c r="AL87" s="248"/>
      <c r="AM87" s="248"/>
      <c r="AN87" s="248"/>
      <c r="AO87" s="10"/>
      <c r="AP87" s="26">
        <f>SUM(J87:AN87)</f>
        <v>31</v>
      </c>
      <c r="AR87" s="41"/>
      <c r="CB87" s="40"/>
      <c r="CC87" s="40"/>
      <c r="DF87" s="40"/>
      <c r="EN87" s="30"/>
      <c r="EO87" s="40"/>
      <c r="EP87" s="40"/>
      <c r="EQ87" s="40"/>
      <c r="ER87" s="40"/>
      <c r="GU87" s="40"/>
      <c r="KP87" s="40"/>
      <c r="KQ87" s="40"/>
      <c r="KR87" s="40"/>
      <c r="KS87" s="40"/>
      <c r="PW87" s="40"/>
      <c r="PX87" s="40"/>
      <c r="PZ87" s="40"/>
      <c r="QN87" s="39"/>
      <c r="QR87" s="40"/>
      <c r="SU87" s="39"/>
      <c r="AID87" s="5"/>
      <c r="AJS87" s="5"/>
      <c r="AJT87" s="5"/>
      <c r="AJU87" s="5"/>
    </row>
    <row r="88" spans="6:957" hidden="1" x14ac:dyDescent="0.3">
      <c r="F88" s="135"/>
      <c r="G88" s="136" t="s">
        <v>56</v>
      </c>
      <c r="H88" s="192"/>
      <c r="I88" s="214" t="s">
        <v>36</v>
      </c>
      <c r="J88" s="248">
        <v>0</v>
      </c>
      <c r="K88" s="248"/>
      <c r="L88" s="248">
        <v>13</v>
      </c>
      <c r="M88" s="248"/>
      <c r="N88" s="248"/>
      <c r="O88" s="355"/>
      <c r="P88" s="248"/>
      <c r="Q88" s="248"/>
      <c r="R88" s="248"/>
      <c r="S88" s="248">
        <v>2</v>
      </c>
      <c r="T88" s="248"/>
      <c r="U88" s="248"/>
      <c r="V88" s="11"/>
      <c r="W88" s="248">
        <v>6</v>
      </c>
      <c r="X88" s="11">
        <v>2</v>
      </c>
      <c r="Y88" s="11"/>
      <c r="Z88" s="248"/>
      <c r="AA88" s="248"/>
      <c r="AB88" s="248"/>
      <c r="AC88" s="248">
        <v>4</v>
      </c>
      <c r="AD88" s="248">
        <v>5</v>
      </c>
      <c r="AE88" s="248"/>
      <c r="AF88" s="248"/>
      <c r="AG88" s="248"/>
      <c r="AH88" s="248"/>
      <c r="AI88" s="248"/>
      <c r="AJ88" s="248"/>
      <c r="AK88" s="248"/>
      <c r="AL88" s="248"/>
      <c r="AM88" s="248"/>
      <c r="AN88" s="248"/>
      <c r="AO88" s="10"/>
      <c r="AP88" s="26">
        <f>SUM(J88:AN88)</f>
        <v>32</v>
      </c>
      <c r="AR88" s="41"/>
      <c r="CB88" s="40"/>
      <c r="CC88" s="40"/>
      <c r="DF88" s="40"/>
      <c r="EN88" s="30"/>
      <c r="EO88" s="40"/>
      <c r="EP88" s="40"/>
      <c r="EQ88" s="40"/>
      <c r="ER88" s="40"/>
      <c r="GU88" s="40"/>
      <c r="KP88" s="40"/>
      <c r="KQ88" s="40"/>
      <c r="KR88" s="40"/>
      <c r="KS88" s="40"/>
      <c r="PW88" s="40"/>
      <c r="PX88" s="40"/>
      <c r="PZ88" s="40"/>
      <c r="QN88" s="39"/>
      <c r="QR88" s="40"/>
      <c r="SU88" s="39"/>
      <c r="AID88" s="5"/>
      <c r="AJS88" s="5"/>
      <c r="AJT88" s="5"/>
      <c r="AJU88" s="5"/>
    </row>
    <row r="89" spans="6:957" hidden="1" x14ac:dyDescent="0.3">
      <c r="F89" s="135"/>
      <c r="G89" s="244" t="s">
        <v>32</v>
      </c>
      <c r="H89" s="192"/>
      <c r="I89" s="135"/>
      <c r="J89" s="248"/>
      <c r="K89" s="248"/>
      <c r="L89" s="248"/>
      <c r="M89" s="248"/>
      <c r="N89" s="248"/>
      <c r="O89" s="355"/>
      <c r="P89" s="248"/>
      <c r="Q89" s="248"/>
      <c r="R89" s="248"/>
      <c r="S89" s="248"/>
      <c r="T89" s="248"/>
      <c r="U89" s="248"/>
      <c r="V89" s="11"/>
      <c r="W89" s="248"/>
      <c r="X89" s="11"/>
      <c r="Y89" s="11"/>
      <c r="Z89" s="248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/>
      <c r="AP89" s="45" t="s">
        <v>32</v>
      </c>
      <c r="AR89" s="41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CB89" s="40"/>
      <c r="CC89" s="40"/>
      <c r="DF89" s="40"/>
      <c r="EN89" s="30"/>
      <c r="EO89" s="40"/>
      <c r="EP89" s="40"/>
      <c r="EQ89" s="40"/>
      <c r="ER89" s="40"/>
      <c r="GU89" s="40"/>
      <c r="KP89" s="40"/>
      <c r="KQ89" s="40"/>
      <c r="KR89" s="40"/>
      <c r="KS89" s="40"/>
      <c r="PW89" s="40"/>
      <c r="PX89" s="40"/>
      <c r="PZ89" s="40"/>
      <c r="QN89" s="39"/>
      <c r="QR89" s="40"/>
      <c r="SU89" s="39"/>
      <c r="AID89" s="5"/>
      <c r="AJS89" s="5"/>
      <c r="AJT89" s="5"/>
      <c r="AJU89" s="5"/>
    </row>
    <row r="90" spans="6:957" hidden="1" x14ac:dyDescent="0.3">
      <c r="F90" s="135"/>
      <c r="G90" s="136" t="s">
        <v>57</v>
      </c>
      <c r="H90" s="192"/>
      <c r="I90" s="214" t="s">
        <v>32</v>
      </c>
      <c r="J90" s="248">
        <v>0</v>
      </c>
      <c r="K90" s="248"/>
      <c r="L90" s="248"/>
      <c r="M90" s="248"/>
      <c r="N90" s="248"/>
      <c r="O90" s="355"/>
      <c r="P90" s="248"/>
      <c r="Q90" s="248"/>
      <c r="R90" s="248"/>
      <c r="S90" s="248">
        <v>47</v>
      </c>
      <c r="T90" s="248">
        <v>47</v>
      </c>
      <c r="U90" s="248"/>
      <c r="V90" s="11"/>
      <c r="W90" s="248">
        <v>11</v>
      </c>
      <c r="X90" s="248">
        <v>11</v>
      </c>
      <c r="Y90" s="248"/>
      <c r="Z90" s="248"/>
      <c r="AA90" s="248">
        <v>25</v>
      </c>
      <c r="AB90" s="248"/>
      <c r="AC90" s="248"/>
      <c r="AD90" s="248"/>
      <c r="AE90" s="248"/>
      <c r="AF90" s="248"/>
      <c r="AG90" s="248"/>
      <c r="AH90" s="248"/>
      <c r="AI90" s="248"/>
      <c r="AJ90" s="248"/>
      <c r="AK90" s="248"/>
      <c r="AL90" s="248"/>
      <c r="AM90" s="248"/>
      <c r="AN90" s="248"/>
      <c r="AO90" s="10"/>
      <c r="AP90" s="26">
        <f>SUM(J90:AN90)</f>
        <v>141</v>
      </c>
      <c r="AR90" s="41">
        <f>0.9031*100</f>
        <v>90.31</v>
      </c>
      <c r="BE90" s="57"/>
      <c r="BF90" s="35"/>
      <c r="BG90" s="35"/>
      <c r="BH90" s="35"/>
      <c r="BI90" s="64"/>
      <c r="BJ90" s="35"/>
      <c r="BK90" s="35"/>
      <c r="BL90" s="35"/>
      <c r="BM90" s="35"/>
      <c r="BN90" s="35"/>
      <c r="CB90" s="40"/>
      <c r="CC90" s="40"/>
      <c r="DF90" s="40"/>
      <c r="EN90" s="30"/>
      <c r="EO90" s="40"/>
      <c r="EP90" s="40"/>
      <c r="EQ90" s="40"/>
      <c r="ER90" s="40"/>
      <c r="GU90" s="40"/>
      <c r="KP90" s="40"/>
      <c r="KQ90" s="40"/>
      <c r="KR90" s="40"/>
      <c r="KS90" s="40"/>
      <c r="PW90" s="40"/>
      <c r="PX90" s="40"/>
      <c r="PZ90" s="40"/>
      <c r="QN90" s="39"/>
      <c r="QR90" s="40"/>
      <c r="SU90" s="39"/>
      <c r="AID90" s="5"/>
      <c r="AJS90" s="5"/>
      <c r="AJT90" s="5"/>
      <c r="AJU90" s="5"/>
    </row>
    <row r="91" spans="6:957" hidden="1" x14ac:dyDescent="0.3">
      <c r="F91" s="135"/>
      <c r="G91" s="136" t="s">
        <v>56</v>
      </c>
      <c r="H91" s="192"/>
      <c r="I91" s="214" t="s">
        <v>32</v>
      </c>
      <c r="J91" s="248">
        <v>0</v>
      </c>
      <c r="K91" s="248"/>
      <c r="L91" s="248">
        <v>42</v>
      </c>
      <c r="M91" s="248"/>
      <c r="N91" s="248"/>
      <c r="O91" s="355"/>
      <c r="P91" s="248"/>
      <c r="Q91" s="248"/>
      <c r="R91" s="248"/>
      <c r="S91" s="248">
        <v>3</v>
      </c>
      <c r="T91" s="248">
        <v>2</v>
      </c>
      <c r="U91" s="248"/>
      <c r="V91" s="11"/>
      <c r="W91" s="248">
        <v>2</v>
      </c>
      <c r="X91" s="11">
        <v>74</v>
      </c>
      <c r="Y91" s="11"/>
      <c r="Z91" s="248"/>
      <c r="AA91" s="11">
        <v>77</v>
      </c>
      <c r="AB91" s="11"/>
      <c r="AC91" s="248"/>
      <c r="AD91" s="248"/>
      <c r="AE91" s="248"/>
      <c r="AF91" s="11"/>
      <c r="AG91" s="11"/>
      <c r="AH91" s="11"/>
      <c r="AI91" s="11"/>
      <c r="AJ91" s="11"/>
      <c r="AK91" s="11"/>
      <c r="AL91" s="11"/>
      <c r="AM91" s="11"/>
      <c r="AN91" s="11"/>
      <c r="AO91" s="10"/>
      <c r="AP91" s="26">
        <f>SUM(J91:AN91)</f>
        <v>200</v>
      </c>
      <c r="AR91" s="41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CB91" s="40"/>
      <c r="CC91" s="40"/>
      <c r="DF91" s="40"/>
      <c r="EN91" s="30"/>
      <c r="EO91" s="40"/>
      <c r="EP91" s="40"/>
      <c r="EQ91" s="40"/>
      <c r="ER91" s="40"/>
      <c r="GU91" s="40"/>
      <c r="KP91" s="40"/>
      <c r="KQ91" s="40"/>
      <c r="KR91" s="40"/>
      <c r="KS91" s="40"/>
      <c r="PW91" s="40"/>
      <c r="PX91" s="40"/>
      <c r="PZ91" s="40"/>
      <c r="QN91" s="39"/>
      <c r="QR91" s="40"/>
      <c r="SU91" s="39"/>
      <c r="AID91" s="5"/>
      <c r="AJS91" s="5"/>
      <c r="AJT91" s="5"/>
      <c r="AJU91" s="5"/>
    </row>
    <row r="92" spans="6:957" ht="15" hidden="1" customHeight="1" x14ac:dyDescent="0.3">
      <c r="F92" s="137"/>
      <c r="G92" s="161" t="s">
        <v>35</v>
      </c>
      <c r="H92" s="180"/>
      <c r="I92" s="180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2"/>
      <c r="AH92" s="181"/>
      <c r="AI92" s="181"/>
      <c r="AJ92" s="181"/>
      <c r="AK92" s="181"/>
      <c r="AL92" s="181"/>
      <c r="AM92" s="181"/>
      <c r="AN92" s="181"/>
      <c r="AO92" s="31"/>
      <c r="AP92" s="46" t="s">
        <v>34</v>
      </c>
      <c r="BE92" s="35"/>
      <c r="BF92" s="35"/>
      <c r="BG92" s="35"/>
      <c r="BH92" s="35"/>
      <c r="BI92" s="35"/>
      <c r="BJ92" s="35"/>
      <c r="BK92" s="35"/>
      <c r="BL92" s="35"/>
      <c r="BM92" s="35"/>
      <c r="BN92" s="35"/>
    </row>
    <row r="93" spans="6:957" ht="15" hidden="1" customHeight="1" x14ac:dyDescent="0.3">
      <c r="F93" s="135"/>
      <c r="G93" s="244" t="s">
        <v>33</v>
      </c>
      <c r="H93" s="192"/>
      <c r="I93" s="135"/>
      <c r="J93" s="11"/>
      <c r="K93" s="11"/>
      <c r="L93" s="11"/>
      <c r="M93" s="11"/>
      <c r="N93" s="11"/>
      <c r="O93" s="259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/>
      <c r="AP93" s="45" t="s">
        <v>33</v>
      </c>
      <c r="AR93" s="41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CB93" s="40"/>
      <c r="CC93" s="40"/>
      <c r="DF93" s="40"/>
      <c r="EN93" s="30"/>
      <c r="EO93" s="40"/>
      <c r="EP93" s="40"/>
      <c r="EQ93" s="40"/>
      <c r="ER93" s="40"/>
      <c r="GU93" s="40"/>
      <c r="KP93" s="40"/>
      <c r="KQ93" s="40"/>
      <c r="KR93" s="40"/>
      <c r="KS93" s="40"/>
      <c r="PW93" s="40"/>
      <c r="PX93" s="40"/>
      <c r="PZ93" s="40"/>
      <c r="QN93" s="39"/>
      <c r="QR93" s="40"/>
      <c r="SU93" s="39"/>
      <c r="AID93" s="5"/>
      <c r="AJS93" s="5"/>
      <c r="AJT93" s="5"/>
      <c r="AJU93" s="5"/>
    </row>
    <row r="94" spans="6:957" ht="15" hidden="1" customHeight="1" x14ac:dyDescent="0.3">
      <c r="F94" s="135"/>
      <c r="G94" s="136" t="s">
        <v>57</v>
      </c>
      <c r="H94" s="295">
        <v>0.3</v>
      </c>
      <c r="I94" s="214" t="s">
        <v>29</v>
      </c>
      <c r="J94" s="297">
        <f t="shared" ref="J94:AN95" si="43">J87/J78*100</f>
        <v>0</v>
      </c>
      <c r="K94" s="297" t="e">
        <f t="shared" si="43"/>
        <v>#DIV/0!</v>
      </c>
      <c r="L94" s="297">
        <f>L87/L78*100</f>
        <v>0</v>
      </c>
      <c r="M94" s="297">
        <f t="shared" si="43"/>
        <v>0</v>
      </c>
      <c r="N94" s="297" t="e">
        <f t="shared" si="43"/>
        <v>#DIV/0!</v>
      </c>
      <c r="O94" s="312">
        <f t="shared" si="43"/>
        <v>0</v>
      </c>
      <c r="P94" s="297" t="e">
        <f t="shared" si="43"/>
        <v>#DIV/0!</v>
      </c>
      <c r="Q94" s="297" t="e">
        <f t="shared" si="43"/>
        <v>#DIV/0!</v>
      </c>
      <c r="R94" s="297" t="e">
        <f t="shared" si="43"/>
        <v>#DIV/0!</v>
      </c>
      <c r="S94" s="297">
        <f t="shared" si="43"/>
        <v>0.60240963855421692</v>
      </c>
      <c r="T94" s="297">
        <f t="shared" si="43"/>
        <v>0.17513134851138354</v>
      </c>
      <c r="U94" s="297" t="e">
        <f t="shared" si="43"/>
        <v>#DIV/0!</v>
      </c>
      <c r="V94" s="297" t="e">
        <f t="shared" si="43"/>
        <v>#DIV/0!</v>
      </c>
      <c r="W94" s="297">
        <f t="shared" si="43"/>
        <v>0.59221658206429784</v>
      </c>
      <c r="X94" s="297">
        <f t="shared" si="43"/>
        <v>8.5034013605442174E-2</v>
      </c>
      <c r="Y94" s="297" t="e">
        <f t="shared" si="43"/>
        <v>#DIV/0!</v>
      </c>
      <c r="Z94" s="297">
        <f t="shared" si="43"/>
        <v>0.16992353440951571</v>
      </c>
      <c r="AA94" s="297">
        <f t="shared" si="43"/>
        <v>0</v>
      </c>
      <c r="AB94" s="297">
        <f t="shared" si="43"/>
        <v>0.16992353440951571</v>
      </c>
      <c r="AC94" s="297">
        <f t="shared" si="43"/>
        <v>0.42372881355932202</v>
      </c>
      <c r="AD94" s="297">
        <f t="shared" si="43"/>
        <v>0.25466893039049238</v>
      </c>
      <c r="AE94" s="297" t="e">
        <f t="shared" si="43"/>
        <v>#DIV/0!</v>
      </c>
      <c r="AF94" s="297" t="e">
        <f t="shared" si="43"/>
        <v>#DIV/0!</v>
      </c>
      <c r="AG94" s="297" t="e">
        <f t="shared" si="43"/>
        <v>#DIV/0!</v>
      </c>
      <c r="AH94" s="297">
        <f t="shared" si="43"/>
        <v>0.1697792869269949</v>
      </c>
      <c r="AI94" s="297">
        <f t="shared" si="43"/>
        <v>0.25466893039049238</v>
      </c>
      <c r="AJ94" s="297">
        <f t="shared" si="43"/>
        <v>8.5034013605442174E-2</v>
      </c>
      <c r="AK94" s="297">
        <f t="shared" si="43"/>
        <v>0</v>
      </c>
      <c r="AL94" s="297">
        <f t="shared" si="43"/>
        <v>0</v>
      </c>
      <c r="AM94" s="297" t="e">
        <f t="shared" si="43"/>
        <v>#DIV/0!</v>
      </c>
      <c r="AN94" s="297">
        <f t="shared" si="43"/>
        <v>0</v>
      </c>
      <c r="AO94" s="10"/>
      <c r="AP94" s="44">
        <f>AP87/AP78*100</f>
        <v>0.1664161477345931</v>
      </c>
      <c r="AR94" s="41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CB94" s="40"/>
      <c r="CC94" s="40"/>
      <c r="DF94" s="40"/>
      <c r="EN94" s="30"/>
      <c r="EO94" s="40"/>
      <c r="EP94" s="40"/>
      <c r="EQ94" s="40"/>
      <c r="ER94" s="40"/>
      <c r="GU94" s="40"/>
      <c r="KP94" s="40"/>
      <c r="KQ94" s="40"/>
      <c r="KR94" s="40"/>
      <c r="KS94" s="40"/>
      <c r="PW94" s="40"/>
      <c r="PX94" s="40"/>
      <c r="PZ94" s="40"/>
      <c r="QN94" s="39"/>
      <c r="QR94" s="40"/>
      <c r="SU94" s="39"/>
      <c r="AID94" s="5"/>
      <c r="AJS94" s="5"/>
      <c r="AJT94" s="5"/>
      <c r="AJU94" s="5"/>
    </row>
    <row r="95" spans="6:957" ht="15" hidden="1" customHeight="1" x14ac:dyDescent="0.3">
      <c r="F95" s="135"/>
      <c r="G95" s="136" t="s">
        <v>56</v>
      </c>
      <c r="H95" s="295">
        <v>0.3</v>
      </c>
      <c r="I95" s="214" t="s">
        <v>29</v>
      </c>
      <c r="J95" s="297" t="e">
        <f t="shared" si="43"/>
        <v>#DIV/0!</v>
      </c>
      <c r="K95" s="297" t="e">
        <f t="shared" si="43"/>
        <v>#DIV/0!</v>
      </c>
      <c r="L95" s="297">
        <f>L88/L79*100</f>
        <v>0.5501481168006771</v>
      </c>
      <c r="M95" s="297" t="e">
        <f t="shared" si="43"/>
        <v>#DIV/0!</v>
      </c>
      <c r="N95" s="297" t="e">
        <f t="shared" si="43"/>
        <v>#DIV/0!</v>
      </c>
      <c r="O95" s="312">
        <f t="shared" si="43"/>
        <v>0</v>
      </c>
      <c r="P95" s="297" t="e">
        <f t="shared" si="43"/>
        <v>#DIV/0!</v>
      </c>
      <c r="Q95" s="297" t="e">
        <f t="shared" si="43"/>
        <v>#DIV/0!</v>
      </c>
      <c r="R95" s="297" t="e">
        <f t="shared" si="43"/>
        <v>#DIV/0!</v>
      </c>
      <c r="S95" s="297">
        <f t="shared" si="43"/>
        <v>0.15015015015015015</v>
      </c>
      <c r="T95" s="297">
        <f t="shared" si="43"/>
        <v>0</v>
      </c>
      <c r="U95" s="297" t="e">
        <f t="shared" si="43"/>
        <v>#DIV/0!</v>
      </c>
      <c r="V95" s="297" t="e">
        <f t="shared" si="43"/>
        <v>#DIV/0!</v>
      </c>
      <c r="W95" s="297">
        <f t="shared" si="43"/>
        <v>0.25466893039049238</v>
      </c>
      <c r="X95" s="297">
        <f t="shared" si="43"/>
        <v>8.4961767204757857E-2</v>
      </c>
      <c r="Y95" s="297" t="e">
        <f t="shared" si="43"/>
        <v>#DIV/0!</v>
      </c>
      <c r="Z95" s="297">
        <f t="shared" si="43"/>
        <v>0</v>
      </c>
      <c r="AA95" s="297">
        <f t="shared" si="43"/>
        <v>0</v>
      </c>
      <c r="AB95" s="297">
        <f t="shared" si="43"/>
        <v>0</v>
      </c>
      <c r="AC95" s="297">
        <f t="shared" si="43"/>
        <v>0.16863406408094433</v>
      </c>
      <c r="AD95" s="297">
        <f t="shared" si="43"/>
        <v>0.21231422505307856</v>
      </c>
      <c r="AE95" s="297" t="e">
        <f t="shared" si="43"/>
        <v>#DIV/0!</v>
      </c>
      <c r="AF95" s="297" t="e">
        <f t="shared" si="43"/>
        <v>#DIV/0!</v>
      </c>
      <c r="AG95" s="297" t="e">
        <f t="shared" si="43"/>
        <v>#DIV/0!</v>
      </c>
      <c r="AH95" s="297" t="e">
        <f t="shared" si="43"/>
        <v>#DIV/0!</v>
      </c>
      <c r="AI95" s="297" t="e">
        <f t="shared" si="43"/>
        <v>#DIV/0!</v>
      </c>
      <c r="AJ95" s="297" t="e">
        <f t="shared" si="43"/>
        <v>#DIV/0!</v>
      </c>
      <c r="AK95" s="297" t="e">
        <f t="shared" si="43"/>
        <v>#DIV/0!</v>
      </c>
      <c r="AL95" s="297" t="e">
        <f t="shared" si="43"/>
        <v>#DIV/0!</v>
      </c>
      <c r="AM95" s="297" t="e">
        <f t="shared" si="43"/>
        <v>#DIV/0!</v>
      </c>
      <c r="AN95" s="297" t="e">
        <f t="shared" si="43"/>
        <v>#DIV/0!</v>
      </c>
      <c r="AO95" s="10"/>
      <c r="AP95" s="44">
        <f>AP88/AP79*100</f>
        <v>0.13584072674788811</v>
      </c>
      <c r="AR95" s="41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CB95" s="40"/>
      <c r="CC95" s="40"/>
      <c r="DF95" s="40"/>
      <c r="EN95" s="30"/>
      <c r="EO95" s="40"/>
      <c r="EP95" s="40"/>
      <c r="EQ95" s="40"/>
      <c r="ER95" s="40"/>
      <c r="GU95" s="40"/>
      <c r="KP95" s="40"/>
      <c r="KQ95" s="40"/>
      <c r="KR95" s="40"/>
      <c r="KS95" s="40"/>
      <c r="PW95" s="40"/>
      <c r="PX95" s="40"/>
      <c r="PZ95" s="40"/>
      <c r="QN95" s="39"/>
      <c r="QR95" s="40"/>
      <c r="SU95" s="39"/>
      <c r="AID95" s="5"/>
      <c r="AJS95" s="5"/>
      <c r="AJT95" s="5"/>
      <c r="AJU95" s="5"/>
    </row>
    <row r="96" spans="6:957" ht="15" hidden="1" customHeight="1" x14ac:dyDescent="0.3">
      <c r="F96" s="135"/>
      <c r="G96" s="244" t="s">
        <v>32</v>
      </c>
      <c r="H96" s="295"/>
      <c r="I96" s="135"/>
      <c r="J96" s="297"/>
      <c r="K96" s="297"/>
      <c r="L96" s="297"/>
      <c r="M96" s="297"/>
      <c r="N96" s="297"/>
      <c r="O96" s="312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  <c r="AC96" s="297"/>
      <c r="AD96" s="297"/>
      <c r="AE96" s="297"/>
      <c r="AF96" s="297"/>
      <c r="AG96" s="297"/>
      <c r="AH96" s="297"/>
      <c r="AI96" s="297"/>
      <c r="AJ96" s="297"/>
      <c r="AK96" s="297"/>
      <c r="AL96" s="297"/>
      <c r="AM96" s="297"/>
      <c r="AN96" s="297"/>
      <c r="AO96" s="10"/>
      <c r="AP96" s="45" t="s">
        <v>32</v>
      </c>
      <c r="AR96" s="41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CB96" s="40"/>
      <c r="CC96" s="40"/>
      <c r="DF96" s="40"/>
      <c r="EN96" s="30"/>
      <c r="EO96" s="40"/>
      <c r="EP96" s="40"/>
      <c r="EQ96" s="40"/>
      <c r="ER96" s="40"/>
      <c r="GU96" s="40"/>
      <c r="KP96" s="40"/>
      <c r="KQ96" s="40"/>
      <c r="KR96" s="40"/>
      <c r="KS96" s="40"/>
      <c r="PW96" s="40"/>
      <c r="PX96" s="40"/>
      <c r="PZ96" s="40"/>
      <c r="QN96" s="39"/>
      <c r="QR96" s="40"/>
      <c r="SU96" s="39"/>
      <c r="AID96" s="5"/>
      <c r="AJS96" s="5"/>
      <c r="AJT96" s="5"/>
      <c r="AJU96" s="5"/>
    </row>
    <row r="97" spans="6:957" ht="15" hidden="1" customHeight="1" x14ac:dyDescent="0.3">
      <c r="F97" s="135"/>
      <c r="G97" s="136" t="s">
        <v>57</v>
      </c>
      <c r="H97" s="295">
        <v>0.5</v>
      </c>
      <c r="I97" s="214" t="s">
        <v>29</v>
      </c>
      <c r="J97" s="297">
        <f t="shared" ref="J97:AN98" si="44">J90/J81*100</f>
        <v>0</v>
      </c>
      <c r="K97" s="297" t="e">
        <f t="shared" si="44"/>
        <v>#DIV/0!</v>
      </c>
      <c r="L97" s="297">
        <f t="shared" si="44"/>
        <v>0</v>
      </c>
      <c r="M97" s="297">
        <f t="shared" si="44"/>
        <v>0</v>
      </c>
      <c r="N97" s="297" t="e">
        <f t="shared" si="44"/>
        <v>#DIV/0!</v>
      </c>
      <c r="O97" s="312">
        <f t="shared" si="44"/>
        <v>0</v>
      </c>
      <c r="P97" s="297" t="e">
        <f t="shared" si="44"/>
        <v>#DIV/0!</v>
      </c>
      <c r="Q97" s="297" t="e">
        <f t="shared" si="44"/>
        <v>#DIV/0!</v>
      </c>
      <c r="R97" s="297" t="e">
        <f t="shared" si="44"/>
        <v>#DIV/0!</v>
      </c>
      <c r="S97" s="297">
        <f t="shared" si="44"/>
        <v>0.58985943775100402</v>
      </c>
      <c r="T97" s="297">
        <f t="shared" si="44"/>
        <v>0.68593111500291881</v>
      </c>
      <c r="U97" s="297" t="e">
        <f t="shared" si="44"/>
        <v>#DIV/0!</v>
      </c>
      <c r="V97" s="297" t="e">
        <f t="shared" si="44"/>
        <v>#DIV/0!</v>
      </c>
      <c r="W97" s="297">
        <f t="shared" si="44"/>
        <v>7.7552171460800901E-2</v>
      </c>
      <c r="X97" s="297">
        <f t="shared" si="44"/>
        <v>7.7947845804988661E-2</v>
      </c>
      <c r="Y97" s="297" t="e">
        <f t="shared" si="44"/>
        <v>#DIV/0!</v>
      </c>
      <c r="Z97" s="297">
        <f t="shared" si="44"/>
        <v>0</v>
      </c>
      <c r="AA97" s="297">
        <f t="shared" si="44"/>
        <v>0.1773049645390071</v>
      </c>
      <c r="AB97" s="297">
        <f t="shared" si="44"/>
        <v>0</v>
      </c>
      <c r="AC97" s="297">
        <f t="shared" si="44"/>
        <v>0</v>
      </c>
      <c r="AD97" s="297">
        <f t="shared" si="44"/>
        <v>0</v>
      </c>
      <c r="AE97" s="297" t="e">
        <f t="shared" si="44"/>
        <v>#DIV/0!</v>
      </c>
      <c r="AF97" s="297" t="e">
        <f t="shared" si="44"/>
        <v>#DIV/0!</v>
      </c>
      <c r="AG97" s="297" t="e">
        <f t="shared" si="44"/>
        <v>#DIV/0!</v>
      </c>
      <c r="AH97" s="297">
        <f t="shared" si="44"/>
        <v>0</v>
      </c>
      <c r="AI97" s="297">
        <f t="shared" si="44"/>
        <v>0</v>
      </c>
      <c r="AJ97" s="297">
        <f t="shared" si="44"/>
        <v>0</v>
      </c>
      <c r="AK97" s="297">
        <f t="shared" si="44"/>
        <v>0</v>
      </c>
      <c r="AL97" s="297">
        <f t="shared" si="44"/>
        <v>0</v>
      </c>
      <c r="AM97" s="297" t="e">
        <f t="shared" si="44"/>
        <v>#DIV/0!</v>
      </c>
      <c r="AN97" s="297">
        <f t="shared" si="44"/>
        <v>0</v>
      </c>
      <c r="AO97" s="10"/>
      <c r="AP97" s="44">
        <f>AP90/AP81*100</f>
        <v>6.3077088254240923E-2</v>
      </c>
      <c r="AR97" s="41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CB97" s="40"/>
      <c r="CC97" s="40"/>
      <c r="DF97" s="40"/>
      <c r="EN97" s="30"/>
      <c r="EO97" s="40"/>
      <c r="EP97" s="40"/>
      <c r="EQ97" s="40"/>
      <c r="ER97" s="40"/>
      <c r="GU97" s="40"/>
      <c r="KP97" s="40"/>
      <c r="KQ97" s="40"/>
      <c r="KR97" s="40"/>
      <c r="KS97" s="40"/>
      <c r="PW97" s="40"/>
      <c r="PX97" s="40"/>
      <c r="PZ97" s="40"/>
      <c r="QN97" s="39"/>
      <c r="QR97" s="40"/>
      <c r="SU97" s="39"/>
      <c r="AID97" s="5"/>
      <c r="AJS97" s="5"/>
      <c r="AJT97" s="5"/>
      <c r="AJU97" s="5"/>
    </row>
    <row r="98" spans="6:957" ht="15" hidden="1" customHeight="1" x14ac:dyDescent="0.3">
      <c r="F98" s="135"/>
      <c r="G98" s="136" t="s">
        <v>56</v>
      </c>
      <c r="H98" s="295">
        <v>0.5</v>
      </c>
      <c r="I98" s="214" t="s">
        <v>29</v>
      </c>
      <c r="J98" s="297" t="e">
        <f t="shared" si="44"/>
        <v>#DIV/0!</v>
      </c>
      <c r="K98" s="297" t="e">
        <f t="shared" si="44"/>
        <v>#DIV/0!</v>
      </c>
      <c r="L98" s="297" t="e">
        <f t="shared" si="44"/>
        <v>#DIV/0!</v>
      </c>
      <c r="M98" s="297" t="e">
        <f t="shared" si="44"/>
        <v>#DIV/0!</v>
      </c>
      <c r="N98" s="297" t="e">
        <f t="shared" si="44"/>
        <v>#DIV/0!</v>
      </c>
      <c r="O98" s="312">
        <f t="shared" si="44"/>
        <v>0</v>
      </c>
      <c r="P98" s="297" t="e">
        <f t="shared" si="44"/>
        <v>#DIV/0!</v>
      </c>
      <c r="Q98" s="297" t="e">
        <f t="shared" si="44"/>
        <v>#DIV/0!</v>
      </c>
      <c r="R98" s="297" t="e">
        <f t="shared" si="44"/>
        <v>#DIV/0!</v>
      </c>
      <c r="S98" s="297">
        <f t="shared" si="44"/>
        <v>3.7537537537537538E-2</v>
      </c>
      <c r="T98" s="297">
        <f t="shared" si="44"/>
        <v>3.2679738562091498E-2</v>
      </c>
      <c r="U98" s="297" t="e">
        <f t="shared" si="44"/>
        <v>#DIV/0!</v>
      </c>
      <c r="V98" s="297" t="e">
        <f t="shared" si="44"/>
        <v>#DIV/0!</v>
      </c>
      <c r="W98" s="297">
        <f t="shared" si="44"/>
        <v>1.4148273910582909E-2</v>
      </c>
      <c r="X98" s="297">
        <f t="shared" si="44"/>
        <v>0.52393089776267343</v>
      </c>
      <c r="Y98" s="297" t="e">
        <f t="shared" si="44"/>
        <v>#DIV/0!</v>
      </c>
      <c r="Z98" s="297">
        <f t="shared" si="44"/>
        <v>0</v>
      </c>
      <c r="AA98" s="297">
        <f t="shared" si="44"/>
        <v>0.54609929078014185</v>
      </c>
      <c r="AB98" s="297">
        <f t="shared" si="44"/>
        <v>0</v>
      </c>
      <c r="AC98" s="297">
        <f t="shared" si="44"/>
        <v>0</v>
      </c>
      <c r="AD98" s="297">
        <f t="shared" si="44"/>
        <v>0</v>
      </c>
      <c r="AE98" s="297" t="e">
        <f t="shared" si="44"/>
        <v>#DIV/0!</v>
      </c>
      <c r="AF98" s="297" t="e">
        <f t="shared" si="44"/>
        <v>#DIV/0!</v>
      </c>
      <c r="AG98" s="297" t="e">
        <f t="shared" si="44"/>
        <v>#DIV/0!</v>
      </c>
      <c r="AH98" s="297" t="e">
        <f t="shared" si="44"/>
        <v>#DIV/0!</v>
      </c>
      <c r="AI98" s="297" t="e">
        <f t="shared" si="44"/>
        <v>#DIV/0!</v>
      </c>
      <c r="AJ98" s="297" t="e">
        <f t="shared" si="44"/>
        <v>#DIV/0!</v>
      </c>
      <c r="AK98" s="297" t="e">
        <f t="shared" si="44"/>
        <v>#DIV/0!</v>
      </c>
      <c r="AL98" s="297" t="e">
        <f t="shared" si="44"/>
        <v>#DIV/0!</v>
      </c>
      <c r="AM98" s="297" t="e">
        <f t="shared" si="44"/>
        <v>#DIV/0!</v>
      </c>
      <c r="AN98" s="297" t="e">
        <f t="shared" si="44"/>
        <v>#DIV/0!</v>
      </c>
      <c r="AO98" s="10"/>
      <c r="AP98" s="44">
        <f>AP91/AP82*100</f>
        <v>0.1415007570290501</v>
      </c>
      <c r="AR98" s="41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CB98" s="40"/>
      <c r="CC98" s="40"/>
      <c r="DF98" s="40"/>
      <c r="EN98" s="30"/>
      <c r="EO98" s="40"/>
      <c r="EP98" s="40"/>
      <c r="EQ98" s="40"/>
      <c r="ER98" s="40"/>
      <c r="GU98" s="40"/>
      <c r="KP98" s="40"/>
      <c r="KQ98" s="40"/>
      <c r="KR98" s="40"/>
      <c r="KS98" s="40"/>
      <c r="PW98" s="40"/>
      <c r="PX98" s="40"/>
      <c r="PZ98" s="40"/>
      <c r="QN98" s="39"/>
      <c r="QR98" s="40"/>
      <c r="SU98" s="39"/>
      <c r="AID98" s="5"/>
      <c r="AJS98" s="5"/>
      <c r="AJT98" s="5"/>
      <c r="AJU98" s="5"/>
    </row>
    <row r="99" spans="6:957" hidden="1" x14ac:dyDescent="0.3">
      <c r="F99" s="179">
        <v>6</v>
      </c>
      <c r="G99" s="161" t="s">
        <v>55</v>
      </c>
      <c r="H99" s="180"/>
      <c r="I99" s="180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2"/>
      <c r="AH99" s="181"/>
      <c r="AI99" s="181"/>
      <c r="AJ99" s="181"/>
      <c r="AK99" s="181"/>
      <c r="AL99" s="181"/>
      <c r="AM99" s="181"/>
      <c r="AN99" s="181"/>
      <c r="AO99" s="31"/>
      <c r="AP99" s="46" t="s">
        <v>47</v>
      </c>
      <c r="AR99" s="8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CB99" s="5"/>
      <c r="CC99" s="5"/>
      <c r="DF99" s="5"/>
      <c r="EN99" s="30"/>
      <c r="EO99" s="5"/>
      <c r="EP99" s="5"/>
      <c r="EQ99" s="5"/>
      <c r="ER99" s="5"/>
      <c r="GU99" s="5"/>
      <c r="KP99" s="5"/>
      <c r="KQ99" s="5"/>
      <c r="KR99" s="5"/>
      <c r="KS99" s="5"/>
      <c r="PW99" s="5"/>
      <c r="PX99" s="5"/>
      <c r="PZ99" s="5"/>
      <c r="QN99" s="27"/>
      <c r="QR99" s="5"/>
      <c r="SU99" s="27"/>
      <c r="AID99" s="5"/>
      <c r="AJS99" s="5"/>
      <c r="AJT99" s="5"/>
      <c r="AJU99" s="5"/>
    </row>
    <row r="100" spans="6:957" hidden="1" x14ac:dyDescent="0.3">
      <c r="F100" s="137"/>
      <c r="G100" s="251" t="s">
        <v>54</v>
      </c>
      <c r="H100" s="252"/>
      <c r="I100" s="253" t="s">
        <v>16</v>
      </c>
      <c r="J100" s="254">
        <v>0</v>
      </c>
      <c r="K100" s="254">
        <v>0</v>
      </c>
      <c r="L100" s="254">
        <v>0</v>
      </c>
      <c r="M100" s="254">
        <v>0</v>
      </c>
      <c r="N100" s="254">
        <v>0</v>
      </c>
      <c r="O100" s="357">
        <v>0</v>
      </c>
      <c r="P100" s="254">
        <v>0</v>
      </c>
      <c r="Q100" s="254">
        <v>0</v>
      </c>
      <c r="R100" s="254">
        <v>0</v>
      </c>
      <c r="S100" s="254">
        <v>0</v>
      </c>
      <c r="T100" s="254">
        <v>0</v>
      </c>
      <c r="U100" s="254">
        <v>0</v>
      </c>
      <c r="V100" s="308"/>
      <c r="W100" s="254">
        <v>0</v>
      </c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308"/>
      <c r="AH100" s="308"/>
      <c r="AI100" s="254"/>
      <c r="AJ100" s="254"/>
      <c r="AK100" s="254"/>
      <c r="AL100" s="254"/>
      <c r="AM100" s="254"/>
      <c r="AN100" s="254"/>
      <c r="AO100" s="25"/>
      <c r="AP100" s="52">
        <f>SUM(AP101:AP102)</f>
        <v>0</v>
      </c>
      <c r="AR100" s="61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CB100" s="60"/>
      <c r="CC100" s="60"/>
      <c r="DF100" s="60"/>
      <c r="EN100" s="22"/>
      <c r="EO100" s="60"/>
      <c r="EP100" s="60"/>
      <c r="EQ100" s="60"/>
      <c r="ER100" s="60"/>
      <c r="GU100" s="60"/>
      <c r="KP100" s="60"/>
      <c r="KQ100" s="60"/>
      <c r="KR100" s="60"/>
      <c r="KS100" s="60"/>
      <c r="PW100" s="60"/>
      <c r="PX100" s="60"/>
      <c r="PZ100" s="60"/>
      <c r="QN100" s="59"/>
      <c r="QR100" s="60"/>
      <c r="SU100" s="59"/>
      <c r="AID100" s="20"/>
      <c r="AJS100" s="20"/>
      <c r="AJT100" s="20"/>
      <c r="AJU100" s="20"/>
    </row>
    <row r="101" spans="6:957" hidden="1" x14ac:dyDescent="0.3">
      <c r="F101" s="135"/>
      <c r="G101" s="244" t="s">
        <v>44</v>
      </c>
      <c r="H101" s="192"/>
      <c r="I101" s="214" t="s">
        <v>16</v>
      </c>
      <c r="J101" s="297">
        <f t="shared" ref="J101:AL101" si="45">SUM(J104:J105)*10.86</f>
        <v>0</v>
      </c>
      <c r="K101" s="297">
        <f t="shared" si="45"/>
        <v>0</v>
      </c>
      <c r="L101" s="297">
        <f t="shared" si="45"/>
        <v>0</v>
      </c>
      <c r="M101" s="297">
        <f t="shared" si="45"/>
        <v>0</v>
      </c>
      <c r="N101" s="297">
        <f t="shared" si="45"/>
        <v>0</v>
      </c>
      <c r="O101" s="312">
        <f t="shared" si="45"/>
        <v>0</v>
      </c>
      <c r="P101" s="297">
        <f t="shared" si="45"/>
        <v>0</v>
      </c>
      <c r="Q101" s="297">
        <f t="shared" si="45"/>
        <v>0</v>
      </c>
      <c r="R101" s="297">
        <f t="shared" si="45"/>
        <v>0</v>
      </c>
      <c r="S101" s="297">
        <f t="shared" si="45"/>
        <v>0</v>
      </c>
      <c r="T101" s="297">
        <f t="shared" si="45"/>
        <v>0</v>
      </c>
      <c r="U101" s="297">
        <f t="shared" si="45"/>
        <v>0</v>
      </c>
      <c r="V101" s="254">
        <v>0</v>
      </c>
      <c r="W101" s="254">
        <v>0</v>
      </c>
      <c r="X101" s="297">
        <f t="shared" si="45"/>
        <v>0</v>
      </c>
      <c r="Y101" s="297">
        <f t="shared" si="45"/>
        <v>0</v>
      </c>
      <c r="Z101" s="297">
        <f t="shared" si="45"/>
        <v>0</v>
      </c>
      <c r="AA101" s="297">
        <f t="shared" si="45"/>
        <v>0</v>
      </c>
      <c r="AB101" s="297">
        <f t="shared" si="45"/>
        <v>0</v>
      </c>
      <c r="AC101" s="297">
        <f t="shared" si="45"/>
        <v>0</v>
      </c>
      <c r="AD101" s="297">
        <f t="shared" ref="AD101" si="46">SUM(AD104:AD105)*10.86</f>
        <v>0</v>
      </c>
      <c r="AE101" s="297">
        <f t="shared" si="45"/>
        <v>0</v>
      </c>
      <c r="AF101" s="297">
        <f t="shared" si="45"/>
        <v>0</v>
      </c>
      <c r="AG101" s="297">
        <f t="shared" si="45"/>
        <v>0</v>
      </c>
      <c r="AH101" s="297">
        <f t="shared" si="45"/>
        <v>0</v>
      </c>
      <c r="AI101" s="297">
        <f t="shared" ref="AI101:AK101" si="47">SUM(AI104:AI105)*10.86</f>
        <v>0</v>
      </c>
      <c r="AJ101" s="297">
        <f t="shared" si="47"/>
        <v>0</v>
      </c>
      <c r="AK101" s="297">
        <f t="shared" si="47"/>
        <v>0</v>
      </c>
      <c r="AL101" s="297">
        <f t="shared" si="45"/>
        <v>0</v>
      </c>
      <c r="AM101" s="297">
        <f t="shared" ref="AM101:AN101" si="48">SUM(AM104:AM105)*10.86</f>
        <v>0</v>
      </c>
      <c r="AN101" s="297">
        <f t="shared" si="48"/>
        <v>0</v>
      </c>
      <c r="AO101" s="10"/>
      <c r="AP101" s="44">
        <f>SUM(J101:AN101)</f>
        <v>0</v>
      </c>
      <c r="AR101" s="41"/>
      <c r="BE101" s="58"/>
      <c r="BF101" s="57"/>
      <c r="BG101" s="57"/>
      <c r="BH101" s="57"/>
      <c r="BI101" s="57"/>
      <c r="BJ101" s="57"/>
      <c r="BK101" s="35"/>
      <c r="BL101" s="35"/>
      <c r="BM101" s="35"/>
      <c r="BN101" s="35"/>
      <c r="CB101" s="40"/>
      <c r="CC101" s="40"/>
      <c r="DF101" s="40"/>
      <c r="EN101" s="30"/>
      <c r="EO101" s="40"/>
      <c r="EP101" s="40"/>
      <c r="EQ101" s="40"/>
      <c r="ER101" s="40"/>
      <c r="GU101" s="40"/>
      <c r="KP101" s="40"/>
      <c r="KQ101" s="40"/>
      <c r="KR101" s="40"/>
      <c r="KS101" s="40"/>
      <c r="PW101" s="40"/>
      <c r="PX101" s="63"/>
      <c r="PZ101" s="40"/>
      <c r="QN101" s="39"/>
      <c r="QR101" s="40"/>
      <c r="SU101" s="39"/>
      <c r="AID101" s="5"/>
      <c r="AJS101" s="5"/>
      <c r="AJT101" s="5"/>
      <c r="AJU101" s="5"/>
    </row>
    <row r="102" spans="6:957" hidden="1" x14ac:dyDescent="0.3">
      <c r="F102" s="135"/>
      <c r="G102" s="244" t="s">
        <v>43</v>
      </c>
      <c r="H102" s="192"/>
      <c r="I102" s="214" t="s">
        <v>16</v>
      </c>
      <c r="J102" s="297">
        <f t="shared" ref="J102:AN102" si="49">J100-J101</f>
        <v>0</v>
      </c>
      <c r="K102" s="297">
        <f t="shared" si="49"/>
        <v>0</v>
      </c>
      <c r="L102" s="297">
        <f t="shared" si="49"/>
        <v>0</v>
      </c>
      <c r="M102" s="297">
        <f t="shared" si="49"/>
        <v>0</v>
      </c>
      <c r="N102" s="297">
        <f t="shared" si="49"/>
        <v>0</v>
      </c>
      <c r="O102" s="312">
        <f t="shared" si="49"/>
        <v>0</v>
      </c>
      <c r="P102" s="297">
        <f t="shared" si="49"/>
        <v>0</v>
      </c>
      <c r="Q102" s="297">
        <f t="shared" si="49"/>
        <v>0</v>
      </c>
      <c r="R102" s="297">
        <f t="shared" si="49"/>
        <v>0</v>
      </c>
      <c r="S102" s="297">
        <f t="shared" si="49"/>
        <v>0</v>
      </c>
      <c r="T102" s="297">
        <f t="shared" si="49"/>
        <v>0</v>
      </c>
      <c r="U102" s="297">
        <f t="shared" si="49"/>
        <v>0</v>
      </c>
      <c r="V102" s="297">
        <f t="shared" si="49"/>
        <v>0</v>
      </c>
      <c r="W102" s="297">
        <f t="shared" si="49"/>
        <v>0</v>
      </c>
      <c r="X102" s="297">
        <f t="shared" si="49"/>
        <v>0</v>
      </c>
      <c r="Y102" s="297">
        <f t="shared" si="49"/>
        <v>0</v>
      </c>
      <c r="Z102" s="297">
        <f t="shared" si="49"/>
        <v>0</v>
      </c>
      <c r="AA102" s="297">
        <f t="shared" si="49"/>
        <v>0</v>
      </c>
      <c r="AB102" s="297">
        <f t="shared" si="49"/>
        <v>0</v>
      </c>
      <c r="AC102" s="297">
        <f t="shared" si="49"/>
        <v>0</v>
      </c>
      <c r="AD102" s="297">
        <f t="shared" si="49"/>
        <v>0</v>
      </c>
      <c r="AE102" s="297">
        <f t="shared" si="49"/>
        <v>0</v>
      </c>
      <c r="AF102" s="297">
        <f t="shared" si="49"/>
        <v>0</v>
      </c>
      <c r="AG102" s="297">
        <f t="shared" si="49"/>
        <v>0</v>
      </c>
      <c r="AH102" s="297">
        <f t="shared" si="49"/>
        <v>0</v>
      </c>
      <c r="AI102" s="297">
        <f t="shared" si="49"/>
        <v>0</v>
      </c>
      <c r="AJ102" s="297">
        <f t="shared" si="49"/>
        <v>0</v>
      </c>
      <c r="AK102" s="297">
        <f t="shared" si="49"/>
        <v>0</v>
      </c>
      <c r="AL102" s="297">
        <f t="shared" si="49"/>
        <v>0</v>
      </c>
      <c r="AM102" s="297">
        <f t="shared" si="49"/>
        <v>0</v>
      </c>
      <c r="AN102" s="297">
        <f t="shared" si="49"/>
        <v>0</v>
      </c>
      <c r="AO102" s="10"/>
      <c r="AP102" s="44">
        <f>SUM(J102:AN102)</f>
        <v>0</v>
      </c>
      <c r="AR102" s="41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CB102" s="40"/>
      <c r="CC102" s="40"/>
      <c r="DF102" s="40"/>
      <c r="EN102" s="30"/>
      <c r="EO102" s="40"/>
      <c r="EP102" s="40"/>
      <c r="EQ102" s="40"/>
      <c r="ER102" s="40"/>
      <c r="GU102" s="40"/>
      <c r="KP102" s="40"/>
      <c r="KQ102" s="40"/>
      <c r="KR102" s="40"/>
      <c r="KS102" s="40"/>
      <c r="PW102" s="40"/>
      <c r="PX102" s="40"/>
      <c r="PZ102" s="40"/>
      <c r="QN102" s="39"/>
      <c r="QR102" s="40"/>
      <c r="SU102" s="39"/>
      <c r="AID102" s="5"/>
      <c r="AJS102" s="5"/>
      <c r="AJT102" s="5"/>
      <c r="AJU102" s="5"/>
    </row>
    <row r="103" spans="6:957" hidden="1" x14ac:dyDescent="0.3">
      <c r="F103" s="135"/>
      <c r="G103" s="244" t="s">
        <v>33</v>
      </c>
      <c r="H103" s="192"/>
      <c r="I103" s="135"/>
      <c r="J103" s="11"/>
      <c r="K103" s="11"/>
      <c r="L103" s="11"/>
      <c r="M103" s="11"/>
      <c r="N103" s="11"/>
      <c r="O103" s="259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/>
      <c r="AP103" s="45" t="s">
        <v>33</v>
      </c>
      <c r="AR103" s="41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CB103" s="40"/>
      <c r="CC103" s="40"/>
      <c r="DF103" s="40"/>
      <c r="EN103" s="30"/>
      <c r="EO103" s="40"/>
      <c r="EP103" s="40"/>
      <c r="EQ103" s="40"/>
      <c r="ER103" s="40"/>
      <c r="GU103" s="40"/>
      <c r="KP103" s="40"/>
      <c r="KQ103" s="40"/>
      <c r="KR103" s="40"/>
      <c r="KS103" s="40"/>
      <c r="PW103" s="40"/>
      <c r="PX103" s="40"/>
      <c r="PZ103" s="40"/>
      <c r="QN103" s="39"/>
      <c r="QR103" s="40"/>
      <c r="SU103" s="39"/>
      <c r="AID103" s="5"/>
      <c r="AJS103" s="5"/>
      <c r="AJT103" s="5"/>
      <c r="AJU103" s="5"/>
    </row>
    <row r="104" spans="6:957" hidden="1" x14ac:dyDescent="0.3">
      <c r="F104" s="167"/>
      <c r="G104" s="165" t="s">
        <v>53</v>
      </c>
      <c r="H104" s="166"/>
      <c r="I104" s="247" t="s">
        <v>36</v>
      </c>
      <c r="J104" s="248">
        <v>0</v>
      </c>
      <c r="K104" s="248">
        <v>0</v>
      </c>
      <c r="L104" s="248">
        <v>0</v>
      </c>
      <c r="M104" s="248">
        <v>0</v>
      </c>
      <c r="N104" s="248">
        <v>0</v>
      </c>
      <c r="O104" s="355">
        <v>0</v>
      </c>
      <c r="P104" s="248">
        <v>0</v>
      </c>
      <c r="Q104" s="248">
        <v>0</v>
      </c>
      <c r="R104" s="248">
        <v>0</v>
      </c>
      <c r="S104" s="248">
        <v>0</v>
      </c>
      <c r="T104" s="248">
        <v>0</v>
      </c>
      <c r="U104" s="248">
        <v>0</v>
      </c>
      <c r="V104" s="248"/>
      <c r="W104" s="248">
        <v>0</v>
      </c>
      <c r="X104" s="248"/>
      <c r="Y104" s="248"/>
      <c r="Z104" s="248">
        <v>0</v>
      </c>
      <c r="AA104" s="248">
        <v>0</v>
      </c>
      <c r="AB104" s="248">
        <v>0</v>
      </c>
      <c r="AC104" s="248">
        <v>0</v>
      </c>
      <c r="AD104" s="248">
        <v>0</v>
      </c>
      <c r="AE104" s="248">
        <v>0</v>
      </c>
      <c r="AF104" s="254"/>
      <c r="AG104" s="254">
        <v>0</v>
      </c>
      <c r="AH104" s="254"/>
      <c r="AI104" s="254"/>
      <c r="AJ104" s="254"/>
      <c r="AK104" s="254"/>
      <c r="AL104" s="248"/>
      <c r="AM104" s="248"/>
      <c r="AN104" s="248"/>
      <c r="AO104" s="51"/>
      <c r="AP104" s="50">
        <f>SUM(J104:AN104)</f>
        <v>0</v>
      </c>
      <c r="AR104" s="49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CB104" s="48"/>
      <c r="CC104" s="48"/>
      <c r="DF104" s="48"/>
      <c r="EN104" s="16"/>
      <c r="EO104" s="48"/>
      <c r="EP104" s="48"/>
      <c r="EQ104" s="48"/>
      <c r="ER104" s="48"/>
      <c r="GU104" s="48"/>
      <c r="KP104" s="48"/>
      <c r="KQ104" s="48"/>
      <c r="KR104" s="48"/>
      <c r="KS104" s="48"/>
      <c r="PW104" s="48"/>
      <c r="PX104" s="48"/>
      <c r="PZ104" s="48"/>
      <c r="QN104" s="47"/>
      <c r="QR104" s="48"/>
      <c r="SU104" s="47"/>
      <c r="AID104" s="14"/>
      <c r="AJS104" s="14"/>
      <c r="AJT104" s="14"/>
      <c r="AJU104" s="14"/>
    </row>
    <row r="105" spans="6:957" hidden="1" x14ac:dyDescent="0.3">
      <c r="F105" s="167"/>
      <c r="G105" s="165" t="s">
        <v>52</v>
      </c>
      <c r="H105" s="166"/>
      <c r="I105" s="247" t="s">
        <v>36</v>
      </c>
      <c r="J105" s="248">
        <v>0</v>
      </c>
      <c r="K105" s="248">
        <v>0</v>
      </c>
      <c r="L105" s="248">
        <v>0</v>
      </c>
      <c r="M105" s="248">
        <v>0</v>
      </c>
      <c r="N105" s="248">
        <v>0</v>
      </c>
      <c r="O105" s="355">
        <v>0</v>
      </c>
      <c r="P105" s="248">
        <v>0</v>
      </c>
      <c r="Q105" s="248">
        <v>0</v>
      </c>
      <c r="R105" s="248">
        <v>0</v>
      </c>
      <c r="S105" s="248">
        <v>0</v>
      </c>
      <c r="T105" s="248">
        <v>0</v>
      </c>
      <c r="U105" s="248">
        <v>0</v>
      </c>
      <c r="V105" s="248"/>
      <c r="W105" s="248">
        <v>0</v>
      </c>
      <c r="X105" s="248">
        <v>0</v>
      </c>
      <c r="Y105" s="248">
        <v>0</v>
      </c>
      <c r="Z105" s="248">
        <v>0</v>
      </c>
      <c r="AA105" s="248">
        <v>0</v>
      </c>
      <c r="AB105" s="248">
        <v>0</v>
      </c>
      <c r="AC105" s="248">
        <v>0</v>
      </c>
      <c r="AD105" s="248">
        <v>0</v>
      </c>
      <c r="AE105" s="248">
        <v>0</v>
      </c>
      <c r="AF105" s="254">
        <v>0</v>
      </c>
      <c r="AG105" s="248"/>
      <c r="AH105" s="248"/>
      <c r="AI105" s="254"/>
      <c r="AJ105" s="254"/>
      <c r="AK105" s="254"/>
      <c r="AL105" s="248"/>
      <c r="AM105" s="248"/>
      <c r="AN105" s="248"/>
      <c r="AO105" s="51"/>
      <c r="AP105" s="50">
        <f>SUM(J105:AN105)</f>
        <v>0</v>
      </c>
      <c r="AR105" s="49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CB105" s="48"/>
      <c r="CC105" s="48"/>
      <c r="DF105" s="48"/>
      <c r="EN105" s="16"/>
      <c r="EO105" s="48"/>
      <c r="EP105" s="48"/>
      <c r="EQ105" s="48"/>
      <c r="ER105" s="48"/>
      <c r="GU105" s="48"/>
      <c r="KP105" s="48"/>
      <c r="KQ105" s="48"/>
      <c r="KR105" s="48"/>
      <c r="KS105" s="48"/>
      <c r="PW105" s="48"/>
      <c r="PX105" s="48"/>
      <c r="PZ105" s="48"/>
      <c r="QN105" s="47"/>
      <c r="QR105" s="48"/>
      <c r="SU105" s="47"/>
      <c r="AID105" s="14"/>
      <c r="AJS105" s="14"/>
      <c r="AJT105" s="14"/>
      <c r="AJU105" s="14"/>
    </row>
    <row r="106" spans="6:957" hidden="1" x14ac:dyDescent="0.3">
      <c r="F106" s="135"/>
      <c r="G106" s="244" t="s">
        <v>32</v>
      </c>
      <c r="H106" s="192"/>
      <c r="I106" s="135"/>
      <c r="J106" s="11"/>
      <c r="K106" s="11"/>
      <c r="L106" s="11"/>
      <c r="M106" s="11"/>
      <c r="N106" s="11"/>
      <c r="O106" s="259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/>
      <c r="AP106" s="45" t="s">
        <v>32</v>
      </c>
      <c r="AR106" s="41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CB106" s="40"/>
      <c r="CC106" s="40"/>
      <c r="DF106" s="40"/>
      <c r="EN106" s="30"/>
      <c r="EO106" s="40"/>
      <c r="EP106" s="40"/>
      <c r="EQ106" s="40"/>
      <c r="ER106" s="40"/>
      <c r="GU106" s="40"/>
      <c r="KP106" s="40"/>
      <c r="KQ106" s="40"/>
      <c r="KR106" s="40"/>
      <c r="KS106" s="40"/>
      <c r="PW106" s="40"/>
      <c r="PX106" s="40"/>
      <c r="PZ106" s="40"/>
      <c r="QN106" s="39"/>
      <c r="QR106" s="40"/>
      <c r="SU106" s="39"/>
      <c r="AID106" s="5"/>
      <c r="AJS106" s="5"/>
      <c r="AJT106" s="5"/>
      <c r="AJU106" s="5"/>
    </row>
    <row r="107" spans="6:957" hidden="1" x14ac:dyDescent="0.3">
      <c r="F107" s="135"/>
      <c r="G107" s="165" t="s">
        <v>53</v>
      </c>
      <c r="H107" s="192"/>
      <c r="I107" s="214" t="s">
        <v>32</v>
      </c>
      <c r="J107" s="11">
        <f t="shared" ref="J107:AN107" si="50">J104*12</f>
        <v>0</v>
      </c>
      <c r="K107" s="11">
        <f t="shared" si="50"/>
        <v>0</v>
      </c>
      <c r="L107" s="11">
        <f t="shared" si="50"/>
        <v>0</v>
      </c>
      <c r="M107" s="11">
        <f t="shared" si="50"/>
        <v>0</v>
      </c>
      <c r="N107" s="11">
        <f t="shared" si="50"/>
        <v>0</v>
      </c>
      <c r="O107" s="259">
        <f t="shared" si="50"/>
        <v>0</v>
      </c>
      <c r="P107" s="11">
        <f t="shared" si="50"/>
        <v>0</v>
      </c>
      <c r="Q107" s="11">
        <f t="shared" si="50"/>
        <v>0</v>
      </c>
      <c r="R107" s="11">
        <f t="shared" si="50"/>
        <v>0</v>
      </c>
      <c r="S107" s="11">
        <f t="shared" si="50"/>
        <v>0</v>
      </c>
      <c r="T107" s="11">
        <f t="shared" si="50"/>
        <v>0</v>
      </c>
      <c r="U107" s="11">
        <f t="shared" si="50"/>
        <v>0</v>
      </c>
      <c r="V107" s="11">
        <f t="shared" si="50"/>
        <v>0</v>
      </c>
      <c r="W107" s="11">
        <f t="shared" si="50"/>
        <v>0</v>
      </c>
      <c r="X107" s="11">
        <f t="shared" si="50"/>
        <v>0</v>
      </c>
      <c r="Y107" s="11">
        <f t="shared" si="50"/>
        <v>0</v>
      </c>
      <c r="Z107" s="11">
        <f>Z104*12</f>
        <v>0</v>
      </c>
      <c r="AA107" s="11">
        <f t="shared" si="50"/>
        <v>0</v>
      </c>
      <c r="AB107" s="11">
        <f t="shared" si="50"/>
        <v>0</v>
      </c>
      <c r="AC107" s="11">
        <f t="shared" si="50"/>
        <v>0</v>
      </c>
      <c r="AD107" s="11">
        <f t="shared" si="50"/>
        <v>0</v>
      </c>
      <c r="AE107" s="11">
        <f t="shared" si="50"/>
        <v>0</v>
      </c>
      <c r="AF107" s="11">
        <f t="shared" si="50"/>
        <v>0</v>
      </c>
      <c r="AG107" s="11">
        <f t="shared" si="50"/>
        <v>0</v>
      </c>
      <c r="AH107" s="11">
        <f t="shared" si="50"/>
        <v>0</v>
      </c>
      <c r="AI107" s="11">
        <f t="shared" si="50"/>
        <v>0</v>
      </c>
      <c r="AJ107" s="11">
        <f t="shared" si="50"/>
        <v>0</v>
      </c>
      <c r="AK107" s="11">
        <f t="shared" si="50"/>
        <v>0</v>
      </c>
      <c r="AL107" s="11">
        <f t="shared" si="50"/>
        <v>0</v>
      </c>
      <c r="AM107" s="11">
        <f t="shared" si="50"/>
        <v>0</v>
      </c>
      <c r="AN107" s="11">
        <f t="shared" si="50"/>
        <v>0</v>
      </c>
      <c r="AO107" s="10"/>
      <c r="AP107" s="26">
        <f>AP104*12</f>
        <v>0</v>
      </c>
      <c r="AR107" s="41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CB107" s="40"/>
      <c r="CC107" s="40"/>
      <c r="DF107" s="40"/>
      <c r="EN107" s="30"/>
      <c r="EO107" s="40"/>
      <c r="EP107" s="40"/>
      <c r="EQ107" s="40"/>
      <c r="ER107" s="40"/>
      <c r="GU107" s="40"/>
      <c r="KP107" s="40"/>
      <c r="KQ107" s="40"/>
      <c r="KR107" s="40"/>
      <c r="KS107" s="40"/>
      <c r="PW107" s="40"/>
      <c r="PX107" s="40"/>
      <c r="PZ107" s="40"/>
      <c r="QN107" s="39"/>
      <c r="QR107" s="40"/>
      <c r="SU107" s="39"/>
      <c r="AID107" s="5"/>
      <c r="AJS107" s="5"/>
      <c r="AJT107" s="5"/>
      <c r="AJU107" s="5"/>
    </row>
    <row r="108" spans="6:957" hidden="1" x14ac:dyDescent="0.3">
      <c r="F108" s="135"/>
      <c r="G108" s="165" t="s">
        <v>52</v>
      </c>
      <c r="H108" s="192"/>
      <c r="I108" s="214" t="s">
        <v>32</v>
      </c>
      <c r="J108" s="11">
        <f t="shared" ref="J108:AN108" si="51">J105*6</f>
        <v>0</v>
      </c>
      <c r="K108" s="11">
        <f t="shared" si="51"/>
        <v>0</v>
      </c>
      <c r="L108" s="11">
        <f t="shared" si="51"/>
        <v>0</v>
      </c>
      <c r="M108" s="11">
        <f t="shared" si="51"/>
        <v>0</v>
      </c>
      <c r="N108" s="11">
        <f t="shared" si="51"/>
        <v>0</v>
      </c>
      <c r="O108" s="259">
        <f t="shared" si="51"/>
        <v>0</v>
      </c>
      <c r="P108" s="11">
        <f t="shared" si="51"/>
        <v>0</v>
      </c>
      <c r="Q108" s="11">
        <f t="shared" si="51"/>
        <v>0</v>
      </c>
      <c r="R108" s="11">
        <f t="shared" si="51"/>
        <v>0</v>
      </c>
      <c r="S108" s="11">
        <f t="shared" si="51"/>
        <v>0</v>
      </c>
      <c r="T108" s="11">
        <f t="shared" si="51"/>
        <v>0</v>
      </c>
      <c r="U108" s="11">
        <f t="shared" si="51"/>
        <v>0</v>
      </c>
      <c r="V108" s="11">
        <f t="shared" si="51"/>
        <v>0</v>
      </c>
      <c r="W108" s="11">
        <f t="shared" si="51"/>
        <v>0</v>
      </c>
      <c r="X108" s="11">
        <f t="shared" si="51"/>
        <v>0</v>
      </c>
      <c r="Y108" s="11">
        <f t="shared" si="51"/>
        <v>0</v>
      </c>
      <c r="Z108" s="11">
        <f t="shared" si="51"/>
        <v>0</v>
      </c>
      <c r="AA108" s="11">
        <f t="shared" si="51"/>
        <v>0</v>
      </c>
      <c r="AB108" s="11">
        <f t="shared" si="51"/>
        <v>0</v>
      </c>
      <c r="AC108" s="11">
        <f t="shared" si="51"/>
        <v>0</v>
      </c>
      <c r="AD108" s="11">
        <f t="shared" si="51"/>
        <v>0</v>
      </c>
      <c r="AE108" s="11">
        <f t="shared" si="51"/>
        <v>0</v>
      </c>
      <c r="AF108" s="11">
        <f t="shared" si="51"/>
        <v>0</v>
      </c>
      <c r="AG108" s="11">
        <f t="shared" si="51"/>
        <v>0</v>
      </c>
      <c r="AH108" s="11">
        <f t="shared" si="51"/>
        <v>0</v>
      </c>
      <c r="AI108" s="11">
        <f t="shared" si="51"/>
        <v>0</v>
      </c>
      <c r="AJ108" s="11">
        <f t="shared" si="51"/>
        <v>0</v>
      </c>
      <c r="AK108" s="11">
        <f t="shared" si="51"/>
        <v>0</v>
      </c>
      <c r="AL108" s="11">
        <f t="shared" si="51"/>
        <v>0</v>
      </c>
      <c r="AM108" s="11">
        <f t="shared" si="51"/>
        <v>0</v>
      </c>
      <c r="AN108" s="11">
        <f t="shared" si="51"/>
        <v>0</v>
      </c>
      <c r="AO108" s="10"/>
      <c r="AP108" s="26">
        <f>AP105*6</f>
        <v>0</v>
      </c>
      <c r="AR108" s="41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CB108" s="40"/>
      <c r="CC108" s="40"/>
      <c r="DF108" s="40"/>
      <c r="EN108" s="30"/>
      <c r="EO108" s="40"/>
      <c r="EP108" s="40"/>
      <c r="EQ108" s="40"/>
      <c r="ER108" s="40"/>
      <c r="GU108" s="40"/>
      <c r="KP108" s="40"/>
      <c r="KQ108" s="40"/>
      <c r="KR108" s="40"/>
      <c r="KS108" s="40"/>
      <c r="PW108" s="40"/>
      <c r="PX108" s="40"/>
      <c r="PZ108" s="40"/>
      <c r="QN108" s="39"/>
      <c r="QR108" s="40"/>
      <c r="SU108" s="39"/>
      <c r="AID108" s="5"/>
      <c r="AJS108" s="5"/>
      <c r="AJT108" s="5"/>
      <c r="AJU108" s="5"/>
    </row>
    <row r="109" spans="6:957" hidden="1" x14ac:dyDescent="0.3">
      <c r="F109" s="135"/>
      <c r="G109" s="244" t="s">
        <v>41</v>
      </c>
      <c r="H109" s="192"/>
      <c r="I109" s="214" t="s">
        <v>40</v>
      </c>
      <c r="J109" s="11">
        <v>0</v>
      </c>
      <c r="K109" s="11">
        <f>(K100*45)/1700</f>
        <v>0</v>
      </c>
      <c r="L109" s="11">
        <f t="shared" ref="L109:AC109" si="52">(L100*45)/1700</f>
        <v>0</v>
      </c>
      <c r="M109" s="11">
        <f t="shared" si="52"/>
        <v>0</v>
      </c>
      <c r="N109" s="11">
        <f t="shared" si="52"/>
        <v>0</v>
      </c>
      <c r="O109" s="259">
        <f t="shared" si="52"/>
        <v>0</v>
      </c>
      <c r="P109" s="11">
        <f t="shared" si="52"/>
        <v>0</v>
      </c>
      <c r="Q109" s="11">
        <f t="shared" si="52"/>
        <v>0</v>
      </c>
      <c r="R109" s="11">
        <f t="shared" si="52"/>
        <v>0</v>
      </c>
      <c r="S109" s="11">
        <f t="shared" si="52"/>
        <v>0</v>
      </c>
      <c r="T109" s="11">
        <f t="shared" si="52"/>
        <v>0</v>
      </c>
      <c r="U109" s="11">
        <f t="shared" si="52"/>
        <v>0</v>
      </c>
      <c r="V109" s="11">
        <f t="shared" si="52"/>
        <v>0</v>
      </c>
      <c r="W109" s="11">
        <f t="shared" si="52"/>
        <v>0</v>
      </c>
      <c r="X109" s="11">
        <f t="shared" si="52"/>
        <v>0</v>
      </c>
      <c r="Y109" s="11">
        <f t="shared" si="52"/>
        <v>0</v>
      </c>
      <c r="Z109" s="11">
        <f t="shared" si="52"/>
        <v>0</v>
      </c>
      <c r="AA109" s="11">
        <f t="shared" si="52"/>
        <v>0</v>
      </c>
      <c r="AB109" s="11">
        <f t="shared" si="52"/>
        <v>0</v>
      </c>
      <c r="AC109" s="11">
        <f t="shared" si="52"/>
        <v>0</v>
      </c>
      <c r="AD109" s="11">
        <f t="shared" ref="AD109:AN109" si="53">AD100*45/1700</f>
        <v>0</v>
      </c>
      <c r="AE109" s="11">
        <f t="shared" si="53"/>
        <v>0</v>
      </c>
      <c r="AF109" s="11">
        <f t="shared" si="53"/>
        <v>0</v>
      </c>
      <c r="AG109" s="255">
        <f t="shared" si="53"/>
        <v>0</v>
      </c>
      <c r="AH109" s="11">
        <f t="shared" si="53"/>
        <v>0</v>
      </c>
      <c r="AI109" s="11">
        <f t="shared" si="53"/>
        <v>0</v>
      </c>
      <c r="AJ109" s="11">
        <f t="shared" si="53"/>
        <v>0</v>
      </c>
      <c r="AK109" s="11">
        <f t="shared" si="53"/>
        <v>0</v>
      </c>
      <c r="AL109" s="11">
        <f t="shared" si="53"/>
        <v>0</v>
      </c>
      <c r="AM109" s="11">
        <f t="shared" si="53"/>
        <v>0</v>
      </c>
      <c r="AN109" s="11">
        <f t="shared" si="53"/>
        <v>0</v>
      </c>
      <c r="AO109" s="10"/>
      <c r="AP109" s="62">
        <f>SUM(J109:AN109)</f>
        <v>0</v>
      </c>
      <c r="AR109" s="41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CB109" s="40"/>
      <c r="CC109" s="40"/>
      <c r="DF109" s="40"/>
      <c r="EN109" s="30"/>
      <c r="EO109" s="40"/>
      <c r="EP109" s="40"/>
      <c r="EQ109" s="40"/>
      <c r="ER109" s="40"/>
      <c r="GU109" s="40"/>
      <c r="KP109" s="40"/>
      <c r="KQ109" s="40"/>
      <c r="KR109" s="40"/>
      <c r="KS109" s="40"/>
      <c r="PW109" s="40"/>
      <c r="PX109" s="40"/>
      <c r="PZ109" s="40"/>
      <c r="QN109" s="39"/>
      <c r="QR109" s="40"/>
      <c r="SU109" s="39"/>
      <c r="AID109" s="5"/>
      <c r="AJS109" s="5"/>
      <c r="AJT109" s="5"/>
      <c r="AJU109" s="5"/>
    </row>
    <row r="110" spans="6:957" hidden="1" x14ac:dyDescent="0.3">
      <c r="F110" s="135"/>
      <c r="G110" s="244" t="s">
        <v>39</v>
      </c>
      <c r="H110" s="192"/>
      <c r="I110" s="214" t="s">
        <v>38</v>
      </c>
      <c r="J110" s="11">
        <f t="shared" ref="J110:AL110" si="54">SUM(J104:J105)/500</f>
        <v>0</v>
      </c>
      <c r="K110" s="11">
        <f t="shared" si="54"/>
        <v>0</v>
      </c>
      <c r="L110" s="11">
        <f t="shared" si="54"/>
        <v>0</v>
      </c>
      <c r="M110" s="11">
        <f t="shared" si="54"/>
        <v>0</v>
      </c>
      <c r="N110" s="11">
        <f t="shared" si="54"/>
        <v>0</v>
      </c>
      <c r="O110" s="259">
        <f t="shared" si="54"/>
        <v>0</v>
      </c>
      <c r="P110" s="11">
        <f t="shared" si="54"/>
        <v>0</v>
      </c>
      <c r="Q110" s="11">
        <f t="shared" si="54"/>
        <v>0</v>
      </c>
      <c r="R110" s="11">
        <f t="shared" si="54"/>
        <v>0</v>
      </c>
      <c r="S110" s="11">
        <f t="shared" si="54"/>
        <v>0</v>
      </c>
      <c r="T110" s="11">
        <f t="shared" si="54"/>
        <v>0</v>
      </c>
      <c r="U110" s="11">
        <f t="shared" si="54"/>
        <v>0</v>
      </c>
      <c r="V110" s="11">
        <f t="shared" si="54"/>
        <v>0</v>
      </c>
      <c r="W110" s="11">
        <f t="shared" si="54"/>
        <v>0</v>
      </c>
      <c r="X110" s="11">
        <f t="shared" si="54"/>
        <v>0</v>
      </c>
      <c r="Y110" s="11">
        <f t="shared" si="54"/>
        <v>0</v>
      </c>
      <c r="Z110" s="11">
        <f t="shared" si="54"/>
        <v>0</v>
      </c>
      <c r="AA110" s="11">
        <f t="shared" si="54"/>
        <v>0</v>
      </c>
      <c r="AB110" s="11">
        <f t="shared" si="54"/>
        <v>0</v>
      </c>
      <c r="AC110" s="11">
        <f t="shared" si="54"/>
        <v>0</v>
      </c>
      <c r="AD110" s="11">
        <f t="shared" ref="AD110" si="55">SUM(AD104:AD105)/500</f>
        <v>0</v>
      </c>
      <c r="AE110" s="11">
        <f t="shared" si="54"/>
        <v>0</v>
      </c>
      <c r="AF110" s="11">
        <f t="shared" si="54"/>
        <v>0</v>
      </c>
      <c r="AG110" s="297">
        <f t="shared" si="54"/>
        <v>0</v>
      </c>
      <c r="AH110" s="11">
        <f t="shared" si="54"/>
        <v>0</v>
      </c>
      <c r="AI110" s="11">
        <f t="shared" ref="AI110:AK110" si="56">SUM(AI104:AI105)/500</f>
        <v>0</v>
      </c>
      <c r="AJ110" s="11">
        <f t="shared" si="56"/>
        <v>0</v>
      </c>
      <c r="AK110" s="11">
        <f t="shared" si="56"/>
        <v>0</v>
      </c>
      <c r="AL110" s="11">
        <f t="shared" si="54"/>
        <v>0</v>
      </c>
      <c r="AM110" s="11">
        <f t="shared" ref="AM110:AN110" si="57">SUM(AM104:AM105)/500</f>
        <v>0</v>
      </c>
      <c r="AN110" s="256">
        <f t="shared" si="57"/>
        <v>0</v>
      </c>
      <c r="AO110" s="10"/>
      <c r="AP110" s="62">
        <f>SUM(J110:AN110)</f>
        <v>0</v>
      </c>
      <c r="AR110" s="41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CB110" s="40"/>
      <c r="CC110" s="40"/>
      <c r="DF110" s="40"/>
      <c r="EN110" s="30"/>
      <c r="EO110" s="40"/>
      <c r="EP110" s="40"/>
      <c r="EQ110" s="40"/>
      <c r="ER110" s="40"/>
      <c r="GU110" s="40"/>
      <c r="KP110" s="40"/>
      <c r="KQ110" s="40"/>
      <c r="KR110" s="40"/>
      <c r="KS110" s="40"/>
      <c r="PW110" s="40"/>
      <c r="PX110" s="40"/>
      <c r="PZ110" s="40"/>
      <c r="QN110" s="39"/>
      <c r="QR110" s="40"/>
      <c r="SU110" s="39"/>
      <c r="AID110" s="5"/>
      <c r="AJS110" s="5"/>
      <c r="AJT110" s="5"/>
      <c r="AJU110" s="5"/>
    </row>
    <row r="111" spans="6:957" hidden="1" x14ac:dyDescent="0.3">
      <c r="F111" s="137"/>
      <c r="G111" s="161" t="s">
        <v>37</v>
      </c>
      <c r="H111" s="180"/>
      <c r="I111" s="180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2"/>
      <c r="AH111" s="181"/>
      <c r="AI111" s="181"/>
      <c r="AJ111" s="181"/>
      <c r="AK111" s="181"/>
      <c r="AL111" s="181"/>
      <c r="AM111" s="181"/>
      <c r="AN111" s="181"/>
      <c r="AO111" s="31"/>
      <c r="AP111" s="46" t="s">
        <v>34</v>
      </c>
      <c r="AR111" s="8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CB111" s="5"/>
      <c r="CC111" s="5"/>
      <c r="DF111" s="5"/>
      <c r="EN111" s="30"/>
      <c r="EO111" s="5"/>
      <c r="EP111" s="5"/>
      <c r="EQ111" s="5"/>
      <c r="ER111" s="5"/>
      <c r="GU111" s="5"/>
      <c r="KP111" s="5"/>
      <c r="KQ111" s="5"/>
      <c r="KR111" s="5"/>
      <c r="KS111" s="5"/>
      <c r="PW111" s="5"/>
      <c r="PX111" s="5"/>
      <c r="PZ111" s="5"/>
      <c r="QN111" s="27"/>
      <c r="QR111" s="5"/>
      <c r="SU111" s="27"/>
      <c r="AID111" s="5"/>
      <c r="AJS111" s="5"/>
      <c r="AJT111" s="5"/>
      <c r="AJU111" s="5"/>
    </row>
    <row r="112" spans="6:957" hidden="1" x14ac:dyDescent="0.3">
      <c r="F112" s="135"/>
      <c r="G112" s="244" t="s">
        <v>33</v>
      </c>
      <c r="H112" s="192"/>
      <c r="I112" s="135"/>
      <c r="J112" s="11"/>
      <c r="K112" s="11"/>
      <c r="L112" s="11"/>
      <c r="M112" s="11"/>
      <c r="N112" s="11"/>
      <c r="O112" s="259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/>
      <c r="AP112" s="45" t="s">
        <v>33</v>
      </c>
      <c r="AR112" s="41"/>
      <c r="CB112" s="40"/>
      <c r="CC112" s="40"/>
      <c r="DF112" s="40"/>
      <c r="EN112" s="30"/>
      <c r="EO112" s="40"/>
      <c r="EP112" s="40"/>
      <c r="EQ112" s="40"/>
      <c r="ER112" s="40"/>
      <c r="GU112" s="40"/>
      <c r="KP112" s="40"/>
      <c r="KQ112" s="40"/>
      <c r="KR112" s="40"/>
      <c r="KS112" s="40"/>
      <c r="PW112" s="40"/>
      <c r="PX112" s="40"/>
      <c r="PZ112" s="40"/>
      <c r="QN112" s="39"/>
      <c r="QR112" s="40"/>
      <c r="SU112" s="39"/>
      <c r="AID112" s="5"/>
      <c r="AJS112" s="5"/>
      <c r="AJT112" s="5"/>
      <c r="AJU112" s="5"/>
    </row>
    <row r="113" spans="6:957" hidden="1" x14ac:dyDescent="0.3">
      <c r="F113" s="135"/>
      <c r="G113" s="165" t="s">
        <v>53</v>
      </c>
      <c r="H113" s="192"/>
      <c r="I113" s="214" t="s">
        <v>36</v>
      </c>
      <c r="J113" s="248">
        <v>0</v>
      </c>
      <c r="K113" s="248">
        <v>0</v>
      </c>
      <c r="L113" s="248">
        <v>0</v>
      </c>
      <c r="M113" s="248">
        <v>0</v>
      </c>
      <c r="N113" s="248">
        <v>0</v>
      </c>
      <c r="O113" s="355">
        <v>0</v>
      </c>
      <c r="P113" s="248">
        <v>0</v>
      </c>
      <c r="Q113" s="248">
        <v>0</v>
      </c>
      <c r="R113" s="248">
        <v>0</v>
      </c>
      <c r="S113" s="248">
        <v>0</v>
      </c>
      <c r="T113" s="248">
        <v>0</v>
      </c>
      <c r="U113" s="248">
        <v>0</v>
      </c>
      <c r="V113" s="248">
        <v>0</v>
      </c>
      <c r="W113" s="248">
        <v>0</v>
      </c>
      <c r="X113" s="248">
        <v>0</v>
      </c>
      <c r="Y113" s="248">
        <v>0</v>
      </c>
      <c r="Z113" s="248">
        <v>0</v>
      </c>
      <c r="AA113" s="248">
        <v>0</v>
      </c>
      <c r="AB113" s="248">
        <v>0</v>
      </c>
      <c r="AC113" s="248">
        <v>0</v>
      </c>
      <c r="AD113" s="248">
        <v>0</v>
      </c>
      <c r="AE113" s="248">
        <v>0</v>
      </c>
      <c r="AF113" s="248">
        <v>0</v>
      </c>
      <c r="AG113" s="248">
        <v>0</v>
      </c>
      <c r="AH113" s="248">
        <v>0</v>
      </c>
      <c r="AI113" s="248">
        <v>0</v>
      </c>
      <c r="AJ113" s="248">
        <v>0</v>
      </c>
      <c r="AK113" s="248">
        <v>0</v>
      </c>
      <c r="AL113" s="248">
        <v>0</v>
      </c>
      <c r="AM113" s="248">
        <v>0</v>
      </c>
      <c r="AN113" s="248">
        <v>0</v>
      </c>
      <c r="AO113" s="10"/>
      <c r="AP113" s="26">
        <f>SUM(J113:AN113)</f>
        <v>0</v>
      </c>
      <c r="AR113" s="41"/>
      <c r="CB113" s="40"/>
      <c r="CC113" s="40"/>
      <c r="DF113" s="40"/>
      <c r="EN113" s="30"/>
      <c r="EO113" s="40"/>
      <c r="EP113" s="40"/>
      <c r="EQ113" s="40"/>
      <c r="ER113" s="40"/>
      <c r="GU113" s="40"/>
      <c r="KP113" s="40"/>
      <c r="KQ113" s="40"/>
      <c r="KR113" s="40"/>
      <c r="KS113" s="40"/>
      <c r="PW113" s="40"/>
      <c r="PX113" s="40"/>
      <c r="PZ113" s="40"/>
      <c r="QN113" s="39"/>
      <c r="QR113" s="40"/>
      <c r="SU113" s="39"/>
      <c r="AID113" s="5"/>
      <c r="AJS113" s="5"/>
      <c r="AJT113" s="5"/>
      <c r="AJU113" s="5"/>
    </row>
    <row r="114" spans="6:957" hidden="1" x14ac:dyDescent="0.3">
      <c r="F114" s="135"/>
      <c r="G114" s="165" t="s">
        <v>52</v>
      </c>
      <c r="H114" s="192"/>
      <c r="I114" s="214" t="s">
        <v>36</v>
      </c>
      <c r="J114" s="248">
        <v>0</v>
      </c>
      <c r="K114" s="248">
        <v>0</v>
      </c>
      <c r="L114" s="248">
        <v>0</v>
      </c>
      <c r="M114" s="248">
        <v>0</v>
      </c>
      <c r="N114" s="248">
        <v>0</v>
      </c>
      <c r="O114" s="355">
        <v>0</v>
      </c>
      <c r="P114" s="248">
        <v>0</v>
      </c>
      <c r="Q114" s="248">
        <v>0</v>
      </c>
      <c r="R114" s="248">
        <v>0</v>
      </c>
      <c r="S114" s="248">
        <v>0</v>
      </c>
      <c r="T114" s="248">
        <v>0</v>
      </c>
      <c r="U114" s="248">
        <v>0</v>
      </c>
      <c r="V114" s="248">
        <v>0</v>
      </c>
      <c r="W114" s="248">
        <v>0</v>
      </c>
      <c r="X114" s="248">
        <v>0</v>
      </c>
      <c r="Y114" s="248">
        <v>0</v>
      </c>
      <c r="Z114" s="248">
        <v>0</v>
      </c>
      <c r="AA114" s="248">
        <v>0</v>
      </c>
      <c r="AB114" s="248">
        <v>0</v>
      </c>
      <c r="AC114" s="248">
        <v>0</v>
      </c>
      <c r="AD114" s="248">
        <v>0</v>
      </c>
      <c r="AE114" s="248">
        <v>0</v>
      </c>
      <c r="AF114" s="248">
        <v>0</v>
      </c>
      <c r="AG114" s="248">
        <v>0</v>
      </c>
      <c r="AH114" s="248">
        <v>0</v>
      </c>
      <c r="AI114" s="248">
        <v>0</v>
      </c>
      <c r="AJ114" s="248">
        <v>0</v>
      </c>
      <c r="AK114" s="248">
        <v>0</v>
      </c>
      <c r="AL114" s="248">
        <v>0</v>
      </c>
      <c r="AM114" s="248">
        <v>0</v>
      </c>
      <c r="AN114" s="248">
        <v>0</v>
      </c>
      <c r="AO114" s="10"/>
      <c r="AP114" s="26">
        <f>SUM(J114:AN114)</f>
        <v>0</v>
      </c>
      <c r="AR114" s="41"/>
      <c r="CB114" s="40"/>
      <c r="CC114" s="40"/>
      <c r="DF114" s="40"/>
      <c r="EN114" s="30"/>
      <c r="EO114" s="40"/>
      <c r="EP114" s="40"/>
      <c r="EQ114" s="40"/>
      <c r="ER114" s="40"/>
      <c r="GU114" s="40"/>
      <c r="KP114" s="40"/>
      <c r="KQ114" s="40"/>
      <c r="KR114" s="40"/>
      <c r="KS114" s="40"/>
      <c r="PW114" s="40"/>
      <c r="PX114" s="40"/>
      <c r="PZ114" s="40"/>
      <c r="QN114" s="39"/>
      <c r="QR114" s="40"/>
      <c r="SU114" s="39"/>
      <c r="AID114" s="5"/>
      <c r="AJS114" s="5"/>
      <c r="AJT114" s="5"/>
      <c r="AJU114" s="5"/>
    </row>
    <row r="115" spans="6:957" hidden="1" x14ac:dyDescent="0.3">
      <c r="F115" s="135"/>
      <c r="G115" s="244" t="s">
        <v>32</v>
      </c>
      <c r="H115" s="192"/>
      <c r="I115" s="135"/>
      <c r="J115" s="248"/>
      <c r="K115" s="248"/>
      <c r="L115" s="248"/>
      <c r="M115" s="248"/>
      <c r="N115" s="248"/>
      <c r="O115" s="355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  <c r="AA115" s="248"/>
      <c r="AB115" s="248"/>
      <c r="AC115" s="248"/>
      <c r="AD115" s="248"/>
      <c r="AE115" s="248"/>
      <c r="AF115" s="248"/>
      <c r="AG115" s="248"/>
      <c r="AH115" s="248"/>
      <c r="AI115" s="248"/>
      <c r="AJ115" s="248"/>
      <c r="AK115" s="248"/>
      <c r="AL115" s="248"/>
      <c r="AM115" s="248"/>
      <c r="AN115" s="248"/>
      <c r="AO115" s="10"/>
      <c r="AP115" s="45" t="s">
        <v>32</v>
      </c>
      <c r="AR115" s="41"/>
      <c r="CB115" s="40"/>
      <c r="CC115" s="40"/>
      <c r="DF115" s="40"/>
      <c r="EN115" s="30"/>
      <c r="EO115" s="40"/>
      <c r="EP115" s="40"/>
      <c r="EQ115" s="40"/>
      <c r="ER115" s="40"/>
      <c r="GU115" s="40"/>
      <c r="KP115" s="40"/>
      <c r="KQ115" s="40"/>
      <c r="KR115" s="40"/>
      <c r="KS115" s="40"/>
      <c r="PW115" s="40"/>
      <c r="PX115" s="40"/>
      <c r="PZ115" s="40"/>
      <c r="QN115" s="39"/>
      <c r="QR115" s="40"/>
      <c r="SU115" s="39"/>
      <c r="AID115" s="5"/>
      <c r="AJS115" s="5"/>
      <c r="AJT115" s="5"/>
      <c r="AJU115" s="5"/>
    </row>
    <row r="116" spans="6:957" hidden="1" x14ac:dyDescent="0.3">
      <c r="F116" s="135"/>
      <c r="G116" s="165" t="s">
        <v>53</v>
      </c>
      <c r="H116" s="192"/>
      <c r="I116" s="214" t="s">
        <v>32</v>
      </c>
      <c r="J116" s="248">
        <v>0</v>
      </c>
      <c r="K116" s="248">
        <v>0</v>
      </c>
      <c r="L116" s="248">
        <v>0</v>
      </c>
      <c r="M116" s="248">
        <v>0</v>
      </c>
      <c r="N116" s="248">
        <v>0</v>
      </c>
      <c r="O116" s="355">
        <v>0</v>
      </c>
      <c r="P116" s="248">
        <v>0</v>
      </c>
      <c r="Q116" s="248">
        <v>0</v>
      </c>
      <c r="R116" s="248">
        <v>0</v>
      </c>
      <c r="S116" s="248">
        <v>0</v>
      </c>
      <c r="T116" s="248">
        <v>0</v>
      </c>
      <c r="U116" s="248">
        <v>0</v>
      </c>
      <c r="V116" s="248">
        <v>0</v>
      </c>
      <c r="W116" s="248">
        <v>0</v>
      </c>
      <c r="X116" s="248">
        <v>0</v>
      </c>
      <c r="Y116" s="248">
        <v>0</v>
      </c>
      <c r="Z116" s="248">
        <v>0</v>
      </c>
      <c r="AA116" s="248">
        <v>0</v>
      </c>
      <c r="AB116" s="248">
        <v>0</v>
      </c>
      <c r="AC116" s="248">
        <v>0</v>
      </c>
      <c r="AD116" s="248">
        <v>0</v>
      </c>
      <c r="AE116" s="248">
        <v>0</v>
      </c>
      <c r="AF116" s="248">
        <v>0</v>
      </c>
      <c r="AG116" s="248">
        <v>0</v>
      </c>
      <c r="AH116" s="248">
        <v>0</v>
      </c>
      <c r="AI116" s="248">
        <v>0</v>
      </c>
      <c r="AJ116" s="248">
        <v>0</v>
      </c>
      <c r="AK116" s="248">
        <v>0</v>
      </c>
      <c r="AL116" s="248">
        <v>0</v>
      </c>
      <c r="AM116" s="248">
        <v>0</v>
      </c>
      <c r="AN116" s="248">
        <v>0</v>
      </c>
      <c r="AO116" s="10"/>
      <c r="AP116" s="26">
        <f>SUM(J116:AN116)</f>
        <v>0</v>
      </c>
      <c r="AR116" s="41"/>
      <c r="CB116" s="40"/>
      <c r="CC116" s="40"/>
      <c r="DF116" s="40"/>
      <c r="EN116" s="30"/>
      <c r="EO116" s="40"/>
      <c r="EP116" s="40"/>
      <c r="EQ116" s="40"/>
      <c r="ER116" s="40"/>
      <c r="GU116" s="40"/>
      <c r="KP116" s="40"/>
      <c r="KQ116" s="40"/>
      <c r="KR116" s="40"/>
      <c r="KS116" s="40"/>
      <c r="PW116" s="40"/>
      <c r="PX116" s="40"/>
      <c r="PZ116" s="40"/>
      <c r="QN116" s="39"/>
      <c r="QR116" s="40"/>
      <c r="SU116" s="39"/>
      <c r="AID116" s="5"/>
      <c r="AJS116" s="5"/>
      <c r="AJT116" s="5"/>
      <c r="AJU116" s="5"/>
    </row>
    <row r="117" spans="6:957" hidden="1" x14ac:dyDescent="0.3">
      <c r="F117" s="135"/>
      <c r="G117" s="165" t="s">
        <v>52</v>
      </c>
      <c r="H117" s="192"/>
      <c r="I117" s="214" t="s">
        <v>32</v>
      </c>
      <c r="J117" s="248">
        <v>0</v>
      </c>
      <c r="K117" s="248">
        <v>0</v>
      </c>
      <c r="L117" s="248">
        <v>0</v>
      </c>
      <c r="M117" s="248">
        <v>0</v>
      </c>
      <c r="N117" s="248">
        <v>0</v>
      </c>
      <c r="O117" s="355">
        <v>0</v>
      </c>
      <c r="P117" s="248">
        <v>0</v>
      </c>
      <c r="Q117" s="248">
        <v>0</v>
      </c>
      <c r="R117" s="248">
        <v>0</v>
      </c>
      <c r="S117" s="248">
        <v>0</v>
      </c>
      <c r="T117" s="248">
        <v>0</v>
      </c>
      <c r="U117" s="248">
        <v>0</v>
      </c>
      <c r="V117" s="248">
        <v>0</v>
      </c>
      <c r="W117" s="248">
        <v>0</v>
      </c>
      <c r="X117" s="248">
        <v>0</v>
      </c>
      <c r="Y117" s="248">
        <v>0</v>
      </c>
      <c r="Z117" s="248">
        <v>0</v>
      </c>
      <c r="AA117" s="248">
        <v>0</v>
      </c>
      <c r="AB117" s="248">
        <v>0</v>
      </c>
      <c r="AC117" s="248">
        <v>0</v>
      </c>
      <c r="AD117" s="248">
        <v>0</v>
      </c>
      <c r="AE117" s="248">
        <v>0</v>
      </c>
      <c r="AF117" s="248">
        <v>0</v>
      </c>
      <c r="AG117" s="248">
        <v>0</v>
      </c>
      <c r="AH117" s="248">
        <v>0</v>
      </c>
      <c r="AI117" s="248">
        <v>0</v>
      </c>
      <c r="AJ117" s="248">
        <v>0</v>
      </c>
      <c r="AK117" s="248">
        <v>0</v>
      </c>
      <c r="AL117" s="248">
        <v>0</v>
      </c>
      <c r="AM117" s="248">
        <v>0</v>
      </c>
      <c r="AN117" s="248">
        <v>0</v>
      </c>
      <c r="AO117" s="10"/>
      <c r="AP117" s="26">
        <f>SUM(J117:AN117)</f>
        <v>0</v>
      </c>
      <c r="AR117" s="41"/>
      <c r="CB117" s="40"/>
      <c r="CC117" s="40"/>
      <c r="DF117" s="40"/>
      <c r="EN117" s="30"/>
      <c r="EO117" s="40"/>
      <c r="EP117" s="40"/>
      <c r="EQ117" s="40"/>
      <c r="ER117" s="40"/>
      <c r="GU117" s="40"/>
      <c r="KP117" s="40"/>
      <c r="KQ117" s="40"/>
      <c r="KR117" s="40"/>
      <c r="KS117" s="40"/>
      <c r="PW117" s="40"/>
      <c r="PX117" s="40"/>
      <c r="PZ117" s="40"/>
      <c r="QN117" s="39"/>
      <c r="QR117" s="40"/>
      <c r="SU117" s="39"/>
      <c r="AID117" s="5"/>
      <c r="AJS117" s="5"/>
      <c r="AJT117" s="5"/>
      <c r="AJU117" s="5"/>
    </row>
    <row r="118" spans="6:957" ht="15" hidden="1" customHeight="1" x14ac:dyDescent="0.3">
      <c r="F118" s="137"/>
      <c r="G118" s="161" t="s">
        <v>35</v>
      </c>
      <c r="H118" s="180"/>
      <c r="I118" s="180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2"/>
      <c r="AH118" s="181"/>
      <c r="AI118" s="181"/>
      <c r="AJ118" s="181"/>
      <c r="AK118" s="181"/>
      <c r="AL118" s="181"/>
      <c r="AM118" s="181"/>
      <c r="AN118" s="181"/>
      <c r="AO118" s="31"/>
      <c r="AP118" s="46" t="s">
        <v>34</v>
      </c>
      <c r="AR118" s="8"/>
      <c r="CB118" s="5"/>
      <c r="CC118" s="5"/>
      <c r="DF118" s="5"/>
      <c r="EN118" s="30"/>
      <c r="EO118" s="5"/>
      <c r="EP118" s="5"/>
      <c r="EQ118" s="5"/>
      <c r="ER118" s="5"/>
      <c r="GU118" s="5"/>
      <c r="KP118" s="5"/>
      <c r="KQ118" s="5"/>
      <c r="KR118" s="5"/>
      <c r="KS118" s="5"/>
      <c r="PW118" s="5"/>
      <c r="PX118" s="5"/>
      <c r="PZ118" s="5"/>
      <c r="QN118" s="27"/>
      <c r="QR118" s="5"/>
      <c r="SU118" s="27"/>
      <c r="AID118" s="5"/>
      <c r="AJS118" s="5"/>
      <c r="AJT118" s="5"/>
      <c r="AJU118" s="5"/>
    </row>
    <row r="119" spans="6:957" ht="15" hidden="1" customHeight="1" x14ac:dyDescent="0.3">
      <c r="F119" s="135"/>
      <c r="G119" s="244" t="s">
        <v>33</v>
      </c>
      <c r="H119" s="192"/>
      <c r="I119" s="135"/>
      <c r="J119" s="11"/>
      <c r="K119" s="11"/>
      <c r="L119" s="11"/>
      <c r="M119" s="11"/>
      <c r="N119" s="11"/>
      <c r="O119" s="259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/>
      <c r="AP119" s="45" t="s">
        <v>33</v>
      </c>
      <c r="AR119" s="41"/>
      <c r="CB119" s="40"/>
      <c r="CC119" s="40"/>
      <c r="DF119" s="40"/>
      <c r="EN119" s="30"/>
      <c r="EO119" s="40"/>
      <c r="EP119" s="40"/>
      <c r="EQ119" s="40"/>
      <c r="ER119" s="40"/>
      <c r="GU119" s="40"/>
      <c r="KP119" s="40"/>
      <c r="KQ119" s="40"/>
      <c r="KR119" s="40"/>
      <c r="KS119" s="40"/>
      <c r="PW119" s="40"/>
      <c r="PX119" s="40"/>
      <c r="PZ119" s="40"/>
      <c r="QN119" s="39"/>
      <c r="QR119" s="40"/>
      <c r="SU119" s="39"/>
      <c r="AID119" s="5"/>
      <c r="AJS119" s="5"/>
      <c r="AJT119" s="5"/>
      <c r="AJU119" s="5"/>
    </row>
    <row r="120" spans="6:957" ht="15" hidden="1" customHeight="1" x14ac:dyDescent="0.3">
      <c r="F120" s="135"/>
      <c r="G120" s="165" t="s">
        <v>53</v>
      </c>
      <c r="H120" s="295">
        <v>0.3</v>
      </c>
      <c r="I120" s="214" t="s">
        <v>29</v>
      </c>
      <c r="J120" s="297" t="e">
        <f t="shared" ref="J120:AN121" si="58">J113/J104*100</f>
        <v>#DIV/0!</v>
      </c>
      <c r="K120" s="297" t="e">
        <f t="shared" si="58"/>
        <v>#DIV/0!</v>
      </c>
      <c r="L120" s="297" t="e">
        <f t="shared" si="58"/>
        <v>#DIV/0!</v>
      </c>
      <c r="M120" s="297" t="e">
        <f t="shared" si="58"/>
        <v>#DIV/0!</v>
      </c>
      <c r="N120" s="297" t="e">
        <f t="shared" si="58"/>
        <v>#DIV/0!</v>
      </c>
      <c r="O120" s="312" t="e">
        <f t="shared" si="58"/>
        <v>#DIV/0!</v>
      </c>
      <c r="P120" s="297" t="e">
        <f t="shared" si="58"/>
        <v>#DIV/0!</v>
      </c>
      <c r="Q120" s="297" t="e">
        <f t="shared" si="58"/>
        <v>#DIV/0!</v>
      </c>
      <c r="R120" s="297" t="e">
        <f t="shared" si="58"/>
        <v>#DIV/0!</v>
      </c>
      <c r="S120" s="297" t="e">
        <f t="shared" si="58"/>
        <v>#DIV/0!</v>
      </c>
      <c r="T120" s="297" t="e">
        <f t="shared" si="58"/>
        <v>#DIV/0!</v>
      </c>
      <c r="U120" s="297" t="e">
        <f t="shared" si="58"/>
        <v>#DIV/0!</v>
      </c>
      <c r="V120" s="297" t="e">
        <f t="shared" si="58"/>
        <v>#DIV/0!</v>
      </c>
      <c r="W120" s="297" t="e">
        <f t="shared" si="58"/>
        <v>#DIV/0!</v>
      </c>
      <c r="X120" s="297" t="e">
        <f t="shared" si="58"/>
        <v>#DIV/0!</v>
      </c>
      <c r="Y120" s="297" t="e">
        <f t="shared" si="58"/>
        <v>#DIV/0!</v>
      </c>
      <c r="Z120" s="297" t="e">
        <f t="shared" si="58"/>
        <v>#DIV/0!</v>
      </c>
      <c r="AA120" s="297" t="e">
        <f t="shared" si="58"/>
        <v>#DIV/0!</v>
      </c>
      <c r="AB120" s="297" t="e">
        <f t="shared" si="58"/>
        <v>#DIV/0!</v>
      </c>
      <c r="AC120" s="297" t="e">
        <f t="shared" si="58"/>
        <v>#DIV/0!</v>
      </c>
      <c r="AD120" s="297" t="e">
        <f t="shared" si="58"/>
        <v>#DIV/0!</v>
      </c>
      <c r="AE120" s="297" t="e">
        <f t="shared" si="58"/>
        <v>#DIV/0!</v>
      </c>
      <c r="AF120" s="297" t="e">
        <f t="shared" si="58"/>
        <v>#DIV/0!</v>
      </c>
      <c r="AG120" s="297" t="e">
        <f t="shared" si="58"/>
        <v>#DIV/0!</v>
      </c>
      <c r="AH120" s="297" t="e">
        <f t="shared" si="58"/>
        <v>#DIV/0!</v>
      </c>
      <c r="AI120" s="297" t="e">
        <f t="shared" si="58"/>
        <v>#DIV/0!</v>
      </c>
      <c r="AJ120" s="297" t="e">
        <f t="shared" si="58"/>
        <v>#DIV/0!</v>
      </c>
      <c r="AK120" s="297" t="e">
        <f t="shared" si="58"/>
        <v>#DIV/0!</v>
      </c>
      <c r="AL120" s="297" t="e">
        <f t="shared" si="58"/>
        <v>#DIV/0!</v>
      </c>
      <c r="AM120" s="297" t="e">
        <f t="shared" si="58"/>
        <v>#DIV/0!</v>
      </c>
      <c r="AN120" s="297" t="e">
        <f t="shared" si="58"/>
        <v>#DIV/0!</v>
      </c>
      <c r="AO120" s="10"/>
      <c r="AP120" s="44" t="e">
        <f>AP113/AP104*100</f>
        <v>#DIV/0!</v>
      </c>
      <c r="AR120" s="41"/>
      <c r="CB120" s="40"/>
      <c r="CC120" s="40"/>
      <c r="DF120" s="40"/>
      <c r="EN120" s="30"/>
      <c r="EO120" s="40"/>
      <c r="EP120" s="40"/>
      <c r="EQ120" s="40"/>
      <c r="ER120" s="40"/>
      <c r="GU120" s="40"/>
      <c r="KP120" s="40"/>
      <c r="KQ120" s="40"/>
      <c r="KR120" s="40"/>
      <c r="KS120" s="40"/>
      <c r="PW120" s="40"/>
      <c r="PX120" s="40"/>
      <c r="PZ120" s="40"/>
      <c r="QN120" s="39"/>
      <c r="QR120" s="40"/>
      <c r="SU120" s="39"/>
      <c r="AID120" s="5"/>
      <c r="AJS120" s="5"/>
      <c r="AJT120" s="5"/>
      <c r="AJU120" s="5"/>
    </row>
    <row r="121" spans="6:957" ht="15" hidden="1" customHeight="1" x14ac:dyDescent="0.3">
      <c r="F121" s="135"/>
      <c r="G121" s="165" t="s">
        <v>52</v>
      </c>
      <c r="H121" s="295">
        <v>0.3</v>
      </c>
      <c r="I121" s="214" t="s">
        <v>29</v>
      </c>
      <c r="J121" s="297" t="e">
        <f t="shared" si="58"/>
        <v>#DIV/0!</v>
      </c>
      <c r="K121" s="297" t="e">
        <f t="shared" si="58"/>
        <v>#DIV/0!</v>
      </c>
      <c r="L121" s="297" t="e">
        <f t="shared" si="58"/>
        <v>#DIV/0!</v>
      </c>
      <c r="M121" s="297" t="e">
        <f t="shared" si="58"/>
        <v>#DIV/0!</v>
      </c>
      <c r="N121" s="297" t="e">
        <f t="shared" si="58"/>
        <v>#DIV/0!</v>
      </c>
      <c r="O121" s="312" t="e">
        <f t="shared" si="58"/>
        <v>#DIV/0!</v>
      </c>
      <c r="P121" s="297" t="e">
        <f t="shared" si="58"/>
        <v>#DIV/0!</v>
      </c>
      <c r="Q121" s="297" t="e">
        <f t="shared" si="58"/>
        <v>#DIV/0!</v>
      </c>
      <c r="R121" s="297" t="e">
        <f t="shared" si="58"/>
        <v>#DIV/0!</v>
      </c>
      <c r="S121" s="297" t="e">
        <f t="shared" si="58"/>
        <v>#DIV/0!</v>
      </c>
      <c r="T121" s="297" t="e">
        <f t="shared" si="58"/>
        <v>#DIV/0!</v>
      </c>
      <c r="U121" s="297" t="e">
        <f t="shared" si="58"/>
        <v>#DIV/0!</v>
      </c>
      <c r="V121" s="297" t="e">
        <f t="shared" si="58"/>
        <v>#DIV/0!</v>
      </c>
      <c r="W121" s="297" t="e">
        <f t="shared" si="58"/>
        <v>#DIV/0!</v>
      </c>
      <c r="X121" s="297" t="e">
        <f t="shared" si="58"/>
        <v>#DIV/0!</v>
      </c>
      <c r="Y121" s="297" t="e">
        <f t="shared" si="58"/>
        <v>#DIV/0!</v>
      </c>
      <c r="Z121" s="297" t="e">
        <f t="shared" si="58"/>
        <v>#DIV/0!</v>
      </c>
      <c r="AA121" s="297" t="e">
        <f t="shared" si="58"/>
        <v>#DIV/0!</v>
      </c>
      <c r="AB121" s="297" t="e">
        <f t="shared" si="58"/>
        <v>#DIV/0!</v>
      </c>
      <c r="AC121" s="297" t="e">
        <f t="shared" si="58"/>
        <v>#DIV/0!</v>
      </c>
      <c r="AD121" s="297" t="e">
        <f t="shared" si="58"/>
        <v>#DIV/0!</v>
      </c>
      <c r="AE121" s="297" t="e">
        <f t="shared" si="58"/>
        <v>#DIV/0!</v>
      </c>
      <c r="AF121" s="297" t="e">
        <f t="shared" si="58"/>
        <v>#DIV/0!</v>
      </c>
      <c r="AG121" s="297" t="e">
        <f t="shared" si="58"/>
        <v>#DIV/0!</v>
      </c>
      <c r="AH121" s="297" t="e">
        <f t="shared" si="58"/>
        <v>#DIV/0!</v>
      </c>
      <c r="AI121" s="297" t="e">
        <f t="shared" si="58"/>
        <v>#DIV/0!</v>
      </c>
      <c r="AJ121" s="297" t="e">
        <f t="shared" si="58"/>
        <v>#DIV/0!</v>
      </c>
      <c r="AK121" s="297" t="e">
        <f t="shared" si="58"/>
        <v>#DIV/0!</v>
      </c>
      <c r="AL121" s="297" t="e">
        <f t="shared" si="58"/>
        <v>#DIV/0!</v>
      </c>
      <c r="AM121" s="297" t="e">
        <f t="shared" si="58"/>
        <v>#DIV/0!</v>
      </c>
      <c r="AN121" s="297" t="e">
        <f t="shared" si="58"/>
        <v>#DIV/0!</v>
      </c>
      <c r="AO121" s="10"/>
      <c r="AP121" s="44" t="e">
        <f>AP114/AP105*100</f>
        <v>#DIV/0!</v>
      </c>
      <c r="AR121" s="41"/>
      <c r="CB121" s="40"/>
      <c r="CC121" s="40"/>
      <c r="DF121" s="40"/>
      <c r="EN121" s="30"/>
      <c r="EO121" s="40"/>
      <c r="EP121" s="40"/>
      <c r="EQ121" s="40"/>
      <c r="ER121" s="40"/>
      <c r="GU121" s="40"/>
      <c r="KP121" s="40"/>
      <c r="KQ121" s="40"/>
      <c r="KR121" s="40"/>
      <c r="KS121" s="40"/>
      <c r="PW121" s="40"/>
      <c r="PX121" s="40"/>
      <c r="PZ121" s="40"/>
      <c r="QN121" s="39"/>
      <c r="QR121" s="40"/>
      <c r="SU121" s="39"/>
      <c r="AID121" s="5"/>
      <c r="AJS121" s="5"/>
      <c r="AJT121" s="5"/>
      <c r="AJU121" s="5"/>
    </row>
    <row r="122" spans="6:957" ht="15" hidden="1" customHeight="1" x14ac:dyDescent="0.3">
      <c r="F122" s="135"/>
      <c r="G122" s="244" t="s">
        <v>32</v>
      </c>
      <c r="H122" s="295"/>
      <c r="I122" s="135"/>
      <c r="J122" s="297"/>
      <c r="K122" s="297"/>
      <c r="L122" s="297"/>
      <c r="M122" s="297"/>
      <c r="N122" s="297"/>
      <c r="O122" s="312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  <c r="AC122" s="297"/>
      <c r="AD122" s="297"/>
      <c r="AE122" s="297"/>
      <c r="AF122" s="297"/>
      <c r="AG122" s="297"/>
      <c r="AH122" s="297"/>
      <c r="AI122" s="297"/>
      <c r="AJ122" s="297"/>
      <c r="AK122" s="297"/>
      <c r="AL122" s="297"/>
      <c r="AM122" s="297"/>
      <c r="AN122" s="297"/>
      <c r="AO122" s="10"/>
      <c r="AP122" s="45" t="s">
        <v>32</v>
      </c>
      <c r="AR122" s="41"/>
      <c r="CB122" s="40"/>
      <c r="CC122" s="40"/>
      <c r="DF122" s="40"/>
      <c r="EN122" s="30"/>
      <c r="EO122" s="40"/>
      <c r="EP122" s="40"/>
      <c r="EQ122" s="40"/>
      <c r="ER122" s="40"/>
      <c r="GU122" s="40"/>
      <c r="KP122" s="40"/>
      <c r="KQ122" s="40"/>
      <c r="KR122" s="40"/>
      <c r="KS122" s="40"/>
      <c r="PW122" s="40"/>
      <c r="PX122" s="40"/>
      <c r="PZ122" s="40"/>
      <c r="QN122" s="39"/>
      <c r="QR122" s="40"/>
      <c r="SU122" s="39"/>
      <c r="AID122" s="5"/>
      <c r="AJS122" s="5"/>
      <c r="AJT122" s="5"/>
      <c r="AJU122" s="5"/>
    </row>
    <row r="123" spans="6:957" ht="15" hidden="1" customHeight="1" x14ac:dyDescent="0.3">
      <c r="F123" s="135"/>
      <c r="G123" s="165" t="s">
        <v>53</v>
      </c>
      <c r="H123" s="295">
        <v>0.5</v>
      </c>
      <c r="I123" s="214" t="s">
        <v>29</v>
      </c>
      <c r="J123" s="297" t="e">
        <f t="shared" ref="J123:AN124" si="59">J116/J107*100</f>
        <v>#DIV/0!</v>
      </c>
      <c r="K123" s="297" t="e">
        <f t="shared" si="59"/>
        <v>#DIV/0!</v>
      </c>
      <c r="L123" s="297" t="e">
        <f t="shared" si="59"/>
        <v>#DIV/0!</v>
      </c>
      <c r="M123" s="297" t="e">
        <f t="shared" si="59"/>
        <v>#DIV/0!</v>
      </c>
      <c r="N123" s="297" t="e">
        <f t="shared" si="59"/>
        <v>#DIV/0!</v>
      </c>
      <c r="O123" s="312" t="e">
        <f t="shared" si="59"/>
        <v>#DIV/0!</v>
      </c>
      <c r="P123" s="297" t="e">
        <f t="shared" si="59"/>
        <v>#DIV/0!</v>
      </c>
      <c r="Q123" s="297" t="e">
        <f t="shared" si="59"/>
        <v>#DIV/0!</v>
      </c>
      <c r="R123" s="297" t="e">
        <f t="shared" si="59"/>
        <v>#DIV/0!</v>
      </c>
      <c r="S123" s="297" t="e">
        <f t="shared" si="59"/>
        <v>#DIV/0!</v>
      </c>
      <c r="T123" s="297" t="e">
        <f t="shared" si="59"/>
        <v>#DIV/0!</v>
      </c>
      <c r="U123" s="297" t="e">
        <f t="shared" si="59"/>
        <v>#DIV/0!</v>
      </c>
      <c r="V123" s="297" t="e">
        <f t="shared" si="59"/>
        <v>#DIV/0!</v>
      </c>
      <c r="W123" s="297" t="e">
        <f t="shared" si="59"/>
        <v>#DIV/0!</v>
      </c>
      <c r="X123" s="297" t="e">
        <f t="shared" si="59"/>
        <v>#DIV/0!</v>
      </c>
      <c r="Y123" s="297" t="e">
        <f t="shared" si="59"/>
        <v>#DIV/0!</v>
      </c>
      <c r="Z123" s="297" t="e">
        <f t="shared" si="59"/>
        <v>#DIV/0!</v>
      </c>
      <c r="AA123" s="297" t="e">
        <f t="shared" si="59"/>
        <v>#DIV/0!</v>
      </c>
      <c r="AB123" s="297" t="e">
        <f t="shared" si="59"/>
        <v>#DIV/0!</v>
      </c>
      <c r="AC123" s="297" t="e">
        <f t="shared" si="59"/>
        <v>#DIV/0!</v>
      </c>
      <c r="AD123" s="297" t="e">
        <f t="shared" si="59"/>
        <v>#DIV/0!</v>
      </c>
      <c r="AE123" s="297" t="e">
        <f t="shared" si="59"/>
        <v>#DIV/0!</v>
      </c>
      <c r="AF123" s="297" t="e">
        <f t="shared" si="59"/>
        <v>#DIV/0!</v>
      </c>
      <c r="AG123" s="297" t="e">
        <f t="shared" si="59"/>
        <v>#DIV/0!</v>
      </c>
      <c r="AH123" s="297" t="e">
        <f t="shared" si="59"/>
        <v>#DIV/0!</v>
      </c>
      <c r="AI123" s="297" t="e">
        <f t="shared" si="59"/>
        <v>#DIV/0!</v>
      </c>
      <c r="AJ123" s="297" t="e">
        <f t="shared" si="59"/>
        <v>#DIV/0!</v>
      </c>
      <c r="AK123" s="297" t="e">
        <f t="shared" si="59"/>
        <v>#DIV/0!</v>
      </c>
      <c r="AL123" s="297" t="e">
        <f t="shared" si="59"/>
        <v>#DIV/0!</v>
      </c>
      <c r="AM123" s="297" t="e">
        <f t="shared" si="59"/>
        <v>#DIV/0!</v>
      </c>
      <c r="AN123" s="297" t="e">
        <f t="shared" si="59"/>
        <v>#DIV/0!</v>
      </c>
      <c r="AO123" s="10"/>
      <c r="AP123" s="44" t="e">
        <f>AP116/AP107*100</f>
        <v>#DIV/0!</v>
      </c>
      <c r="AR123" s="41"/>
      <c r="CB123" s="40"/>
      <c r="CC123" s="40"/>
      <c r="DF123" s="40"/>
      <c r="EN123" s="30"/>
      <c r="EO123" s="40"/>
      <c r="EP123" s="40"/>
      <c r="EQ123" s="40"/>
      <c r="ER123" s="40"/>
      <c r="GU123" s="40"/>
      <c r="KP123" s="40"/>
      <c r="KQ123" s="40"/>
      <c r="KR123" s="40"/>
      <c r="KS123" s="40"/>
      <c r="PW123" s="40"/>
      <c r="PX123" s="40"/>
      <c r="PZ123" s="40"/>
      <c r="QN123" s="39"/>
      <c r="QR123" s="40"/>
      <c r="SU123" s="39"/>
      <c r="AID123" s="5"/>
      <c r="AJS123" s="5"/>
      <c r="AJT123" s="5"/>
      <c r="AJU123" s="5"/>
    </row>
    <row r="124" spans="6:957" ht="15" hidden="1" customHeight="1" x14ac:dyDescent="0.3">
      <c r="F124" s="135"/>
      <c r="G124" s="165" t="s">
        <v>52</v>
      </c>
      <c r="H124" s="295">
        <v>0.5</v>
      </c>
      <c r="I124" s="214" t="s">
        <v>29</v>
      </c>
      <c r="J124" s="297" t="e">
        <f t="shared" si="59"/>
        <v>#DIV/0!</v>
      </c>
      <c r="K124" s="297" t="e">
        <f t="shared" si="59"/>
        <v>#DIV/0!</v>
      </c>
      <c r="L124" s="297" t="e">
        <f t="shared" si="59"/>
        <v>#DIV/0!</v>
      </c>
      <c r="M124" s="297" t="e">
        <f t="shared" si="59"/>
        <v>#DIV/0!</v>
      </c>
      <c r="N124" s="297" t="e">
        <f t="shared" si="59"/>
        <v>#DIV/0!</v>
      </c>
      <c r="O124" s="312" t="e">
        <f t="shared" si="59"/>
        <v>#DIV/0!</v>
      </c>
      <c r="P124" s="297" t="e">
        <f t="shared" si="59"/>
        <v>#DIV/0!</v>
      </c>
      <c r="Q124" s="297" t="e">
        <f t="shared" si="59"/>
        <v>#DIV/0!</v>
      </c>
      <c r="R124" s="297" t="e">
        <f t="shared" si="59"/>
        <v>#DIV/0!</v>
      </c>
      <c r="S124" s="297" t="e">
        <f t="shared" si="59"/>
        <v>#DIV/0!</v>
      </c>
      <c r="T124" s="297" t="e">
        <f t="shared" si="59"/>
        <v>#DIV/0!</v>
      </c>
      <c r="U124" s="297" t="e">
        <f t="shared" si="59"/>
        <v>#DIV/0!</v>
      </c>
      <c r="V124" s="297" t="e">
        <f t="shared" si="59"/>
        <v>#DIV/0!</v>
      </c>
      <c r="W124" s="297" t="e">
        <f t="shared" si="59"/>
        <v>#DIV/0!</v>
      </c>
      <c r="X124" s="297" t="e">
        <f t="shared" si="59"/>
        <v>#DIV/0!</v>
      </c>
      <c r="Y124" s="297" t="e">
        <f t="shared" si="59"/>
        <v>#DIV/0!</v>
      </c>
      <c r="Z124" s="297" t="e">
        <f t="shared" si="59"/>
        <v>#DIV/0!</v>
      </c>
      <c r="AA124" s="297" t="e">
        <f t="shared" si="59"/>
        <v>#DIV/0!</v>
      </c>
      <c r="AB124" s="297" t="e">
        <f t="shared" si="59"/>
        <v>#DIV/0!</v>
      </c>
      <c r="AC124" s="297" t="e">
        <f t="shared" si="59"/>
        <v>#DIV/0!</v>
      </c>
      <c r="AD124" s="297" t="e">
        <f t="shared" si="59"/>
        <v>#DIV/0!</v>
      </c>
      <c r="AE124" s="297" t="e">
        <f t="shared" si="59"/>
        <v>#DIV/0!</v>
      </c>
      <c r="AF124" s="297" t="e">
        <f t="shared" si="59"/>
        <v>#DIV/0!</v>
      </c>
      <c r="AG124" s="297" t="e">
        <f t="shared" si="59"/>
        <v>#DIV/0!</v>
      </c>
      <c r="AH124" s="297" t="e">
        <f t="shared" si="59"/>
        <v>#DIV/0!</v>
      </c>
      <c r="AI124" s="297" t="e">
        <f t="shared" si="59"/>
        <v>#DIV/0!</v>
      </c>
      <c r="AJ124" s="297" t="e">
        <f t="shared" si="59"/>
        <v>#DIV/0!</v>
      </c>
      <c r="AK124" s="297" t="e">
        <f t="shared" si="59"/>
        <v>#DIV/0!</v>
      </c>
      <c r="AL124" s="297" t="e">
        <f t="shared" si="59"/>
        <v>#DIV/0!</v>
      </c>
      <c r="AM124" s="297" t="e">
        <f t="shared" si="59"/>
        <v>#DIV/0!</v>
      </c>
      <c r="AN124" s="297" t="e">
        <f t="shared" si="59"/>
        <v>#DIV/0!</v>
      </c>
      <c r="AO124" s="10"/>
      <c r="AP124" s="44" t="e">
        <f>AP117/AP108*100</f>
        <v>#DIV/0!</v>
      </c>
      <c r="AR124" s="41"/>
      <c r="CB124" s="40"/>
      <c r="CC124" s="40"/>
      <c r="DF124" s="40"/>
      <c r="EN124" s="30"/>
      <c r="EO124" s="40"/>
      <c r="EP124" s="40"/>
      <c r="EQ124" s="40"/>
      <c r="ER124" s="40"/>
      <c r="GU124" s="40"/>
      <c r="KP124" s="40"/>
      <c r="KQ124" s="40"/>
      <c r="KR124" s="40"/>
      <c r="KS124" s="40"/>
      <c r="PW124" s="40"/>
      <c r="PX124" s="40"/>
      <c r="PZ124" s="40"/>
      <c r="QN124" s="39"/>
      <c r="QR124" s="40"/>
      <c r="SU124" s="39"/>
      <c r="AID124" s="5"/>
      <c r="AJS124" s="5"/>
      <c r="AJT124" s="5"/>
      <c r="AJU124" s="5"/>
    </row>
    <row r="125" spans="6:957" hidden="1" x14ac:dyDescent="0.3">
      <c r="F125" s="179">
        <v>7</v>
      </c>
      <c r="G125" s="161" t="s">
        <v>51</v>
      </c>
      <c r="H125" s="180"/>
      <c r="I125" s="180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2"/>
      <c r="AH125" s="181"/>
      <c r="AI125" s="181"/>
      <c r="AJ125" s="181"/>
      <c r="AK125" s="181"/>
      <c r="AL125" s="181"/>
      <c r="AM125" s="181"/>
      <c r="AN125" s="181"/>
      <c r="AO125" s="31"/>
      <c r="AP125" s="46" t="s">
        <v>47</v>
      </c>
      <c r="AR125" s="8"/>
      <c r="AT125" s="2"/>
      <c r="AU125" s="2" t="s">
        <v>157</v>
      </c>
      <c r="AW125" s="2" t="s">
        <v>158</v>
      </c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CB125" s="5"/>
      <c r="CC125" s="5"/>
      <c r="DF125" s="5"/>
      <c r="EN125" s="30"/>
      <c r="EO125" s="5"/>
      <c r="EP125" s="5"/>
      <c r="EQ125" s="5"/>
      <c r="ER125" s="5"/>
      <c r="GU125" s="5"/>
      <c r="KP125" s="5"/>
      <c r="KQ125" s="5"/>
      <c r="KR125" s="5"/>
      <c r="KS125" s="5"/>
      <c r="PW125" s="5"/>
      <c r="PX125" s="5"/>
      <c r="PZ125" s="5"/>
      <c r="QN125" s="27"/>
      <c r="QR125" s="5"/>
      <c r="SU125" s="27"/>
      <c r="AID125" s="5"/>
      <c r="AJS125" s="5"/>
      <c r="AJT125" s="5"/>
      <c r="AJU125" s="5"/>
    </row>
    <row r="126" spans="6:957" hidden="1" x14ac:dyDescent="0.3">
      <c r="F126" s="137"/>
      <c r="G126" s="251" t="s">
        <v>46</v>
      </c>
      <c r="H126" s="286"/>
      <c r="I126" s="253" t="s">
        <v>16</v>
      </c>
      <c r="J126" s="309">
        <v>0</v>
      </c>
      <c r="K126" s="309">
        <v>0</v>
      </c>
      <c r="L126" s="309">
        <v>0</v>
      </c>
      <c r="M126" s="309">
        <v>0</v>
      </c>
      <c r="N126" s="309">
        <v>0</v>
      </c>
      <c r="O126" s="358">
        <v>0</v>
      </c>
      <c r="P126" s="309">
        <v>0</v>
      </c>
      <c r="Q126" s="309">
        <v>0</v>
      </c>
      <c r="R126" s="309">
        <v>0</v>
      </c>
      <c r="S126" s="272"/>
      <c r="T126" s="272"/>
      <c r="U126" s="272"/>
      <c r="V126" s="272"/>
      <c r="W126" s="272"/>
      <c r="X126" s="272"/>
      <c r="Y126" s="272"/>
      <c r="Z126" s="272"/>
      <c r="AA126" s="272"/>
      <c r="AB126" s="272"/>
      <c r="AC126" s="272"/>
      <c r="AD126" s="272"/>
      <c r="AE126" s="272"/>
      <c r="AF126" s="272"/>
      <c r="AG126" s="290"/>
      <c r="AH126" s="326">
        <v>40200</v>
      </c>
      <c r="AI126" s="272"/>
      <c r="AJ126" s="272"/>
      <c r="AK126" s="272"/>
      <c r="AL126" s="326">
        <v>39600</v>
      </c>
      <c r="AM126" s="272"/>
      <c r="AN126" s="326">
        <v>11660</v>
      </c>
      <c r="AO126" s="72"/>
      <c r="AP126" s="52">
        <f>SUM(J126:AN126)</f>
        <v>91460</v>
      </c>
      <c r="AR126" s="8"/>
      <c r="AT126" s="2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CB126" s="5"/>
      <c r="CC126" s="5"/>
      <c r="DF126" s="5"/>
      <c r="EN126" s="30"/>
      <c r="EO126" s="5"/>
      <c r="EP126" s="5"/>
      <c r="EQ126" s="5"/>
      <c r="ER126" s="5"/>
      <c r="GU126" s="5"/>
      <c r="KP126" s="5"/>
      <c r="KQ126" s="5"/>
      <c r="KR126" s="5"/>
      <c r="KS126" s="5"/>
      <c r="PW126" s="5"/>
      <c r="PX126" s="5"/>
      <c r="PZ126" s="5"/>
      <c r="QN126" s="27"/>
      <c r="QR126" s="5"/>
      <c r="SU126" s="27"/>
      <c r="AID126" s="5"/>
      <c r="AJS126" s="5"/>
      <c r="AJT126" s="5"/>
      <c r="AJU126" s="5"/>
    </row>
    <row r="127" spans="6:957" hidden="1" x14ac:dyDescent="0.3">
      <c r="F127" s="137"/>
      <c r="G127" s="251" t="s">
        <v>45</v>
      </c>
      <c r="H127" s="252"/>
      <c r="I127" s="253" t="s">
        <v>16</v>
      </c>
      <c r="J127" s="254"/>
      <c r="K127" s="254"/>
      <c r="L127" s="254"/>
      <c r="M127" s="254"/>
      <c r="N127" s="254"/>
      <c r="O127" s="357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320">
        <v>13950.01</v>
      </c>
      <c r="AI127" s="320">
        <v>11462.06</v>
      </c>
      <c r="AJ127" s="320">
        <v>11462.87</v>
      </c>
      <c r="AK127" s="320">
        <v>11461.97</v>
      </c>
      <c r="AL127" s="320">
        <v>11461.97</v>
      </c>
      <c r="AM127" s="254"/>
      <c r="AN127" s="308">
        <v>11461.15</v>
      </c>
      <c r="AO127" s="25"/>
      <c r="AP127" s="52">
        <f>SUM(AP128:AP129)</f>
        <v>71260.03</v>
      </c>
      <c r="AQ127" s="66"/>
      <c r="AR127" s="61"/>
      <c r="AT127" s="2" t="s">
        <v>167</v>
      </c>
      <c r="AU127" s="89">
        <v>6148</v>
      </c>
      <c r="AV127" s="3">
        <v>9.7534799999999997</v>
      </c>
      <c r="AW127" s="3">
        <f>AU127*AV127</f>
        <v>59964.395039999996</v>
      </c>
      <c r="AX127" s="3">
        <f>AW127/1000</f>
        <v>59.964395039999992</v>
      </c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CB127" s="60"/>
      <c r="CC127" s="60"/>
      <c r="DF127" s="60"/>
      <c r="EN127" s="22"/>
      <c r="EO127" s="60"/>
      <c r="EP127" s="60"/>
      <c r="EQ127" s="60"/>
      <c r="ER127" s="60"/>
      <c r="GU127" s="60"/>
      <c r="KP127" s="60"/>
      <c r="KQ127" s="60"/>
      <c r="KR127" s="60"/>
      <c r="KS127" s="60"/>
      <c r="PW127" s="60"/>
      <c r="PX127" s="60"/>
      <c r="PZ127" s="60"/>
      <c r="QN127" s="59"/>
      <c r="QR127" s="60"/>
      <c r="SU127" s="59"/>
      <c r="AID127" s="20"/>
      <c r="AJS127" s="20"/>
      <c r="AJT127" s="20"/>
      <c r="AJU127" s="20"/>
    </row>
    <row r="128" spans="6:957" hidden="1" x14ac:dyDescent="0.3">
      <c r="F128" s="135"/>
      <c r="G128" s="244" t="s">
        <v>44</v>
      </c>
      <c r="H128" s="192"/>
      <c r="I128" s="214" t="s">
        <v>16</v>
      </c>
      <c r="J128" s="297">
        <f>SUM(J131:J132)*9.75348</f>
        <v>0</v>
      </c>
      <c r="K128" s="297">
        <f t="shared" ref="K128:Y128" si="60">SUM(K131:K132)*9.75348</f>
        <v>0</v>
      </c>
      <c r="L128" s="297">
        <f t="shared" si="60"/>
        <v>0</v>
      </c>
      <c r="M128" s="297">
        <f t="shared" si="60"/>
        <v>0</v>
      </c>
      <c r="N128" s="297">
        <f t="shared" si="60"/>
        <v>0</v>
      </c>
      <c r="O128" s="312">
        <f t="shared" si="60"/>
        <v>0</v>
      </c>
      <c r="P128" s="297">
        <f t="shared" si="60"/>
        <v>0</v>
      </c>
      <c r="Q128" s="297">
        <f t="shared" si="60"/>
        <v>0</v>
      </c>
      <c r="R128" s="297">
        <f t="shared" si="60"/>
        <v>0</v>
      </c>
      <c r="S128" s="297">
        <f t="shared" si="60"/>
        <v>0</v>
      </c>
      <c r="T128" s="297">
        <f t="shared" si="60"/>
        <v>0</v>
      </c>
      <c r="U128" s="297">
        <f t="shared" si="60"/>
        <v>0</v>
      </c>
      <c r="V128" s="297">
        <f t="shared" si="60"/>
        <v>0</v>
      </c>
      <c r="W128" s="297">
        <f t="shared" si="60"/>
        <v>0</v>
      </c>
      <c r="X128" s="297">
        <f t="shared" si="60"/>
        <v>0</v>
      </c>
      <c r="Y128" s="297">
        <f t="shared" si="60"/>
        <v>0</v>
      </c>
      <c r="Z128" s="297">
        <f t="shared" ref="Z128:AN128" si="61">SUM(Z131:Z132)*9.75348</f>
        <v>0</v>
      </c>
      <c r="AA128" s="297">
        <f t="shared" si="61"/>
        <v>0</v>
      </c>
      <c r="AB128" s="297">
        <f t="shared" si="61"/>
        <v>0</v>
      </c>
      <c r="AC128" s="297">
        <f t="shared" si="61"/>
        <v>0</v>
      </c>
      <c r="AD128" s="297">
        <f t="shared" si="61"/>
        <v>0</v>
      </c>
      <c r="AE128" s="297">
        <f>SUM(AE131:AE132)*9.75348</f>
        <v>0</v>
      </c>
      <c r="AF128" s="297">
        <f t="shared" si="61"/>
        <v>0</v>
      </c>
      <c r="AG128" s="297">
        <f t="shared" si="61"/>
        <v>0</v>
      </c>
      <c r="AH128" s="297">
        <f>SUM(AH131:AH132)*9.75348</f>
        <v>13947.4764</v>
      </c>
      <c r="AI128" s="297">
        <f t="shared" si="61"/>
        <v>11538.366839999999</v>
      </c>
      <c r="AJ128" s="297">
        <f t="shared" si="61"/>
        <v>11557.873799999999</v>
      </c>
      <c r="AK128" s="297">
        <f t="shared" si="61"/>
        <v>11460.339</v>
      </c>
      <c r="AL128" s="297">
        <f t="shared" si="61"/>
        <v>11460.339</v>
      </c>
      <c r="AM128" s="297">
        <f t="shared" si="61"/>
        <v>0</v>
      </c>
      <c r="AN128" s="297">
        <f t="shared" si="61"/>
        <v>11518.85988</v>
      </c>
      <c r="AO128" s="10"/>
      <c r="AP128" s="44">
        <f>SUM(J128:AN128)</f>
        <v>71483.254919999992</v>
      </c>
      <c r="AR128" s="41">
        <f>AP73+AP127</f>
        <v>558574.78</v>
      </c>
      <c r="AT128" s="2" t="s">
        <v>168</v>
      </c>
      <c r="AU128" s="89">
        <v>0</v>
      </c>
      <c r="AV128" s="3">
        <v>9.7534799999999997</v>
      </c>
      <c r="AW128" s="35">
        <f>AU128*AV128</f>
        <v>0</v>
      </c>
      <c r="AX128" s="3">
        <f>AW128/1000</f>
        <v>0</v>
      </c>
      <c r="BE128" s="58"/>
      <c r="BF128" s="57"/>
      <c r="BG128" s="57"/>
      <c r="BH128" s="57"/>
      <c r="BI128" s="57"/>
      <c r="BJ128" s="57"/>
      <c r="BK128" s="35"/>
      <c r="BL128" s="35"/>
      <c r="BM128" s="35"/>
      <c r="BN128" s="35"/>
      <c r="CB128" s="40"/>
      <c r="CC128" s="40"/>
      <c r="DF128" s="40"/>
      <c r="EN128" s="30"/>
      <c r="EO128" s="40"/>
      <c r="EP128" s="40"/>
      <c r="EQ128" s="40"/>
      <c r="ER128" s="40"/>
      <c r="GU128" s="40"/>
      <c r="KP128" s="40"/>
      <c r="KQ128" s="40"/>
      <c r="KR128" s="40"/>
      <c r="KS128" s="40"/>
      <c r="PW128" s="40"/>
      <c r="PX128" s="40"/>
      <c r="PZ128" s="40"/>
      <c r="QN128" s="39"/>
      <c r="QR128" s="40"/>
      <c r="SU128" s="39"/>
      <c r="AID128" s="5"/>
      <c r="AJS128" s="5"/>
      <c r="AJT128" s="5"/>
      <c r="AJU128" s="5"/>
    </row>
    <row r="129" spans="6:957" hidden="1" x14ac:dyDescent="0.3">
      <c r="F129" s="135"/>
      <c r="G129" s="244" t="s">
        <v>43</v>
      </c>
      <c r="H129" s="192"/>
      <c r="I129" s="214" t="s">
        <v>16</v>
      </c>
      <c r="J129" s="297">
        <f t="shared" ref="J129:AN129" si="62">J127-J128</f>
        <v>0</v>
      </c>
      <c r="K129" s="297">
        <f t="shared" si="62"/>
        <v>0</v>
      </c>
      <c r="L129" s="297">
        <f t="shared" si="62"/>
        <v>0</v>
      </c>
      <c r="M129" s="297">
        <f t="shared" si="62"/>
        <v>0</v>
      </c>
      <c r="N129" s="297">
        <f t="shared" si="62"/>
        <v>0</v>
      </c>
      <c r="O129" s="312">
        <f t="shared" si="62"/>
        <v>0</v>
      </c>
      <c r="P129" s="297">
        <f t="shared" si="62"/>
        <v>0</v>
      </c>
      <c r="Q129" s="297">
        <f t="shared" si="62"/>
        <v>0</v>
      </c>
      <c r="R129" s="297">
        <f t="shared" si="62"/>
        <v>0</v>
      </c>
      <c r="S129" s="297">
        <f t="shared" si="62"/>
        <v>0</v>
      </c>
      <c r="T129" s="297">
        <f t="shared" si="62"/>
        <v>0</v>
      </c>
      <c r="U129" s="297">
        <f t="shared" si="62"/>
        <v>0</v>
      </c>
      <c r="V129" s="297">
        <f t="shared" si="62"/>
        <v>0</v>
      </c>
      <c r="W129" s="297">
        <f t="shared" si="62"/>
        <v>0</v>
      </c>
      <c r="X129" s="297">
        <f t="shared" si="62"/>
        <v>0</v>
      </c>
      <c r="Y129" s="297">
        <f t="shared" si="62"/>
        <v>0</v>
      </c>
      <c r="Z129" s="297">
        <f t="shared" si="62"/>
        <v>0</v>
      </c>
      <c r="AA129" s="297">
        <f t="shared" si="62"/>
        <v>0</v>
      </c>
      <c r="AB129" s="297">
        <f t="shared" si="62"/>
        <v>0</v>
      </c>
      <c r="AC129" s="297">
        <f t="shared" si="62"/>
        <v>0</v>
      </c>
      <c r="AD129" s="297">
        <f t="shared" si="62"/>
        <v>0</v>
      </c>
      <c r="AE129" s="297">
        <f t="shared" si="62"/>
        <v>0</v>
      </c>
      <c r="AF129" s="297">
        <f t="shared" si="62"/>
        <v>0</v>
      </c>
      <c r="AG129" s="297">
        <f t="shared" si="62"/>
        <v>0</v>
      </c>
      <c r="AH129" s="297">
        <f t="shared" si="62"/>
        <v>2.5336000000006607</v>
      </c>
      <c r="AI129" s="297">
        <f t="shared" si="62"/>
        <v>-76.306839999999283</v>
      </c>
      <c r="AJ129" s="297">
        <f t="shared" si="62"/>
        <v>-95.003799999998591</v>
      </c>
      <c r="AK129" s="297">
        <f t="shared" si="62"/>
        <v>1.6309999999994034</v>
      </c>
      <c r="AL129" s="297">
        <f t="shared" si="62"/>
        <v>1.6309999999994034</v>
      </c>
      <c r="AM129" s="297">
        <f t="shared" si="62"/>
        <v>0</v>
      </c>
      <c r="AN129" s="297">
        <f t="shared" si="62"/>
        <v>-57.709880000000339</v>
      </c>
      <c r="AO129" s="10"/>
      <c r="AP129" s="44">
        <f>SUM(J129:AN129)</f>
        <v>-223.22491999999875</v>
      </c>
      <c r="AR129" s="41"/>
      <c r="AT129" s="2"/>
      <c r="AU129" s="35"/>
      <c r="AX129" s="124">
        <f>SUM(AX127:AX128)</f>
        <v>59.964395039999992</v>
      </c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CB129" s="40"/>
      <c r="CC129" s="40"/>
      <c r="DF129" s="40"/>
      <c r="EN129" s="30"/>
      <c r="EO129" s="40"/>
      <c r="EP129" s="40"/>
      <c r="EQ129" s="40"/>
      <c r="ER129" s="40"/>
      <c r="GU129" s="40"/>
      <c r="GV129" s="1">
        <f>0.9*12</f>
        <v>10.8</v>
      </c>
      <c r="KP129" s="40"/>
      <c r="KQ129" s="40"/>
      <c r="KR129" s="40"/>
      <c r="KS129" s="40"/>
      <c r="PW129" s="40"/>
      <c r="PX129" s="40"/>
      <c r="PZ129" s="40"/>
      <c r="QN129" s="39"/>
      <c r="QR129" s="40"/>
      <c r="SU129" s="39"/>
      <c r="AID129" s="5"/>
      <c r="AJS129" s="5"/>
      <c r="AJT129" s="5"/>
      <c r="AJU129" s="5"/>
    </row>
    <row r="130" spans="6:957" hidden="1" x14ac:dyDescent="0.3">
      <c r="F130" s="135"/>
      <c r="G130" s="244" t="s">
        <v>33</v>
      </c>
      <c r="H130" s="192"/>
      <c r="I130" s="135"/>
      <c r="J130" s="11"/>
      <c r="K130" s="11"/>
      <c r="L130" s="11"/>
      <c r="M130" s="11"/>
      <c r="N130" s="11"/>
      <c r="O130" s="259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/>
      <c r="AP130" s="45" t="s">
        <v>33</v>
      </c>
      <c r="AR130" s="56"/>
      <c r="AT130" s="2"/>
      <c r="AU130" s="3"/>
      <c r="AV130" s="123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CB130" s="40"/>
      <c r="CC130" s="40"/>
      <c r="DF130" s="40"/>
      <c r="EN130" s="30"/>
      <c r="EO130" s="40"/>
      <c r="EP130" s="40"/>
      <c r="EQ130" s="40"/>
      <c r="ER130" s="40"/>
      <c r="GU130" s="40"/>
      <c r="KP130" s="40"/>
      <c r="KQ130" s="40"/>
      <c r="KR130" s="40"/>
      <c r="KS130" s="40"/>
      <c r="PW130" s="40"/>
      <c r="PX130" s="40"/>
      <c r="PZ130" s="40"/>
      <c r="QN130" s="39"/>
      <c r="QR130" s="40"/>
      <c r="SU130" s="39"/>
      <c r="AID130" s="5"/>
      <c r="AJS130" s="5"/>
      <c r="AJT130" s="5"/>
      <c r="AJU130" s="5"/>
    </row>
    <row r="131" spans="6:957" hidden="1" x14ac:dyDescent="0.3">
      <c r="F131" s="167"/>
      <c r="G131" s="165" t="s">
        <v>50</v>
      </c>
      <c r="H131" s="166"/>
      <c r="I131" s="247" t="s">
        <v>36</v>
      </c>
      <c r="J131" s="248">
        <v>0</v>
      </c>
      <c r="K131" s="248">
        <v>0</v>
      </c>
      <c r="L131" s="248">
        <v>0</v>
      </c>
      <c r="M131" s="248">
        <v>0</v>
      </c>
      <c r="N131" s="248">
        <v>0</v>
      </c>
      <c r="O131" s="355">
        <v>0</v>
      </c>
      <c r="P131" s="248">
        <v>0</v>
      </c>
      <c r="Q131" s="248">
        <v>0</v>
      </c>
      <c r="R131" s="248">
        <v>0</v>
      </c>
      <c r="S131" s="248">
        <v>0</v>
      </c>
      <c r="T131" s="248">
        <v>0</v>
      </c>
      <c r="U131" s="248"/>
      <c r="V131" s="248"/>
      <c r="W131" s="248"/>
      <c r="X131" s="248"/>
      <c r="Y131" s="248"/>
      <c r="Z131" s="248"/>
      <c r="AA131" s="248"/>
      <c r="AB131" s="248"/>
      <c r="AC131" s="248"/>
      <c r="AD131" s="248"/>
      <c r="AE131" s="248"/>
      <c r="AF131" s="248"/>
      <c r="AG131" s="248"/>
      <c r="AH131" s="248">
        <v>1430</v>
      </c>
      <c r="AI131" s="248">
        <v>1183</v>
      </c>
      <c r="AJ131" s="248">
        <v>1185</v>
      </c>
      <c r="AK131" s="248">
        <v>1175</v>
      </c>
      <c r="AL131" s="248">
        <v>1175</v>
      </c>
      <c r="AM131" s="248">
        <v>0</v>
      </c>
      <c r="AN131" s="248">
        <v>1181</v>
      </c>
      <c r="AO131" s="51"/>
      <c r="AP131" s="50">
        <f>SUM(J131:AN131)</f>
        <v>7329</v>
      </c>
      <c r="AR131" s="49"/>
      <c r="AS131" s="55"/>
      <c r="AT131" s="2"/>
      <c r="AX131" s="3">
        <v>0</v>
      </c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CB131" s="48"/>
      <c r="CC131" s="48"/>
      <c r="DF131" s="48"/>
      <c r="EN131" s="16"/>
      <c r="EO131" s="48"/>
      <c r="EP131" s="48"/>
      <c r="EQ131" s="48"/>
      <c r="ER131" s="48"/>
      <c r="GU131" s="48"/>
      <c r="KP131" s="48"/>
      <c r="KQ131" s="48"/>
      <c r="KR131" s="48"/>
      <c r="KS131" s="48"/>
      <c r="PW131" s="48"/>
      <c r="PX131" s="48"/>
      <c r="PZ131" s="48"/>
      <c r="QN131" s="47"/>
      <c r="QR131" s="48"/>
      <c r="SU131" s="47"/>
      <c r="AID131" s="14"/>
      <c r="AJS131" s="14"/>
      <c r="AJT131" s="14"/>
      <c r="AJU131" s="14"/>
    </row>
    <row r="132" spans="6:957" hidden="1" x14ac:dyDescent="0.3">
      <c r="F132" s="167"/>
      <c r="G132" s="165" t="s">
        <v>49</v>
      </c>
      <c r="H132" s="166"/>
      <c r="I132" s="247" t="s">
        <v>36</v>
      </c>
      <c r="J132" s="248"/>
      <c r="K132" s="248"/>
      <c r="L132" s="248"/>
      <c r="M132" s="248"/>
      <c r="N132" s="248"/>
      <c r="O132" s="355"/>
      <c r="P132" s="248"/>
      <c r="Q132" s="248"/>
      <c r="R132" s="248"/>
      <c r="S132" s="248"/>
      <c r="T132" s="248"/>
      <c r="U132" s="254"/>
      <c r="V132" s="254"/>
      <c r="W132" s="254"/>
      <c r="X132" s="254"/>
      <c r="Y132" s="254"/>
      <c r="Z132" s="254"/>
      <c r="AA132" s="254"/>
      <c r="AB132" s="254"/>
      <c r="AC132" s="254"/>
      <c r="AD132" s="254"/>
      <c r="AE132" s="254"/>
      <c r="AF132" s="254"/>
      <c r="AG132" s="254"/>
      <c r="AH132" s="254"/>
      <c r="AI132" s="254">
        <v>0</v>
      </c>
      <c r="AJ132" s="254">
        <v>0</v>
      </c>
      <c r="AK132" s="254">
        <v>0</v>
      </c>
      <c r="AL132" s="254">
        <v>0</v>
      </c>
      <c r="AM132" s="254">
        <v>0</v>
      </c>
      <c r="AN132" s="254">
        <v>0</v>
      </c>
      <c r="AO132" s="51"/>
      <c r="AP132" s="50">
        <f>SUM(J132:AN132)</f>
        <v>0</v>
      </c>
      <c r="AR132" s="49"/>
      <c r="AT132" s="2"/>
      <c r="AX132" s="3">
        <f>SUM(AX131,AX129)</f>
        <v>59.964395039999992</v>
      </c>
      <c r="AY132" s="2" t="s">
        <v>159</v>
      </c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CB132" s="48"/>
      <c r="CC132" s="48"/>
      <c r="DF132" s="48"/>
      <c r="EN132" s="16"/>
      <c r="EO132" s="48"/>
      <c r="EP132" s="48"/>
      <c r="EQ132" s="48"/>
      <c r="ER132" s="48"/>
      <c r="GU132" s="48"/>
      <c r="KP132" s="48"/>
      <c r="KQ132" s="48"/>
      <c r="KR132" s="48"/>
      <c r="KS132" s="48"/>
      <c r="PW132" s="48"/>
      <c r="PX132" s="48"/>
      <c r="PZ132" s="48"/>
      <c r="QN132" s="47"/>
      <c r="QR132" s="48"/>
      <c r="SU132" s="47"/>
      <c r="AID132" s="14"/>
      <c r="AJS132" s="14"/>
      <c r="AJT132" s="14"/>
      <c r="AJU132" s="14"/>
    </row>
    <row r="133" spans="6:957" hidden="1" x14ac:dyDescent="0.3">
      <c r="F133" s="135"/>
      <c r="G133" s="244" t="s">
        <v>32</v>
      </c>
      <c r="H133" s="192"/>
      <c r="I133" s="135"/>
      <c r="J133" s="11"/>
      <c r="K133" s="11"/>
      <c r="L133" s="11"/>
      <c r="M133" s="11"/>
      <c r="N133" s="11"/>
      <c r="O133" s="259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/>
      <c r="AP133" s="45" t="s">
        <v>32</v>
      </c>
      <c r="AR133" s="41"/>
      <c r="AT133" s="2"/>
      <c r="AX133" s="35">
        <v>920</v>
      </c>
      <c r="AY133" s="2" t="s">
        <v>160</v>
      </c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CB133" s="40"/>
      <c r="CC133" s="40"/>
      <c r="DF133" s="40"/>
      <c r="EN133" s="30"/>
      <c r="EO133" s="40"/>
      <c r="EP133" s="40"/>
      <c r="EQ133" s="40"/>
      <c r="ER133" s="40"/>
      <c r="GU133" s="40"/>
      <c r="KP133" s="40"/>
      <c r="KQ133" s="40"/>
      <c r="KR133" s="40"/>
      <c r="KS133" s="40"/>
      <c r="PW133" s="40"/>
      <c r="PX133" s="40"/>
      <c r="PZ133" s="40"/>
      <c r="QN133" s="39"/>
      <c r="QR133" s="40"/>
      <c r="SU133" s="39"/>
      <c r="AID133" s="5"/>
      <c r="AJS133" s="5"/>
      <c r="AJT133" s="5"/>
      <c r="AJU133" s="5"/>
    </row>
    <row r="134" spans="6:957" hidden="1" x14ac:dyDescent="0.3">
      <c r="F134" s="135"/>
      <c r="G134" s="165" t="s">
        <v>50</v>
      </c>
      <c r="H134" s="192"/>
      <c r="I134" s="214" t="s">
        <v>32</v>
      </c>
      <c r="J134" s="11">
        <f t="shared" ref="J134:AN134" si="63">J131*12</f>
        <v>0</v>
      </c>
      <c r="K134" s="11">
        <f t="shared" si="63"/>
        <v>0</v>
      </c>
      <c r="L134" s="11">
        <f t="shared" si="63"/>
        <v>0</v>
      </c>
      <c r="M134" s="11">
        <f t="shared" si="63"/>
        <v>0</v>
      </c>
      <c r="N134" s="11">
        <f t="shared" si="63"/>
        <v>0</v>
      </c>
      <c r="O134" s="259">
        <f t="shared" si="63"/>
        <v>0</v>
      </c>
      <c r="P134" s="11">
        <f t="shared" si="63"/>
        <v>0</v>
      </c>
      <c r="Q134" s="11">
        <f t="shared" si="63"/>
        <v>0</v>
      </c>
      <c r="R134" s="11">
        <f t="shared" si="63"/>
        <v>0</v>
      </c>
      <c r="S134" s="11">
        <f t="shared" si="63"/>
        <v>0</v>
      </c>
      <c r="T134" s="11">
        <f t="shared" si="63"/>
        <v>0</v>
      </c>
      <c r="U134" s="11">
        <f t="shared" si="63"/>
        <v>0</v>
      </c>
      <c r="V134" s="11">
        <f t="shared" si="63"/>
        <v>0</v>
      </c>
      <c r="W134" s="11">
        <f t="shared" si="63"/>
        <v>0</v>
      </c>
      <c r="X134" s="11">
        <f t="shared" si="63"/>
        <v>0</v>
      </c>
      <c r="Y134" s="11">
        <f t="shared" si="63"/>
        <v>0</v>
      </c>
      <c r="Z134" s="11">
        <f t="shared" si="63"/>
        <v>0</v>
      </c>
      <c r="AA134" s="11">
        <f t="shared" si="63"/>
        <v>0</v>
      </c>
      <c r="AB134" s="11">
        <f t="shared" si="63"/>
        <v>0</v>
      </c>
      <c r="AC134" s="11">
        <f t="shared" si="63"/>
        <v>0</v>
      </c>
      <c r="AD134" s="11">
        <f t="shared" si="63"/>
        <v>0</v>
      </c>
      <c r="AE134" s="11">
        <f t="shared" si="63"/>
        <v>0</v>
      </c>
      <c r="AF134" s="11">
        <f t="shared" si="63"/>
        <v>0</v>
      </c>
      <c r="AG134" s="11">
        <f t="shared" si="63"/>
        <v>0</v>
      </c>
      <c r="AH134" s="11">
        <f t="shared" si="63"/>
        <v>17160</v>
      </c>
      <c r="AI134" s="11">
        <f t="shared" si="63"/>
        <v>14196</v>
      </c>
      <c r="AJ134" s="11">
        <f t="shared" si="63"/>
        <v>14220</v>
      </c>
      <c r="AK134" s="11">
        <f t="shared" si="63"/>
        <v>14100</v>
      </c>
      <c r="AL134" s="11">
        <f t="shared" si="63"/>
        <v>14100</v>
      </c>
      <c r="AM134" s="11">
        <f t="shared" si="63"/>
        <v>0</v>
      </c>
      <c r="AN134" s="11">
        <f t="shared" si="63"/>
        <v>14172</v>
      </c>
      <c r="AO134" s="10"/>
      <c r="AP134" s="26">
        <f>AP131*12</f>
        <v>87948</v>
      </c>
      <c r="AR134" s="41"/>
      <c r="AT134" s="2"/>
      <c r="AX134" s="3">
        <f>AX132/AX133*100</f>
        <v>6.5178690260869558</v>
      </c>
      <c r="AY134" s="2" t="s">
        <v>29</v>
      </c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CB134" s="40"/>
      <c r="CC134" s="40"/>
      <c r="DF134" s="40"/>
      <c r="EN134" s="30"/>
      <c r="EO134" s="40"/>
      <c r="EP134" s="40"/>
      <c r="EQ134" s="40"/>
      <c r="ER134" s="40"/>
      <c r="GU134" s="40"/>
      <c r="KP134" s="40"/>
      <c r="KQ134" s="40"/>
      <c r="KR134" s="40"/>
      <c r="KS134" s="40"/>
      <c r="PW134" s="40"/>
      <c r="PX134" s="40"/>
      <c r="PZ134" s="40"/>
      <c r="QN134" s="39"/>
      <c r="QR134" s="40"/>
      <c r="SU134" s="39"/>
      <c r="AID134" s="5"/>
      <c r="AJS134" s="5"/>
      <c r="AJT134" s="5"/>
      <c r="AJU134" s="5"/>
    </row>
    <row r="135" spans="6:957" hidden="1" x14ac:dyDescent="0.3">
      <c r="F135" s="135"/>
      <c r="G135" s="165" t="s">
        <v>49</v>
      </c>
      <c r="H135" s="192"/>
      <c r="I135" s="214" t="s">
        <v>32</v>
      </c>
      <c r="J135" s="11">
        <f>J132*6</f>
        <v>0</v>
      </c>
      <c r="K135" s="11">
        <f t="shared" ref="K135:AN135" si="64">K132*6</f>
        <v>0</v>
      </c>
      <c r="L135" s="11">
        <f t="shared" si="64"/>
        <v>0</v>
      </c>
      <c r="M135" s="11">
        <f t="shared" si="64"/>
        <v>0</v>
      </c>
      <c r="N135" s="11">
        <f t="shared" si="64"/>
        <v>0</v>
      </c>
      <c r="O135" s="259">
        <f t="shared" si="64"/>
        <v>0</v>
      </c>
      <c r="P135" s="11">
        <f t="shared" si="64"/>
        <v>0</v>
      </c>
      <c r="Q135" s="11">
        <f t="shared" si="64"/>
        <v>0</v>
      </c>
      <c r="R135" s="11">
        <f t="shared" si="64"/>
        <v>0</v>
      </c>
      <c r="S135" s="11">
        <f t="shared" si="64"/>
        <v>0</v>
      </c>
      <c r="T135" s="11">
        <f t="shared" si="64"/>
        <v>0</v>
      </c>
      <c r="U135" s="11">
        <f t="shared" si="64"/>
        <v>0</v>
      </c>
      <c r="V135" s="11">
        <f t="shared" si="64"/>
        <v>0</v>
      </c>
      <c r="W135" s="11">
        <f t="shared" si="64"/>
        <v>0</v>
      </c>
      <c r="X135" s="11">
        <f t="shared" si="64"/>
        <v>0</v>
      </c>
      <c r="Y135" s="11">
        <f t="shared" si="64"/>
        <v>0</v>
      </c>
      <c r="Z135" s="11">
        <f t="shared" si="64"/>
        <v>0</v>
      </c>
      <c r="AA135" s="11">
        <f t="shared" si="64"/>
        <v>0</v>
      </c>
      <c r="AB135" s="11">
        <f t="shared" si="64"/>
        <v>0</v>
      </c>
      <c r="AC135" s="11">
        <f t="shared" si="64"/>
        <v>0</v>
      </c>
      <c r="AD135" s="11">
        <f t="shared" si="64"/>
        <v>0</v>
      </c>
      <c r="AE135" s="11">
        <f t="shared" si="64"/>
        <v>0</v>
      </c>
      <c r="AF135" s="11">
        <f t="shared" si="64"/>
        <v>0</v>
      </c>
      <c r="AG135" s="11">
        <f t="shared" si="64"/>
        <v>0</v>
      </c>
      <c r="AH135" s="11">
        <f t="shared" si="64"/>
        <v>0</v>
      </c>
      <c r="AI135" s="11">
        <f t="shared" si="64"/>
        <v>0</v>
      </c>
      <c r="AJ135" s="11">
        <f t="shared" si="64"/>
        <v>0</v>
      </c>
      <c r="AK135" s="11">
        <f t="shared" si="64"/>
        <v>0</v>
      </c>
      <c r="AL135" s="11">
        <f t="shared" si="64"/>
        <v>0</v>
      </c>
      <c r="AM135" s="11">
        <f t="shared" si="64"/>
        <v>0</v>
      </c>
      <c r="AN135" s="11">
        <f t="shared" si="64"/>
        <v>0</v>
      </c>
      <c r="AO135" s="10"/>
      <c r="AP135" s="26">
        <f>AP132*6</f>
        <v>0</v>
      </c>
      <c r="AR135" s="41"/>
      <c r="AT135" s="2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CB135" s="40"/>
      <c r="CC135" s="40"/>
      <c r="DF135" s="40"/>
      <c r="EN135" s="30"/>
      <c r="EO135" s="40"/>
      <c r="EP135" s="40"/>
      <c r="EQ135" s="40"/>
      <c r="ER135" s="40"/>
      <c r="GU135" s="40"/>
      <c r="KP135" s="40"/>
      <c r="KQ135" s="40"/>
      <c r="KR135" s="40"/>
      <c r="KS135" s="40"/>
      <c r="PW135" s="40"/>
      <c r="PX135" s="40"/>
      <c r="PZ135" s="40"/>
      <c r="QN135" s="39"/>
      <c r="QR135" s="40"/>
      <c r="SU135" s="39"/>
      <c r="AID135" s="5"/>
      <c r="AJS135" s="5"/>
      <c r="AJT135" s="5"/>
      <c r="AJU135" s="5"/>
    </row>
    <row r="136" spans="6:957" hidden="1" x14ac:dyDescent="0.3">
      <c r="F136" s="135"/>
      <c r="G136" s="244" t="s">
        <v>41</v>
      </c>
      <c r="H136" s="192"/>
      <c r="I136" s="214" t="s">
        <v>40</v>
      </c>
      <c r="J136" s="11">
        <f>(J127*45)/1700</f>
        <v>0</v>
      </c>
      <c r="K136" s="11">
        <f>(K127*45)/1700</f>
        <v>0</v>
      </c>
      <c r="L136" s="11">
        <f t="shared" ref="L136:AC136" si="65">(L127*45)/1700</f>
        <v>0</v>
      </c>
      <c r="M136" s="11">
        <f t="shared" si="65"/>
        <v>0</v>
      </c>
      <c r="N136" s="11">
        <f t="shared" si="65"/>
        <v>0</v>
      </c>
      <c r="O136" s="259">
        <f t="shared" si="65"/>
        <v>0</v>
      </c>
      <c r="P136" s="11">
        <f t="shared" si="65"/>
        <v>0</v>
      </c>
      <c r="Q136" s="11">
        <f t="shared" si="65"/>
        <v>0</v>
      </c>
      <c r="R136" s="11">
        <f t="shared" si="65"/>
        <v>0</v>
      </c>
      <c r="S136" s="11">
        <f t="shared" si="65"/>
        <v>0</v>
      </c>
      <c r="T136" s="11">
        <f t="shared" si="65"/>
        <v>0</v>
      </c>
      <c r="U136" s="11">
        <f t="shared" si="65"/>
        <v>0</v>
      </c>
      <c r="V136" s="11">
        <f t="shared" si="65"/>
        <v>0</v>
      </c>
      <c r="W136" s="11">
        <f t="shared" si="65"/>
        <v>0</v>
      </c>
      <c r="X136" s="11">
        <f t="shared" si="65"/>
        <v>0</v>
      </c>
      <c r="Y136" s="11">
        <f t="shared" si="65"/>
        <v>0</v>
      </c>
      <c r="Z136" s="11">
        <f t="shared" si="65"/>
        <v>0</v>
      </c>
      <c r="AA136" s="11">
        <f t="shared" si="65"/>
        <v>0</v>
      </c>
      <c r="AB136" s="11">
        <f t="shared" si="65"/>
        <v>0</v>
      </c>
      <c r="AC136" s="11">
        <f t="shared" si="65"/>
        <v>0</v>
      </c>
      <c r="AD136" s="11">
        <f t="shared" ref="AD136:AN136" si="66">AD127*45/1700</f>
        <v>0</v>
      </c>
      <c r="AE136" s="11">
        <f t="shared" si="66"/>
        <v>0</v>
      </c>
      <c r="AF136" s="11">
        <f t="shared" si="66"/>
        <v>0</v>
      </c>
      <c r="AG136" s="11">
        <f t="shared" si="66"/>
        <v>0</v>
      </c>
      <c r="AH136" s="11">
        <f t="shared" si="66"/>
        <v>369.26497058823526</v>
      </c>
      <c r="AI136" s="11">
        <f t="shared" si="66"/>
        <v>303.40747058823524</v>
      </c>
      <c r="AJ136" s="11">
        <f t="shared" si="66"/>
        <v>303.4289117647059</v>
      </c>
      <c r="AK136" s="11">
        <f t="shared" si="66"/>
        <v>303.4050882352941</v>
      </c>
      <c r="AL136" s="11">
        <f t="shared" si="66"/>
        <v>303.4050882352941</v>
      </c>
      <c r="AM136" s="11">
        <f t="shared" si="66"/>
        <v>0</v>
      </c>
      <c r="AN136" s="11">
        <f t="shared" si="66"/>
        <v>303.38338235294117</v>
      </c>
      <c r="AO136" s="10"/>
      <c r="AP136" s="26">
        <f>SUM(J136:AN136)</f>
        <v>1886.2949117647058</v>
      </c>
      <c r="AR136" s="41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CB136" s="40"/>
      <c r="CC136" s="40"/>
      <c r="DF136" s="40"/>
      <c r="EN136" s="30"/>
      <c r="EO136" s="40"/>
      <c r="EP136" s="40"/>
      <c r="EQ136" s="40"/>
      <c r="ER136" s="40"/>
      <c r="GU136" s="40"/>
      <c r="KP136" s="40"/>
      <c r="KQ136" s="40"/>
      <c r="KR136" s="40"/>
      <c r="KS136" s="40"/>
      <c r="PW136" s="40"/>
      <c r="PX136" s="40"/>
      <c r="PZ136" s="40"/>
      <c r="QN136" s="39"/>
      <c r="QR136" s="40"/>
      <c r="SU136" s="39"/>
      <c r="AID136" s="5"/>
      <c r="AJS136" s="5"/>
      <c r="AJT136" s="5"/>
      <c r="AJU136" s="5"/>
    </row>
    <row r="137" spans="6:957" hidden="1" x14ac:dyDescent="0.3">
      <c r="F137" s="135"/>
      <c r="G137" s="244" t="s">
        <v>39</v>
      </c>
      <c r="H137" s="192"/>
      <c r="I137" s="214" t="s">
        <v>38</v>
      </c>
      <c r="J137" s="11">
        <f t="shared" ref="J137:AH137" si="67">SUM(J131:J132)/500</f>
        <v>0</v>
      </c>
      <c r="K137" s="11">
        <f t="shared" si="67"/>
        <v>0</v>
      </c>
      <c r="L137" s="11">
        <f t="shared" si="67"/>
        <v>0</v>
      </c>
      <c r="M137" s="11">
        <f t="shared" si="67"/>
        <v>0</v>
      </c>
      <c r="N137" s="11">
        <f t="shared" si="67"/>
        <v>0</v>
      </c>
      <c r="O137" s="259">
        <f t="shared" si="67"/>
        <v>0</v>
      </c>
      <c r="P137" s="11">
        <f t="shared" si="67"/>
        <v>0</v>
      </c>
      <c r="Q137" s="11">
        <f t="shared" si="67"/>
        <v>0</v>
      </c>
      <c r="R137" s="11">
        <f t="shared" si="67"/>
        <v>0</v>
      </c>
      <c r="S137" s="11">
        <f t="shared" si="67"/>
        <v>0</v>
      </c>
      <c r="T137" s="11">
        <f t="shared" si="67"/>
        <v>0</v>
      </c>
      <c r="U137" s="11">
        <f t="shared" si="67"/>
        <v>0</v>
      </c>
      <c r="V137" s="11">
        <f t="shared" si="67"/>
        <v>0</v>
      </c>
      <c r="W137" s="11">
        <f t="shared" si="67"/>
        <v>0</v>
      </c>
      <c r="X137" s="11">
        <f t="shared" si="67"/>
        <v>0</v>
      </c>
      <c r="Y137" s="11">
        <f t="shared" si="67"/>
        <v>0</v>
      </c>
      <c r="Z137" s="11">
        <f t="shared" si="67"/>
        <v>0</v>
      </c>
      <c r="AA137" s="11">
        <f t="shared" si="67"/>
        <v>0</v>
      </c>
      <c r="AB137" s="11">
        <f t="shared" si="67"/>
        <v>0</v>
      </c>
      <c r="AC137" s="11">
        <f t="shared" si="67"/>
        <v>0</v>
      </c>
      <c r="AD137" s="11">
        <f t="shared" ref="AD137" si="68">SUM(AD131:AD132)/500</f>
        <v>0</v>
      </c>
      <c r="AE137" s="11">
        <f t="shared" si="67"/>
        <v>0</v>
      </c>
      <c r="AF137" s="11">
        <f t="shared" si="67"/>
        <v>0</v>
      </c>
      <c r="AG137" s="11">
        <f t="shared" si="67"/>
        <v>0</v>
      </c>
      <c r="AH137" s="11">
        <f t="shared" si="67"/>
        <v>2.86</v>
      </c>
      <c r="AI137" s="11">
        <f t="shared" ref="AI137:AN137" si="69">SUM(AI131:AI132)/500</f>
        <v>2.3660000000000001</v>
      </c>
      <c r="AJ137" s="11">
        <f t="shared" si="69"/>
        <v>2.37</v>
      </c>
      <c r="AK137" s="11">
        <f t="shared" si="69"/>
        <v>2.35</v>
      </c>
      <c r="AL137" s="11">
        <f t="shared" si="69"/>
        <v>2.35</v>
      </c>
      <c r="AM137" s="11">
        <f t="shared" si="69"/>
        <v>0</v>
      </c>
      <c r="AN137" s="256">
        <f t="shared" si="69"/>
        <v>2.3620000000000001</v>
      </c>
      <c r="AO137" s="10"/>
      <c r="AP137" s="26">
        <f>SUM(J137:AN137)</f>
        <v>14.657999999999999</v>
      </c>
      <c r="AR137" s="41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CB137" s="40"/>
      <c r="CC137" s="40"/>
      <c r="DF137" s="40"/>
      <c r="EN137" s="30"/>
      <c r="EO137" s="40"/>
      <c r="EP137" s="40"/>
      <c r="EQ137" s="40"/>
      <c r="ER137" s="40"/>
      <c r="GU137" s="40"/>
      <c r="KP137" s="40"/>
      <c r="KQ137" s="40"/>
      <c r="KR137" s="40"/>
      <c r="KS137" s="40"/>
      <c r="PW137" s="40"/>
      <c r="PX137" s="40"/>
      <c r="PZ137" s="40"/>
      <c r="QN137" s="39"/>
      <c r="QR137" s="40"/>
      <c r="SU137" s="39"/>
      <c r="AID137" s="5"/>
      <c r="AJS137" s="5"/>
      <c r="AJT137" s="5"/>
      <c r="AJU137" s="5"/>
    </row>
    <row r="138" spans="6:957" hidden="1" x14ac:dyDescent="0.3">
      <c r="F138" s="137"/>
      <c r="G138" s="161" t="s">
        <v>37</v>
      </c>
      <c r="H138" s="180"/>
      <c r="I138" s="180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2"/>
      <c r="AH138" s="181"/>
      <c r="AI138" s="181"/>
      <c r="AJ138" s="181"/>
      <c r="AK138" s="181"/>
      <c r="AL138" s="181"/>
      <c r="AM138" s="181"/>
      <c r="AN138" s="181"/>
      <c r="AO138" s="31"/>
      <c r="AP138" s="46" t="s">
        <v>34</v>
      </c>
      <c r="AR138" s="8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CB138" s="5"/>
      <c r="CC138" s="5"/>
      <c r="DF138" s="5"/>
      <c r="EN138" s="30"/>
      <c r="EO138" s="5"/>
      <c r="EP138" s="5"/>
      <c r="EQ138" s="5"/>
      <c r="ER138" s="5"/>
      <c r="GU138" s="5"/>
      <c r="KP138" s="5"/>
      <c r="KQ138" s="5"/>
      <c r="KR138" s="5"/>
      <c r="KS138" s="5"/>
      <c r="PW138" s="5"/>
      <c r="PX138" s="5"/>
      <c r="PZ138" s="5"/>
      <c r="QN138" s="27"/>
      <c r="QR138" s="5"/>
      <c r="SU138" s="27"/>
      <c r="AID138" s="5"/>
      <c r="AJS138" s="5"/>
      <c r="AJT138" s="5"/>
      <c r="AJU138" s="5"/>
    </row>
    <row r="139" spans="6:957" hidden="1" x14ac:dyDescent="0.3">
      <c r="F139" s="135"/>
      <c r="G139" s="244" t="s">
        <v>33</v>
      </c>
      <c r="H139" s="192"/>
      <c r="I139" s="135"/>
      <c r="J139" s="11"/>
      <c r="K139" s="11"/>
      <c r="L139" s="11"/>
      <c r="M139" s="11"/>
      <c r="N139" s="11"/>
      <c r="O139" s="259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/>
      <c r="AP139" s="45" t="s">
        <v>33</v>
      </c>
      <c r="AR139" s="41"/>
      <c r="CB139" s="40"/>
      <c r="CC139" s="40"/>
      <c r="DF139" s="40"/>
      <c r="EN139" s="30"/>
      <c r="EO139" s="40"/>
      <c r="EP139" s="40"/>
      <c r="EQ139" s="40"/>
      <c r="ER139" s="40"/>
      <c r="GU139" s="40"/>
      <c r="KP139" s="40"/>
      <c r="KQ139" s="40"/>
      <c r="KR139" s="40"/>
      <c r="KS139" s="40"/>
      <c r="PW139" s="40"/>
      <c r="PX139" s="40"/>
      <c r="PZ139" s="40"/>
      <c r="QN139" s="39"/>
      <c r="QR139" s="40"/>
      <c r="SU139" s="39"/>
      <c r="AID139" s="5"/>
      <c r="AJS139" s="5"/>
      <c r="AJT139" s="5"/>
      <c r="AJU139" s="5"/>
    </row>
    <row r="140" spans="6:957" hidden="1" x14ac:dyDescent="0.3">
      <c r="F140" s="135"/>
      <c r="G140" s="165" t="s">
        <v>50</v>
      </c>
      <c r="H140" s="192"/>
      <c r="I140" s="214" t="s">
        <v>36</v>
      </c>
      <c r="J140" s="248">
        <v>0</v>
      </c>
      <c r="K140" s="248">
        <v>0</v>
      </c>
      <c r="L140" s="248">
        <v>0</v>
      </c>
      <c r="M140" s="248">
        <v>0</v>
      </c>
      <c r="N140" s="248">
        <v>0</v>
      </c>
      <c r="O140" s="355">
        <v>0</v>
      </c>
      <c r="P140" s="248">
        <v>0</v>
      </c>
      <c r="Q140" s="248">
        <v>0</v>
      </c>
      <c r="R140" s="248">
        <v>0</v>
      </c>
      <c r="S140" s="248">
        <v>0</v>
      </c>
      <c r="T140" s="248">
        <v>0</v>
      </c>
      <c r="U140" s="248"/>
      <c r="V140" s="248"/>
      <c r="W140" s="248"/>
      <c r="X140" s="248"/>
      <c r="Y140" s="248"/>
      <c r="Z140" s="248"/>
      <c r="AA140" s="248"/>
      <c r="AB140" s="248"/>
      <c r="AC140" s="248"/>
      <c r="AD140" s="248"/>
      <c r="AE140" s="248"/>
      <c r="AF140" s="248">
        <v>0</v>
      </c>
      <c r="AG140" s="248">
        <v>0</v>
      </c>
      <c r="AH140" s="248">
        <v>0</v>
      </c>
      <c r="AI140" s="248">
        <v>0</v>
      </c>
      <c r="AJ140" s="248">
        <v>0</v>
      </c>
      <c r="AK140" s="248">
        <v>0</v>
      </c>
      <c r="AL140" s="248">
        <v>0</v>
      </c>
      <c r="AM140" s="248">
        <v>0</v>
      </c>
      <c r="AN140" s="248"/>
      <c r="AO140" s="10"/>
      <c r="AP140" s="26">
        <f>SUM(J140:AN140)</f>
        <v>0</v>
      </c>
      <c r="AR140" s="41"/>
      <c r="CB140" s="40"/>
      <c r="CC140" s="40"/>
      <c r="DF140" s="40"/>
      <c r="EN140" s="30"/>
      <c r="EO140" s="40"/>
      <c r="EP140" s="40"/>
      <c r="EQ140" s="40"/>
      <c r="ER140" s="40"/>
      <c r="GU140" s="40"/>
      <c r="KP140" s="40"/>
      <c r="KQ140" s="40"/>
      <c r="KR140" s="40"/>
      <c r="KS140" s="40"/>
      <c r="PW140" s="40"/>
      <c r="PX140" s="40"/>
      <c r="PZ140" s="40"/>
      <c r="QN140" s="39"/>
      <c r="QR140" s="40"/>
      <c r="SU140" s="39"/>
      <c r="AID140" s="5"/>
      <c r="AJS140" s="5"/>
      <c r="AJT140" s="5"/>
      <c r="AJU140" s="5"/>
    </row>
    <row r="141" spans="6:957" hidden="1" x14ac:dyDescent="0.3">
      <c r="F141" s="135"/>
      <c r="G141" s="165" t="s">
        <v>49</v>
      </c>
      <c r="H141" s="192"/>
      <c r="I141" s="214" t="s">
        <v>36</v>
      </c>
      <c r="J141" s="248">
        <v>0</v>
      </c>
      <c r="K141" s="248">
        <v>0</v>
      </c>
      <c r="L141" s="248">
        <v>0</v>
      </c>
      <c r="M141" s="248">
        <v>0</v>
      </c>
      <c r="N141" s="248">
        <v>0</v>
      </c>
      <c r="O141" s="355">
        <v>0</v>
      </c>
      <c r="P141" s="248">
        <v>0</v>
      </c>
      <c r="Q141" s="248">
        <v>0</v>
      </c>
      <c r="R141" s="248">
        <v>0</v>
      </c>
      <c r="S141" s="248">
        <v>0</v>
      </c>
      <c r="T141" s="248">
        <v>0</v>
      </c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  <c r="AE141" s="248"/>
      <c r="AF141" s="248">
        <v>0</v>
      </c>
      <c r="AG141" s="248">
        <v>0</v>
      </c>
      <c r="AH141" s="248">
        <v>0</v>
      </c>
      <c r="AI141" s="248">
        <v>0</v>
      </c>
      <c r="AJ141" s="248">
        <v>0</v>
      </c>
      <c r="AK141" s="248">
        <v>0</v>
      </c>
      <c r="AL141" s="248">
        <v>0</v>
      </c>
      <c r="AM141" s="248">
        <v>0</v>
      </c>
      <c r="AN141" s="248"/>
      <c r="AO141" s="10"/>
      <c r="AP141" s="26">
        <f>SUM(J141:AN141)</f>
        <v>0</v>
      </c>
      <c r="AR141" s="41"/>
      <c r="CB141" s="40"/>
      <c r="CC141" s="40"/>
      <c r="DF141" s="40"/>
      <c r="EN141" s="30"/>
      <c r="EO141" s="40"/>
      <c r="EP141" s="40"/>
      <c r="EQ141" s="40"/>
      <c r="ER141" s="40"/>
      <c r="GU141" s="40"/>
      <c r="KP141" s="40"/>
      <c r="KQ141" s="40"/>
      <c r="KR141" s="40"/>
      <c r="KS141" s="40"/>
      <c r="PW141" s="40"/>
      <c r="PX141" s="40"/>
      <c r="PZ141" s="40"/>
      <c r="QN141" s="39"/>
      <c r="QR141" s="40"/>
      <c r="SU141" s="39"/>
      <c r="AID141" s="5"/>
      <c r="AJS141" s="5"/>
      <c r="AJT141" s="5"/>
      <c r="AJU141" s="5"/>
    </row>
    <row r="142" spans="6:957" hidden="1" x14ac:dyDescent="0.3">
      <c r="F142" s="135"/>
      <c r="G142" s="244" t="s">
        <v>32</v>
      </c>
      <c r="H142" s="192"/>
      <c r="I142" s="135"/>
      <c r="J142" s="248"/>
      <c r="K142" s="248"/>
      <c r="L142" s="248"/>
      <c r="M142" s="248"/>
      <c r="N142" s="248"/>
      <c r="O142" s="355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  <c r="AA142" s="248"/>
      <c r="AB142" s="248"/>
      <c r="AC142" s="248"/>
      <c r="AD142" s="248"/>
      <c r="AE142" s="248"/>
      <c r="AF142" s="248"/>
      <c r="AG142" s="248"/>
      <c r="AH142" s="248"/>
      <c r="AI142" s="248"/>
      <c r="AJ142" s="248"/>
      <c r="AK142" s="248"/>
      <c r="AL142" s="248"/>
      <c r="AM142" s="248"/>
      <c r="AN142" s="248"/>
      <c r="AO142" s="10"/>
      <c r="AP142" s="45" t="s">
        <v>32</v>
      </c>
      <c r="AR142" s="41"/>
      <c r="CB142" s="40"/>
      <c r="CC142" s="40"/>
      <c r="DF142" s="40"/>
      <c r="EN142" s="30"/>
      <c r="EO142" s="40"/>
      <c r="EP142" s="40"/>
      <c r="EQ142" s="40"/>
      <c r="ER142" s="40"/>
      <c r="GU142" s="40"/>
      <c r="KP142" s="40"/>
      <c r="KQ142" s="40"/>
      <c r="KR142" s="40"/>
      <c r="KS142" s="40"/>
      <c r="PW142" s="40"/>
      <c r="PX142" s="40"/>
      <c r="PZ142" s="40"/>
      <c r="QN142" s="39"/>
      <c r="QR142" s="40"/>
      <c r="SU142" s="39"/>
      <c r="AID142" s="5"/>
      <c r="AJS142" s="5"/>
      <c r="AJT142" s="5"/>
      <c r="AJU142" s="5"/>
    </row>
    <row r="143" spans="6:957" hidden="1" x14ac:dyDescent="0.3">
      <c r="F143" s="135"/>
      <c r="G143" s="165" t="str">
        <f>G140</f>
        <v xml:space="preserve">INL SP 900 mL  </v>
      </c>
      <c r="H143" s="192"/>
      <c r="I143" s="214" t="s">
        <v>32</v>
      </c>
      <c r="J143" s="248">
        <v>0</v>
      </c>
      <c r="K143" s="248">
        <v>0</v>
      </c>
      <c r="L143" s="248">
        <v>0</v>
      </c>
      <c r="M143" s="248">
        <v>0</v>
      </c>
      <c r="N143" s="248">
        <v>0</v>
      </c>
      <c r="O143" s="355">
        <v>0</v>
      </c>
      <c r="P143" s="248">
        <v>0</v>
      </c>
      <c r="Q143" s="248">
        <v>0</v>
      </c>
      <c r="R143" s="248">
        <v>0</v>
      </c>
      <c r="S143" s="248">
        <v>0</v>
      </c>
      <c r="T143" s="248">
        <v>0</v>
      </c>
      <c r="U143" s="248"/>
      <c r="V143" s="248"/>
      <c r="W143" s="248"/>
      <c r="X143" s="248"/>
      <c r="Y143" s="248"/>
      <c r="Z143" s="248"/>
      <c r="AA143" s="248"/>
      <c r="AB143" s="248"/>
      <c r="AC143" s="248"/>
      <c r="AD143" s="248"/>
      <c r="AE143" s="248"/>
      <c r="AF143" s="248">
        <v>0</v>
      </c>
      <c r="AG143" s="248">
        <v>0</v>
      </c>
      <c r="AH143" s="248">
        <v>0</v>
      </c>
      <c r="AI143" s="248">
        <v>8</v>
      </c>
      <c r="AJ143" s="248">
        <v>10</v>
      </c>
      <c r="AK143" s="248">
        <v>0</v>
      </c>
      <c r="AL143" s="248">
        <v>0</v>
      </c>
      <c r="AM143" s="248">
        <v>0</v>
      </c>
      <c r="AN143" s="248"/>
      <c r="AO143" s="10"/>
      <c r="AP143" s="26">
        <f>SUM(J143:AN143)</f>
        <v>18</v>
      </c>
      <c r="AR143" s="41"/>
      <c r="CB143" s="40"/>
      <c r="CC143" s="40"/>
      <c r="DF143" s="40"/>
      <c r="EN143" s="30"/>
      <c r="EO143" s="40"/>
      <c r="EP143" s="40"/>
      <c r="EQ143" s="40"/>
      <c r="ER143" s="40"/>
      <c r="GU143" s="40"/>
      <c r="KP143" s="40"/>
      <c r="KQ143" s="40"/>
      <c r="KR143" s="40"/>
      <c r="KS143" s="40"/>
      <c r="PW143" s="40"/>
      <c r="PX143" s="40"/>
      <c r="PZ143" s="40"/>
      <c r="QN143" s="39"/>
      <c r="QR143" s="40"/>
      <c r="SU143" s="39"/>
      <c r="AID143" s="5"/>
      <c r="AJS143" s="5"/>
      <c r="AJT143" s="5"/>
      <c r="AJU143" s="5"/>
    </row>
    <row r="144" spans="6:957" hidden="1" x14ac:dyDescent="0.3">
      <c r="F144" s="135"/>
      <c r="G144" s="165" t="str">
        <f>G141</f>
        <v>INL SP 1,8 L</v>
      </c>
      <c r="H144" s="192"/>
      <c r="I144" s="214" t="s">
        <v>32</v>
      </c>
      <c r="J144" s="248">
        <v>0</v>
      </c>
      <c r="K144" s="248">
        <v>0</v>
      </c>
      <c r="L144" s="248">
        <v>0</v>
      </c>
      <c r="M144" s="248">
        <v>0</v>
      </c>
      <c r="N144" s="248">
        <v>0</v>
      </c>
      <c r="O144" s="355">
        <v>0</v>
      </c>
      <c r="P144" s="248">
        <v>0</v>
      </c>
      <c r="Q144" s="248">
        <v>0</v>
      </c>
      <c r="R144" s="248">
        <v>0</v>
      </c>
      <c r="S144" s="248">
        <v>0</v>
      </c>
      <c r="T144" s="248">
        <v>0</v>
      </c>
      <c r="U144" s="248"/>
      <c r="V144" s="248"/>
      <c r="W144" s="248"/>
      <c r="X144" s="248"/>
      <c r="Y144" s="248"/>
      <c r="Z144" s="248"/>
      <c r="AA144" s="248"/>
      <c r="AB144" s="248"/>
      <c r="AC144" s="248"/>
      <c r="AD144" s="248"/>
      <c r="AE144" s="248"/>
      <c r="AF144" s="248">
        <v>0</v>
      </c>
      <c r="AG144" s="248">
        <v>0</v>
      </c>
      <c r="AH144" s="248">
        <v>0</v>
      </c>
      <c r="AI144" s="248">
        <v>0</v>
      </c>
      <c r="AJ144" s="248">
        <v>0</v>
      </c>
      <c r="AK144" s="248">
        <v>0</v>
      </c>
      <c r="AL144" s="248">
        <v>0</v>
      </c>
      <c r="AM144" s="248">
        <v>0</v>
      </c>
      <c r="AN144" s="248"/>
      <c r="AO144" s="10"/>
      <c r="AP144" s="26">
        <f>SUM(J144:AN144)</f>
        <v>0</v>
      </c>
      <c r="AR144" s="41"/>
      <c r="CB144" s="40"/>
      <c r="CC144" s="40"/>
      <c r="DF144" s="40"/>
      <c r="EN144" s="30"/>
      <c r="EO144" s="40"/>
      <c r="EP144" s="40"/>
      <c r="EQ144" s="40"/>
      <c r="ER144" s="40"/>
      <c r="GU144" s="40"/>
      <c r="KP144" s="40"/>
      <c r="KQ144" s="40"/>
      <c r="KR144" s="40"/>
      <c r="KS144" s="40"/>
      <c r="PW144" s="40"/>
      <c r="PX144" s="40"/>
      <c r="PZ144" s="40"/>
      <c r="QN144" s="39"/>
      <c r="QR144" s="40"/>
      <c r="SU144" s="39"/>
      <c r="AID144" s="5"/>
      <c r="AJS144" s="5"/>
      <c r="AJT144" s="5"/>
      <c r="AJU144" s="5"/>
    </row>
    <row r="145" spans="6:957" hidden="1" x14ac:dyDescent="0.3">
      <c r="F145" s="179">
        <v>8</v>
      </c>
      <c r="G145" s="161" t="s">
        <v>48</v>
      </c>
      <c r="H145" s="180"/>
      <c r="I145" s="180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2"/>
      <c r="AH145" s="181"/>
      <c r="AI145" s="181"/>
      <c r="AJ145" s="181"/>
      <c r="AK145" s="181"/>
      <c r="AL145" s="181"/>
      <c r="AM145" s="181"/>
      <c r="AN145" s="181"/>
      <c r="AO145" s="31"/>
      <c r="AP145" s="46" t="s">
        <v>47</v>
      </c>
      <c r="AR145" s="8"/>
      <c r="CB145" s="5"/>
      <c r="CC145" s="5"/>
      <c r="DF145" s="5"/>
      <c r="EN145" s="30"/>
      <c r="EO145" s="5"/>
      <c r="EP145" s="5"/>
      <c r="EQ145" s="5"/>
      <c r="ER145" s="5"/>
      <c r="GU145" s="5"/>
      <c r="KP145" s="5"/>
      <c r="KQ145" s="5"/>
      <c r="KR145" s="5"/>
      <c r="KS145" s="5"/>
      <c r="PW145" s="5"/>
      <c r="PX145" s="5"/>
      <c r="PZ145" s="5"/>
      <c r="QN145" s="27"/>
      <c r="QR145" s="5"/>
      <c r="SU145" s="27"/>
      <c r="AID145" s="5"/>
      <c r="AJS145" s="5"/>
      <c r="AJT145" s="5"/>
      <c r="AJU145" s="5"/>
    </row>
    <row r="146" spans="6:957" hidden="1" x14ac:dyDescent="0.3">
      <c r="F146" s="135"/>
      <c r="G146" s="251" t="s">
        <v>45</v>
      </c>
      <c r="H146" s="252"/>
      <c r="I146" s="253" t="s">
        <v>16</v>
      </c>
      <c r="J146" s="309">
        <v>0</v>
      </c>
      <c r="K146" s="309">
        <v>0</v>
      </c>
      <c r="L146" s="309">
        <v>0</v>
      </c>
      <c r="M146" s="309">
        <v>0</v>
      </c>
      <c r="N146" s="309">
        <v>0</v>
      </c>
      <c r="O146" s="358">
        <v>0</v>
      </c>
      <c r="P146" s="309">
        <v>0</v>
      </c>
      <c r="Q146" s="309">
        <v>0</v>
      </c>
      <c r="R146" s="309">
        <v>0</v>
      </c>
      <c r="S146" s="309">
        <v>0</v>
      </c>
      <c r="T146" s="309">
        <v>0</v>
      </c>
      <c r="U146" s="309">
        <v>0</v>
      </c>
      <c r="V146" s="309">
        <v>0</v>
      </c>
      <c r="W146" s="309">
        <v>0</v>
      </c>
      <c r="X146" s="309">
        <v>0</v>
      </c>
      <c r="Y146" s="309">
        <v>0</v>
      </c>
      <c r="Z146" s="309">
        <v>0</v>
      </c>
      <c r="AA146" s="309">
        <v>0</v>
      </c>
      <c r="AB146" s="309">
        <v>0</v>
      </c>
      <c r="AC146" s="309">
        <v>0</v>
      </c>
      <c r="AD146" s="309">
        <v>0</v>
      </c>
      <c r="AE146" s="309">
        <v>0</v>
      </c>
      <c r="AF146" s="309">
        <v>0</v>
      </c>
      <c r="AG146" s="309">
        <v>0</v>
      </c>
      <c r="AH146" s="309">
        <v>0</v>
      </c>
      <c r="AI146" s="309">
        <v>0</v>
      </c>
      <c r="AJ146" s="309">
        <v>0</v>
      </c>
      <c r="AK146" s="309">
        <v>0</v>
      </c>
      <c r="AL146" s="309">
        <v>0</v>
      </c>
      <c r="AM146" s="309">
        <v>0</v>
      </c>
      <c r="AN146" s="309">
        <v>0</v>
      </c>
      <c r="AO146" s="25"/>
      <c r="AP146" s="52">
        <f>SUM(AP147:AP148)</f>
        <v>0</v>
      </c>
      <c r="AR146" s="39">
        <f>U147/1000</f>
        <v>0</v>
      </c>
      <c r="CB146" s="40"/>
      <c r="CC146" s="40"/>
      <c r="DF146" s="40"/>
      <c r="EN146" s="30"/>
      <c r="EO146" s="40"/>
      <c r="EP146" s="40"/>
      <c r="EQ146" s="40"/>
      <c r="ER146" s="40"/>
      <c r="GU146" s="40"/>
      <c r="KP146" s="40"/>
      <c r="KQ146" s="40"/>
      <c r="KR146" s="40"/>
      <c r="KS146" s="40"/>
      <c r="PW146" s="40"/>
      <c r="PX146" s="40"/>
      <c r="PZ146" s="40"/>
      <c r="QN146" s="39"/>
      <c r="QR146" s="40"/>
      <c r="SU146" s="39"/>
      <c r="AID146" s="5"/>
      <c r="AJS146" s="5"/>
      <c r="AJT146" s="5"/>
      <c r="AJU146" s="5"/>
    </row>
    <row r="147" spans="6:957" hidden="1" x14ac:dyDescent="0.3">
      <c r="F147" s="135"/>
      <c r="G147" s="244" t="s">
        <v>44</v>
      </c>
      <c r="H147" s="192"/>
      <c r="I147" s="214" t="s">
        <v>16</v>
      </c>
      <c r="J147" s="297">
        <f>SUM(J150:J152)*9.75348</f>
        <v>0</v>
      </c>
      <c r="K147" s="297">
        <f t="shared" ref="K147:X147" si="70">SUM(K150:K152)*9.75348</f>
        <v>0</v>
      </c>
      <c r="L147" s="297">
        <f t="shared" si="70"/>
        <v>0</v>
      </c>
      <c r="M147" s="297">
        <f t="shared" si="70"/>
        <v>0</v>
      </c>
      <c r="N147" s="297">
        <f t="shared" si="70"/>
        <v>0</v>
      </c>
      <c r="O147" s="312">
        <f t="shared" si="70"/>
        <v>0</v>
      </c>
      <c r="P147" s="297">
        <f t="shared" si="70"/>
        <v>0</v>
      </c>
      <c r="Q147" s="297">
        <f t="shared" si="70"/>
        <v>0</v>
      </c>
      <c r="R147" s="297">
        <f t="shared" si="70"/>
        <v>0</v>
      </c>
      <c r="S147" s="297">
        <f t="shared" si="70"/>
        <v>0</v>
      </c>
      <c r="T147" s="297">
        <f t="shared" si="70"/>
        <v>0</v>
      </c>
      <c r="U147" s="297">
        <f t="shared" si="70"/>
        <v>0</v>
      </c>
      <c r="V147" s="297">
        <f t="shared" si="70"/>
        <v>0</v>
      </c>
      <c r="W147" s="297">
        <f t="shared" si="70"/>
        <v>0</v>
      </c>
      <c r="X147" s="297">
        <f t="shared" si="70"/>
        <v>0</v>
      </c>
      <c r="Y147" s="297">
        <f t="shared" ref="Y147:AN147" si="71">SUM(Y150:Y152)*9.75348</f>
        <v>0</v>
      </c>
      <c r="Z147" s="297">
        <f t="shared" si="71"/>
        <v>0</v>
      </c>
      <c r="AA147" s="297">
        <f t="shared" si="71"/>
        <v>0</v>
      </c>
      <c r="AB147" s="297">
        <f t="shared" si="71"/>
        <v>0</v>
      </c>
      <c r="AC147" s="297">
        <f t="shared" si="71"/>
        <v>0</v>
      </c>
      <c r="AD147" s="297">
        <f t="shared" si="71"/>
        <v>0</v>
      </c>
      <c r="AE147" s="297">
        <f t="shared" si="71"/>
        <v>0</v>
      </c>
      <c r="AF147" s="297">
        <f t="shared" si="71"/>
        <v>0</v>
      </c>
      <c r="AG147" s="297">
        <f t="shared" si="71"/>
        <v>0</v>
      </c>
      <c r="AH147" s="297">
        <f t="shared" si="71"/>
        <v>0</v>
      </c>
      <c r="AI147" s="297">
        <f t="shared" si="71"/>
        <v>0</v>
      </c>
      <c r="AJ147" s="297">
        <f t="shared" si="71"/>
        <v>0</v>
      </c>
      <c r="AK147" s="297">
        <f t="shared" si="71"/>
        <v>0</v>
      </c>
      <c r="AL147" s="297">
        <f t="shared" si="71"/>
        <v>0</v>
      </c>
      <c r="AM147" s="297">
        <f t="shared" si="71"/>
        <v>0</v>
      </c>
      <c r="AN147" s="297">
        <f t="shared" si="71"/>
        <v>0</v>
      </c>
      <c r="AO147" s="10"/>
      <c r="AP147" s="44">
        <f>SUM(J147:AN147)</f>
        <v>0</v>
      </c>
      <c r="AR147" s="39"/>
      <c r="CB147" s="40"/>
      <c r="CC147" s="40"/>
      <c r="DF147" s="40"/>
      <c r="EN147" s="30"/>
      <c r="EO147" s="40"/>
      <c r="EP147" s="40"/>
      <c r="EQ147" s="40"/>
      <c r="ER147" s="40"/>
      <c r="GU147" s="40"/>
      <c r="KP147" s="40"/>
      <c r="KQ147" s="40"/>
      <c r="KR147" s="40"/>
      <c r="KS147" s="40"/>
      <c r="PW147" s="40"/>
      <c r="PX147" s="40"/>
      <c r="PZ147" s="40"/>
      <c r="QN147" s="39"/>
      <c r="QR147" s="40"/>
      <c r="SU147" s="39"/>
      <c r="AID147" s="5"/>
      <c r="AJS147" s="5"/>
      <c r="AJT147" s="5"/>
      <c r="AJU147" s="5"/>
    </row>
    <row r="148" spans="6:957" hidden="1" x14ac:dyDescent="0.3">
      <c r="F148" s="135"/>
      <c r="G148" s="244" t="s">
        <v>43</v>
      </c>
      <c r="H148" s="192"/>
      <c r="I148" s="214" t="s">
        <v>16</v>
      </c>
      <c r="J148" s="297">
        <f>J146-J147</f>
        <v>0</v>
      </c>
      <c r="K148" s="297">
        <f t="shared" ref="K148:AN148" si="72">K146-K147</f>
        <v>0</v>
      </c>
      <c r="L148" s="297">
        <f t="shared" si="72"/>
        <v>0</v>
      </c>
      <c r="M148" s="297">
        <f t="shared" si="72"/>
        <v>0</v>
      </c>
      <c r="N148" s="297">
        <f t="shared" si="72"/>
        <v>0</v>
      </c>
      <c r="O148" s="312">
        <f t="shared" si="72"/>
        <v>0</v>
      </c>
      <c r="P148" s="297">
        <f t="shared" si="72"/>
        <v>0</v>
      </c>
      <c r="Q148" s="297">
        <f t="shared" si="72"/>
        <v>0</v>
      </c>
      <c r="R148" s="297">
        <f t="shared" si="72"/>
        <v>0</v>
      </c>
      <c r="S148" s="297">
        <f t="shared" si="72"/>
        <v>0</v>
      </c>
      <c r="T148" s="297">
        <f t="shared" si="72"/>
        <v>0</v>
      </c>
      <c r="U148" s="297">
        <f t="shared" si="72"/>
        <v>0</v>
      </c>
      <c r="V148" s="297">
        <f t="shared" si="72"/>
        <v>0</v>
      </c>
      <c r="W148" s="297">
        <f t="shared" si="72"/>
        <v>0</v>
      </c>
      <c r="X148" s="297">
        <f t="shared" si="72"/>
        <v>0</v>
      </c>
      <c r="Y148" s="297">
        <f t="shared" si="72"/>
        <v>0</v>
      </c>
      <c r="Z148" s="297">
        <f t="shared" si="72"/>
        <v>0</v>
      </c>
      <c r="AA148" s="297">
        <f t="shared" si="72"/>
        <v>0</v>
      </c>
      <c r="AB148" s="297">
        <f t="shared" si="72"/>
        <v>0</v>
      </c>
      <c r="AC148" s="297">
        <f t="shared" si="72"/>
        <v>0</v>
      </c>
      <c r="AD148" s="297">
        <f t="shared" si="72"/>
        <v>0</v>
      </c>
      <c r="AE148" s="297">
        <f t="shared" si="72"/>
        <v>0</v>
      </c>
      <c r="AF148" s="297">
        <f t="shared" si="72"/>
        <v>0</v>
      </c>
      <c r="AG148" s="297">
        <f t="shared" si="72"/>
        <v>0</v>
      </c>
      <c r="AH148" s="297">
        <f t="shared" si="72"/>
        <v>0</v>
      </c>
      <c r="AI148" s="297">
        <f t="shared" si="72"/>
        <v>0</v>
      </c>
      <c r="AJ148" s="297">
        <f t="shared" si="72"/>
        <v>0</v>
      </c>
      <c r="AK148" s="297">
        <f t="shared" si="72"/>
        <v>0</v>
      </c>
      <c r="AL148" s="297">
        <f t="shared" si="72"/>
        <v>0</v>
      </c>
      <c r="AM148" s="297">
        <f t="shared" si="72"/>
        <v>0</v>
      </c>
      <c r="AN148" s="297">
        <f t="shared" si="72"/>
        <v>0</v>
      </c>
      <c r="AO148" s="10"/>
      <c r="AP148" s="44">
        <f>SUM(J148:AN148)</f>
        <v>0</v>
      </c>
      <c r="AR148" s="307"/>
      <c r="CB148" s="40"/>
      <c r="CC148" s="40"/>
      <c r="DF148" s="40"/>
      <c r="EN148" s="30"/>
      <c r="EO148" s="40"/>
      <c r="EP148" s="40"/>
      <c r="EQ148" s="40"/>
      <c r="ER148" s="40"/>
      <c r="GU148" s="40"/>
      <c r="KP148" s="40"/>
      <c r="KQ148" s="40"/>
      <c r="KR148" s="40"/>
      <c r="KS148" s="40"/>
      <c r="PW148" s="40"/>
      <c r="PX148" s="40"/>
      <c r="PZ148" s="40"/>
      <c r="QN148" s="39"/>
      <c r="QR148" s="40"/>
      <c r="SU148" s="39"/>
      <c r="AID148" s="5"/>
      <c r="AJS148" s="5"/>
      <c r="AJT148" s="5"/>
      <c r="AJU148" s="5"/>
    </row>
    <row r="149" spans="6:957" hidden="1" x14ac:dyDescent="0.3">
      <c r="F149" s="135"/>
      <c r="G149" s="244" t="s">
        <v>33</v>
      </c>
      <c r="H149" s="192"/>
      <c r="I149" s="135"/>
      <c r="J149" s="11"/>
      <c r="K149" s="11"/>
      <c r="L149" s="11"/>
      <c r="M149" s="11"/>
      <c r="N149" s="11"/>
      <c r="O149" s="259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/>
      <c r="AP149" s="45" t="s">
        <v>33</v>
      </c>
      <c r="AR149" s="41"/>
      <c r="CB149" s="40"/>
      <c r="CC149" s="40"/>
      <c r="DF149" s="40"/>
      <c r="EN149" s="30"/>
      <c r="EO149" s="40"/>
      <c r="EP149" s="40"/>
      <c r="EQ149" s="40"/>
      <c r="ER149" s="40"/>
      <c r="GU149" s="40"/>
      <c r="KP149" s="40"/>
      <c r="KQ149" s="40"/>
      <c r="KR149" s="40"/>
      <c r="KS149" s="40"/>
      <c r="PW149" s="40"/>
      <c r="PX149" s="40"/>
      <c r="PZ149" s="40"/>
      <c r="QN149" s="39"/>
      <c r="QR149" s="40"/>
      <c r="SU149" s="39"/>
      <c r="AID149" s="5"/>
      <c r="AJS149" s="5"/>
      <c r="AJT149" s="5"/>
      <c r="AJU149" s="5"/>
    </row>
    <row r="150" spans="6:957" hidden="1" x14ac:dyDescent="0.3">
      <c r="F150" s="167"/>
      <c r="G150" s="165" t="s">
        <v>31</v>
      </c>
      <c r="H150" s="166"/>
      <c r="I150" s="247" t="s">
        <v>36</v>
      </c>
      <c r="J150" s="248">
        <v>0</v>
      </c>
      <c r="K150" s="248">
        <v>0</v>
      </c>
      <c r="L150" s="248">
        <v>0</v>
      </c>
      <c r="M150" s="248">
        <v>0</v>
      </c>
      <c r="N150" s="248">
        <v>0</v>
      </c>
      <c r="O150" s="355">
        <v>0</v>
      </c>
      <c r="P150" s="248">
        <v>0</v>
      </c>
      <c r="Q150" s="248">
        <v>0</v>
      </c>
      <c r="R150" s="248">
        <v>0</v>
      </c>
      <c r="S150" s="248">
        <v>0</v>
      </c>
      <c r="T150" s="248">
        <v>0</v>
      </c>
      <c r="U150" s="248">
        <v>0</v>
      </c>
      <c r="V150" s="248">
        <v>0</v>
      </c>
      <c r="W150" s="248">
        <v>0</v>
      </c>
      <c r="X150" s="248">
        <v>0</v>
      </c>
      <c r="Y150" s="248">
        <v>0</v>
      </c>
      <c r="Z150" s="248">
        <v>0</v>
      </c>
      <c r="AA150" s="248">
        <v>0</v>
      </c>
      <c r="AB150" s="248">
        <v>0</v>
      </c>
      <c r="AC150" s="248">
        <v>0</v>
      </c>
      <c r="AD150" s="248">
        <v>0</v>
      </c>
      <c r="AE150" s="248">
        <v>0</v>
      </c>
      <c r="AF150" s="248">
        <v>0</v>
      </c>
      <c r="AG150" s="248">
        <v>0</v>
      </c>
      <c r="AH150" s="248">
        <v>0</v>
      </c>
      <c r="AI150" s="248">
        <v>0</v>
      </c>
      <c r="AJ150" s="248">
        <v>0</v>
      </c>
      <c r="AK150" s="248">
        <v>0</v>
      </c>
      <c r="AL150" s="248">
        <v>0</v>
      </c>
      <c r="AM150" s="248">
        <v>0</v>
      </c>
      <c r="AN150" s="248">
        <v>0</v>
      </c>
      <c r="AO150" s="51"/>
      <c r="AP150" s="50">
        <f>SUM(J150:AN150)</f>
        <v>0</v>
      </c>
      <c r="AR150" s="49"/>
      <c r="CB150" s="48"/>
      <c r="CC150" s="48"/>
      <c r="DF150" s="48"/>
      <c r="EN150" s="16"/>
      <c r="EO150" s="48"/>
      <c r="EP150" s="48"/>
      <c r="EQ150" s="48"/>
      <c r="ER150" s="48"/>
      <c r="GU150" s="48"/>
      <c r="KP150" s="48"/>
      <c r="KQ150" s="48"/>
      <c r="KR150" s="48"/>
      <c r="KS150" s="48"/>
      <c r="PW150" s="48"/>
      <c r="PX150" s="48"/>
      <c r="PZ150" s="48"/>
      <c r="QN150" s="47"/>
      <c r="QR150" s="48"/>
      <c r="SU150" s="47"/>
      <c r="AID150" s="14"/>
      <c r="AJS150" s="14"/>
      <c r="AJT150" s="14"/>
      <c r="AJU150" s="14"/>
    </row>
    <row r="151" spans="6:957" hidden="1" x14ac:dyDescent="0.3">
      <c r="F151" s="167"/>
      <c r="G151" s="165" t="s">
        <v>30</v>
      </c>
      <c r="H151" s="166"/>
      <c r="I151" s="247" t="s">
        <v>36</v>
      </c>
      <c r="J151" s="248">
        <v>0</v>
      </c>
      <c r="K151" s="248">
        <v>0</v>
      </c>
      <c r="L151" s="248">
        <v>0</v>
      </c>
      <c r="M151" s="248">
        <v>0</v>
      </c>
      <c r="N151" s="248">
        <v>0</v>
      </c>
      <c r="O151" s="355">
        <v>0</v>
      </c>
      <c r="P151" s="248">
        <v>0</v>
      </c>
      <c r="Q151" s="248">
        <v>0</v>
      </c>
      <c r="R151" s="248">
        <v>0</v>
      </c>
      <c r="S151" s="248">
        <v>0</v>
      </c>
      <c r="T151" s="248">
        <v>0</v>
      </c>
      <c r="U151" s="248">
        <v>0</v>
      </c>
      <c r="V151" s="248">
        <v>0</v>
      </c>
      <c r="W151" s="248">
        <v>0</v>
      </c>
      <c r="X151" s="248">
        <v>0</v>
      </c>
      <c r="Y151" s="248">
        <v>0</v>
      </c>
      <c r="Z151" s="248">
        <v>0</v>
      </c>
      <c r="AA151" s="248">
        <v>0</v>
      </c>
      <c r="AB151" s="248">
        <v>0</v>
      </c>
      <c r="AC151" s="248">
        <v>0</v>
      </c>
      <c r="AD151" s="248">
        <v>0</v>
      </c>
      <c r="AE151" s="248">
        <v>0</v>
      </c>
      <c r="AF151" s="248">
        <v>0</v>
      </c>
      <c r="AG151" s="248">
        <v>0</v>
      </c>
      <c r="AH151" s="248">
        <v>0</v>
      </c>
      <c r="AI151" s="248">
        <v>0</v>
      </c>
      <c r="AJ151" s="248">
        <v>0</v>
      </c>
      <c r="AK151" s="248">
        <v>0</v>
      </c>
      <c r="AL151" s="248">
        <v>0</v>
      </c>
      <c r="AM151" s="248">
        <v>0</v>
      </c>
      <c r="AN151" s="248">
        <v>0</v>
      </c>
      <c r="AO151" s="51"/>
      <c r="AP151" s="50">
        <f>SUM(J151:AN151)</f>
        <v>0</v>
      </c>
      <c r="AR151" s="49"/>
      <c r="CB151" s="48"/>
      <c r="CC151" s="48"/>
      <c r="DF151" s="48"/>
      <c r="EN151" s="16"/>
      <c r="EO151" s="48"/>
      <c r="EP151" s="48"/>
      <c r="EQ151" s="48"/>
      <c r="ER151" s="48"/>
      <c r="GU151" s="48"/>
      <c r="KP151" s="48"/>
      <c r="KQ151" s="48"/>
      <c r="KR151" s="48"/>
      <c r="KS151" s="48"/>
      <c r="PW151" s="48"/>
      <c r="PX151" s="48"/>
      <c r="PZ151" s="48"/>
      <c r="QN151" s="47"/>
      <c r="QR151" s="48"/>
      <c r="SU151" s="47"/>
      <c r="AID151" s="14"/>
      <c r="AJS151" s="14"/>
      <c r="AJT151" s="14"/>
      <c r="AJU151" s="14"/>
    </row>
    <row r="152" spans="6:957" hidden="1" x14ac:dyDescent="0.3">
      <c r="F152" s="167"/>
      <c r="G152" s="165" t="s">
        <v>42</v>
      </c>
      <c r="H152" s="166"/>
      <c r="I152" s="247" t="s">
        <v>36</v>
      </c>
      <c r="J152" s="248">
        <v>0</v>
      </c>
      <c r="K152" s="248">
        <v>0</v>
      </c>
      <c r="L152" s="248">
        <v>0</v>
      </c>
      <c r="M152" s="248">
        <v>0</v>
      </c>
      <c r="N152" s="248">
        <v>0</v>
      </c>
      <c r="O152" s="355">
        <v>0</v>
      </c>
      <c r="P152" s="248">
        <v>0</v>
      </c>
      <c r="Q152" s="248">
        <v>0</v>
      </c>
      <c r="R152" s="248">
        <v>0</v>
      </c>
      <c r="S152" s="248">
        <v>0</v>
      </c>
      <c r="T152" s="248">
        <v>0</v>
      </c>
      <c r="U152" s="248">
        <v>0</v>
      </c>
      <c r="V152" s="248">
        <v>0</v>
      </c>
      <c r="W152" s="248">
        <v>0</v>
      </c>
      <c r="X152" s="248">
        <v>0</v>
      </c>
      <c r="Y152" s="248">
        <v>0</v>
      </c>
      <c r="Z152" s="248">
        <v>0</v>
      </c>
      <c r="AA152" s="248">
        <v>0</v>
      </c>
      <c r="AB152" s="248">
        <v>0</v>
      </c>
      <c r="AC152" s="248">
        <v>0</v>
      </c>
      <c r="AD152" s="248">
        <v>0</v>
      </c>
      <c r="AE152" s="248">
        <v>0</v>
      </c>
      <c r="AF152" s="248">
        <v>0</v>
      </c>
      <c r="AG152" s="248">
        <v>0</v>
      </c>
      <c r="AH152" s="248">
        <v>0</v>
      </c>
      <c r="AI152" s="248">
        <v>0</v>
      </c>
      <c r="AJ152" s="248">
        <v>0</v>
      </c>
      <c r="AK152" s="248">
        <v>0</v>
      </c>
      <c r="AL152" s="248">
        <v>0</v>
      </c>
      <c r="AM152" s="248">
        <v>0</v>
      </c>
      <c r="AN152" s="248">
        <v>0</v>
      </c>
      <c r="AO152" s="51"/>
      <c r="AP152" s="50">
        <f>SUM(J152:AN152)</f>
        <v>0</v>
      </c>
      <c r="AR152" s="49"/>
      <c r="CB152" s="48"/>
      <c r="CC152" s="48"/>
      <c r="DF152" s="48"/>
      <c r="EN152" s="16"/>
      <c r="EO152" s="48"/>
      <c r="EP152" s="48"/>
      <c r="EQ152" s="48"/>
      <c r="ER152" s="48"/>
      <c r="GU152" s="48"/>
      <c r="KP152" s="48"/>
      <c r="KQ152" s="48"/>
      <c r="KR152" s="48"/>
      <c r="KS152" s="48"/>
      <c r="PW152" s="48"/>
      <c r="PX152" s="48"/>
      <c r="PZ152" s="48"/>
      <c r="QN152" s="47"/>
      <c r="QR152" s="48"/>
      <c r="SU152" s="47"/>
      <c r="AID152" s="14"/>
      <c r="AJS152" s="14"/>
      <c r="AJT152" s="14"/>
      <c r="AJU152" s="14"/>
    </row>
    <row r="153" spans="6:957" hidden="1" x14ac:dyDescent="0.3">
      <c r="F153" s="135"/>
      <c r="G153" s="244" t="s">
        <v>32</v>
      </c>
      <c r="H153" s="192"/>
      <c r="I153" s="135"/>
      <c r="J153" s="11"/>
      <c r="K153" s="11"/>
      <c r="L153" s="11"/>
      <c r="M153" s="11"/>
      <c r="N153" s="11"/>
      <c r="O153" s="259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0"/>
      <c r="AP153" s="45" t="s">
        <v>32</v>
      </c>
      <c r="AR153" s="41"/>
      <c r="CB153" s="40"/>
      <c r="CC153" s="40"/>
      <c r="DF153" s="40"/>
      <c r="EN153" s="30"/>
      <c r="EO153" s="40"/>
      <c r="EP153" s="40"/>
      <c r="EQ153" s="40"/>
      <c r="ER153" s="40"/>
      <c r="GU153" s="40"/>
      <c r="KP153" s="40"/>
      <c r="KQ153" s="40"/>
      <c r="KR153" s="40"/>
      <c r="KS153" s="40"/>
      <c r="PW153" s="40"/>
      <c r="PX153" s="40"/>
      <c r="PZ153" s="40"/>
      <c r="QN153" s="39"/>
      <c r="QR153" s="40"/>
      <c r="SU153" s="39"/>
      <c r="AID153" s="5"/>
      <c r="AJS153" s="5"/>
      <c r="AJT153" s="5"/>
      <c r="AJU153" s="5"/>
    </row>
    <row r="154" spans="6:957" hidden="1" x14ac:dyDescent="0.3">
      <c r="F154" s="135"/>
      <c r="G154" s="165" t="s">
        <v>31</v>
      </c>
      <c r="H154" s="192"/>
      <c r="I154" s="214" t="s">
        <v>32</v>
      </c>
      <c r="J154" s="11">
        <f>J150*24</f>
        <v>0</v>
      </c>
      <c r="K154" s="11">
        <f t="shared" ref="K154:AN154" si="73">K150*24</f>
        <v>0</v>
      </c>
      <c r="L154" s="11">
        <f t="shared" si="73"/>
        <v>0</v>
      </c>
      <c r="M154" s="11">
        <f t="shared" si="73"/>
        <v>0</v>
      </c>
      <c r="N154" s="11">
        <f t="shared" si="73"/>
        <v>0</v>
      </c>
      <c r="O154" s="259">
        <f t="shared" si="73"/>
        <v>0</v>
      </c>
      <c r="P154" s="11">
        <f t="shared" si="73"/>
        <v>0</v>
      </c>
      <c r="Q154" s="11">
        <f t="shared" si="73"/>
        <v>0</v>
      </c>
      <c r="R154" s="11">
        <f t="shared" si="73"/>
        <v>0</v>
      </c>
      <c r="S154" s="11">
        <f t="shared" si="73"/>
        <v>0</v>
      </c>
      <c r="T154" s="11">
        <f t="shared" si="73"/>
        <v>0</v>
      </c>
      <c r="U154" s="11">
        <f t="shared" si="73"/>
        <v>0</v>
      </c>
      <c r="V154" s="11">
        <f t="shared" si="73"/>
        <v>0</v>
      </c>
      <c r="W154" s="11">
        <f t="shared" si="73"/>
        <v>0</v>
      </c>
      <c r="X154" s="11">
        <f t="shared" si="73"/>
        <v>0</v>
      </c>
      <c r="Y154" s="11">
        <f t="shared" si="73"/>
        <v>0</v>
      </c>
      <c r="Z154" s="11">
        <f t="shared" si="73"/>
        <v>0</v>
      </c>
      <c r="AA154" s="11">
        <f t="shared" si="73"/>
        <v>0</v>
      </c>
      <c r="AB154" s="11">
        <f t="shared" si="73"/>
        <v>0</v>
      </c>
      <c r="AC154" s="11">
        <f t="shared" si="73"/>
        <v>0</v>
      </c>
      <c r="AD154" s="11">
        <f t="shared" si="73"/>
        <v>0</v>
      </c>
      <c r="AE154" s="11">
        <f t="shared" si="73"/>
        <v>0</v>
      </c>
      <c r="AF154" s="11">
        <f t="shared" si="73"/>
        <v>0</v>
      </c>
      <c r="AG154" s="11">
        <f t="shared" si="73"/>
        <v>0</v>
      </c>
      <c r="AH154" s="11">
        <f t="shared" si="73"/>
        <v>0</v>
      </c>
      <c r="AI154" s="11">
        <f t="shared" si="73"/>
        <v>0</v>
      </c>
      <c r="AJ154" s="11">
        <f t="shared" si="73"/>
        <v>0</v>
      </c>
      <c r="AK154" s="11">
        <f t="shared" si="73"/>
        <v>0</v>
      </c>
      <c r="AL154" s="11">
        <f t="shared" si="73"/>
        <v>0</v>
      </c>
      <c r="AM154" s="11">
        <f t="shared" si="73"/>
        <v>0</v>
      </c>
      <c r="AN154" s="11">
        <f t="shared" si="73"/>
        <v>0</v>
      </c>
      <c r="AO154" s="10"/>
      <c r="AP154" s="26">
        <f>AP150*24</f>
        <v>0</v>
      </c>
      <c r="AR154" s="307"/>
      <c r="CB154" s="40"/>
      <c r="CC154" s="40"/>
      <c r="DF154" s="40"/>
      <c r="EN154" s="30"/>
      <c r="EO154" s="40"/>
      <c r="EP154" s="40"/>
      <c r="EQ154" s="40"/>
      <c r="ER154" s="40"/>
      <c r="GU154" s="40"/>
      <c r="KP154" s="40"/>
      <c r="KQ154" s="40"/>
      <c r="KR154" s="40"/>
      <c r="KS154" s="40"/>
      <c r="PW154" s="40"/>
      <c r="PX154" s="40"/>
      <c r="PZ154" s="40"/>
      <c r="QN154" s="39"/>
      <c r="QR154" s="40"/>
      <c r="SU154" s="39"/>
      <c r="AID154" s="5"/>
      <c r="AJS154" s="5"/>
      <c r="AJT154" s="5"/>
      <c r="AJU154" s="5"/>
    </row>
    <row r="155" spans="6:957" hidden="1" x14ac:dyDescent="0.3">
      <c r="F155" s="135"/>
      <c r="G155" s="165" t="s">
        <v>30</v>
      </c>
      <c r="H155" s="192"/>
      <c r="I155" s="214" t="s">
        <v>32</v>
      </c>
      <c r="J155" s="11">
        <f>J151*12</f>
        <v>0</v>
      </c>
      <c r="K155" s="11">
        <f t="shared" ref="K155:AN156" si="74">K151*12</f>
        <v>0</v>
      </c>
      <c r="L155" s="11">
        <f t="shared" si="74"/>
        <v>0</v>
      </c>
      <c r="M155" s="11">
        <f t="shared" si="74"/>
        <v>0</v>
      </c>
      <c r="N155" s="11">
        <f t="shared" si="74"/>
        <v>0</v>
      </c>
      <c r="O155" s="259">
        <f t="shared" si="74"/>
        <v>0</v>
      </c>
      <c r="P155" s="11">
        <f t="shared" si="74"/>
        <v>0</v>
      </c>
      <c r="Q155" s="11">
        <f t="shared" si="74"/>
        <v>0</v>
      </c>
      <c r="R155" s="11">
        <f t="shared" si="74"/>
        <v>0</v>
      </c>
      <c r="S155" s="11">
        <f t="shared" si="74"/>
        <v>0</v>
      </c>
      <c r="T155" s="11">
        <f t="shared" si="74"/>
        <v>0</v>
      </c>
      <c r="U155" s="11">
        <f t="shared" si="74"/>
        <v>0</v>
      </c>
      <c r="V155" s="11">
        <f t="shared" si="74"/>
        <v>0</v>
      </c>
      <c r="W155" s="11">
        <f t="shared" si="74"/>
        <v>0</v>
      </c>
      <c r="X155" s="11">
        <f t="shared" si="74"/>
        <v>0</v>
      </c>
      <c r="Y155" s="11">
        <f t="shared" si="74"/>
        <v>0</v>
      </c>
      <c r="Z155" s="11">
        <f t="shared" si="74"/>
        <v>0</v>
      </c>
      <c r="AA155" s="11">
        <f t="shared" si="74"/>
        <v>0</v>
      </c>
      <c r="AB155" s="11">
        <f t="shared" si="74"/>
        <v>0</v>
      </c>
      <c r="AC155" s="11">
        <f t="shared" si="74"/>
        <v>0</v>
      </c>
      <c r="AD155" s="11">
        <f t="shared" si="74"/>
        <v>0</v>
      </c>
      <c r="AE155" s="11">
        <f t="shared" si="74"/>
        <v>0</v>
      </c>
      <c r="AF155" s="11">
        <f t="shared" si="74"/>
        <v>0</v>
      </c>
      <c r="AG155" s="11">
        <f t="shared" si="74"/>
        <v>0</v>
      </c>
      <c r="AH155" s="11">
        <f t="shared" si="74"/>
        <v>0</v>
      </c>
      <c r="AI155" s="11">
        <f t="shared" si="74"/>
        <v>0</v>
      </c>
      <c r="AJ155" s="11">
        <f t="shared" si="74"/>
        <v>0</v>
      </c>
      <c r="AK155" s="11">
        <f t="shared" si="74"/>
        <v>0</v>
      </c>
      <c r="AL155" s="11">
        <f t="shared" si="74"/>
        <v>0</v>
      </c>
      <c r="AM155" s="11">
        <f t="shared" si="74"/>
        <v>0</v>
      </c>
      <c r="AN155" s="11">
        <f t="shared" si="74"/>
        <v>0</v>
      </c>
      <c r="AO155" s="10"/>
      <c r="AP155" s="26">
        <f>AP151*12</f>
        <v>0</v>
      </c>
      <c r="AR155" s="41"/>
      <c r="CB155" s="40"/>
      <c r="CC155" s="40"/>
      <c r="DF155" s="40"/>
      <c r="EN155" s="30"/>
      <c r="EO155" s="40"/>
      <c r="EP155" s="40"/>
      <c r="EQ155" s="40"/>
      <c r="ER155" s="40"/>
      <c r="GU155" s="40"/>
      <c r="KP155" s="40"/>
      <c r="KQ155" s="40"/>
      <c r="KR155" s="40"/>
      <c r="KS155" s="40"/>
      <c r="PW155" s="40"/>
      <c r="PX155" s="40"/>
      <c r="PZ155" s="40"/>
      <c r="QN155" s="39"/>
      <c r="QR155" s="40"/>
      <c r="SU155" s="39"/>
      <c r="AID155" s="5"/>
      <c r="AJS155" s="5"/>
      <c r="AJT155" s="5"/>
      <c r="AJU155" s="5"/>
    </row>
    <row r="156" spans="6:957" hidden="1" x14ac:dyDescent="0.3">
      <c r="F156" s="135"/>
      <c r="G156" s="165" t="s">
        <v>42</v>
      </c>
      <c r="H156" s="192"/>
      <c r="I156" s="214" t="s">
        <v>32</v>
      </c>
      <c r="J156" s="11">
        <f>J152*6</f>
        <v>0</v>
      </c>
      <c r="K156" s="11">
        <f t="shared" ref="K156:AG156" si="75">K152*6</f>
        <v>0</v>
      </c>
      <c r="L156" s="11">
        <f t="shared" si="75"/>
        <v>0</v>
      </c>
      <c r="M156" s="11">
        <f t="shared" si="75"/>
        <v>0</v>
      </c>
      <c r="N156" s="11">
        <f t="shared" si="75"/>
        <v>0</v>
      </c>
      <c r="O156" s="259">
        <f t="shared" si="75"/>
        <v>0</v>
      </c>
      <c r="P156" s="11">
        <f t="shared" si="75"/>
        <v>0</v>
      </c>
      <c r="Q156" s="11">
        <f t="shared" si="75"/>
        <v>0</v>
      </c>
      <c r="R156" s="11">
        <f t="shared" si="75"/>
        <v>0</v>
      </c>
      <c r="S156" s="11">
        <f t="shared" si="75"/>
        <v>0</v>
      </c>
      <c r="T156" s="11">
        <f t="shared" si="75"/>
        <v>0</v>
      </c>
      <c r="U156" s="11">
        <f t="shared" si="75"/>
        <v>0</v>
      </c>
      <c r="V156" s="11">
        <f t="shared" si="75"/>
        <v>0</v>
      </c>
      <c r="W156" s="11">
        <f t="shared" si="75"/>
        <v>0</v>
      </c>
      <c r="X156" s="11">
        <f t="shared" si="75"/>
        <v>0</v>
      </c>
      <c r="Y156" s="11">
        <f t="shared" si="75"/>
        <v>0</v>
      </c>
      <c r="Z156" s="11">
        <f t="shared" si="75"/>
        <v>0</v>
      </c>
      <c r="AA156" s="11">
        <f t="shared" si="75"/>
        <v>0</v>
      </c>
      <c r="AB156" s="11">
        <f t="shared" si="75"/>
        <v>0</v>
      </c>
      <c r="AC156" s="11">
        <f t="shared" si="75"/>
        <v>0</v>
      </c>
      <c r="AD156" s="11">
        <f t="shared" si="75"/>
        <v>0</v>
      </c>
      <c r="AE156" s="11">
        <f t="shared" si="75"/>
        <v>0</v>
      </c>
      <c r="AF156" s="11">
        <f t="shared" si="75"/>
        <v>0</v>
      </c>
      <c r="AG156" s="11">
        <f t="shared" si="75"/>
        <v>0</v>
      </c>
      <c r="AH156" s="11">
        <f t="shared" si="74"/>
        <v>0</v>
      </c>
      <c r="AI156" s="11">
        <f t="shared" si="74"/>
        <v>0</v>
      </c>
      <c r="AJ156" s="11">
        <f t="shared" si="74"/>
        <v>0</v>
      </c>
      <c r="AK156" s="11">
        <f t="shared" si="74"/>
        <v>0</v>
      </c>
      <c r="AL156" s="11">
        <f t="shared" si="74"/>
        <v>0</v>
      </c>
      <c r="AM156" s="11">
        <f t="shared" si="74"/>
        <v>0</v>
      </c>
      <c r="AN156" s="11">
        <f t="shared" si="74"/>
        <v>0</v>
      </c>
      <c r="AO156" s="10"/>
      <c r="AP156" s="26">
        <f>AP152*6</f>
        <v>0</v>
      </c>
      <c r="AR156" s="41"/>
      <c r="CB156" s="40"/>
      <c r="CC156" s="40"/>
      <c r="DF156" s="40"/>
      <c r="EN156" s="30"/>
      <c r="EO156" s="40"/>
      <c r="EP156" s="40"/>
      <c r="EQ156" s="40"/>
      <c r="ER156" s="40"/>
      <c r="GU156" s="40"/>
      <c r="KP156" s="40"/>
      <c r="KQ156" s="40"/>
      <c r="KR156" s="40"/>
      <c r="KS156" s="40"/>
      <c r="PW156" s="40"/>
      <c r="PX156" s="40"/>
      <c r="PZ156" s="40"/>
      <c r="QN156" s="39"/>
      <c r="QR156" s="40"/>
      <c r="SU156" s="39"/>
      <c r="AID156" s="5"/>
      <c r="AJS156" s="5"/>
      <c r="AJT156" s="5"/>
      <c r="AJU156" s="5"/>
    </row>
    <row r="157" spans="6:957" hidden="1" x14ac:dyDescent="0.3">
      <c r="F157" s="135"/>
      <c r="G157" s="244" t="s">
        <v>41</v>
      </c>
      <c r="H157" s="192"/>
      <c r="I157" s="214" t="s">
        <v>40</v>
      </c>
      <c r="J157" s="11">
        <f>J146*45/1700</f>
        <v>0</v>
      </c>
      <c r="K157" s="11">
        <f t="shared" ref="K157:AN157" si="76">K146*45/1700</f>
        <v>0</v>
      </c>
      <c r="L157" s="11">
        <f t="shared" si="76"/>
        <v>0</v>
      </c>
      <c r="M157" s="11">
        <f t="shared" si="76"/>
        <v>0</v>
      </c>
      <c r="N157" s="11">
        <f t="shared" si="76"/>
        <v>0</v>
      </c>
      <c r="O157" s="259">
        <f t="shared" si="76"/>
        <v>0</v>
      </c>
      <c r="P157" s="11">
        <f t="shared" si="76"/>
        <v>0</v>
      </c>
      <c r="Q157" s="11">
        <f t="shared" si="76"/>
        <v>0</v>
      </c>
      <c r="R157" s="11">
        <f t="shared" si="76"/>
        <v>0</v>
      </c>
      <c r="S157" s="11">
        <f t="shared" si="76"/>
        <v>0</v>
      </c>
      <c r="T157" s="11">
        <f t="shared" si="76"/>
        <v>0</v>
      </c>
      <c r="U157" s="11">
        <f t="shared" si="76"/>
        <v>0</v>
      </c>
      <c r="V157" s="11">
        <f t="shared" si="76"/>
        <v>0</v>
      </c>
      <c r="W157" s="11">
        <f t="shared" si="76"/>
        <v>0</v>
      </c>
      <c r="X157" s="11">
        <f t="shared" si="76"/>
        <v>0</v>
      </c>
      <c r="Y157" s="11">
        <f t="shared" si="76"/>
        <v>0</v>
      </c>
      <c r="Z157" s="11">
        <f t="shared" si="76"/>
        <v>0</v>
      </c>
      <c r="AA157" s="11">
        <f t="shared" si="76"/>
        <v>0</v>
      </c>
      <c r="AB157" s="11">
        <f t="shared" si="76"/>
        <v>0</v>
      </c>
      <c r="AC157" s="11">
        <f t="shared" si="76"/>
        <v>0</v>
      </c>
      <c r="AD157" s="11">
        <f t="shared" si="76"/>
        <v>0</v>
      </c>
      <c r="AE157" s="11">
        <f t="shared" si="76"/>
        <v>0</v>
      </c>
      <c r="AF157" s="11">
        <f t="shared" si="76"/>
        <v>0</v>
      </c>
      <c r="AG157" s="11">
        <f t="shared" si="76"/>
        <v>0</v>
      </c>
      <c r="AH157" s="11">
        <f t="shared" si="76"/>
        <v>0</v>
      </c>
      <c r="AI157" s="11">
        <f t="shared" si="76"/>
        <v>0</v>
      </c>
      <c r="AJ157" s="11">
        <f t="shared" si="76"/>
        <v>0</v>
      </c>
      <c r="AK157" s="11">
        <f t="shared" si="76"/>
        <v>0</v>
      </c>
      <c r="AL157" s="11">
        <f t="shared" si="76"/>
        <v>0</v>
      </c>
      <c r="AM157" s="11">
        <f t="shared" si="76"/>
        <v>0</v>
      </c>
      <c r="AN157" s="11">
        <f t="shared" si="76"/>
        <v>0</v>
      </c>
      <c r="AO157" s="10"/>
      <c r="AP157" s="26">
        <f>SUM(J157:AN157)</f>
        <v>0</v>
      </c>
      <c r="AR157" s="41"/>
      <c r="CB157" s="40"/>
      <c r="CC157" s="40"/>
      <c r="DF157" s="40"/>
      <c r="EN157" s="30"/>
      <c r="EO157" s="40"/>
      <c r="EP157" s="40"/>
      <c r="EQ157" s="40"/>
      <c r="ER157" s="40"/>
      <c r="GU157" s="40"/>
      <c r="KP157" s="40"/>
      <c r="KQ157" s="40"/>
      <c r="KR157" s="40"/>
      <c r="KS157" s="40"/>
      <c r="PW157" s="40"/>
      <c r="PX157" s="40"/>
      <c r="PZ157" s="40"/>
      <c r="QN157" s="39"/>
      <c r="QR157" s="40"/>
      <c r="SU157" s="39"/>
      <c r="AID157" s="5"/>
      <c r="AJS157" s="5"/>
      <c r="AJT157" s="5"/>
      <c r="AJU157" s="5"/>
    </row>
    <row r="158" spans="6:957" hidden="1" x14ac:dyDescent="0.3">
      <c r="F158" s="135"/>
      <c r="G158" s="244" t="s">
        <v>39</v>
      </c>
      <c r="H158" s="192"/>
      <c r="I158" s="214" t="s">
        <v>38</v>
      </c>
      <c r="J158" s="11">
        <f t="shared" ref="J158:AL158" si="77">SUM(J150:J152)/500</f>
        <v>0</v>
      </c>
      <c r="K158" s="11">
        <f t="shared" si="77"/>
        <v>0</v>
      </c>
      <c r="L158" s="11">
        <f t="shared" si="77"/>
        <v>0</v>
      </c>
      <c r="M158" s="11">
        <f t="shared" si="77"/>
        <v>0</v>
      </c>
      <c r="N158" s="11">
        <f t="shared" si="77"/>
        <v>0</v>
      </c>
      <c r="O158" s="259">
        <f t="shared" si="77"/>
        <v>0</v>
      </c>
      <c r="P158" s="11">
        <f t="shared" si="77"/>
        <v>0</v>
      </c>
      <c r="Q158" s="11">
        <f t="shared" si="77"/>
        <v>0</v>
      </c>
      <c r="R158" s="11">
        <f t="shared" si="77"/>
        <v>0</v>
      </c>
      <c r="S158" s="11">
        <f t="shared" si="77"/>
        <v>0</v>
      </c>
      <c r="T158" s="11">
        <f t="shared" si="77"/>
        <v>0</v>
      </c>
      <c r="U158" s="11">
        <f t="shared" si="77"/>
        <v>0</v>
      </c>
      <c r="V158" s="11">
        <f t="shared" si="77"/>
        <v>0</v>
      </c>
      <c r="W158" s="11">
        <f t="shared" si="77"/>
        <v>0</v>
      </c>
      <c r="X158" s="11">
        <f t="shared" si="77"/>
        <v>0</v>
      </c>
      <c r="Y158" s="11">
        <f t="shared" si="77"/>
        <v>0</v>
      </c>
      <c r="Z158" s="11">
        <f t="shared" si="77"/>
        <v>0</v>
      </c>
      <c r="AA158" s="11">
        <f t="shared" si="77"/>
        <v>0</v>
      </c>
      <c r="AB158" s="11">
        <f>SUM(AB150:AB152)/500</f>
        <v>0</v>
      </c>
      <c r="AC158" s="11">
        <f t="shared" si="77"/>
        <v>0</v>
      </c>
      <c r="AD158" s="11">
        <f t="shared" ref="AD158" si="78">SUM(AD150:AD152)/500</f>
        <v>0</v>
      </c>
      <c r="AE158" s="11">
        <f t="shared" si="77"/>
        <v>0</v>
      </c>
      <c r="AF158" s="11">
        <f t="shared" si="77"/>
        <v>0</v>
      </c>
      <c r="AG158" s="11">
        <f t="shared" si="77"/>
        <v>0</v>
      </c>
      <c r="AH158" s="11">
        <f t="shared" si="77"/>
        <v>0</v>
      </c>
      <c r="AI158" s="11">
        <f t="shared" ref="AI158:AK158" si="79">SUM(AI150:AI152)/500</f>
        <v>0</v>
      </c>
      <c r="AJ158" s="11">
        <f t="shared" si="79"/>
        <v>0</v>
      </c>
      <c r="AK158" s="11">
        <f t="shared" si="79"/>
        <v>0</v>
      </c>
      <c r="AL158" s="11">
        <f t="shared" si="77"/>
        <v>0</v>
      </c>
      <c r="AM158" s="11">
        <f t="shared" ref="AM158:AN158" si="80">SUM(AM150:AM152)/500</f>
        <v>0</v>
      </c>
      <c r="AN158" s="11">
        <f t="shared" si="80"/>
        <v>0</v>
      </c>
      <c r="AO158" s="10"/>
      <c r="AP158" s="26">
        <f>SUM(J158:AN158)</f>
        <v>0</v>
      </c>
      <c r="AR158" s="41"/>
      <c r="CB158" s="40"/>
      <c r="CC158" s="40"/>
      <c r="DF158" s="40"/>
      <c r="EN158" s="30"/>
      <c r="EO158" s="40"/>
      <c r="EP158" s="40"/>
      <c r="EQ158" s="40"/>
      <c r="ER158" s="40"/>
      <c r="GU158" s="40"/>
      <c r="KP158" s="40"/>
      <c r="KQ158" s="40"/>
      <c r="KR158" s="40"/>
      <c r="KS158" s="40"/>
      <c r="PW158" s="40"/>
      <c r="PX158" s="40"/>
      <c r="PZ158" s="40"/>
      <c r="QN158" s="39"/>
      <c r="QR158" s="40"/>
      <c r="SU158" s="39"/>
      <c r="AID158" s="5"/>
      <c r="AJS158" s="5"/>
      <c r="AJT158" s="5"/>
      <c r="AJU158" s="5"/>
    </row>
    <row r="159" spans="6:957" ht="15" hidden="1" customHeight="1" x14ac:dyDescent="0.3">
      <c r="F159" s="137"/>
      <c r="G159" s="161" t="s">
        <v>37</v>
      </c>
      <c r="H159" s="180"/>
      <c r="I159" s="180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2"/>
      <c r="AH159" s="181"/>
      <c r="AI159" s="181"/>
      <c r="AJ159" s="181"/>
      <c r="AK159" s="181"/>
      <c r="AL159" s="181"/>
      <c r="AM159" s="181"/>
      <c r="AN159" s="181"/>
      <c r="AO159" s="31"/>
      <c r="AP159" s="46" t="s">
        <v>34</v>
      </c>
      <c r="AR159" s="8"/>
      <c r="CB159" s="5"/>
      <c r="CC159" s="5"/>
      <c r="DF159" s="5"/>
      <c r="EN159" s="30"/>
      <c r="EO159" s="5"/>
      <c r="EP159" s="5"/>
      <c r="EQ159" s="5"/>
      <c r="ER159" s="5"/>
      <c r="GU159" s="5"/>
      <c r="KP159" s="5"/>
      <c r="KQ159" s="5"/>
      <c r="KR159" s="5"/>
      <c r="KS159" s="5"/>
      <c r="PW159" s="5"/>
      <c r="PX159" s="5"/>
      <c r="PZ159" s="5"/>
      <c r="QN159" s="27"/>
      <c r="QR159" s="5"/>
      <c r="SU159" s="27"/>
      <c r="AID159" s="5"/>
      <c r="AJS159" s="5"/>
      <c r="AJT159" s="5"/>
      <c r="AJU159" s="5"/>
    </row>
    <row r="160" spans="6:957" ht="15" hidden="1" customHeight="1" x14ac:dyDescent="0.3">
      <c r="F160" s="135"/>
      <c r="G160" s="244" t="s">
        <v>33</v>
      </c>
      <c r="H160" s="192"/>
      <c r="I160" s="135"/>
      <c r="J160" s="11"/>
      <c r="K160" s="11"/>
      <c r="L160" s="11"/>
      <c r="M160" s="11"/>
      <c r="N160" s="11"/>
      <c r="O160" s="259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0"/>
      <c r="AP160" s="45" t="s">
        <v>33</v>
      </c>
      <c r="AR160" s="41"/>
      <c r="CB160" s="40"/>
      <c r="CC160" s="40"/>
      <c r="DF160" s="40"/>
      <c r="EN160" s="30"/>
      <c r="EO160" s="40"/>
      <c r="EP160" s="40"/>
      <c r="EQ160" s="40"/>
      <c r="ER160" s="40"/>
      <c r="GU160" s="40"/>
      <c r="KP160" s="40"/>
      <c r="KQ160" s="40"/>
      <c r="KR160" s="40"/>
      <c r="KS160" s="40"/>
      <c r="PW160" s="40"/>
      <c r="PX160" s="40"/>
      <c r="PZ160" s="40"/>
      <c r="QN160" s="39"/>
      <c r="QR160" s="40"/>
      <c r="SU160" s="39"/>
      <c r="AID160" s="5"/>
      <c r="AJS160" s="5"/>
      <c r="AJT160" s="5"/>
      <c r="AJU160" s="5"/>
    </row>
    <row r="161" spans="6:957" ht="15" hidden="1" customHeight="1" x14ac:dyDescent="0.3">
      <c r="F161" s="135"/>
      <c r="G161" s="165" t="s">
        <v>31</v>
      </c>
      <c r="H161" s="192"/>
      <c r="I161" s="214" t="s">
        <v>36</v>
      </c>
      <c r="J161" s="11">
        <v>0</v>
      </c>
      <c r="K161" s="11"/>
      <c r="L161" s="11"/>
      <c r="M161" s="11"/>
      <c r="N161" s="11"/>
      <c r="O161" s="259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0"/>
      <c r="AP161" s="26">
        <f>SUM(J161:AN161)</f>
        <v>0</v>
      </c>
      <c r="AR161" s="41"/>
      <c r="CB161" s="40"/>
      <c r="CC161" s="40"/>
      <c r="DF161" s="40"/>
      <c r="EN161" s="30"/>
      <c r="EO161" s="40"/>
      <c r="EP161" s="40"/>
      <c r="EQ161" s="40"/>
      <c r="ER161" s="40"/>
      <c r="GU161" s="40"/>
      <c r="KP161" s="40"/>
      <c r="KQ161" s="40"/>
      <c r="KR161" s="40"/>
      <c r="KS161" s="40"/>
      <c r="PW161" s="40"/>
      <c r="PX161" s="40"/>
      <c r="PZ161" s="40"/>
      <c r="QN161" s="39"/>
      <c r="QR161" s="40"/>
      <c r="SU161" s="39"/>
      <c r="AID161" s="5"/>
      <c r="AJS161" s="5"/>
      <c r="AJT161" s="5"/>
      <c r="AJU161" s="5"/>
    </row>
    <row r="162" spans="6:957" ht="15" hidden="1" customHeight="1" x14ac:dyDescent="0.3">
      <c r="F162" s="135"/>
      <c r="G162" s="165" t="s">
        <v>30</v>
      </c>
      <c r="H162" s="192"/>
      <c r="I162" s="214" t="s">
        <v>36</v>
      </c>
      <c r="J162" s="11">
        <v>0</v>
      </c>
      <c r="K162" s="11"/>
      <c r="L162" s="11"/>
      <c r="M162" s="11"/>
      <c r="N162" s="11"/>
      <c r="O162" s="259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0"/>
      <c r="AP162" s="26">
        <f>SUM(J162:AN162)</f>
        <v>0</v>
      </c>
      <c r="AR162" s="41"/>
      <c r="CB162" s="40"/>
      <c r="CC162" s="40"/>
      <c r="DF162" s="40"/>
      <c r="EN162" s="30"/>
      <c r="EO162" s="40"/>
      <c r="EP162" s="40"/>
      <c r="EQ162" s="40"/>
      <c r="ER162" s="40"/>
      <c r="GU162" s="40"/>
      <c r="KP162" s="40"/>
      <c r="KQ162" s="40"/>
      <c r="KR162" s="40"/>
      <c r="KS162" s="40"/>
      <c r="PW162" s="40"/>
      <c r="PX162" s="40"/>
      <c r="PZ162" s="40"/>
      <c r="QN162" s="39"/>
      <c r="QR162" s="40"/>
      <c r="SU162" s="39"/>
      <c r="AID162" s="5"/>
      <c r="AJS162" s="5"/>
      <c r="AJT162" s="5"/>
      <c r="AJU162" s="5"/>
    </row>
    <row r="163" spans="6:957" ht="15" hidden="1" customHeight="1" x14ac:dyDescent="0.3">
      <c r="F163" s="135"/>
      <c r="G163" s="244" t="s">
        <v>32</v>
      </c>
      <c r="H163" s="192"/>
      <c r="I163" s="135"/>
      <c r="J163" s="11"/>
      <c r="K163" s="11"/>
      <c r="L163" s="11"/>
      <c r="M163" s="11"/>
      <c r="N163" s="11"/>
      <c r="O163" s="259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0"/>
      <c r="AP163" s="45" t="s">
        <v>32</v>
      </c>
      <c r="AR163" s="41"/>
      <c r="CB163" s="40"/>
      <c r="CC163" s="40"/>
      <c r="DF163" s="40"/>
      <c r="EN163" s="30"/>
      <c r="EO163" s="40"/>
      <c r="EP163" s="40"/>
      <c r="EQ163" s="40"/>
      <c r="ER163" s="40"/>
      <c r="GU163" s="40"/>
      <c r="KP163" s="40"/>
      <c r="KQ163" s="40"/>
      <c r="KR163" s="40"/>
      <c r="KS163" s="40"/>
      <c r="PW163" s="40"/>
      <c r="PX163" s="40"/>
      <c r="PZ163" s="40"/>
      <c r="QN163" s="39"/>
      <c r="QR163" s="40"/>
      <c r="SU163" s="39"/>
      <c r="AID163" s="5"/>
      <c r="AJS163" s="5"/>
      <c r="AJT163" s="5"/>
      <c r="AJU163" s="5"/>
    </row>
    <row r="164" spans="6:957" ht="15" hidden="1" customHeight="1" x14ac:dyDescent="0.3">
      <c r="F164" s="135"/>
      <c r="G164" s="165" t="s">
        <v>31</v>
      </c>
      <c r="H164" s="192"/>
      <c r="I164" s="214" t="s">
        <v>32</v>
      </c>
      <c r="J164" s="11">
        <v>0</v>
      </c>
      <c r="K164" s="11"/>
      <c r="L164" s="11"/>
      <c r="M164" s="11"/>
      <c r="N164" s="11"/>
      <c r="O164" s="259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0"/>
      <c r="AP164" s="26">
        <f>SUM(J164:AN164)</f>
        <v>0</v>
      </c>
      <c r="AR164" s="41"/>
      <c r="CB164" s="40"/>
      <c r="CC164" s="40"/>
      <c r="DF164" s="40"/>
      <c r="EN164" s="30"/>
      <c r="EO164" s="40"/>
      <c r="EP164" s="40"/>
      <c r="EQ164" s="40"/>
      <c r="ER164" s="40"/>
      <c r="GU164" s="40"/>
      <c r="KP164" s="40"/>
      <c r="KQ164" s="40"/>
      <c r="KR164" s="40"/>
      <c r="KS164" s="40"/>
      <c r="PW164" s="40"/>
      <c r="PX164" s="40"/>
      <c r="PZ164" s="40"/>
      <c r="QN164" s="39"/>
      <c r="QR164" s="40"/>
      <c r="SU164" s="39"/>
      <c r="AID164" s="5"/>
      <c r="AJS164" s="5"/>
      <c r="AJT164" s="5"/>
      <c r="AJU164" s="5"/>
    </row>
    <row r="165" spans="6:957" ht="15" hidden="1" customHeight="1" x14ac:dyDescent="0.3">
      <c r="F165" s="135"/>
      <c r="G165" s="165" t="s">
        <v>30</v>
      </c>
      <c r="H165" s="192"/>
      <c r="I165" s="214" t="s">
        <v>32</v>
      </c>
      <c r="J165" s="11">
        <v>0</v>
      </c>
      <c r="K165" s="11"/>
      <c r="L165" s="11"/>
      <c r="M165" s="11"/>
      <c r="N165" s="11"/>
      <c r="O165" s="259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0"/>
      <c r="AP165" s="26">
        <f>SUM(J165:AN165)</f>
        <v>0</v>
      </c>
      <c r="AR165" s="41"/>
      <c r="CB165" s="40"/>
      <c r="CC165" s="40"/>
      <c r="DF165" s="40"/>
      <c r="EN165" s="30"/>
      <c r="EO165" s="40"/>
      <c r="EP165" s="40"/>
      <c r="EQ165" s="40"/>
      <c r="ER165" s="40"/>
      <c r="GU165" s="40"/>
      <c r="KP165" s="40"/>
      <c r="KQ165" s="40"/>
      <c r="KR165" s="40"/>
      <c r="KS165" s="40"/>
      <c r="PW165" s="40"/>
      <c r="PX165" s="40"/>
      <c r="PZ165" s="40"/>
      <c r="QN165" s="39"/>
      <c r="QR165" s="40"/>
      <c r="SU165" s="39"/>
      <c r="AID165" s="5"/>
      <c r="AJS165" s="5"/>
      <c r="AJT165" s="5"/>
      <c r="AJU165" s="5"/>
    </row>
    <row r="166" spans="6:957" ht="15" hidden="1" customHeight="1" x14ac:dyDescent="0.3">
      <c r="F166" s="137"/>
      <c r="G166" s="161" t="s">
        <v>35</v>
      </c>
      <c r="H166" s="180"/>
      <c r="I166" s="180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2"/>
      <c r="AH166" s="181"/>
      <c r="AI166" s="181"/>
      <c r="AJ166" s="181"/>
      <c r="AK166" s="181"/>
      <c r="AL166" s="181"/>
      <c r="AM166" s="181"/>
      <c r="AN166" s="181"/>
      <c r="AO166" s="31"/>
      <c r="AP166" s="46" t="s">
        <v>34</v>
      </c>
      <c r="AR166" s="8"/>
      <c r="CB166" s="5"/>
      <c r="CC166" s="5"/>
      <c r="DF166" s="5"/>
      <c r="EN166" s="30"/>
      <c r="EO166" s="5"/>
      <c r="EP166" s="5"/>
      <c r="EQ166" s="5"/>
      <c r="ER166" s="5"/>
      <c r="GU166" s="5"/>
      <c r="KP166" s="5"/>
      <c r="KQ166" s="5"/>
      <c r="KR166" s="5"/>
      <c r="KS166" s="5"/>
      <c r="PW166" s="5"/>
      <c r="PX166" s="5"/>
      <c r="PZ166" s="5"/>
      <c r="QN166" s="27"/>
      <c r="QR166" s="5"/>
      <c r="SU166" s="27"/>
      <c r="AID166" s="5"/>
      <c r="AJS166" s="5"/>
      <c r="AJT166" s="5"/>
      <c r="AJU166" s="5"/>
    </row>
    <row r="167" spans="6:957" ht="15" hidden="1" customHeight="1" x14ac:dyDescent="0.3">
      <c r="F167" s="135"/>
      <c r="G167" s="244" t="s">
        <v>33</v>
      </c>
      <c r="H167" s="192"/>
      <c r="I167" s="135"/>
      <c r="J167" s="11"/>
      <c r="K167" s="11"/>
      <c r="L167" s="11"/>
      <c r="M167" s="11"/>
      <c r="N167" s="11"/>
      <c r="O167" s="259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0"/>
      <c r="AP167" s="45" t="s">
        <v>33</v>
      </c>
      <c r="AR167" s="41"/>
      <c r="CB167" s="40"/>
      <c r="CC167" s="40"/>
      <c r="DF167" s="40"/>
      <c r="EN167" s="30"/>
      <c r="EO167" s="40"/>
      <c r="EP167" s="40"/>
      <c r="EQ167" s="40"/>
      <c r="ER167" s="40"/>
      <c r="GU167" s="40"/>
      <c r="KP167" s="40"/>
      <c r="KQ167" s="40"/>
      <c r="KR167" s="40"/>
      <c r="KS167" s="40"/>
      <c r="PW167" s="40"/>
      <c r="PX167" s="40"/>
      <c r="PZ167" s="40"/>
      <c r="QN167" s="39"/>
      <c r="QR167" s="40"/>
      <c r="SU167" s="39"/>
      <c r="AID167" s="5"/>
      <c r="AJS167" s="5"/>
      <c r="AJT167" s="5"/>
      <c r="AJU167" s="5"/>
    </row>
    <row r="168" spans="6:957" ht="15" hidden="1" customHeight="1" x14ac:dyDescent="0.3">
      <c r="F168" s="135"/>
      <c r="G168" s="165" t="s">
        <v>31</v>
      </c>
      <c r="H168" s="295">
        <v>0.3</v>
      </c>
      <c r="I168" s="214" t="s">
        <v>29</v>
      </c>
      <c r="J168" s="297" t="e">
        <f t="shared" ref="J168:AN168" si="81">J161/J150*100</f>
        <v>#DIV/0!</v>
      </c>
      <c r="K168" s="297" t="e">
        <f t="shared" si="81"/>
        <v>#DIV/0!</v>
      </c>
      <c r="L168" s="297" t="e">
        <f t="shared" si="81"/>
        <v>#DIV/0!</v>
      </c>
      <c r="M168" s="297" t="e">
        <f t="shared" si="81"/>
        <v>#DIV/0!</v>
      </c>
      <c r="N168" s="297" t="e">
        <f t="shared" si="81"/>
        <v>#DIV/0!</v>
      </c>
      <c r="O168" s="312" t="e">
        <f t="shared" si="81"/>
        <v>#DIV/0!</v>
      </c>
      <c r="P168" s="297" t="e">
        <f t="shared" si="81"/>
        <v>#DIV/0!</v>
      </c>
      <c r="Q168" s="297" t="e">
        <f t="shared" si="81"/>
        <v>#DIV/0!</v>
      </c>
      <c r="R168" s="297" t="e">
        <f t="shared" si="81"/>
        <v>#DIV/0!</v>
      </c>
      <c r="S168" s="297" t="e">
        <f t="shared" si="81"/>
        <v>#DIV/0!</v>
      </c>
      <c r="T168" s="297" t="e">
        <f t="shared" si="81"/>
        <v>#DIV/0!</v>
      </c>
      <c r="U168" s="297" t="e">
        <f t="shared" si="81"/>
        <v>#DIV/0!</v>
      </c>
      <c r="V168" s="297" t="e">
        <f t="shared" si="81"/>
        <v>#DIV/0!</v>
      </c>
      <c r="W168" s="297" t="e">
        <f t="shared" si="81"/>
        <v>#DIV/0!</v>
      </c>
      <c r="X168" s="297" t="e">
        <f t="shared" si="81"/>
        <v>#DIV/0!</v>
      </c>
      <c r="Y168" s="297" t="e">
        <f t="shared" si="81"/>
        <v>#DIV/0!</v>
      </c>
      <c r="Z168" s="297" t="e">
        <f t="shared" si="81"/>
        <v>#DIV/0!</v>
      </c>
      <c r="AA168" s="297" t="e">
        <f t="shared" si="81"/>
        <v>#DIV/0!</v>
      </c>
      <c r="AB168" s="297" t="e">
        <f t="shared" si="81"/>
        <v>#DIV/0!</v>
      </c>
      <c r="AC168" s="297" t="e">
        <f t="shared" si="81"/>
        <v>#DIV/0!</v>
      </c>
      <c r="AD168" s="297" t="e">
        <f t="shared" si="81"/>
        <v>#DIV/0!</v>
      </c>
      <c r="AE168" s="297" t="e">
        <f t="shared" si="81"/>
        <v>#DIV/0!</v>
      </c>
      <c r="AF168" s="297" t="e">
        <f t="shared" si="81"/>
        <v>#DIV/0!</v>
      </c>
      <c r="AG168" s="297" t="e">
        <f t="shared" si="81"/>
        <v>#DIV/0!</v>
      </c>
      <c r="AH168" s="297" t="e">
        <f t="shared" si="81"/>
        <v>#DIV/0!</v>
      </c>
      <c r="AI168" s="297" t="e">
        <f t="shared" si="81"/>
        <v>#DIV/0!</v>
      </c>
      <c r="AJ168" s="297" t="e">
        <f t="shared" si="81"/>
        <v>#DIV/0!</v>
      </c>
      <c r="AK168" s="297" t="e">
        <f t="shared" si="81"/>
        <v>#DIV/0!</v>
      </c>
      <c r="AL168" s="297" t="e">
        <f t="shared" si="81"/>
        <v>#DIV/0!</v>
      </c>
      <c r="AM168" s="297" t="e">
        <f t="shared" si="81"/>
        <v>#DIV/0!</v>
      </c>
      <c r="AN168" s="297" t="e">
        <f t="shared" si="81"/>
        <v>#DIV/0!</v>
      </c>
      <c r="AO168" s="10"/>
      <c r="AP168" s="44" t="e">
        <f>AP161/AP150*100</f>
        <v>#DIV/0!</v>
      </c>
      <c r="AR168" s="41"/>
      <c r="CB168" s="40"/>
      <c r="CC168" s="40"/>
      <c r="DF168" s="40"/>
      <c r="EN168" s="30"/>
      <c r="EO168" s="40"/>
      <c r="EP168" s="40"/>
      <c r="EQ168" s="40"/>
      <c r="ER168" s="40"/>
      <c r="GU168" s="40"/>
      <c r="KP168" s="40"/>
      <c r="KQ168" s="40"/>
      <c r="KR168" s="40"/>
      <c r="KS168" s="40"/>
      <c r="PW168" s="40"/>
      <c r="PX168" s="40"/>
      <c r="PZ168" s="40"/>
      <c r="QN168" s="39"/>
      <c r="QR168" s="40"/>
      <c r="SU168" s="39"/>
      <c r="AID168" s="5"/>
      <c r="AJS168" s="5"/>
      <c r="AJT168" s="5"/>
      <c r="AJU168" s="5"/>
    </row>
    <row r="169" spans="6:957" ht="15" hidden="1" customHeight="1" x14ac:dyDescent="0.3">
      <c r="F169" s="135"/>
      <c r="G169" s="165" t="s">
        <v>30</v>
      </c>
      <c r="H169" s="295">
        <v>0.3</v>
      </c>
      <c r="I169" s="214" t="s">
        <v>29</v>
      </c>
      <c r="J169" s="297" t="e">
        <f t="shared" ref="J169:AN169" si="82">J162/J152*100</f>
        <v>#DIV/0!</v>
      </c>
      <c r="K169" s="297" t="e">
        <f t="shared" si="82"/>
        <v>#DIV/0!</v>
      </c>
      <c r="L169" s="297" t="e">
        <f t="shared" si="82"/>
        <v>#DIV/0!</v>
      </c>
      <c r="M169" s="297" t="e">
        <f t="shared" si="82"/>
        <v>#DIV/0!</v>
      </c>
      <c r="N169" s="297" t="e">
        <f t="shared" si="82"/>
        <v>#DIV/0!</v>
      </c>
      <c r="O169" s="312" t="e">
        <f t="shared" si="82"/>
        <v>#DIV/0!</v>
      </c>
      <c r="P169" s="297" t="e">
        <f t="shared" si="82"/>
        <v>#DIV/0!</v>
      </c>
      <c r="Q169" s="297" t="e">
        <f t="shared" si="82"/>
        <v>#DIV/0!</v>
      </c>
      <c r="R169" s="297" t="e">
        <f t="shared" si="82"/>
        <v>#DIV/0!</v>
      </c>
      <c r="S169" s="297" t="e">
        <f t="shared" si="82"/>
        <v>#DIV/0!</v>
      </c>
      <c r="T169" s="297" t="e">
        <f t="shared" si="82"/>
        <v>#DIV/0!</v>
      </c>
      <c r="U169" s="297" t="e">
        <f t="shared" si="82"/>
        <v>#DIV/0!</v>
      </c>
      <c r="V169" s="297" t="e">
        <f t="shared" si="82"/>
        <v>#DIV/0!</v>
      </c>
      <c r="W169" s="297" t="e">
        <f t="shared" si="82"/>
        <v>#DIV/0!</v>
      </c>
      <c r="X169" s="297" t="e">
        <f t="shared" si="82"/>
        <v>#DIV/0!</v>
      </c>
      <c r="Y169" s="297" t="e">
        <f t="shared" si="82"/>
        <v>#DIV/0!</v>
      </c>
      <c r="Z169" s="297" t="e">
        <f t="shared" si="82"/>
        <v>#DIV/0!</v>
      </c>
      <c r="AA169" s="297" t="e">
        <f t="shared" si="82"/>
        <v>#DIV/0!</v>
      </c>
      <c r="AB169" s="297" t="e">
        <f>AB162/AB152*100</f>
        <v>#DIV/0!</v>
      </c>
      <c r="AC169" s="297" t="e">
        <f t="shared" si="82"/>
        <v>#DIV/0!</v>
      </c>
      <c r="AD169" s="297" t="e">
        <f t="shared" si="82"/>
        <v>#DIV/0!</v>
      </c>
      <c r="AE169" s="297" t="e">
        <f t="shared" si="82"/>
        <v>#DIV/0!</v>
      </c>
      <c r="AF169" s="297" t="e">
        <f t="shared" si="82"/>
        <v>#DIV/0!</v>
      </c>
      <c r="AG169" s="297" t="e">
        <f t="shared" si="82"/>
        <v>#DIV/0!</v>
      </c>
      <c r="AH169" s="297" t="e">
        <f t="shared" si="82"/>
        <v>#DIV/0!</v>
      </c>
      <c r="AI169" s="297" t="e">
        <f t="shared" si="82"/>
        <v>#DIV/0!</v>
      </c>
      <c r="AJ169" s="297" t="e">
        <f t="shared" si="82"/>
        <v>#DIV/0!</v>
      </c>
      <c r="AK169" s="297" t="e">
        <f t="shared" si="82"/>
        <v>#DIV/0!</v>
      </c>
      <c r="AL169" s="297" t="e">
        <f t="shared" si="82"/>
        <v>#DIV/0!</v>
      </c>
      <c r="AM169" s="297" t="e">
        <f t="shared" si="82"/>
        <v>#DIV/0!</v>
      </c>
      <c r="AN169" s="297" t="e">
        <f t="shared" si="82"/>
        <v>#DIV/0!</v>
      </c>
      <c r="AO169" s="10"/>
      <c r="AP169" s="44" t="e">
        <f>AP162/AP152*100</f>
        <v>#DIV/0!</v>
      </c>
      <c r="AR169" s="41"/>
      <c r="CB169" s="40"/>
      <c r="CC169" s="40"/>
      <c r="DF169" s="40"/>
      <c r="EN169" s="30"/>
      <c r="EO169" s="40"/>
      <c r="EP169" s="40"/>
      <c r="EQ169" s="40"/>
      <c r="ER169" s="40"/>
      <c r="GU169" s="40"/>
      <c r="KP169" s="40"/>
      <c r="KQ169" s="40"/>
      <c r="KR169" s="40"/>
      <c r="KS169" s="40"/>
      <c r="PW169" s="40"/>
      <c r="PX169" s="40"/>
      <c r="PZ169" s="40"/>
      <c r="QN169" s="39"/>
      <c r="QR169" s="40"/>
      <c r="SU169" s="39"/>
      <c r="AID169" s="5"/>
      <c r="AJS169" s="5"/>
      <c r="AJT169" s="5"/>
      <c r="AJU169" s="5"/>
    </row>
    <row r="170" spans="6:957" ht="15" hidden="1" customHeight="1" x14ac:dyDescent="0.3">
      <c r="F170" s="135"/>
      <c r="G170" s="244" t="s">
        <v>32</v>
      </c>
      <c r="H170" s="295"/>
      <c r="I170" s="135"/>
      <c r="J170" s="297"/>
      <c r="K170" s="297"/>
      <c r="L170" s="297"/>
      <c r="M170" s="297"/>
      <c r="N170" s="297"/>
      <c r="O170" s="312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97"/>
      <c r="AB170" s="297"/>
      <c r="AC170" s="297"/>
      <c r="AD170" s="297"/>
      <c r="AE170" s="297"/>
      <c r="AF170" s="297"/>
      <c r="AG170" s="297"/>
      <c r="AH170" s="297"/>
      <c r="AI170" s="297"/>
      <c r="AJ170" s="297"/>
      <c r="AK170" s="297"/>
      <c r="AL170" s="297"/>
      <c r="AM170" s="297"/>
      <c r="AN170" s="297"/>
      <c r="AO170" s="10"/>
      <c r="AP170" s="45" t="s">
        <v>32</v>
      </c>
      <c r="AR170" s="41"/>
      <c r="CB170" s="40"/>
      <c r="CC170" s="40"/>
      <c r="DF170" s="40"/>
      <c r="EN170" s="30"/>
      <c r="EO170" s="40"/>
      <c r="EP170" s="40"/>
      <c r="EQ170" s="40"/>
      <c r="ER170" s="40"/>
      <c r="GU170" s="40"/>
      <c r="KP170" s="40"/>
      <c r="KQ170" s="40"/>
      <c r="KR170" s="40"/>
      <c r="KS170" s="40"/>
      <c r="PW170" s="40"/>
      <c r="PX170" s="40"/>
      <c r="PZ170" s="40"/>
      <c r="QN170" s="39"/>
      <c r="QR170" s="40"/>
      <c r="SU170" s="39"/>
      <c r="AID170" s="5"/>
      <c r="AJS170" s="5"/>
      <c r="AJT170" s="5"/>
      <c r="AJU170" s="5"/>
    </row>
    <row r="171" spans="6:957" ht="15" hidden="1" customHeight="1" x14ac:dyDescent="0.3">
      <c r="F171" s="135"/>
      <c r="G171" s="165" t="s">
        <v>31</v>
      </c>
      <c r="H171" s="295">
        <v>0.5</v>
      </c>
      <c r="I171" s="214" t="s">
        <v>29</v>
      </c>
      <c r="J171" s="297" t="e">
        <f t="shared" ref="J171:AN171" si="83">J164/J154*100</f>
        <v>#DIV/0!</v>
      </c>
      <c r="K171" s="297" t="e">
        <f t="shared" si="83"/>
        <v>#DIV/0!</v>
      </c>
      <c r="L171" s="297" t="e">
        <f t="shared" si="83"/>
        <v>#DIV/0!</v>
      </c>
      <c r="M171" s="297" t="e">
        <f t="shared" si="83"/>
        <v>#DIV/0!</v>
      </c>
      <c r="N171" s="297" t="e">
        <f t="shared" si="83"/>
        <v>#DIV/0!</v>
      </c>
      <c r="O171" s="312" t="e">
        <f t="shared" si="83"/>
        <v>#DIV/0!</v>
      </c>
      <c r="P171" s="297" t="e">
        <f t="shared" si="83"/>
        <v>#DIV/0!</v>
      </c>
      <c r="Q171" s="297" t="e">
        <f t="shared" si="83"/>
        <v>#DIV/0!</v>
      </c>
      <c r="R171" s="297" t="e">
        <f t="shared" si="83"/>
        <v>#DIV/0!</v>
      </c>
      <c r="S171" s="297" t="e">
        <f t="shared" si="83"/>
        <v>#DIV/0!</v>
      </c>
      <c r="T171" s="297" t="e">
        <f t="shared" si="83"/>
        <v>#DIV/0!</v>
      </c>
      <c r="U171" s="297" t="e">
        <f t="shared" si="83"/>
        <v>#DIV/0!</v>
      </c>
      <c r="V171" s="297" t="e">
        <f t="shared" si="83"/>
        <v>#DIV/0!</v>
      </c>
      <c r="W171" s="297" t="e">
        <f t="shared" si="83"/>
        <v>#DIV/0!</v>
      </c>
      <c r="X171" s="297" t="e">
        <f t="shared" si="83"/>
        <v>#DIV/0!</v>
      </c>
      <c r="Y171" s="297" t="e">
        <f t="shared" si="83"/>
        <v>#DIV/0!</v>
      </c>
      <c r="Z171" s="297" t="e">
        <f t="shared" si="83"/>
        <v>#DIV/0!</v>
      </c>
      <c r="AA171" s="297" t="e">
        <f t="shared" si="83"/>
        <v>#DIV/0!</v>
      </c>
      <c r="AB171" s="297" t="e">
        <f t="shared" si="83"/>
        <v>#DIV/0!</v>
      </c>
      <c r="AC171" s="297" t="e">
        <f t="shared" si="83"/>
        <v>#DIV/0!</v>
      </c>
      <c r="AD171" s="297" t="e">
        <f t="shared" si="83"/>
        <v>#DIV/0!</v>
      </c>
      <c r="AE171" s="297" t="e">
        <f t="shared" si="83"/>
        <v>#DIV/0!</v>
      </c>
      <c r="AF171" s="297" t="e">
        <f t="shared" si="83"/>
        <v>#DIV/0!</v>
      </c>
      <c r="AG171" s="297" t="e">
        <f t="shared" si="83"/>
        <v>#DIV/0!</v>
      </c>
      <c r="AH171" s="297" t="e">
        <f t="shared" si="83"/>
        <v>#DIV/0!</v>
      </c>
      <c r="AI171" s="297" t="e">
        <f t="shared" si="83"/>
        <v>#DIV/0!</v>
      </c>
      <c r="AJ171" s="297" t="e">
        <f t="shared" si="83"/>
        <v>#DIV/0!</v>
      </c>
      <c r="AK171" s="297" t="e">
        <f t="shared" si="83"/>
        <v>#DIV/0!</v>
      </c>
      <c r="AL171" s="297" t="e">
        <f t="shared" si="83"/>
        <v>#DIV/0!</v>
      </c>
      <c r="AM171" s="297" t="e">
        <f t="shared" si="83"/>
        <v>#DIV/0!</v>
      </c>
      <c r="AN171" s="297" t="e">
        <f t="shared" si="83"/>
        <v>#DIV/0!</v>
      </c>
      <c r="AO171" s="10"/>
      <c r="AP171" s="44" t="e">
        <f>AP164/AP154*100</f>
        <v>#DIV/0!</v>
      </c>
      <c r="AR171" s="41"/>
      <c r="CB171" s="40"/>
      <c r="CC171" s="40"/>
      <c r="DF171" s="40"/>
      <c r="EN171" s="30"/>
      <c r="EO171" s="40"/>
      <c r="EP171" s="40"/>
      <c r="EQ171" s="40"/>
      <c r="ER171" s="40"/>
      <c r="GU171" s="40"/>
      <c r="KP171" s="40"/>
      <c r="KQ171" s="40"/>
      <c r="KR171" s="40"/>
      <c r="KS171" s="40"/>
      <c r="PW171" s="40"/>
      <c r="PX171" s="40"/>
      <c r="PZ171" s="40"/>
      <c r="QN171" s="39"/>
      <c r="QR171" s="40"/>
      <c r="SU171" s="39"/>
      <c r="AID171" s="5"/>
      <c r="AJS171" s="5"/>
      <c r="AJT171" s="5"/>
      <c r="AJU171" s="5"/>
    </row>
    <row r="172" spans="6:957" ht="15" hidden="1" customHeight="1" x14ac:dyDescent="0.3">
      <c r="F172" s="135"/>
      <c r="G172" s="165" t="s">
        <v>30</v>
      </c>
      <c r="H172" s="295">
        <v>0.5</v>
      </c>
      <c r="I172" s="214" t="s">
        <v>29</v>
      </c>
      <c r="J172" s="297" t="e">
        <f t="shared" ref="J172:AN172" si="84">J165/J156*100</f>
        <v>#DIV/0!</v>
      </c>
      <c r="K172" s="297" t="e">
        <f t="shared" si="84"/>
        <v>#DIV/0!</v>
      </c>
      <c r="L172" s="297" t="e">
        <f t="shared" si="84"/>
        <v>#DIV/0!</v>
      </c>
      <c r="M172" s="297" t="e">
        <f t="shared" si="84"/>
        <v>#DIV/0!</v>
      </c>
      <c r="N172" s="297" t="e">
        <f t="shared" si="84"/>
        <v>#DIV/0!</v>
      </c>
      <c r="O172" s="312" t="e">
        <f t="shared" si="84"/>
        <v>#DIV/0!</v>
      </c>
      <c r="P172" s="297" t="e">
        <f t="shared" si="84"/>
        <v>#DIV/0!</v>
      </c>
      <c r="Q172" s="297" t="e">
        <f t="shared" si="84"/>
        <v>#DIV/0!</v>
      </c>
      <c r="R172" s="297" t="e">
        <f t="shared" si="84"/>
        <v>#DIV/0!</v>
      </c>
      <c r="S172" s="297" t="e">
        <f t="shared" si="84"/>
        <v>#DIV/0!</v>
      </c>
      <c r="T172" s="297" t="e">
        <f t="shared" si="84"/>
        <v>#DIV/0!</v>
      </c>
      <c r="U172" s="297" t="e">
        <f t="shared" si="84"/>
        <v>#DIV/0!</v>
      </c>
      <c r="V172" s="297" t="e">
        <f t="shared" si="84"/>
        <v>#DIV/0!</v>
      </c>
      <c r="W172" s="297" t="e">
        <f t="shared" si="84"/>
        <v>#DIV/0!</v>
      </c>
      <c r="X172" s="297" t="e">
        <f t="shared" si="84"/>
        <v>#DIV/0!</v>
      </c>
      <c r="Y172" s="297" t="e">
        <f t="shared" si="84"/>
        <v>#DIV/0!</v>
      </c>
      <c r="Z172" s="297" t="e">
        <f t="shared" si="84"/>
        <v>#DIV/0!</v>
      </c>
      <c r="AA172" s="297" t="e">
        <f t="shared" si="84"/>
        <v>#DIV/0!</v>
      </c>
      <c r="AB172" s="297" t="e">
        <f t="shared" si="84"/>
        <v>#DIV/0!</v>
      </c>
      <c r="AC172" s="297" t="e">
        <f t="shared" si="84"/>
        <v>#DIV/0!</v>
      </c>
      <c r="AD172" s="297" t="e">
        <f t="shared" si="84"/>
        <v>#DIV/0!</v>
      </c>
      <c r="AE172" s="297" t="e">
        <f t="shared" si="84"/>
        <v>#DIV/0!</v>
      </c>
      <c r="AF172" s="297" t="e">
        <f t="shared" si="84"/>
        <v>#DIV/0!</v>
      </c>
      <c r="AG172" s="297" t="e">
        <f t="shared" si="84"/>
        <v>#DIV/0!</v>
      </c>
      <c r="AH172" s="297" t="e">
        <f t="shared" si="84"/>
        <v>#DIV/0!</v>
      </c>
      <c r="AI172" s="297" t="e">
        <f t="shared" si="84"/>
        <v>#DIV/0!</v>
      </c>
      <c r="AJ172" s="297" t="e">
        <f t="shared" si="84"/>
        <v>#DIV/0!</v>
      </c>
      <c r="AK172" s="297" t="e">
        <f t="shared" si="84"/>
        <v>#DIV/0!</v>
      </c>
      <c r="AL172" s="297" t="e">
        <f t="shared" si="84"/>
        <v>#DIV/0!</v>
      </c>
      <c r="AM172" s="297" t="e">
        <f t="shared" si="84"/>
        <v>#DIV/0!</v>
      </c>
      <c r="AN172" s="297" t="e">
        <f t="shared" si="84"/>
        <v>#DIV/0!</v>
      </c>
      <c r="AO172" s="10"/>
      <c r="AP172" s="44" t="e">
        <f>AP165/AP156*100</f>
        <v>#DIV/0!</v>
      </c>
      <c r="AR172" s="41"/>
      <c r="CB172" s="40"/>
      <c r="CC172" s="40"/>
      <c r="DF172" s="40"/>
      <c r="EN172" s="30"/>
      <c r="EO172" s="40"/>
      <c r="EP172" s="40"/>
      <c r="EQ172" s="40"/>
      <c r="ER172" s="40"/>
      <c r="GU172" s="40"/>
      <c r="KP172" s="40"/>
      <c r="KQ172" s="40"/>
      <c r="KR172" s="40"/>
      <c r="KS172" s="40"/>
      <c r="PW172" s="40"/>
      <c r="PX172" s="40"/>
      <c r="PZ172" s="40"/>
      <c r="QN172" s="39"/>
      <c r="QR172" s="40"/>
      <c r="SU172" s="39"/>
      <c r="AID172" s="5"/>
      <c r="AJS172" s="5"/>
      <c r="AJT172" s="5"/>
      <c r="AJU172" s="5"/>
    </row>
    <row r="173" spans="6:957" ht="15" hidden="1" customHeight="1" x14ac:dyDescent="0.3">
      <c r="F173" s="137">
        <v>9</v>
      </c>
      <c r="G173" s="161" t="s">
        <v>161</v>
      </c>
      <c r="H173" s="310"/>
      <c r="I173" s="257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1"/>
      <c r="AC173" s="311"/>
      <c r="AD173" s="311"/>
      <c r="AE173" s="311"/>
      <c r="AF173" s="311"/>
      <c r="AG173" s="311"/>
      <c r="AH173" s="311"/>
      <c r="AI173" s="311"/>
      <c r="AJ173" s="312"/>
      <c r="AK173" s="312"/>
      <c r="AL173" s="312"/>
      <c r="AM173" s="312"/>
      <c r="AN173" s="312"/>
      <c r="AO173" s="7"/>
      <c r="AP173" s="157" t="s">
        <v>47</v>
      </c>
      <c r="AR173" s="41"/>
      <c r="CB173" s="40"/>
      <c r="CC173" s="40"/>
      <c r="DF173" s="40"/>
      <c r="EN173" s="30"/>
      <c r="EO173" s="40"/>
      <c r="EP173" s="40"/>
      <c r="EQ173" s="40"/>
      <c r="ER173" s="40"/>
      <c r="GU173" s="40"/>
      <c r="KP173" s="40"/>
      <c r="KQ173" s="40"/>
      <c r="KR173" s="40"/>
      <c r="KS173" s="40"/>
      <c r="PW173" s="40"/>
      <c r="PX173" s="40"/>
      <c r="PZ173" s="40"/>
      <c r="QN173" s="39"/>
      <c r="QR173" s="40"/>
      <c r="SU173" s="39"/>
      <c r="AID173" s="5"/>
      <c r="AJS173" s="5"/>
      <c r="AJT173" s="5"/>
      <c r="AJU173" s="5"/>
    </row>
    <row r="174" spans="6:957" ht="15" hidden="1" customHeight="1" x14ac:dyDescent="0.3">
      <c r="F174" s="137"/>
      <c r="G174" s="233" t="s">
        <v>166</v>
      </c>
      <c r="H174" s="313"/>
      <c r="I174" s="253" t="s">
        <v>16</v>
      </c>
      <c r="J174" s="309">
        <v>0</v>
      </c>
      <c r="K174" s="309">
        <v>0</v>
      </c>
      <c r="L174" s="309">
        <v>41190</v>
      </c>
      <c r="M174" s="309">
        <v>0</v>
      </c>
      <c r="N174" s="309">
        <v>0</v>
      </c>
      <c r="O174" s="358">
        <v>0</v>
      </c>
      <c r="P174" s="309">
        <v>0</v>
      </c>
      <c r="Q174" s="309">
        <v>0</v>
      </c>
      <c r="R174" s="309">
        <v>0</v>
      </c>
      <c r="S174" s="314"/>
      <c r="T174" s="314"/>
      <c r="U174" s="314"/>
      <c r="V174" s="314"/>
      <c r="W174" s="314"/>
      <c r="X174" s="314"/>
      <c r="Y174" s="314"/>
      <c r="Z174" s="314"/>
      <c r="AA174" s="314"/>
      <c r="AB174" s="314"/>
      <c r="AC174" s="314"/>
      <c r="AD174" s="314"/>
      <c r="AE174" s="314"/>
      <c r="AF174" s="314"/>
      <c r="AG174" s="314"/>
      <c r="AH174" s="314"/>
      <c r="AI174" s="314"/>
      <c r="AJ174" s="314"/>
      <c r="AK174" s="314"/>
      <c r="AL174" s="314"/>
      <c r="AM174" s="314"/>
      <c r="AN174" s="314"/>
      <c r="AO174" s="7"/>
      <c r="AP174" s="74"/>
      <c r="AR174" s="41"/>
      <c r="CB174" s="40"/>
      <c r="CC174" s="40"/>
      <c r="DF174" s="40"/>
      <c r="EN174" s="30"/>
      <c r="EO174" s="40"/>
      <c r="EP174" s="40"/>
      <c r="EQ174" s="40"/>
      <c r="ER174" s="40"/>
      <c r="GU174" s="40"/>
      <c r="KP174" s="40"/>
      <c r="KQ174" s="40"/>
      <c r="KR174" s="40"/>
      <c r="KS174" s="40"/>
      <c r="PW174" s="40"/>
      <c r="PX174" s="40"/>
      <c r="PZ174" s="40"/>
      <c r="QN174" s="39"/>
      <c r="QR174" s="40"/>
      <c r="SU174" s="39"/>
      <c r="AID174" s="5"/>
      <c r="AJS174" s="5"/>
      <c r="AJT174" s="5"/>
      <c r="AJU174" s="5"/>
    </row>
    <row r="175" spans="6:957" ht="15" hidden="1" customHeight="1" x14ac:dyDescent="0.3">
      <c r="F175" s="135"/>
      <c r="G175" s="165" t="s">
        <v>162</v>
      </c>
      <c r="H175" s="295"/>
      <c r="I175" s="253" t="s">
        <v>16</v>
      </c>
      <c r="J175" s="297">
        <v>0</v>
      </c>
      <c r="K175" s="297">
        <v>0</v>
      </c>
      <c r="L175" s="297">
        <v>4348.43</v>
      </c>
      <c r="M175" s="297">
        <v>8975</v>
      </c>
      <c r="N175" s="297">
        <v>0</v>
      </c>
      <c r="O175" s="312">
        <v>0</v>
      </c>
      <c r="P175" s="297">
        <v>0</v>
      </c>
      <c r="Q175" s="297">
        <v>0</v>
      </c>
      <c r="R175" s="297">
        <v>0</v>
      </c>
      <c r="S175" s="297">
        <v>0</v>
      </c>
      <c r="T175" s="297">
        <v>0</v>
      </c>
      <c r="U175" s="297">
        <v>0</v>
      </c>
      <c r="V175" s="297">
        <v>0</v>
      </c>
      <c r="W175" s="297">
        <v>0</v>
      </c>
      <c r="X175" s="297">
        <v>0</v>
      </c>
      <c r="Y175" s="297">
        <v>0</v>
      </c>
      <c r="Z175" s="297">
        <v>0</v>
      </c>
      <c r="AA175" s="297">
        <v>0</v>
      </c>
      <c r="AB175" s="297"/>
      <c r="AC175" s="297">
        <v>0</v>
      </c>
      <c r="AD175" s="297">
        <v>0</v>
      </c>
      <c r="AE175" s="297">
        <v>0</v>
      </c>
      <c r="AF175" s="297">
        <v>0</v>
      </c>
      <c r="AG175" s="297">
        <v>0</v>
      </c>
      <c r="AH175" s="297">
        <v>0</v>
      </c>
      <c r="AI175" s="297">
        <v>0</v>
      </c>
      <c r="AJ175" s="297">
        <v>0</v>
      </c>
      <c r="AK175" s="297">
        <v>0</v>
      </c>
      <c r="AL175" s="297">
        <v>0</v>
      </c>
      <c r="AM175" s="297">
        <v>0</v>
      </c>
      <c r="AN175" s="297"/>
      <c r="AO175" s="10"/>
      <c r="AP175" s="52">
        <f>SUM(AP176:AP177)</f>
        <v>13323.43</v>
      </c>
      <c r="AR175" s="41"/>
      <c r="CB175" s="40"/>
      <c r="CC175" s="40"/>
      <c r="DF175" s="40"/>
      <c r="EN175" s="30"/>
      <c r="EO175" s="40"/>
      <c r="EP175" s="40"/>
      <c r="EQ175" s="40"/>
      <c r="ER175" s="40"/>
      <c r="GU175" s="40"/>
      <c r="KP175" s="40"/>
      <c r="KQ175" s="40"/>
      <c r="KR175" s="40"/>
      <c r="KS175" s="40"/>
      <c r="PW175" s="40"/>
      <c r="PX175" s="40"/>
      <c r="PZ175" s="40"/>
      <c r="QN175" s="39"/>
      <c r="QR175" s="40"/>
      <c r="SU175" s="39"/>
      <c r="AID175" s="5"/>
      <c r="AJS175" s="5"/>
      <c r="AJT175" s="5"/>
      <c r="AJU175" s="5"/>
    </row>
    <row r="176" spans="6:957" ht="15" hidden="1" customHeight="1" x14ac:dyDescent="0.3">
      <c r="F176" s="135"/>
      <c r="G176" s="165" t="s">
        <v>44</v>
      </c>
      <c r="H176" s="295"/>
      <c r="I176" s="214" t="s">
        <v>16</v>
      </c>
      <c r="J176" s="297">
        <f>SUM(J179:J181)*0.9031</f>
        <v>0</v>
      </c>
      <c r="K176" s="297">
        <f t="shared" ref="K176:R176" si="85">SUM(K179:K181)*0.9031</f>
        <v>0</v>
      </c>
      <c r="L176" s="297">
        <f t="shared" si="85"/>
        <v>4731.3409000000001</v>
      </c>
      <c r="M176" s="297">
        <f t="shared" si="85"/>
        <v>9720.9683999999997</v>
      </c>
      <c r="N176" s="297">
        <f t="shared" si="85"/>
        <v>0</v>
      </c>
      <c r="O176" s="312">
        <f t="shared" si="85"/>
        <v>0</v>
      </c>
      <c r="P176" s="297">
        <f t="shared" si="85"/>
        <v>0</v>
      </c>
      <c r="Q176" s="297">
        <f t="shared" si="85"/>
        <v>0</v>
      </c>
      <c r="R176" s="297">
        <f t="shared" si="85"/>
        <v>0</v>
      </c>
      <c r="S176" s="297">
        <f t="shared" ref="S176:AI176" si="86">SUM(S179:S181)*9.75348</f>
        <v>0</v>
      </c>
      <c r="T176" s="297">
        <f t="shared" si="86"/>
        <v>0</v>
      </c>
      <c r="U176" s="297">
        <f t="shared" si="86"/>
        <v>0</v>
      </c>
      <c r="V176" s="297">
        <f t="shared" si="86"/>
        <v>0</v>
      </c>
      <c r="W176" s="297">
        <f t="shared" si="86"/>
        <v>0</v>
      </c>
      <c r="X176" s="297">
        <f t="shared" si="86"/>
        <v>0</v>
      </c>
      <c r="Y176" s="297">
        <f t="shared" si="86"/>
        <v>0</v>
      </c>
      <c r="Z176" s="297">
        <f t="shared" si="86"/>
        <v>0</v>
      </c>
      <c r="AA176" s="297">
        <f t="shared" si="86"/>
        <v>0</v>
      </c>
      <c r="AB176" s="297">
        <f t="shared" ref="AB176" si="87">SUM(AB179:AB180)*10.86</f>
        <v>0</v>
      </c>
      <c r="AC176" s="297">
        <f t="shared" si="86"/>
        <v>0</v>
      </c>
      <c r="AD176" s="297">
        <f t="shared" si="86"/>
        <v>0</v>
      </c>
      <c r="AE176" s="297">
        <f t="shared" si="86"/>
        <v>0</v>
      </c>
      <c r="AF176" s="297">
        <f t="shared" si="86"/>
        <v>0</v>
      </c>
      <c r="AG176" s="297">
        <f t="shared" si="86"/>
        <v>0</v>
      </c>
      <c r="AH176" s="297">
        <f t="shared" si="86"/>
        <v>0</v>
      </c>
      <c r="AI176" s="297">
        <f t="shared" si="86"/>
        <v>0</v>
      </c>
      <c r="AJ176" s="297">
        <v>0</v>
      </c>
      <c r="AK176" s="297">
        <v>0</v>
      </c>
      <c r="AL176" s="297">
        <v>0</v>
      </c>
      <c r="AM176" s="297">
        <v>0</v>
      </c>
      <c r="AN176" s="297"/>
      <c r="AO176" s="10"/>
      <c r="AP176" s="52">
        <f>SUM(J176:AI176)</f>
        <v>14452.309300000001</v>
      </c>
      <c r="AR176" s="41"/>
      <c r="CB176" s="40"/>
      <c r="CC176" s="40"/>
      <c r="DF176" s="40"/>
      <c r="EN176" s="30"/>
      <c r="EO176" s="40"/>
      <c r="EP176" s="40"/>
      <c r="EQ176" s="40"/>
      <c r="ER176" s="40"/>
      <c r="GU176" s="40"/>
      <c r="KP176" s="40"/>
      <c r="KQ176" s="40"/>
      <c r="KR176" s="40"/>
      <c r="KS176" s="40"/>
      <c r="PW176" s="40"/>
      <c r="PX176" s="40"/>
      <c r="PZ176" s="40"/>
      <c r="QN176" s="39"/>
      <c r="QR176" s="40"/>
      <c r="SU176" s="39"/>
      <c r="AID176" s="5"/>
      <c r="AJS176" s="5"/>
      <c r="AJT176" s="5"/>
      <c r="AJU176" s="5"/>
    </row>
    <row r="177" spans="6:957" ht="15" hidden="1" customHeight="1" x14ac:dyDescent="0.3">
      <c r="F177" s="135"/>
      <c r="G177" s="165" t="s">
        <v>43</v>
      </c>
      <c r="H177" s="295"/>
      <c r="I177" s="214" t="s">
        <v>16</v>
      </c>
      <c r="J177" s="297">
        <f>J175-J176</f>
        <v>0</v>
      </c>
      <c r="K177" s="297">
        <f t="shared" ref="K177:AI177" si="88">K175-K176</f>
        <v>0</v>
      </c>
      <c r="L177" s="297">
        <f t="shared" si="88"/>
        <v>-382.91089999999986</v>
      </c>
      <c r="M177" s="297">
        <f t="shared" si="88"/>
        <v>-745.96839999999975</v>
      </c>
      <c r="N177" s="297">
        <f t="shared" si="88"/>
        <v>0</v>
      </c>
      <c r="O177" s="312">
        <f t="shared" si="88"/>
        <v>0</v>
      </c>
      <c r="P177" s="297">
        <f t="shared" si="88"/>
        <v>0</v>
      </c>
      <c r="Q177" s="297">
        <f t="shared" si="88"/>
        <v>0</v>
      </c>
      <c r="R177" s="297">
        <f t="shared" si="88"/>
        <v>0</v>
      </c>
      <c r="S177" s="297">
        <f t="shared" si="88"/>
        <v>0</v>
      </c>
      <c r="T177" s="297">
        <f t="shared" si="88"/>
        <v>0</v>
      </c>
      <c r="U177" s="297">
        <f t="shared" si="88"/>
        <v>0</v>
      </c>
      <c r="V177" s="297">
        <f t="shared" si="88"/>
        <v>0</v>
      </c>
      <c r="W177" s="297">
        <f t="shared" si="88"/>
        <v>0</v>
      </c>
      <c r="X177" s="297">
        <f t="shared" si="88"/>
        <v>0</v>
      </c>
      <c r="Y177" s="297">
        <f t="shared" si="88"/>
        <v>0</v>
      </c>
      <c r="Z177" s="297">
        <f t="shared" si="88"/>
        <v>0</v>
      </c>
      <c r="AA177" s="297">
        <f t="shared" si="88"/>
        <v>0</v>
      </c>
      <c r="AB177" s="297">
        <f>AB175-AB176</f>
        <v>0</v>
      </c>
      <c r="AC177" s="297">
        <f t="shared" si="88"/>
        <v>0</v>
      </c>
      <c r="AD177" s="297">
        <f t="shared" si="88"/>
        <v>0</v>
      </c>
      <c r="AE177" s="297">
        <f t="shared" si="88"/>
        <v>0</v>
      </c>
      <c r="AF177" s="297">
        <f t="shared" si="88"/>
        <v>0</v>
      </c>
      <c r="AG177" s="297">
        <f t="shared" si="88"/>
        <v>0</v>
      </c>
      <c r="AH177" s="297">
        <f t="shared" si="88"/>
        <v>0</v>
      </c>
      <c r="AI177" s="297">
        <f t="shared" si="88"/>
        <v>0</v>
      </c>
      <c r="AJ177" s="297">
        <v>0</v>
      </c>
      <c r="AK177" s="297">
        <v>0</v>
      </c>
      <c r="AL177" s="297">
        <v>0</v>
      </c>
      <c r="AM177" s="297">
        <v>0</v>
      </c>
      <c r="AN177" s="297">
        <v>0</v>
      </c>
      <c r="AO177" s="10"/>
      <c r="AP177" s="52">
        <f>SUM(J177:AI177)</f>
        <v>-1128.8792999999996</v>
      </c>
      <c r="AR177" s="41"/>
      <c r="CB177" s="40"/>
      <c r="CC177" s="40"/>
      <c r="DF177" s="40"/>
      <c r="EN177" s="30"/>
      <c r="EO177" s="40"/>
      <c r="EP177" s="40"/>
      <c r="EQ177" s="40"/>
      <c r="ER177" s="40"/>
      <c r="GU177" s="40"/>
      <c r="KP177" s="40"/>
      <c r="KQ177" s="40"/>
      <c r="KR177" s="40"/>
      <c r="KS177" s="40"/>
      <c r="PW177" s="40"/>
      <c r="PX177" s="40"/>
      <c r="PZ177" s="40"/>
      <c r="QN177" s="39"/>
      <c r="QR177" s="40"/>
      <c r="SU177" s="39"/>
      <c r="AID177" s="5"/>
      <c r="AJS177" s="5"/>
      <c r="AJT177" s="5"/>
      <c r="AJU177" s="5"/>
    </row>
    <row r="178" spans="6:957" ht="15" hidden="1" customHeight="1" x14ac:dyDescent="0.3">
      <c r="F178" s="135"/>
      <c r="G178" s="165" t="s">
        <v>33</v>
      </c>
      <c r="H178" s="295"/>
      <c r="I178" s="214"/>
      <c r="J178" s="297"/>
      <c r="K178" s="297"/>
      <c r="L178" s="297"/>
      <c r="M178" s="297"/>
      <c r="N178" s="297"/>
      <c r="O178" s="312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297"/>
      <c r="AB178" s="297"/>
      <c r="AC178" s="297"/>
      <c r="AD178" s="297"/>
      <c r="AE178" s="297"/>
      <c r="AF178" s="297"/>
      <c r="AG178" s="297"/>
      <c r="AH178" s="297"/>
      <c r="AI178" s="297"/>
      <c r="AJ178" s="297"/>
      <c r="AK178" s="297"/>
      <c r="AL178" s="297"/>
      <c r="AM178" s="297"/>
      <c r="AN178" s="297"/>
      <c r="AO178" s="10"/>
      <c r="AP178" s="44" t="s">
        <v>33</v>
      </c>
      <c r="AR178" s="41"/>
      <c r="CB178" s="40"/>
      <c r="CC178" s="40"/>
      <c r="DF178" s="40"/>
      <c r="EN178" s="30"/>
      <c r="EO178" s="40"/>
      <c r="EP178" s="40"/>
      <c r="EQ178" s="40"/>
      <c r="ER178" s="40"/>
      <c r="GU178" s="40"/>
      <c r="KP178" s="40"/>
      <c r="KQ178" s="40"/>
      <c r="KR178" s="40"/>
      <c r="KS178" s="40"/>
      <c r="PW178" s="40"/>
      <c r="PX178" s="40"/>
      <c r="PZ178" s="40"/>
      <c r="QN178" s="39"/>
      <c r="QR178" s="40"/>
      <c r="SU178" s="39"/>
      <c r="AID178" s="5"/>
      <c r="AJS178" s="5"/>
      <c r="AJT178" s="5"/>
      <c r="AJU178" s="5"/>
    </row>
    <row r="179" spans="6:957" ht="15" hidden="1" customHeight="1" x14ac:dyDescent="0.3">
      <c r="F179" s="135"/>
      <c r="G179" s="165" t="s">
        <v>163</v>
      </c>
      <c r="H179" s="295"/>
      <c r="I179" s="214" t="s">
        <v>36</v>
      </c>
      <c r="J179" s="297">
        <v>0</v>
      </c>
      <c r="K179" s="297">
        <v>0</v>
      </c>
      <c r="L179" s="11">
        <v>403</v>
      </c>
      <c r="M179" s="11">
        <v>828</v>
      </c>
      <c r="N179" s="297">
        <v>0</v>
      </c>
      <c r="O179" s="312">
        <v>0</v>
      </c>
      <c r="P179" s="297">
        <v>0</v>
      </c>
      <c r="Q179" s="297">
        <v>0</v>
      </c>
      <c r="R179" s="297">
        <v>0</v>
      </c>
      <c r="S179" s="297">
        <v>0</v>
      </c>
      <c r="T179" s="297">
        <v>0</v>
      </c>
      <c r="U179" s="297">
        <v>0</v>
      </c>
      <c r="V179" s="297">
        <v>0</v>
      </c>
      <c r="W179" s="297">
        <v>0</v>
      </c>
      <c r="X179" s="297">
        <v>0</v>
      </c>
      <c r="Y179" s="297">
        <v>0</v>
      </c>
      <c r="Z179" s="297">
        <v>0</v>
      </c>
      <c r="AA179" s="297">
        <v>0</v>
      </c>
      <c r="AB179" s="297"/>
      <c r="AC179" s="297">
        <v>0</v>
      </c>
      <c r="AD179" s="297">
        <v>0</v>
      </c>
      <c r="AE179" s="297">
        <v>0</v>
      </c>
      <c r="AF179" s="297">
        <v>0</v>
      </c>
      <c r="AG179" s="297">
        <v>0</v>
      </c>
      <c r="AH179" s="297">
        <v>0</v>
      </c>
      <c r="AI179" s="297">
        <v>0</v>
      </c>
      <c r="AJ179" s="297">
        <v>0</v>
      </c>
      <c r="AK179" s="297">
        <v>0</v>
      </c>
      <c r="AL179" s="297">
        <v>0</v>
      </c>
      <c r="AM179" s="297">
        <v>0</v>
      </c>
      <c r="AN179" s="297"/>
      <c r="AO179" s="10"/>
      <c r="AP179" s="50">
        <f>SUM(J179:AN179)</f>
        <v>1231</v>
      </c>
      <c r="AR179" s="41"/>
      <c r="CB179" s="40"/>
      <c r="CC179" s="40"/>
      <c r="DF179" s="40"/>
      <c r="EN179" s="30"/>
      <c r="EO179" s="40"/>
      <c r="EP179" s="40"/>
      <c r="EQ179" s="40"/>
      <c r="ER179" s="40"/>
      <c r="GU179" s="40"/>
      <c r="KP179" s="40"/>
      <c r="KQ179" s="40"/>
      <c r="KR179" s="40"/>
      <c r="KS179" s="40"/>
      <c r="PW179" s="40"/>
      <c r="PX179" s="40"/>
      <c r="PZ179" s="40"/>
      <c r="QN179" s="39"/>
      <c r="QR179" s="40"/>
      <c r="SU179" s="39"/>
      <c r="AID179" s="5"/>
      <c r="AJS179" s="5"/>
      <c r="AJT179" s="5"/>
      <c r="AJU179" s="5"/>
    </row>
    <row r="180" spans="6:957" ht="15" hidden="1" customHeight="1" x14ac:dyDescent="0.3">
      <c r="F180" s="135"/>
      <c r="G180" s="165" t="s">
        <v>32</v>
      </c>
      <c r="H180" s="295"/>
      <c r="I180" s="214"/>
      <c r="J180" s="297"/>
      <c r="K180" s="297"/>
      <c r="L180" s="297"/>
      <c r="M180" s="297"/>
      <c r="N180" s="297"/>
      <c r="O180" s="312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297"/>
      <c r="AB180" s="297"/>
      <c r="AC180" s="297"/>
      <c r="AD180" s="297"/>
      <c r="AE180" s="297"/>
      <c r="AF180" s="297"/>
      <c r="AG180" s="297"/>
      <c r="AH180" s="297"/>
      <c r="AI180" s="297"/>
      <c r="AJ180" s="297"/>
      <c r="AK180" s="297"/>
      <c r="AL180" s="297"/>
      <c r="AM180" s="297"/>
      <c r="AN180" s="297"/>
      <c r="AO180" s="10"/>
      <c r="AP180" s="44" t="s">
        <v>32</v>
      </c>
      <c r="AR180" s="41"/>
      <c r="CB180" s="40"/>
      <c r="CC180" s="40"/>
      <c r="DF180" s="40"/>
      <c r="EN180" s="30"/>
      <c r="EO180" s="40"/>
      <c r="EP180" s="40"/>
      <c r="EQ180" s="40"/>
      <c r="ER180" s="40"/>
      <c r="GU180" s="40"/>
      <c r="KP180" s="40"/>
      <c r="KQ180" s="40"/>
      <c r="KR180" s="40"/>
      <c r="KS180" s="40"/>
      <c r="PW180" s="40"/>
      <c r="PX180" s="40"/>
      <c r="PZ180" s="40"/>
      <c r="QN180" s="39"/>
      <c r="QR180" s="40"/>
      <c r="SU180" s="39"/>
      <c r="AID180" s="5"/>
      <c r="AJS180" s="5"/>
      <c r="AJT180" s="5"/>
      <c r="AJU180" s="5"/>
    </row>
    <row r="181" spans="6:957" ht="15" hidden="1" customHeight="1" x14ac:dyDescent="0.3">
      <c r="F181" s="135"/>
      <c r="G181" s="165" t="s">
        <v>163</v>
      </c>
      <c r="H181" s="295"/>
      <c r="I181" s="214" t="s">
        <v>32</v>
      </c>
      <c r="J181" s="11">
        <f>J179*12</f>
        <v>0</v>
      </c>
      <c r="K181" s="11">
        <f t="shared" ref="K181:R181" si="89">K179*12</f>
        <v>0</v>
      </c>
      <c r="L181" s="11">
        <f t="shared" si="89"/>
        <v>4836</v>
      </c>
      <c r="M181" s="11">
        <f t="shared" si="89"/>
        <v>9936</v>
      </c>
      <c r="N181" s="11">
        <f t="shared" si="89"/>
        <v>0</v>
      </c>
      <c r="O181" s="259">
        <f t="shared" si="89"/>
        <v>0</v>
      </c>
      <c r="P181" s="11">
        <f t="shared" si="89"/>
        <v>0</v>
      </c>
      <c r="Q181" s="11">
        <f t="shared" si="89"/>
        <v>0</v>
      </c>
      <c r="R181" s="11">
        <f t="shared" si="89"/>
        <v>0</v>
      </c>
      <c r="S181" s="11">
        <f t="shared" ref="S181:AI181" si="90">S179*6</f>
        <v>0</v>
      </c>
      <c r="T181" s="11">
        <f t="shared" si="90"/>
        <v>0</v>
      </c>
      <c r="U181" s="11">
        <f t="shared" si="90"/>
        <v>0</v>
      </c>
      <c r="V181" s="11">
        <f t="shared" si="90"/>
        <v>0</v>
      </c>
      <c r="W181" s="11">
        <f t="shared" si="90"/>
        <v>0</v>
      </c>
      <c r="X181" s="11">
        <f t="shared" si="90"/>
        <v>0</v>
      </c>
      <c r="Y181" s="11">
        <f t="shared" si="90"/>
        <v>0</v>
      </c>
      <c r="Z181" s="11">
        <f t="shared" si="90"/>
        <v>0</v>
      </c>
      <c r="AA181" s="11">
        <f t="shared" si="90"/>
        <v>0</v>
      </c>
      <c r="AB181" s="11">
        <f>AB179*12</f>
        <v>0</v>
      </c>
      <c r="AC181" s="11">
        <f t="shared" si="90"/>
        <v>0</v>
      </c>
      <c r="AD181" s="11">
        <f t="shared" si="90"/>
        <v>0</v>
      </c>
      <c r="AE181" s="11">
        <f t="shared" si="90"/>
        <v>0</v>
      </c>
      <c r="AF181" s="11">
        <f t="shared" si="90"/>
        <v>0</v>
      </c>
      <c r="AG181" s="11">
        <f t="shared" si="90"/>
        <v>0</v>
      </c>
      <c r="AH181" s="11">
        <f t="shared" si="90"/>
        <v>0</v>
      </c>
      <c r="AI181" s="11">
        <f t="shared" si="90"/>
        <v>0</v>
      </c>
      <c r="AJ181" s="297">
        <v>0</v>
      </c>
      <c r="AK181" s="297">
        <v>0</v>
      </c>
      <c r="AL181" s="297">
        <v>0</v>
      </c>
      <c r="AM181" s="297">
        <v>0</v>
      </c>
      <c r="AN181" s="297">
        <v>0</v>
      </c>
      <c r="AO181" s="10"/>
      <c r="AP181" s="26">
        <f>AP179*24</f>
        <v>29544</v>
      </c>
      <c r="AR181" s="41"/>
      <c r="CB181" s="40"/>
      <c r="CC181" s="40"/>
      <c r="DF181" s="40"/>
      <c r="EN181" s="30"/>
      <c r="EO181" s="40"/>
      <c r="EP181" s="40"/>
      <c r="EQ181" s="40"/>
      <c r="ER181" s="40"/>
      <c r="GU181" s="40"/>
      <c r="KP181" s="40"/>
      <c r="KQ181" s="40"/>
      <c r="KR181" s="40"/>
      <c r="KS181" s="40"/>
      <c r="PW181" s="40"/>
      <c r="PX181" s="40"/>
      <c r="PZ181" s="40"/>
      <c r="QN181" s="39"/>
      <c r="QR181" s="40"/>
      <c r="SU181" s="39"/>
      <c r="AID181" s="5"/>
      <c r="AJS181" s="5"/>
      <c r="AJT181" s="5"/>
      <c r="AJU181" s="5"/>
    </row>
    <row r="182" spans="6:957" ht="15" hidden="1" customHeight="1" x14ac:dyDescent="0.3">
      <c r="F182" s="135"/>
      <c r="G182" s="165" t="s">
        <v>41</v>
      </c>
      <c r="H182" s="295"/>
      <c r="I182" s="214" t="s">
        <v>40</v>
      </c>
      <c r="J182" s="11">
        <f>J179*45/1700</f>
        <v>0</v>
      </c>
      <c r="K182" s="11">
        <f t="shared" ref="K182:AI182" si="91">K179*45/1700</f>
        <v>0</v>
      </c>
      <c r="L182" s="11">
        <f t="shared" si="91"/>
        <v>10.66764705882353</v>
      </c>
      <c r="M182" s="11">
        <f>M179*45/1700</f>
        <v>21.91764705882353</v>
      </c>
      <c r="N182" s="11">
        <f>N179*45/1700</f>
        <v>0</v>
      </c>
      <c r="O182" s="259">
        <f t="shared" si="91"/>
        <v>0</v>
      </c>
      <c r="P182" s="11">
        <f t="shared" si="91"/>
        <v>0</v>
      </c>
      <c r="Q182" s="11">
        <f t="shared" si="91"/>
        <v>0</v>
      </c>
      <c r="R182" s="11">
        <f t="shared" si="91"/>
        <v>0</v>
      </c>
      <c r="S182" s="11">
        <f t="shared" si="91"/>
        <v>0</v>
      </c>
      <c r="T182" s="11">
        <f t="shared" si="91"/>
        <v>0</v>
      </c>
      <c r="U182" s="11">
        <f t="shared" si="91"/>
        <v>0</v>
      </c>
      <c r="V182" s="11">
        <f t="shared" si="91"/>
        <v>0</v>
      </c>
      <c r="W182" s="11">
        <f t="shared" si="91"/>
        <v>0</v>
      </c>
      <c r="X182" s="11">
        <f t="shared" si="91"/>
        <v>0</v>
      </c>
      <c r="Y182" s="11">
        <f t="shared" si="91"/>
        <v>0</v>
      </c>
      <c r="Z182" s="11">
        <f t="shared" si="91"/>
        <v>0</v>
      </c>
      <c r="AA182" s="11">
        <f t="shared" si="91"/>
        <v>0</v>
      </c>
      <c r="AB182" s="11">
        <f t="shared" si="91"/>
        <v>0</v>
      </c>
      <c r="AC182" s="11">
        <f t="shared" si="91"/>
        <v>0</v>
      </c>
      <c r="AD182" s="11">
        <f t="shared" si="91"/>
        <v>0</v>
      </c>
      <c r="AE182" s="11">
        <f t="shared" si="91"/>
        <v>0</v>
      </c>
      <c r="AF182" s="11">
        <f t="shared" si="91"/>
        <v>0</v>
      </c>
      <c r="AG182" s="11">
        <f t="shared" si="91"/>
        <v>0</v>
      </c>
      <c r="AH182" s="11">
        <f t="shared" si="91"/>
        <v>0</v>
      </c>
      <c r="AI182" s="11">
        <f t="shared" si="91"/>
        <v>0</v>
      </c>
      <c r="AJ182" s="297">
        <v>0</v>
      </c>
      <c r="AK182" s="297">
        <v>0</v>
      </c>
      <c r="AL182" s="297">
        <v>0</v>
      </c>
      <c r="AM182" s="297">
        <v>0</v>
      </c>
      <c r="AN182" s="297">
        <v>0</v>
      </c>
      <c r="AO182" s="10"/>
      <c r="AP182" s="26">
        <f>SUM(J182:AN182)</f>
        <v>32.585294117647059</v>
      </c>
      <c r="AR182" s="41"/>
      <c r="CB182" s="40"/>
      <c r="CC182" s="40"/>
      <c r="DF182" s="40"/>
      <c r="EN182" s="30"/>
      <c r="EO182" s="40"/>
      <c r="EP182" s="40"/>
      <c r="EQ182" s="40"/>
      <c r="ER182" s="40"/>
      <c r="GU182" s="40"/>
      <c r="KP182" s="40"/>
      <c r="KQ182" s="40"/>
      <c r="KR182" s="40"/>
      <c r="KS182" s="40"/>
      <c r="PW182" s="40"/>
      <c r="PX182" s="40"/>
      <c r="PZ182" s="40"/>
      <c r="QN182" s="39"/>
      <c r="QR182" s="40"/>
      <c r="SU182" s="39"/>
      <c r="AID182" s="5"/>
      <c r="AJS182" s="5"/>
      <c r="AJT182" s="5"/>
      <c r="AJU182" s="5"/>
    </row>
    <row r="183" spans="6:957" ht="15" hidden="1" customHeight="1" x14ac:dyDescent="0.3">
      <c r="F183" s="135"/>
      <c r="G183" s="165" t="s">
        <v>39</v>
      </c>
      <c r="H183" s="295"/>
      <c r="I183" s="214" t="s">
        <v>38</v>
      </c>
      <c r="J183" s="11">
        <f>SUM(J179)/500</f>
        <v>0</v>
      </c>
      <c r="K183" s="11">
        <f t="shared" ref="K183:AI183" si="92">SUM(K179)/500</f>
        <v>0</v>
      </c>
      <c r="L183" s="11">
        <f t="shared" si="92"/>
        <v>0.80600000000000005</v>
      </c>
      <c r="M183" s="11">
        <f t="shared" si="92"/>
        <v>1.6559999999999999</v>
      </c>
      <c r="N183" s="11">
        <f t="shared" si="92"/>
        <v>0</v>
      </c>
      <c r="O183" s="259">
        <f t="shared" si="92"/>
        <v>0</v>
      </c>
      <c r="P183" s="11">
        <f t="shared" si="92"/>
        <v>0</v>
      </c>
      <c r="Q183" s="11">
        <f t="shared" si="92"/>
        <v>0</v>
      </c>
      <c r="R183" s="11">
        <f t="shared" si="92"/>
        <v>0</v>
      </c>
      <c r="S183" s="11">
        <f t="shared" si="92"/>
        <v>0</v>
      </c>
      <c r="T183" s="11">
        <f t="shared" si="92"/>
        <v>0</v>
      </c>
      <c r="U183" s="11">
        <f t="shared" si="92"/>
        <v>0</v>
      </c>
      <c r="V183" s="11">
        <f t="shared" si="92"/>
        <v>0</v>
      </c>
      <c r="W183" s="11">
        <f t="shared" si="92"/>
        <v>0</v>
      </c>
      <c r="X183" s="11">
        <f t="shared" si="92"/>
        <v>0</v>
      </c>
      <c r="Y183" s="11">
        <f t="shared" si="92"/>
        <v>0</v>
      </c>
      <c r="Z183" s="11">
        <f t="shared" si="92"/>
        <v>0</v>
      </c>
      <c r="AA183" s="11">
        <f t="shared" si="92"/>
        <v>0</v>
      </c>
      <c r="AB183" s="11">
        <f t="shared" si="92"/>
        <v>0</v>
      </c>
      <c r="AC183" s="11">
        <f t="shared" si="92"/>
        <v>0</v>
      </c>
      <c r="AD183" s="11">
        <f t="shared" si="92"/>
        <v>0</v>
      </c>
      <c r="AE183" s="11">
        <f t="shared" si="92"/>
        <v>0</v>
      </c>
      <c r="AF183" s="11">
        <f t="shared" si="92"/>
        <v>0</v>
      </c>
      <c r="AG183" s="11">
        <f t="shared" si="92"/>
        <v>0</v>
      </c>
      <c r="AH183" s="11">
        <f t="shared" si="92"/>
        <v>0</v>
      </c>
      <c r="AI183" s="11">
        <f t="shared" si="92"/>
        <v>0</v>
      </c>
      <c r="AJ183" s="297">
        <v>0</v>
      </c>
      <c r="AK183" s="297">
        <v>0</v>
      </c>
      <c r="AL183" s="297">
        <v>0</v>
      </c>
      <c r="AM183" s="297">
        <v>0</v>
      </c>
      <c r="AN183" s="297">
        <v>0</v>
      </c>
      <c r="AO183" s="10"/>
      <c r="AP183" s="26">
        <f>SUM(J183:AN183)</f>
        <v>2.4619999999999997</v>
      </c>
      <c r="AR183" s="41"/>
      <c r="CB183" s="40"/>
      <c r="CC183" s="40"/>
      <c r="DF183" s="40"/>
      <c r="EN183" s="30"/>
      <c r="EO183" s="40"/>
      <c r="EP183" s="40"/>
      <c r="EQ183" s="40"/>
      <c r="ER183" s="40"/>
      <c r="GU183" s="40"/>
      <c r="KP183" s="40"/>
      <c r="KQ183" s="40"/>
      <c r="KR183" s="40"/>
      <c r="KS183" s="40"/>
      <c r="PW183" s="40"/>
      <c r="PX183" s="40"/>
      <c r="PZ183" s="40"/>
      <c r="QN183" s="39"/>
      <c r="QR183" s="40"/>
      <c r="SU183" s="39"/>
      <c r="AID183" s="5"/>
      <c r="AJS183" s="5"/>
      <c r="AJT183" s="5"/>
      <c r="AJU183" s="5"/>
    </row>
    <row r="184" spans="6:957" ht="15" hidden="1" customHeight="1" x14ac:dyDescent="0.3">
      <c r="F184" s="135"/>
      <c r="G184" s="161" t="s">
        <v>37</v>
      </c>
      <c r="H184" s="310"/>
      <c r="I184" s="257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1"/>
      <c r="AC184" s="311"/>
      <c r="AD184" s="311"/>
      <c r="AE184" s="311"/>
      <c r="AF184" s="311"/>
      <c r="AG184" s="311"/>
      <c r="AH184" s="311"/>
      <c r="AI184" s="311"/>
      <c r="AJ184" s="311"/>
      <c r="AK184" s="311"/>
      <c r="AL184" s="311"/>
      <c r="AM184" s="311"/>
      <c r="AN184" s="311"/>
      <c r="AO184" s="10"/>
      <c r="AP184" s="157" t="s">
        <v>34</v>
      </c>
      <c r="AR184" s="41"/>
      <c r="CB184" s="40"/>
      <c r="CC184" s="40"/>
      <c r="DF184" s="40"/>
      <c r="EN184" s="30"/>
      <c r="EO184" s="40"/>
      <c r="EP184" s="40"/>
      <c r="EQ184" s="40"/>
      <c r="ER184" s="40"/>
      <c r="GU184" s="40"/>
      <c r="KP184" s="40"/>
      <c r="KQ184" s="40"/>
      <c r="KR184" s="40"/>
      <c r="KS184" s="40"/>
      <c r="PW184" s="40"/>
      <c r="PX184" s="40"/>
      <c r="PZ184" s="40"/>
      <c r="QN184" s="39"/>
      <c r="QR184" s="40"/>
      <c r="SU184" s="39"/>
      <c r="AID184" s="5"/>
      <c r="AJS184" s="5"/>
      <c r="AJT184" s="5"/>
      <c r="AJU184" s="5"/>
    </row>
    <row r="185" spans="6:957" ht="15" hidden="1" customHeight="1" x14ac:dyDescent="0.3">
      <c r="F185" s="135"/>
      <c r="G185" s="165" t="s">
        <v>33</v>
      </c>
      <c r="H185" s="295"/>
      <c r="I185" s="214"/>
      <c r="J185" s="297"/>
      <c r="K185" s="297"/>
      <c r="L185" s="297"/>
      <c r="M185" s="297"/>
      <c r="N185" s="297"/>
      <c r="O185" s="312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297"/>
      <c r="AB185" s="297"/>
      <c r="AC185" s="297"/>
      <c r="AD185" s="297"/>
      <c r="AE185" s="297"/>
      <c r="AF185" s="297"/>
      <c r="AG185" s="297"/>
      <c r="AH185" s="297"/>
      <c r="AI185" s="297"/>
      <c r="AJ185" s="297"/>
      <c r="AK185" s="297"/>
      <c r="AL185" s="297"/>
      <c r="AM185" s="297"/>
      <c r="AN185" s="297"/>
      <c r="AO185" s="10"/>
      <c r="AP185" s="44" t="s">
        <v>33</v>
      </c>
      <c r="AR185" s="41"/>
      <c r="CB185" s="40"/>
      <c r="CC185" s="40"/>
      <c r="DF185" s="40"/>
      <c r="EN185" s="30"/>
      <c r="EO185" s="40"/>
      <c r="EP185" s="40"/>
      <c r="EQ185" s="40"/>
      <c r="ER185" s="40"/>
      <c r="GU185" s="40"/>
      <c r="KP185" s="40"/>
      <c r="KQ185" s="40"/>
      <c r="KR185" s="40"/>
      <c r="KS185" s="40"/>
      <c r="PW185" s="40"/>
      <c r="PX185" s="40"/>
      <c r="PZ185" s="40"/>
      <c r="QN185" s="39"/>
      <c r="QR185" s="40"/>
      <c r="SU185" s="39"/>
      <c r="AID185" s="5"/>
      <c r="AJS185" s="5"/>
      <c r="AJT185" s="5"/>
      <c r="AJU185" s="5"/>
    </row>
    <row r="186" spans="6:957" ht="15" hidden="1" customHeight="1" x14ac:dyDescent="0.3">
      <c r="F186" s="135"/>
      <c r="G186" s="165" t="s">
        <v>163</v>
      </c>
      <c r="H186" s="295"/>
      <c r="I186" s="214" t="s">
        <v>36</v>
      </c>
      <c r="J186" s="297">
        <v>0</v>
      </c>
      <c r="K186" s="297">
        <v>0</v>
      </c>
      <c r="L186" s="11">
        <v>2</v>
      </c>
      <c r="M186" s="297">
        <v>0</v>
      </c>
      <c r="N186" s="297">
        <v>0</v>
      </c>
      <c r="O186" s="312">
        <v>0</v>
      </c>
      <c r="P186" s="297">
        <v>0</v>
      </c>
      <c r="Q186" s="297">
        <v>0</v>
      </c>
      <c r="R186" s="297">
        <v>0</v>
      </c>
      <c r="S186" s="297">
        <v>0</v>
      </c>
      <c r="T186" s="297">
        <v>0</v>
      </c>
      <c r="U186" s="297">
        <v>0</v>
      </c>
      <c r="V186" s="297">
        <v>0</v>
      </c>
      <c r="W186" s="297">
        <v>0</v>
      </c>
      <c r="X186" s="297">
        <v>0</v>
      </c>
      <c r="Y186" s="297">
        <v>0</v>
      </c>
      <c r="Z186" s="297">
        <v>0</v>
      </c>
      <c r="AA186" s="297">
        <v>0</v>
      </c>
      <c r="AB186" s="297">
        <v>0</v>
      </c>
      <c r="AC186" s="297">
        <v>0</v>
      </c>
      <c r="AD186" s="297">
        <v>0</v>
      </c>
      <c r="AE186" s="297">
        <v>0</v>
      </c>
      <c r="AF186" s="297">
        <v>0</v>
      </c>
      <c r="AG186" s="297">
        <v>0</v>
      </c>
      <c r="AH186" s="297">
        <v>0</v>
      </c>
      <c r="AI186" s="297">
        <v>0</v>
      </c>
      <c r="AJ186" s="297">
        <v>0</v>
      </c>
      <c r="AK186" s="297">
        <v>0</v>
      </c>
      <c r="AL186" s="297">
        <v>0</v>
      </c>
      <c r="AM186" s="297">
        <v>0</v>
      </c>
      <c r="AN186" s="297">
        <v>0</v>
      </c>
      <c r="AO186" s="10"/>
      <c r="AP186" s="26">
        <f>SUM(J186:AN186)</f>
        <v>2</v>
      </c>
      <c r="AR186" s="41"/>
      <c r="CB186" s="40"/>
      <c r="CC186" s="40"/>
      <c r="DF186" s="40"/>
      <c r="EN186" s="30"/>
      <c r="EO186" s="40"/>
      <c r="EP186" s="40"/>
      <c r="EQ186" s="40"/>
      <c r="ER186" s="40"/>
      <c r="GU186" s="40"/>
      <c r="KP186" s="40"/>
      <c r="KQ186" s="40"/>
      <c r="KR186" s="40"/>
      <c r="KS186" s="40"/>
      <c r="PW186" s="40"/>
      <c r="PX186" s="40"/>
      <c r="PZ186" s="40"/>
      <c r="QN186" s="39"/>
      <c r="QR186" s="40"/>
      <c r="SU186" s="39"/>
      <c r="AID186" s="5"/>
      <c r="AJS186" s="5"/>
      <c r="AJT186" s="5"/>
      <c r="AJU186" s="5"/>
    </row>
    <row r="187" spans="6:957" ht="15" hidden="1" customHeight="1" x14ac:dyDescent="0.3">
      <c r="F187" s="135"/>
      <c r="G187" s="165" t="s">
        <v>32</v>
      </c>
      <c r="H187" s="295"/>
      <c r="I187" s="214"/>
      <c r="J187" s="297"/>
      <c r="K187" s="297"/>
      <c r="L187" s="297"/>
      <c r="M187" s="297"/>
      <c r="N187" s="297"/>
      <c r="O187" s="312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297"/>
      <c r="AB187" s="297"/>
      <c r="AC187" s="297"/>
      <c r="AD187" s="297"/>
      <c r="AE187" s="297"/>
      <c r="AF187" s="297"/>
      <c r="AG187" s="297"/>
      <c r="AH187" s="297"/>
      <c r="AI187" s="297"/>
      <c r="AJ187" s="297"/>
      <c r="AK187" s="297"/>
      <c r="AL187" s="297"/>
      <c r="AM187" s="297"/>
      <c r="AN187" s="297"/>
      <c r="AO187" s="10"/>
      <c r="AP187" s="44" t="s">
        <v>32</v>
      </c>
      <c r="AR187" s="41"/>
      <c r="CB187" s="40"/>
      <c r="CC187" s="40"/>
      <c r="DF187" s="40"/>
      <c r="EN187" s="30"/>
      <c r="EO187" s="40"/>
      <c r="EP187" s="40"/>
      <c r="EQ187" s="40"/>
      <c r="ER187" s="40"/>
      <c r="GU187" s="40"/>
      <c r="KP187" s="40"/>
      <c r="KQ187" s="40"/>
      <c r="KR187" s="40"/>
      <c r="KS187" s="40"/>
      <c r="PW187" s="40"/>
      <c r="PX187" s="40"/>
      <c r="PZ187" s="40"/>
      <c r="QN187" s="39"/>
      <c r="QR187" s="40"/>
      <c r="SU187" s="39"/>
      <c r="AID187" s="5"/>
      <c r="AJS187" s="5"/>
      <c r="AJT187" s="5"/>
      <c r="AJU187" s="5"/>
    </row>
    <row r="188" spans="6:957" ht="15" hidden="1" customHeight="1" x14ac:dyDescent="0.3">
      <c r="F188" s="135"/>
      <c r="G188" s="169" t="s">
        <v>163</v>
      </c>
      <c r="H188" s="315"/>
      <c r="I188" s="224" t="s">
        <v>32</v>
      </c>
      <c r="J188" s="316">
        <v>0</v>
      </c>
      <c r="K188" s="316">
        <v>0</v>
      </c>
      <c r="L188" s="291">
        <v>4</v>
      </c>
      <c r="M188" s="316">
        <v>0</v>
      </c>
      <c r="N188" s="316">
        <v>0</v>
      </c>
      <c r="O188" s="359">
        <v>0</v>
      </c>
      <c r="P188" s="316">
        <v>0</v>
      </c>
      <c r="Q188" s="316">
        <v>0</v>
      </c>
      <c r="R188" s="316">
        <v>0</v>
      </c>
      <c r="S188" s="316">
        <v>0</v>
      </c>
      <c r="T188" s="316">
        <v>0</v>
      </c>
      <c r="U188" s="316">
        <v>0</v>
      </c>
      <c r="V188" s="316">
        <v>0</v>
      </c>
      <c r="W188" s="316">
        <v>0</v>
      </c>
      <c r="X188" s="316">
        <v>0</v>
      </c>
      <c r="Y188" s="316">
        <v>0</v>
      </c>
      <c r="Z188" s="316">
        <v>0</v>
      </c>
      <c r="AA188" s="316">
        <v>0</v>
      </c>
      <c r="AB188" s="316">
        <v>0</v>
      </c>
      <c r="AC188" s="316">
        <v>0</v>
      </c>
      <c r="AD188" s="316">
        <v>0</v>
      </c>
      <c r="AE188" s="316">
        <v>0</v>
      </c>
      <c r="AF188" s="316">
        <v>0</v>
      </c>
      <c r="AG188" s="316">
        <v>0</v>
      </c>
      <c r="AH188" s="316">
        <v>0</v>
      </c>
      <c r="AI188" s="316">
        <v>0</v>
      </c>
      <c r="AJ188" s="316">
        <v>0</v>
      </c>
      <c r="AK188" s="316">
        <v>0</v>
      </c>
      <c r="AL188" s="316">
        <v>0</v>
      </c>
      <c r="AM188" s="316">
        <v>0</v>
      </c>
      <c r="AN188" s="316">
        <v>0</v>
      </c>
      <c r="AO188" s="10"/>
      <c r="AP188" s="26">
        <f>SUM(J188:AN188)</f>
        <v>4</v>
      </c>
      <c r="AR188" s="41"/>
      <c r="CB188" s="40"/>
      <c r="CC188" s="40"/>
      <c r="DF188" s="40"/>
      <c r="EN188" s="30"/>
      <c r="EO188" s="40"/>
      <c r="EP188" s="40"/>
      <c r="EQ188" s="40"/>
      <c r="ER188" s="40"/>
      <c r="GU188" s="40"/>
      <c r="KP188" s="40"/>
      <c r="KQ188" s="40"/>
      <c r="KR188" s="40"/>
      <c r="KS188" s="40"/>
      <c r="PW188" s="40"/>
      <c r="PX188" s="40"/>
      <c r="PZ188" s="40"/>
      <c r="QN188" s="39"/>
      <c r="QR188" s="40"/>
      <c r="SU188" s="39"/>
      <c r="AID188" s="5"/>
      <c r="AJS188" s="5"/>
      <c r="AJT188" s="5"/>
      <c r="AJU188" s="5"/>
    </row>
    <row r="189" spans="6:957" ht="15" hidden="1" customHeight="1" x14ac:dyDescent="0.3">
      <c r="F189" s="135"/>
      <c r="G189" s="258" t="s">
        <v>169</v>
      </c>
      <c r="H189" s="313"/>
      <c r="I189" s="287" t="s">
        <v>16</v>
      </c>
      <c r="J189" s="312">
        <f t="shared" ref="J189:AN189" si="93">J174</f>
        <v>0</v>
      </c>
      <c r="K189" s="312">
        <f t="shared" si="93"/>
        <v>0</v>
      </c>
      <c r="L189" s="259">
        <f t="shared" si="93"/>
        <v>41190</v>
      </c>
      <c r="M189" s="312">
        <f t="shared" si="93"/>
        <v>0</v>
      </c>
      <c r="N189" s="312">
        <f t="shared" si="93"/>
        <v>0</v>
      </c>
      <c r="O189" s="312">
        <f t="shared" si="93"/>
        <v>0</v>
      </c>
      <c r="P189" s="312">
        <f t="shared" si="93"/>
        <v>0</v>
      </c>
      <c r="Q189" s="312">
        <f t="shared" si="93"/>
        <v>0</v>
      </c>
      <c r="R189" s="312">
        <f t="shared" si="93"/>
        <v>0</v>
      </c>
      <c r="S189" s="312">
        <f t="shared" si="93"/>
        <v>0</v>
      </c>
      <c r="T189" s="312">
        <f t="shared" si="93"/>
        <v>0</v>
      </c>
      <c r="U189" s="312">
        <f t="shared" si="93"/>
        <v>0</v>
      </c>
      <c r="V189" s="312">
        <f t="shared" si="93"/>
        <v>0</v>
      </c>
      <c r="W189" s="312">
        <f t="shared" si="93"/>
        <v>0</v>
      </c>
      <c r="X189" s="312">
        <f t="shared" si="93"/>
        <v>0</v>
      </c>
      <c r="Y189" s="312">
        <f t="shared" si="93"/>
        <v>0</v>
      </c>
      <c r="Z189" s="312">
        <f t="shared" si="93"/>
        <v>0</v>
      </c>
      <c r="AA189" s="312">
        <f t="shared" si="93"/>
        <v>0</v>
      </c>
      <c r="AB189" s="312">
        <f t="shared" si="93"/>
        <v>0</v>
      </c>
      <c r="AC189" s="312">
        <f t="shared" si="93"/>
        <v>0</v>
      </c>
      <c r="AD189" s="312">
        <f t="shared" si="93"/>
        <v>0</v>
      </c>
      <c r="AE189" s="312">
        <f t="shared" si="93"/>
        <v>0</v>
      </c>
      <c r="AF189" s="312">
        <f t="shared" si="93"/>
        <v>0</v>
      </c>
      <c r="AG189" s="312">
        <f t="shared" si="93"/>
        <v>0</v>
      </c>
      <c r="AH189" s="312">
        <f t="shared" si="93"/>
        <v>0</v>
      </c>
      <c r="AI189" s="312">
        <f t="shared" si="93"/>
        <v>0</v>
      </c>
      <c r="AJ189" s="312">
        <f t="shared" si="93"/>
        <v>0</v>
      </c>
      <c r="AK189" s="312">
        <f t="shared" si="93"/>
        <v>0</v>
      </c>
      <c r="AL189" s="312">
        <f t="shared" si="93"/>
        <v>0</v>
      </c>
      <c r="AM189" s="312">
        <f t="shared" si="93"/>
        <v>0</v>
      </c>
      <c r="AN189" s="312">
        <f t="shared" si="93"/>
        <v>0</v>
      </c>
      <c r="AO189" s="10"/>
      <c r="AP189" s="288">
        <f>SUM(J189:AN189)</f>
        <v>41190</v>
      </c>
      <c r="AR189" s="41"/>
      <c r="CB189" s="40"/>
      <c r="CC189" s="40"/>
      <c r="DF189" s="40"/>
      <c r="EN189" s="30"/>
      <c r="EO189" s="40"/>
      <c r="EP189" s="40"/>
      <c r="EQ189" s="40"/>
      <c r="ER189" s="40"/>
      <c r="GU189" s="40"/>
      <c r="KP189" s="40"/>
      <c r="KQ189" s="40"/>
      <c r="KR189" s="40"/>
      <c r="KS189" s="40"/>
      <c r="PW189" s="40"/>
      <c r="PX189" s="40"/>
      <c r="PZ189" s="40"/>
      <c r="QN189" s="39"/>
      <c r="QR189" s="40"/>
      <c r="SU189" s="39"/>
      <c r="AID189" s="5"/>
      <c r="AJS189" s="5"/>
      <c r="AJT189" s="5"/>
      <c r="AJU189" s="5"/>
    </row>
    <row r="190" spans="6:957" ht="15" hidden="1" customHeight="1" x14ac:dyDescent="0.3">
      <c r="F190" s="135"/>
      <c r="G190" s="258" t="s">
        <v>170</v>
      </c>
      <c r="H190" s="313"/>
      <c r="I190" s="287" t="s">
        <v>16</v>
      </c>
      <c r="J190" s="312">
        <f t="shared" ref="J190:AN190" si="94">J126</f>
        <v>0</v>
      </c>
      <c r="K190" s="312">
        <f t="shared" si="94"/>
        <v>0</v>
      </c>
      <c r="L190" s="312">
        <f t="shared" si="94"/>
        <v>0</v>
      </c>
      <c r="M190" s="312">
        <f t="shared" si="94"/>
        <v>0</v>
      </c>
      <c r="N190" s="312">
        <f t="shared" si="94"/>
        <v>0</v>
      </c>
      <c r="O190" s="312">
        <f t="shared" si="94"/>
        <v>0</v>
      </c>
      <c r="P190" s="312">
        <f t="shared" si="94"/>
        <v>0</v>
      </c>
      <c r="Q190" s="312">
        <f t="shared" si="94"/>
        <v>0</v>
      </c>
      <c r="R190" s="312">
        <f t="shared" si="94"/>
        <v>0</v>
      </c>
      <c r="S190" s="312">
        <f t="shared" si="94"/>
        <v>0</v>
      </c>
      <c r="T190" s="312">
        <f t="shared" si="94"/>
        <v>0</v>
      </c>
      <c r="U190" s="312">
        <f t="shared" si="94"/>
        <v>0</v>
      </c>
      <c r="V190" s="312">
        <f t="shared" si="94"/>
        <v>0</v>
      </c>
      <c r="W190" s="312">
        <f t="shared" si="94"/>
        <v>0</v>
      </c>
      <c r="X190" s="312">
        <f t="shared" si="94"/>
        <v>0</v>
      </c>
      <c r="Y190" s="312">
        <f t="shared" si="94"/>
        <v>0</v>
      </c>
      <c r="Z190" s="312">
        <f t="shared" si="94"/>
        <v>0</v>
      </c>
      <c r="AA190" s="312">
        <f t="shared" si="94"/>
        <v>0</v>
      </c>
      <c r="AB190" s="312">
        <f t="shared" si="94"/>
        <v>0</v>
      </c>
      <c r="AC190" s="312">
        <f t="shared" si="94"/>
        <v>0</v>
      </c>
      <c r="AD190" s="312">
        <f t="shared" si="94"/>
        <v>0</v>
      </c>
      <c r="AE190" s="312">
        <f t="shared" si="94"/>
        <v>0</v>
      </c>
      <c r="AF190" s="312">
        <f t="shared" si="94"/>
        <v>0</v>
      </c>
      <c r="AG190" s="312">
        <f t="shared" si="94"/>
        <v>0</v>
      </c>
      <c r="AH190" s="312">
        <f t="shared" si="94"/>
        <v>40200</v>
      </c>
      <c r="AI190" s="312">
        <f t="shared" si="94"/>
        <v>0</v>
      </c>
      <c r="AJ190" s="312">
        <f t="shared" si="94"/>
        <v>0</v>
      </c>
      <c r="AK190" s="312">
        <f t="shared" si="94"/>
        <v>0</v>
      </c>
      <c r="AL190" s="312">
        <f t="shared" si="94"/>
        <v>39600</v>
      </c>
      <c r="AM190" s="312">
        <f t="shared" si="94"/>
        <v>0</v>
      </c>
      <c r="AN190" s="312">
        <f t="shared" si="94"/>
        <v>11660</v>
      </c>
      <c r="AO190" s="10"/>
      <c r="AP190" s="288">
        <f>SUM(J190:AN190)</f>
        <v>91460</v>
      </c>
      <c r="AR190" s="41"/>
      <c r="CB190" s="40"/>
      <c r="CC190" s="40"/>
      <c r="DF190" s="40"/>
      <c r="EN190" s="30"/>
      <c r="EO190" s="40"/>
      <c r="EP190" s="40"/>
      <c r="EQ190" s="40"/>
      <c r="ER190" s="40"/>
      <c r="GU190" s="40"/>
      <c r="KP190" s="40"/>
      <c r="KQ190" s="40"/>
      <c r="KR190" s="40"/>
      <c r="KS190" s="40"/>
      <c r="PW190" s="40"/>
      <c r="PX190" s="40"/>
      <c r="PZ190" s="40"/>
      <c r="QN190" s="39"/>
      <c r="QR190" s="40"/>
      <c r="SU190" s="39"/>
      <c r="AID190" s="5"/>
      <c r="AJS190" s="5"/>
      <c r="AJT190" s="5"/>
      <c r="AJU190" s="5"/>
    </row>
    <row r="191" spans="6:957" ht="15" hidden="1" customHeight="1" x14ac:dyDescent="0.3">
      <c r="F191" s="135"/>
      <c r="G191" s="258" t="s">
        <v>171</v>
      </c>
      <c r="H191" s="313"/>
      <c r="I191" s="287" t="s">
        <v>16</v>
      </c>
      <c r="J191" s="312">
        <f t="shared" ref="J191:AN191" si="95">J72</f>
        <v>0</v>
      </c>
      <c r="K191" s="312">
        <f t="shared" si="95"/>
        <v>0</v>
      </c>
      <c r="L191" s="312">
        <f t="shared" si="95"/>
        <v>0</v>
      </c>
      <c r="M191" s="312">
        <f t="shared" si="95"/>
        <v>0</v>
      </c>
      <c r="N191" s="312">
        <f t="shared" si="95"/>
        <v>0</v>
      </c>
      <c r="O191" s="312">
        <f t="shared" si="95"/>
        <v>0</v>
      </c>
      <c r="P191" s="312">
        <f t="shared" si="95"/>
        <v>0</v>
      </c>
      <c r="Q191" s="312">
        <f t="shared" si="95"/>
        <v>0</v>
      </c>
      <c r="R191" s="312">
        <f t="shared" si="95"/>
        <v>0</v>
      </c>
      <c r="S191" s="312">
        <f t="shared" si="95"/>
        <v>120625</v>
      </c>
      <c r="T191" s="312">
        <f t="shared" si="95"/>
        <v>0</v>
      </c>
      <c r="U191" s="312">
        <f t="shared" si="95"/>
        <v>0</v>
      </c>
      <c r="V191" s="312">
        <f t="shared" si="95"/>
        <v>0</v>
      </c>
      <c r="W191" s="312">
        <f t="shared" si="95"/>
        <v>0</v>
      </c>
      <c r="X191" s="312">
        <f t="shared" si="95"/>
        <v>0</v>
      </c>
      <c r="Y191" s="312">
        <f t="shared" si="95"/>
        <v>0</v>
      </c>
      <c r="Z191" s="312">
        <f t="shared" si="95"/>
        <v>0</v>
      </c>
      <c r="AA191" s="312">
        <f t="shared" si="95"/>
        <v>126386</v>
      </c>
      <c r="AB191" s="312">
        <f t="shared" si="95"/>
        <v>0</v>
      </c>
      <c r="AC191" s="312">
        <f t="shared" si="95"/>
        <v>0</v>
      </c>
      <c r="AD191" s="312">
        <f t="shared" si="95"/>
        <v>91414</v>
      </c>
      <c r="AE191" s="312">
        <f t="shared" si="95"/>
        <v>0</v>
      </c>
      <c r="AF191" s="312">
        <f t="shared" si="95"/>
        <v>0</v>
      </c>
      <c r="AG191" s="312">
        <f t="shared" si="95"/>
        <v>0</v>
      </c>
      <c r="AH191" s="312">
        <f t="shared" si="95"/>
        <v>0</v>
      </c>
      <c r="AI191" s="312">
        <f t="shared" si="95"/>
        <v>0</v>
      </c>
      <c r="AJ191" s="312">
        <f t="shared" si="95"/>
        <v>13711</v>
      </c>
      <c r="AK191" s="312">
        <f t="shared" si="95"/>
        <v>0</v>
      </c>
      <c r="AL191" s="312">
        <f t="shared" si="95"/>
        <v>11660</v>
      </c>
      <c r="AM191" s="312">
        <f t="shared" si="95"/>
        <v>0</v>
      </c>
      <c r="AN191" s="312">
        <f t="shared" si="95"/>
        <v>0</v>
      </c>
      <c r="AO191" s="10"/>
      <c r="AP191" s="158">
        <f>SUM(J191:AN191)</f>
        <v>363796</v>
      </c>
      <c r="AR191" s="41"/>
      <c r="CB191" s="40"/>
      <c r="CC191" s="40"/>
      <c r="DF191" s="40"/>
      <c r="EN191" s="30"/>
      <c r="EO191" s="40"/>
      <c r="EP191" s="40"/>
      <c r="EQ191" s="40"/>
      <c r="ER191" s="40"/>
      <c r="GU191" s="40"/>
      <c r="KP191" s="40"/>
      <c r="KQ191" s="40"/>
      <c r="KR191" s="40"/>
      <c r="KS191" s="40"/>
      <c r="PW191" s="40"/>
      <c r="PX191" s="40"/>
      <c r="PZ191" s="40"/>
      <c r="QN191" s="39"/>
      <c r="QR191" s="40"/>
      <c r="SU191" s="39"/>
      <c r="AID191" s="5"/>
      <c r="AJS191" s="5"/>
      <c r="AJT191" s="5"/>
      <c r="AJU191" s="5"/>
    </row>
    <row r="192" spans="6:957" ht="15" hidden="1" customHeight="1" x14ac:dyDescent="0.3">
      <c r="F192" s="135"/>
      <c r="G192" s="258" t="s">
        <v>172</v>
      </c>
      <c r="H192" s="313"/>
      <c r="I192" s="287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  <c r="Z192" s="312"/>
      <c r="AA192" s="312"/>
      <c r="AB192" s="312"/>
      <c r="AC192" s="312"/>
      <c r="AD192" s="312"/>
      <c r="AE192" s="312"/>
      <c r="AF192" s="312"/>
      <c r="AG192" s="312"/>
      <c r="AH192" s="312"/>
      <c r="AI192" s="312"/>
      <c r="AJ192" s="312"/>
      <c r="AK192" s="312"/>
      <c r="AL192" s="312"/>
      <c r="AM192" s="312"/>
      <c r="AN192" s="312"/>
      <c r="AO192" s="10"/>
      <c r="AP192" s="158">
        <f>SUM(AP189:AP191)</f>
        <v>496446</v>
      </c>
      <c r="AR192" s="41"/>
      <c r="CB192" s="40"/>
      <c r="CC192" s="40"/>
      <c r="DF192" s="40"/>
      <c r="EN192" s="30"/>
      <c r="EO192" s="40"/>
      <c r="EP192" s="40"/>
      <c r="EQ192" s="40"/>
      <c r="ER192" s="40"/>
      <c r="GU192" s="40"/>
      <c r="KP192" s="40"/>
      <c r="KQ192" s="40"/>
      <c r="KR192" s="40"/>
      <c r="KS192" s="40"/>
      <c r="PW192" s="40"/>
      <c r="PX192" s="40"/>
      <c r="PZ192" s="40"/>
      <c r="QN192" s="39"/>
      <c r="QR192" s="40"/>
      <c r="SU192" s="39"/>
      <c r="AID192" s="5"/>
      <c r="AJS192" s="5"/>
      <c r="AJT192" s="5"/>
      <c r="AJU192" s="5"/>
    </row>
    <row r="193" spans="6:957" s="21" customFormat="1" ht="15" hidden="1" customHeight="1" x14ac:dyDescent="0.3">
      <c r="F193" s="327"/>
      <c r="G193" s="328" t="s">
        <v>164</v>
      </c>
      <c r="H193" s="329"/>
      <c r="I193" s="330" t="s">
        <v>16</v>
      </c>
      <c r="J193" s="331">
        <f t="shared" ref="J193:AN193" si="96">SUM(J175+J146+J127+J100+J73)</f>
        <v>5274.68</v>
      </c>
      <c r="K193" s="331">
        <f t="shared" si="96"/>
        <v>0</v>
      </c>
      <c r="L193" s="331">
        <f t="shared" si="96"/>
        <v>34341.949999999997</v>
      </c>
      <c r="M193" s="331">
        <f t="shared" si="96"/>
        <v>10213.950000000001</v>
      </c>
      <c r="N193" s="331">
        <f t="shared" si="96"/>
        <v>0</v>
      </c>
      <c r="O193" s="331">
        <f t="shared" si="96"/>
        <v>38287.839999999997</v>
      </c>
      <c r="P193" s="331">
        <f t="shared" si="96"/>
        <v>0</v>
      </c>
      <c r="Q193" s="331">
        <f t="shared" si="96"/>
        <v>0</v>
      </c>
      <c r="R193" s="331">
        <f t="shared" si="96"/>
        <v>0</v>
      </c>
      <c r="S193" s="331">
        <f t="shared" si="96"/>
        <v>21615.02</v>
      </c>
      <c r="T193" s="331">
        <f t="shared" si="96"/>
        <v>17272.830000000002</v>
      </c>
      <c r="U193" s="331">
        <f t="shared" si="96"/>
        <v>0</v>
      </c>
      <c r="V193" s="331">
        <f t="shared" si="96"/>
        <v>0</v>
      </c>
      <c r="W193" s="331">
        <f t="shared" si="96"/>
        <v>38289.65</v>
      </c>
      <c r="X193" s="331">
        <f t="shared" si="96"/>
        <v>38314.080000000002</v>
      </c>
      <c r="Y193" s="331">
        <f t="shared" si="96"/>
        <v>0</v>
      </c>
      <c r="Z193" s="331">
        <f t="shared" si="96"/>
        <v>38236.25</v>
      </c>
      <c r="AA193" s="331">
        <f t="shared" si="96"/>
        <v>38291.46</v>
      </c>
      <c r="AB193" s="331">
        <f t="shared" si="96"/>
        <v>38399.15</v>
      </c>
      <c r="AC193" s="331">
        <f t="shared" si="96"/>
        <v>38484.22</v>
      </c>
      <c r="AD193" s="331">
        <f t="shared" si="96"/>
        <v>38291.46</v>
      </c>
      <c r="AE193" s="331">
        <f t="shared" si="96"/>
        <v>0</v>
      </c>
      <c r="AF193" s="331">
        <f t="shared" si="96"/>
        <v>0</v>
      </c>
      <c r="AG193" s="331">
        <f t="shared" si="96"/>
        <v>440</v>
      </c>
      <c r="AH193" s="331">
        <f t="shared" si="96"/>
        <v>26723.18</v>
      </c>
      <c r="AI193" s="331">
        <f t="shared" si="96"/>
        <v>24224.37</v>
      </c>
      <c r="AJ193" s="331">
        <f t="shared" si="96"/>
        <v>24745.18</v>
      </c>
      <c r="AK193" s="331">
        <f t="shared" si="96"/>
        <v>24225.19</v>
      </c>
      <c r="AL193" s="331">
        <f t="shared" si="96"/>
        <v>24225.19</v>
      </c>
      <c r="AM193" s="331">
        <f t="shared" ref="AM193" si="97">SUM(AM175+AM146+AM127+AM100+AM73)</f>
        <v>0</v>
      </c>
      <c r="AN193" s="331">
        <f t="shared" si="96"/>
        <v>52002.560000000005</v>
      </c>
      <c r="AO193" s="332"/>
      <c r="AP193" s="333">
        <f>SUM(J193:AN193)</f>
        <v>571898.21000000008</v>
      </c>
      <c r="AR193" s="59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59"/>
      <c r="CC193" s="59"/>
      <c r="DC193" s="334"/>
      <c r="DF193" s="59"/>
      <c r="EN193" s="335"/>
      <c r="EO193" s="59"/>
      <c r="EP193" s="59"/>
      <c r="EQ193" s="59"/>
      <c r="ER193" s="59"/>
      <c r="GU193" s="59"/>
      <c r="KP193" s="59"/>
      <c r="KQ193" s="59"/>
      <c r="KR193" s="59"/>
      <c r="KS193" s="59"/>
      <c r="PW193" s="59"/>
      <c r="PX193" s="59"/>
      <c r="PZ193" s="59"/>
      <c r="QN193" s="59"/>
      <c r="QR193" s="59"/>
      <c r="SU193" s="59"/>
    </row>
    <row r="194" spans="6:957" x14ac:dyDescent="0.3">
      <c r="F194" s="179">
        <v>10</v>
      </c>
      <c r="G194" s="209" t="s">
        <v>28</v>
      </c>
      <c r="H194" s="180"/>
      <c r="I194" s="210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81"/>
      <c r="AJ194" s="181"/>
      <c r="AK194" s="181"/>
      <c r="AL194" s="181"/>
      <c r="AM194" s="181"/>
      <c r="AN194" s="181"/>
      <c r="AO194" s="10"/>
      <c r="AP194" s="43" t="s">
        <v>27</v>
      </c>
    </row>
    <row r="195" spans="6:957" x14ac:dyDescent="0.3">
      <c r="F195" s="137"/>
      <c r="G195" s="136" t="s">
        <v>26</v>
      </c>
      <c r="H195" s="192"/>
      <c r="I195" s="214" t="s">
        <v>22</v>
      </c>
      <c r="J195" s="38">
        <v>1537</v>
      </c>
      <c r="K195" s="38">
        <v>1521.3</v>
      </c>
      <c r="L195" s="38">
        <v>1460.1</v>
      </c>
      <c r="M195" s="38">
        <v>1374.6</v>
      </c>
      <c r="N195" s="38">
        <v>914.6</v>
      </c>
      <c r="O195" s="360">
        <v>1395.9</v>
      </c>
      <c r="P195" s="38">
        <v>1464.1</v>
      </c>
      <c r="Q195" s="38">
        <v>1447.3</v>
      </c>
      <c r="R195" s="38">
        <v>1386.6</v>
      </c>
      <c r="S195" s="38">
        <v>1304.5999999999999</v>
      </c>
      <c r="T195" s="38">
        <v>1244</v>
      </c>
      <c r="U195" s="38">
        <v>1354.4</v>
      </c>
      <c r="V195" s="38">
        <v>1273.2</v>
      </c>
      <c r="W195" s="38">
        <v>1217.9000000000001</v>
      </c>
      <c r="X195" s="38">
        <v>1295.7</v>
      </c>
      <c r="Y195" s="38"/>
      <c r="Z195" s="38">
        <v>1657</v>
      </c>
      <c r="AA195" s="38">
        <v>1269.4000000000001</v>
      </c>
      <c r="AB195" s="38">
        <v>1330.1</v>
      </c>
      <c r="AC195" s="38">
        <v>1276</v>
      </c>
      <c r="AD195" s="38">
        <v>1225.9000000000001</v>
      </c>
      <c r="AE195" s="38">
        <v>1102.7</v>
      </c>
      <c r="AF195" s="38">
        <v>1298.5999999999999</v>
      </c>
      <c r="AG195" s="38">
        <v>1207.5</v>
      </c>
      <c r="AH195" s="38">
        <v>1033.0999999999999</v>
      </c>
      <c r="AI195" s="38">
        <v>1287.3</v>
      </c>
      <c r="AJ195" s="38">
        <v>1266.9000000000001</v>
      </c>
      <c r="AK195" s="38">
        <v>1233.5</v>
      </c>
      <c r="AL195" s="38">
        <v>1279.3</v>
      </c>
      <c r="AM195" s="38">
        <v>1328.2</v>
      </c>
      <c r="AN195" s="38">
        <v>1379.8</v>
      </c>
      <c r="AP195" s="42">
        <f>SUM(J195:AN195)</f>
        <v>39366.600000000006</v>
      </c>
      <c r="AR195" s="41"/>
      <c r="CB195" s="40"/>
      <c r="CC195" s="40"/>
      <c r="DF195" s="40"/>
      <c r="EN195" s="30"/>
      <c r="EO195" s="40"/>
      <c r="EP195" s="40"/>
      <c r="EQ195" s="40"/>
      <c r="ER195" s="40"/>
      <c r="GU195" s="40"/>
      <c r="KP195" s="40"/>
      <c r="KQ195" s="40"/>
      <c r="KR195" s="40"/>
      <c r="KS195" s="40"/>
      <c r="PW195" s="40"/>
      <c r="PX195" s="40"/>
      <c r="PZ195" s="40"/>
      <c r="QN195" s="39"/>
      <c r="QR195" s="40"/>
      <c r="SU195" s="39"/>
      <c r="AHE195" s="33"/>
      <c r="AID195" s="5"/>
      <c r="AJS195" s="5"/>
      <c r="AJT195" s="5"/>
      <c r="AJU195" s="5"/>
    </row>
    <row r="196" spans="6:957" x14ac:dyDescent="0.3">
      <c r="F196" s="193"/>
      <c r="G196" s="211" t="s">
        <v>25</v>
      </c>
      <c r="H196" s="260">
        <v>1269.566</v>
      </c>
      <c r="I196" s="212" t="s">
        <v>22</v>
      </c>
      <c r="J196" s="38">
        <v>1470.3896</v>
      </c>
      <c r="K196" s="38">
        <v>1414.7951</v>
      </c>
      <c r="L196" s="261">
        <v>1320.8631</v>
      </c>
      <c r="M196" s="261">
        <v>1219.3820000000001</v>
      </c>
      <c r="N196" s="261">
        <v>1344.0319</v>
      </c>
      <c r="O196" s="361">
        <v>1411.9508000000001</v>
      </c>
      <c r="P196" s="261">
        <v>1400.2684999999999</v>
      </c>
      <c r="Q196" s="38">
        <v>1341.8435999999999</v>
      </c>
      <c r="R196" s="38">
        <v>1260.9445000000001</v>
      </c>
      <c r="S196" s="38">
        <v>1195.4449</v>
      </c>
      <c r="T196" s="38">
        <v>1301.8816999999999</v>
      </c>
      <c r="U196" s="38">
        <v>1225.4156</v>
      </c>
      <c r="V196" s="38">
        <v>1169.8533</v>
      </c>
      <c r="W196" s="38">
        <v>1256.5066999999999</v>
      </c>
      <c r="X196" s="38">
        <v>1161.1183000000001</v>
      </c>
      <c r="Y196" s="38">
        <v>1246.6224999999999</v>
      </c>
      <c r="Z196" s="38">
        <v>1217.1283000000001</v>
      </c>
      <c r="AA196" s="38">
        <v>1275.2764</v>
      </c>
      <c r="AB196" s="38">
        <v>1223.4938</v>
      </c>
      <c r="AC196" s="38">
        <v>1177.3486</v>
      </c>
      <c r="AD196" s="38">
        <v>1056.0474999999999</v>
      </c>
      <c r="AE196" s="38">
        <v>1251.2971</v>
      </c>
      <c r="AF196" s="38">
        <v>1159.9884</v>
      </c>
      <c r="AG196" s="38">
        <v>974.88490000000002</v>
      </c>
      <c r="AH196" s="38">
        <v>1231.8025</v>
      </c>
      <c r="AI196" s="38">
        <v>1214.2184</v>
      </c>
      <c r="AJ196" s="38">
        <v>1183.9037000000001</v>
      </c>
      <c r="AK196" s="262">
        <v>1236.4151999999999</v>
      </c>
      <c r="AL196" s="38">
        <v>1271.6745000000001</v>
      </c>
      <c r="AM196" s="38">
        <v>1330.2370000000001</v>
      </c>
      <c r="AN196" s="38">
        <v>1169.5519999999999</v>
      </c>
      <c r="AP196" s="37">
        <f>SUM(J196:AN196)</f>
        <v>38714.580400000021</v>
      </c>
      <c r="AR196" s="3">
        <f>AP196/AP28</f>
        <v>1248.8574322580653</v>
      </c>
      <c r="CB196" s="35"/>
      <c r="CC196" s="35"/>
      <c r="DF196" s="35"/>
      <c r="EN196" s="36"/>
      <c r="EO196" s="35"/>
      <c r="EP196" s="35"/>
      <c r="EQ196" s="35"/>
      <c r="ER196" s="35"/>
      <c r="GU196" s="35"/>
      <c r="KP196" s="35"/>
      <c r="KQ196" s="35"/>
      <c r="KR196" s="35"/>
      <c r="KS196" s="35"/>
      <c r="PW196" s="35"/>
      <c r="PX196" s="35"/>
      <c r="PZ196" s="35"/>
      <c r="QN196" s="3"/>
      <c r="QR196" s="35"/>
      <c r="SU196" s="3"/>
      <c r="AID196" s="35"/>
      <c r="AJS196" s="35"/>
      <c r="AJT196" s="35"/>
      <c r="AJU196" s="35"/>
    </row>
    <row r="197" spans="6:957" x14ac:dyDescent="0.3">
      <c r="F197" s="135"/>
      <c r="G197" s="251" t="s">
        <v>12</v>
      </c>
      <c r="H197" s="192"/>
      <c r="I197" s="135"/>
      <c r="J197" s="38"/>
      <c r="K197" s="263"/>
      <c r="L197" s="263"/>
      <c r="M197" s="11"/>
      <c r="N197" s="263"/>
      <c r="O197" s="362"/>
      <c r="P197" s="264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297"/>
      <c r="AH197" s="297"/>
      <c r="AI197" s="297"/>
      <c r="AJ197" s="297"/>
      <c r="AK197" s="297"/>
      <c r="AL197" s="297"/>
      <c r="AM197" s="297"/>
      <c r="AN197" s="297"/>
      <c r="AO197" s="10"/>
      <c r="AP197" s="12" t="s">
        <v>12</v>
      </c>
    </row>
    <row r="198" spans="6:957" x14ac:dyDescent="0.3">
      <c r="F198" s="135"/>
      <c r="G198" s="136" t="s">
        <v>24</v>
      </c>
      <c r="H198" s="295">
        <v>253.91319999999999</v>
      </c>
      <c r="I198" s="214" t="s">
        <v>22</v>
      </c>
      <c r="J198" s="38">
        <v>323.61559999999997</v>
      </c>
      <c r="K198" s="38">
        <v>317.1574</v>
      </c>
      <c r="L198" s="38">
        <v>266.13119999999998</v>
      </c>
      <c r="M198" s="38">
        <v>274.4067</v>
      </c>
      <c r="N198" s="38">
        <v>309.8202</v>
      </c>
      <c r="O198" s="360">
        <v>291.93349999999998</v>
      </c>
      <c r="P198" s="38">
        <v>260.74200000000002</v>
      </c>
      <c r="Q198" s="38">
        <v>248.25640000000001</v>
      </c>
      <c r="R198" s="38">
        <v>241.75059999999999</v>
      </c>
      <c r="S198" s="38">
        <v>234.49590000000001</v>
      </c>
      <c r="T198" s="38">
        <v>236.5728</v>
      </c>
      <c r="U198" s="38">
        <v>236.83240000000001</v>
      </c>
      <c r="V198" s="38">
        <v>398.72710000000001</v>
      </c>
      <c r="W198" s="38">
        <v>195.87090000000001</v>
      </c>
      <c r="X198" s="38">
        <v>207.1651</v>
      </c>
      <c r="Y198" s="38">
        <v>227.8914</v>
      </c>
      <c r="Z198" s="38">
        <v>198.2919</v>
      </c>
      <c r="AA198" s="261">
        <v>231.5753</v>
      </c>
      <c r="AB198" s="261">
        <v>216.32910000000001</v>
      </c>
      <c r="AC198" s="261">
        <v>217.1524</v>
      </c>
      <c r="AD198" s="261">
        <v>199.30879999999999</v>
      </c>
      <c r="AE198" s="261">
        <v>183.52629999999999</v>
      </c>
      <c r="AF198" s="38">
        <v>147.98400000000001</v>
      </c>
      <c r="AG198" s="38">
        <v>115.2545073525587</v>
      </c>
      <c r="AH198" s="38">
        <v>216.6807</v>
      </c>
      <c r="AI198" s="38">
        <v>209.31209999999999</v>
      </c>
      <c r="AJ198" s="38">
        <v>209.62960000000001</v>
      </c>
      <c r="AK198" s="38">
        <v>238.67699999999999</v>
      </c>
      <c r="AL198" s="38">
        <v>249.6103</v>
      </c>
      <c r="AM198" s="38">
        <v>263.70249999999999</v>
      </c>
      <c r="AN198" s="38">
        <v>225.4999</v>
      </c>
      <c r="AO198" s="10"/>
      <c r="AP198" s="34">
        <f>SUM(J198:AN198)</f>
        <v>7393.9036073525594</v>
      </c>
      <c r="AR198" s="27"/>
      <c r="XY198" s="33"/>
      <c r="AGP198" s="33"/>
    </row>
    <row r="199" spans="6:957" x14ac:dyDescent="0.3">
      <c r="F199" s="135"/>
      <c r="G199" s="136" t="s">
        <v>23</v>
      </c>
      <c r="H199" s="295">
        <v>1015.6528</v>
      </c>
      <c r="I199" s="214" t="s">
        <v>22</v>
      </c>
      <c r="J199" s="38">
        <f>J196-J198</f>
        <v>1146.7739999999999</v>
      </c>
      <c r="K199" s="38">
        <f t="shared" ref="K199:AL199" si="98">K196-K198</f>
        <v>1097.6377</v>
      </c>
      <c r="L199" s="38">
        <f t="shared" si="98"/>
        <v>1054.7319</v>
      </c>
      <c r="M199" s="38">
        <f t="shared" si="98"/>
        <v>944.97530000000006</v>
      </c>
      <c r="N199" s="38">
        <f t="shared" si="98"/>
        <v>1034.2116999999998</v>
      </c>
      <c r="O199" s="360">
        <f t="shared" si="98"/>
        <v>1120.0173</v>
      </c>
      <c r="P199" s="38">
        <f t="shared" si="98"/>
        <v>1139.5264999999999</v>
      </c>
      <c r="Q199" s="38">
        <f t="shared" si="98"/>
        <v>1093.5871999999999</v>
      </c>
      <c r="R199" s="38">
        <f t="shared" si="98"/>
        <v>1019.1939000000001</v>
      </c>
      <c r="S199" s="38">
        <f t="shared" si="98"/>
        <v>960.94899999999996</v>
      </c>
      <c r="T199" s="38">
        <f t="shared" si="98"/>
        <v>1065.3089</v>
      </c>
      <c r="U199" s="38">
        <f t="shared" si="98"/>
        <v>988.58320000000003</v>
      </c>
      <c r="V199" s="38">
        <f t="shared" si="98"/>
        <v>771.12619999999993</v>
      </c>
      <c r="W199" s="38">
        <f t="shared" si="98"/>
        <v>1060.6358</v>
      </c>
      <c r="X199" s="38">
        <f t="shared" si="98"/>
        <v>953.95320000000015</v>
      </c>
      <c r="Y199" s="38">
        <f t="shared" si="98"/>
        <v>1018.7311</v>
      </c>
      <c r="Z199" s="38">
        <f t="shared" si="98"/>
        <v>1018.8364000000001</v>
      </c>
      <c r="AA199" s="38">
        <f t="shared" si="98"/>
        <v>1043.7011</v>
      </c>
      <c r="AB199" s="38">
        <f t="shared" si="98"/>
        <v>1007.1646999999999</v>
      </c>
      <c r="AC199" s="38">
        <f t="shared" si="98"/>
        <v>960.19620000000009</v>
      </c>
      <c r="AD199" s="38">
        <f t="shared" si="98"/>
        <v>856.73869999999988</v>
      </c>
      <c r="AE199" s="38">
        <f t="shared" si="98"/>
        <v>1067.7708</v>
      </c>
      <c r="AF199" s="38">
        <f t="shared" si="98"/>
        <v>1012.0043999999999</v>
      </c>
      <c r="AG199" s="38">
        <f t="shared" si="98"/>
        <v>859.63039264744134</v>
      </c>
      <c r="AH199" s="38">
        <f t="shared" si="98"/>
        <v>1015.1218</v>
      </c>
      <c r="AI199" s="38">
        <f t="shared" si="98"/>
        <v>1004.9063</v>
      </c>
      <c r="AJ199" s="38">
        <f t="shared" si="98"/>
        <v>974.27410000000009</v>
      </c>
      <c r="AK199" s="38">
        <f t="shared" si="98"/>
        <v>997.73819999999989</v>
      </c>
      <c r="AL199" s="38">
        <f t="shared" si="98"/>
        <v>1022.0642</v>
      </c>
      <c r="AM199" s="38">
        <f>AM196-AM198</f>
        <v>1066.5345000000002</v>
      </c>
      <c r="AN199" s="38">
        <f>AN196-AN198</f>
        <v>944.05209999999988</v>
      </c>
      <c r="AO199" s="10"/>
      <c r="AP199" s="34">
        <f>SUM(J199:AN199)</f>
        <v>31320.676792647439</v>
      </c>
      <c r="XX199" s="33"/>
    </row>
    <row r="200" spans="6:957" x14ac:dyDescent="0.3">
      <c r="F200" s="265"/>
      <c r="G200" s="266" t="s">
        <v>1</v>
      </c>
      <c r="H200" s="317">
        <f>SUM(H198:H199)</f>
        <v>1269.566</v>
      </c>
      <c r="I200" s="267" t="s">
        <v>22</v>
      </c>
      <c r="J200" s="268">
        <f>J196</f>
        <v>1470.3896</v>
      </c>
      <c r="K200" s="268">
        <f t="shared" ref="K200:AN200" si="99">K196</f>
        <v>1414.7951</v>
      </c>
      <c r="L200" s="268">
        <f t="shared" si="99"/>
        <v>1320.8631</v>
      </c>
      <c r="M200" s="268">
        <f t="shared" si="99"/>
        <v>1219.3820000000001</v>
      </c>
      <c r="N200" s="268">
        <f t="shared" si="99"/>
        <v>1344.0319</v>
      </c>
      <c r="O200" s="363">
        <f t="shared" si="99"/>
        <v>1411.9508000000001</v>
      </c>
      <c r="P200" s="268">
        <f t="shared" si="99"/>
        <v>1400.2684999999999</v>
      </c>
      <c r="Q200" s="268">
        <f t="shared" si="99"/>
        <v>1341.8435999999999</v>
      </c>
      <c r="R200" s="268">
        <f t="shared" si="99"/>
        <v>1260.9445000000001</v>
      </c>
      <c r="S200" s="268">
        <f t="shared" si="99"/>
        <v>1195.4449</v>
      </c>
      <c r="T200" s="268">
        <f t="shared" si="99"/>
        <v>1301.8816999999999</v>
      </c>
      <c r="U200" s="268">
        <f t="shared" si="99"/>
        <v>1225.4156</v>
      </c>
      <c r="V200" s="268">
        <f t="shared" si="99"/>
        <v>1169.8533</v>
      </c>
      <c r="W200" s="268">
        <f t="shared" si="99"/>
        <v>1256.5066999999999</v>
      </c>
      <c r="X200" s="268">
        <f t="shared" si="99"/>
        <v>1161.1183000000001</v>
      </c>
      <c r="Y200" s="268">
        <f t="shared" si="99"/>
        <v>1246.6224999999999</v>
      </c>
      <c r="Z200" s="268">
        <f t="shared" si="99"/>
        <v>1217.1283000000001</v>
      </c>
      <c r="AA200" s="268">
        <f>AA196</f>
        <v>1275.2764</v>
      </c>
      <c r="AB200" s="268">
        <f>AB196</f>
        <v>1223.4938</v>
      </c>
      <c r="AC200" s="268">
        <f t="shared" si="99"/>
        <v>1177.3486</v>
      </c>
      <c r="AD200" s="268">
        <f t="shared" si="99"/>
        <v>1056.0474999999999</v>
      </c>
      <c r="AE200" s="268">
        <f t="shared" si="99"/>
        <v>1251.2971</v>
      </c>
      <c r="AF200" s="268">
        <f t="shared" si="99"/>
        <v>1159.9884</v>
      </c>
      <c r="AG200" s="268">
        <f t="shared" si="99"/>
        <v>974.88490000000002</v>
      </c>
      <c r="AH200" s="268">
        <f t="shared" si="99"/>
        <v>1231.8025</v>
      </c>
      <c r="AI200" s="268">
        <f t="shared" si="99"/>
        <v>1214.2184</v>
      </c>
      <c r="AJ200" s="268">
        <f t="shared" si="99"/>
        <v>1183.9037000000001</v>
      </c>
      <c r="AK200" s="268">
        <f t="shared" si="99"/>
        <v>1236.4151999999999</v>
      </c>
      <c r="AL200" s="268">
        <f t="shared" si="99"/>
        <v>1271.6745000000001</v>
      </c>
      <c r="AM200" s="268">
        <f t="shared" si="99"/>
        <v>1330.2370000000001</v>
      </c>
      <c r="AN200" s="268">
        <f t="shared" si="99"/>
        <v>1169.5519999999999</v>
      </c>
      <c r="AO200" s="25"/>
      <c r="AP200" s="32">
        <f>SUM(AP198:AP199)</f>
        <v>38714.580399999999</v>
      </c>
      <c r="AR200" s="23"/>
      <c r="CB200" s="20"/>
      <c r="CC200" s="20"/>
      <c r="DF200" s="20"/>
      <c r="EN200" s="22"/>
      <c r="EO200" s="20"/>
      <c r="EP200" s="20"/>
      <c r="EQ200" s="20"/>
      <c r="ER200" s="20"/>
      <c r="GU200" s="20"/>
      <c r="KP200" s="20"/>
      <c r="KQ200" s="20"/>
      <c r="KR200" s="20"/>
      <c r="KS200" s="20"/>
      <c r="PW200" s="20"/>
      <c r="PX200" s="20"/>
      <c r="PZ200" s="20"/>
      <c r="QN200" s="21"/>
      <c r="QR200" s="20"/>
      <c r="SU200" s="21"/>
      <c r="AID200" s="20"/>
      <c r="AJS200" s="20"/>
      <c r="AJT200" s="20"/>
      <c r="AJU200" s="20"/>
    </row>
    <row r="201" spans="6:957" x14ac:dyDescent="0.3">
      <c r="F201" s="137">
        <v>11</v>
      </c>
      <c r="G201" s="269" t="s">
        <v>21</v>
      </c>
      <c r="H201" s="270"/>
      <c r="I201" s="270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  <c r="AA201" s="271"/>
      <c r="AB201" s="271"/>
      <c r="AC201" s="271"/>
      <c r="AD201" s="271"/>
      <c r="AE201" s="271"/>
      <c r="AF201" s="271"/>
      <c r="AG201" s="271"/>
      <c r="AH201" s="271"/>
      <c r="AI201" s="271"/>
      <c r="AJ201" s="271"/>
      <c r="AK201" s="271"/>
      <c r="AL201" s="271"/>
      <c r="AM201" s="271"/>
      <c r="AN201" s="271"/>
      <c r="AO201" s="25"/>
      <c r="AP201" s="318" t="s">
        <v>20</v>
      </c>
      <c r="AR201" s="23"/>
      <c r="CB201" s="20"/>
      <c r="CC201" s="20"/>
      <c r="DF201" s="20"/>
      <c r="EN201" s="22"/>
      <c r="EO201" s="20"/>
      <c r="EP201" s="20"/>
      <c r="EQ201" s="20"/>
      <c r="ER201" s="20"/>
      <c r="GU201" s="20"/>
      <c r="KP201" s="20"/>
      <c r="KQ201" s="20"/>
      <c r="KR201" s="20"/>
      <c r="KS201" s="20"/>
      <c r="PW201" s="20"/>
      <c r="PX201" s="20"/>
      <c r="PZ201" s="20"/>
      <c r="QN201" s="21"/>
      <c r="QR201" s="20"/>
      <c r="SU201" s="21"/>
      <c r="AID201" s="20"/>
      <c r="AJS201" s="20"/>
      <c r="AJT201" s="20"/>
      <c r="AJU201" s="20"/>
    </row>
    <row r="202" spans="6:957" x14ac:dyDescent="0.3">
      <c r="F202" s="135"/>
      <c r="G202" s="136" t="s">
        <v>4</v>
      </c>
      <c r="H202" s="188">
        <f>17000*24</f>
        <v>408000</v>
      </c>
      <c r="I202" s="214" t="s">
        <v>16</v>
      </c>
      <c r="J202" s="248">
        <v>334489</v>
      </c>
      <c r="K202" s="248">
        <v>316402</v>
      </c>
      <c r="L202" s="248">
        <v>301277</v>
      </c>
      <c r="M202" s="248">
        <v>266133</v>
      </c>
      <c r="N202" s="248">
        <v>281459</v>
      </c>
      <c r="O202" s="355">
        <v>345981</v>
      </c>
      <c r="P202" s="248">
        <v>329265</v>
      </c>
      <c r="Q202" s="248">
        <v>310963</v>
      </c>
      <c r="R202" s="11">
        <v>291802</v>
      </c>
      <c r="S202" s="11">
        <v>268229</v>
      </c>
      <c r="T202" s="272">
        <v>305162</v>
      </c>
      <c r="U202" s="11">
        <v>282878</v>
      </c>
      <c r="V202" s="11">
        <v>276172</v>
      </c>
      <c r="W202" s="11">
        <v>300722</v>
      </c>
      <c r="X202" s="11">
        <v>266136</v>
      </c>
      <c r="Y202" s="11">
        <v>291739</v>
      </c>
      <c r="Z202" s="11">
        <v>297222</v>
      </c>
      <c r="AA202" s="11">
        <v>303452</v>
      </c>
      <c r="AB202" s="11">
        <v>287365</v>
      </c>
      <c r="AC202" s="11">
        <v>265142</v>
      </c>
      <c r="AD202" s="11">
        <v>225330</v>
      </c>
      <c r="AE202" s="11">
        <v>315980</v>
      </c>
      <c r="AF202" s="11">
        <v>290240</v>
      </c>
      <c r="AG202" s="11">
        <v>225971</v>
      </c>
      <c r="AH202" s="11">
        <v>291589</v>
      </c>
      <c r="AI202" s="11">
        <v>282475</v>
      </c>
      <c r="AJ202" s="11">
        <v>275445</v>
      </c>
      <c r="AK202" s="11">
        <v>281301</v>
      </c>
      <c r="AL202" s="11">
        <v>289767</v>
      </c>
      <c r="AM202" s="11">
        <v>314230</v>
      </c>
      <c r="AN202" s="11">
        <v>268508</v>
      </c>
      <c r="AO202" s="10"/>
      <c r="AP202" s="26">
        <f>SUM(J202:AN202)</f>
        <v>8982826</v>
      </c>
      <c r="AQ202" s="31"/>
      <c r="AR202" s="8">
        <f>AP202/AP28</f>
        <v>289768.58064516127</v>
      </c>
      <c r="CB202" s="5"/>
      <c r="CC202" s="5"/>
      <c r="DF202" s="5"/>
      <c r="EN202" s="30"/>
      <c r="EO202" s="5"/>
      <c r="EP202" s="5"/>
      <c r="EQ202" s="5"/>
      <c r="ER202" s="5"/>
      <c r="GU202" s="5"/>
      <c r="KP202" s="5"/>
      <c r="KQ202" s="5"/>
      <c r="KR202" s="5"/>
      <c r="KS202" s="5"/>
      <c r="PW202" s="5"/>
      <c r="PX202" s="5"/>
      <c r="PZ202" s="5"/>
      <c r="QN202" s="27"/>
      <c r="QR202" s="5"/>
      <c r="SU202" s="27"/>
      <c r="AID202" s="5"/>
      <c r="AJS202" s="5"/>
      <c r="AJT202" s="5"/>
      <c r="AJU202" s="5"/>
    </row>
    <row r="203" spans="6:957" x14ac:dyDescent="0.3">
      <c r="F203" s="137"/>
      <c r="G203" s="244" t="s">
        <v>19</v>
      </c>
      <c r="H203" s="252"/>
      <c r="I203" s="137"/>
      <c r="J203" s="273"/>
      <c r="K203" s="273"/>
      <c r="L203" s="273"/>
      <c r="M203" s="273"/>
      <c r="N203" s="273"/>
      <c r="O203" s="364"/>
      <c r="P203" s="273"/>
      <c r="Q203" s="273"/>
      <c r="R203" s="273">
        <f>R205/R38*1000</f>
        <v>71.33175798432228</v>
      </c>
      <c r="S203" s="273"/>
      <c r="T203" s="273"/>
      <c r="U203" s="273"/>
      <c r="V203" s="273"/>
      <c r="W203" s="273"/>
      <c r="X203" s="273"/>
      <c r="Y203" s="273"/>
      <c r="Z203" s="273"/>
      <c r="AA203" s="273"/>
      <c r="AB203" s="273"/>
      <c r="AC203" s="273"/>
      <c r="AD203" s="273"/>
      <c r="AE203" s="273"/>
      <c r="AF203" s="273"/>
      <c r="AG203" s="273"/>
      <c r="AH203" s="273"/>
      <c r="AI203" s="273"/>
      <c r="AJ203" s="273"/>
      <c r="AK203" s="273"/>
      <c r="AL203" s="273"/>
      <c r="AM203" s="273"/>
      <c r="AN203" s="273"/>
      <c r="AO203" s="25"/>
      <c r="AP203" s="29" t="s">
        <v>19</v>
      </c>
      <c r="AQ203" s="28"/>
      <c r="AR203" s="23">
        <f>AR202/24</f>
        <v>12073.690860215052</v>
      </c>
      <c r="CB203" s="20"/>
      <c r="CC203" s="20"/>
      <c r="DF203" s="20"/>
      <c r="EN203" s="22"/>
      <c r="EO203" s="20"/>
      <c r="EP203" s="20"/>
      <c r="EQ203" s="20"/>
      <c r="ER203" s="20"/>
      <c r="GU203" s="20"/>
      <c r="KP203" s="20"/>
      <c r="KQ203" s="20"/>
      <c r="KR203" s="20"/>
      <c r="KS203" s="20"/>
      <c r="PW203" s="20"/>
      <c r="PX203" s="20"/>
      <c r="PZ203" s="20"/>
      <c r="QN203" s="21"/>
      <c r="QR203" s="20"/>
      <c r="SU203" s="21"/>
      <c r="AID203" s="20"/>
      <c r="AJS203" s="20"/>
      <c r="AJT203" s="20"/>
      <c r="AJU203" s="20"/>
    </row>
    <row r="204" spans="6:957" x14ac:dyDescent="0.3">
      <c r="F204" s="135"/>
      <c r="G204" s="136" t="s">
        <v>18</v>
      </c>
      <c r="H204" s="188">
        <v>180000</v>
      </c>
      <c r="I204" s="214" t="s">
        <v>16</v>
      </c>
      <c r="J204" s="248">
        <v>143700</v>
      </c>
      <c r="K204" s="248">
        <v>141300</v>
      </c>
      <c r="L204" s="248">
        <v>143200</v>
      </c>
      <c r="M204" s="248">
        <v>142300</v>
      </c>
      <c r="N204" s="248">
        <v>144100</v>
      </c>
      <c r="O204" s="355">
        <v>144190</v>
      </c>
      <c r="P204" s="248">
        <v>146610</v>
      </c>
      <c r="Q204" s="248">
        <v>143000</v>
      </c>
      <c r="R204" s="248">
        <v>143900</v>
      </c>
      <c r="S204" s="11">
        <v>144400</v>
      </c>
      <c r="T204" s="11">
        <v>145100</v>
      </c>
      <c r="U204" s="11">
        <v>139100</v>
      </c>
      <c r="V204" s="11">
        <v>274400</v>
      </c>
      <c r="W204" s="11">
        <v>140600</v>
      </c>
      <c r="X204" s="11">
        <v>141700</v>
      </c>
      <c r="Y204" s="11">
        <v>142400</v>
      </c>
      <c r="Z204" s="11">
        <v>142600</v>
      </c>
      <c r="AA204" s="11">
        <v>141900</v>
      </c>
      <c r="AB204" s="11">
        <v>144300</v>
      </c>
      <c r="AC204" s="11">
        <v>141900</v>
      </c>
      <c r="AD204" s="11">
        <v>144600</v>
      </c>
      <c r="AE204" s="11">
        <v>145700</v>
      </c>
      <c r="AF204" s="11">
        <v>142300</v>
      </c>
      <c r="AG204" s="11">
        <v>141500</v>
      </c>
      <c r="AH204" s="11">
        <v>146800</v>
      </c>
      <c r="AI204" s="11">
        <v>146600</v>
      </c>
      <c r="AJ204" s="11">
        <v>140900</v>
      </c>
      <c r="AK204" s="11">
        <v>142800</v>
      </c>
      <c r="AL204" s="11">
        <v>142400</v>
      </c>
      <c r="AM204" s="11">
        <v>149800</v>
      </c>
      <c r="AN204" s="11">
        <v>152200</v>
      </c>
      <c r="AO204" s="10"/>
      <c r="AP204" s="26">
        <f>SUM(J204:AN204)</f>
        <v>4586300</v>
      </c>
      <c r="AQ204" s="27"/>
      <c r="AR204" s="27">
        <f>AR203/1000</f>
        <v>12.073690860215052</v>
      </c>
    </row>
    <row r="205" spans="6:957" x14ac:dyDescent="0.3">
      <c r="F205" s="135"/>
      <c r="G205" s="136" t="s">
        <v>17</v>
      </c>
      <c r="H205" s="188">
        <v>122000</v>
      </c>
      <c r="I205" s="214" t="s">
        <v>16</v>
      </c>
      <c r="J205" s="248">
        <v>102900</v>
      </c>
      <c r="K205" s="248">
        <v>98100</v>
      </c>
      <c r="L205" s="248">
        <v>82600</v>
      </c>
      <c r="M205" s="248">
        <v>66600</v>
      </c>
      <c r="N205" s="248">
        <v>100500</v>
      </c>
      <c r="O205" s="355">
        <v>104600</v>
      </c>
      <c r="P205" s="248">
        <v>96700</v>
      </c>
      <c r="Q205" s="248">
        <v>86400</v>
      </c>
      <c r="R205" s="248">
        <v>84100</v>
      </c>
      <c r="S205" s="11">
        <v>84100</v>
      </c>
      <c r="T205" s="11">
        <v>92300</v>
      </c>
      <c r="U205" s="11">
        <v>81500</v>
      </c>
      <c r="V205" s="11">
        <v>65500</v>
      </c>
      <c r="W205" s="11">
        <v>83900</v>
      </c>
      <c r="X205" s="11">
        <v>84600</v>
      </c>
      <c r="Y205" s="11">
        <v>84300</v>
      </c>
      <c r="Z205" s="11">
        <v>63100</v>
      </c>
      <c r="AA205" s="11">
        <v>83700</v>
      </c>
      <c r="AB205" s="11">
        <v>83900</v>
      </c>
      <c r="AC205" s="11">
        <v>69400</v>
      </c>
      <c r="AD205" s="11">
        <v>62600</v>
      </c>
      <c r="AE205" s="11">
        <v>84300</v>
      </c>
      <c r="AF205" s="11">
        <v>60000</v>
      </c>
      <c r="AG205" s="11">
        <v>33700</v>
      </c>
      <c r="AH205" s="11">
        <v>72700</v>
      </c>
      <c r="AI205" s="11">
        <v>80400</v>
      </c>
      <c r="AJ205" s="11">
        <v>79700</v>
      </c>
      <c r="AK205" s="11">
        <v>80300</v>
      </c>
      <c r="AL205" s="11">
        <v>82600</v>
      </c>
      <c r="AM205" s="11">
        <v>85500</v>
      </c>
      <c r="AN205" s="11">
        <v>74200</v>
      </c>
      <c r="AO205" s="10"/>
      <c r="AP205" s="26">
        <f>SUM(J205:AN205)</f>
        <v>2494800</v>
      </c>
    </row>
    <row r="206" spans="6:957" x14ac:dyDescent="0.3">
      <c r="F206" s="135"/>
      <c r="G206" s="136" t="s">
        <v>8</v>
      </c>
      <c r="H206" s="188">
        <f>H202-H204-H205</f>
        <v>106000</v>
      </c>
      <c r="I206" s="214" t="s">
        <v>16</v>
      </c>
      <c r="J206" s="11">
        <f t="shared" ref="J206:AN206" si="100">J202-J204-J205</f>
        <v>87889</v>
      </c>
      <c r="K206" s="11">
        <f t="shared" si="100"/>
        <v>77002</v>
      </c>
      <c r="L206" s="11">
        <f t="shared" si="100"/>
        <v>75477</v>
      </c>
      <c r="M206" s="11">
        <f t="shared" si="100"/>
        <v>57233</v>
      </c>
      <c r="N206" s="11">
        <f t="shared" si="100"/>
        <v>36859</v>
      </c>
      <c r="O206" s="259">
        <f t="shared" si="100"/>
        <v>97191</v>
      </c>
      <c r="P206" s="11">
        <f t="shared" si="100"/>
        <v>85955</v>
      </c>
      <c r="Q206" s="11">
        <f t="shared" si="100"/>
        <v>81563</v>
      </c>
      <c r="R206" s="11">
        <f t="shared" si="100"/>
        <v>63802</v>
      </c>
      <c r="S206" s="11">
        <f t="shared" si="100"/>
        <v>39729</v>
      </c>
      <c r="T206" s="11">
        <f t="shared" si="100"/>
        <v>67762</v>
      </c>
      <c r="U206" s="11">
        <f t="shared" si="100"/>
        <v>62278</v>
      </c>
      <c r="V206" s="11">
        <f t="shared" si="100"/>
        <v>-63728</v>
      </c>
      <c r="W206" s="11">
        <f t="shared" si="100"/>
        <v>76222</v>
      </c>
      <c r="X206" s="11">
        <f t="shared" si="100"/>
        <v>39836</v>
      </c>
      <c r="Y206" s="11">
        <f t="shared" si="100"/>
        <v>65039</v>
      </c>
      <c r="Z206" s="11">
        <f t="shared" si="100"/>
        <v>91522</v>
      </c>
      <c r="AA206" s="11">
        <f t="shared" si="100"/>
        <v>77852</v>
      </c>
      <c r="AB206" s="11">
        <f t="shared" si="100"/>
        <v>59165</v>
      </c>
      <c r="AC206" s="11">
        <f t="shared" si="100"/>
        <v>53842</v>
      </c>
      <c r="AD206" s="11">
        <f t="shared" si="100"/>
        <v>18130</v>
      </c>
      <c r="AE206" s="11">
        <f t="shared" si="100"/>
        <v>85980</v>
      </c>
      <c r="AF206" s="11">
        <f t="shared" si="100"/>
        <v>87940</v>
      </c>
      <c r="AG206" s="11">
        <f t="shared" si="100"/>
        <v>50771</v>
      </c>
      <c r="AH206" s="11">
        <f t="shared" si="100"/>
        <v>72089</v>
      </c>
      <c r="AI206" s="11">
        <f t="shared" si="100"/>
        <v>55475</v>
      </c>
      <c r="AJ206" s="11">
        <f t="shared" si="100"/>
        <v>54845</v>
      </c>
      <c r="AK206" s="11">
        <f t="shared" si="100"/>
        <v>58201</v>
      </c>
      <c r="AL206" s="11">
        <f t="shared" si="100"/>
        <v>64767</v>
      </c>
      <c r="AM206" s="11">
        <f t="shared" si="100"/>
        <v>78930</v>
      </c>
      <c r="AN206" s="11">
        <f t="shared" si="100"/>
        <v>42108</v>
      </c>
      <c r="AO206" s="10"/>
      <c r="AP206" s="26">
        <f>SUM(J206:AN206)</f>
        <v>1901726</v>
      </c>
    </row>
    <row r="207" spans="6:957" x14ac:dyDescent="0.3">
      <c r="F207" s="137"/>
      <c r="G207" s="251" t="s">
        <v>1</v>
      </c>
      <c r="H207" s="274">
        <f>SUM(H204:H206)</f>
        <v>408000</v>
      </c>
      <c r="I207" s="214" t="s">
        <v>16</v>
      </c>
      <c r="J207" s="273">
        <f t="shared" ref="J207:AN207" si="101">SUM(J204:J206)</f>
        <v>334489</v>
      </c>
      <c r="K207" s="273">
        <f t="shared" si="101"/>
        <v>316402</v>
      </c>
      <c r="L207" s="273">
        <f t="shared" si="101"/>
        <v>301277</v>
      </c>
      <c r="M207" s="273">
        <f t="shared" si="101"/>
        <v>266133</v>
      </c>
      <c r="N207" s="273">
        <f t="shared" si="101"/>
        <v>281459</v>
      </c>
      <c r="O207" s="364">
        <f t="shared" si="101"/>
        <v>345981</v>
      </c>
      <c r="P207" s="273">
        <f t="shared" si="101"/>
        <v>329265</v>
      </c>
      <c r="Q207" s="273">
        <f t="shared" si="101"/>
        <v>310963</v>
      </c>
      <c r="R207" s="273">
        <f t="shared" si="101"/>
        <v>291802</v>
      </c>
      <c r="S207" s="273">
        <f t="shared" si="101"/>
        <v>268229</v>
      </c>
      <c r="T207" s="273">
        <f t="shared" si="101"/>
        <v>305162</v>
      </c>
      <c r="U207" s="273">
        <f t="shared" si="101"/>
        <v>282878</v>
      </c>
      <c r="V207" s="273">
        <f t="shared" si="101"/>
        <v>276172</v>
      </c>
      <c r="W207" s="273">
        <f t="shared" si="101"/>
        <v>300722</v>
      </c>
      <c r="X207" s="273">
        <f t="shared" si="101"/>
        <v>266136</v>
      </c>
      <c r="Y207" s="273">
        <f t="shared" si="101"/>
        <v>291739</v>
      </c>
      <c r="Z207" s="273">
        <f t="shared" si="101"/>
        <v>297222</v>
      </c>
      <c r="AA207" s="273">
        <f t="shared" si="101"/>
        <v>303452</v>
      </c>
      <c r="AB207" s="273">
        <f t="shared" si="101"/>
        <v>287365</v>
      </c>
      <c r="AC207" s="273">
        <f t="shared" si="101"/>
        <v>265142</v>
      </c>
      <c r="AD207" s="273">
        <f t="shared" si="101"/>
        <v>225330</v>
      </c>
      <c r="AE207" s="273">
        <f t="shared" si="101"/>
        <v>315980</v>
      </c>
      <c r="AF207" s="273">
        <f t="shared" si="101"/>
        <v>290240</v>
      </c>
      <c r="AG207" s="273">
        <f t="shared" si="101"/>
        <v>225971</v>
      </c>
      <c r="AH207" s="273">
        <f t="shared" si="101"/>
        <v>291589</v>
      </c>
      <c r="AI207" s="273">
        <f t="shared" si="101"/>
        <v>282475</v>
      </c>
      <c r="AJ207" s="273">
        <f t="shared" si="101"/>
        <v>275445</v>
      </c>
      <c r="AK207" s="273">
        <f t="shared" si="101"/>
        <v>281301</v>
      </c>
      <c r="AL207" s="273">
        <f t="shared" si="101"/>
        <v>289767</v>
      </c>
      <c r="AM207" s="273">
        <f t="shared" si="101"/>
        <v>314230</v>
      </c>
      <c r="AN207" s="273">
        <f t="shared" si="101"/>
        <v>268508</v>
      </c>
      <c r="AO207" s="25"/>
      <c r="AP207" s="24">
        <f>SUM(AP204:AP206)</f>
        <v>8982826</v>
      </c>
      <c r="AR207" s="23"/>
      <c r="CB207" s="20"/>
      <c r="CC207" s="20"/>
      <c r="DF207" s="20"/>
      <c r="EN207" s="22"/>
      <c r="EO207" s="20"/>
      <c r="EP207" s="20"/>
      <c r="EQ207" s="20"/>
      <c r="ER207" s="20"/>
      <c r="GU207" s="20"/>
      <c r="KP207" s="20"/>
      <c r="KQ207" s="20"/>
      <c r="KR207" s="20"/>
      <c r="KS207" s="20"/>
      <c r="PW207" s="20"/>
      <c r="PX207" s="20"/>
      <c r="PZ207" s="20"/>
      <c r="QN207" s="21"/>
      <c r="QR207" s="20"/>
      <c r="SU207" s="21"/>
      <c r="AID207" s="20"/>
      <c r="AJS207" s="20"/>
      <c r="AJT207" s="20"/>
      <c r="AJU207" s="20"/>
    </row>
    <row r="208" spans="6:957" x14ac:dyDescent="0.3">
      <c r="F208" s="179">
        <v>12</v>
      </c>
      <c r="G208" s="209" t="s">
        <v>15</v>
      </c>
      <c r="H208" s="210"/>
      <c r="I208" s="210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  <c r="AC208" s="181"/>
      <c r="AD208" s="181"/>
      <c r="AE208" s="181"/>
      <c r="AF208" s="181"/>
      <c r="AG208" s="311"/>
      <c r="AH208" s="311"/>
      <c r="AI208" s="311"/>
      <c r="AJ208" s="311"/>
      <c r="AK208" s="311"/>
      <c r="AL208" s="311"/>
      <c r="AM208" s="311"/>
      <c r="AN208" s="311"/>
      <c r="AO208" s="10"/>
      <c r="AP208" s="318" t="s">
        <v>14</v>
      </c>
    </row>
    <row r="209" spans="5:14973" ht="16.2" x14ac:dyDescent="0.3">
      <c r="F209" s="167"/>
      <c r="G209" s="246" t="s">
        <v>13</v>
      </c>
      <c r="H209" s="319">
        <v>670</v>
      </c>
      <c r="I209" s="247" t="s">
        <v>165</v>
      </c>
      <c r="J209" s="320">
        <v>775</v>
      </c>
      <c r="K209" s="320">
        <v>686</v>
      </c>
      <c r="L209" s="320">
        <v>731</v>
      </c>
      <c r="M209" s="320">
        <v>618</v>
      </c>
      <c r="N209" s="320">
        <v>671</v>
      </c>
      <c r="O209" s="365">
        <v>651</v>
      </c>
      <c r="P209" s="320">
        <v>681</v>
      </c>
      <c r="Q209" s="320">
        <v>830</v>
      </c>
      <c r="R209" s="320">
        <v>541</v>
      </c>
      <c r="S209" s="320">
        <v>587</v>
      </c>
      <c r="T209" s="320">
        <v>640</v>
      </c>
      <c r="U209" s="320">
        <v>684</v>
      </c>
      <c r="V209" s="320">
        <v>694</v>
      </c>
      <c r="W209" s="320">
        <v>673</v>
      </c>
      <c r="X209" s="320">
        <v>530</v>
      </c>
      <c r="Y209" s="320">
        <v>909</v>
      </c>
      <c r="Z209" s="320">
        <v>731</v>
      </c>
      <c r="AA209" s="320">
        <v>766</v>
      </c>
      <c r="AB209" s="320">
        <v>540</v>
      </c>
      <c r="AC209" s="320">
        <v>755</v>
      </c>
      <c r="AD209" s="320">
        <v>713</v>
      </c>
      <c r="AE209" s="320">
        <v>617</v>
      </c>
      <c r="AF209" s="320">
        <v>526</v>
      </c>
      <c r="AG209" s="320">
        <v>586</v>
      </c>
      <c r="AH209" s="320">
        <v>705</v>
      </c>
      <c r="AI209" s="320">
        <v>683</v>
      </c>
      <c r="AJ209" s="320">
        <v>742</v>
      </c>
      <c r="AK209" s="320">
        <v>815</v>
      </c>
      <c r="AL209" s="320">
        <v>629</v>
      </c>
      <c r="AM209" s="320">
        <v>817</v>
      </c>
      <c r="AN209" s="320">
        <v>616</v>
      </c>
      <c r="AP209" s="321">
        <f>SUM(J209:AN209)</f>
        <v>21142</v>
      </c>
      <c r="AR209" s="17">
        <f>AP209/AP28</f>
        <v>682</v>
      </c>
      <c r="CB209" s="14"/>
      <c r="CC209" s="14"/>
      <c r="DF209" s="14"/>
      <c r="EN209" s="16"/>
      <c r="EO209" s="14"/>
      <c r="EP209" s="14"/>
      <c r="EQ209" s="14"/>
      <c r="ER209" s="14"/>
      <c r="GU209" s="14"/>
      <c r="KP209" s="14"/>
      <c r="KQ209" s="14"/>
      <c r="KR209" s="14"/>
      <c r="KS209" s="14"/>
      <c r="PW209" s="14"/>
      <c r="PX209" s="14"/>
      <c r="PZ209" s="14"/>
      <c r="QN209" s="15"/>
      <c r="QR209" s="14"/>
      <c r="SU209" s="15"/>
      <c r="AID209" s="14"/>
      <c r="AJS209" s="14"/>
      <c r="AJT209" s="14"/>
      <c r="AJU209" s="14"/>
    </row>
    <row r="210" spans="5:14973" x14ac:dyDescent="0.3">
      <c r="F210" s="167"/>
      <c r="G210" s="275" t="s">
        <v>12</v>
      </c>
      <c r="H210" s="166"/>
      <c r="I210" s="167"/>
      <c r="J210" s="320"/>
      <c r="K210" s="320"/>
      <c r="L210" s="320"/>
      <c r="M210" s="320"/>
      <c r="N210" s="320"/>
      <c r="O210" s="365"/>
      <c r="P210" s="320"/>
      <c r="Q210" s="320"/>
      <c r="R210" s="320"/>
      <c r="S210" s="320"/>
      <c r="T210" s="320"/>
      <c r="U210" s="320"/>
      <c r="V210" s="320"/>
      <c r="W210" s="320"/>
      <c r="X210" s="320"/>
      <c r="Y210" s="320"/>
      <c r="Z210" s="320"/>
      <c r="AA210" s="320"/>
      <c r="AB210" s="320"/>
      <c r="AC210" s="320"/>
      <c r="AD210" s="320"/>
      <c r="AE210" s="320"/>
      <c r="AF210" s="320"/>
      <c r="AG210" s="320"/>
      <c r="AH210" s="320"/>
      <c r="AI210" s="320"/>
      <c r="AJ210" s="320"/>
      <c r="AK210" s="320"/>
      <c r="AL210" s="320"/>
      <c r="AM210" s="320"/>
      <c r="AN210" s="320"/>
      <c r="AP210" s="19" t="s">
        <v>12</v>
      </c>
      <c r="AR210" s="17"/>
      <c r="CB210" s="14"/>
      <c r="CC210" s="14"/>
      <c r="DF210" s="14"/>
      <c r="EN210" s="16"/>
      <c r="EO210" s="14"/>
      <c r="EP210" s="14"/>
      <c r="EQ210" s="14"/>
      <c r="ER210" s="14"/>
      <c r="GU210" s="14"/>
      <c r="KP210" s="14"/>
      <c r="KQ210" s="14"/>
      <c r="KR210" s="14"/>
      <c r="KS210" s="14"/>
      <c r="PW210" s="14"/>
      <c r="PX210" s="14"/>
      <c r="PZ210" s="14"/>
      <c r="QN210" s="15"/>
      <c r="QR210" s="14"/>
      <c r="SU210" s="15"/>
      <c r="AID210" s="14"/>
      <c r="AJS210" s="14"/>
      <c r="AJT210" s="14"/>
      <c r="AJU210" s="14"/>
    </row>
    <row r="211" spans="5:14973" ht="16.2" x14ac:dyDescent="0.3">
      <c r="F211" s="167"/>
      <c r="G211" s="246" t="s">
        <v>11</v>
      </c>
      <c r="H211" s="322">
        <v>78.959999999999994</v>
      </c>
      <c r="I211" s="247" t="s">
        <v>165</v>
      </c>
      <c r="J211" s="276">
        <v>58</v>
      </c>
      <c r="K211" s="276">
        <v>49</v>
      </c>
      <c r="L211" s="276">
        <v>49</v>
      </c>
      <c r="M211" s="276">
        <v>51</v>
      </c>
      <c r="N211" s="276">
        <v>48</v>
      </c>
      <c r="O211" s="366">
        <v>43</v>
      </c>
      <c r="P211" s="276">
        <v>46</v>
      </c>
      <c r="Q211" s="276">
        <v>67</v>
      </c>
      <c r="R211" s="276">
        <v>41</v>
      </c>
      <c r="S211" s="320">
        <v>53</v>
      </c>
      <c r="T211" s="320">
        <v>39</v>
      </c>
      <c r="U211" s="320">
        <v>145</v>
      </c>
      <c r="V211" s="320">
        <v>190</v>
      </c>
      <c r="W211" s="320">
        <v>37</v>
      </c>
      <c r="X211" s="320">
        <v>81</v>
      </c>
      <c r="Y211" s="320">
        <v>103</v>
      </c>
      <c r="Z211" s="320">
        <v>91</v>
      </c>
      <c r="AA211" s="320">
        <v>93</v>
      </c>
      <c r="AB211" s="320">
        <v>44</v>
      </c>
      <c r="AC211" s="320">
        <v>42</v>
      </c>
      <c r="AD211" s="320">
        <v>39</v>
      </c>
      <c r="AE211" s="320">
        <v>28</v>
      </c>
      <c r="AF211" s="320">
        <v>32</v>
      </c>
      <c r="AG211" s="320">
        <v>28</v>
      </c>
      <c r="AH211" s="320">
        <v>35</v>
      </c>
      <c r="AI211" s="320">
        <v>38</v>
      </c>
      <c r="AJ211" s="320">
        <v>44</v>
      </c>
      <c r="AK211" s="320">
        <v>43</v>
      </c>
      <c r="AL211" s="320">
        <v>39</v>
      </c>
      <c r="AM211" s="320">
        <v>46</v>
      </c>
      <c r="AN211" s="320">
        <v>42</v>
      </c>
      <c r="AP211" s="323">
        <f>SUM(J211:AN211)</f>
        <v>1784</v>
      </c>
      <c r="AQ211" s="324"/>
      <c r="AR211" s="17"/>
      <c r="CB211" s="14"/>
      <c r="CC211" s="14"/>
      <c r="DF211" s="14"/>
      <c r="EN211" s="16"/>
      <c r="EO211" s="14"/>
      <c r="EP211" s="14"/>
      <c r="EQ211" s="14"/>
      <c r="ER211" s="14"/>
      <c r="GU211" s="14"/>
      <c r="KP211" s="14"/>
      <c r="KQ211" s="14"/>
      <c r="KR211" s="14"/>
      <c r="KS211" s="14"/>
      <c r="PW211" s="14"/>
      <c r="PX211" s="14"/>
      <c r="PZ211" s="14"/>
      <c r="QN211" s="15"/>
      <c r="QR211" s="14"/>
      <c r="SU211" s="15"/>
      <c r="AGP211" s="18">
        <f>AR211-AP211</f>
        <v>-1784</v>
      </c>
      <c r="AID211" s="14"/>
      <c r="AJS211" s="14"/>
      <c r="AJT211" s="14"/>
      <c r="AJU211" s="14"/>
    </row>
    <row r="212" spans="5:14973" ht="16.2" x14ac:dyDescent="0.3">
      <c r="F212" s="167"/>
      <c r="G212" s="246" t="s">
        <v>10</v>
      </c>
      <c r="H212" s="322">
        <v>118.4</v>
      </c>
      <c r="I212" s="247" t="s">
        <v>165</v>
      </c>
      <c r="J212" s="276">
        <v>136</v>
      </c>
      <c r="K212" s="276">
        <v>129</v>
      </c>
      <c r="L212" s="276">
        <v>118</v>
      </c>
      <c r="M212" s="276">
        <v>71</v>
      </c>
      <c r="N212" s="276">
        <v>120</v>
      </c>
      <c r="O212" s="366">
        <v>131</v>
      </c>
      <c r="P212" s="276">
        <v>118</v>
      </c>
      <c r="Q212" s="276">
        <v>102</v>
      </c>
      <c r="R212" s="276">
        <v>103</v>
      </c>
      <c r="S212" s="320">
        <v>103</v>
      </c>
      <c r="T212" s="320">
        <v>114</v>
      </c>
      <c r="U212" s="320">
        <v>94</v>
      </c>
      <c r="V212" s="320">
        <v>81</v>
      </c>
      <c r="W212" s="320">
        <v>90</v>
      </c>
      <c r="X212" s="320">
        <v>90</v>
      </c>
      <c r="Y212" s="320">
        <v>106</v>
      </c>
      <c r="Z212" s="320">
        <v>85</v>
      </c>
      <c r="AA212" s="320">
        <v>104</v>
      </c>
      <c r="AB212" s="320">
        <v>105</v>
      </c>
      <c r="AC212" s="320">
        <v>128</v>
      </c>
      <c r="AD212" s="320">
        <v>98</v>
      </c>
      <c r="AE212" s="320">
        <v>106</v>
      </c>
      <c r="AF212" s="320">
        <v>74</v>
      </c>
      <c r="AG212" s="320">
        <v>61</v>
      </c>
      <c r="AH212" s="320">
        <v>107</v>
      </c>
      <c r="AI212" s="320">
        <v>109</v>
      </c>
      <c r="AJ212" s="320">
        <v>91</v>
      </c>
      <c r="AK212" s="320">
        <v>114</v>
      </c>
      <c r="AL212" s="320">
        <v>111</v>
      </c>
      <c r="AM212" s="320">
        <v>109</v>
      </c>
      <c r="AN212" s="320">
        <v>97</v>
      </c>
      <c r="AP212" s="323">
        <f>SUM(J212:AN212)</f>
        <v>3205</v>
      </c>
      <c r="AR212" s="17">
        <v>1303</v>
      </c>
      <c r="CB212" s="14"/>
      <c r="CC212" s="14"/>
      <c r="DF212" s="14"/>
      <c r="EN212" s="16"/>
      <c r="EO212" s="14"/>
      <c r="EP212" s="14"/>
      <c r="EQ212" s="14"/>
      <c r="ER212" s="14"/>
      <c r="GU212" s="14"/>
      <c r="KP212" s="14"/>
      <c r="KQ212" s="14"/>
      <c r="KR212" s="14"/>
      <c r="KS212" s="14"/>
      <c r="PW212" s="14"/>
      <c r="PX212" s="14"/>
      <c r="PZ212" s="14"/>
      <c r="QN212" s="15"/>
      <c r="QR212" s="14"/>
      <c r="SU212" s="15"/>
      <c r="AGP212" s="18">
        <f>AR212-AP212</f>
        <v>-1902</v>
      </c>
      <c r="AID212" s="14"/>
      <c r="AJS212" s="14"/>
      <c r="AJT212" s="14"/>
      <c r="AJU212" s="14"/>
    </row>
    <row r="213" spans="5:14973" ht="16.2" x14ac:dyDescent="0.3">
      <c r="F213" s="167"/>
      <c r="G213" s="246" t="s">
        <v>9</v>
      </c>
      <c r="H213" s="319">
        <f>44.69%*H209</f>
        <v>299.423</v>
      </c>
      <c r="I213" s="247" t="s">
        <v>165</v>
      </c>
      <c r="J213" s="320">
        <v>345</v>
      </c>
      <c r="K213" s="320">
        <v>326.8</v>
      </c>
      <c r="L213" s="320">
        <v>275.60000000000002</v>
      </c>
      <c r="M213" s="320">
        <v>346.5</v>
      </c>
      <c r="N213" s="320">
        <v>288.89999999999998</v>
      </c>
      <c r="O213" s="365">
        <v>337.6</v>
      </c>
      <c r="P213" s="320">
        <v>360.4</v>
      </c>
      <c r="Q213" s="320">
        <v>345.9</v>
      </c>
      <c r="R213" s="320">
        <v>264.60000000000002</v>
      </c>
      <c r="S213" s="320">
        <v>324.7</v>
      </c>
      <c r="T213" s="320">
        <v>325.60000000000002</v>
      </c>
      <c r="U213" s="320">
        <v>330.9</v>
      </c>
      <c r="V213" s="320">
        <v>310.8</v>
      </c>
      <c r="W213" s="320">
        <v>307.8</v>
      </c>
      <c r="X213" s="320">
        <v>310.89999999999998</v>
      </c>
      <c r="Y213" s="320">
        <v>309.2</v>
      </c>
      <c r="Z213" s="320">
        <v>349.3</v>
      </c>
      <c r="AA213" s="320">
        <v>353.6</v>
      </c>
      <c r="AB213" s="320">
        <v>320.8</v>
      </c>
      <c r="AC213" s="320">
        <v>305.2</v>
      </c>
      <c r="AD213" s="320">
        <v>301.7</v>
      </c>
      <c r="AE213" s="320">
        <v>318.5</v>
      </c>
      <c r="AF213" s="320">
        <v>317.5</v>
      </c>
      <c r="AG213" s="320">
        <v>292.39999999999998</v>
      </c>
      <c r="AH213" s="320">
        <v>352</v>
      </c>
      <c r="AI213" s="320">
        <v>295.89999999999998</v>
      </c>
      <c r="AJ213" s="320">
        <v>311.10000000000002</v>
      </c>
      <c r="AK213" s="320">
        <v>335.5</v>
      </c>
      <c r="AL213" s="320">
        <v>343.4</v>
      </c>
      <c r="AM213" s="320">
        <v>368.8</v>
      </c>
      <c r="AN213" s="320">
        <v>275.3</v>
      </c>
      <c r="AP213" s="323">
        <f>SUM(J213:AN213)</f>
        <v>9952.1999999999989</v>
      </c>
      <c r="AQ213" s="18"/>
      <c r="AR213" s="17"/>
      <c r="CB213" s="14"/>
      <c r="CC213" s="14"/>
      <c r="DF213" s="14"/>
      <c r="EN213" s="16"/>
      <c r="EO213" s="14"/>
      <c r="EP213" s="14"/>
      <c r="EQ213" s="14"/>
      <c r="ER213" s="14"/>
      <c r="GU213" s="14"/>
      <c r="KP213" s="14"/>
      <c r="KQ213" s="14"/>
      <c r="KR213" s="14"/>
      <c r="KS213" s="14"/>
      <c r="PW213" s="14"/>
      <c r="PX213" s="14"/>
      <c r="PZ213" s="14"/>
      <c r="QN213" s="15"/>
      <c r="QR213" s="14"/>
      <c r="SU213" s="15"/>
      <c r="AID213" s="14"/>
      <c r="AJS213" s="14"/>
      <c r="AJT213" s="14"/>
      <c r="AJU213" s="14"/>
    </row>
    <row r="214" spans="5:14973" ht="16.2" x14ac:dyDescent="0.3">
      <c r="F214" s="167"/>
      <c r="G214" s="246" t="s">
        <v>8</v>
      </c>
      <c r="H214" s="319">
        <f>H209-SUM(H211:H213)</f>
        <v>173.21699999999998</v>
      </c>
      <c r="I214" s="247" t="s">
        <v>165</v>
      </c>
      <c r="J214" s="320">
        <f>J209-(SUM(J211:J213))</f>
        <v>236</v>
      </c>
      <c r="K214" s="320">
        <f t="shared" ref="K214:O214" si="102">K209-(SUM(K211:K213))</f>
        <v>181.2</v>
      </c>
      <c r="L214" s="320">
        <f t="shared" si="102"/>
        <v>288.39999999999998</v>
      </c>
      <c r="M214" s="320">
        <f t="shared" si="102"/>
        <v>149.5</v>
      </c>
      <c r="N214" s="320">
        <f t="shared" si="102"/>
        <v>214.10000000000002</v>
      </c>
      <c r="O214" s="365">
        <f t="shared" si="102"/>
        <v>139.39999999999998</v>
      </c>
      <c r="P214" s="320">
        <f t="shared" ref="P214:AN214" si="103">P209-(SUM(P211:P213))</f>
        <v>156.60000000000002</v>
      </c>
      <c r="Q214" s="320">
        <f t="shared" si="103"/>
        <v>315.10000000000002</v>
      </c>
      <c r="R214" s="320">
        <f t="shared" si="103"/>
        <v>132.39999999999998</v>
      </c>
      <c r="S214" s="320">
        <f t="shared" si="103"/>
        <v>106.30000000000001</v>
      </c>
      <c r="T214" s="320">
        <f t="shared" si="103"/>
        <v>161.39999999999998</v>
      </c>
      <c r="U214" s="320">
        <f t="shared" si="103"/>
        <v>114.10000000000002</v>
      </c>
      <c r="V214" s="320">
        <f t="shared" si="103"/>
        <v>112.20000000000005</v>
      </c>
      <c r="W214" s="320">
        <f t="shared" si="103"/>
        <v>238.2</v>
      </c>
      <c r="X214" s="320">
        <f t="shared" si="103"/>
        <v>48.100000000000023</v>
      </c>
      <c r="Y214" s="320">
        <f t="shared" si="103"/>
        <v>390.79999999999995</v>
      </c>
      <c r="Z214" s="320">
        <f t="shared" si="103"/>
        <v>205.70000000000005</v>
      </c>
      <c r="AA214" s="320">
        <f t="shared" si="103"/>
        <v>215.39999999999998</v>
      </c>
      <c r="AB214" s="320">
        <f t="shared" si="103"/>
        <v>70.199999999999989</v>
      </c>
      <c r="AC214" s="320">
        <f t="shared" si="103"/>
        <v>279.8</v>
      </c>
      <c r="AD214" s="320">
        <f t="shared" si="103"/>
        <v>274.3</v>
      </c>
      <c r="AE214" s="320">
        <f t="shared" si="103"/>
        <v>164.5</v>
      </c>
      <c r="AF214" s="320">
        <f t="shared" si="103"/>
        <v>102.5</v>
      </c>
      <c r="AG214" s="320">
        <f t="shared" si="103"/>
        <v>204.60000000000002</v>
      </c>
      <c r="AH214" s="320">
        <f t="shared" si="103"/>
        <v>211</v>
      </c>
      <c r="AI214" s="320">
        <f t="shared" si="103"/>
        <v>240.10000000000002</v>
      </c>
      <c r="AJ214" s="320">
        <f t="shared" si="103"/>
        <v>295.89999999999998</v>
      </c>
      <c r="AK214" s="320">
        <f t="shared" si="103"/>
        <v>322.5</v>
      </c>
      <c r="AL214" s="320">
        <f t="shared" si="103"/>
        <v>135.60000000000002</v>
      </c>
      <c r="AM214" s="320">
        <f t="shared" si="103"/>
        <v>293.20000000000005</v>
      </c>
      <c r="AN214" s="320">
        <f t="shared" si="103"/>
        <v>201.7</v>
      </c>
      <c r="AP214" s="323">
        <f>SUM(J214:AN214)</f>
        <v>6200.7999999999993</v>
      </c>
      <c r="AQ214" s="325"/>
      <c r="AR214" s="17"/>
      <c r="CB214" s="14"/>
      <c r="CC214" s="14"/>
      <c r="DF214" s="14"/>
      <c r="EN214" s="16"/>
      <c r="EO214" s="14"/>
      <c r="EP214" s="14"/>
      <c r="EQ214" s="14"/>
      <c r="ER214" s="14"/>
      <c r="GU214" s="14"/>
      <c r="KP214" s="14"/>
      <c r="KQ214" s="14"/>
      <c r="KR214" s="14"/>
      <c r="KS214" s="14"/>
      <c r="PW214" s="14"/>
      <c r="PX214" s="14"/>
      <c r="PZ214" s="14"/>
      <c r="QN214" s="15"/>
      <c r="QR214" s="14"/>
      <c r="SU214" s="15"/>
      <c r="AID214" s="14"/>
      <c r="AJS214" s="14"/>
      <c r="AJT214" s="14"/>
      <c r="AJU214" s="14"/>
    </row>
    <row r="215" spans="5:14973" ht="16.2" x14ac:dyDescent="0.3">
      <c r="F215" s="167"/>
      <c r="G215" s="246" t="s">
        <v>7</v>
      </c>
      <c r="H215" s="319">
        <v>287.83999999999997</v>
      </c>
      <c r="I215" s="247" t="s">
        <v>165</v>
      </c>
      <c r="J215" s="320">
        <v>223</v>
      </c>
      <c r="K215" s="320">
        <v>122</v>
      </c>
      <c r="L215" s="320">
        <v>110</v>
      </c>
      <c r="M215" s="320">
        <v>123</v>
      </c>
      <c r="N215" s="320">
        <v>131</v>
      </c>
      <c r="O215" s="365">
        <v>121</v>
      </c>
      <c r="P215" s="320">
        <v>132</v>
      </c>
      <c r="Q215" s="320">
        <v>152</v>
      </c>
      <c r="R215" s="320">
        <v>98</v>
      </c>
      <c r="S215" s="320">
        <v>91</v>
      </c>
      <c r="T215" s="320">
        <v>95</v>
      </c>
      <c r="U215" s="320">
        <v>142</v>
      </c>
      <c r="V215" s="320">
        <v>148</v>
      </c>
      <c r="W215" s="320">
        <v>129</v>
      </c>
      <c r="X215" s="320">
        <v>139</v>
      </c>
      <c r="Y215" s="320">
        <v>178</v>
      </c>
      <c r="Z215" s="320">
        <v>182</v>
      </c>
      <c r="AA215" s="320">
        <v>181</v>
      </c>
      <c r="AB215" s="320">
        <v>141</v>
      </c>
      <c r="AC215" s="320">
        <v>156</v>
      </c>
      <c r="AD215" s="320">
        <v>182</v>
      </c>
      <c r="AE215" s="320">
        <v>139</v>
      </c>
      <c r="AF215" s="320">
        <v>129</v>
      </c>
      <c r="AG215" s="320">
        <v>150</v>
      </c>
      <c r="AH215" s="320">
        <v>169</v>
      </c>
      <c r="AI215" s="320">
        <v>151</v>
      </c>
      <c r="AJ215" s="320">
        <v>182</v>
      </c>
      <c r="AK215" s="320">
        <v>185</v>
      </c>
      <c r="AL215" s="320">
        <v>157</v>
      </c>
      <c r="AM215" s="320">
        <v>178</v>
      </c>
      <c r="AN215" s="320">
        <v>119</v>
      </c>
      <c r="AP215" s="323">
        <f>SUM(J215:AN215)</f>
        <v>4535</v>
      </c>
      <c r="AR215" s="17"/>
      <c r="CB215" s="14"/>
      <c r="CC215" s="14"/>
      <c r="DF215" s="14"/>
      <c r="EN215" s="16"/>
      <c r="EO215" s="14"/>
      <c r="EP215" s="14"/>
      <c r="EQ215" s="14"/>
      <c r="ER215" s="14"/>
      <c r="GU215" s="14"/>
      <c r="KP215" s="14"/>
      <c r="KQ215" s="14"/>
      <c r="KR215" s="14"/>
      <c r="KS215" s="14"/>
      <c r="PW215" s="14"/>
      <c r="PX215" s="14"/>
      <c r="PZ215" s="14"/>
      <c r="QN215" s="15"/>
      <c r="QR215" s="14"/>
      <c r="SU215" s="15"/>
      <c r="AID215" s="14"/>
      <c r="AJS215" s="14"/>
      <c r="AJT215" s="14"/>
      <c r="AJU215" s="14"/>
    </row>
    <row r="216" spans="5:14973" x14ac:dyDescent="0.3">
      <c r="F216" s="225">
        <v>13</v>
      </c>
      <c r="G216" s="209" t="s">
        <v>6</v>
      </c>
      <c r="H216" s="210"/>
      <c r="I216" s="210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81"/>
      <c r="AJ216" s="181"/>
      <c r="AK216" s="181"/>
      <c r="AL216" s="181"/>
      <c r="AM216" s="181"/>
      <c r="AN216" s="181"/>
      <c r="AO216" s="10"/>
      <c r="AP216" s="13" t="s">
        <v>5</v>
      </c>
    </row>
    <row r="217" spans="5:14973" s="2" customFormat="1" x14ac:dyDescent="0.3">
      <c r="E217" s="1"/>
      <c r="F217" s="277"/>
      <c r="G217" s="278" t="s">
        <v>4</v>
      </c>
      <c r="H217" s="279"/>
      <c r="I217" s="280"/>
      <c r="J217" s="11"/>
      <c r="K217" s="11"/>
      <c r="L217" s="11"/>
      <c r="M217" s="11"/>
      <c r="N217" s="11"/>
      <c r="O217" s="259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0"/>
      <c r="AP217" s="12" t="s">
        <v>4</v>
      </c>
      <c r="AQ217" s="1"/>
      <c r="AR217" s="1"/>
      <c r="AT217" s="3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  <c r="AAT217" s="1"/>
      <c r="AAU217" s="1"/>
      <c r="AAV217" s="1"/>
      <c r="AAW217" s="1"/>
      <c r="AAX217" s="1"/>
      <c r="AAY217" s="1"/>
      <c r="AAZ217" s="1"/>
      <c r="ABA217" s="1"/>
      <c r="ABB217" s="1"/>
      <c r="ABC217" s="1"/>
      <c r="ABD217" s="1"/>
      <c r="ABE217" s="1"/>
      <c r="ABF217" s="1"/>
      <c r="ABG217" s="1"/>
      <c r="ABH217" s="1"/>
      <c r="ABI217" s="1"/>
      <c r="ABJ217" s="1"/>
      <c r="ABK217" s="1"/>
      <c r="ABL217" s="1"/>
      <c r="ABM217" s="1"/>
      <c r="ABN217" s="1"/>
      <c r="ABO217" s="1"/>
      <c r="ABP217" s="1"/>
      <c r="ABQ217" s="1"/>
      <c r="ABR217" s="1"/>
      <c r="ABS217" s="1"/>
      <c r="ABT217" s="1"/>
      <c r="ABU217" s="1"/>
      <c r="ABV217" s="1"/>
      <c r="ABW217" s="1"/>
      <c r="ABX217" s="1"/>
      <c r="ABY217" s="1"/>
      <c r="ABZ217" s="1"/>
      <c r="ACA217" s="1"/>
      <c r="ACB217" s="1"/>
      <c r="ACC217" s="1"/>
      <c r="ACD217" s="1"/>
      <c r="ACE217" s="1"/>
      <c r="ACF217" s="1"/>
      <c r="ACG217" s="1"/>
      <c r="ACH217" s="1"/>
      <c r="ACI217" s="1"/>
      <c r="ACJ217" s="1"/>
      <c r="ACK217" s="1"/>
      <c r="ACL217" s="1"/>
      <c r="ACM217" s="1"/>
      <c r="ACN217" s="1"/>
      <c r="ACO217" s="1"/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s="1"/>
      <c r="ADL217" s="1"/>
      <c r="ADM217" s="1"/>
      <c r="ADN217" s="1"/>
      <c r="ADO217" s="1"/>
      <c r="ADP217" s="1"/>
      <c r="ADQ217" s="1"/>
      <c r="ADR217" s="1"/>
      <c r="ADS217" s="1"/>
      <c r="ADT217" s="1"/>
      <c r="ADU217" s="1"/>
      <c r="ADV217" s="1"/>
      <c r="ADW217" s="1"/>
      <c r="ADX217" s="1"/>
      <c r="ADY217" s="1"/>
      <c r="ADZ217" s="1"/>
      <c r="AEA217" s="1"/>
      <c r="AEB217" s="1"/>
      <c r="AEC217" s="1"/>
      <c r="AED217" s="1"/>
      <c r="AEE217" s="1"/>
      <c r="AEF217" s="1"/>
      <c r="AEG217" s="1"/>
      <c r="AEH217" s="1"/>
      <c r="AEI217" s="1"/>
      <c r="AEJ217" s="1"/>
      <c r="AEK217" s="1"/>
      <c r="AEL217" s="1"/>
      <c r="AEM217" s="1"/>
      <c r="AEN217" s="1"/>
      <c r="AEO217" s="1"/>
      <c r="AEP217" s="1"/>
      <c r="AEQ217" s="1"/>
      <c r="AER217" s="1"/>
      <c r="AES217" s="1"/>
      <c r="AET217" s="1"/>
      <c r="AEU217" s="1"/>
      <c r="AEV217" s="1"/>
      <c r="AEW217" s="1"/>
      <c r="AEX217" s="1"/>
      <c r="AEY217" s="1"/>
      <c r="AEZ217" s="1"/>
      <c r="AFA217" s="1"/>
      <c r="AFB217" s="1"/>
      <c r="AFC217" s="1"/>
      <c r="AFD217" s="1"/>
      <c r="AFE217" s="1"/>
      <c r="AFF217" s="1"/>
      <c r="AFG217" s="1"/>
      <c r="AFH217" s="1"/>
      <c r="AFI217" s="1"/>
      <c r="AFJ217" s="1"/>
      <c r="AFK217" s="1"/>
      <c r="AFL217" s="1"/>
      <c r="AFM217" s="1"/>
      <c r="AFN217" s="1"/>
      <c r="AFO217" s="1"/>
      <c r="AFP217" s="1"/>
      <c r="AFQ217" s="1"/>
      <c r="AFR217" s="1"/>
      <c r="AFS217" s="1"/>
      <c r="AFT217" s="1"/>
      <c r="AFU217" s="1"/>
      <c r="AFV217" s="1"/>
      <c r="AFW217" s="1"/>
      <c r="AFX217" s="1"/>
      <c r="AFY217" s="1"/>
      <c r="AFZ217" s="1"/>
      <c r="AGA217" s="1"/>
      <c r="AGB217" s="1"/>
      <c r="AGC217" s="1"/>
      <c r="AGD217" s="1"/>
      <c r="AGE217" s="1"/>
      <c r="AGF217" s="1"/>
      <c r="AGG217" s="1"/>
      <c r="AGH217" s="1"/>
      <c r="AGI217" s="1"/>
      <c r="AGJ217" s="1"/>
      <c r="AGK217" s="1"/>
      <c r="AGL217" s="1"/>
      <c r="AGM217" s="1"/>
      <c r="AGN217" s="1"/>
      <c r="AGO217" s="1"/>
      <c r="AGP217" s="1"/>
      <c r="AGQ217" s="1"/>
      <c r="AGR217" s="1"/>
      <c r="AGS217" s="1"/>
      <c r="AGT217" s="1"/>
      <c r="AGU217" s="1"/>
      <c r="AGV217" s="1"/>
      <c r="AGW217" s="1"/>
      <c r="AGX217" s="1"/>
      <c r="AGY217" s="1"/>
      <c r="AGZ217" s="1"/>
      <c r="AHA217" s="1"/>
      <c r="AHB217" s="1"/>
      <c r="AHC217" s="1"/>
      <c r="AHD217" s="1"/>
      <c r="AHE217" s="1"/>
      <c r="AHF217" s="1"/>
      <c r="AHG217" s="1"/>
      <c r="AHH217" s="1"/>
      <c r="AHI217" s="1"/>
      <c r="AHJ217" s="1"/>
      <c r="AHK217" s="1"/>
      <c r="AHL217" s="1"/>
      <c r="AHM217" s="1"/>
      <c r="AHN217" s="1"/>
      <c r="AHO217" s="1"/>
      <c r="AHP217" s="1"/>
      <c r="AHQ217" s="1"/>
      <c r="AHR217" s="1"/>
      <c r="AHS217" s="1"/>
      <c r="AHT217" s="1"/>
      <c r="AHU217" s="1"/>
      <c r="AHV217" s="1"/>
      <c r="AHW217" s="1"/>
      <c r="AHX217" s="1"/>
      <c r="AHY217" s="1"/>
      <c r="AHZ217" s="1"/>
      <c r="AIA217" s="1"/>
      <c r="AIB217" s="1"/>
      <c r="AIC217" s="1"/>
      <c r="AID217" s="1"/>
      <c r="AIE217" s="1"/>
      <c r="AIF217" s="1"/>
      <c r="AIG217" s="1"/>
      <c r="AIH217" s="1"/>
      <c r="AII217" s="1"/>
      <c r="AIJ217" s="1"/>
      <c r="AIK217" s="1"/>
      <c r="AIL217" s="1"/>
      <c r="AIM217" s="1"/>
      <c r="AIN217" s="1"/>
      <c r="AIO217" s="1"/>
      <c r="AIP217" s="1"/>
      <c r="AIQ217" s="1"/>
      <c r="AIR217" s="1"/>
      <c r="AIS217" s="1"/>
      <c r="AIT217" s="1"/>
      <c r="AIU217" s="1"/>
      <c r="AIV217" s="1"/>
      <c r="AIW217" s="1"/>
      <c r="AIX217" s="1"/>
      <c r="AIY217" s="1"/>
      <c r="AIZ217" s="1"/>
      <c r="AJA217" s="1"/>
      <c r="AJB217" s="1"/>
      <c r="AJC217" s="1"/>
      <c r="AJD217" s="1"/>
      <c r="AJE217" s="1"/>
      <c r="AJF217" s="1"/>
      <c r="AJG217" s="1"/>
      <c r="AJH217" s="1"/>
      <c r="AJI217" s="1"/>
      <c r="AJJ217" s="1"/>
      <c r="AJK217" s="1"/>
      <c r="AJL217" s="1"/>
      <c r="AJM217" s="1"/>
      <c r="AJN217" s="1"/>
      <c r="AJO217" s="1"/>
      <c r="AJP217" s="1"/>
      <c r="AJQ217" s="1"/>
      <c r="AJR217" s="1"/>
      <c r="AJS217" s="1"/>
      <c r="AJT217" s="1"/>
      <c r="AJU217" s="1"/>
      <c r="AJV217" s="1"/>
      <c r="AJW217" s="1"/>
      <c r="AJX217" s="1"/>
      <c r="AJY217" s="1"/>
      <c r="AJZ217" s="1"/>
      <c r="AKA217" s="1"/>
      <c r="AKB217" s="1"/>
      <c r="AKC217" s="1"/>
      <c r="AKD217" s="1"/>
      <c r="AKE217" s="1"/>
      <c r="AKF217" s="1"/>
      <c r="AKG217" s="1"/>
      <c r="AKH217" s="1"/>
      <c r="AKI217" s="1"/>
      <c r="AKJ217" s="1"/>
      <c r="AKK217" s="1"/>
      <c r="AKL217" s="1"/>
      <c r="AKM217" s="1"/>
      <c r="AKN217" s="1"/>
      <c r="AKO217" s="1"/>
      <c r="AKP217" s="1"/>
      <c r="AKQ217" s="1"/>
      <c r="AKR217" s="1"/>
      <c r="AKS217" s="1"/>
      <c r="AKT217" s="1"/>
      <c r="AKU217" s="1"/>
      <c r="AKV217" s="1"/>
      <c r="AKW217" s="1"/>
      <c r="AKX217" s="1"/>
      <c r="AKY217" s="1"/>
      <c r="AKZ217" s="1"/>
      <c r="ALA217" s="1"/>
      <c r="ALB217" s="1"/>
      <c r="ALC217" s="1"/>
      <c r="ALD217" s="1"/>
      <c r="ALE217" s="1"/>
      <c r="ALF217" s="1"/>
      <c r="ALG217" s="1"/>
      <c r="ALH217" s="1"/>
      <c r="ALI217" s="1"/>
      <c r="ALJ217" s="1"/>
      <c r="ALK217" s="1"/>
      <c r="ALL217" s="1"/>
      <c r="ALM217" s="1"/>
      <c r="ALN217" s="1"/>
      <c r="ALO217" s="1"/>
      <c r="ALP217" s="1"/>
      <c r="ALQ217" s="1"/>
      <c r="ALR217" s="1"/>
      <c r="ALS217" s="1"/>
      <c r="ALT217" s="1"/>
      <c r="ALU217" s="1"/>
      <c r="ALV217" s="1"/>
      <c r="ALW217" s="1"/>
      <c r="ALX217" s="1"/>
      <c r="ALY217" s="1"/>
      <c r="ALZ217" s="1"/>
      <c r="AMA217" s="1"/>
      <c r="AMB217" s="1"/>
      <c r="AMC217" s="1"/>
      <c r="AMD217" s="1"/>
      <c r="AME217" s="1"/>
      <c r="AMF217" s="1"/>
      <c r="AMG217" s="1"/>
      <c r="AMH217" s="1"/>
      <c r="AMI217" s="1"/>
      <c r="AMJ217" s="1"/>
      <c r="AMK217" s="1"/>
      <c r="AML217" s="1"/>
      <c r="AMM217" s="1"/>
      <c r="AMN217" s="1"/>
      <c r="AMO217" s="1"/>
      <c r="AMP217" s="1"/>
      <c r="AMQ217" s="1"/>
      <c r="AMR217" s="1"/>
      <c r="AMS217" s="1"/>
      <c r="AMT217" s="1"/>
      <c r="AMU217" s="1"/>
      <c r="AMV217" s="1"/>
      <c r="AMW217" s="1"/>
      <c r="AMX217" s="1"/>
      <c r="AMY217" s="1"/>
      <c r="AMZ217" s="1"/>
      <c r="ANA217" s="1"/>
      <c r="ANB217" s="1"/>
      <c r="ANC217" s="1"/>
      <c r="AND217" s="1"/>
      <c r="ANE217" s="1"/>
      <c r="ANF217" s="1"/>
      <c r="ANG217" s="1"/>
      <c r="ANH217" s="1"/>
      <c r="ANI217" s="1"/>
      <c r="ANJ217" s="1"/>
      <c r="ANK217" s="1"/>
      <c r="ANL217" s="1"/>
      <c r="ANM217" s="1"/>
      <c r="ANN217" s="1"/>
      <c r="ANO217" s="1"/>
      <c r="ANP217" s="1"/>
      <c r="ANQ217" s="1"/>
      <c r="ANR217" s="1"/>
      <c r="ANS217" s="1"/>
      <c r="ANT217" s="1"/>
      <c r="ANU217" s="1"/>
      <c r="ANV217" s="1"/>
      <c r="ANW217" s="1"/>
      <c r="ANX217" s="1"/>
      <c r="ANY217" s="1"/>
      <c r="ANZ217" s="1"/>
      <c r="AOA217" s="1"/>
      <c r="AOB217" s="1"/>
      <c r="AOC217" s="1"/>
      <c r="AOD217" s="1"/>
      <c r="AOE217" s="1"/>
      <c r="AOF217" s="1"/>
      <c r="AOG217" s="1"/>
      <c r="AOH217" s="1"/>
      <c r="AOI217" s="1"/>
      <c r="AOJ217" s="1"/>
      <c r="AOK217" s="1"/>
      <c r="AOL217" s="1"/>
      <c r="AOM217" s="1"/>
      <c r="AON217" s="1"/>
      <c r="AOO217" s="1"/>
      <c r="AOP217" s="1"/>
      <c r="AOQ217" s="1"/>
      <c r="AOR217" s="1"/>
      <c r="AOS217" s="1"/>
      <c r="AOT217" s="1"/>
      <c r="AOU217" s="1"/>
      <c r="AOV217" s="1"/>
      <c r="AOW217" s="1"/>
      <c r="AOX217" s="1"/>
      <c r="AOY217" s="1"/>
      <c r="AOZ217" s="1"/>
      <c r="APA217" s="1"/>
      <c r="APB217" s="1"/>
      <c r="APC217" s="1"/>
      <c r="APD217" s="1"/>
      <c r="APE217" s="1"/>
      <c r="APF217" s="1"/>
      <c r="APG217" s="1"/>
      <c r="APH217" s="1"/>
      <c r="API217" s="1"/>
      <c r="APJ217" s="1"/>
      <c r="APK217" s="1"/>
      <c r="APL217" s="1"/>
      <c r="APM217" s="1"/>
      <c r="APN217" s="1"/>
      <c r="APO217" s="1"/>
      <c r="APP217" s="1"/>
      <c r="APQ217" s="1"/>
      <c r="APR217" s="1"/>
      <c r="APS217" s="1"/>
      <c r="APT217" s="1"/>
      <c r="APU217" s="1"/>
      <c r="APV217" s="1"/>
      <c r="APW217" s="1"/>
      <c r="APX217" s="1"/>
      <c r="APY217" s="1"/>
      <c r="APZ217" s="1"/>
      <c r="AQA217" s="1"/>
      <c r="AQB217" s="1"/>
      <c r="AQC217" s="1"/>
      <c r="AQD217" s="1"/>
      <c r="AQE217" s="1"/>
      <c r="AQF217" s="1"/>
      <c r="AQG217" s="1"/>
      <c r="AQH217" s="1"/>
      <c r="AQI217" s="1"/>
      <c r="AQJ217" s="1"/>
      <c r="AQK217" s="1"/>
      <c r="AQL217" s="1"/>
      <c r="AQM217" s="1"/>
      <c r="AQN217" s="1"/>
      <c r="AQO217" s="1"/>
      <c r="AQP217" s="1"/>
      <c r="AQQ217" s="1"/>
      <c r="AQR217" s="1"/>
      <c r="AQS217" s="1"/>
      <c r="AQT217" s="1"/>
      <c r="AQU217" s="1"/>
      <c r="AQV217" s="1"/>
      <c r="AQW217" s="1"/>
      <c r="AQX217" s="1"/>
      <c r="AQY217" s="1"/>
      <c r="AQZ217" s="1"/>
      <c r="ARA217" s="1"/>
      <c r="ARB217" s="1"/>
      <c r="ARC217" s="1"/>
      <c r="ARD217" s="1"/>
      <c r="ARE217" s="1"/>
      <c r="ARF217" s="1"/>
      <c r="ARG217" s="1"/>
      <c r="ARH217" s="1"/>
      <c r="ARI217" s="1"/>
      <c r="ARJ217" s="1"/>
      <c r="ARK217" s="1"/>
      <c r="ARL217" s="1"/>
      <c r="ARM217" s="1"/>
      <c r="ARN217" s="1"/>
      <c r="ARO217" s="1"/>
      <c r="ARP217" s="1"/>
      <c r="ARQ217" s="1"/>
      <c r="ARR217" s="1"/>
      <c r="ARS217" s="1"/>
      <c r="ART217" s="1"/>
      <c r="ARU217" s="1"/>
      <c r="ARV217" s="1"/>
      <c r="ARW217" s="1"/>
      <c r="ARX217" s="1"/>
      <c r="ARY217" s="1"/>
      <c r="ARZ217" s="1"/>
      <c r="ASA217" s="1"/>
      <c r="ASB217" s="1"/>
      <c r="ASC217" s="1"/>
      <c r="ASD217" s="1"/>
      <c r="ASE217" s="1"/>
      <c r="ASF217" s="1"/>
      <c r="ASG217" s="1"/>
      <c r="ASH217" s="1"/>
      <c r="ASI217" s="1"/>
      <c r="ASJ217" s="1"/>
      <c r="ASK217" s="1"/>
      <c r="ASL217" s="1"/>
      <c r="ASM217" s="1"/>
      <c r="ASN217" s="1"/>
      <c r="ASO217" s="1"/>
      <c r="ASP217" s="1"/>
      <c r="ASQ217" s="1"/>
      <c r="ASR217" s="1"/>
      <c r="ASS217" s="1"/>
      <c r="AST217" s="1"/>
      <c r="ASU217" s="1"/>
      <c r="ASV217" s="1"/>
      <c r="ASW217" s="1"/>
      <c r="ASX217" s="1"/>
      <c r="ASY217" s="1"/>
      <c r="ASZ217" s="1"/>
      <c r="ATA217" s="1"/>
      <c r="ATB217" s="1"/>
      <c r="ATC217" s="1"/>
      <c r="ATD217" s="1"/>
      <c r="ATE217" s="1"/>
      <c r="ATF217" s="1"/>
      <c r="ATG217" s="1"/>
      <c r="ATH217" s="1"/>
      <c r="ATI217" s="1"/>
      <c r="ATJ217" s="1"/>
      <c r="ATK217" s="1"/>
      <c r="ATL217" s="1"/>
      <c r="ATM217" s="1"/>
      <c r="ATN217" s="1"/>
      <c r="ATO217" s="1"/>
      <c r="ATP217" s="1"/>
      <c r="ATQ217" s="1"/>
      <c r="ATR217" s="1"/>
      <c r="ATS217" s="1"/>
      <c r="ATT217" s="1"/>
      <c r="ATU217" s="1"/>
      <c r="ATV217" s="1"/>
      <c r="ATW217" s="1"/>
      <c r="ATX217" s="1"/>
      <c r="ATY217" s="1"/>
      <c r="ATZ217" s="1"/>
      <c r="AUA217" s="1"/>
      <c r="AUB217" s="1"/>
      <c r="AUC217" s="1"/>
      <c r="AUD217" s="1"/>
      <c r="AUE217" s="1"/>
      <c r="AUF217" s="1"/>
      <c r="AUG217" s="1"/>
      <c r="AUH217" s="1"/>
      <c r="AUI217" s="1"/>
      <c r="AUJ217" s="1"/>
      <c r="AUK217" s="1"/>
      <c r="AUL217" s="1"/>
      <c r="AUM217" s="1"/>
      <c r="AUN217" s="1"/>
      <c r="AUO217" s="1"/>
      <c r="AUP217" s="1"/>
      <c r="AUQ217" s="1"/>
      <c r="AUR217" s="1"/>
      <c r="AUS217" s="1"/>
      <c r="AUT217" s="1"/>
      <c r="AUU217" s="1"/>
      <c r="AUV217" s="1"/>
      <c r="AUW217" s="1"/>
      <c r="AUX217" s="1"/>
      <c r="AUY217" s="1"/>
      <c r="AUZ217" s="1"/>
      <c r="AVA217" s="1"/>
      <c r="AVB217" s="1"/>
      <c r="AVC217" s="1"/>
      <c r="AVD217" s="1"/>
      <c r="AVE217" s="1"/>
      <c r="AVF217" s="1"/>
      <c r="AVG217" s="1"/>
      <c r="AVH217" s="1"/>
      <c r="AVI217" s="1"/>
      <c r="AVJ217" s="1"/>
      <c r="AVK217" s="1"/>
      <c r="AVL217" s="1"/>
      <c r="AVM217" s="1"/>
      <c r="AVN217" s="1"/>
      <c r="AVO217" s="1"/>
      <c r="AVP217" s="1"/>
      <c r="AVQ217" s="1"/>
      <c r="AVR217" s="1"/>
      <c r="AVS217" s="1"/>
      <c r="AVT217" s="1"/>
      <c r="AVU217" s="1"/>
      <c r="AVV217" s="1"/>
      <c r="AVW217" s="1"/>
      <c r="AVX217" s="1"/>
      <c r="AVY217" s="1"/>
      <c r="AVZ217" s="1"/>
      <c r="AWA217" s="1"/>
      <c r="AWB217" s="1"/>
      <c r="AWC217" s="1"/>
      <c r="AWD217" s="1"/>
      <c r="AWE217" s="1"/>
      <c r="AWF217" s="1"/>
      <c r="AWG217" s="1"/>
      <c r="AWH217" s="1"/>
      <c r="AWI217" s="1"/>
      <c r="AWJ217" s="1"/>
      <c r="AWK217" s="1"/>
      <c r="AWL217" s="1"/>
      <c r="AWM217" s="1"/>
      <c r="AWN217" s="1"/>
      <c r="AWO217" s="1"/>
      <c r="AWP217" s="1"/>
      <c r="AWQ217" s="1"/>
      <c r="AWR217" s="1"/>
      <c r="AWS217" s="1"/>
      <c r="AWT217" s="1"/>
      <c r="AWU217" s="1"/>
      <c r="AWV217" s="1"/>
      <c r="AWW217" s="1"/>
      <c r="AWX217" s="1"/>
      <c r="AWY217" s="1"/>
      <c r="AWZ217" s="1"/>
      <c r="AXA217" s="1"/>
      <c r="AXB217" s="1"/>
      <c r="AXC217" s="1"/>
      <c r="AXD217" s="1"/>
      <c r="AXE217" s="1"/>
      <c r="AXF217" s="1"/>
      <c r="AXG217" s="1"/>
      <c r="AXH217" s="1"/>
      <c r="AXI217" s="1"/>
      <c r="AXJ217" s="1"/>
      <c r="AXK217" s="1"/>
      <c r="AXL217" s="1"/>
      <c r="AXM217" s="1"/>
      <c r="AXN217" s="1"/>
      <c r="AXO217" s="1"/>
      <c r="AXP217" s="1"/>
      <c r="AXQ217" s="1"/>
      <c r="AXR217" s="1"/>
      <c r="AXS217" s="1"/>
      <c r="AXT217" s="1"/>
      <c r="AXU217" s="1"/>
      <c r="AXV217" s="1"/>
      <c r="AXW217" s="1"/>
      <c r="AXX217" s="1"/>
      <c r="AXY217" s="1"/>
      <c r="AXZ217" s="1"/>
      <c r="AYA217" s="1"/>
      <c r="AYB217" s="1"/>
      <c r="AYC217" s="1"/>
      <c r="AYD217" s="1"/>
      <c r="AYE217" s="1"/>
      <c r="AYF217" s="1"/>
      <c r="AYG217" s="1"/>
      <c r="AYH217" s="1"/>
      <c r="AYI217" s="1"/>
      <c r="AYJ217" s="1"/>
      <c r="AYK217" s="1"/>
      <c r="AYL217" s="1"/>
      <c r="AYM217" s="1"/>
      <c r="AYN217" s="1"/>
      <c r="AYO217" s="1"/>
      <c r="AYP217" s="1"/>
      <c r="AYQ217" s="1"/>
      <c r="AYR217" s="1"/>
      <c r="AYS217" s="1"/>
      <c r="AYT217" s="1"/>
      <c r="AYU217" s="1"/>
      <c r="AYV217" s="1"/>
      <c r="AYW217" s="1"/>
      <c r="AYX217" s="1"/>
      <c r="AYY217" s="1"/>
      <c r="AYZ217" s="1"/>
      <c r="AZA217" s="1"/>
      <c r="AZB217" s="1"/>
      <c r="AZC217" s="1"/>
      <c r="AZD217" s="1"/>
      <c r="AZE217" s="1"/>
      <c r="AZF217" s="1"/>
      <c r="AZG217" s="1"/>
      <c r="AZH217" s="1"/>
      <c r="AZI217" s="1"/>
      <c r="AZJ217" s="1"/>
      <c r="AZK217" s="1"/>
      <c r="AZL217" s="1"/>
      <c r="AZM217" s="1"/>
      <c r="AZN217" s="1"/>
      <c r="AZO217" s="1"/>
      <c r="AZP217" s="1"/>
      <c r="AZQ217" s="1"/>
      <c r="AZR217" s="1"/>
      <c r="AZS217" s="1"/>
      <c r="AZT217" s="1"/>
      <c r="AZU217" s="1"/>
      <c r="AZV217" s="1"/>
      <c r="AZW217" s="1"/>
      <c r="AZX217" s="1"/>
      <c r="AZY217" s="1"/>
      <c r="AZZ217" s="1"/>
      <c r="BAA217" s="1"/>
      <c r="BAB217" s="1"/>
      <c r="BAC217" s="1"/>
      <c r="BAD217" s="1"/>
      <c r="BAE217" s="1"/>
      <c r="BAF217" s="1"/>
      <c r="BAG217" s="1"/>
      <c r="BAH217" s="1"/>
      <c r="BAI217" s="1"/>
      <c r="BAJ217" s="1"/>
      <c r="BAK217" s="1"/>
      <c r="BAL217" s="1"/>
      <c r="BAM217" s="1"/>
      <c r="BAN217" s="1"/>
      <c r="BAO217" s="1"/>
      <c r="BAP217" s="1"/>
      <c r="BAQ217" s="1"/>
      <c r="BAR217" s="1"/>
      <c r="BAS217" s="1"/>
      <c r="BAT217" s="1"/>
      <c r="BAU217" s="1"/>
      <c r="BAV217" s="1"/>
      <c r="BAW217" s="1"/>
      <c r="BAX217" s="1"/>
      <c r="BAY217" s="1"/>
      <c r="BAZ217" s="1"/>
      <c r="BBA217" s="1"/>
      <c r="BBB217" s="1"/>
      <c r="BBC217" s="1"/>
      <c r="BBD217" s="1"/>
      <c r="BBE217" s="1"/>
      <c r="BBF217" s="1"/>
      <c r="BBG217" s="1"/>
      <c r="BBH217" s="1"/>
      <c r="BBI217" s="1"/>
      <c r="BBJ217" s="1"/>
      <c r="BBK217" s="1"/>
      <c r="BBL217" s="1"/>
      <c r="BBM217" s="1"/>
      <c r="BBN217" s="1"/>
      <c r="BBO217" s="1"/>
      <c r="BBP217" s="1"/>
      <c r="BBQ217" s="1"/>
      <c r="BBR217" s="1"/>
      <c r="BBS217" s="1"/>
      <c r="BBT217" s="1"/>
      <c r="BBU217" s="1"/>
      <c r="BBV217" s="1"/>
      <c r="BBW217" s="1"/>
      <c r="BBX217" s="1"/>
      <c r="BBY217" s="1"/>
      <c r="BBZ217" s="1"/>
      <c r="BCA217" s="1"/>
      <c r="BCB217" s="1"/>
      <c r="BCC217" s="1"/>
      <c r="BCD217" s="1"/>
      <c r="BCE217" s="1"/>
      <c r="BCF217" s="1"/>
      <c r="BCG217" s="1"/>
      <c r="BCH217" s="1"/>
      <c r="BCI217" s="1"/>
      <c r="BCJ217" s="1"/>
      <c r="BCK217" s="1"/>
      <c r="BCL217" s="1"/>
      <c r="BCM217" s="1"/>
      <c r="BCN217" s="1"/>
      <c r="BCO217" s="1"/>
      <c r="BCP217" s="1"/>
      <c r="BCQ217" s="1"/>
      <c r="BCR217" s="1"/>
      <c r="BCS217" s="1"/>
      <c r="BCT217" s="1"/>
      <c r="BCU217" s="1"/>
      <c r="BCV217" s="1"/>
      <c r="BCW217" s="1"/>
      <c r="BCX217" s="1"/>
      <c r="BCY217" s="1"/>
      <c r="BCZ217" s="1"/>
      <c r="BDA217" s="1"/>
      <c r="BDB217" s="1"/>
      <c r="BDC217" s="1"/>
      <c r="BDD217" s="1"/>
      <c r="BDE217" s="1"/>
      <c r="BDF217" s="1"/>
      <c r="BDG217" s="1"/>
      <c r="BDH217" s="1"/>
      <c r="BDI217" s="1"/>
      <c r="BDJ217" s="1"/>
      <c r="BDK217" s="1"/>
      <c r="BDL217" s="1"/>
      <c r="BDM217" s="1"/>
      <c r="BDN217" s="1"/>
      <c r="BDO217" s="1"/>
      <c r="BDP217" s="1"/>
      <c r="BDQ217" s="1"/>
      <c r="BDR217" s="1"/>
      <c r="BDS217" s="1"/>
      <c r="BDT217" s="1"/>
      <c r="BDU217" s="1"/>
      <c r="BDV217" s="1"/>
      <c r="BDW217" s="1"/>
      <c r="BDX217" s="1"/>
      <c r="BDY217" s="1"/>
      <c r="BDZ217" s="1"/>
      <c r="BEA217" s="1"/>
      <c r="BEB217" s="1"/>
      <c r="BEC217" s="1"/>
      <c r="BED217" s="1"/>
      <c r="BEE217" s="1"/>
      <c r="BEF217" s="1"/>
      <c r="BEG217" s="1"/>
      <c r="BEH217" s="1"/>
      <c r="BEI217" s="1"/>
      <c r="BEJ217" s="1"/>
      <c r="BEK217" s="1"/>
      <c r="BEL217" s="1"/>
      <c r="BEM217" s="1"/>
      <c r="BEN217" s="1"/>
      <c r="BEO217" s="1"/>
      <c r="BEP217" s="1"/>
      <c r="BEQ217" s="1"/>
      <c r="BER217" s="1"/>
      <c r="BES217" s="1"/>
      <c r="BET217" s="1"/>
      <c r="BEU217" s="1"/>
      <c r="BEV217" s="1"/>
      <c r="BEW217" s="1"/>
      <c r="BEX217" s="1"/>
      <c r="BEY217" s="1"/>
      <c r="BEZ217" s="1"/>
      <c r="BFA217" s="1"/>
      <c r="BFB217" s="1"/>
      <c r="BFC217" s="1"/>
      <c r="BFD217" s="1"/>
      <c r="BFE217" s="1"/>
      <c r="BFF217" s="1"/>
      <c r="BFG217" s="1"/>
      <c r="BFH217" s="1"/>
      <c r="BFI217" s="1"/>
      <c r="BFJ217" s="1"/>
      <c r="BFK217" s="1"/>
      <c r="BFL217" s="1"/>
      <c r="BFM217" s="1"/>
      <c r="BFN217" s="1"/>
      <c r="BFO217" s="1"/>
      <c r="BFP217" s="1"/>
      <c r="BFQ217" s="1"/>
      <c r="BFR217" s="1"/>
      <c r="BFS217" s="1"/>
      <c r="BFT217" s="1"/>
      <c r="BFU217" s="1"/>
      <c r="BFV217" s="1"/>
      <c r="BFW217" s="1"/>
      <c r="BFX217" s="1"/>
      <c r="BFY217" s="1"/>
      <c r="BFZ217" s="1"/>
      <c r="BGA217" s="1"/>
      <c r="BGB217" s="1"/>
      <c r="BGC217" s="1"/>
      <c r="BGD217" s="1"/>
      <c r="BGE217" s="1"/>
      <c r="BGF217" s="1"/>
      <c r="BGG217" s="1"/>
      <c r="BGH217" s="1"/>
      <c r="BGI217" s="1"/>
      <c r="BGJ217" s="1"/>
      <c r="BGK217" s="1"/>
      <c r="BGL217" s="1"/>
      <c r="BGM217" s="1"/>
      <c r="BGN217" s="1"/>
      <c r="BGO217" s="1"/>
      <c r="BGP217" s="1"/>
      <c r="BGQ217" s="1"/>
      <c r="BGR217" s="1"/>
      <c r="BGS217" s="1"/>
      <c r="BGT217" s="1"/>
      <c r="BGU217" s="1"/>
      <c r="BGV217" s="1"/>
      <c r="BGW217" s="1"/>
      <c r="BGX217" s="1"/>
      <c r="BGY217" s="1"/>
      <c r="BGZ217" s="1"/>
      <c r="BHA217" s="1"/>
      <c r="BHB217" s="1"/>
      <c r="BHC217" s="1"/>
      <c r="BHD217" s="1"/>
      <c r="BHE217" s="1"/>
      <c r="BHF217" s="1"/>
      <c r="BHG217" s="1"/>
      <c r="BHH217" s="1"/>
      <c r="BHI217" s="1"/>
      <c r="BHJ217" s="1"/>
      <c r="BHK217" s="1"/>
      <c r="BHL217" s="1"/>
      <c r="BHM217" s="1"/>
      <c r="BHN217" s="1"/>
      <c r="BHO217" s="1"/>
      <c r="BHP217" s="1"/>
      <c r="BHQ217" s="1"/>
      <c r="BHR217" s="1"/>
      <c r="BHS217" s="1"/>
      <c r="BHT217" s="1"/>
      <c r="BHU217" s="1"/>
      <c r="BHV217" s="1"/>
      <c r="BHW217" s="1"/>
      <c r="BHX217" s="1"/>
      <c r="BHY217" s="1"/>
      <c r="BHZ217" s="1"/>
      <c r="BIA217" s="1"/>
      <c r="BIB217" s="1"/>
      <c r="BIC217" s="1"/>
      <c r="BID217" s="1"/>
      <c r="BIE217" s="1"/>
      <c r="BIF217" s="1"/>
      <c r="BIG217" s="1"/>
      <c r="BIH217" s="1"/>
      <c r="BII217" s="1"/>
      <c r="BIJ217" s="1"/>
      <c r="BIK217" s="1"/>
      <c r="BIL217" s="1"/>
      <c r="BIM217" s="1"/>
      <c r="BIN217" s="1"/>
      <c r="BIO217" s="1"/>
      <c r="BIP217" s="1"/>
      <c r="BIQ217" s="1"/>
      <c r="BIR217" s="1"/>
      <c r="BIS217" s="1"/>
      <c r="BIT217" s="1"/>
      <c r="BIU217" s="1"/>
      <c r="BIV217" s="1"/>
      <c r="BIW217" s="1"/>
      <c r="BIX217" s="1"/>
      <c r="BIY217" s="1"/>
      <c r="BIZ217" s="1"/>
      <c r="BJA217" s="1"/>
      <c r="BJB217" s="1"/>
      <c r="BJC217" s="1"/>
      <c r="BJD217" s="1"/>
      <c r="BJE217" s="1"/>
      <c r="BJF217" s="1"/>
      <c r="BJG217" s="1"/>
      <c r="BJH217" s="1"/>
      <c r="BJI217" s="1"/>
      <c r="BJJ217" s="1"/>
      <c r="BJK217" s="1"/>
      <c r="BJL217" s="1"/>
      <c r="BJM217" s="1"/>
      <c r="BJN217" s="1"/>
      <c r="BJO217" s="1"/>
      <c r="BJP217" s="1"/>
      <c r="BJQ217" s="1"/>
      <c r="BJR217" s="1"/>
      <c r="BJS217" s="1"/>
      <c r="BJT217" s="1"/>
      <c r="BJU217" s="1"/>
      <c r="BJV217" s="1"/>
      <c r="BJW217" s="1"/>
      <c r="BJX217" s="1"/>
      <c r="BJY217" s="1"/>
      <c r="BJZ217" s="1"/>
      <c r="BKA217" s="1"/>
      <c r="BKB217" s="1"/>
      <c r="BKC217" s="1"/>
      <c r="BKD217" s="1"/>
      <c r="BKE217" s="1"/>
      <c r="BKF217" s="1"/>
      <c r="BKG217" s="1"/>
      <c r="BKH217" s="1"/>
      <c r="BKI217" s="1"/>
      <c r="BKJ217" s="1"/>
      <c r="BKK217" s="1"/>
      <c r="BKL217" s="1"/>
      <c r="BKM217" s="1"/>
      <c r="BKN217" s="1"/>
      <c r="BKO217" s="1"/>
      <c r="BKP217" s="1"/>
      <c r="BKQ217" s="1"/>
      <c r="BKR217" s="1"/>
      <c r="BKS217" s="1"/>
      <c r="BKT217" s="1"/>
      <c r="BKU217" s="1"/>
      <c r="BKV217" s="1"/>
      <c r="BKW217" s="1"/>
      <c r="BKX217" s="1"/>
      <c r="BKY217" s="1"/>
      <c r="BKZ217" s="1"/>
      <c r="BLA217" s="1"/>
      <c r="BLB217" s="1"/>
      <c r="BLC217" s="1"/>
      <c r="BLD217" s="1"/>
      <c r="BLE217" s="1"/>
      <c r="BLF217" s="1"/>
      <c r="BLG217" s="1"/>
      <c r="BLH217" s="1"/>
      <c r="BLI217" s="1"/>
      <c r="BLJ217" s="1"/>
      <c r="BLK217" s="1"/>
      <c r="BLL217" s="1"/>
      <c r="BLM217" s="1"/>
      <c r="BLN217" s="1"/>
      <c r="BLO217" s="1"/>
      <c r="BLP217" s="1"/>
      <c r="BLQ217" s="1"/>
      <c r="BLR217" s="1"/>
      <c r="BLS217" s="1"/>
      <c r="BLT217" s="1"/>
      <c r="BLU217" s="1"/>
      <c r="BLV217" s="1"/>
      <c r="BLW217" s="1"/>
      <c r="BLX217" s="1"/>
      <c r="BLY217" s="1"/>
      <c r="BLZ217" s="1"/>
      <c r="BMA217" s="1"/>
      <c r="BMB217" s="1"/>
      <c r="BMC217" s="1"/>
      <c r="BMD217" s="1"/>
      <c r="BME217" s="1"/>
      <c r="BMF217" s="1"/>
      <c r="BMG217" s="1"/>
      <c r="BMH217" s="1"/>
      <c r="BMI217" s="1"/>
      <c r="BMJ217" s="1"/>
      <c r="BMK217" s="1"/>
      <c r="BML217" s="1"/>
      <c r="BMM217" s="1"/>
      <c r="BMN217" s="1"/>
      <c r="BMO217" s="1"/>
      <c r="BMP217" s="1"/>
      <c r="BMQ217" s="1"/>
      <c r="BMR217" s="1"/>
      <c r="BMS217" s="1"/>
      <c r="BMT217" s="1"/>
      <c r="BMU217" s="1"/>
      <c r="BMV217" s="1"/>
      <c r="BMW217" s="1"/>
      <c r="BMX217" s="1"/>
      <c r="BMY217" s="1"/>
      <c r="BMZ217" s="1"/>
      <c r="BNA217" s="1"/>
      <c r="BNB217" s="1"/>
      <c r="BNC217" s="1"/>
      <c r="BND217" s="1"/>
      <c r="BNE217" s="1"/>
      <c r="BNF217" s="1"/>
      <c r="BNG217" s="1"/>
      <c r="BNH217" s="1"/>
      <c r="BNI217" s="1"/>
      <c r="BNJ217" s="1"/>
      <c r="BNK217" s="1"/>
      <c r="BNL217" s="1"/>
      <c r="BNM217" s="1"/>
      <c r="BNN217" s="1"/>
      <c r="BNO217" s="1"/>
      <c r="BNP217" s="1"/>
      <c r="BNQ217" s="1"/>
      <c r="BNR217" s="1"/>
      <c r="BNS217" s="1"/>
      <c r="BNT217" s="1"/>
      <c r="BNU217" s="1"/>
      <c r="BNV217" s="1"/>
      <c r="BNW217" s="1"/>
      <c r="BNX217" s="1"/>
      <c r="BNY217" s="1"/>
      <c r="BNZ217" s="1"/>
      <c r="BOA217" s="1"/>
      <c r="BOB217" s="1"/>
      <c r="BOC217" s="1"/>
      <c r="BOD217" s="1"/>
      <c r="BOE217" s="1"/>
      <c r="BOF217" s="1"/>
      <c r="BOG217" s="1"/>
      <c r="BOH217" s="1"/>
      <c r="BOI217" s="1"/>
      <c r="BOJ217" s="1"/>
      <c r="BOK217" s="1"/>
      <c r="BOL217" s="1"/>
      <c r="BOM217" s="1"/>
      <c r="BON217" s="1"/>
      <c r="BOO217" s="1"/>
      <c r="BOP217" s="1"/>
      <c r="BOQ217" s="1"/>
      <c r="BOR217" s="1"/>
      <c r="BOS217" s="1"/>
      <c r="BOT217" s="1"/>
      <c r="BOU217" s="1"/>
      <c r="BOV217" s="1"/>
      <c r="BOW217" s="1"/>
      <c r="BOX217" s="1"/>
      <c r="BOY217" s="1"/>
      <c r="BOZ217" s="1"/>
      <c r="BPA217" s="1"/>
      <c r="BPB217" s="1"/>
      <c r="BPC217" s="1"/>
      <c r="BPD217" s="1"/>
      <c r="BPE217" s="1"/>
      <c r="BPF217" s="1"/>
      <c r="BPG217" s="1"/>
      <c r="BPH217" s="1"/>
      <c r="BPI217" s="1"/>
      <c r="BPJ217" s="1"/>
      <c r="BPK217" s="1"/>
      <c r="BPL217" s="1"/>
      <c r="BPM217" s="1"/>
      <c r="BPN217" s="1"/>
      <c r="BPO217" s="1"/>
      <c r="BPP217" s="1"/>
      <c r="BPQ217" s="1"/>
      <c r="BPR217" s="1"/>
      <c r="BPS217" s="1"/>
      <c r="BPT217" s="1"/>
      <c r="BPU217" s="1"/>
      <c r="BPV217" s="1"/>
      <c r="BPW217" s="1"/>
      <c r="BPX217" s="1"/>
      <c r="BPY217" s="1"/>
      <c r="BPZ217" s="1"/>
      <c r="BQA217" s="1"/>
      <c r="BQB217" s="1"/>
      <c r="BQC217" s="1"/>
      <c r="BQD217" s="1"/>
      <c r="BQE217" s="1"/>
      <c r="BQF217" s="1"/>
      <c r="BQG217" s="1"/>
      <c r="BQH217" s="1"/>
      <c r="BQI217" s="1"/>
      <c r="BQJ217" s="1"/>
      <c r="BQK217" s="1"/>
      <c r="BQL217" s="1"/>
      <c r="BQM217" s="1"/>
      <c r="BQN217" s="1"/>
      <c r="BQO217" s="1"/>
      <c r="BQP217" s="1"/>
      <c r="BQQ217" s="1"/>
      <c r="BQR217" s="1"/>
      <c r="BQS217" s="1"/>
      <c r="BQT217" s="1"/>
      <c r="BQU217" s="1"/>
      <c r="BQV217" s="1"/>
      <c r="BQW217" s="1"/>
      <c r="BQX217" s="1"/>
      <c r="BQY217" s="1"/>
      <c r="BQZ217" s="1"/>
      <c r="BRA217" s="1"/>
      <c r="BRB217" s="1"/>
      <c r="BRC217" s="1"/>
      <c r="BRD217" s="1"/>
      <c r="BRE217" s="1"/>
      <c r="BRF217" s="1"/>
      <c r="BRG217" s="1"/>
      <c r="BRH217" s="1"/>
      <c r="BRI217" s="1"/>
      <c r="BRJ217" s="1"/>
      <c r="BRK217" s="1"/>
      <c r="BRL217" s="1"/>
      <c r="BRM217" s="1"/>
      <c r="BRN217" s="1"/>
      <c r="BRO217" s="1"/>
      <c r="BRP217" s="1"/>
      <c r="BRQ217" s="1"/>
      <c r="BRR217" s="1"/>
      <c r="BRS217" s="1"/>
      <c r="BRT217" s="1"/>
      <c r="BRU217" s="1"/>
      <c r="BRV217" s="1"/>
      <c r="BRW217" s="1"/>
      <c r="BRX217" s="1"/>
      <c r="BRY217" s="1"/>
      <c r="BRZ217" s="1"/>
      <c r="BSA217" s="1"/>
      <c r="BSB217" s="1"/>
      <c r="BSC217" s="1"/>
      <c r="BSD217" s="1"/>
      <c r="BSE217" s="1"/>
      <c r="BSF217" s="1"/>
      <c r="BSG217" s="1"/>
      <c r="BSH217" s="1"/>
      <c r="BSI217" s="1"/>
      <c r="BSJ217" s="1"/>
      <c r="BSK217" s="1"/>
      <c r="BSL217" s="1"/>
      <c r="BSM217" s="1"/>
      <c r="BSN217" s="1"/>
      <c r="BSO217" s="1"/>
      <c r="BSP217" s="1"/>
      <c r="BSQ217" s="1"/>
      <c r="BSR217" s="1"/>
      <c r="BSS217" s="1"/>
      <c r="BST217" s="1"/>
      <c r="BSU217" s="1"/>
      <c r="BSV217" s="1"/>
      <c r="BSW217" s="1"/>
      <c r="BSX217" s="1"/>
      <c r="BSY217" s="1"/>
      <c r="BSZ217" s="1"/>
      <c r="BTA217" s="1"/>
      <c r="BTB217" s="1"/>
      <c r="BTC217" s="1"/>
      <c r="BTD217" s="1"/>
      <c r="BTE217" s="1"/>
      <c r="BTF217" s="1"/>
      <c r="BTG217" s="1"/>
      <c r="BTH217" s="1"/>
      <c r="BTI217" s="1"/>
      <c r="BTJ217" s="1"/>
      <c r="BTK217" s="1"/>
      <c r="BTL217" s="1"/>
      <c r="BTM217" s="1"/>
      <c r="BTN217" s="1"/>
      <c r="BTO217" s="1"/>
      <c r="BTP217" s="1"/>
      <c r="BTQ217" s="1"/>
      <c r="BTR217" s="1"/>
      <c r="BTS217" s="1"/>
      <c r="BTT217" s="1"/>
      <c r="BTU217" s="1"/>
      <c r="BTV217" s="1"/>
      <c r="BTW217" s="1"/>
      <c r="BTX217" s="1"/>
      <c r="BTY217" s="1"/>
      <c r="BTZ217" s="1"/>
      <c r="BUA217" s="1"/>
      <c r="BUB217" s="1"/>
      <c r="BUC217" s="1"/>
      <c r="BUD217" s="1"/>
      <c r="BUE217" s="1"/>
      <c r="BUF217" s="1"/>
      <c r="BUG217" s="1"/>
      <c r="BUH217" s="1"/>
      <c r="BUI217" s="1"/>
      <c r="BUJ217" s="1"/>
      <c r="BUK217" s="1"/>
      <c r="BUL217" s="1"/>
      <c r="BUM217" s="1"/>
      <c r="BUN217" s="1"/>
      <c r="BUO217" s="1"/>
      <c r="BUP217" s="1"/>
      <c r="BUQ217" s="1"/>
      <c r="BUR217" s="1"/>
      <c r="BUS217" s="1"/>
      <c r="BUT217" s="1"/>
      <c r="BUU217" s="1"/>
      <c r="BUV217" s="1"/>
      <c r="BUW217" s="1"/>
      <c r="BUX217" s="1"/>
      <c r="BUY217" s="1"/>
      <c r="BUZ217" s="1"/>
      <c r="BVA217" s="1"/>
      <c r="BVB217" s="1"/>
      <c r="BVC217" s="1"/>
      <c r="BVD217" s="1"/>
      <c r="BVE217" s="1"/>
      <c r="BVF217" s="1"/>
      <c r="BVG217" s="1"/>
      <c r="BVH217" s="1"/>
      <c r="BVI217" s="1"/>
      <c r="BVJ217" s="1"/>
      <c r="BVK217" s="1"/>
      <c r="BVL217" s="1"/>
      <c r="BVM217" s="1"/>
      <c r="BVN217" s="1"/>
      <c r="BVO217" s="1"/>
      <c r="BVP217" s="1"/>
      <c r="BVQ217" s="1"/>
      <c r="BVR217" s="1"/>
      <c r="BVS217" s="1"/>
      <c r="BVT217" s="1"/>
      <c r="BVU217" s="1"/>
      <c r="BVV217" s="1"/>
      <c r="BVW217" s="1"/>
      <c r="BVX217" s="1"/>
      <c r="BVY217" s="1"/>
      <c r="BVZ217" s="1"/>
      <c r="BWA217" s="1"/>
      <c r="BWB217" s="1"/>
      <c r="BWC217" s="1"/>
      <c r="BWD217" s="1"/>
      <c r="BWE217" s="1"/>
      <c r="BWF217" s="1"/>
      <c r="BWG217" s="1"/>
      <c r="BWH217" s="1"/>
      <c r="BWI217" s="1"/>
      <c r="BWJ217" s="1"/>
      <c r="BWK217" s="1"/>
      <c r="BWL217" s="1"/>
      <c r="BWM217" s="1"/>
      <c r="BWN217" s="1"/>
      <c r="BWO217" s="1"/>
      <c r="BWP217" s="1"/>
      <c r="BWQ217" s="1"/>
      <c r="BWR217" s="1"/>
      <c r="BWS217" s="1"/>
      <c r="BWT217" s="1"/>
      <c r="BWU217" s="1"/>
      <c r="BWV217" s="1"/>
      <c r="BWW217" s="1"/>
      <c r="BWX217" s="1"/>
      <c r="BWY217" s="1"/>
      <c r="BWZ217" s="1"/>
      <c r="BXA217" s="1"/>
      <c r="BXB217" s="1"/>
      <c r="BXC217" s="1"/>
      <c r="BXD217" s="1"/>
      <c r="BXE217" s="1"/>
      <c r="BXF217" s="1"/>
      <c r="BXG217" s="1"/>
      <c r="BXH217" s="1"/>
      <c r="BXI217" s="1"/>
      <c r="BXJ217" s="1"/>
      <c r="BXK217" s="1"/>
      <c r="BXL217" s="1"/>
      <c r="BXM217" s="1"/>
      <c r="BXN217" s="1"/>
      <c r="BXO217" s="1"/>
      <c r="BXP217" s="1"/>
      <c r="BXQ217" s="1"/>
      <c r="BXR217" s="1"/>
      <c r="BXS217" s="1"/>
      <c r="BXT217" s="1"/>
      <c r="BXU217" s="1"/>
      <c r="BXV217" s="1"/>
      <c r="BXW217" s="1"/>
      <c r="BXX217" s="1"/>
      <c r="BXY217" s="1"/>
      <c r="BXZ217" s="1"/>
      <c r="BYA217" s="1"/>
      <c r="BYB217" s="1"/>
      <c r="BYC217" s="1"/>
      <c r="BYD217" s="1"/>
      <c r="BYE217" s="1"/>
      <c r="BYF217" s="1"/>
      <c r="BYG217" s="1"/>
      <c r="BYH217" s="1"/>
      <c r="BYI217" s="1"/>
      <c r="BYJ217" s="1"/>
      <c r="BYK217" s="1"/>
      <c r="BYL217" s="1"/>
      <c r="BYM217" s="1"/>
      <c r="BYN217" s="1"/>
      <c r="BYO217" s="1"/>
      <c r="BYP217" s="1"/>
      <c r="BYQ217" s="1"/>
      <c r="BYR217" s="1"/>
      <c r="BYS217" s="1"/>
      <c r="BYT217" s="1"/>
      <c r="BYU217" s="1"/>
      <c r="BYV217" s="1"/>
      <c r="BYW217" s="1"/>
      <c r="BYX217" s="1"/>
      <c r="BYY217" s="1"/>
      <c r="BYZ217" s="1"/>
      <c r="BZA217" s="1"/>
      <c r="BZB217" s="1"/>
      <c r="BZC217" s="1"/>
      <c r="BZD217" s="1"/>
      <c r="BZE217" s="1"/>
      <c r="BZF217" s="1"/>
      <c r="BZG217" s="1"/>
      <c r="BZH217" s="1"/>
      <c r="BZI217" s="1"/>
      <c r="BZJ217" s="1"/>
      <c r="BZK217" s="1"/>
      <c r="BZL217" s="1"/>
      <c r="BZM217" s="1"/>
      <c r="BZN217" s="1"/>
      <c r="BZO217" s="1"/>
      <c r="BZP217" s="1"/>
      <c r="BZQ217" s="1"/>
      <c r="BZR217" s="1"/>
      <c r="BZS217" s="1"/>
      <c r="BZT217" s="1"/>
      <c r="BZU217" s="1"/>
      <c r="BZV217" s="1"/>
      <c r="BZW217" s="1"/>
      <c r="BZX217" s="1"/>
      <c r="BZY217" s="1"/>
      <c r="BZZ217" s="1"/>
      <c r="CAA217" s="1"/>
      <c r="CAB217" s="1"/>
      <c r="CAC217" s="1"/>
      <c r="CAD217" s="1"/>
      <c r="CAE217" s="1"/>
      <c r="CAF217" s="1"/>
      <c r="CAG217" s="1"/>
      <c r="CAH217" s="1"/>
      <c r="CAI217" s="1"/>
      <c r="CAJ217" s="1"/>
      <c r="CAK217" s="1"/>
      <c r="CAL217" s="1"/>
      <c r="CAM217" s="1"/>
      <c r="CAN217" s="1"/>
      <c r="CAO217" s="1"/>
      <c r="CAP217" s="1"/>
      <c r="CAQ217" s="1"/>
      <c r="CAR217" s="1"/>
      <c r="CAS217" s="1"/>
      <c r="CAT217" s="1"/>
      <c r="CAU217" s="1"/>
      <c r="CAV217" s="1"/>
      <c r="CAW217" s="1"/>
      <c r="CAX217" s="1"/>
      <c r="CAY217" s="1"/>
      <c r="CAZ217" s="1"/>
      <c r="CBA217" s="1"/>
      <c r="CBB217" s="1"/>
      <c r="CBC217" s="1"/>
      <c r="CBD217" s="1"/>
      <c r="CBE217" s="1"/>
      <c r="CBF217" s="1"/>
      <c r="CBG217" s="1"/>
      <c r="CBH217" s="1"/>
      <c r="CBI217" s="1"/>
      <c r="CBJ217" s="1"/>
      <c r="CBK217" s="1"/>
      <c r="CBL217" s="1"/>
      <c r="CBM217" s="1"/>
      <c r="CBN217" s="1"/>
      <c r="CBO217" s="1"/>
      <c r="CBP217" s="1"/>
      <c r="CBQ217" s="1"/>
      <c r="CBR217" s="1"/>
      <c r="CBS217" s="1"/>
      <c r="CBT217" s="1"/>
      <c r="CBU217" s="1"/>
      <c r="CBV217" s="1"/>
      <c r="CBW217" s="1"/>
      <c r="CBX217" s="1"/>
      <c r="CBY217" s="1"/>
      <c r="CBZ217" s="1"/>
      <c r="CCA217" s="1"/>
      <c r="CCB217" s="1"/>
      <c r="CCC217" s="1"/>
      <c r="CCD217" s="1"/>
      <c r="CCE217" s="1"/>
      <c r="CCF217" s="1"/>
      <c r="CCG217" s="1"/>
      <c r="CCH217" s="1"/>
      <c r="CCI217" s="1"/>
      <c r="CCJ217" s="1"/>
      <c r="CCK217" s="1"/>
      <c r="CCL217" s="1"/>
      <c r="CCM217" s="1"/>
      <c r="CCN217" s="1"/>
      <c r="CCO217" s="1"/>
      <c r="CCP217" s="1"/>
      <c r="CCQ217" s="1"/>
      <c r="CCR217" s="1"/>
      <c r="CCS217" s="1"/>
      <c r="CCT217" s="1"/>
      <c r="CCU217" s="1"/>
      <c r="CCV217" s="1"/>
      <c r="CCW217" s="1"/>
      <c r="CCX217" s="1"/>
      <c r="CCY217" s="1"/>
      <c r="CCZ217" s="1"/>
      <c r="CDA217" s="1"/>
      <c r="CDB217" s="1"/>
      <c r="CDC217" s="1"/>
      <c r="CDD217" s="1"/>
      <c r="CDE217" s="1"/>
      <c r="CDF217" s="1"/>
      <c r="CDG217" s="1"/>
      <c r="CDH217" s="1"/>
      <c r="CDI217" s="1"/>
      <c r="CDJ217" s="1"/>
      <c r="CDK217" s="1"/>
      <c r="CDL217" s="1"/>
      <c r="CDM217" s="1"/>
      <c r="CDN217" s="1"/>
      <c r="CDO217" s="1"/>
      <c r="CDP217" s="1"/>
      <c r="CDQ217" s="1"/>
      <c r="CDR217" s="1"/>
      <c r="CDS217" s="1"/>
      <c r="CDT217" s="1"/>
      <c r="CDU217" s="1"/>
      <c r="CDV217" s="1"/>
      <c r="CDW217" s="1"/>
      <c r="CDX217" s="1"/>
      <c r="CDY217" s="1"/>
      <c r="CDZ217" s="1"/>
      <c r="CEA217" s="1"/>
      <c r="CEB217" s="1"/>
      <c r="CEC217" s="1"/>
      <c r="CED217" s="1"/>
      <c r="CEE217" s="1"/>
      <c r="CEF217" s="1"/>
      <c r="CEG217" s="1"/>
      <c r="CEH217" s="1"/>
      <c r="CEI217" s="1"/>
      <c r="CEJ217" s="1"/>
      <c r="CEK217" s="1"/>
      <c r="CEL217" s="1"/>
      <c r="CEM217" s="1"/>
      <c r="CEN217" s="1"/>
      <c r="CEO217" s="1"/>
      <c r="CEP217" s="1"/>
      <c r="CEQ217" s="1"/>
      <c r="CER217" s="1"/>
      <c r="CES217" s="1"/>
      <c r="CET217" s="1"/>
      <c r="CEU217" s="1"/>
      <c r="CEV217" s="1"/>
      <c r="CEW217" s="1"/>
      <c r="CEX217" s="1"/>
      <c r="CEY217" s="1"/>
      <c r="CEZ217" s="1"/>
      <c r="CFA217" s="1"/>
      <c r="CFB217" s="1"/>
      <c r="CFC217" s="1"/>
      <c r="CFD217" s="1"/>
      <c r="CFE217" s="1"/>
      <c r="CFF217" s="1"/>
      <c r="CFG217" s="1"/>
      <c r="CFH217" s="1"/>
      <c r="CFI217" s="1"/>
      <c r="CFJ217" s="1"/>
      <c r="CFK217" s="1"/>
      <c r="CFL217" s="1"/>
      <c r="CFM217" s="1"/>
      <c r="CFN217" s="1"/>
      <c r="CFO217" s="1"/>
      <c r="CFP217" s="1"/>
      <c r="CFQ217" s="1"/>
      <c r="CFR217" s="1"/>
      <c r="CFS217" s="1"/>
      <c r="CFT217" s="1"/>
      <c r="CFU217" s="1"/>
      <c r="CFV217" s="1"/>
      <c r="CFW217" s="1"/>
      <c r="CFX217" s="1"/>
      <c r="CFY217" s="1"/>
      <c r="CFZ217" s="1"/>
      <c r="CGA217" s="1"/>
      <c r="CGB217" s="1"/>
      <c r="CGC217" s="1"/>
      <c r="CGD217" s="1"/>
      <c r="CGE217" s="1"/>
      <c r="CGF217" s="1"/>
      <c r="CGG217" s="1"/>
      <c r="CGH217" s="1"/>
      <c r="CGI217" s="1"/>
      <c r="CGJ217" s="1"/>
      <c r="CGK217" s="1"/>
      <c r="CGL217" s="1"/>
      <c r="CGM217" s="1"/>
      <c r="CGN217" s="1"/>
      <c r="CGO217" s="1"/>
      <c r="CGP217" s="1"/>
      <c r="CGQ217" s="1"/>
      <c r="CGR217" s="1"/>
      <c r="CGS217" s="1"/>
      <c r="CGT217" s="1"/>
      <c r="CGU217" s="1"/>
      <c r="CGV217" s="1"/>
      <c r="CGW217" s="1"/>
      <c r="CGX217" s="1"/>
      <c r="CGY217" s="1"/>
      <c r="CGZ217" s="1"/>
      <c r="CHA217" s="1"/>
      <c r="CHB217" s="1"/>
      <c r="CHC217" s="1"/>
      <c r="CHD217" s="1"/>
      <c r="CHE217" s="1"/>
      <c r="CHF217" s="1"/>
      <c r="CHG217" s="1"/>
      <c r="CHH217" s="1"/>
      <c r="CHI217" s="1"/>
      <c r="CHJ217" s="1"/>
      <c r="CHK217" s="1"/>
      <c r="CHL217" s="1"/>
      <c r="CHM217" s="1"/>
      <c r="CHN217" s="1"/>
      <c r="CHO217" s="1"/>
      <c r="CHP217" s="1"/>
      <c r="CHQ217" s="1"/>
      <c r="CHR217" s="1"/>
      <c r="CHS217" s="1"/>
      <c r="CHT217" s="1"/>
      <c r="CHU217" s="1"/>
      <c r="CHV217" s="1"/>
      <c r="CHW217" s="1"/>
      <c r="CHX217" s="1"/>
      <c r="CHY217" s="1"/>
      <c r="CHZ217" s="1"/>
      <c r="CIA217" s="1"/>
      <c r="CIB217" s="1"/>
      <c r="CIC217" s="1"/>
      <c r="CID217" s="1"/>
      <c r="CIE217" s="1"/>
      <c r="CIF217" s="1"/>
      <c r="CIG217" s="1"/>
      <c r="CIH217" s="1"/>
      <c r="CII217" s="1"/>
      <c r="CIJ217" s="1"/>
      <c r="CIK217" s="1"/>
      <c r="CIL217" s="1"/>
      <c r="CIM217" s="1"/>
      <c r="CIN217" s="1"/>
      <c r="CIO217" s="1"/>
      <c r="CIP217" s="1"/>
      <c r="CIQ217" s="1"/>
      <c r="CIR217" s="1"/>
      <c r="CIS217" s="1"/>
      <c r="CIT217" s="1"/>
      <c r="CIU217" s="1"/>
      <c r="CIV217" s="1"/>
      <c r="CIW217" s="1"/>
      <c r="CIX217" s="1"/>
      <c r="CIY217" s="1"/>
      <c r="CIZ217" s="1"/>
      <c r="CJA217" s="1"/>
      <c r="CJB217" s="1"/>
      <c r="CJC217" s="1"/>
      <c r="CJD217" s="1"/>
      <c r="CJE217" s="1"/>
      <c r="CJF217" s="1"/>
      <c r="CJG217" s="1"/>
      <c r="CJH217" s="1"/>
      <c r="CJI217" s="1"/>
      <c r="CJJ217" s="1"/>
      <c r="CJK217" s="1"/>
      <c r="CJL217" s="1"/>
      <c r="CJM217" s="1"/>
      <c r="CJN217" s="1"/>
      <c r="CJO217" s="1"/>
      <c r="CJP217" s="1"/>
      <c r="CJQ217" s="1"/>
      <c r="CJR217" s="1"/>
      <c r="CJS217" s="1"/>
      <c r="CJT217" s="1"/>
      <c r="CJU217" s="1"/>
      <c r="CJV217" s="1"/>
      <c r="CJW217" s="1"/>
      <c r="CJX217" s="1"/>
      <c r="CJY217" s="1"/>
      <c r="CJZ217" s="1"/>
      <c r="CKA217" s="1"/>
      <c r="CKB217" s="1"/>
      <c r="CKC217" s="1"/>
      <c r="CKD217" s="1"/>
      <c r="CKE217" s="1"/>
      <c r="CKF217" s="1"/>
      <c r="CKG217" s="1"/>
      <c r="CKH217" s="1"/>
      <c r="CKI217" s="1"/>
      <c r="CKJ217" s="1"/>
      <c r="CKK217" s="1"/>
      <c r="CKL217" s="1"/>
      <c r="CKM217" s="1"/>
      <c r="CKN217" s="1"/>
      <c r="CKO217" s="1"/>
      <c r="CKP217" s="1"/>
      <c r="CKQ217" s="1"/>
      <c r="CKR217" s="1"/>
      <c r="CKS217" s="1"/>
      <c r="CKT217" s="1"/>
      <c r="CKU217" s="1"/>
      <c r="CKV217" s="1"/>
      <c r="CKW217" s="1"/>
      <c r="CKX217" s="1"/>
      <c r="CKY217" s="1"/>
      <c r="CKZ217" s="1"/>
      <c r="CLA217" s="1"/>
      <c r="CLB217" s="1"/>
      <c r="CLC217" s="1"/>
      <c r="CLD217" s="1"/>
      <c r="CLE217" s="1"/>
      <c r="CLF217" s="1"/>
      <c r="CLG217" s="1"/>
      <c r="CLH217" s="1"/>
      <c r="CLI217" s="1"/>
      <c r="CLJ217" s="1"/>
      <c r="CLK217" s="1"/>
      <c r="CLL217" s="1"/>
      <c r="CLM217" s="1"/>
      <c r="CLN217" s="1"/>
      <c r="CLO217" s="1"/>
      <c r="CLP217" s="1"/>
      <c r="CLQ217" s="1"/>
      <c r="CLR217" s="1"/>
      <c r="CLS217" s="1"/>
      <c r="CLT217" s="1"/>
      <c r="CLU217" s="1"/>
      <c r="CLV217" s="1"/>
      <c r="CLW217" s="1"/>
      <c r="CLX217" s="1"/>
      <c r="CLY217" s="1"/>
      <c r="CLZ217" s="1"/>
      <c r="CMA217" s="1"/>
      <c r="CMB217" s="1"/>
      <c r="CMC217" s="1"/>
      <c r="CMD217" s="1"/>
      <c r="CME217" s="1"/>
      <c r="CMF217" s="1"/>
      <c r="CMG217" s="1"/>
      <c r="CMH217" s="1"/>
      <c r="CMI217" s="1"/>
      <c r="CMJ217" s="1"/>
      <c r="CMK217" s="1"/>
      <c r="CML217" s="1"/>
      <c r="CMM217" s="1"/>
      <c r="CMN217" s="1"/>
      <c r="CMO217" s="1"/>
      <c r="CMP217" s="1"/>
      <c r="CMQ217" s="1"/>
      <c r="CMR217" s="1"/>
      <c r="CMS217" s="1"/>
      <c r="CMT217" s="1"/>
      <c r="CMU217" s="1"/>
      <c r="CMV217" s="1"/>
      <c r="CMW217" s="1"/>
      <c r="CMX217" s="1"/>
      <c r="CMY217" s="1"/>
      <c r="CMZ217" s="1"/>
      <c r="CNA217" s="1"/>
      <c r="CNB217" s="1"/>
      <c r="CNC217" s="1"/>
      <c r="CND217" s="1"/>
      <c r="CNE217" s="1"/>
      <c r="CNF217" s="1"/>
      <c r="CNG217" s="1"/>
      <c r="CNH217" s="1"/>
      <c r="CNI217" s="1"/>
      <c r="CNJ217" s="1"/>
      <c r="CNK217" s="1"/>
      <c r="CNL217" s="1"/>
      <c r="CNM217" s="1"/>
      <c r="CNN217" s="1"/>
      <c r="CNO217" s="1"/>
      <c r="CNP217" s="1"/>
      <c r="CNQ217" s="1"/>
      <c r="CNR217" s="1"/>
      <c r="CNS217" s="1"/>
      <c r="CNT217" s="1"/>
      <c r="CNU217" s="1"/>
      <c r="CNV217" s="1"/>
      <c r="CNW217" s="1"/>
      <c r="CNX217" s="1"/>
      <c r="CNY217" s="1"/>
      <c r="CNZ217" s="1"/>
      <c r="COA217" s="1"/>
      <c r="COB217" s="1"/>
      <c r="COC217" s="1"/>
      <c r="COD217" s="1"/>
      <c r="COE217" s="1"/>
      <c r="COF217" s="1"/>
      <c r="COG217" s="1"/>
      <c r="COH217" s="1"/>
      <c r="COI217" s="1"/>
      <c r="COJ217" s="1"/>
      <c r="COK217" s="1"/>
      <c r="COL217" s="1"/>
      <c r="COM217" s="1"/>
      <c r="CON217" s="1"/>
      <c r="COO217" s="1"/>
      <c r="COP217" s="1"/>
      <c r="COQ217" s="1"/>
      <c r="COR217" s="1"/>
      <c r="COS217" s="1"/>
      <c r="COT217" s="1"/>
      <c r="COU217" s="1"/>
      <c r="COV217" s="1"/>
      <c r="COW217" s="1"/>
      <c r="COX217" s="1"/>
      <c r="COY217" s="1"/>
      <c r="COZ217" s="1"/>
      <c r="CPA217" s="1"/>
      <c r="CPB217" s="1"/>
      <c r="CPC217" s="1"/>
      <c r="CPD217" s="1"/>
      <c r="CPE217" s="1"/>
      <c r="CPF217" s="1"/>
      <c r="CPG217" s="1"/>
      <c r="CPH217" s="1"/>
      <c r="CPI217" s="1"/>
      <c r="CPJ217" s="1"/>
      <c r="CPK217" s="1"/>
      <c r="CPL217" s="1"/>
      <c r="CPM217" s="1"/>
      <c r="CPN217" s="1"/>
      <c r="CPO217" s="1"/>
      <c r="CPP217" s="1"/>
      <c r="CPQ217" s="1"/>
      <c r="CPR217" s="1"/>
      <c r="CPS217" s="1"/>
      <c r="CPT217" s="1"/>
      <c r="CPU217" s="1"/>
      <c r="CPV217" s="1"/>
      <c r="CPW217" s="1"/>
      <c r="CPX217" s="1"/>
      <c r="CPY217" s="1"/>
      <c r="CPZ217" s="1"/>
      <c r="CQA217" s="1"/>
      <c r="CQB217" s="1"/>
      <c r="CQC217" s="1"/>
      <c r="CQD217" s="1"/>
      <c r="CQE217" s="1"/>
      <c r="CQF217" s="1"/>
      <c r="CQG217" s="1"/>
      <c r="CQH217" s="1"/>
      <c r="CQI217" s="1"/>
      <c r="CQJ217" s="1"/>
      <c r="CQK217" s="1"/>
      <c r="CQL217" s="1"/>
      <c r="CQM217" s="1"/>
      <c r="CQN217" s="1"/>
      <c r="CQO217" s="1"/>
      <c r="CQP217" s="1"/>
      <c r="CQQ217" s="1"/>
      <c r="CQR217" s="1"/>
      <c r="CQS217" s="1"/>
      <c r="CQT217" s="1"/>
      <c r="CQU217" s="1"/>
      <c r="CQV217" s="1"/>
      <c r="CQW217" s="1"/>
      <c r="CQX217" s="1"/>
      <c r="CQY217" s="1"/>
      <c r="CQZ217" s="1"/>
      <c r="CRA217" s="1"/>
      <c r="CRB217" s="1"/>
      <c r="CRC217" s="1"/>
      <c r="CRD217" s="1"/>
      <c r="CRE217" s="1"/>
      <c r="CRF217" s="1"/>
      <c r="CRG217" s="1"/>
      <c r="CRH217" s="1"/>
      <c r="CRI217" s="1"/>
      <c r="CRJ217" s="1"/>
      <c r="CRK217" s="1"/>
      <c r="CRL217" s="1"/>
      <c r="CRM217" s="1"/>
      <c r="CRN217" s="1"/>
      <c r="CRO217" s="1"/>
      <c r="CRP217" s="1"/>
      <c r="CRQ217" s="1"/>
      <c r="CRR217" s="1"/>
      <c r="CRS217" s="1"/>
      <c r="CRT217" s="1"/>
      <c r="CRU217" s="1"/>
      <c r="CRV217" s="1"/>
      <c r="CRW217" s="1"/>
      <c r="CRX217" s="1"/>
      <c r="CRY217" s="1"/>
      <c r="CRZ217" s="1"/>
      <c r="CSA217" s="1"/>
      <c r="CSB217" s="1"/>
      <c r="CSC217" s="1"/>
      <c r="CSD217" s="1"/>
      <c r="CSE217" s="1"/>
      <c r="CSF217" s="1"/>
      <c r="CSG217" s="1"/>
      <c r="CSH217" s="1"/>
      <c r="CSI217" s="1"/>
      <c r="CSJ217" s="1"/>
      <c r="CSK217" s="1"/>
      <c r="CSL217" s="1"/>
      <c r="CSM217" s="1"/>
      <c r="CSN217" s="1"/>
      <c r="CSO217" s="1"/>
      <c r="CSP217" s="1"/>
      <c r="CSQ217" s="1"/>
      <c r="CSR217" s="1"/>
      <c r="CSS217" s="1"/>
      <c r="CST217" s="1"/>
      <c r="CSU217" s="1"/>
      <c r="CSV217" s="1"/>
      <c r="CSW217" s="1"/>
      <c r="CSX217" s="1"/>
      <c r="CSY217" s="1"/>
      <c r="CSZ217" s="1"/>
      <c r="CTA217" s="1"/>
      <c r="CTB217" s="1"/>
      <c r="CTC217" s="1"/>
      <c r="CTD217" s="1"/>
      <c r="CTE217" s="1"/>
      <c r="CTF217" s="1"/>
      <c r="CTG217" s="1"/>
      <c r="CTH217" s="1"/>
      <c r="CTI217" s="1"/>
      <c r="CTJ217" s="1"/>
      <c r="CTK217" s="1"/>
      <c r="CTL217" s="1"/>
      <c r="CTM217" s="1"/>
      <c r="CTN217" s="1"/>
      <c r="CTO217" s="1"/>
      <c r="CTP217" s="1"/>
      <c r="CTQ217" s="1"/>
      <c r="CTR217" s="1"/>
      <c r="CTS217" s="1"/>
      <c r="CTT217" s="1"/>
      <c r="CTU217" s="1"/>
      <c r="CTV217" s="1"/>
      <c r="CTW217" s="1"/>
      <c r="CTX217" s="1"/>
      <c r="CTY217" s="1"/>
      <c r="CTZ217" s="1"/>
      <c r="CUA217" s="1"/>
      <c r="CUB217" s="1"/>
      <c r="CUC217" s="1"/>
      <c r="CUD217" s="1"/>
      <c r="CUE217" s="1"/>
      <c r="CUF217" s="1"/>
      <c r="CUG217" s="1"/>
      <c r="CUH217" s="1"/>
      <c r="CUI217" s="1"/>
      <c r="CUJ217" s="1"/>
      <c r="CUK217" s="1"/>
      <c r="CUL217" s="1"/>
      <c r="CUM217" s="1"/>
      <c r="CUN217" s="1"/>
      <c r="CUO217" s="1"/>
      <c r="CUP217" s="1"/>
      <c r="CUQ217" s="1"/>
      <c r="CUR217" s="1"/>
      <c r="CUS217" s="1"/>
      <c r="CUT217" s="1"/>
      <c r="CUU217" s="1"/>
      <c r="CUV217" s="1"/>
      <c r="CUW217" s="1"/>
      <c r="CUX217" s="1"/>
      <c r="CUY217" s="1"/>
      <c r="CUZ217" s="1"/>
      <c r="CVA217" s="1"/>
      <c r="CVB217" s="1"/>
      <c r="CVC217" s="1"/>
      <c r="CVD217" s="1"/>
      <c r="CVE217" s="1"/>
      <c r="CVF217" s="1"/>
      <c r="CVG217" s="1"/>
      <c r="CVH217" s="1"/>
      <c r="CVI217" s="1"/>
      <c r="CVJ217" s="1"/>
      <c r="CVK217" s="1"/>
      <c r="CVL217" s="1"/>
      <c r="CVM217" s="1"/>
      <c r="CVN217" s="1"/>
      <c r="CVO217" s="1"/>
      <c r="CVP217" s="1"/>
      <c r="CVQ217" s="1"/>
      <c r="CVR217" s="1"/>
      <c r="CVS217" s="1"/>
      <c r="CVT217" s="1"/>
      <c r="CVU217" s="1"/>
      <c r="CVV217" s="1"/>
      <c r="CVW217" s="1"/>
      <c r="CVX217" s="1"/>
      <c r="CVY217" s="1"/>
      <c r="CVZ217" s="1"/>
      <c r="CWA217" s="1"/>
      <c r="CWB217" s="1"/>
      <c r="CWC217" s="1"/>
      <c r="CWD217" s="1"/>
      <c r="CWE217" s="1"/>
      <c r="CWF217" s="1"/>
      <c r="CWG217" s="1"/>
      <c r="CWH217" s="1"/>
      <c r="CWI217" s="1"/>
      <c r="CWJ217" s="1"/>
      <c r="CWK217" s="1"/>
      <c r="CWL217" s="1"/>
      <c r="CWM217" s="1"/>
      <c r="CWN217" s="1"/>
      <c r="CWO217" s="1"/>
      <c r="CWP217" s="1"/>
      <c r="CWQ217" s="1"/>
      <c r="CWR217" s="1"/>
      <c r="CWS217" s="1"/>
      <c r="CWT217" s="1"/>
      <c r="CWU217" s="1"/>
      <c r="CWV217" s="1"/>
      <c r="CWW217" s="1"/>
      <c r="CWX217" s="1"/>
      <c r="CWY217" s="1"/>
      <c r="CWZ217" s="1"/>
      <c r="CXA217" s="1"/>
      <c r="CXB217" s="1"/>
      <c r="CXC217" s="1"/>
      <c r="CXD217" s="1"/>
      <c r="CXE217" s="1"/>
      <c r="CXF217" s="1"/>
      <c r="CXG217" s="1"/>
      <c r="CXH217" s="1"/>
      <c r="CXI217" s="1"/>
      <c r="CXJ217" s="1"/>
      <c r="CXK217" s="1"/>
      <c r="CXL217" s="1"/>
      <c r="CXM217" s="1"/>
      <c r="CXN217" s="1"/>
      <c r="CXO217" s="1"/>
      <c r="CXP217" s="1"/>
      <c r="CXQ217" s="1"/>
      <c r="CXR217" s="1"/>
      <c r="CXS217" s="1"/>
      <c r="CXT217" s="1"/>
      <c r="CXU217" s="1"/>
      <c r="CXV217" s="1"/>
      <c r="CXW217" s="1"/>
      <c r="CXX217" s="1"/>
      <c r="CXY217" s="1"/>
      <c r="CXZ217" s="1"/>
      <c r="CYA217" s="1"/>
      <c r="CYB217" s="1"/>
      <c r="CYC217" s="1"/>
      <c r="CYD217" s="1"/>
      <c r="CYE217" s="1"/>
      <c r="CYF217" s="1"/>
      <c r="CYG217" s="1"/>
      <c r="CYH217" s="1"/>
      <c r="CYI217" s="1"/>
      <c r="CYJ217" s="1"/>
      <c r="CYK217" s="1"/>
      <c r="CYL217" s="1"/>
      <c r="CYM217" s="1"/>
      <c r="CYN217" s="1"/>
      <c r="CYO217" s="1"/>
      <c r="CYP217" s="1"/>
      <c r="CYQ217" s="1"/>
      <c r="CYR217" s="1"/>
      <c r="CYS217" s="1"/>
      <c r="CYT217" s="1"/>
      <c r="CYU217" s="1"/>
      <c r="CYV217" s="1"/>
      <c r="CYW217" s="1"/>
      <c r="CYX217" s="1"/>
      <c r="CYY217" s="1"/>
      <c r="CYZ217" s="1"/>
      <c r="CZA217" s="1"/>
      <c r="CZB217" s="1"/>
      <c r="CZC217" s="1"/>
      <c r="CZD217" s="1"/>
      <c r="CZE217" s="1"/>
      <c r="CZF217" s="1"/>
      <c r="CZG217" s="1"/>
      <c r="CZH217" s="1"/>
      <c r="CZI217" s="1"/>
      <c r="CZJ217" s="1"/>
      <c r="CZK217" s="1"/>
      <c r="CZL217" s="1"/>
      <c r="CZM217" s="1"/>
      <c r="CZN217" s="1"/>
      <c r="CZO217" s="1"/>
      <c r="CZP217" s="1"/>
      <c r="CZQ217" s="1"/>
      <c r="CZR217" s="1"/>
      <c r="CZS217" s="1"/>
      <c r="CZT217" s="1"/>
      <c r="CZU217" s="1"/>
      <c r="CZV217" s="1"/>
      <c r="CZW217" s="1"/>
      <c r="CZX217" s="1"/>
      <c r="CZY217" s="1"/>
      <c r="CZZ217" s="1"/>
      <c r="DAA217" s="1"/>
      <c r="DAB217" s="1"/>
      <c r="DAC217" s="1"/>
      <c r="DAD217" s="1"/>
      <c r="DAE217" s="1"/>
      <c r="DAF217" s="1"/>
      <c r="DAG217" s="1"/>
      <c r="DAH217" s="1"/>
      <c r="DAI217" s="1"/>
      <c r="DAJ217" s="1"/>
      <c r="DAK217" s="1"/>
      <c r="DAL217" s="1"/>
      <c r="DAM217" s="1"/>
      <c r="DAN217" s="1"/>
      <c r="DAO217" s="1"/>
      <c r="DAP217" s="1"/>
      <c r="DAQ217" s="1"/>
      <c r="DAR217" s="1"/>
      <c r="DAS217" s="1"/>
      <c r="DAT217" s="1"/>
      <c r="DAU217" s="1"/>
      <c r="DAV217" s="1"/>
      <c r="DAW217" s="1"/>
      <c r="DAX217" s="1"/>
      <c r="DAY217" s="1"/>
      <c r="DAZ217" s="1"/>
      <c r="DBA217" s="1"/>
      <c r="DBB217" s="1"/>
      <c r="DBC217" s="1"/>
      <c r="DBD217" s="1"/>
      <c r="DBE217" s="1"/>
      <c r="DBF217" s="1"/>
      <c r="DBG217" s="1"/>
      <c r="DBH217" s="1"/>
      <c r="DBI217" s="1"/>
      <c r="DBJ217" s="1"/>
      <c r="DBK217" s="1"/>
      <c r="DBL217" s="1"/>
      <c r="DBM217" s="1"/>
      <c r="DBN217" s="1"/>
      <c r="DBO217" s="1"/>
      <c r="DBP217" s="1"/>
      <c r="DBQ217" s="1"/>
      <c r="DBR217" s="1"/>
      <c r="DBS217" s="1"/>
      <c r="DBT217" s="1"/>
      <c r="DBU217" s="1"/>
      <c r="DBV217" s="1"/>
      <c r="DBW217" s="1"/>
      <c r="DBX217" s="1"/>
      <c r="DBY217" s="1"/>
      <c r="DBZ217" s="1"/>
      <c r="DCA217" s="1"/>
      <c r="DCB217" s="1"/>
      <c r="DCC217" s="1"/>
      <c r="DCD217" s="1"/>
      <c r="DCE217" s="1"/>
      <c r="DCF217" s="1"/>
      <c r="DCG217" s="1"/>
      <c r="DCH217" s="1"/>
      <c r="DCI217" s="1"/>
      <c r="DCJ217" s="1"/>
      <c r="DCK217" s="1"/>
      <c r="DCL217" s="1"/>
      <c r="DCM217" s="1"/>
      <c r="DCN217" s="1"/>
      <c r="DCO217" s="1"/>
      <c r="DCP217" s="1"/>
      <c r="DCQ217" s="1"/>
      <c r="DCR217" s="1"/>
      <c r="DCS217" s="1"/>
      <c r="DCT217" s="1"/>
      <c r="DCU217" s="1"/>
      <c r="DCV217" s="1"/>
      <c r="DCW217" s="1"/>
      <c r="DCX217" s="1"/>
      <c r="DCY217" s="1"/>
      <c r="DCZ217" s="1"/>
      <c r="DDA217" s="1"/>
      <c r="DDB217" s="1"/>
      <c r="DDC217" s="1"/>
      <c r="DDD217" s="1"/>
      <c r="DDE217" s="1"/>
      <c r="DDF217" s="1"/>
      <c r="DDG217" s="1"/>
      <c r="DDH217" s="1"/>
      <c r="DDI217" s="1"/>
      <c r="DDJ217" s="1"/>
      <c r="DDK217" s="1"/>
      <c r="DDL217" s="1"/>
      <c r="DDM217" s="1"/>
      <c r="DDN217" s="1"/>
      <c r="DDO217" s="1"/>
      <c r="DDP217" s="1"/>
      <c r="DDQ217" s="1"/>
      <c r="DDR217" s="1"/>
      <c r="DDS217" s="1"/>
      <c r="DDT217" s="1"/>
      <c r="DDU217" s="1"/>
      <c r="DDV217" s="1"/>
      <c r="DDW217" s="1"/>
      <c r="DDX217" s="1"/>
      <c r="DDY217" s="1"/>
      <c r="DDZ217" s="1"/>
      <c r="DEA217" s="1"/>
      <c r="DEB217" s="1"/>
      <c r="DEC217" s="1"/>
      <c r="DED217" s="1"/>
      <c r="DEE217" s="1"/>
      <c r="DEF217" s="1"/>
      <c r="DEG217" s="1"/>
      <c r="DEH217" s="1"/>
      <c r="DEI217" s="1"/>
      <c r="DEJ217" s="1"/>
      <c r="DEK217" s="1"/>
      <c r="DEL217" s="1"/>
      <c r="DEM217" s="1"/>
      <c r="DEN217" s="1"/>
      <c r="DEO217" s="1"/>
      <c r="DEP217" s="1"/>
      <c r="DEQ217" s="1"/>
      <c r="DER217" s="1"/>
      <c r="DES217" s="1"/>
      <c r="DET217" s="1"/>
      <c r="DEU217" s="1"/>
      <c r="DEV217" s="1"/>
      <c r="DEW217" s="1"/>
      <c r="DEX217" s="1"/>
      <c r="DEY217" s="1"/>
      <c r="DEZ217" s="1"/>
      <c r="DFA217" s="1"/>
      <c r="DFB217" s="1"/>
      <c r="DFC217" s="1"/>
      <c r="DFD217" s="1"/>
      <c r="DFE217" s="1"/>
      <c r="DFF217" s="1"/>
      <c r="DFG217" s="1"/>
      <c r="DFH217" s="1"/>
      <c r="DFI217" s="1"/>
      <c r="DFJ217" s="1"/>
      <c r="DFK217" s="1"/>
      <c r="DFL217" s="1"/>
      <c r="DFM217" s="1"/>
      <c r="DFN217" s="1"/>
      <c r="DFO217" s="1"/>
      <c r="DFP217" s="1"/>
      <c r="DFQ217" s="1"/>
      <c r="DFR217" s="1"/>
      <c r="DFS217" s="1"/>
      <c r="DFT217" s="1"/>
      <c r="DFU217" s="1"/>
      <c r="DFV217" s="1"/>
      <c r="DFW217" s="1"/>
      <c r="DFX217" s="1"/>
      <c r="DFY217" s="1"/>
      <c r="DFZ217" s="1"/>
      <c r="DGA217" s="1"/>
      <c r="DGB217" s="1"/>
      <c r="DGC217" s="1"/>
      <c r="DGD217" s="1"/>
      <c r="DGE217" s="1"/>
      <c r="DGF217" s="1"/>
      <c r="DGG217" s="1"/>
      <c r="DGH217" s="1"/>
      <c r="DGI217" s="1"/>
      <c r="DGJ217" s="1"/>
      <c r="DGK217" s="1"/>
      <c r="DGL217" s="1"/>
      <c r="DGM217" s="1"/>
      <c r="DGN217" s="1"/>
      <c r="DGO217" s="1"/>
      <c r="DGP217" s="1"/>
      <c r="DGQ217" s="1"/>
      <c r="DGR217" s="1"/>
      <c r="DGS217" s="1"/>
      <c r="DGT217" s="1"/>
      <c r="DGU217" s="1"/>
      <c r="DGV217" s="1"/>
      <c r="DGW217" s="1"/>
      <c r="DGX217" s="1"/>
      <c r="DGY217" s="1"/>
      <c r="DGZ217" s="1"/>
      <c r="DHA217" s="1"/>
      <c r="DHB217" s="1"/>
      <c r="DHC217" s="1"/>
      <c r="DHD217" s="1"/>
      <c r="DHE217" s="1"/>
      <c r="DHF217" s="1"/>
      <c r="DHG217" s="1"/>
      <c r="DHH217" s="1"/>
      <c r="DHI217" s="1"/>
      <c r="DHJ217" s="1"/>
      <c r="DHK217" s="1"/>
      <c r="DHL217" s="1"/>
      <c r="DHM217" s="1"/>
      <c r="DHN217" s="1"/>
      <c r="DHO217" s="1"/>
      <c r="DHP217" s="1"/>
      <c r="DHQ217" s="1"/>
      <c r="DHR217" s="1"/>
      <c r="DHS217" s="1"/>
      <c r="DHT217" s="1"/>
      <c r="DHU217" s="1"/>
      <c r="DHV217" s="1"/>
      <c r="DHW217" s="1"/>
      <c r="DHX217" s="1"/>
      <c r="DHY217" s="1"/>
      <c r="DHZ217" s="1"/>
      <c r="DIA217" s="1"/>
      <c r="DIB217" s="1"/>
      <c r="DIC217" s="1"/>
      <c r="DID217" s="1"/>
      <c r="DIE217" s="1"/>
      <c r="DIF217" s="1"/>
      <c r="DIG217" s="1"/>
      <c r="DIH217" s="1"/>
      <c r="DII217" s="1"/>
      <c r="DIJ217" s="1"/>
      <c r="DIK217" s="1"/>
      <c r="DIL217" s="1"/>
      <c r="DIM217" s="1"/>
      <c r="DIN217" s="1"/>
      <c r="DIO217" s="1"/>
      <c r="DIP217" s="1"/>
      <c r="DIQ217" s="1"/>
      <c r="DIR217" s="1"/>
      <c r="DIS217" s="1"/>
      <c r="DIT217" s="1"/>
      <c r="DIU217" s="1"/>
      <c r="DIV217" s="1"/>
      <c r="DIW217" s="1"/>
      <c r="DIX217" s="1"/>
      <c r="DIY217" s="1"/>
      <c r="DIZ217" s="1"/>
      <c r="DJA217" s="1"/>
      <c r="DJB217" s="1"/>
      <c r="DJC217" s="1"/>
      <c r="DJD217" s="1"/>
      <c r="DJE217" s="1"/>
      <c r="DJF217" s="1"/>
      <c r="DJG217" s="1"/>
      <c r="DJH217" s="1"/>
      <c r="DJI217" s="1"/>
      <c r="DJJ217" s="1"/>
      <c r="DJK217" s="1"/>
      <c r="DJL217" s="1"/>
      <c r="DJM217" s="1"/>
      <c r="DJN217" s="1"/>
      <c r="DJO217" s="1"/>
      <c r="DJP217" s="1"/>
      <c r="DJQ217" s="1"/>
      <c r="DJR217" s="1"/>
      <c r="DJS217" s="1"/>
      <c r="DJT217" s="1"/>
      <c r="DJU217" s="1"/>
      <c r="DJV217" s="1"/>
      <c r="DJW217" s="1"/>
      <c r="DJX217" s="1"/>
      <c r="DJY217" s="1"/>
      <c r="DJZ217" s="1"/>
      <c r="DKA217" s="1"/>
      <c r="DKB217" s="1"/>
      <c r="DKC217" s="1"/>
      <c r="DKD217" s="1"/>
      <c r="DKE217" s="1"/>
      <c r="DKF217" s="1"/>
      <c r="DKG217" s="1"/>
      <c r="DKH217" s="1"/>
      <c r="DKI217" s="1"/>
      <c r="DKJ217" s="1"/>
      <c r="DKK217" s="1"/>
      <c r="DKL217" s="1"/>
      <c r="DKM217" s="1"/>
      <c r="DKN217" s="1"/>
      <c r="DKO217" s="1"/>
      <c r="DKP217" s="1"/>
      <c r="DKQ217" s="1"/>
      <c r="DKR217" s="1"/>
      <c r="DKS217" s="1"/>
      <c r="DKT217" s="1"/>
      <c r="DKU217" s="1"/>
      <c r="DKV217" s="1"/>
      <c r="DKW217" s="1"/>
      <c r="DKX217" s="1"/>
      <c r="DKY217" s="1"/>
      <c r="DKZ217" s="1"/>
      <c r="DLA217" s="1"/>
      <c r="DLB217" s="1"/>
      <c r="DLC217" s="1"/>
      <c r="DLD217" s="1"/>
      <c r="DLE217" s="1"/>
      <c r="DLF217" s="1"/>
      <c r="DLG217" s="1"/>
      <c r="DLH217" s="1"/>
      <c r="DLI217" s="1"/>
      <c r="DLJ217" s="1"/>
      <c r="DLK217" s="1"/>
      <c r="DLL217" s="1"/>
      <c r="DLM217" s="1"/>
      <c r="DLN217" s="1"/>
      <c r="DLO217" s="1"/>
      <c r="DLP217" s="1"/>
      <c r="DLQ217" s="1"/>
      <c r="DLR217" s="1"/>
      <c r="DLS217" s="1"/>
      <c r="DLT217" s="1"/>
      <c r="DLU217" s="1"/>
      <c r="DLV217" s="1"/>
      <c r="DLW217" s="1"/>
      <c r="DLX217" s="1"/>
      <c r="DLY217" s="1"/>
      <c r="DLZ217" s="1"/>
      <c r="DMA217" s="1"/>
      <c r="DMB217" s="1"/>
      <c r="DMC217" s="1"/>
      <c r="DMD217" s="1"/>
      <c r="DME217" s="1"/>
      <c r="DMF217" s="1"/>
      <c r="DMG217" s="1"/>
      <c r="DMH217" s="1"/>
      <c r="DMI217" s="1"/>
      <c r="DMJ217" s="1"/>
      <c r="DMK217" s="1"/>
      <c r="DML217" s="1"/>
      <c r="DMM217" s="1"/>
      <c r="DMN217" s="1"/>
      <c r="DMO217" s="1"/>
      <c r="DMP217" s="1"/>
      <c r="DMQ217" s="1"/>
      <c r="DMR217" s="1"/>
      <c r="DMS217" s="1"/>
      <c r="DMT217" s="1"/>
      <c r="DMU217" s="1"/>
      <c r="DMV217" s="1"/>
      <c r="DMW217" s="1"/>
      <c r="DMX217" s="1"/>
      <c r="DMY217" s="1"/>
      <c r="DMZ217" s="1"/>
      <c r="DNA217" s="1"/>
      <c r="DNB217" s="1"/>
      <c r="DNC217" s="1"/>
      <c r="DND217" s="1"/>
      <c r="DNE217" s="1"/>
      <c r="DNF217" s="1"/>
      <c r="DNG217" s="1"/>
      <c r="DNH217" s="1"/>
      <c r="DNI217" s="1"/>
      <c r="DNJ217" s="1"/>
      <c r="DNK217" s="1"/>
      <c r="DNL217" s="1"/>
      <c r="DNM217" s="1"/>
      <c r="DNN217" s="1"/>
      <c r="DNO217" s="1"/>
      <c r="DNP217" s="1"/>
      <c r="DNQ217" s="1"/>
      <c r="DNR217" s="1"/>
      <c r="DNS217" s="1"/>
      <c r="DNT217" s="1"/>
      <c r="DNU217" s="1"/>
      <c r="DNV217" s="1"/>
      <c r="DNW217" s="1"/>
      <c r="DNX217" s="1"/>
      <c r="DNY217" s="1"/>
      <c r="DNZ217" s="1"/>
      <c r="DOA217" s="1"/>
      <c r="DOB217" s="1"/>
      <c r="DOC217" s="1"/>
      <c r="DOD217" s="1"/>
      <c r="DOE217" s="1"/>
      <c r="DOF217" s="1"/>
      <c r="DOG217" s="1"/>
      <c r="DOH217" s="1"/>
      <c r="DOI217" s="1"/>
      <c r="DOJ217" s="1"/>
      <c r="DOK217" s="1"/>
      <c r="DOL217" s="1"/>
      <c r="DOM217" s="1"/>
      <c r="DON217" s="1"/>
      <c r="DOO217" s="1"/>
      <c r="DOP217" s="1"/>
      <c r="DOQ217" s="1"/>
      <c r="DOR217" s="1"/>
      <c r="DOS217" s="1"/>
      <c r="DOT217" s="1"/>
      <c r="DOU217" s="1"/>
      <c r="DOV217" s="1"/>
      <c r="DOW217" s="1"/>
      <c r="DOX217" s="1"/>
      <c r="DOY217" s="1"/>
      <c r="DOZ217" s="1"/>
      <c r="DPA217" s="1"/>
      <c r="DPB217" s="1"/>
      <c r="DPC217" s="1"/>
      <c r="DPD217" s="1"/>
      <c r="DPE217" s="1"/>
      <c r="DPF217" s="1"/>
      <c r="DPG217" s="1"/>
      <c r="DPH217" s="1"/>
      <c r="DPI217" s="1"/>
      <c r="DPJ217" s="1"/>
      <c r="DPK217" s="1"/>
      <c r="DPL217" s="1"/>
      <c r="DPM217" s="1"/>
      <c r="DPN217" s="1"/>
      <c r="DPO217" s="1"/>
      <c r="DPP217" s="1"/>
      <c r="DPQ217" s="1"/>
      <c r="DPR217" s="1"/>
      <c r="DPS217" s="1"/>
      <c r="DPT217" s="1"/>
      <c r="DPU217" s="1"/>
      <c r="DPV217" s="1"/>
      <c r="DPW217" s="1"/>
      <c r="DPX217" s="1"/>
      <c r="DPY217" s="1"/>
      <c r="DPZ217" s="1"/>
      <c r="DQA217" s="1"/>
      <c r="DQB217" s="1"/>
      <c r="DQC217" s="1"/>
      <c r="DQD217" s="1"/>
      <c r="DQE217" s="1"/>
      <c r="DQF217" s="1"/>
      <c r="DQG217" s="1"/>
      <c r="DQH217" s="1"/>
      <c r="DQI217" s="1"/>
      <c r="DQJ217" s="1"/>
      <c r="DQK217" s="1"/>
      <c r="DQL217" s="1"/>
      <c r="DQM217" s="1"/>
      <c r="DQN217" s="1"/>
      <c r="DQO217" s="1"/>
      <c r="DQP217" s="1"/>
      <c r="DQQ217" s="1"/>
      <c r="DQR217" s="1"/>
      <c r="DQS217" s="1"/>
      <c r="DQT217" s="1"/>
      <c r="DQU217" s="1"/>
      <c r="DQV217" s="1"/>
      <c r="DQW217" s="1"/>
      <c r="DQX217" s="1"/>
      <c r="DQY217" s="1"/>
      <c r="DQZ217" s="1"/>
      <c r="DRA217" s="1"/>
      <c r="DRB217" s="1"/>
      <c r="DRC217" s="1"/>
      <c r="DRD217" s="1"/>
      <c r="DRE217" s="1"/>
      <c r="DRF217" s="1"/>
      <c r="DRG217" s="1"/>
      <c r="DRH217" s="1"/>
      <c r="DRI217" s="1"/>
      <c r="DRJ217" s="1"/>
      <c r="DRK217" s="1"/>
      <c r="DRL217" s="1"/>
      <c r="DRM217" s="1"/>
      <c r="DRN217" s="1"/>
      <c r="DRO217" s="1"/>
      <c r="DRP217" s="1"/>
      <c r="DRQ217" s="1"/>
      <c r="DRR217" s="1"/>
      <c r="DRS217" s="1"/>
      <c r="DRT217" s="1"/>
      <c r="DRU217" s="1"/>
      <c r="DRV217" s="1"/>
      <c r="DRW217" s="1"/>
      <c r="DRX217" s="1"/>
      <c r="DRY217" s="1"/>
      <c r="DRZ217" s="1"/>
      <c r="DSA217" s="1"/>
      <c r="DSB217" s="1"/>
      <c r="DSC217" s="1"/>
      <c r="DSD217" s="1"/>
      <c r="DSE217" s="1"/>
      <c r="DSF217" s="1"/>
      <c r="DSG217" s="1"/>
      <c r="DSH217" s="1"/>
      <c r="DSI217" s="1"/>
      <c r="DSJ217" s="1"/>
      <c r="DSK217" s="1"/>
      <c r="DSL217" s="1"/>
      <c r="DSM217" s="1"/>
      <c r="DSN217" s="1"/>
      <c r="DSO217" s="1"/>
      <c r="DSP217" s="1"/>
      <c r="DSQ217" s="1"/>
      <c r="DSR217" s="1"/>
      <c r="DSS217" s="1"/>
      <c r="DST217" s="1"/>
      <c r="DSU217" s="1"/>
      <c r="DSV217" s="1"/>
      <c r="DSW217" s="1"/>
      <c r="DSX217" s="1"/>
      <c r="DSY217" s="1"/>
      <c r="DSZ217" s="1"/>
      <c r="DTA217" s="1"/>
      <c r="DTB217" s="1"/>
      <c r="DTC217" s="1"/>
      <c r="DTD217" s="1"/>
      <c r="DTE217" s="1"/>
      <c r="DTF217" s="1"/>
      <c r="DTG217" s="1"/>
      <c r="DTH217" s="1"/>
      <c r="DTI217" s="1"/>
      <c r="DTJ217" s="1"/>
      <c r="DTK217" s="1"/>
      <c r="DTL217" s="1"/>
      <c r="DTM217" s="1"/>
      <c r="DTN217" s="1"/>
      <c r="DTO217" s="1"/>
      <c r="DTP217" s="1"/>
      <c r="DTQ217" s="1"/>
      <c r="DTR217" s="1"/>
      <c r="DTS217" s="1"/>
      <c r="DTT217" s="1"/>
      <c r="DTU217" s="1"/>
      <c r="DTV217" s="1"/>
      <c r="DTW217" s="1"/>
      <c r="DTX217" s="1"/>
      <c r="DTY217" s="1"/>
      <c r="DTZ217" s="1"/>
      <c r="DUA217" s="1"/>
      <c r="DUB217" s="1"/>
      <c r="DUC217" s="1"/>
      <c r="DUD217" s="1"/>
      <c r="DUE217" s="1"/>
      <c r="DUF217" s="1"/>
      <c r="DUG217" s="1"/>
      <c r="DUH217" s="1"/>
      <c r="DUI217" s="1"/>
      <c r="DUJ217" s="1"/>
      <c r="DUK217" s="1"/>
      <c r="DUL217" s="1"/>
      <c r="DUM217" s="1"/>
      <c r="DUN217" s="1"/>
      <c r="DUO217" s="1"/>
      <c r="DUP217" s="1"/>
      <c r="DUQ217" s="1"/>
      <c r="DUR217" s="1"/>
      <c r="DUS217" s="1"/>
      <c r="DUT217" s="1"/>
      <c r="DUU217" s="1"/>
      <c r="DUV217" s="1"/>
      <c r="DUW217" s="1"/>
      <c r="DUX217" s="1"/>
      <c r="DUY217" s="1"/>
      <c r="DUZ217" s="1"/>
      <c r="DVA217" s="1"/>
      <c r="DVB217" s="1"/>
      <c r="DVC217" s="1"/>
      <c r="DVD217" s="1"/>
      <c r="DVE217" s="1"/>
      <c r="DVF217" s="1"/>
      <c r="DVG217" s="1"/>
      <c r="DVH217" s="1"/>
      <c r="DVI217" s="1"/>
      <c r="DVJ217" s="1"/>
      <c r="DVK217" s="1"/>
      <c r="DVL217" s="1"/>
      <c r="DVM217" s="1"/>
      <c r="DVN217" s="1"/>
      <c r="DVO217" s="1"/>
      <c r="DVP217" s="1"/>
      <c r="DVQ217" s="1"/>
      <c r="DVR217" s="1"/>
      <c r="DVS217" s="1"/>
      <c r="DVT217" s="1"/>
      <c r="DVU217" s="1"/>
      <c r="DVV217" s="1"/>
      <c r="DVW217" s="1"/>
      <c r="DVX217" s="1"/>
      <c r="DVY217" s="1"/>
      <c r="DVZ217" s="1"/>
      <c r="DWA217" s="1"/>
      <c r="DWB217" s="1"/>
      <c r="DWC217" s="1"/>
      <c r="DWD217" s="1"/>
      <c r="DWE217" s="1"/>
      <c r="DWF217" s="1"/>
      <c r="DWG217" s="1"/>
      <c r="DWH217" s="1"/>
      <c r="DWI217" s="1"/>
      <c r="DWJ217" s="1"/>
      <c r="DWK217" s="1"/>
      <c r="DWL217" s="1"/>
      <c r="DWM217" s="1"/>
      <c r="DWN217" s="1"/>
      <c r="DWO217" s="1"/>
      <c r="DWP217" s="1"/>
      <c r="DWQ217" s="1"/>
      <c r="DWR217" s="1"/>
      <c r="DWS217" s="1"/>
      <c r="DWT217" s="1"/>
      <c r="DWU217" s="1"/>
      <c r="DWV217" s="1"/>
      <c r="DWW217" s="1"/>
      <c r="DWX217" s="1"/>
      <c r="DWY217" s="1"/>
      <c r="DWZ217" s="1"/>
      <c r="DXA217" s="1"/>
      <c r="DXB217" s="1"/>
      <c r="DXC217" s="1"/>
      <c r="DXD217" s="1"/>
      <c r="DXE217" s="1"/>
      <c r="DXF217" s="1"/>
      <c r="DXG217" s="1"/>
      <c r="DXH217" s="1"/>
      <c r="DXI217" s="1"/>
      <c r="DXJ217" s="1"/>
      <c r="DXK217" s="1"/>
      <c r="DXL217" s="1"/>
      <c r="DXM217" s="1"/>
      <c r="DXN217" s="1"/>
      <c r="DXO217" s="1"/>
      <c r="DXP217" s="1"/>
      <c r="DXQ217" s="1"/>
      <c r="DXR217" s="1"/>
      <c r="DXS217" s="1"/>
      <c r="DXT217" s="1"/>
      <c r="DXU217" s="1"/>
      <c r="DXV217" s="1"/>
      <c r="DXW217" s="1"/>
      <c r="DXX217" s="1"/>
      <c r="DXY217" s="1"/>
      <c r="DXZ217" s="1"/>
      <c r="DYA217" s="1"/>
      <c r="DYB217" s="1"/>
      <c r="DYC217" s="1"/>
      <c r="DYD217" s="1"/>
      <c r="DYE217" s="1"/>
      <c r="DYF217" s="1"/>
      <c r="DYG217" s="1"/>
      <c r="DYH217" s="1"/>
      <c r="DYI217" s="1"/>
      <c r="DYJ217" s="1"/>
      <c r="DYK217" s="1"/>
      <c r="DYL217" s="1"/>
      <c r="DYM217" s="1"/>
      <c r="DYN217" s="1"/>
      <c r="DYO217" s="1"/>
      <c r="DYP217" s="1"/>
      <c r="DYQ217" s="1"/>
      <c r="DYR217" s="1"/>
      <c r="DYS217" s="1"/>
      <c r="DYT217" s="1"/>
      <c r="DYU217" s="1"/>
      <c r="DYV217" s="1"/>
      <c r="DYW217" s="1"/>
      <c r="DYX217" s="1"/>
      <c r="DYY217" s="1"/>
      <c r="DYZ217" s="1"/>
      <c r="DZA217" s="1"/>
      <c r="DZB217" s="1"/>
      <c r="DZC217" s="1"/>
      <c r="DZD217" s="1"/>
      <c r="DZE217" s="1"/>
      <c r="DZF217" s="1"/>
      <c r="DZG217" s="1"/>
      <c r="DZH217" s="1"/>
      <c r="DZI217" s="1"/>
      <c r="DZJ217" s="1"/>
      <c r="DZK217" s="1"/>
      <c r="DZL217" s="1"/>
      <c r="DZM217" s="1"/>
      <c r="DZN217" s="1"/>
      <c r="DZO217" s="1"/>
      <c r="DZP217" s="1"/>
      <c r="DZQ217" s="1"/>
      <c r="DZR217" s="1"/>
      <c r="DZS217" s="1"/>
      <c r="DZT217" s="1"/>
      <c r="DZU217" s="1"/>
      <c r="DZV217" s="1"/>
      <c r="DZW217" s="1"/>
      <c r="DZX217" s="1"/>
      <c r="DZY217" s="1"/>
      <c r="DZZ217" s="1"/>
      <c r="EAA217" s="1"/>
      <c r="EAB217" s="1"/>
      <c r="EAC217" s="1"/>
      <c r="EAD217" s="1"/>
      <c r="EAE217" s="1"/>
      <c r="EAF217" s="1"/>
      <c r="EAG217" s="1"/>
      <c r="EAH217" s="1"/>
      <c r="EAI217" s="1"/>
      <c r="EAJ217" s="1"/>
      <c r="EAK217" s="1"/>
      <c r="EAL217" s="1"/>
      <c r="EAM217" s="1"/>
      <c r="EAN217" s="1"/>
      <c r="EAO217" s="1"/>
      <c r="EAP217" s="1"/>
      <c r="EAQ217" s="1"/>
      <c r="EAR217" s="1"/>
      <c r="EAS217" s="1"/>
      <c r="EAT217" s="1"/>
      <c r="EAU217" s="1"/>
      <c r="EAV217" s="1"/>
      <c r="EAW217" s="1"/>
      <c r="EAX217" s="1"/>
      <c r="EAY217" s="1"/>
      <c r="EAZ217" s="1"/>
      <c r="EBA217" s="1"/>
      <c r="EBB217" s="1"/>
      <c r="EBC217" s="1"/>
      <c r="EBD217" s="1"/>
      <c r="EBE217" s="1"/>
      <c r="EBF217" s="1"/>
      <c r="EBG217" s="1"/>
      <c r="EBH217" s="1"/>
      <c r="EBI217" s="1"/>
      <c r="EBJ217" s="1"/>
      <c r="EBK217" s="1"/>
      <c r="EBL217" s="1"/>
      <c r="EBM217" s="1"/>
      <c r="EBN217" s="1"/>
      <c r="EBO217" s="1"/>
      <c r="EBP217" s="1"/>
      <c r="EBQ217" s="1"/>
      <c r="EBR217" s="1"/>
      <c r="EBS217" s="1"/>
      <c r="EBT217" s="1"/>
      <c r="EBU217" s="1"/>
      <c r="EBV217" s="1"/>
      <c r="EBW217" s="1"/>
      <c r="EBX217" s="1"/>
      <c r="EBY217" s="1"/>
      <c r="EBZ217" s="1"/>
      <c r="ECA217" s="1"/>
      <c r="ECB217" s="1"/>
      <c r="ECC217" s="1"/>
      <c r="ECD217" s="1"/>
      <c r="ECE217" s="1"/>
      <c r="ECF217" s="1"/>
      <c r="ECG217" s="1"/>
      <c r="ECH217" s="1"/>
      <c r="ECI217" s="1"/>
      <c r="ECJ217" s="1"/>
      <c r="ECK217" s="1"/>
      <c r="ECL217" s="1"/>
      <c r="ECM217" s="1"/>
      <c r="ECN217" s="1"/>
      <c r="ECO217" s="1"/>
      <c r="ECP217" s="1"/>
      <c r="ECQ217" s="1"/>
      <c r="ECR217" s="1"/>
      <c r="ECS217" s="1"/>
      <c r="ECT217" s="1"/>
      <c r="ECU217" s="1"/>
      <c r="ECV217" s="1"/>
      <c r="ECW217" s="1"/>
      <c r="ECX217" s="1"/>
      <c r="ECY217" s="1"/>
      <c r="ECZ217" s="1"/>
      <c r="EDA217" s="1"/>
      <c r="EDB217" s="1"/>
      <c r="EDC217" s="1"/>
      <c r="EDD217" s="1"/>
      <c r="EDE217" s="1"/>
      <c r="EDF217" s="1"/>
      <c r="EDG217" s="1"/>
      <c r="EDH217" s="1"/>
      <c r="EDI217" s="1"/>
      <c r="EDJ217" s="1"/>
      <c r="EDK217" s="1"/>
      <c r="EDL217" s="1"/>
      <c r="EDM217" s="1"/>
      <c r="EDN217" s="1"/>
      <c r="EDO217" s="1"/>
      <c r="EDP217" s="1"/>
      <c r="EDQ217" s="1"/>
      <c r="EDR217" s="1"/>
      <c r="EDS217" s="1"/>
      <c r="EDT217" s="1"/>
      <c r="EDU217" s="1"/>
      <c r="EDV217" s="1"/>
      <c r="EDW217" s="1"/>
      <c r="EDX217" s="1"/>
      <c r="EDY217" s="1"/>
      <c r="EDZ217" s="1"/>
      <c r="EEA217" s="1"/>
      <c r="EEB217" s="1"/>
      <c r="EEC217" s="1"/>
      <c r="EED217" s="1"/>
      <c r="EEE217" s="1"/>
      <c r="EEF217" s="1"/>
      <c r="EEG217" s="1"/>
      <c r="EEH217" s="1"/>
      <c r="EEI217" s="1"/>
      <c r="EEJ217" s="1"/>
      <c r="EEK217" s="1"/>
      <c r="EEL217" s="1"/>
      <c r="EEM217" s="1"/>
      <c r="EEN217" s="1"/>
      <c r="EEO217" s="1"/>
      <c r="EEP217" s="1"/>
      <c r="EEQ217" s="1"/>
      <c r="EER217" s="1"/>
      <c r="EES217" s="1"/>
      <c r="EET217" s="1"/>
      <c r="EEU217" s="1"/>
      <c r="EEV217" s="1"/>
      <c r="EEW217" s="1"/>
      <c r="EEX217" s="1"/>
      <c r="EEY217" s="1"/>
      <c r="EEZ217" s="1"/>
      <c r="EFA217" s="1"/>
      <c r="EFB217" s="1"/>
      <c r="EFC217" s="1"/>
      <c r="EFD217" s="1"/>
      <c r="EFE217" s="1"/>
      <c r="EFF217" s="1"/>
      <c r="EFG217" s="1"/>
      <c r="EFH217" s="1"/>
      <c r="EFI217" s="1"/>
      <c r="EFJ217" s="1"/>
      <c r="EFK217" s="1"/>
      <c r="EFL217" s="1"/>
      <c r="EFM217" s="1"/>
      <c r="EFN217" s="1"/>
      <c r="EFO217" s="1"/>
      <c r="EFP217" s="1"/>
      <c r="EFQ217" s="1"/>
      <c r="EFR217" s="1"/>
      <c r="EFS217" s="1"/>
      <c r="EFT217" s="1"/>
      <c r="EFU217" s="1"/>
      <c r="EFV217" s="1"/>
      <c r="EFW217" s="1"/>
      <c r="EFX217" s="1"/>
      <c r="EFY217" s="1"/>
      <c r="EFZ217" s="1"/>
      <c r="EGA217" s="1"/>
      <c r="EGB217" s="1"/>
      <c r="EGC217" s="1"/>
      <c r="EGD217" s="1"/>
      <c r="EGE217" s="1"/>
      <c r="EGF217" s="1"/>
      <c r="EGG217" s="1"/>
      <c r="EGH217" s="1"/>
      <c r="EGI217" s="1"/>
      <c r="EGJ217" s="1"/>
      <c r="EGK217" s="1"/>
      <c r="EGL217" s="1"/>
      <c r="EGM217" s="1"/>
      <c r="EGN217" s="1"/>
      <c r="EGO217" s="1"/>
      <c r="EGP217" s="1"/>
      <c r="EGQ217" s="1"/>
      <c r="EGR217" s="1"/>
      <c r="EGS217" s="1"/>
      <c r="EGT217" s="1"/>
      <c r="EGU217" s="1"/>
      <c r="EGV217" s="1"/>
      <c r="EGW217" s="1"/>
      <c r="EGX217" s="1"/>
      <c r="EGY217" s="1"/>
      <c r="EGZ217" s="1"/>
      <c r="EHA217" s="1"/>
      <c r="EHB217" s="1"/>
      <c r="EHC217" s="1"/>
      <c r="EHD217" s="1"/>
      <c r="EHE217" s="1"/>
      <c r="EHF217" s="1"/>
      <c r="EHG217" s="1"/>
      <c r="EHH217" s="1"/>
      <c r="EHI217" s="1"/>
      <c r="EHJ217" s="1"/>
      <c r="EHK217" s="1"/>
      <c r="EHL217" s="1"/>
      <c r="EHM217" s="1"/>
      <c r="EHN217" s="1"/>
      <c r="EHO217" s="1"/>
      <c r="EHP217" s="1"/>
      <c r="EHQ217" s="1"/>
      <c r="EHR217" s="1"/>
      <c r="EHS217" s="1"/>
      <c r="EHT217" s="1"/>
      <c r="EHU217" s="1"/>
      <c r="EHV217" s="1"/>
      <c r="EHW217" s="1"/>
      <c r="EHX217" s="1"/>
      <c r="EHY217" s="1"/>
      <c r="EHZ217" s="1"/>
      <c r="EIA217" s="1"/>
      <c r="EIB217" s="1"/>
      <c r="EIC217" s="1"/>
      <c r="EID217" s="1"/>
      <c r="EIE217" s="1"/>
      <c r="EIF217" s="1"/>
      <c r="EIG217" s="1"/>
      <c r="EIH217" s="1"/>
      <c r="EII217" s="1"/>
      <c r="EIJ217" s="1"/>
      <c r="EIK217" s="1"/>
      <c r="EIL217" s="1"/>
      <c r="EIM217" s="1"/>
      <c r="EIN217" s="1"/>
      <c r="EIO217" s="1"/>
      <c r="EIP217" s="1"/>
      <c r="EIQ217" s="1"/>
      <c r="EIR217" s="1"/>
      <c r="EIS217" s="1"/>
      <c r="EIT217" s="1"/>
      <c r="EIU217" s="1"/>
      <c r="EIV217" s="1"/>
      <c r="EIW217" s="1"/>
      <c r="EIX217" s="1"/>
      <c r="EIY217" s="1"/>
      <c r="EIZ217" s="1"/>
      <c r="EJA217" s="1"/>
      <c r="EJB217" s="1"/>
      <c r="EJC217" s="1"/>
      <c r="EJD217" s="1"/>
      <c r="EJE217" s="1"/>
      <c r="EJF217" s="1"/>
      <c r="EJG217" s="1"/>
      <c r="EJH217" s="1"/>
      <c r="EJI217" s="1"/>
      <c r="EJJ217" s="1"/>
      <c r="EJK217" s="1"/>
      <c r="EJL217" s="1"/>
      <c r="EJM217" s="1"/>
      <c r="EJN217" s="1"/>
      <c r="EJO217" s="1"/>
      <c r="EJP217" s="1"/>
      <c r="EJQ217" s="1"/>
      <c r="EJR217" s="1"/>
      <c r="EJS217" s="1"/>
      <c r="EJT217" s="1"/>
      <c r="EJU217" s="1"/>
      <c r="EJV217" s="1"/>
      <c r="EJW217" s="1"/>
      <c r="EJX217" s="1"/>
      <c r="EJY217" s="1"/>
      <c r="EJZ217" s="1"/>
      <c r="EKA217" s="1"/>
      <c r="EKB217" s="1"/>
      <c r="EKC217" s="1"/>
      <c r="EKD217" s="1"/>
      <c r="EKE217" s="1"/>
      <c r="EKF217" s="1"/>
      <c r="EKG217" s="1"/>
      <c r="EKH217" s="1"/>
      <c r="EKI217" s="1"/>
      <c r="EKJ217" s="1"/>
      <c r="EKK217" s="1"/>
      <c r="EKL217" s="1"/>
      <c r="EKM217" s="1"/>
      <c r="EKN217" s="1"/>
      <c r="EKO217" s="1"/>
      <c r="EKP217" s="1"/>
      <c r="EKQ217" s="1"/>
      <c r="EKR217" s="1"/>
      <c r="EKS217" s="1"/>
      <c r="EKT217" s="1"/>
      <c r="EKU217" s="1"/>
      <c r="EKV217" s="1"/>
      <c r="EKW217" s="1"/>
      <c r="EKX217" s="1"/>
      <c r="EKY217" s="1"/>
      <c r="EKZ217" s="1"/>
      <c r="ELA217" s="1"/>
      <c r="ELB217" s="1"/>
      <c r="ELC217" s="1"/>
      <c r="ELD217" s="1"/>
      <c r="ELE217" s="1"/>
      <c r="ELF217" s="1"/>
      <c r="ELG217" s="1"/>
      <c r="ELH217" s="1"/>
      <c r="ELI217" s="1"/>
      <c r="ELJ217" s="1"/>
      <c r="ELK217" s="1"/>
      <c r="ELL217" s="1"/>
      <c r="ELM217" s="1"/>
      <c r="ELN217" s="1"/>
      <c r="ELO217" s="1"/>
      <c r="ELP217" s="1"/>
      <c r="ELQ217" s="1"/>
      <c r="ELR217" s="1"/>
      <c r="ELS217" s="1"/>
      <c r="ELT217" s="1"/>
      <c r="ELU217" s="1"/>
      <c r="ELV217" s="1"/>
      <c r="ELW217" s="1"/>
      <c r="ELX217" s="1"/>
      <c r="ELY217" s="1"/>
      <c r="ELZ217" s="1"/>
      <c r="EMA217" s="1"/>
      <c r="EMB217" s="1"/>
      <c r="EMC217" s="1"/>
      <c r="EMD217" s="1"/>
      <c r="EME217" s="1"/>
      <c r="EMF217" s="1"/>
      <c r="EMG217" s="1"/>
      <c r="EMH217" s="1"/>
      <c r="EMI217" s="1"/>
      <c r="EMJ217" s="1"/>
      <c r="EMK217" s="1"/>
      <c r="EML217" s="1"/>
      <c r="EMM217" s="1"/>
      <c r="EMN217" s="1"/>
      <c r="EMO217" s="1"/>
      <c r="EMP217" s="1"/>
      <c r="EMQ217" s="1"/>
      <c r="EMR217" s="1"/>
      <c r="EMS217" s="1"/>
      <c r="EMT217" s="1"/>
      <c r="EMU217" s="1"/>
      <c r="EMV217" s="1"/>
      <c r="EMW217" s="1"/>
      <c r="EMX217" s="1"/>
      <c r="EMY217" s="1"/>
      <c r="EMZ217" s="1"/>
      <c r="ENA217" s="1"/>
      <c r="ENB217" s="1"/>
      <c r="ENC217" s="1"/>
      <c r="END217" s="1"/>
      <c r="ENE217" s="1"/>
      <c r="ENF217" s="1"/>
      <c r="ENG217" s="1"/>
      <c r="ENH217" s="1"/>
      <c r="ENI217" s="1"/>
      <c r="ENJ217" s="1"/>
      <c r="ENK217" s="1"/>
      <c r="ENL217" s="1"/>
      <c r="ENM217" s="1"/>
      <c r="ENN217" s="1"/>
      <c r="ENO217" s="1"/>
      <c r="ENP217" s="1"/>
      <c r="ENQ217" s="1"/>
      <c r="ENR217" s="1"/>
      <c r="ENS217" s="1"/>
      <c r="ENT217" s="1"/>
      <c r="ENU217" s="1"/>
      <c r="ENV217" s="1"/>
      <c r="ENW217" s="1"/>
      <c r="ENX217" s="1"/>
      <c r="ENY217" s="1"/>
      <c r="ENZ217" s="1"/>
      <c r="EOA217" s="1"/>
      <c r="EOB217" s="1"/>
      <c r="EOC217" s="1"/>
      <c r="EOD217" s="1"/>
      <c r="EOE217" s="1"/>
      <c r="EOF217" s="1"/>
      <c r="EOG217" s="1"/>
      <c r="EOH217" s="1"/>
      <c r="EOI217" s="1"/>
      <c r="EOJ217" s="1"/>
      <c r="EOK217" s="1"/>
      <c r="EOL217" s="1"/>
      <c r="EOM217" s="1"/>
      <c r="EON217" s="1"/>
      <c r="EOO217" s="1"/>
      <c r="EOP217" s="1"/>
      <c r="EOQ217" s="1"/>
      <c r="EOR217" s="1"/>
      <c r="EOS217" s="1"/>
      <c r="EOT217" s="1"/>
      <c r="EOU217" s="1"/>
      <c r="EOV217" s="1"/>
      <c r="EOW217" s="1"/>
      <c r="EOX217" s="1"/>
      <c r="EOY217" s="1"/>
      <c r="EOZ217" s="1"/>
      <c r="EPA217" s="1"/>
      <c r="EPB217" s="1"/>
      <c r="EPC217" s="1"/>
      <c r="EPD217" s="1"/>
      <c r="EPE217" s="1"/>
      <c r="EPF217" s="1"/>
      <c r="EPG217" s="1"/>
      <c r="EPH217" s="1"/>
      <c r="EPI217" s="1"/>
      <c r="EPJ217" s="1"/>
      <c r="EPK217" s="1"/>
      <c r="EPL217" s="1"/>
      <c r="EPM217" s="1"/>
      <c r="EPN217" s="1"/>
      <c r="EPO217" s="1"/>
      <c r="EPP217" s="1"/>
      <c r="EPQ217" s="1"/>
      <c r="EPR217" s="1"/>
      <c r="EPS217" s="1"/>
      <c r="EPT217" s="1"/>
      <c r="EPU217" s="1"/>
      <c r="EPV217" s="1"/>
      <c r="EPW217" s="1"/>
      <c r="EPX217" s="1"/>
      <c r="EPY217" s="1"/>
      <c r="EPZ217" s="1"/>
      <c r="EQA217" s="1"/>
      <c r="EQB217" s="1"/>
      <c r="EQC217" s="1"/>
      <c r="EQD217" s="1"/>
      <c r="EQE217" s="1"/>
      <c r="EQF217" s="1"/>
      <c r="EQG217" s="1"/>
      <c r="EQH217" s="1"/>
      <c r="EQI217" s="1"/>
      <c r="EQJ217" s="1"/>
      <c r="EQK217" s="1"/>
      <c r="EQL217" s="1"/>
      <c r="EQM217" s="1"/>
      <c r="EQN217" s="1"/>
      <c r="EQO217" s="1"/>
      <c r="EQP217" s="1"/>
      <c r="EQQ217" s="1"/>
      <c r="EQR217" s="1"/>
      <c r="EQS217" s="1"/>
      <c r="EQT217" s="1"/>
      <c r="EQU217" s="1"/>
      <c r="EQV217" s="1"/>
      <c r="EQW217" s="1"/>
      <c r="EQX217" s="1"/>
      <c r="EQY217" s="1"/>
      <c r="EQZ217" s="1"/>
      <c r="ERA217" s="1"/>
      <c r="ERB217" s="1"/>
      <c r="ERC217" s="1"/>
      <c r="ERD217" s="1"/>
      <c r="ERE217" s="1"/>
      <c r="ERF217" s="1"/>
      <c r="ERG217" s="1"/>
      <c r="ERH217" s="1"/>
      <c r="ERI217" s="1"/>
      <c r="ERJ217" s="1"/>
      <c r="ERK217" s="1"/>
      <c r="ERL217" s="1"/>
      <c r="ERM217" s="1"/>
      <c r="ERN217" s="1"/>
      <c r="ERO217" s="1"/>
      <c r="ERP217" s="1"/>
      <c r="ERQ217" s="1"/>
      <c r="ERR217" s="1"/>
      <c r="ERS217" s="1"/>
      <c r="ERT217" s="1"/>
      <c r="ERU217" s="1"/>
      <c r="ERV217" s="1"/>
      <c r="ERW217" s="1"/>
      <c r="ERX217" s="1"/>
      <c r="ERY217" s="1"/>
      <c r="ERZ217" s="1"/>
      <c r="ESA217" s="1"/>
      <c r="ESB217" s="1"/>
      <c r="ESC217" s="1"/>
      <c r="ESD217" s="1"/>
      <c r="ESE217" s="1"/>
      <c r="ESF217" s="1"/>
      <c r="ESG217" s="1"/>
      <c r="ESH217" s="1"/>
      <c r="ESI217" s="1"/>
      <c r="ESJ217" s="1"/>
      <c r="ESK217" s="1"/>
      <c r="ESL217" s="1"/>
      <c r="ESM217" s="1"/>
      <c r="ESN217" s="1"/>
      <c r="ESO217" s="1"/>
      <c r="ESP217" s="1"/>
      <c r="ESQ217" s="1"/>
      <c r="ESR217" s="1"/>
      <c r="ESS217" s="1"/>
      <c r="EST217" s="1"/>
      <c r="ESU217" s="1"/>
      <c r="ESV217" s="1"/>
      <c r="ESW217" s="1"/>
      <c r="ESX217" s="1"/>
      <c r="ESY217" s="1"/>
      <c r="ESZ217" s="1"/>
      <c r="ETA217" s="1"/>
      <c r="ETB217" s="1"/>
      <c r="ETC217" s="1"/>
      <c r="ETD217" s="1"/>
      <c r="ETE217" s="1"/>
      <c r="ETF217" s="1"/>
      <c r="ETG217" s="1"/>
      <c r="ETH217" s="1"/>
      <c r="ETI217" s="1"/>
      <c r="ETJ217" s="1"/>
      <c r="ETK217" s="1"/>
      <c r="ETL217" s="1"/>
      <c r="ETM217" s="1"/>
      <c r="ETN217" s="1"/>
      <c r="ETO217" s="1"/>
      <c r="ETP217" s="1"/>
      <c r="ETQ217" s="1"/>
      <c r="ETR217" s="1"/>
      <c r="ETS217" s="1"/>
      <c r="ETT217" s="1"/>
      <c r="ETU217" s="1"/>
      <c r="ETV217" s="1"/>
      <c r="ETW217" s="1"/>
      <c r="ETX217" s="1"/>
      <c r="ETY217" s="1"/>
      <c r="ETZ217" s="1"/>
      <c r="EUA217" s="1"/>
      <c r="EUB217" s="1"/>
      <c r="EUC217" s="1"/>
      <c r="EUD217" s="1"/>
      <c r="EUE217" s="1"/>
      <c r="EUF217" s="1"/>
      <c r="EUG217" s="1"/>
      <c r="EUH217" s="1"/>
      <c r="EUI217" s="1"/>
      <c r="EUJ217" s="1"/>
      <c r="EUK217" s="1"/>
      <c r="EUL217" s="1"/>
      <c r="EUM217" s="1"/>
      <c r="EUN217" s="1"/>
      <c r="EUO217" s="1"/>
      <c r="EUP217" s="1"/>
      <c r="EUQ217" s="1"/>
      <c r="EUR217" s="1"/>
      <c r="EUS217" s="1"/>
      <c r="EUT217" s="1"/>
      <c r="EUU217" s="1"/>
      <c r="EUV217" s="1"/>
      <c r="EUW217" s="1"/>
      <c r="EUX217" s="1"/>
      <c r="EUY217" s="1"/>
      <c r="EUZ217" s="1"/>
      <c r="EVA217" s="1"/>
      <c r="EVB217" s="1"/>
      <c r="EVC217" s="1"/>
      <c r="EVD217" s="1"/>
      <c r="EVE217" s="1"/>
      <c r="EVF217" s="1"/>
      <c r="EVG217" s="1"/>
      <c r="EVH217" s="1"/>
      <c r="EVI217" s="1"/>
      <c r="EVJ217" s="1"/>
      <c r="EVK217" s="1"/>
      <c r="EVL217" s="1"/>
      <c r="EVM217" s="1"/>
      <c r="EVN217" s="1"/>
      <c r="EVO217" s="1"/>
      <c r="EVP217" s="1"/>
      <c r="EVQ217" s="1"/>
      <c r="EVR217" s="1"/>
      <c r="EVS217" s="1"/>
      <c r="EVT217" s="1"/>
      <c r="EVU217" s="1"/>
      <c r="EVV217" s="1"/>
      <c r="EVW217" s="1"/>
      <c r="EVX217" s="1"/>
      <c r="EVY217" s="1"/>
      <c r="EVZ217" s="1"/>
      <c r="EWA217" s="1"/>
      <c r="EWB217" s="1"/>
      <c r="EWC217" s="1"/>
      <c r="EWD217" s="1"/>
      <c r="EWE217" s="1"/>
      <c r="EWF217" s="1"/>
      <c r="EWG217" s="1"/>
      <c r="EWH217" s="1"/>
      <c r="EWI217" s="1"/>
      <c r="EWJ217" s="1"/>
      <c r="EWK217" s="1"/>
      <c r="EWL217" s="1"/>
      <c r="EWM217" s="1"/>
      <c r="EWN217" s="1"/>
      <c r="EWO217" s="1"/>
      <c r="EWP217" s="1"/>
      <c r="EWQ217" s="1"/>
      <c r="EWR217" s="1"/>
      <c r="EWS217" s="1"/>
      <c r="EWT217" s="1"/>
      <c r="EWU217" s="1"/>
      <c r="EWV217" s="1"/>
      <c r="EWW217" s="1"/>
      <c r="EWX217" s="1"/>
      <c r="EWY217" s="1"/>
      <c r="EWZ217" s="1"/>
      <c r="EXA217" s="1"/>
      <c r="EXB217" s="1"/>
      <c r="EXC217" s="1"/>
      <c r="EXD217" s="1"/>
      <c r="EXE217" s="1"/>
      <c r="EXF217" s="1"/>
      <c r="EXG217" s="1"/>
      <c r="EXH217" s="1"/>
      <c r="EXI217" s="1"/>
      <c r="EXJ217" s="1"/>
      <c r="EXK217" s="1"/>
      <c r="EXL217" s="1"/>
      <c r="EXM217" s="1"/>
      <c r="EXN217" s="1"/>
      <c r="EXO217" s="1"/>
      <c r="EXP217" s="1"/>
      <c r="EXQ217" s="1"/>
      <c r="EXR217" s="1"/>
      <c r="EXS217" s="1"/>
      <c r="EXT217" s="1"/>
      <c r="EXU217" s="1"/>
      <c r="EXV217" s="1"/>
      <c r="EXW217" s="1"/>
      <c r="EXX217" s="1"/>
      <c r="EXY217" s="1"/>
      <c r="EXZ217" s="1"/>
      <c r="EYA217" s="1"/>
      <c r="EYB217" s="1"/>
      <c r="EYC217" s="1"/>
      <c r="EYD217" s="1"/>
      <c r="EYE217" s="1"/>
      <c r="EYF217" s="1"/>
      <c r="EYG217" s="1"/>
      <c r="EYH217" s="1"/>
      <c r="EYI217" s="1"/>
      <c r="EYJ217" s="1"/>
      <c r="EYK217" s="1"/>
      <c r="EYL217" s="1"/>
      <c r="EYM217" s="1"/>
      <c r="EYN217" s="1"/>
      <c r="EYO217" s="1"/>
      <c r="EYP217" s="1"/>
      <c r="EYQ217" s="1"/>
      <c r="EYR217" s="1"/>
      <c r="EYS217" s="1"/>
      <c r="EYT217" s="1"/>
      <c r="EYU217" s="1"/>
      <c r="EYV217" s="1"/>
      <c r="EYW217" s="1"/>
      <c r="EYX217" s="1"/>
      <c r="EYY217" s="1"/>
      <c r="EYZ217" s="1"/>
      <c r="EZA217" s="1"/>
      <c r="EZB217" s="1"/>
      <c r="EZC217" s="1"/>
      <c r="EZD217" s="1"/>
      <c r="EZE217" s="1"/>
      <c r="EZF217" s="1"/>
      <c r="EZG217" s="1"/>
      <c r="EZH217" s="1"/>
      <c r="EZI217" s="1"/>
      <c r="EZJ217" s="1"/>
      <c r="EZK217" s="1"/>
      <c r="EZL217" s="1"/>
      <c r="EZM217" s="1"/>
      <c r="EZN217" s="1"/>
      <c r="EZO217" s="1"/>
      <c r="EZP217" s="1"/>
      <c r="EZQ217" s="1"/>
      <c r="EZR217" s="1"/>
      <c r="EZS217" s="1"/>
      <c r="EZT217" s="1"/>
      <c r="EZU217" s="1"/>
      <c r="EZV217" s="1"/>
      <c r="EZW217" s="1"/>
      <c r="EZX217" s="1"/>
      <c r="EZY217" s="1"/>
      <c r="EZZ217" s="1"/>
      <c r="FAA217" s="1"/>
      <c r="FAB217" s="1"/>
      <c r="FAC217" s="1"/>
      <c r="FAD217" s="1"/>
      <c r="FAE217" s="1"/>
      <c r="FAF217" s="1"/>
      <c r="FAG217" s="1"/>
      <c r="FAH217" s="1"/>
      <c r="FAI217" s="1"/>
      <c r="FAJ217" s="1"/>
      <c r="FAK217" s="1"/>
      <c r="FAL217" s="1"/>
      <c r="FAM217" s="1"/>
      <c r="FAN217" s="1"/>
      <c r="FAO217" s="1"/>
      <c r="FAP217" s="1"/>
      <c r="FAQ217" s="1"/>
      <c r="FAR217" s="1"/>
      <c r="FAS217" s="1"/>
      <c r="FAT217" s="1"/>
      <c r="FAU217" s="1"/>
      <c r="FAV217" s="1"/>
      <c r="FAW217" s="1"/>
      <c r="FAX217" s="1"/>
      <c r="FAY217" s="1"/>
      <c r="FAZ217" s="1"/>
      <c r="FBA217" s="1"/>
      <c r="FBB217" s="1"/>
      <c r="FBC217" s="1"/>
      <c r="FBD217" s="1"/>
      <c r="FBE217" s="1"/>
      <c r="FBF217" s="1"/>
      <c r="FBG217" s="1"/>
      <c r="FBH217" s="1"/>
      <c r="FBI217" s="1"/>
      <c r="FBJ217" s="1"/>
      <c r="FBK217" s="1"/>
      <c r="FBL217" s="1"/>
      <c r="FBM217" s="1"/>
      <c r="FBN217" s="1"/>
      <c r="FBO217" s="1"/>
      <c r="FBP217" s="1"/>
      <c r="FBQ217" s="1"/>
      <c r="FBR217" s="1"/>
      <c r="FBS217" s="1"/>
      <c r="FBT217" s="1"/>
      <c r="FBU217" s="1"/>
      <c r="FBV217" s="1"/>
      <c r="FBW217" s="1"/>
      <c r="FBX217" s="1"/>
      <c r="FBY217" s="1"/>
      <c r="FBZ217" s="1"/>
      <c r="FCA217" s="1"/>
      <c r="FCB217" s="1"/>
      <c r="FCC217" s="1"/>
      <c r="FCD217" s="1"/>
      <c r="FCE217" s="1"/>
      <c r="FCF217" s="1"/>
      <c r="FCG217" s="1"/>
      <c r="FCH217" s="1"/>
      <c r="FCI217" s="1"/>
      <c r="FCJ217" s="1"/>
      <c r="FCK217" s="1"/>
      <c r="FCL217" s="1"/>
      <c r="FCM217" s="1"/>
      <c r="FCN217" s="1"/>
      <c r="FCO217" s="1"/>
      <c r="FCP217" s="1"/>
      <c r="FCQ217" s="1"/>
      <c r="FCR217" s="1"/>
      <c r="FCS217" s="1"/>
      <c r="FCT217" s="1"/>
      <c r="FCU217" s="1"/>
      <c r="FCV217" s="1"/>
      <c r="FCW217" s="1"/>
      <c r="FCX217" s="1"/>
      <c r="FCY217" s="1"/>
      <c r="FCZ217" s="1"/>
      <c r="FDA217" s="1"/>
      <c r="FDB217" s="1"/>
      <c r="FDC217" s="1"/>
      <c r="FDD217" s="1"/>
      <c r="FDE217" s="1"/>
      <c r="FDF217" s="1"/>
      <c r="FDG217" s="1"/>
      <c r="FDH217" s="1"/>
      <c r="FDI217" s="1"/>
      <c r="FDJ217" s="1"/>
      <c r="FDK217" s="1"/>
      <c r="FDL217" s="1"/>
      <c r="FDM217" s="1"/>
      <c r="FDN217" s="1"/>
      <c r="FDO217" s="1"/>
      <c r="FDP217" s="1"/>
      <c r="FDQ217" s="1"/>
      <c r="FDR217" s="1"/>
      <c r="FDS217" s="1"/>
      <c r="FDT217" s="1"/>
      <c r="FDU217" s="1"/>
      <c r="FDV217" s="1"/>
      <c r="FDW217" s="1"/>
      <c r="FDX217" s="1"/>
      <c r="FDY217" s="1"/>
      <c r="FDZ217" s="1"/>
      <c r="FEA217" s="1"/>
      <c r="FEB217" s="1"/>
      <c r="FEC217" s="1"/>
      <c r="FED217" s="1"/>
      <c r="FEE217" s="1"/>
      <c r="FEF217" s="1"/>
      <c r="FEG217" s="1"/>
      <c r="FEH217" s="1"/>
      <c r="FEI217" s="1"/>
      <c r="FEJ217" s="1"/>
      <c r="FEK217" s="1"/>
      <c r="FEL217" s="1"/>
      <c r="FEM217" s="1"/>
      <c r="FEN217" s="1"/>
      <c r="FEO217" s="1"/>
      <c r="FEP217" s="1"/>
      <c r="FEQ217" s="1"/>
      <c r="FER217" s="1"/>
      <c r="FES217" s="1"/>
      <c r="FET217" s="1"/>
      <c r="FEU217" s="1"/>
      <c r="FEV217" s="1"/>
      <c r="FEW217" s="1"/>
      <c r="FEX217" s="1"/>
      <c r="FEY217" s="1"/>
      <c r="FEZ217" s="1"/>
      <c r="FFA217" s="1"/>
      <c r="FFB217" s="1"/>
      <c r="FFC217" s="1"/>
      <c r="FFD217" s="1"/>
      <c r="FFE217" s="1"/>
      <c r="FFF217" s="1"/>
      <c r="FFG217" s="1"/>
      <c r="FFH217" s="1"/>
      <c r="FFI217" s="1"/>
      <c r="FFJ217" s="1"/>
      <c r="FFK217" s="1"/>
      <c r="FFL217" s="1"/>
      <c r="FFM217" s="1"/>
      <c r="FFN217" s="1"/>
      <c r="FFO217" s="1"/>
      <c r="FFP217" s="1"/>
      <c r="FFQ217" s="1"/>
      <c r="FFR217" s="1"/>
      <c r="FFS217" s="1"/>
      <c r="FFT217" s="1"/>
      <c r="FFU217" s="1"/>
      <c r="FFV217" s="1"/>
      <c r="FFW217" s="1"/>
      <c r="FFX217" s="1"/>
      <c r="FFY217" s="1"/>
      <c r="FFZ217" s="1"/>
      <c r="FGA217" s="1"/>
      <c r="FGB217" s="1"/>
      <c r="FGC217" s="1"/>
      <c r="FGD217" s="1"/>
      <c r="FGE217" s="1"/>
      <c r="FGF217" s="1"/>
      <c r="FGG217" s="1"/>
      <c r="FGH217" s="1"/>
      <c r="FGI217" s="1"/>
      <c r="FGJ217" s="1"/>
      <c r="FGK217" s="1"/>
      <c r="FGL217" s="1"/>
      <c r="FGM217" s="1"/>
      <c r="FGN217" s="1"/>
      <c r="FGO217" s="1"/>
      <c r="FGP217" s="1"/>
      <c r="FGQ217" s="1"/>
      <c r="FGR217" s="1"/>
      <c r="FGS217" s="1"/>
      <c r="FGT217" s="1"/>
      <c r="FGU217" s="1"/>
      <c r="FGV217" s="1"/>
      <c r="FGW217" s="1"/>
      <c r="FGX217" s="1"/>
      <c r="FGY217" s="1"/>
      <c r="FGZ217" s="1"/>
      <c r="FHA217" s="1"/>
      <c r="FHB217" s="1"/>
      <c r="FHC217" s="1"/>
      <c r="FHD217" s="1"/>
      <c r="FHE217" s="1"/>
      <c r="FHF217" s="1"/>
      <c r="FHG217" s="1"/>
      <c r="FHH217" s="1"/>
      <c r="FHI217" s="1"/>
      <c r="FHJ217" s="1"/>
      <c r="FHK217" s="1"/>
      <c r="FHL217" s="1"/>
      <c r="FHM217" s="1"/>
      <c r="FHN217" s="1"/>
      <c r="FHO217" s="1"/>
      <c r="FHP217" s="1"/>
      <c r="FHQ217" s="1"/>
      <c r="FHR217" s="1"/>
      <c r="FHS217" s="1"/>
      <c r="FHT217" s="1"/>
      <c r="FHU217" s="1"/>
      <c r="FHV217" s="1"/>
      <c r="FHW217" s="1"/>
      <c r="FHX217" s="1"/>
      <c r="FHY217" s="1"/>
      <c r="FHZ217" s="1"/>
      <c r="FIA217" s="1"/>
      <c r="FIB217" s="1"/>
      <c r="FIC217" s="1"/>
      <c r="FID217" s="1"/>
      <c r="FIE217" s="1"/>
      <c r="FIF217" s="1"/>
      <c r="FIG217" s="1"/>
      <c r="FIH217" s="1"/>
      <c r="FII217" s="1"/>
      <c r="FIJ217" s="1"/>
      <c r="FIK217" s="1"/>
      <c r="FIL217" s="1"/>
      <c r="FIM217" s="1"/>
      <c r="FIN217" s="1"/>
      <c r="FIO217" s="1"/>
      <c r="FIP217" s="1"/>
      <c r="FIQ217" s="1"/>
      <c r="FIR217" s="1"/>
      <c r="FIS217" s="1"/>
      <c r="FIT217" s="1"/>
      <c r="FIU217" s="1"/>
      <c r="FIV217" s="1"/>
      <c r="FIW217" s="1"/>
      <c r="FIX217" s="1"/>
      <c r="FIY217" s="1"/>
      <c r="FIZ217" s="1"/>
      <c r="FJA217" s="1"/>
      <c r="FJB217" s="1"/>
      <c r="FJC217" s="1"/>
      <c r="FJD217" s="1"/>
      <c r="FJE217" s="1"/>
      <c r="FJF217" s="1"/>
      <c r="FJG217" s="1"/>
      <c r="FJH217" s="1"/>
      <c r="FJI217" s="1"/>
      <c r="FJJ217" s="1"/>
      <c r="FJK217" s="1"/>
      <c r="FJL217" s="1"/>
      <c r="FJM217" s="1"/>
      <c r="FJN217" s="1"/>
      <c r="FJO217" s="1"/>
      <c r="FJP217" s="1"/>
      <c r="FJQ217" s="1"/>
      <c r="FJR217" s="1"/>
      <c r="FJS217" s="1"/>
      <c r="FJT217" s="1"/>
      <c r="FJU217" s="1"/>
      <c r="FJV217" s="1"/>
      <c r="FJW217" s="1"/>
      <c r="FJX217" s="1"/>
      <c r="FJY217" s="1"/>
      <c r="FJZ217" s="1"/>
      <c r="FKA217" s="1"/>
      <c r="FKB217" s="1"/>
      <c r="FKC217" s="1"/>
      <c r="FKD217" s="1"/>
      <c r="FKE217" s="1"/>
      <c r="FKF217" s="1"/>
      <c r="FKG217" s="1"/>
      <c r="FKH217" s="1"/>
      <c r="FKI217" s="1"/>
      <c r="FKJ217" s="1"/>
      <c r="FKK217" s="1"/>
      <c r="FKL217" s="1"/>
      <c r="FKM217" s="1"/>
      <c r="FKN217" s="1"/>
      <c r="FKO217" s="1"/>
      <c r="FKP217" s="1"/>
      <c r="FKQ217" s="1"/>
      <c r="FKR217" s="1"/>
      <c r="FKS217" s="1"/>
      <c r="FKT217" s="1"/>
      <c r="FKU217" s="1"/>
      <c r="FKV217" s="1"/>
      <c r="FKW217" s="1"/>
      <c r="FKX217" s="1"/>
      <c r="FKY217" s="1"/>
      <c r="FKZ217" s="1"/>
      <c r="FLA217" s="1"/>
      <c r="FLB217" s="1"/>
      <c r="FLC217" s="1"/>
      <c r="FLD217" s="1"/>
      <c r="FLE217" s="1"/>
      <c r="FLF217" s="1"/>
      <c r="FLG217" s="1"/>
      <c r="FLH217" s="1"/>
      <c r="FLI217" s="1"/>
      <c r="FLJ217" s="1"/>
      <c r="FLK217" s="1"/>
      <c r="FLL217" s="1"/>
      <c r="FLM217" s="1"/>
      <c r="FLN217" s="1"/>
      <c r="FLO217" s="1"/>
      <c r="FLP217" s="1"/>
      <c r="FLQ217" s="1"/>
      <c r="FLR217" s="1"/>
      <c r="FLS217" s="1"/>
      <c r="FLT217" s="1"/>
      <c r="FLU217" s="1"/>
      <c r="FLV217" s="1"/>
      <c r="FLW217" s="1"/>
      <c r="FLX217" s="1"/>
      <c r="FLY217" s="1"/>
      <c r="FLZ217" s="1"/>
      <c r="FMA217" s="1"/>
      <c r="FMB217" s="1"/>
      <c r="FMC217" s="1"/>
      <c r="FMD217" s="1"/>
      <c r="FME217" s="1"/>
      <c r="FMF217" s="1"/>
      <c r="FMG217" s="1"/>
      <c r="FMH217" s="1"/>
      <c r="FMI217" s="1"/>
      <c r="FMJ217" s="1"/>
      <c r="FMK217" s="1"/>
      <c r="FML217" s="1"/>
      <c r="FMM217" s="1"/>
      <c r="FMN217" s="1"/>
      <c r="FMO217" s="1"/>
      <c r="FMP217" s="1"/>
      <c r="FMQ217" s="1"/>
      <c r="FMR217" s="1"/>
      <c r="FMS217" s="1"/>
      <c r="FMT217" s="1"/>
      <c r="FMU217" s="1"/>
      <c r="FMV217" s="1"/>
      <c r="FMW217" s="1"/>
      <c r="FMX217" s="1"/>
      <c r="FMY217" s="1"/>
      <c r="FMZ217" s="1"/>
      <c r="FNA217" s="1"/>
      <c r="FNB217" s="1"/>
      <c r="FNC217" s="1"/>
      <c r="FND217" s="1"/>
      <c r="FNE217" s="1"/>
      <c r="FNF217" s="1"/>
      <c r="FNG217" s="1"/>
      <c r="FNH217" s="1"/>
      <c r="FNI217" s="1"/>
      <c r="FNJ217" s="1"/>
      <c r="FNK217" s="1"/>
      <c r="FNL217" s="1"/>
      <c r="FNM217" s="1"/>
      <c r="FNN217" s="1"/>
      <c r="FNO217" s="1"/>
      <c r="FNP217" s="1"/>
      <c r="FNQ217" s="1"/>
      <c r="FNR217" s="1"/>
      <c r="FNS217" s="1"/>
      <c r="FNT217" s="1"/>
      <c r="FNU217" s="1"/>
      <c r="FNV217" s="1"/>
      <c r="FNW217" s="1"/>
      <c r="FNX217" s="1"/>
      <c r="FNY217" s="1"/>
      <c r="FNZ217" s="1"/>
      <c r="FOA217" s="1"/>
      <c r="FOB217" s="1"/>
      <c r="FOC217" s="1"/>
      <c r="FOD217" s="1"/>
      <c r="FOE217" s="1"/>
      <c r="FOF217" s="1"/>
      <c r="FOG217" s="1"/>
      <c r="FOH217" s="1"/>
      <c r="FOI217" s="1"/>
      <c r="FOJ217" s="1"/>
      <c r="FOK217" s="1"/>
      <c r="FOL217" s="1"/>
      <c r="FOM217" s="1"/>
      <c r="FON217" s="1"/>
      <c r="FOO217" s="1"/>
      <c r="FOP217" s="1"/>
      <c r="FOQ217" s="1"/>
      <c r="FOR217" s="1"/>
      <c r="FOS217" s="1"/>
      <c r="FOT217" s="1"/>
      <c r="FOU217" s="1"/>
      <c r="FOV217" s="1"/>
      <c r="FOW217" s="1"/>
      <c r="FOX217" s="1"/>
      <c r="FOY217" s="1"/>
      <c r="FOZ217" s="1"/>
      <c r="FPA217" s="1"/>
      <c r="FPB217" s="1"/>
      <c r="FPC217" s="1"/>
      <c r="FPD217" s="1"/>
      <c r="FPE217" s="1"/>
      <c r="FPF217" s="1"/>
      <c r="FPG217" s="1"/>
      <c r="FPH217" s="1"/>
      <c r="FPI217" s="1"/>
      <c r="FPJ217" s="1"/>
      <c r="FPK217" s="1"/>
      <c r="FPL217" s="1"/>
      <c r="FPM217" s="1"/>
      <c r="FPN217" s="1"/>
      <c r="FPO217" s="1"/>
      <c r="FPP217" s="1"/>
      <c r="FPQ217" s="1"/>
      <c r="FPR217" s="1"/>
      <c r="FPS217" s="1"/>
      <c r="FPT217" s="1"/>
      <c r="FPU217" s="1"/>
      <c r="FPV217" s="1"/>
      <c r="FPW217" s="1"/>
      <c r="FPX217" s="1"/>
      <c r="FPY217" s="1"/>
      <c r="FPZ217" s="1"/>
      <c r="FQA217" s="1"/>
      <c r="FQB217" s="1"/>
      <c r="FQC217" s="1"/>
      <c r="FQD217" s="1"/>
      <c r="FQE217" s="1"/>
      <c r="FQF217" s="1"/>
      <c r="FQG217" s="1"/>
      <c r="FQH217" s="1"/>
      <c r="FQI217" s="1"/>
      <c r="FQJ217" s="1"/>
      <c r="FQK217" s="1"/>
      <c r="FQL217" s="1"/>
      <c r="FQM217" s="1"/>
      <c r="FQN217" s="1"/>
      <c r="FQO217" s="1"/>
      <c r="FQP217" s="1"/>
      <c r="FQQ217" s="1"/>
      <c r="FQR217" s="1"/>
      <c r="FQS217" s="1"/>
      <c r="FQT217" s="1"/>
      <c r="FQU217" s="1"/>
      <c r="FQV217" s="1"/>
      <c r="FQW217" s="1"/>
      <c r="FQX217" s="1"/>
      <c r="FQY217" s="1"/>
      <c r="FQZ217" s="1"/>
      <c r="FRA217" s="1"/>
      <c r="FRB217" s="1"/>
      <c r="FRC217" s="1"/>
      <c r="FRD217" s="1"/>
      <c r="FRE217" s="1"/>
      <c r="FRF217" s="1"/>
      <c r="FRG217" s="1"/>
      <c r="FRH217" s="1"/>
      <c r="FRI217" s="1"/>
      <c r="FRJ217" s="1"/>
      <c r="FRK217" s="1"/>
      <c r="FRL217" s="1"/>
      <c r="FRM217" s="1"/>
      <c r="FRN217" s="1"/>
      <c r="FRO217" s="1"/>
      <c r="FRP217" s="1"/>
      <c r="FRQ217" s="1"/>
      <c r="FRR217" s="1"/>
      <c r="FRS217" s="1"/>
      <c r="FRT217" s="1"/>
      <c r="FRU217" s="1"/>
      <c r="FRV217" s="1"/>
      <c r="FRW217" s="1"/>
      <c r="FRX217" s="1"/>
      <c r="FRY217" s="1"/>
      <c r="FRZ217" s="1"/>
      <c r="FSA217" s="1"/>
      <c r="FSB217" s="1"/>
      <c r="FSC217" s="1"/>
      <c r="FSD217" s="1"/>
      <c r="FSE217" s="1"/>
      <c r="FSF217" s="1"/>
      <c r="FSG217" s="1"/>
      <c r="FSH217" s="1"/>
      <c r="FSI217" s="1"/>
      <c r="FSJ217" s="1"/>
      <c r="FSK217" s="1"/>
      <c r="FSL217" s="1"/>
      <c r="FSM217" s="1"/>
      <c r="FSN217" s="1"/>
      <c r="FSO217" s="1"/>
      <c r="FSP217" s="1"/>
      <c r="FSQ217" s="1"/>
      <c r="FSR217" s="1"/>
      <c r="FSS217" s="1"/>
      <c r="FST217" s="1"/>
      <c r="FSU217" s="1"/>
      <c r="FSV217" s="1"/>
      <c r="FSW217" s="1"/>
      <c r="FSX217" s="1"/>
      <c r="FSY217" s="1"/>
      <c r="FSZ217" s="1"/>
      <c r="FTA217" s="1"/>
      <c r="FTB217" s="1"/>
      <c r="FTC217" s="1"/>
      <c r="FTD217" s="1"/>
      <c r="FTE217" s="1"/>
      <c r="FTF217" s="1"/>
      <c r="FTG217" s="1"/>
      <c r="FTH217" s="1"/>
      <c r="FTI217" s="1"/>
      <c r="FTJ217" s="1"/>
      <c r="FTK217" s="1"/>
      <c r="FTL217" s="1"/>
      <c r="FTM217" s="1"/>
      <c r="FTN217" s="1"/>
      <c r="FTO217" s="1"/>
      <c r="FTP217" s="1"/>
      <c r="FTQ217" s="1"/>
      <c r="FTR217" s="1"/>
      <c r="FTS217" s="1"/>
      <c r="FTT217" s="1"/>
      <c r="FTU217" s="1"/>
      <c r="FTV217" s="1"/>
      <c r="FTW217" s="1"/>
      <c r="FTX217" s="1"/>
      <c r="FTY217" s="1"/>
      <c r="FTZ217" s="1"/>
      <c r="FUA217" s="1"/>
      <c r="FUB217" s="1"/>
      <c r="FUC217" s="1"/>
      <c r="FUD217" s="1"/>
      <c r="FUE217" s="1"/>
      <c r="FUF217" s="1"/>
      <c r="FUG217" s="1"/>
      <c r="FUH217" s="1"/>
      <c r="FUI217" s="1"/>
      <c r="FUJ217" s="1"/>
      <c r="FUK217" s="1"/>
      <c r="FUL217" s="1"/>
      <c r="FUM217" s="1"/>
      <c r="FUN217" s="1"/>
      <c r="FUO217" s="1"/>
      <c r="FUP217" s="1"/>
      <c r="FUQ217" s="1"/>
      <c r="FUR217" s="1"/>
      <c r="FUS217" s="1"/>
      <c r="FUT217" s="1"/>
      <c r="FUU217" s="1"/>
      <c r="FUV217" s="1"/>
      <c r="FUW217" s="1"/>
      <c r="FUX217" s="1"/>
      <c r="FUY217" s="1"/>
      <c r="FUZ217" s="1"/>
      <c r="FVA217" s="1"/>
      <c r="FVB217" s="1"/>
      <c r="FVC217" s="1"/>
      <c r="FVD217" s="1"/>
      <c r="FVE217" s="1"/>
      <c r="FVF217" s="1"/>
      <c r="FVG217" s="1"/>
      <c r="FVH217" s="1"/>
      <c r="FVI217" s="1"/>
      <c r="FVJ217" s="1"/>
      <c r="FVK217" s="1"/>
      <c r="FVL217" s="1"/>
      <c r="FVM217" s="1"/>
      <c r="FVN217" s="1"/>
      <c r="FVO217" s="1"/>
      <c r="FVP217" s="1"/>
      <c r="FVQ217" s="1"/>
      <c r="FVR217" s="1"/>
      <c r="FVS217" s="1"/>
      <c r="FVT217" s="1"/>
      <c r="FVU217" s="1"/>
      <c r="FVV217" s="1"/>
      <c r="FVW217" s="1"/>
      <c r="FVX217" s="1"/>
      <c r="FVY217" s="1"/>
      <c r="FVZ217" s="1"/>
      <c r="FWA217" s="1"/>
      <c r="FWB217" s="1"/>
      <c r="FWC217" s="1"/>
      <c r="FWD217" s="1"/>
      <c r="FWE217" s="1"/>
      <c r="FWF217" s="1"/>
      <c r="FWG217" s="1"/>
      <c r="FWH217" s="1"/>
      <c r="FWI217" s="1"/>
      <c r="FWJ217" s="1"/>
      <c r="FWK217" s="1"/>
      <c r="FWL217" s="1"/>
      <c r="FWM217" s="1"/>
      <c r="FWN217" s="1"/>
      <c r="FWO217" s="1"/>
      <c r="FWP217" s="1"/>
      <c r="FWQ217" s="1"/>
      <c r="FWR217" s="1"/>
      <c r="FWS217" s="1"/>
      <c r="FWT217" s="1"/>
      <c r="FWU217" s="1"/>
      <c r="FWV217" s="1"/>
      <c r="FWW217" s="1"/>
      <c r="FWX217" s="1"/>
      <c r="FWY217" s="1"/>
      <c r="FWZ217" s="1"/>
      <c r="FXA217" s="1"/>
      <c r="FXB217" s="1"/>
      <c r="FXC217" s="1"/>
      <c r="FXD217" s="1"/>
      <c r="FXE217" s="1"/>
      <c r="FXF217" s="1"/>
      <c r="FXG217" s="1"/>
      <c r="FXH217" s="1"/>
      <c r="FXI217" s="1"/>
      <c r="FXJ217" s="1"/>
      <c r="FXK217" s="1"/>
      <c r="FXL217" s="1"/>
      <c r="FXM217" s="1"/>
      <c r="FXN217" s="1"/>
      <c r="FXO217" s="1"/>
      <c r="FXP217" s="1"/>
      <c r="FXQ217" s="1"/>
      <c r="FXR217" s="1"/>
      <c r="FXS217" s="1"/>
      <c r="FXT217" s="1"/>
      <c r="FXU217" s="1"/>
      <c r="FXV217" s="1"/>
      <c r="FXW217" s="1"/>
      <c r="FXX217" s="1"/>
      <c r="FXY217" s="1"/>
      <c r="FXZ217" s="1"/>
      <c r="FYA217" s="1"/>
      <c r="FYB217" s="1"/>
      <c r="FYC217" s="1"/>
      <c r="FYD217" s="1"/>
      <c r="FYE217" s="1"/>
      <c r="FYF217" s="1"/>
      <c r="FYG217" s="1"/>
      <c r="FYH217" s="1"/>
      <c r="FYI217" s="1"/>
      <c r="FYJ217" s="1"/>
      <c r="FYK217" s="1"/>
      <c r="FYL217" s="1"/>
      <c r="FYM217" s="1"/>
      <c r="FYN217" s="1"/>
      <c r="FYO217" s="1"/>
      <c r="FYP217" s="1"/>
      <c r="FYQ217" s="1"/>
      <c r="FYR217" s="1"/>
      <c r="FYS217" s="1"/>
      <c r="FYT217" s="1"/>
      <c r="FYU217" s="1"/>
      <c r="FYV217" s="1"/>
      <c r="FYW217" s="1"/>
      <c r="FYX217" s="1"/>
      <c r="FYY217" s="1"/>
      <c r="FYZ217" s="1"/>
      <c r="FZA217" s="1"/>
      <c r="FZB217" s="1"/>
      <c r="FZC217" s="1"/>
      <c r="FZD217" s="1"/>
      <c r="FZE217" s="1"/>
      <c r="FZF217" s="1"/>
      <c r="FZG217" s="1"/>
      <c r="FZH217" s="1"/>
      <c r="FZI217" s="1"/>
      <c r="FZJ217" s="1"/>
      <c r="FZK217" s="1"/>
      <c r="FZL217" s="1"/>
      <c r="FZM217" s="1"/>
      <c r="FZN217" s="1"/>
      <c r="FZO217" s="1"/>
      <c r="FZP217" s="1"/>
      <c r="FZQ217" s="1"/>
      <c r="FZR217" s="1"/>
      <c r="FZS217" s="1"/>
      <c r="FZT217" s="1"/>
      <c r="FZU217" s="1"/>
      <c r="FZV217" s="1"/>
      <c r="FZW217" s="1"/>
      <c r="FZX217" s="1"/>
      <c r="FZY217" s="1"/>
      <c r="FZZ217" s="1"/>
      <c r="GAA217" s="1"/>
      <c r="GAB217" s="1"/>
      <c r="GAC217" s="1"/>
      <c r="GAD217" s="1"/>
      <c r="GAE217" s="1"/>
      <c r="GAF217" s="1"/>
      <c r="GAG217" s="1"/>
      <c r="GAH217" s="1"/>
      <c r="GAI217" s="1"/>
      <c r="GAJ217" s="1"/>
      <c r="GAK217" s="1"/>
      <c r="GAL217" s="1"/>
      <c r="GAM217" s="1"/>
      <c r="GAN217" s="1"/>
      <c r="GAO217" s="1"/>
      <c r="GAP217" s="1"/>
      <c r="GAQ217" s="1"/>
      <c r="GAR217" s="1"/>
      <c r="GAS217" s="1"/>
      <c r="GAT217" s="1"/>
      <c r="GAU217" s="1"/>
      <c r="GAV217" s="1"/>
      <c r="GAW217" s="1"/>
      <c r="GAX217" s="1"/>
      <c r="GAY217" s="1"/>
      <c r="GAZ217" s="1"/>
      <c r="GBA217" s="1"/>
      <c r="GBB217" s="1"/>
      <c r="GBC217" s="1"/>
      <c r="GBD217" s="1"/>
      <c r="GBE217" s="1"/>
      <c r="GBF217" s="1"/>
      <c r="GBG217" s="1"/>
      <c r="GBH217" s="1"/>
      <c r="GBI217" s="1"/>
      <c r="GBJ217" s="1"/>
      <c r="GBK217" s="1"/>
      <c r="GBL217" s="1"/>
      <c r="GBM217" s="1"/>
      <c r="GBN217" s="1"/>
      <c r="GBO217" s="1"/>
      <c r="GBP217" s="1"/>
      <c r="GBQ217" s="1"/>
      <c r="GBR217" s="1"/>
      <c r="GBS217" s="1"/>
      <c r="GBT217" s="1"/>
      <c r="GBU217" s="1"/>
      <c r="GBV217" s="1"/>
      <c r="GBW217" s="1"/>
      <c r="GBX217" s="1"/>
      <c r="GBY217" s="1"/>
      <c r="GBZ217" s="1"/>
      <c r="GCA217" s="1"/>
      <c r="GCB217" s="1"/>
      <c r="GCC217" s="1"/>
      <c r="GCD217" s="1"/>
      <c r="GCE217" s="1"/>
      <c r="GCF217" s="1"/>
      <c r="GCG217" s="1"/>
      <c r="GCH217" s="1"/>
      <c r="GCI217" s="1"/>
      <c r="GCJ217" s="1"/>
      <c r="GCK217" s="1"/>
      <c r="GCL217" s="1"/>
      <c r="GCM217" s="1"/>
      <c r="GCN217" s="1"/>
      <c r="GCO217" s="1"/>
      <c r="GCP217" s="1"/>
      <c r="GCQ217" s="1"/>
      <c r="GCR217" s="1"/>
      <c r="GCS217" s="1"/>
      <c r="GCT217" s="1"/>
      <c r="GCU217" s="1"/>
      <c r="GCV217" s="1"/>
      <c r="GCW217" s="1"/>
      <c r="GCX217" s="1"/>
      <c r="GCY217" s="1"/>
      <c r="GCZ217" s="1"/>
      <c r="GDA217" s="1"/>
      <c r="GDB217" s="1"/>
      <c r="GDC217" s="1"/>
      <c r="GDD217" s="1"/>
      <c r="GDE217" s="1"/>
      <c r="GDF217" s="1"/>
      <c r="GDG217" s="1"/>
      <c r="GDH217" s="1"/>
      <c r="GDI217" s="1"/>
      <c r="GDJ217" s="1"/>
      <c r="GDK217" s="1"/>
      <c r="GDL217" s="1"/>
      <c r="GDM217" s="1"/>
      <c r="GDN217" s="1"/>
      <c r="GDO217" s="1"/>
      <c r="GDP217" s="1"/>
      <c r="GDQ217" s="1"/>
      <c r="GDR217" s="1"/>
      <c r="GDS217" s="1"/>
      <c r="GDT217" s="1"/>
      <c r="GDU217" s="1"/>
      <c r="GDV217" s="1"/>
      <c r="GDW217" s="1"/>
      <c r="GDX217" s="1"/>
      <c r="GDY217" s="1"/>
      <c r="GDZ217" s="1"/>
      <c r="GEA217" s="1"/>
      <c r="GEB217" s="1"/>
      <c r="GEC217" s="1"/>
      <c r="GED217" s="1"/>
      <c r="GEE217" s="1"/>
      <c r="GEF217" s="1"/>
      <c r="GEG217" s="1"/>
      <c r="GEH217" s="1"/>
      <c r="GEI217" s="1"/>
      <c r="GEJ217" s="1"/>
      <c r="GEK217" s="1"/>
      <c r="GEL217" s="1"/>
      <c r="GEM217" s="1"/>
      <c r="GEN217" s="1"/>
      <c r="GEO217" s="1"/>
      <c r="GEP217" s="1"/>
      <c r="GEQ217" s="1"/>
      <c r="GER217" s="1"/>
      <c r="GES217" s="1"/>
      <c r="GET217" s="1"/>
      <c r="GEU217" s="1"/>
      <c r="GEV217" s="1"/>
      <c r="GEW217" s="1"/>
      <c r="GEX217" s="1"/>
      <c r="GEY217" s="1"/>
      <c r="GEZ217" s="1"/>
      <c r="GFA217" s="1"/>
      <c r="GFB217" s="1"/>
      <c r="GFC217" s="1"/>
      <c r="GFD217" s="1"/>
      <c r="GFE217" s="1"/>
      <c r="GFF217" s="1"/>
      <c r="GFG217" s="1"/>
      <c r="GFH217" s="1"/>
      <c r="GFI217" s="1"/>
      <c r="GFJ217" s="1"/>
      <c r="GFK217" s="1"/>
      <c r="GFL217" s="1"/>
      <c r="GFM217" s="1"/>
      <c r="GFN217" s="1"/>
      <c r="GFO217" s="1"/>
      <c r="GFP217" s="1"/>
      <c r="GFQ217" s="1"/>
      <c r="GFR217" s="1"/>
      <c r="GFS217" s="1"/>
      <c r="GFT217" s="1"/>
      <c r="GFU217" s="1"/>
      <c r="GFV217" s="1"/>
      <c r="GFW217" s="1"/>
      <c r="GFX217" s="1"/>
      <c r="GFY217" s="1"/>
      <c r="GFZ217" s="1"/>
      <c r="GGA217" s="1"/>
      <c r="GGB217" s="1"/>
      <c r="GGC217" s="1"/>
      <c r="GGD217" s="1"/>
      <c r="GGE217" s="1"/>
      <c r="GGF217" s="1"/>
      <c r="GGG217" s="1"/>
      <c r="GGH217" s="1"/>
      <c r="GGI217" s="1"/>
      <c r="GGJ217" s="1"/>
      <c r="GGK217" s="1"/>
      <c r="GGL217" s="1"/>
      <c r="GGM217" s="1"/>
      <c r="GGN217" s="1"/>
      <c r="GGO217" s="1"/>
      <c r="GGP217" s="1"/>
      <c r="GGQ217" s="1"/>
      <c r="GGR217" s="1"/>
      <c r="GGS217" s="1"/>
      <c r="GGT217" s="1"/>
      <c r="GGU217" s="1"/>
      <c r="GGV217" s="1"/>
      <c r="GGW217" s="1"/>
      <c r="GGX217" s="1"/>
      <c r="GGY217" s="1"/>
      <c r="GGZ217" s="1"/>
      <c r="GHA217" s="1"/>
      <c r="GHB217" s="1"/>
      <c r="GHC217" s="1"/>
      <c r="GHD217" s="1"/>
      <c r="GHE217" s="1"/>
      <c r="GHF217" s="1"/>
      <c r="GHG217" s="1"/>
      <c r="GHH217" s="1"/>
      <c r="GHI217" s="1"/>
      <c r="GHJ217" s="1"/>
      <c r="GHK217" s="1"/>
      <c r="GHL217" s="1"/>
      <c r="GHM217" s="1"/>
      <c r="GHN217" s="1"/>
      <c r="GHO217" s="1"/>
      <c r="GHP217" s="1"/>
      <c r="GHQ217" s="1"/>
      <c r="GHR217" s="1"/>
      <c r="GHS217" s="1"/>
      <c r="GHT217" s="1"/>
      <c r="GHU217" s="1"/>
      <c r="GHV217" s="1"/>
      <c r="GHW217" s="1"/>
      <c r="GHX217" s="1"/>
      <c r="GHY217" s="1"/>
      <c r="GHZ217" s="1"/>
      <c r="GIA217" s="1"/>
      <c r="GIB217" s="1"/>
      <c r="GIC217" s="1"/>
      <c r="GID217" s="1"/>
      <c r="GIE217" s="1"/>
      <c r="GIF217" s="1"/>
      <c r="GIG217" s="1"/>
      <c r="GIH217" s="1"/>
      <c r="GII217" s="1"/>
      <c r="GIJ217" s="1"/>
      <c r="GIK217" s="1"/>
      <c r="GIL217" s="1"/>
      <c r="GIM217" s="1"/>
      <c r="GIN217" s="1"/>
      <c r="GIO217" s="1"/>
      <c r="GIP217" s="1"/>
      <c r="GIQ217" s="1"/>
      <c r="GIR217" s="1"/>
      <c r="GIS217" s="1"/>
      <c r="GIT217" s="1"/>
      <c r="GIU217" s="1"/>
      <c r="GIV217" s="1"/>
      <c r="GIW217" s="1"/>
      <c r="GIX217" s="1"/>
      <c r="GIY217" s="1"/>
      <c r="GIZ217" s="1"/>
      <c r="GJA217" s="1"/>
      <c r="GJB217" s="1"/>
      <c r="GJC217" s="1"/>
      <c r="GJD217" s="1"/>
      <c r="GJE217" s="1"/>
      <c r="GJF217" s="1"/>
      <c r="GJG217" s="1"/>
      <c r="GJH217" s="1"/>
      <c r="GJI217" s="1"/>
      <c r="GJJ217" s="1"/>
      <c r="GJK217" s="1"/>
      <c r="GJL217" s="1"/>
      <c r="GJM217" s="1"/>
      <c r="GJN217" s="1"/>
      <c r="GJO217" s="1"/>
      <c r="GJP217" s="1"/>
      <c r="GJQ217" s="1"/>
      <c r="GJR217" s="1"/>
      <c r="GJS217" s="1"/>
      <c r="GJT217" s="1"/>
      <c r="GJU217" s="1"/>
      <c r="GJV217" s="1"/>
      <c r="GJW217" s="1"/>
      <c r="GJX217" s="1"/>
      <c r="GJY217" s="1"/>
      <c r="GJZ217" s="1"/>
      <c r="GKA217" s="1"/>
      <c r="GKB217" s="1"/>
      <c r="GKC217" s="1"/>
      <c r="GKD217" s="1"/>
      <c r="GKE217" s="1"/>
      <c r="GKF217" s="1"/>
      <c r="GKG217" s="1"/>
      <c r="GKH217" s="1"/>
      <c r="GKI217" s="1"/>
      <c r="GKJ217" s="1"/>
      <c r="GKK217" s="1"/>
      <c r="GKL217" s="1"/>
      <c r="GKM217" s="1"/>
      <c r="GKN217" s="1"/>
      <c r="GKO217" s="1"/>
      <c r="GKP217" s="1"/>
      <c r="GKQ217" s="1"/>
      <c r="GKR217" s="1"/>
      <c r="GKS217" s="1"/>
      <c r="GKT217" s="1"/>
      <c r="GKU217" s="1"/>
      <c r="GKV217" s="1"/>
      <c r="GKW217" s="1"/>
      <c r="GKX217" s="1"/>
      <c r="GKY217" s="1"/>
      <c r="GKZ217" s="1"/>
      <c r="GLA217" s="1"/>
      <c r="GLB217" s="1"/>
      <c r="GLC217" s="1"/>
      <c r="GLD217" s="1"/>
      <c r="GLE217" s="1"/>
      <c r="GLF217" s="1"/>
      <c r="GLG217" s="1"/>
      <c r="GLH217" s="1"/>
      <c r="GLI217" s="1"/>
      <c r="GLJ217" s="1"/>
      <c r="GLK217" s="1"/>
      <c r="GLL217" s="1"/>
      <c r="GLM217" s="1"/>
      <c r="GLN217" s="1"/>
      <c r="GLO217" s="1"/>
      <c r="GLP217" s="1"/>
      <c r="GLQ217" s="1"/>
      <c r="GLR217" s="1"/>
      <c r="GLS217" s="1"/>
      <c r="GLT217" s="1"/>
      <c r="GLU217" s="1"/>
      <c r="GLV217" s="1"/>
      <c r="GLW217" s="1"/>
      <c r="GLX217" s="1"/>
      <c r="GLY217" s="1"/>
      <c r="GLZ217" s="1"/>
      <c r="GMA217" s="1"/>
      <c r="GMB217" s="1"/>
      <c r="GMC217" s="1"/>
      <c r="GMD217" s="1"/>
      <c r="GME217" s="1"/>
      <c r="GMF217" s="1"/>
      <c r="GMG217" s="1"/>
      <c r="GMH217" s="1"/>
      <c r="GMI217" s="1"/>
      <c r="GMJ217" s="1"/>
      <c r="GMK217" s="1"/>
      <c r="GML217" s="1"/>
      <c r="GMM217" s="1"/>
      <c r="GMN217" s="1"/>
      <c r="GMO217" s="1"/>
      <c r="GMP217" s="1"/>
      <c r="GMQ217" s="1"/>
      <c r="GMR217" s="1"/>
      <c r="GMS217" s="1"/>
      <c r="GMT217" s="1"/>
      <c r="GMU217" s="1"/>
      <c r="GMV217" s="1"/>
      <c r="GMW217" s="1"/>
      <c r="GMX217" s="1"/>
      <c r="GMY217" s="1"/>
      <c r="GMZ217" s="1"/>
      <c r="GNA217" s="1"/>
      <c r="GNB217" s="1"/>
      <c r="GNC217" s="1"/>
      <c r="GND217" s="1"/>
      <c r="GNE217" s="1"/>
      <c r="GNF217" s="1"/>
      <c r="GNG217" s="1"/>
      <c r="GNH217" s="1"/>
      <c r="GNI217" s="1"/>
      <c r="GNJ217" s="1"/>
      <c r="GNK217" s="1"/>
      <c r="GNL217" s="1"/>
      <c r="GNM217" s="1"/>
      <c r="GNN217" s="1"/>
      <c r="GNO217" s="1"/>
      <c r="GNP217" s="1"/>
      <c r="GNQ217" s="1"/>
      <c r="GNR217" s="1"/>
      <c r="GNS217" s="1"/>
      <c r="GNT217" s="1"/>
      <c r="GNU217" s="1"/>
      <c r="GNV217" s="1"/>
      <c r="GNW217" s="1"/>
      <c r="GNX217" s="1"/>
      <c r="GNY217" s="1"/>
      <c r="GNZ217" s="1"/>
      <c r="GOA217" s="1"/>
      <c r="GOB217" s="1"/>
      <c r="GOC217" s="1"/>
      <c r="GOD217" s="1"/>
      <c r="GOE217" s="1"/>
      <c r="GOF217" s="1"/>
      <c r="GOG217" s="1"/>
      <c r="GOH217" s="1"/>
      <c r="GOI217" s="1"/>
      <c r="GOJ217" s="1"/>
      <c r="GOK217" s="1"/>
      <c r="GOL217" s="1"/>
      <c r="GOM217" s="1"/>
      <c r="GON217" s="1"/>
      <c r="GOO217" s="1"/>
      <c r="GOP217" s="1"/>
      <c r="GOQ217" s="1"/>
      <c r="GOR217" s="1"/>
      <c r="GOS217" s="1"/>
      <c r="GOT217" s="1"/>
      <c r="GOU217" s="1"/>
      <c r="GOV217" s="1"/>
      <c r="GOW217" s="1"/>
      <c r="GOX217" s="1"/>
      <c r="GOY217" s="1"/>
      <c r="GOZ217" s="1"/>
      <c r="GPA217" s="1"/>
      <c r="GPB217" s="1"/>
      <c r="GPC217" s="1"/>
      <c r="GPD217" s="1"/>
      <c r="GPE217" s="1"/>
      <c r="GPF217" s="1"/>
      <c r="GPG217" s="1"/>
      <c r="GPH217" s="1"/>
      <c r="GPI217" s="1"/>
      <c r="GPJ217" s="1"/>
      <c r="GPK217" s="1"/>
      <c r="GPL217" s="1"/>
      <c r="GPM217" s="1"/>
      <c r="GPN217" s="1"/>
      <c r="GPO217" s="1"/>
      <c r="GPP217" s="1"/>
      <c r="GPQ217" s="1"/>
      <c r="GPR217" s="1"/>
      <c r="GPS217" s="1"/>
      <c r="GPT217" s="1"/>
      <c r="GPU217" s="1"/>
      <c r="GPV217" s="1"/>
      <c r="GPW217" s="1"/>
      <c r="GPX217" s="1"/>
      <c r="GPY217" s="1"/>
      <c r="GPZ217" s="1"/>
      <c r="GQA217" s="1"/>
      <c r="GQB217" s="1"/>
      <c r="GQC217" s="1"/>
      <c r="GQD217" s="1"/>
      <c r="GQE217" s="1"/>
      <c r="GQF217" s="1"/>
      <c r="GQG217" s="1"/>
      <c r="GQH217" s="1"/>
      <c r="GQI217" s="1"/>
      <c r="GQJ217" s="1"/>
      <c r="GQK217" s="1"/>
      <c r="GQL217" s="1"/>
      <c r="GQM217" s="1"/>
      <c r="GQN217" s="1"/>
      <c r="GQO217" s="1"/>
      <c r="GQP217" s="1"/>
      <c r="GQQ217" s="1"/>
      <c r="GQR217" s="1"/>
      <c r="GQS217" s="1"/>
      <c r="GQT217" s="1"/>
      <c r="GQU217" s="1"/>
      <c r="GQV217" s="1"/>
      <c r="GQW217" s="1"/>
      <c r="GQX217" s="1"/>
      <c r="GQY217" s="1"/>
      <c r="GQZ217" s="1"/>
      <c r="GRA217" s="1"/>
      <c r="GRB217" s="1"/>
      <c r="GRC217" s="1"/>
      <c r="GRD217" s="1"/>
      <c r="GRE217" s="1"/>
      <c r="GRF217" s="1"/>
      <c r="GRG217" s="1"/>
      <c r="GRH217" s="1"/>
      <c r="GRI217" s="1"/>
      <c r="GRJ217" s="1"/>
      <c r="GRK217" s="1"/>
      <c r="GRL217" s="1"/>
      <c r="GRM217" s="1"/>
      <c r="GRN217" s="1"/>
      <c r="GRO217" s="1"/>
      <c r="GRP217" s="1"/>
      <c r="GRQ217" s="1"/>
      <c r="GRR217" s="1"/>
      <c r="GRS217" s="1"/>
      <c r="GRT217" s="1"/>
      <c r="GRU217" s="1"/>
      <c r="GRV217" s="1"/>
      <c r="GRW217" s="1"/>
      <c r="GRX217" s="1"/>
      <c r="GRY217" s="1"/>
      <c r="GRZ217" s="1"/>
      <c r="GSA217" s="1"/>
      <c r="GSB217" s="1"/>
      <c r="GSC217" s="1"/>
      <c r="GSD217" s="1"/>
      <c r="GSE217" s="1"/>
      <c r="GSF217" s="1"/>
      <c r="GSG217" s="1"/>
      <c r="GSH217" s="1"/>
      <c r="GSI217" s="1"/>
      <c r="GSJ217" s="1"/>
      <c r="GSK217" s="1"/>
      <c r="GSL217" s="1"/>
      <c r="GSM217" s="1"/>
      <c r="GSN217" s="1"/>
      <c r="GSO217" s="1"/>
      <c r="GSP217" s="1"/>
      <c r="GSQ217" s="1"/>
      <c r="GSR217" s="1"/>
      <c r="GSS217" s="1"/>
      <c r="GST217" s="1"/>
      <c r="GSU217" s="1"/>
      <c r="GSV217" s="1"/>
      <c r="GSW217" s="1"/>
      <c r="GSX217" s="1"/>
      <c r="GSY217" s="1"/>
      <c r="GSZ217" s="1"/>
      <c r="GTA217" s="1"/>
      <c r="GTB217" s="1"/>
      <c r="GTC217" s="1"/>
      <c r="GTD217" s="1"/>
      <c r="GTE217" s="1"/>
      <c r="GTF217" s="1"/>
      <c r="GTG217" s="1"/>
      <c r="GTH217" s="1"/>
      <c r="GTI217" s="1"/>
      <c r="GTJ217" s="1"/>
      <c r="GTK217" s="1"/>
      <c r="GTL217" s="1"/>
      <c r="GTM217" s="1"/>
      <c r="GTN217" s="1"/>
      <c r="GTO217" s="1"/>
      <c r="GTP217" s="1"/>
      <c r="GTQ217" s="1"/>
      <c r="GTR217" s="1"/>
      <c r="GTS217" s="1"/>
      <c r="GTT217" s="1"/>
      <c r="GTU217" s="1"/>
      <c r="GTV217" s="1"/>
      <c r="GTW217" s="1"/>
      <c r="GTX217" s="1"/>
      <c r="GTY217" s="1"/>
      <c r="GTZ217" s="1"/>
      <c r="GUA217" s="1"/>
      <c r="GUB217" s="1"/>
      <c r="GUC217" s="1"/>
      <c r="GUD217" s="1"/>
      <c r="GUE217" s="1"/>
      <c r="GUF217" s="1"/>
      <c r="GUG217" s="1"/>
      <c r="GUH217" s="1"/>
      <c r="GUI217" s="1"/>
      <c r="GUJ217" s="1"/>
      <c r="GUK217" s="1"/>
      <c r="GUL217" s="1"/>
      <c r="GUM217" s="1"/>
      <c r="GUN217" s="1"/>
      <c r="GUO217" s="1"/>
      <c r="GUP217" s="1"/>
      <c r="GUQ217" s="1"/>
      <c r="GUR217" s="1"/>
      <c r="GUS217" s="1"/>
      <c r="GUT217" s="1"/>
      <c r="GUU217" s="1"/>
      <c r="GUV217" s="1"/>
      <c r="GUW217" s="1"/>
      <c r="GUX217" s="1"/>
      <c r="GUY217" s="1"/>
      <c r="GUZ217" s="1"/>
      <c r="GVA217" s="1"/>
      <c r="GVB217" s="1"/>
      <c r="GVC217" s="1"/>
      <c r="GVD217" s="1"/>
      <c r="GVE217" s="1"/>
      <c r="GVF217" s="1"/>
      <c r="GVG217" s="1"/>
      <c r="GVH217" s="1"/>
      <c r="GVI217" s="1"/>
      <c r="GVJ217" s="1"/>
      <c r="GVK217" s="1"/>
      <c r="GVL217" s="1"/>
      <c r="GVM217" s="1"/>
      <c r="GVN217" s="1"/>
      <c r="GVO217" s="1"/>
      <c r="GVP217" s="1"/>
      <c r="GVQ217" s="1"/>
      <c r="GVR217" s="1"/>
      <c r="GVS217" s="1"/>
      <c r="GVT217" s="1"/>
      <c r="GVU217" s="1"/>
      <c r="GVV217" s="1"/>
      <c r="GVW217" s="1"/>
      <c r="GVX217" s="1"/>
      <c r="GVY217" s="1"/>
      <c r="GVZ217" s="1"/>
      <c r="GWA217" s="1"/>
      <c r="GWB217" s="1"/>
      <c r="GWC217" s="1"/>
      <c r="GWD217" s="1"/>
      <c r="GWE217" s="1"/>
      <c r="GWF217" s="1"/>
      <c r="GWG217" s="1"/>
      <c r="GWH217" s="1"/>
      <c r="GWI217" s="1"/>
      <c r="GWJ217" s="1"/>
      <c r="GWK217" s="1"/>
      <c r="GWL217" s="1"/>
      <c r="GWM217" s="1"/>
      <c r="GWN217" s="1"/>
      <c r="GWO217" s="1"/>
      <c r="GWP217" s="1"/>
      <c r="GWQ217" s="1"/>
      <c r="GWR217" s="1"/>
      <c r="GWS217" s="1"/>
      <c r="GWT217" s="1"/>
      <c r="GWU217" s="1"/>
      <c r="GWV217" s="1"/>
      <c r="GWW217" s="1"/>
      <c r="GWX217" s="1"/>
      <c r="GWY217" s="1"/>
      <c r="GWZ217" s="1"/>
      <c r="GXA217" s="1"/>
      <c r="GXB217" s="1"/>
      <c r="GXC217" s="1"/>
      <c r="GXD217" s="1"/>
      <c r="GXE217" s="1"/>
      <c r="GXF217" s="1"/>
      <c r="GXG217" s="1"/>
      <c r="GXH217" s="1"/>
      <c r="GXI217" s="1"/>
      <c r="GXJ217" s="1"/>
      <c r="GXK217" s="1"/>
      <c r="GXL217" s="1"/>
      <c r="GXM217" s="1"/>
      <c r="GXN217" s="1"/>
      <c r="GXO217" s="1"/>
      <c r="GXP217" s="1"/>
      <c r="GXQ217" s="1"/>
      <c r="GXR217" s="1"/>
      <c r="GXS217" s="1"/>
      <c r="GXT217" s="1"/>
      <c r="GXU217" s="1"/>
      <c r="GXV217" s="1"/>
      <c r="GXW217" s="1"/>
      <c r="GXX217" s="1"/>
      <c r="GXY217" s="1"/>
      <c r="GXZ217" s="1"/>
      <c r="GYA217" s="1"/>
      <c r="GYB217" s="1"/>
      <c r="GYC217" s="1"/>
      <c r="GYD217" s="1"/>
      <c r="GYE217" s="1"/>
      <c r="GYF217" s="1"/>
      <c r="GYG217" s="1"/>
      <c r="GYH217" s="1"/>
      <c r="GYI217" s="1"/>
      <c r="GYJ217" s="1"/>
      <c r="GYK217" s="1"/>
      <c r="GYL217" s="1"/>
      <c r="GYM217" s="1"/>
      <c r="GYN217" s="1"/>
      <c r="GYO217" s="1"/>
      <c r="GYP217" s="1"/>
      <c r="GYQ217" s="1"/>
      <c r="GYR217" s="1"/>
      <c r="GYS217" s="1"/>
      <c r="GYT217" s="1"/>
      <c r="GYU217" s="1"/>
      <c r="GYV217" s="1"/>
      <c r="GYW217" s="1"/>
      <c r="GYX217" s="1"/>
      <c r="GYY217" s="1"/>
      <c r="GYZ217" s="1"/>
      <c r="GZA217" s="1"/>
      <c r="GZB217" s="1"/>
      <c r="GZC217" s="1"/>
      <c r="GZD217" s="1"/>
      <c r="GZE217" s="1"/>
      <c r="GZF217" s="1"/>
      <c r="GZG217" s="1"/>
      <c r="GZH217" s="1"/>
      <c r="GZI217" s="1"/>
      <c r="GZJ217" s="1"/>
      <c r="GZK217" s="1"/>
      <c r="GZL217" s="1"/>
      <c r="GZM217" s="1"/>
      <c r="GZN217" s="1"/>
      <c r="GZO217" s="1"/>
      <c r="GZP217" s="1"/>
      <c r="GZQ217" s="1"/>
      <c r="GZR217" s="1"/>
      <c r="GZS217" s="1"/>
      <c r="GZT217" s="1"/>
      <c r="GZU217" s="1"/>
      <c r="GZV217" s="1"/>
      <c r="GZW217" s="1"/>
      <c r="GZX217" s="1"/>
      <c r="GZY217" s="1"/>
      <c r="GZZ217" s="1"/>
      <c r="HAA217" s="1"/>
      <c r="HAB217" s="1"/>
      <c r="HAC217" s="1"/>
      <c r="HAD217" s="1"/>
      <c r="HAE217" s="1"/>
      <c r="HAF217" s="1"/>
      <c r="HAG217" s="1"/>
      <c r="HAH217" s="1"/>
      <c r="HAI217" s="1"/>
      <c r="HAJ217" s="1"/>
      <c r="HAK217" s="1"/>
      <c r="HAL217" s="1"/>
      <c r="HAM217" s="1"/>
      <c r="HAN217" s="1"/>
      <c r="HAO217" s="1"/>
      <c r="HAP217" s="1"/>
      <c r="HAQ217" s="1"/>
      <c r="HAR217" s="1"/>
      <c r="HAS217" s="1"/>
      <c r="HAT217" s="1"/>
      <c r="HAU217" s="1"/>
      <c r="HAV217" s="1"/>
      <c r="HAW217" s="1"/>
      <c r="HAX217" s="1"/>
      <c r="HAY217" s="1"/>
      <c r="HAZ217" s="1"/>
      <c r="HBA217" s="1"/>
      <c r="HBB217" s="1"/>
      <c r="HBC217" s="1"/>
      <c r="HBD217" s="1"/>
      <c r="HBE217" s="1"/>
      <c r="HBF217" s="1"/>
      <c r="HBG217" s="1"/>
      <c r="HBH217" s="1"/>
      <c r="HBI217" s="1"/>
      <c r="HBJ217" s="1"/>
      <c r="HBK217" s="1"/>
      <c r="HBL217" s="1"/>
      <c r="HBM217" s="1"/>
      <c r="HBN217" s="1"/>
      <c r="HBO217" s="1"/>
      <c r="HBP217" s="1"/>
      <c r="HBQ217" s="1"/>
      <c r="HBR217" s="1"/>
      <c r="HBS217" s="1"/>
      <c r="HBT217" s="1"/>
      <c r="HBU217" s="1"/>
      <c r="HBV217" s="1"/>
      <c r="HBW217" s="1"/>
      <c r="HBX217" s="1"/>
      <c r="HBY217" s="1"/>
      <c r="HBZ217" s="1"/>
      <c r="HCA217" s="1"/>
      <c r="HCB217" s="1"/>
      <c r="HCC217" s="1"/>
      <c r="HCD217" s="1"/>
      <c r="HCE217" s="1"/>
      <c r="HCF217" s="1"/>
      <c r="HCG217" s="1"/>
      <c r="HCH217" s="1"/>
      <c r="HCI217" s="1"/>
      <c r="HCJ217" s="1"/>
      <c r="HCK217" s="1"/>
      <c r="HCL217" s="1"/>
      <c r="HCM217" s="1"/>
      <c r="HCN217" s="1"/>
      <c r="HCO217" s="1"/>
      <c r="HCP217" s="1"/>
      <c r="HCQ217" s="1"/>
      <c r="HCR217" s="1"/>
      <c r="HCS217" s="1"/>
      <c r="HCT217" s="1"/>
      <c r="HCU217" s="1"/>
      <c r="HCV217" s="1"/>
      <c r="HCW217" s="1"/>
      <c r="HCX217" s="1"/>
      <c r="HCY217" s="1"/>
      <c r="HCZ217" s="1"/>
      <c r="HDA217" s="1"/>
      <c r="HDB217" s="1"/>
      <c r="HDC217" s="1"/>
      <c r="HDD217" s="1"/>
      <c r="HDE217" s="1"/>
      <c r="HDF217" s="1"/>
      <c r="HDG217" s="1"/>
      <c r="HDH217" s="1"/>
      <c r="HDI217" s="1"/>
      <c r="HDJ217" s="1"/>
      <c r="HDK217" s="1"/>
      <c r="HDL217" s="1"/>
      <c r="HDM217" s="1"/>
      <c r="HDN217" s="1"/>
      <c r="HDO217" s="1"/>
      <c r="HDP217" s="1"/>
      <c r="HDQ217" s="1"/>
      <c r="HDR217" s="1"/>
      <c r="HDS217" s="1"/>
      <c r="HDT217" s="1"/>
      <c r="HDU217" s="1"/>
      <c r="HDV217" s="1"/>
      <c r="HDW217" s="1"/>
      <c r="HDX217" s="1"/>
      <c r="HDY217" s="1"/>
      <c r="HDZ217" s="1"/>
      <c r="HEA217" s="1"/>
      <c r="HEB217" s="1"/>
      <c r="HEC217" s="1"/>
      <c r="HED217" s="1"/>
      <c r="HEE217" s="1"/>
      <c r="HEF217" s="1"/>
      <c r="HEG217" s="1"/>
      <c r="HEH217" s="1"/>
      <c r="HEI217" s="1"/>
      <c r="HEJ217" s="1"/>
      <c r="HEK217" s="1"/>
      <c r="HEL217" s="1"/>
      <c r="HEM217" s="1"/>
      <c r="HEN217" s="1"/>
      <c r="HEO217" s="1"/>
      <c r="HEP217" s="1"/>
      <c r="HEQ217" s="1"/>
      <c r="HER217" s="1"/>
      <c r="HES217" s="1"/>
      <c r="HET217" s="1"/>
      <c r="HEU217" s="1"/>
      <c r="HEV217" s="1"/>
      <c r="HEW217" s="1"/>
      <c r="HEX217" s="1"/>
      <c r="HEY217" s="1"/>
      <c r="HEZ217" s="1"/>
      <c r="HFA217" s="1"/>
      <c r="HFB217" s="1"/>
      <c r="HFC217" s="1"/>
      <c r="HFD217" s="1"/>
      <c r="HFE217" s="1"/>
      <c r="HFF217" s="1"/>
      <c r="HFG217" s="1"/>
      <c r="HFH217" s="1"/>
      <c r="HFI217" s="1"/>
      <c r="HFJ217" s="1"/>
      <c r="HFK217" s="1"/>
      <c r="HFL217" s="1"/>
      <c r="HFM217" s="1"/>
      <c r="HFN217" s="1"/>
      <c r="HFO217" s="1"/>
      <c r="HFP217" s="1"/>
      <c r="HFQ217" s="1"/>
      <c r="HFR217" s="1"/>
      <c r="HFS217" s="1"/>
      <c r="HFT217" s="1"/>
      <c r="HFU217" s="1"/>
      <c r="HFV217" s="1"/>
      <c r="HFW217" s="1"/>
      <c r="HFX217" s="1"/>
      <c r="HFY217" s="1"/>
      <c r="HFZ217" s="1"/>
      <c r="HGA217" s="1"/>
      <c r="HGB217" s="1"/>
      <c r="HGC217" s="1"/>
      <c r="HGD217" s="1"/>
      <c r="HGE217" s="1"/>
      <c r="HGF217" s="1"/>
      <c r="HGG217" s="1"/>
      <c r="HGH217" s="1"/>
      <c r="HGI217" s="1"/>
      <c r="HGJ217" s="1"/>
      <c r="HGK217" s="1"/>
      <c r="HGL217" s="1"/>
      <c r="HGM217" s="1"/>
      <c r="HGN217" s="1"/>
      <c r="HGO217" s="1"/>
      <c r="HGP217" s="1"/>
      <c r="HGQ217" s="1"/>
      <c r="HGR217" s="1"/>
      <c r="HGS217" s="1"/>
      <c r="HGT217" s="1"/>
      <c r="HGU217" s="1"/>
      <c r="HGV217" s="1"/>
      <c r="HGW217" s="1"/>
      <c r="HGX217" s="1"/>
      <c r="HGY217" s="1"/>
      <c r="HGZ217" s="1"/>
      <c r="HHA217" s="1"/>
      <c r="HHB217" s="1"/>
      <c r="HHC217" s="1"/>
      <c r="HHD217" s="1"/>
      <c r="HHE217" s="1"/>
      <c r="HHF217" s="1"/>
      <c r="HHG217" s="1"/>
      <c r="HHH217" s="1"/>
      <c r="HHI217" s="1"/>
      <c r="HHJ217" s="1"/>
      <c r="HHK217" s="1"/>
      <c r="HHL217" s="1"/>
      <c r="HHM217" s="1"/>
      <c r="HHN217" s="1"/>
      <c r="HHO217" s="1"/>
      <c r="HHP217" s="1"/>
      <c r="HHQ217" s="1"/>
      <c r="HHR217" s="1"/>
      <c r="HHS217" s="1"/>
      <c r="HHT217" s="1"/>
      <c r="HHU217" s="1"/>
      <c r="HHV217" s="1"/>
      <c r="HHW217" s="1"/>
      <c r="HHX217" s="1"/>
      <c r="HHY217" s="1"/>
      <c r="HHZ217" s="1"/>
      <c r="HIA217" s="1"/>
      <c r="HIB217" s="1"/>
      <c r="HIC217" s="1"/>
      <c r="HID217" s="1"/>
      <c r="HIE217" s="1"/>
      <c r="HIF217" s="1"/>
      <c r="HIG217" s="1"/>
      <c r="HIH217" s="1"/>
      <c r="HII217" s="1"/>
      <c r="HIJ217" s="1"/>
      <c r="HIK217" s="1"/>
      <c r="HIL217" s="1"/>
      <c r="HIM217" s="1"/>
      <c r="HIN217" s="1"/>
      <c r="HIO217" s="1"/>
      <c r="HIP217" s="1"/>
      <c r="HIQ217" s="1"/>
      <c r="HIR217" s="1"/>
      <c r="HIS217" s="1"/>
      <c r="HIT217" s="1"/>
      <c r="HIU217" s="1"/>
      <c r="HIV217" s="1"/>
      <c r="HIW217" s="1"/>
      <c r="HIX217" s="1"/>
      <c r="HIY217" s="1"/>
      <c r="HIZ217" s="1"/>
      <c r="HJA217" s="1"/>
      <c r="HJB217" s="1"/>
      <c r="HJC217" s="1"/>
      <c r="HJD217" s="1"/>
      <c r="HJE217" s="1"/>
      <c r="HJF217" s="1"/>
      <c r="HJG217" s="1"/>
      <c r="HJH217" s="1"/>
      <c r="HJI217" s="1"/>
      <c r="HJJ217" s="1"/>
      <c r="HJK217" s="1"/>
      <c r="HJL217" s="1"/>
      <c r="HJM217" s="1"/>
      <c r="HJN217" s="1"/>
      <c r="HJO217" s="1"/>
      <c r="HJP217" s="1"/>
      <c r="HJQ217" s="1"/>
      <c r="HJR217" s="1"/>
      <c r="HJS217" s="1"/>
      <c r="HJT217" s="1"/>
      <c r="HJU217" s="1"/>
      <c r="HJV217" s="1"/>
      <c r="HJW217" s="1"/>
      <c r="HJX217" s="1"/>
      <c r="HJY217" s="1"/>
      <c r="HJZ217" s="1"/>
      <c r="HKA217" s="1"/>
      <c r="HKB217" s="1"/>
      <c r="HKC217" s="1"/>
      <c r="HKD217" s="1"/>
      <c r="HKE217" s="1"/>
      <c r="HKF217" s="1"/>
      <c r="HKG217" s="1"/>
      <c r="HKH217" s="1"/>
      <c r="HKI217" s="1"/>
      <c r="HKJ217" s="1"/>
      <c r="HKK217" s="1"/>
      <c r="HKL217" s="1"/>
      <c r="HKM217" s="1"/>
      <c r="HKN217" s="1"/>
      <c r="HKO217" s="1"/>
      <c r="HKP217" s="1"/>
      <c r="HKQ217" s="1"/>
      <c r="HKR217" s="1"/>
      <c r="HKS217" s="1"/>
      <c r="HKT217" s="1"/>
      <c r="HKU217" s="1"/>
      <c r="HKV217" s="1"/>
      <c r="HKW217" s="1"/>
      <c r="HKX217" s="1"/>
      <c r="HKY217" s="1"/>
      <c r="HKZ217" s="1"/>
      <c r="HLA217" s="1"/>
      <c r="HLB217" s="1"/>
      <c r="HLC217" s="1"/>
      <c r="HLD217" s="1"/>
      <c r="HLE217" s="1"/>
      <c r="HLF217" s="1"/>
      <c r="HLG217" s="1"/>
      <c r="HLH217" s="1"/>
      <c r="HLI217" s="1"/>
      <c r="HLJ217" s="1"/>
      <c r="HLK217" s="1"/>
      <c r="HLL217" s="1"/>
      <c r="HLM217" s="1"/>
      <c r="HLN217" s="1"/>
      <c r="HLO217" s="1"/>
      <c r="HLP217" s="1"/>
      <c r="HLQ217" s="1"/>
      <c r="HLR217" s="1"/>
      <c r="HLS217" s="1"/>
      <c r="HLT217" s="1"/>
      <c r="HLU217" s="1"/>
      <c r="HLV217" s="1"/>
      <c r="HLW217" s="1"/>
      <c r="HLX217" s="1"/>
      <c r="HLY217" s="1"/>
      <c r="HLZ217" s="1"/>
      <c r="HMA217" s="1"/>
      <c r="HMB217" s="1"/>
      <c r="HMC217" s="1"/>
      <c r="HMD217" s="1"/>
      <c r="HME217" s="1"/>
      <c r="HMF217" s="1"/>
      <c r="HMG217" s="1"/>
      <c r="HMH217" s="1"/>
      <c r="HMI217" s="1"/>
      <c r="HMJ217" s="1"/>
      <c r="HMK217" s="1"/>
      <c r="HML217" s="1"/>
      <c r="HMM217" s="1"/>
      <c r="HMN217" s="1"/>
      <c r="HMO217" s="1"/>
      <c r="HMP217" s="1"/>
      <c r="HMQ217" s="1"/>
      <c r="HMR217" s="1"/>
      <c r="HMS217" s="1"/>
      <c r="HMT217" s="1"/>
      <c r="HMU217" s="1"/>
      <c r="HMV217" s="1"/>
      <c r="HMW217" s="1"/>
      <c r="HMX217" s="1"/>
      <c r="HMY217" s="1"/>
      <c r="HMZ217" s="1"/>
      <c r="HNA217" s="1"/>
      <c r="HNB217" s="1"/>
      <c r="HNC217" s="1"/>
      <c r="HND217" s="1"/>
      <c r="HNE217" s="1"/>
      <c r="HNF217" s="1"/>
      <c r="HNG217" s="1"/>
      <c r="HNH217" s="1"/>
      <c r="HNI217" s="1"/>
      <c r="HNJ217" s="1"/>
      <c r="HNK217" s="1"/>
      <c r="HNL217" s="1"/>
      <c r="HNM217" s="1"/>
      <c r="HNN217" s="1"/>
      <c r="HNO217" s="1"/>
      <c r="HNP217" s="1"/>
      <c r="HNQ217" s="1"/>
      <c r="HNR217" s="1"/>
      <c r="HNS217" s="1"/>
      <c r="HNT217" s="1"/>
      <c r="HNU217" s="1"/>
      <c r="HNV217" s="1"/>
      <c r="HNW217" s="1"/>
      <c r="HNX217" s="1"/>
      <c r="HNY217" s="1"/>
      <c r="HNZ217" s="1"/>
      <c r="HOA217" s="1"/>
      <c r="HOB217" s="1"/>
      <c r="HOC217" s="1"/>
      <c r="HOD217" s="1"/>
      <c r="HOE217" s="1"/>
      <c r="HOF217" s="1"/>
      <c r="HOG217" s="1"/>
      <c r="HOH217" s="1"/>
      <c r="HOI217" s="1"/>
      <c r="HOJ217" s="1"/>
      <c r="HOK217" s="1"/>
      <c r="HOL217" s="1"/>
      <c r="HOM217" s="1"/>
      <c r="HON217" s="1"/>
      <c r="HOO217" s="1"/>
      <c r="HOP217" s="1"/>
      <c r="HOQ217" s="1"/>
      <c r="HOR217" s="1"/>
      <c r="HOS217" s="1"/>
      <c r="HOT217" s="1"/>
      <c r="HOU217" s="1"/>
      <c r="HOV217" s="1"/>
      <c r="HOW217" s="1"/>
      <c r="HOX217" s="1"/>
      <c r="HOY217" s="1"/>
      <c r="HOZ217" s="1"/>
      <c r="HPA217" s="1"/>
      <c r="HPB217" s="1"/>
      <c r="HPC217" s="1"/>
      <c r="HPD217" s="1"/>
      <c r="HPE217" s="1"/>
      <c r="HPF217" s="1"/>
      <c r="HPG217" s="1"/>
      <c r="HPH217" s="1"/>
      <c r="HPI217" s="1"/>
      <c r="HPJ217" s="1"/>
      <c r="HPK217" s="1"/>
      <c r="HPL217" s="1"/>
      <c r="HPM217" s="1"/>
      <c r="HPN217" s="1"/>
      <c r="HPO217" s="1"/>
      <c r="HPP217" s="1"/>
      <c r="HPQ217" s="1"/>
      <c r="HPR217" s="1"/>
      <c r="HPS217" s="1"/>
      <c r="HPT217" s="1"/>
      <c r="HPU217" s="1"/>
      <c r="HPV217" s="1"/>
      <c r="HPW217" s="1"/>
      <c r="HPX217" s="1"/>
      <c r="HPY217" s="1"/>
      <c r="HPZ217" s="1"/>
      <c r="HQA217" s="1"/>
      <c r="HQB217" s="1"/>
      <c r="HQC217" s="1"/>
      <c r="HQD217" s="1"/>
      <c r="HQE217" s="1"/>
      <c r="HQF217" s="1"/>
      <c r="HQG217" s="1"/>
      <c r="HQH217" s="1"/>
      <c r="HQI217" s="1"/>
      <c r="HQJ217" s="1"/>
      <c r="HQK217" s="1"/>
      <c r="HQL217" s="1"/>
      <c r="HQM217" s="1"/>
      <c r="HQN217" s="1"/>
      <c r="HQO217" s="1"/>
      <c r="HQP217" s="1"/>
      <c r="HQQ217" s="1"/>
      <c r="HQR217" s="1"/>
      <c r="HQS217" s="1"/>
      <c r="HQT217" s="1"/>
      <c r="HQU217" s="1"/>
      <c r="HQV217" s="1"/>
      <c r="HQW217" s="1"/>
      <c r="HQX217" s="1"/>
      <c r="HQY217" s="1"/>
      <c r="HQZ217" s="1"/>
      <c r="HRA217" s="1"/>
      <c r="HRB217" s="1"/>
      <c r="HRC217" s="1"/>
      <c r="HRD217" s="1"/>
      <c r="HRE217" s="1"/>
      <c r="HRF217" s="1"/>
      <c r="HRG217" s="1"/>
      <c r="HRH217" s="1"/>
      <c r="HRI217" s="1"/>
      <c r="HRJ217" s="1"/>
      <c r="HRK217" s="1"/>
      <c r="HRL217" s="1"/>
      <c r="HRM217" s="1"/>
      <c r="HRN217" s="1"/>
      <c r="HRO217" s="1"/>
      <c r="HRP217" s="1"/>
      <c r="HRQ217" s="1"/>
      <c r="HRR217" s="1"/>
      <c r="HRS217" s="1"/>
      <c r="HRT217" s="1"/>
      <c r="HRU217" s="1"/>
      <c r="HRV217" s="1"/>
      <c r="HRW217" s="1"/>
      <c r="HRX217" s="1"/>
      <c r="HRY217" s="1"/>
      <c r="HRZ217" s="1"/>
      <c r="HSA217" s="1"/>
      <c r="HSB217" s="1"/>
      <c r="HSC217" s="1"/>
      <c r="HSD217" s="1"/>
      <c r="HSE217" s="1"/>
      <c r="HSF217" s="1"/>
      <c r="HSG217" s="1"/>
      <c r="HSH217" s="1"/>
      <c r="HSI217" s="1"/>
      <c r="HSJ217" s="1"/>
      <c r="HSK217" s="1"/>
      <c r="HSL217" s="1"/>
      <c r="HSM217" s="1"/>
      <c r="HSN217" s="1"/>
      <c r="HSO217" s="1"/>
      <c r="HSP217" s="1"/>
      <c r="HSQ217" s="1"/>
      <c r="HSR217" s="1"/>
      <c r="HSS217" s="1"/>
      <c r="HST217" s="1"/>
      <c r="HSU217" s="1"/>
      <c r="HSV217" s="1"/>
      <c r="HSW217" s="1"/>
      <c r="HSX217" s="1"/>
      <c r="HSY217" s="1"/>
      <c r="HSZ217" s="1"/>
      <c r="HTA217" s="1"/>
      <c r="HTB217" s="1"/>
      <c r="HTC217" s="1"/>
      <c r="HTD217" s="1"/>
      <c r="HTE217" s="1"/>
      <c r="HTF217" s="1"/>
      <c r="HTG217" s="1"/>
      <c r="HTH217" s="1"/>
      <c r="HTI217" s="1"/>
      <c r="HTJ217" s="1"/>
      <c r="HTK217" s="1"/>
      <c r="HTL217" s="1"/>
      <c r="HTM217" s="1"/>
      <c r="HTN217" s="1"/>
      <c r="HTO217" s="1"/>
      <c r="HTP217" s="1"/>
      <c r="HTQ217" s="1"/>
      <c r="HTR217" s="1"/>
      <c r="HTS217" s="1"/>
      <c r="HTT217" s="1"/>
      <c r="HTU217" s="1"/>
      <c r="HTV217" s="1"/>
      <c r="HTW217" s="1"/>
      <c r="HTX217" s="1"/>
      <c r="HTY217" s="1"/>
      <c r="HTZ217" s="1"/>
      <c r="HUA217" s="1"/>
      <c r="HUB217" s="1"/>
      <c r="HUC217" s="1"/>
      <c r="HUD217" s="1"/>
      <c r="HUE217" s="1"/>
      <c r="HUF217" s="1"/>
      <c r="HUG217" s="1"/>
      <c r="HUH217" s="1"/>
      <c r="HUI217" s="1"/>
      <c r="HUJ217" s="1"/>
      <c r="HUK217" s="1"/>
      <c r="HUL217" s="1"/>
      <c r="HUM217" s="1"/>
      <c r="HUN217" s="1"/>
      <c r="HUO217" s="1"/>
      <c r="HUP217" s="1"/>
      <c r="HUQ217" s="1"/>
      <c r="HUR217" s="1"/>
      <c r="HUS217" s="1"/>
      <c r="HUT217" s="1"/>
      <c r="HUU217" s="1"/>
      <c r="HUV217" s="1"/>
      <c r="HUW217" s="1"/>
      <c r="HUX217" s="1"/>
      <c r="HUY217" s="1"/>
      <c r="HUZ217" s="1"/>
      <c r="HVA217" s="1"/>
      <c r="HVB217" s="1"/>
      <c r="HVC217" s="1"/>
      <c r="HVD217" s="1"/>
      <c r="HVE217" s="1"/>
      <c r="HVF217" s="1"/>
      <c r="HVG217" s="1"/>
      <c r="HVH217" s="1"/>
      <c r="HVI217" s="1"/>
      <c r="HVJ217" s="1"/>
      <c r="HVK217" s="1"/>
      <c r="HVL217" s="1"/>
      <c r="HVM217" s="1"/>
      <c r="HVN217" s="1"/>
      <c r="HVO217" s="1"/>
      <c r="HVP217" s="1"/>
      <c r="HVQ217" s="1"/>
      <c r="HVR217" s="1"/>
      <c r="HVS217" s="1"/>
      <c r="HVT217" s="1"/>
      <c r="HVU217" s="1"/>
      <c r="HVV217" s="1"/>
      <c r="HVW217" s="1"/>
      <c r="HVX217" s="1"/>
      <c r="HVY217" s="1"/>
      <c r="HVZ217" s="1"/>
      <c r="HWA217" s="1"/>
      <c r="HWB217" s="1"/>
      <c r="HWC217" s="1"/>
      <c r="HWD217" s="1"/>
      <c r="HWE217" s="1"/>
      <c r="HWF217" s="1"/>
      <c r="HWG217" s="1"/>
      <c r="HWH217" s="1"/>
      <c r="HWI217" s="1"/>
      <c r="HWJ217" s="1"/>
      <c r="HWK217" s="1"/>
      <c r="HWL217" s="1"/>
      <c r="HWM217" s="1"/>
      <c r="HWN217" s="1"/>
      <c r="HWO217" s="1"/>
      <c r="HWP217" s="1"/>
      <c r="HWQ217" s="1"/>
      <c r="HWR217" s="1"/>
      <c r="HWS217" s="1"/>
      <c r="HWT217" s="1"/>
      <c r="HWU217" s="1"/>
      <c r="HWV217" s="1"/>
      <c r="HWW217" s="1"/>
      <c r="HWX217" s="1"/>
      <c r="HWY217" s="1"/>
      <c r="HWZ217" s="1"/>
      <c r="HXA217" s="1"/>
      <c r="HXB217" s="1"/>
      <c r="HXC217" s="1"/>
      <c r="HXD217" s="1"/>
      <c r="HXE217" s="1"/>
      <c r="HXF217" s="1"/>
      <c r="HXG217" s="1"/>
      <c r="HXH217" s="1"/>
      <c r="HXI217" s="1"/>
      <c r="HXJ217" s="1"/>
      <c r="HXK217" s="1"/>
      <c r="HXL217" s="1"/>
      <c r="HXM217" s="1"/>
      <c r="HXN217" s="1"/>
      <c r="HXO217" s="1"/>
      <c r="HXP217" s="1"/>
      <c r="HXQ217" s="1"/>
      <c r="HXR217" s="1"/>
      <c r="HXS217" s="1"/>
      <c r="HXT217" s="1"/>
      <c r="HXU217" s="1"/>
      <c r="HXV217" s="1"/>
      <c r="HXW217" s="1"/>
      <c r="HXX217" s="1"/>
      <c r="HXY217" s="1"/>
      <c r="HXZ217" s="1"/>
      <c r="HYA217" s="1"/>
      <c r="HYB217" s="1"/>
      <c r="HYC217" s="1"/>
      <c r="HYD217" s="1"/>
      <c r="HYE217" s="1"/>
      <c r="HYF217" s="1"/>
      <c r="HYG217" s="1"/>
      <c r="HYH217" s="1"/>
      <c r="HYI217" s="1"/>
      <c r="HYJ217" s="1"/>
      <c r="HYK217" s="1"/>
      <c r="HYL217" s="1"/>
      <c r="HYM217" s="1"/>
      <c r="HYN217" s="1"/>
      <c r="HYO217" s="1"/>
      <c r="HYP217" s="1"/>
      <c r="HYQ217" s="1"/>
      <c r="HYR217" s="1"/>
      <c r="HYS217" s="1"/>
      <c r="HYT217" s="1"/>
      <c r="HYU217" s="1"/>
      <c r="HYV217" s="1"/>
      <c r="HYW217" s="1"/>
      <c r="HYX217" s="1"/>
      <c r="HYY217" s="1"/>
      <c r="HYZ217" s="1"/>
      <c r="HZA217" s="1"/>
      <c r="HZB217" s="1"/>
      <c r="HZC217" s="1"/>
      <c r="HZD217" s="1"/>
      <c r="HZE217" s="1"/>
      <c r="HZF217" s="1"/>
      <c r="HZG217" s="1"/>
      <c r="HZH217" s="1"/>
      <c r="HZI217" s="1"/>
      <c r="HZJ217" s="1"/>
      <c r="HZK217" s="1"/>
      <c r="HZL217" s="1"/>
      <c r="HZM217" s="1"/>
      <c r="HZN217" s="1"/>
      <c r="HZO217" s="1"/>
      <c r="HZP217" s="1"/>
      <c r="HZQ217" s="1"/>
      <c r="HZR217" s="1"/>
      <c r="HZS217" s="1"/>
      <c r="HZT217" s="1"/>
      <c r="HZU217" s="1"/>
      <c r="HZV217" s="1"/>
      <c r="HZW217" s="1"/>
      <c r="HZX217" s="1"/>
      <c r="HZY217" s="1"/>
      <c r="HZZ217" s="1"/>
      <c r="IAA217" s="1"/>
      <c r="IAB217" s="1"/>
      <c r="IAC217" s="1"/>
      <c r="IAD217" s="1"/>
      <c r="IAE217" s="1"/>
      <c r="IAF217" s="1"/>
      <c r="IAG217" s="1"/>
      <c r="IAH217" s="1"/>
      <c r="IAI217" s="1"/>
      <c r="IAJ217" s="1"/>
      <c r="IAK217" s="1"/>
      <c r="IAL217" s="1"/>
      <c r="IAM217" s="1"/>
      <c r="IAN217" s="1"/>
      <c r="IAO217" s="1"/>
      <c r="IAP217" s="1"/>
      <c r="IAQ217" s="1"/>
      <c r="IAR217" s="1"/>
      <c r="IAS217" s="1"/>
      <c r="IAT217" s="1"/>
      <c r="IAU217" s="1"/>
      <c r="IAV217" s="1"/>
      <c r="IAW217" s="1"/>
      <c r="IAX217" s="1"/>
      <c r="IAY217" s="1"/>
      <c r="IAZ217" s="1"/>
      <c r="IBA217" s="1"/>
      <c r="IBB217" s="1"/>
      <c r="IBC217" s="1"/>
      <c r="IBD217" s="1"/>
      <c r="IBE217" s="1"/>
      <c r="IBF217" s="1"/>
      <c r="IBG217" s="1"/>
      <c r="IBH217" s="1"/>
      <c r="IBI217" s="1"/>
      <c r="IBJ217" s="1"/>
      <c r="IBK217" s="1"/>
      <c r="IBL217" s="1"/>
      <c r="IBM217" s="1"/>
      <c r="IBN217" s="1"/>
      <c r="IBO217" s="1"/>
      <c r="IBP217" s="1"/>
      <c r="IBQ217" s="1"/>
      <c r="IBR217" s="1"/>
      <c r="IBS217" s="1"/>
      <c r="IBT217" s="1"/>
      <c r="IBU217" s="1"/>
      <c r="IBV217" s="1"/>
      <c r="IBW217" s="1"/>
      <c r="IBX217" s="1"/>
      <c r="IBY217" s="1"/>
      <c r="IBZ217" s="1"/>
      <c r="ICA217" s="1"/>
      <c r="ICB217" s="1"/>
      <c r="ICC217" s="1"/>
      <c r="ICD217" s="1"/>
      <c r="ICE217" s="1"/>
      <c r="ICF217" s="1"/>
      <c r="ICG217" s="1"/>
      <c r="ICH217" s="1"/>
      <c r="ICI217" s="1"/>
      <c r="ICJ217" s="1"/>
      <c r="ICK217" s="1"/>
      <c r="ICL217" s="1"/>
      <c r="ICM217" s="1"/>
      <c r="ICN217" s="1"/>
      <c r="ICO217" s="1"/>
      <c r="ICP217" s="1"/>
      <c r="ICQ217" s="1"/>
      <c r="ICR217" s="1"/>
      <c r="ICS217" s="1"/>
      <c r="ICT217" s="1"/>
      <c r="ICU217" s="1"/>
      <c r="ICV217" s="1"/>
      <c r="ICW217" s="1"/>
      <c r="ICX217" s="1"/>
      <c r="ICY217" s="1"/>
      <c r="ICZ217" s="1"/>
      <c r="IDA217" s="1"/>
      <c r="IDB217" s="1"/>
      <c r="IDC217" s="1"/>
      <c r="IDD217" s="1"/>
      <c r="IDE217" s="1"/>
      <c r="IDF217" s="1"/>
      <c r="IDG217" s="1"/>
      <c r="IDH217" s="1"/>
      <c r="IDI217" s="1"/>
      <c r="IDJ217" s="1"/>
      <c r="IDK217" s="1"/>
      <c r="IDL217" s="1"/>
      <c r="IDM217" s="1"/>
      <c r="IDN217" s="1"/>
      <c r="IDO217" s="1"/>
      <c r="IDP217" s="1"/>
      <c r="IDQ217" s="1"/>
      <c r="IDR217" s="1"/>
      <c r="IDS217" s="1"/>
      <c r="IDT217" s="1"/>
      <c r="IDU217" s="1"/>
      <c r="IDV217" s="1"/>
      <c r="IDW217" s="1"/>
      <c r="IDX217" s="1"/>
      <c r="IDY217" s="1"/>
      <c r="IDZ217" s="1"/>
      <c r="IEA217" s="1"/>
      <c r="IEB217" s="1"/>
      <c r="IEC217" s="1"/>
      <c r="IED217" s="1"/>
      <c r="IEE217" s="1"/>
      <c r="IEF217" s="1"/>
      <c r="IEG217" s="1"/>
      <c r="IEH217" s="1"/>
      <c r="IEI217" s="1"/>
      <c r="IEJ217" s="1"/>
      <c r="IEK217" s="1"/>
      <c r="IEL217" s="1"/>
      <c r="IEM217" s="1"/>
      <c r="IEN217" s="1"/>
      <c r="IEO217" s="1"/>
      <c r="IEP217" s="1"/>
      <c r="IEQ217" s="1"/>
      <c r="IER217" s="1"/>
      <c r="IES217" s="1"/>
      <c r="IET217" s="1"/>
      <c r="IEU217" s="1"/>
      <c r="IEV217" s="1"/>
      <c r="IEW217" s="1"/>
      <c r="IEX217" s="1"/>
      <c r="IEY217" s="1"/>
      <c r="IEZ217" s="1"/>
      <c r="IFA217" s="1"/>
      <c r="IFB217" s="1"/>
      <c r="IFC217" s="1"/>
      <c r="IFD217" s="1"/>
      <c r="IFE217" s="1"/>
      <c r="IFF217" s="1"/>
      <c r="IFG217" s="1"/>
      <c r="IFH217" s="1"/>
      <c r="IFI217" s="1"/>
      <c r="IFJ217" s="1"/>
      <c r="IFK217" s="1"/>
      <c r="IFL217" s="1"/>
      <c r="IFM217" s="1"/>
      <c r="IFN217" s="1"/>
      <c r="IFO217" s="1"/>
      <c r="IFP217" s="1"/>
      <c r="IFQ217" s="1"/>
      <c r="IFR217" s="1"/>
      <c r="IFS217" s="1"/>
      <c r="IFT217" s="1"/>
      <c r="IFU217" s="1"/>
      <c r="IFV217" s="1"/>
      <c r="IFW217" s="1"/>
      <c r="IFX217" s="1"/>
      <c r="IFY217" s="1"/>
      <c r="IFZ217" s="1"/>
      <c r="IGA217" s="1"/>
      <c r="IGB217" s="1"/>
      <c r="IGC217" s="1"/>
      <c r="IGD217" s="1"/>
      <c r="IGE217" s="1"/>
      <c r="IGF217" s="1"/>
      <c r="IGG217" s="1"/>
      <c r="IGH217" s="1"/>
      <c r="IGI217" s="1"/>
      <c r="IGJ217" s="1"/>
      <c r="IGK217" s="1"/>
      <c r="IGL217" s="1"/>
      <c r="IGM217" s="1"/>
      <c r="IGN217" s="1"/>
      <c r="IGO217" s="1"/>
      <c r="IGP217" s="1"/>
      <c r="IGQ217" s="1"/>
      <c r="IGR217" s="1"/>
      <c r="IGS217" s="1"/>
      <c r="IGT217" s="1"/>
      <c r="IGU217" s="1"/>
      <c r="IGV217" s="1"/>
      <c r="IGW217" s="1"/>
      <c r="IGX217" s="1"/>
      <c r="IGY217" s="1"/>
      <c r="IGZ217" s="1"/>
      <c r="IHA217" s="1"/>
      <c r="IHB217" s="1"/>
      <c r="IHC217" s="1"/>
      <c r="IHD217" s="1"/>
      <c r="IHE217" s="1"/>
      <c r="IHF217" s="1"/>
      <c r="IHG217" s="1"/>
      <c r="IHH217" s="1"/>
      <c r="IHI217" s="1"/>
      <c r="IHJ217" s="1"/>
      <c r="IHK217" s="1"/>
      <c r="IHL217" s="1"/>
      <c r="IHM217" s="1"/>
      <c r="IHN217" s="1"/>
      <c r="IHO217" s="1"/>
      <c r="IHP217" s="1"/>
      <c r="IHQ217" s="1"/>
      <c r="IHR217" s="1"/>
      <c r="IHS217" s="1"/>
      <c r="IHT217" s="1"/>
      <c r="IHU217" s="1"/>
      <c r="IHV217" s="1"/>
      <c r="IHW217" s="1"/>
      <c r="IHX217" s="1"/>
      <c r="IHY217" s="1"/>
      <c r="IHZ217" s="1"/>
      <c r="IIA217" s="1"/>
      <c r="IIB217" s="1"/>
      <c r="IIC217" s="1"/>
      <c r="IID217" s="1"/>
      <c r="IIE217" s="1"/>
      <c r="IIF217" s="1"/>
      <c r="IIG217" s="1"/>
      <c r="IIH217" s="1"/>
      <c r="III217" s="1"/>
      <c r="IIJ217" s="1"/>
      <c r="IIK217" s="1"/>
      <c r="IIL217" s="1"/>
      <c r="IIM217" s="1"/>
      <c r="IIN217" s="1"/>
      <c r="IIO217" s="1"/>
      <c r="IIP217" s="1"/>
      <c r="IIQ217" s="1"/>
      <c r="IIR217" s="1"/>
      <c r="IIS217" s="1"/>
      <c r="IIT217" s="1"/>
      <c r="IIU217" s="1"/>
      <c r="IIV217" s="1"/>
      <c r="IIW217" s="1"/>
      <c r="IIX217" s="1"/>
      <c r="IIY217" s="1"/>
      <c r="IIZ217" s="1"/>
      <c r="IJA217" s="1"/>
      <c r="IJB217" s="1"/>
      <c r="IJC217" s="1"/>
      <c r="IJD217" s="1"/>
      <c r="IJE217" s="1"/>
      <c r="IJF217" s="1"/>
      <c r="IJG217" s="1"/>
      <c r="IJH217" s="1"/>
      <c r="IJI217" s="1"/>
      <c r="IJJ217" s="1"/>
      <c r="IJK217" s="1"/>
      <c r="IJL217" s="1"/>
      <c r="IJM217" s="1"/>
      <c r="IJN217" s="1"/>
      <c r="IJO217" s="1"/>
      <c r="IJP217" s="1"/>
      <c r="IJQ217" s="1"/>
      <c r="IJR217" s="1"/>
      <c r="IJS217" s="1"/>
      <c r="IJT217" s="1"/>
      <c r="IJU217" s="1"/>
      <c r="IJV217" s="1"/>
      <c r="IJW217" s="1"/>
      <c r="IJX217" s="1"/>
      <c r="IJY217" s="1"/>
      <c r="IJZ217" s="1"/>
      <c r="IKA217" s="1"/>
      <c r="IKB217" s="1"/>
      <c r="IKC217" s="1"/>
      <c r="IKD217" s="1"/>
      <c r="IKE217" s="1"/>
      <c r="IKF217" s="1"/>
      <c r="IKG217" s="1"/>
      <c r="IKH217" s="1"/>
      <c r="IKI217" s="1"/>
      <c r="IKJ217" s="1"/>
      <c r="IKK217" s="1"/>
      <c r="IKL217" s="1"/>
      <c r="IKM217" s="1"/>
      <c r="IKN217" s="1"/>
      <c r="IKO217" s="1"/>
      <c r="IKP217" s="1"/>
      <c r="IKQ217" s="1"/>
      <c r="IKR217" s="1"/>
      <c r="IKS217" s="1"/>
      <c r="IKT217" s="1"/>
      <c r="IKU217" s="1"/>
      <c r="IKV217" s="1"/>
      <c r="IKW217" s="1"/>
      <c r="IKX217" s="1"/>
      <c r="IKY217" s="1"/>
      <c r="IKZ217" s="1"/>
      <c r="ILA217" s="1"/>
      <c r="ILB217" s="1"/>
      <c r="ILC217" s="1"/>
      <c r="ILD217" s="1"/>
      <c r="ILE217" s="1"/>
      <c r="ILF217" s="1"/>
      <c r="ILG217" s="1"/>
      <c r="ILH217" s="1"/>
      <c r="ILI217" s="1"/>
      <c r="ILJ217" s="1"/>
      <c r="ILK217" s="1"/>
      <c r="ILL217" s="1"/>
      <c r="ILM217" s="1"/>
      <c r="ILN217" s="1"/>
      <c r="ILO217" s="1"/>
      <c r="ILP217" s="1"/>
      <c r="ILQ217" s="1"/>
      <c r="ILR217" s="1"/>
      <c r="ILS217" s="1"/>
      <c r="ILT217" s="1"/>
      <c r="ILU217" s="1"/>
      <c r="ILV217" s="1"/>
      <c r="ILW217" s="1"/>
      <c r="ILX217" s="1"/>
      <c r="ILY217" s="1"/>
      <c r="ILZ217" s="1"/>
      <c r="IMA217" s="1"/>
      <c r="IMB217" s="1"/>
      <c r="IMC217" s="1"/>
      <c r="IMD217" s="1"/>
      <c r="IME217" s="1"/>
      <c r="IMF217" s="1"/>
      <c r="IMG217" s="1"/>
      <c r="IMH217" s="1"/>
      <c r="IMI217" s="1"/>
      <c r="IMJ217" s="1"/>
      <c r="IMK217" s="1"/>
      <c r="IML217" s="1"/>
      <c r="IMM217" s="1"/>
      <c r="IMN217" s="1"/>
      <c r="IMO217" s="1"/>
      <c r="IMP217" s="1"/>
      <c r="IMQ217" s="1"/>
      <c r="IMR217" s="1"/>
      <c r="IMS217" s="1"/>
      <c r="IMT217" s="1"/>
      <c r="IMU217" s="1"/>
      <c r="IMV217" s="1"/>
      <c r="IMW217" s="1"/>
      <c r="IMX217" s="1"/>
      <c r="IMY217" s="1"/>
      <c r="IMZ217" s="1"/>
      <c r="INA217" s="1"/>
      <c r="INB217" s="1"/>
      <c r="INC217" s="1"/>
      <c r="IND217" s="1"/>
      <c r="INE217" s="1"/>
      <c r="INF217" s="1"/>
      <c r="ING217" s="1"/>
      <c r="INH217" s="1"/>
      <c r="INI217" s="1"/>
      <c r="INJ217" s="1"/>
      <c r="INK217" s="1"/>
      <c r="INL217" s="1"/>
      <c r="INM217" s="1"/>
      <c r="INN217" s="1"/>
      <c r="INO217" s="1"/>
      <c r="INP217" s="1"/>
      <c r="INQ217" s="1"/>
      <c r="INR217" s="1"/>
      <c r="INS217" s="1"/>
      <c r="INT217" s="1"/>
      <c r="INU217" s="1"/>
      <c r="INV217" s="1"/>
      <c r="INW217" s="1"/>
      <c r="INX217" s="1"/>
      <c r="INY217" s="1"/>
      <c r="INZ217" s="1"/>
      <c r="IOA217" s="1"/>
      <c r="IOB217" s="1"/>
      <c r="IOC217" s="1"/>
      <c r="IOD217" s="1"/>
      <c r="IOE217" s="1"/>
      <c r="IOF217" s="1"/>
      <c r="IOG217" s="1"/>
      <c r="IOH217" s="1"/>
      <c r="IOI217" s="1"/>
      <c r="IOJ217" s="1"/>
      <c r="IOK217" s="1"/>
      <c r="IOL217" s="1"/>
      <c r="IOM217" s="1"/>
      <c r="ION217" s="1"/>
      <c r="IOO217" s="1"/>
      <c r="IOP217" s="1"/>
      <c r="IOQ217" s="1"/>
      <c r="IOR217" s="1"/>
      <c r="IOS217" s="1"/>
      <c r="IOT217" s="1"/>
      <c r="IOU217" s="1"/>
      <c r="IOV217" s="1"/>
      <c r="IOW217" s="1"/>
      <c r="IOX217" s="1"/>
      <c r="IOY217" s="1"/>
      <c r="IOZ217" s="1"/>
      <c r="IPA217" s="1"/>
      <c r="IPB217" s="1"/>
      <c r="IPC217" s="1"/>
      <c r="IPD217" s="1"/>
      <c r="IPE217" s="1"/>
      <c r="IPF217" s="1"/>
      <c r="IPG217" s="1"/>
      <c r="IPH217" s="1"/>
      <c r="IPI217" s="1"/>
      <c r="IPJ217" s="1"/>
      <c r="IPK217" s="1"/>
      <c r="IPL217" s="1"/>
      <c r="IPM217" s="1"/>
      <c r="IPN217" s="1"/>
      <c r="IPO217" s="1"/>
      <c r="IPP217" s="1"/>
      <c r="IPQ217" s="1"/>
      <c r="IPR217" s="1"/>
      <c r="IPS217" s="1"/>
      <c r="IPT217" s="1"/>
      <c r="IPU217" s="1"/>
      <c r="IPV217" s="1"/>
      <c r="IPW217" s="1"/>
      <c r="IPX217" s="1"/>
      <c r="IPY217" s="1"/>
      <c r="IPZ217" s="1"/>
      <c r="IQA217" s="1"/>
      <c r="IQB217" s="1"/>
      <c r="IQC217" s="1"/>
      <c r="IQD217" s="1"/>
      <c r="IQE217" s="1"/>
      <c r="IQF217" s="1"/>
      <c r="IQG217" s="1"/>
      <c r="IQH217" s="1"/>
      <c r="IQI217" s="1"/>
      <c r="IQJ217" s="1"/>
      <c r="IQK217" s="1"/>
      <c r="IQL217" s="1"/>
      <c r="IQM217" s="1"/>
      <c r="IQN217" s="1"/>
      <c r="IQO217" s="1"/>
      <c r="IQP217" s="1"/>
      <c r="IQQ217" s="1"/>
      <c r="IQR217" s="1"/>
      <c r="IQS217" s="1"/>
      <c r="IQT217" s="1"/>
      <c r="IQU217" s="1"/>
      <c r="IQV217" s="1"/>
      <c r="IQW217" s="1"/>
      <c r="IQX217" s="1"/>
      <c r="IQY217" s="1"/>
      <c r="IQZ217" s="1"/>
      <c r="IRA217" s="1"/>
      <c r="IRB217" s="1"/>
      <c r="IRC217" s="1"/>
      <c r="IRD217" s="1"/>
      <c r="IRE217" s="1"/>
      <c r="IRF217" s="1"/>
      <c r="IRG217" s="1"/>
      <c r="IRH217" s="1"/>
      <c r="IRI217" s="1"/>
      <c r="IRJ217" s="1"/>
      <c r="IRK217" s="1"/>
      <c r="IRL217" s="1"/>
      <c r="IRM217" s="1"/>
      <c r="IRN217" s="1"/>
      <c r="IRO217" s="1"/>
      <c r="IRP217" s="1"/>
      <c r="IRQ217" s="1"/>
      <c r="IRR217" s="1"/>
      <c r="IRS217" s="1"/>
      <c r="IRT217" s="1"/>
      <c r="IRU217" s="1"/>
      <c r="IRV217" s="1"/>
      <c r="IRW217" s="1"/>
      <c r="IRX217" s="1"/>
      <c r="IRY217" s="1"/>
      <c r="IRZ217" s="1"/>
      <c r="ISA217" s="1"/>
      <c r="ISB217" s="1"/>
      <c r="ISC217" s="1"/>
      <c r="ISD217" s="1"/>
      <c r="ISE217" s="1"/>
      <c r="ISF217" s="1"/>
      <c r="ISG217" s="1"/>
      <c r="ISH217" s="1"/>
      <c r="ISI217" s="1"/>
      <c r="ISJ217" s="1"/>
      <c r="ISK217" s="1"/>
      <c r="ISL217" s="1"/>
      <c r="ISM217" s="1"/>
      <c r="ISN217" s="1"/>
      <c r="ISO217" s="1"/>
      <c r="ISP217" s="1"/>
      <c r="ISQ217" s="1"/>
      <c r="ISR217" s="1"/>
      <c r="ISS217" s="1"/>
      <c r="IST217" s="1"/>
      <c r="ISU217" s="1"/>
      <c r="ISV217" s="1"/>
      <c r="ISW217" s="1"/>
      <c r="ISX217" s="1"/>
      <c r="ISY217" s="1"/>
      <c r="ISZ217" s="1"/>
      <c r="ITA217" s="1"/>
      <c r="ITB217" s="1"/>
      <c r="ITC217" s="1"/>
      <c r="ITD217" s="1"/>
      <c r="ITE217" s="1"/>
      <c r="ITF217" s="1"/>
      <c r="ITG217" s="1"/>
      <c r="ITH217" s="1"/>
      <c r="ITI217" s="1"/>
      <c r="ITJ217" s="1"/>
      <c r="ITK217" s="1"/>
      <c r="ITL217" s="1"/>
      <c r="ITM217" s="1"/>
      <c r="ITN217" s="1"/>
      <c r="ITO217" s="1"/>
      <c r="ITP217" s="1"/>
      <c r="ITQ217" s="1"/>
      <c r="ITR217" s="1"/>
      <c r="ITS217" s="1"/>
      <c r="ITT217" s="1"/>
      <c r="ITU217" s="1"/>
      <c r="ITV217" s="1"/>
      <c r="ITW217" s="1"/>
      <c r="ITX217" s="1"/>
      <c r="ITY217" s="1"/>
      <c r="ITZ217" s="1"/>
      <c r="IUA217" s="1"/>
      <c r="IUB217" s="1"/>
      <c r="IUC217" s="1"/>
      <c r="IUD217" s="1"/>
      <c r="IUE217" s="1"/>
      <c r="IUF217" s="1"/>
      <c r="IUG217" s="1"/>
      <c r="IUH217" s="1"/>
      <c r="IUI217" s="1"/>
      <c r="IUJ217" s="1"/>
      <c r="IUK217" s="1"/>
      <c r="IUL217" s="1"/>
      <c r="IUM217" s="1"/>
      <c r="IUN217" s="1"/>
      <c r="IUO217" s="1"/>
      <c r="IUP217" s="1"/>
      <c r="IUQ217" s="1"/>
      <c r="IUR217" s="1"/>
      <c r="IUS217" s="1"/>
      <c r="IUT217" s="1"/>
      <c r="IUU217" s="1"/>
      <c r="IUV217" s="1"/>
      <c r="IUW217" s="1"/>
      <c r="IUX217" s="1"/>
      <c r="IUY217" s="1"/>
      <c r="IUZ217" s="1"/>
      <c r="IVA217" s="1"/>
      <c r="IVB217" s="1"/>
      <c r="IVC217" s="1"/>
      <c r="IVD217" s="1"/>
      <c r="IVE217" s="1"/>
      <c r="IVF217" s="1"/>
      <c r="IVG217" s="1"/>
      <c r="IVH217" s="1"/>
      <c r="IVI217" s="1"/>
      <c r="IVJ217" s="1"/>
      <c r="IVK217" s="1"/>
      <c r="IVL217" s="1"/>
      <c r="IVM217" s="1"/>
      <c r="IVN217" s="1"/>
      <c r="IVO217" s="1"/>
      <c r="IVP217" s="1"/>
      <c r="IVQ217" s="1"/>
      <c r="IVR217" s="1"/>
      <c r="IVS217" s="1"/>
      <c r="IVT217" s="1"/>
      <c r="IVU217" s="1"/>
      <c r="IVV217" s="1"/>
      <c r="IVW217" s="1"/>
      <c r="IVX217" s="1"/>
      <c r="IVY217" s="1"/>
      <c r="IVZ217" s="1"/>
      <c r="IWA217" s="1"/>
      <c r="IWB217" s="1"/>
      <c r="IWC217" s="1"/>
      <c r="IWD217" s="1"/>
      <c r="IWE217" s="1"/>
      <c r="IWF217" s="1"/>
      <c r="IWG217" s="1"/>
      <c r="IWH217" s="1"/>
      <c r="IWI217" s="1"/>
      <c r="IWJ217" s="1"/>
      <c r="IWK217" s="1"/>
      <c r="IWL217" s="1"/>
      <c r="IWM217" s="1"/>
      <c r="IWN217" s="1"/>
      <c r="IWO217" s="1"/>
      <c r="IWP217" s="1"/>
      <c r="IWQ217" s="1"/>
      <c r="IWR217" s="1"/>
      <c r="IWS217" s="1"/>
      <c r="IWT217" s="1"/>
      <c r="IWU217" s="1"/>
      <c r="IWV217" s="1"/>
      <c r="IWW217" s="1"/>
      <c r="IWX217" s="1"/>
      <c r="IWY217" s="1"/>
      <c r="IWZ217" s="1"/>
      <c r="IXA217" s="1"/>
      <c r="IXB217" s="1"/>
      <c r="IXC217" s="1"/>
      <c r="IXD217" s="1"/>
      <c r="IXE217" s="1"/>
      <c r="IXF217" s="1"/>
      <c r="IXG217" s="1"/>
      <c r="IXH217" s="1"/>
      <c r="IXI217" s="1"/>
      <c r="IXJ217" s="1"/>
      <c r="IXK217" s="1"/>
      <c r="IXL217" s="1"/>
      <c r="IXM217" s="1"/>
      <c r="IXN217" s="1"/>
      <c r="IXO217" s="1"/>
      <c r="IXP217" s="1"/>
      <c r="IXQ217" s="1"/>
      <c r="IXR217" s="1"/>
      <c r="IXS217" s="1"/>
      <c r="IXT217" s="1"/>
      <c r="IXU217" s="1"/>
      <c r="IXV217" s="1"/>
      <c r="IXW217" s="1"/>
      <c r="IXX217" s="1"/>
      <c r="IXY217" s="1"/>
      <c r="IXZ217" s="1"/>
      <c r="IYA217" s="1"/>
      <c r="IYB217" s="1"/>
      <c r="IYC217" s="1"/>
      <c r="IYD217" s="1"/>
      <c r="IYE217" s="1"/>
      <c r="IYF217" s="1"/>
      <c r="IYG217" s="1"/>
      <c r="IYH217" s="1"/>
      <c r="IYI217" s="1"/>
      <c r="IYJ217" s="1"/>
      <c r="IYK217" s="1"/>
      <c r="IYL217" s="1"/>
      <c r="IYM217" s="1"/>
      <c r="IYN217" s="1"/>
      <c r="IYO217" s="1"/>
      <c r="IYP217" s="1"/>
      <c r="IYQ217" s="1"/>
      <c r="IYR217" s="1"/>
      <c r="IYS217" s="1"/>
      <c r="IYT217" s="1"/>
      <c r="IYU217" s="1"/>
      <c r="IYV217" s="1"/>
      <c r="IYW217" s="1"/>
      <c r="IYX217" s="1"/>
      <c r="IYY217" s="1"/>
      <c r="IYZ217" s="1"/>
      <c r="IZA217" s="1"/>
      <c r="IZB217" s="1"/>
      <c r="IZC217" s="1"/>
      <c r="IZD217" s="1"/>
      <c r="IZE217" s="1"/>
      <c r="IZF217" s="1"/>
      <c r="IZG217" s="1"/>
      <c r="IZH217" s="1"/>
      <c r="IZI217" s="1"/>
      <c r="IZJ217" s="1"/>
      <c r="IZK217" s="1"/>
      <c r="IZL217" s="1"/>
      <c r="IZM217" s="1"/>
      <c r="IZN217" s="1"/>
      <c r="IZO217" s="1"/>
      <c r="IZP217" s="1"/>
      <c r="IZQ217" s="1"/>
      <c r="IZR217" s="1"/>
      <c r="IZS217" s="1"/>
      <c r="IZT217" s="1"/>
      <c r="IZU217" s="1"/>
      <c r="IZV217" s="1"/>
      <c r="IZW217" s="1"/>
      <c r="IZX217" s="1"/>
      <c r="IZY217" s="1"/>
      <c r="IZZ217" s="1"/>
      <c r="JAA217" s="1"/>
      <c r="JAB217" s="1"/>
      <c r="JAC217" s="1"/>
      <c r="JAD217" s="1"/>
      <c r="JAE217" s="1"/>
      <c r="JAF217" s="1"/>
      <c r="JAG217" s="1"/>
      <c r="JAH217" s="1"/>
      <c r="JAI217" s="1"/>
      <c r="JAJ217" s="1"/>
      <c r="JAK217" s="1"/>
      <c r="JAL217" s="1"/>
      <c r="JAM217" s="1"/>
      <c r="JAN217" s="1"/>
      <c r="JAO217" s="1"/>
      <c r="JAP217" s="1"/>
      <c r="JAQ217" s="1"/>
      <c r="JAR217" s="1"/>
      <c r="JAS217" s="1"/>
      <c r="JAT217" s="1"/>
      <c r="JAU217" s="1"/>
      <c r="JAV217" s="1"/>
      <c r="JAW217" s="1"/>
      <c r="JAX217" s="1"/>
      <c r="JAY217" s="1"/>
      <c r="JAZ217" s="1"/>
      <c r="JBA217" s="1"/>
      <c r="JBB217" s="1"/>
      <c r="JBC217" s="1"/>
      <c r="JBD217" s="1"/>
      <c r="JBE217" s="1"/>
      <c r="JBF217" s="1"/>
      <c r="JBG217" s="1"/>
      <c r="JBH217" s="1"/>
      <c r="JBI217" s="1"/>
      <c r="JBJ217" s="1"/>
      <c r="JBK217" s="1"/>
      <c r="JBL217" s="1"/>
      <c r="JBM217" s="1"/>
      <c r="JBN217" s="1"/>
      <c r="JBO217" s="1"/>
      <c r="JBP217" s="1"/>
      <c r="JBQ217" s="1"/>
      <c r="JBR217" s="1"/>
      <c r="JBS217" s="1"/>
      <c r="JBT217" s="1"/>
      <c r="JBU217" s="1"/>
      <c r="JBV217" s="1"/>
      <c r="JBW217" s="1"/>
      <c r="JBX217" s="1"/>
      <c r="JBY217" s="1"/>
      <c r="JBZ217" s="1"/>
      <c r="JCA217" s="1"/>
      <c r="JCB217" s="1"/>
      <c r="JCC217" s="1"/>
      <c r="JCD217" s="1"/>
      <c r="JCE217" s="1"/>
      <c r="JCF217" s="1"/>
      <c r="JCG217" s="1"/>
      <c r="JCH217" s="1"/>
      <c r="JCI217" s="1"/>
      <c r="JCJ217" s="1"/>
      <c r="JCK217" s="1"/>
      <c r="JCL217" s="1"/>
      <c r="JCM217" s="1"/>
      <c r="JCN217" s="1"/>
      <c r="JCO217" s="1"/>
      <c r="JCP217" s="1"/>
      <c r="JCQ217" s="1"/>
      <c r="JCR217" s="1"/>
      <c r="JCS217" s="1"/>
      <c r="JCT217" s="1"/>
      <c r="JCU217" s="1"/>
      <c r="JCV217" s="1"/>
      <c r="JCW217" s="1"/>
      <c r="JCX217" s="1"/>
      <c r="JCY217" s="1"/>
      <c r="JCZ217" s="1"/>
      <c r="JDA217" s="1"/>
      <c r="JDB217" s="1"/>
      <c r="JDC217" s="1"/>
      <c r="JDD217" s="1"/>
      <c r="JDE217" s="1"/>
      <c r="JDF217" s="1"/>
      <c r="JDG217" s="1"/>
      <c r="JDH217" s="1"/>
      <c r="JDI217" s="1"/>
      <c r="JDJ217" s="1"/>
      <c r="JDK217" s="1"/>
      <c r="JDL217" s="1"/>
      <c r="JDM217" s="1"/>
      <c r="JDN217" s="1"/>
      <c r="JDO217" s="1"/>
      <c r="JDP217" s="1"/>
      <c r="JDQ217" s="1"/>
      <c r="JDR217" s="1"/>
      <c r="JDS217" s="1"/>
      <c r="JDT217" s="1"/>
      <c r="JDU217" s="1"/>
      <c r="JDV217" s="1"/>
      <c r="JDW217" s="1"/>
      <c r="JDX217" s="1"/>
      <c r="JDY217" s="1"/>
      <c r="JDZ217" s="1"/>
      <c r="JEA217" s="1"/>
      <c r="JEB217" s="1"/>
      <c r="JEC217" s="1"/>
      <c r="JED217" s="1"/>
      <c r="JEE217" s="1"/>
      <c r="JEF217" s="1"/>
      <c r="JEG217" s="1"/>
      <c r="JEH217" s="1"/>
      <c r="JEI217" s="1"/>
      <c r="JEJ217" s="1"/>
      <c r="JEK217" s="1"/>
      <c r="JEL217" s="1"/>
      <c r="JEM217" s="1"/>
      <c r="JEN217" s="1"/>
      <c r="JEO217" s="1"/>
      <c r="JEP217" s="1"/>
      <c r="JEQ217" s="1"/>
      <c r="JER217" s="1"/>
      <c r="JES217" s="1"/>
      <c r="JET217" s="1"/>
      <c r="JEU217" s="1"/>
      <c r="JEV217" s="1"/>
      <c r="JEW217" s="1"/>
      <c r="JEX217" s="1"/>
      <c r="JEY217" s="1"/>
      <c r="JEZ217" s="1"/>
      <c r="JFA217" s="1"/>
      <c r="JFB217" s="1"/>
      <c r="JFC217" s="1"/>
      <c r="JFD217" s="1"/>
      <c r="JFE217" s="1"/>
      <c r="JFF217" s="1"/>
      <c r="JFG217" s="1"/>
      <c r="JFH217" s="1"/>
      <c r="JFI217" s="1"/>
      <c r="JFJ217" s="1"/>
      <c r="JFK217" s="1"/>
      <c r="JFL217" s="1"/>
      <c r="JFM217" s="1"/>
      <c r="JFN217" s="1"/>
      <c r="JFO217" s="1"/>
      <c r="JFP217" s="1"/>
      <c r="JFQ217" s="1"/>
      <c r="JFR217" s="1"/>
      <c r="JFS217" s="1"/>
      <c r="JFT217" s="1"/>
      <c r="JFU217" s="1"/>
      <c r="JFV217" s="1"/>
      <c r="JFW217" s="1"/>
      <c r="JFX217" s="1"/>
      <c r="JFY217" s="1"/>
      <c r="JFZ217" s="1"/>
      <c r="JGA217" s="1"/>
      <c r="JGB217" s="1"/>
      <c r="JGC217" s="1"/>
      <c r="JGD217" s="1"/>
      <c r="JGE217" s="1"/>
      <c r="JGF217" s="1"/>
      <c r="JGG217" s="1"/>
      <c r="JGH217" s="1"/>
      <c r="JGI217" s="1"/>
      <c r="JGJ217" s="1"/>
      <c r="JGK217" s="1"/>
      <c r="JGL217" s="1"/>
      <c r="JGM217" s="1"/>
      <c r="JGN217" s="1"/>
      <c r="JGO217" s="1"/>
      <c r="JGP217" s="1"/>
      <c r="JGQ217" s="1"/>
      <c r="JGR217" s="1"/>
      <c r="JGS217" s="1"/>
      <c r="JGT217" s="1"/>
      <c r="JGU217" s="1"/>
      <c r="JGV217" s="1"/>
      <c r="JGW217" s="1"/>
      <c r="JGX217" s="1"/>
      <c r="JGY217" s="1"/>
      <c r="JGZ217" s="1"/>
      <c r="JHA217" s="1"/>
      <c r="JHB217" s="1"/>
      <c r="JHC217" s="1"/>
      <c r="JHD217" s="1"/>
      <c r="JHE217" s="1"/>
      <c r="JHF217" s="1"/>
      <c r="JHG217" s="1"/>
      <c r="JHH217" s="1"/>
      <c r="JHI217" s="1"/>
      <c r="JHJ217" s="1"/>
      <c r="JHK217" s="1"/>
      <c r="JHL217" s="1"/>
      <c r="JHM217" s="1"/>
      <c r="JHN217" s="1"/>
      <c r="JHO217" s="1"/>
      <c r="JHP217" s="1"/>
      <c r="JHQ217" s="1"/>
      <c r="JHR217" s="1"/>
      <c r="JHS217" s="1"/>
      <c r="JHT217" s="1"/>
      <c r="JHU217" s="1"/>
      <c r="JHV217" s="1"/>
      <c r="JHW217" s="1"/>
      <c r="JHX217" s="1"/>
      <c r="JHY217" s="1"/>
      <c r="JHZ217" s="1"/>
      <c r="JIA217" s="1"/>
      <c r="JIB217" s="1"/>
      <c r="JIC217" s="1"/>
      <c r="JID217" s="1"/>
      <c r="JIE217" s="1"/>
      <c r="JIF217" s="1"/>
      <c r="JIG217" s="1"/>
      <c r="JIH217" s="1"/>
      <c r="JII217" s="1"/>
      <c r="JIJ217" s="1"/>
      <c r="JIK217" s="1"/>
      <c r="JIL217" s="1"/>
      <c r="JIM217" s="1"/>
      <c r="JIN217" s="1"/>
      <c r="JIO217" s="1"/>
      <c r="JIP217" s="1"/>
      <c r="JIQ217" s="1"/>
      <c r="JIR217" s="1"/>
      <c r="JIS217" s="1"/>
      <c r="JIT217" s="1"/>
      <c r="JIU217" s="1"/>
      <c r="JIV217" s="1"/>
      <c r="JIW217" s="1"/>
      <c r="JIX217" s="1"/>
      <c r="JIY217" s="1"/>
      <c r="JIZ217" s="1"/>
      <c r="JJA217" s="1"/>
      <c r="JJB217" s="1"/>
      <c r="JJC217" s="1"/>
      <c r="JJD217" s="1"/>
      <c r="JJE217" s="1"/>
      <c r="JJF217" s="1"/>
      <c r="JJG217" s="1"/>
      <c r="JJH217" s="1"/>
      <c r="JJI217" s="1"/>
      <c r="JJJ217" s="1"/>
      <c r="JJK217" s="1"/>
      <c r="JJL217" s="1"/>
      <c r="JJM217" s="1"/>
      <c r="JJN217" s="1"/>
      <c r="JJO217" s="1"/>
      <c r="JJP217" s="1"/>
      <c r="JJQ217" s="1"/>
      <c r="JJR217" s="1"/>
      <c r="JJS217" s="1"/>
      <c r="JJT217" s="1"/>
      <c r="JJU217" s="1"/>
      <c r="JJV217" s="1"/>
      <c r="JJW217" s="1"/>
      <c r="JJX217" s="1"/>
      <c r="JJY217" s="1"/>
      <c r="JJZ217" s="1"/>
      <c r="JKA217" s="1"/>
      <c r="JKB217" s="1"/>
      <c r="JKC217" s="1"/>
      <c r="JKD217" s="1"/>
      <c r="JKE217" s="1"/>
      <c r="JKF217" s="1"/>
      <c r="JKG217" s="1"/>
      <c r="JKH217" s="1"/>
      <c r="JKI217" s="1"/>
      <c r="JKJ217" s="1"/>
      <c r="JKK217" s="1"/>
      <c r="JKL217" s="1"/>
      <c r="JKM217" s="1"/>
      <c r="JKN217" s="1"/>
      <c r="JKO217" s="1"/>
      <c r="JKP217" s="1"/>
      <c r="JKQ217" s="1"/>
      <c r="JKR217" s="1"/>
      <c r="JKS217" s="1"/>
      <c r="JKT217" s="1"/>
      <c r="JKU217" s="1"/>
      <c r="JKV217" s="1"/>
      <c r="JKW217" s="1"/>
      <c r="JKX217" s="1"/>
      <c r="JKY217" s="1"/>
      <c r="JKZ217" s="1"/>
      <c r="JLA217" s="1"/>
      <c r="JLB217" s="1"/>
      <c r="JLC217" s="1"/>
      <c r="JLD217" s="1"/>
      <c r="JLE217" s="1"/>
      <c r="JLF217" s="1"/>
      <c r="JLG217" s="1"/>
      <c r="JLH217" s="1"/>
      <c r="JLI217" s="1"/>
      <c r="JLJ217" s="1"/>
      <c r="JLK217" s="1"/>
      <c r="JLL217" s="1"/>
      <c r="JLM217" s="1"/>
      <c r="JLN217" s="1"/>
      <c r="JLO217" s="1"/>
      <c r="JLP217" s="1"/>
      <c r="JLQ217" s="1"/>
      <c r="JLR217" s="1"/>
      <c r="JLS217" s="1"/>
      <c r="JLT217" s="1"/>
      <c r="JLU217" s="1"/>
      <c r="JLV217" s="1"/>
      <c r="JLW217" s="1"/>
      <c r="JLX217" s="1"/>
      <c r="JLY217" s="1"/>
      <c r="JLZ217" s="1"/>
      <c r="JMA217" s="1"/>
      <c r="JMB217" s="1"/>
      <c r="JMC217" s="1"/>
      <c r="JMD217" s="1"/>
      <c r="JME217" s="1"/>
      <c r="JMF217" s="1"/>
      <c r="JMG217" s="1"/>
      <c r="JMH217" s="1"/>
      <c r="JMI217" s="1"/>
      <c r="JMJ217" s="1"/>
      <c r="JMK217" s="1"/>
      <c r="JML217" s="1"/>
      <c r="JMM217" s="1"/>
      <c r="JMN217" s="1"/>
      <c r="JMO217" s="1"/>
      <c r="JMP217" s="1"/>
      <c r="JMQ217" s="1"/>
      <c r="JMR217" s="1"/>
      <c r="JMS217" s="1"/>
      <c r="JMT217" s="1"/>
      <c r="JMU217" s="1"/>
      <c r="JMV217" s="1"/>
      <c r="JMW217" s="1"/>
      <c r="JMX217" s="1"/>
      <c r="JMY217" s="1"/>
      <c r="JMZ217" s="1"/>
      <c r="JNA217" s="1"/>
      <c r="JNB217" s="1"/>
      <c r="JNC217" s="1"/>
      <c r="JND217" s="1"/>
      <c r="JNE217" s="1"/>
      <c r="JNF217" s="1"/>
      <c r="JNG217" s="1"/>
      <c r="JNH217" s="1"/>
      <c r="JNI217" s="1"/>
      <c r="JNJ217" s="1"/>
      <c r="JNK217" s="1"/>
      <c r="JNL217" s="1"/>
      <c r="JNM217" s="1"/>
      <c r="JNN217" s="1"/>
      <c r="JNO217" s="1"/>
      <c r="JNP217" s="1"/>
      <c r="JNQ217" s="1"/>
      <c r="JNR217" s="1"/>
      <c r="JNS217" s="1"/>
      <c r="JNT217" s="1"/>
      <c r="JNU217" s="1"/>
      <c r="JNV217" s="1"/>
      <c r="JNW217" s="1"/>
      <c r="JNX217" s="1"/>
      <c r="JNY217" s="1"/>
      <c r="JNZ217" s="1"/>
      <c r="JOA217" s="1"/>
      <c r="JOB217" s="1"/>
      <c r="JOC217" s="1"/>
      <c r="JOD217" s="1"/>
      <c r="JOE217" s="1"/>
      <c r="JOF217" s="1"/>
      <c r="JOG217" s="1"/>
      <c r="JOH217" s="1"/>
      <c r="JOI217" s="1"/>
      <c r="JOJ217" s="1"/>
      <c r="JOK217" s="1"/>
      <c r="JOL217" s="1"/>
      <c r="JOM217" s="1"/>
      <c r="JON217" s="1"/>
      <c r="JOO217" s="1"/>
      <c r="JOP217" s="1"/>
      <c r="JOQ217" s="1"/>
      <c r="JOR217" s="1"/>
      <c r="JOS217" s="1"/>
      <c r="JOT217" s="1"/>
      <c r="JOU217" s="1"/>
      <c r="JOV217" s="1"/>
      <c r="JOW217" s="1"/>
      <c r="JOX217" s="1"/>
      <c r="JOY217" s="1"/>
      <c r="JOZ217" s="1"/>
      <c r="JPA217" s="1"/>
      <c r="JPB217" s="1"/>
      <c r="JPC217" s="1"/>
      <c r="JPD217" s="1"/>
      <c r="JPE217" s="1"/>
      <c r="JPF217" s="1"/>
      <c r="JPG217" s="1"/>
      <c r="JPH217" s="1"/>
      <c r="JPI217" s="1"/>
      <c r="JPJ217" s="1"/>
      <c r="JPK217" s="1"/>
      <c r="JPL217" s="1"/>
      <c r="JPM217" s="1"/>
      <c r="JPN217" s="1"/>
      <c r="JPO217" s="1"/>
      <c r="JPP217" s="1"/>
      <c r="JPQ217" s="1"/>
      <c r="JPR217" s="1"/>
      <c r="JPS217" s="1"/>
      <c r="JPT217" s="1"/>
      <c r="JPU217" s="1"/>
      <c r="JPV217" s="1"/>
      <c r="JPW217" s="1"/>
      <c r="JPX217" s="1"/>
      <c r="JPY217" s="1"/>
      <c r="JPZ217" s="1"/>
      <c r="JQA217" s="1"/>
      <c r="JQB217" s="1"/>
      <c r="JQC217" s="1"/>
      <c r="JQD217" s="1"/>
      <c r="JQE217" s="1"/>
      <c r="JQF217" s="1"/>
      <c r="JQG217" s="1"/>
      <c r="JQH217" s="1"/>
      <c r="JQI217" s="1"/>
      <c r="JQJ217" s="1"/>
      <c r="JQK217" s="1"/>
      <c r="JQL217" s="1"/>
      <c r="JQM217" s="1"/>
      <c r="JQN217" s="1"/>
      <c r="JQO217" s="1"/>
      <c r="JQP217" s="1"/>
      <c r="JQQ217" s="1"/>
      <c r="JQR217" s="1"/>
      <c r="JQS217" s="1"/>
      <c r="JQT217" s="1"/>
      <c r="JQU217" s="1"/>
      <c r="JQV217" s="1"/>
      <c r="JQW217" s="1"/>
      <c r="JQX217" s="1"/>
      <c r="JQY217" s="1"/>
      <c r="JQZ217" s="1"/>
      <c r="JRA217" s="1"/>
      <c r="JRB217" s="1"/>
      <c r="JRC217" s="1"/>
      <c r="JRD217" s="1"/>
      <c r="JRE217" s="1"/>
      <c r="JRF217" s="1"/>
      <c r="JRG217" s="1"/>
      <c r="JRH217" s="1"/>
      <c r="JRI217" s="1"/>
      <c r="JRJ217" s="1"/>
      <c r="JRK217" s="1"/>
      <c r="JRL217" s="1"/>
      <c r="JRM217" s="1"/>
      <c r="JRN217" s="1"/>
      <c r="JRO217" s="1"/>
      <c r="JRP217" s="1"/>
      <c r="JRQ217" s="1"/>
      <c r="JRR217" s="1"/>
      <c r="JRS217" s="1"/>
      <c r="JRT217" s="1"/>
      <c r="JRU217" s="1"/>
      <c r="JRV217" s="1"/>
      <c r="JRW217" s="1"/>
      <c r="JRX217" s="1"/>
      <c r="JRY217" s="1"/>
      <c r="JRZ217" s="1"/>
      <c r="JSA217" s="1"/>
      <c r="JSB217" s="1"/>
      <c r="JSC217" s="1"/>
      <c r="JSD217" s="1"/>
      <c r="JSE217" s="1"/>
      <c r="JSF217" s="1"/>
      <c r="JSG217" s="1"/>
      <c r="JSH217" s="1"/>
      <c r="JSI217" s="1"/>
      <c r="JSJ217" s="1"/>
      <c r="JSK217" s="1"/>
      <c r="JSL217" s="1"/>
      <c r="JSM217" s="1"/>
      <c r="JSN217" s="1"/>
      <c r="JSO217" s="1"/>
      <c r="JSP217" s="1"/>
      <c r="JSQ217" s="1"/>
      <c r="JSR217" s="1"/>
      <c r="JSS217" s="1"/>
      <c r="JST217" s="1"/>
      <c r="JSU217" s="1"/>
      <c r="JSV217" s="1"/>
      <c r="JSW217" s="1"/>
      <c r="JSX217" s="1"/>
      <c r="JSY217" s="1"/>
      <c r="JSZ217" s="1"/>
      <c r="JTA217" s="1"/>
      <c r="JTB217" s="1"/>
      <c r="JTC217" s="1"/>
      <c r="JTD217" s="1"/>
      <c r="JTE217" s="1"/>
      <c r="JTF217" s="1"/>
      <c r="JTG217" s="1"/>
      <c r="JTH217" s="1"/>
      <c r="JTI217" s="1"/>
      <c r="JTJ217" s="1"/>
      <c r="JTK217" s="1"/>
      <c r="JTL217" s="1"/>
      <c r="JTM217" s="1"/>
      <c r="JTN217" s="1"/>
      <c r="JTO217" s="1"/>
      <c r="JTP217" s="1"/>
      <c r="JTQ217" s="1"/>
      <c r="JTR217" s="1"/>
      <c r="JTS217" s="1"/>
      <c r="JTT217" s="1"/>
      <c r="JTU217" s="1"/>
      <c r="JTV217" s="1"/>
      <c r="JTW217" s="1"/>
      <c r="JTX217" s="1"/>
      <c r="JTY217" s="1"/>
      <c r="JTZ217" s="1"/>
      <c r="JUA217" s="1"/>
      <c r="JUB217" s="1"/>
      <c r="JUC217" s="1"/>
      <c r="JUD217" s="1"/>
      <c r="JUE217" s="1"/>
      <c r="JUF217" s="1"/>
      <c r="JUG217" s="1"/>
      <c r="JUH217" s="1"/>
      <c r="JUI217" s="1"/>
      <c r="JUJ217" s="1"/>
      <c r="JUK217" s="1"/>
      <c r="JUL217" s="1"/>
      <c r="JUM217" s="1"/>
      <c r="JUN217" s="1"/>
      <c r="JUO217" s="1"/>
      <c r="JUP217" s="1"/>
      <c r="JUQ217" s="1"/>
      <c r="JUR217" s="1"/>
      <c r="JUS217" s="1"/>
      <c r="JUT217" s="1"/>
      <c r="JUU217" s="1"/>
      <c r="JUV217" s="1"/>
      <c r="JUW217" s="1"/>
      <c r="JUX217" s="1"/>
      <c r="JUY217" s="1"/>
      <c r="JUZ217" s="1"/>
      <c r="JVA217" s="1"/>
      <c r="JVB217" s="1"/>
      <c r="JVC217" s="1"/>
      <c r="JVD217" s="1"/>
      <c r="JVE217" s="1"/>
      <c r="JVF217" s="1"/>
      <c r="JVG217" s="1"/>
      <c r="JVH217" s="1"/>
      <c r="JVI217" s="1"/>
      <c r="JVJ217" s="1"/>
      <c r="JVK217" s="1"/>
      <c r="JVL217" s="1"/>
      <c r="JVM217" s="1"/>
      <c r="JVN217" s="1"/>
      <c r="JVO217" s="1"/>
      <c r="JVP217" s="1"/>
      <c r="JVQ217" s="1"/>
      <c r="JVR217" s="1"/>
      <c r="JVS217" s="1"/>
      <c r="JVT217" s="1"/>
      <c r="JVU217" s="1"/>
      <c r="JVV217" s="1"/>
      <c r="JVW217" s="1"/>
      <c r="JVX217" s="1"/>
      <c r="JVY217" s="1"/>
      <c r="JVZ217" s="1"/>
      <c r="JWA217" s="1"/>
      <c r="JWB217" s="1"/>
      <c r="JWC217" s="1"/>
      <c r="JWD217" s="1"/>
      <c r="JWE217" s="1"/>
      <c r="JWF217" s="1"/>
      <c r="JWG217" s="1"/>
      <c r="JWH217" s="1"/>
      <c r="JWI217" s="1"/>
      <c r="JWJ217" s="1"/>
      <c r="JWK217" s="1"/>
      <c r="JWL217" s="1"/>
      <c r="JWM217" s="1"/>
      <c r="JWN217" s="1"/>
      <c r="JWO217" s="1"/>
      <c r="JWP217" s="1"/>
      <c r="JWQ217" s="1"/>
      <c r="JWR217" s="1"/>
      <c r="JWS217" s="1"/>
      <c r="JWT217" s="1"/>
      <c r="JWU217" s="1"/>
      <c r="JWV217" s="1"/>
      <c r="JWW217" s="1"/>
      <c r="JWX217" s="1"/>
      <c r="JWY217" s="1"/>
      <c r="JWZ217" s="1"/>
      <c r="JXA217" s="1"/>
      <c r="JXB217" s="1"/>
      <c r="JXC217" s="1"/>
      <c r="JXD217" s="1"/>
      <c r="JXE217" s="1"/>
      <c r="JXF217" s="1"/>
      <c r="JXG217" s="1"/>
      <c r="JXH217" s="1"/>
      <c r="JXI217" s="1"/>
      <c r="JXJ217" s="1"/>
      <c r="JXK217" s="1"/>
      <c r="JXL217" s="1"/>
      <c r="JXM217" s="1"/>
      <c r="JXN217" s="1"/>
      <c r="JXO217" s="1"/>
      <c r="JXP217" s="1"/>
      <c r="JXQ217" s="1"/>
      <c r="JXR217" s="1"/>
      <c r="JXS217" s="1"/>
      <c r="JXT217" s="1"/>
      <c r="JXU217" s="1"/>
      <c r="JXV217" s="1"/>
      <c r="JXW217" s="1"/>
      <c r="JXX217" s="1"/>
      <c r="JXY217" s="1"/>
      <c r="JXZ217" s="1"/>
      <c r="JYA217" s="1"/>
      <c r="JYB217" s="1"/>
      <c r="JYC217" s="1"/>
      <c r="JYD217" s="1"/>
      <c r="JYE217" s="1"/>
      <c r="JYF217" s="1"/>
      <c r="JYG217" s="1"/>
      <c r="JYH217" s="1"/>
      <c r="JYI217" s="1"/>
      <c r="JYJ217" s="1"/>
      <c r="JYK217" s="1"/>
      <c r="JYL217" s="1"/>
      <c r="JYM217" s="1"/>
      <c r="JYN217" s="1"/>
      <c r="JYO217" s="1"/>
      <c r="JYP217" s="1"/>
      <c r="JYQ217" s="1"/>
      <c r="JYR217" s="1"/>
      <c r="JYS217" s="1"/>
      <c r="JYT217" s="1"/>
      <c r="JYU217" s="1"/>
      <c r="JYV217" s="1"/>
      <c r="JYW217" s="1"/>
      <c r="JYX217" s="1"/>
      <c r="JYY217" s="1"/>
      <c r="JYZ217" s="1"/>
      <c r="JZA217" s="1"/>
      <c r="JZB217" s="1"/>
      <c r="JZC217" s="1"/>
      <c r="JZD217" s="1"/>
      <c r="JZE217" s="1"/>
      <c r="JZF217" s="1"/>
      <c r="JZG217" s="1"/>
      <c r="JZH217" s="1"/>
      <c r="JZI217" s="1"/>
      <c r="JZJ217" s="1"/>
      <c r="JZK217" s="1"/>
      <c r="JZL217" s="1"/>
      <c r="JZM217" s="1"/>
      <c r="JZN217" s="1"/>
      <c r="JZO217" s="1"/>
      <c r="JZP217" s="1"/>
      <c r="JZQ217" s="1"/>
      <c r="JZR217" s="1"/>
      <c r="JZS217" s="1"/>
      <c r="JZT217" s="1"/>
      <c r="JZU217" s="1"/>
      <c r="JZV217" s="1"/>
      <c r="JZW217" s="1"/>
      <c r="JZX217" s="1"/>
      <c r="JZY217" s="1"/>
      <c r="JZZ217" s="1"/>
      <c r="KAA217" s="1"/>
      <c r="KAB217" s="1"/>
      <c r="KAC217" s="1"/>
      <c r="KAD217" s="1"/>
      <c r="KAE217" s="1"/>
      <c r="KAF217" s="1"/>
      <c r="KAG217" s="1"/>
      <c r="KAH217" s="1"/>
      <c r="KAI217" s="1"/>
      <c r="KAJ217" s="1"/>
      <c r="KAK217" s="1"/>
      <c r="KAL217" s="1"/>
      <c r="KAM217" s="1"/>
      <c r="KAN217" s="1"/>
      <c r="KAO217" s="1"/>
      <c r="KAP217" s="1"/>
      <c r="KAQ217" s="1"/>
      <c r="KAR217" s="1"/>
      <c r="KAS217" s="1"/>
      <c r="KAT217" s="1"/>
      <c r="KAU217" s="1"/>
      <c r="KAV217" s="1"/>
      <c r="KAW217" s="1"/>
      <c r="KAX217" s="1"/>
      <c r="KAY217" s="1"/>
      <c r="KAZ217" s="1"/>
      <c r="KBA217" s="1"/>
      <c r="KBB217" s="1"/>
      <c r="KBC217" s="1"/>
      <c r="KBD217" s="1"/>
      <c r="KBE217" s="1"/>
      <c r="KBF217" s="1"/>
      <c r="KBG217" s="1"/>
      <c r="KBH217" s="1"/>
      <c r="KBI217" s="1"/>
      <c r="KBJ217" s="1"/>
      <c r="KBK217" s="1"/>
      <c r="KBL217" s="1"/>
      <c r="KBM217" s="1"/>
      <c r="KBN217" s="1"/>
      <c r="KBO217" s="1"/>
      <c r="KBP217" s="1"/>
      <c r="KBQ217" s="1"/>
      <c r="KBR217" s="1"/>
      <c r="KBS217" s="1"/>
      <c r="KBT217" s="1"/>
      <c r="KBU217" s="1"/>
      <c r="KBV217" s="1"/>
      <c r="KBW217" s="1"/>
      <c r="KBX217" s="1"/>
      <c r="KBY217" s="1"/>
      <c r="KBZ217" s="1"/>
      <c r="KCA217" s="1"/>
      <c r="KCB217" s="1"/>
      <c r="KCC217" s="1"/>
      <c r="KCD217" s="1"/>
      <c r="KCE217" s="1"/>
      <c r="KCF217" s="1"/>
      <c r="KCG217" s="1"/>
      <c r="KCH217" s="1"/>
      <c r="KCI217" s="1"/>
      <c r="KCJ217" s="1"/>
      <c r="KCK217" s="1"/>
      <c r="KCL217" s="1"/>
      <c r="KCM217" s="1"/>
      <c r="KCN217" s="1"/>
      <c r="KCO217" s="1"/>
      <c r="KCP217" s="1"/>
      <c r="KCQ217" s="1"/>
      <c r="KCR217" s="1"/>
      <c r="KCS217" s="1"/>
      <c r="KCT217" s="1"/>
      <c r="KCU217" s="1"/>
      <c r="KCV217" s="1"/>
      <c r="KCW217" s="1"/>
      <c r="KCX217" s="1"/>
      <c r="KCY217" s="1"/>
      <c r="KCZ217" s="1"/>
      <c r="KDA217" s="1"/>
      <c r="KDB217" s="1"/>
      <c r="KDC217" s="1"/>
      <c r="KDD217" s="1"/>
      <c r="KDE217" s="1"/>
      <c r="KDF217" s="1"/>
      <c r="KDG217" s="1"/>
      <c r="KDH217" s="1"/>
      <c r="KDI217" s="1"/>
      <c r="KDJ217" s="1"/>
      <c r="KDK217" s="1"/>
      <c r="KDL217" s="1"/>
      <c r="KDM217" s="1"/>
      <c r="KDN217" s="1"/>
      <c r="KDO217" s="1"/>
      <c r="KDP217" s="1"/>
      <c r="KDQ217" s="1"/>
      <c r="KDR217" s="1"/>
      <c r="KDS217" s="1"/>
      <c r="KDT217" s="1"/>
      <c r="KDU217" s="1"/>
      <c r="KDV217" s="1"/>
      <c r="KDW217" s="1"/>
      <c r="KDX217" s="1"/>
      <c r="KDY217" s="1"/>
      <c r="KDZ217" s="1"/>
      <c r="KEA217" s="1"/>
      <c r="KEB217" s="1"/>
      <c r="KEC217" s="1"/>
      <c r="KED217" s="1"/>
      <c r="KEE217" s="1"/>
      <c r="KEF217" s="1"/>
      <c r="KEG217" s="1"/>
      <c r="KEH217" s="1"/>
      <c r="KEI217" s="1"/>
      <c r="KEJ217" s="1"/>
      <c r="KEK217" s="1"/>
      <c r="KEL217" s="1"/>
      <c r="KEM217" s="1"/>
      <c r="KEN217" s="1"/>
      <c r="KEO217" s="1"/>
      <c r="KEP217" s="1"/>
      <c r="KEQ217" s="1"/>
      <c r="KER217" s="1"/>
      <c r="KES217" s="1"/>
      <c r="KET217" s="1"/>
      <c r="KEU217" s="1"/>
      <c r="KEV217" s="1"/>
      <c r="KEW217" s="1"/>
      <c r="KEX217" s="1"/>
      <c r="KEY217" s="1"/>
      <c r="KEZ217" s="1"/>
      <c r="KFA217" s="1"/>
      <c r="KFB217" s="1"/>
      <c r="KFC217" s="1"/>
      <c r="KFD217" s="1"/>
      <c r="KFE217" s="1"/>
      <c r="KFF217" s="1"/>
      <c r="KFG217" s="1"/>
      <c r="KFH217" s="1"/>
      <c r="KFI217" s="1"/>
      <c r="KFJ217" s="1"/>
      <c r="KFK217" s="1"/>
      <c r="KFL217" s="1"/>
      <c r="KFM217" s="1"/>
      <c r="KFN217" s="1"/>
      <c r="KFO217" s="1"/>
      <c r="KFP217" s="1"/>
      <c r="KFQ217" s="1"/>
      <c r="KFR217" s="1"/>
      <c r="KFS217" s="1"/>
      <c r="KFT217" s="1"/>
      <c r="KFU217" s="1"/>
      <c r="KFV217" s="1"/>
      <c r="KFW217" s="1"/>
      <c r="KFX217" s="1"/>
      <c r="KFY217" s="1"/>
      <c r="KFZ217" s="1"/>
      <c r="KGA217" s="1"/>
      <c r="KGB217" s="1"/>
      <c r="KGC217" s="1"/>
      <c r="KGD217" s="1"/>
      <c r="KGE217" s="1"/>
      <c r="KGF217" s="1"/>
      <c r="KGG217" s="1"/>
      <c r="KGH217" s="1"/>
      <c r="KGI217" s="1"/>
      <c r="KGJ217" s="1"/>
      <c r="KGK217" s="1"/>
      <c r="KGL217" s="1"/>
      <c r="KGM217" s="1"/>
      <c r="KGN217" s="1"/>
      <c r="KGO217" s="1"/>
      <c r="KGP217" s="1"/>
      <c r="KGQ217" s="1"/>
      <c r="KGR217" s="1"/>
      <c r="KGS217" s="1"/>
      <c r="KGT217" s="1"/>
      <c r="KGU217" s="1"/>
      <c r="KGV217" s="1"/>
      <c r="KGW217" s="1"/>
      <c r="KGX217" s="1"/>
      <c r="KGY217" s="1"/>
      <c r="KGZ217" s="1"/>
      <c r="KHA217" s="1"/>
      <c r="KHB217" s="1"/>
      <c r="KHC217" s="1"/>
      <c r="KHD217" s="1"/>
      <c r="KHE217" s="1"/>
      <c r="KHF217" s="1"/>
      <c r="KHG217" s="1"/>
      <c r="KHH217" s="1"/>
      <c r="KHI217" s="1"/>
      <c r="KHJ217" s="1"/>
      <c r="KHK217" s="1"/>
      <c r="KHL217" s="1"/>
      <c r="KHM217" s="1"/>
      <c r="KHN217" s="1"/>
      <c r="KHO217" s="1"/>
      <c r="KHP217" s="1"/>
      <c r="KHQ217" s="1"/>
      <c r="KHR217" s="1"/>
      <c r="KHS217" s="1"/>
      <c r="KHT217" s="1"/>
      <c r="KHU217" s="1"/>
      <c r="KHV217" s="1"/>
      <c r="KHW217" s="1"/>
      <c r="KHX217" s="1"/>
      <c r="KHY217" s="1"/>
      <c r="KHZ217" s="1"/>
      <c r="KIA217" s="1"/>
      <c r="KIB217" s="1"/>
      <c r="KIC217" s="1"/>
      <c r="KID217" s="1"/>
      <c r="KIE217" s="1"/>
      <c r="KIF217" s="1"/>
      <c r="KIG217" s="1"/>
      <c r="KIH217" s="1"/>
      <c r="KII217" s="1"/>
      <c r="KIJ217" s="1"/>
      <c r="KIK217" s="1"/>
      <c r="KIL217" s="1"/>
      <c r="KIM217" s="1"/>
      <c r="KIN217" s="1"/>
      <c r="KIO217" s="1"/>
      <c r="KIP217" s="1"/>
      <c r="KIQ217" s="1"/>
      <c r="KIR217" s="1"/>
      <c r="KIS217" s="1"/>
      <c r="KIT217" s="1"/>
      <c r="KIU217" s="1"/>
      <c r="KIV217" s="1"/>
      <c r="KIW217" s="1"/>
      <c r="KIX217" s="1"/>
      <c r="KIY217" s="1"/>
      <c r="KIZ217" s="1"/>
      <c r="KJA217" s="1"/>
      <c r="KJB217" s="1"/>
      <c r="KJC217" s="1"/>
      <c r="KJD217" s="1"/>
      <c r="KJE217" s="1"/>
      <c r="KJF217" s="1"/>
      <c r="KJG217" s="1"/>
      <c r="KJH217" s="1"/>
      <c r="KJI217" s="1"/>
      <c r="KJJ217" s="1"/>
      <c r="KJK217" s="1"/>
      <c r="KJL217" s="1"/>
      <c r="KJM217" s="1"/>
      <c r="KJN217" s="1"/>
      <c r="KJO217" s="1"/>
      <c r="KJP217" s="1"/>
      <c r="KJQ217" s="1"/>
      <c r="KJR217" s="1"/>
      <c r="KJS217" s="1"/>
      <c r="KJT217" s="1"/>
      <c r="KJU217" s="1"/>
      <c r="KJV217" s="1"/>
      <c r="KJW217" s="1"/>
      <c r="KJX217" s="1"/>
      <c r="KJY217" s="1"/>
      <c r="KJZ217" s="1"/>
      <c r="KKA217" s="1"/>
      <c r="KKB217" s="1"/>
      <c r="KKC217" s="1"/>
      <c r="KKD217" s="1"/>
      <c r="KKE217" s="1"/>
      <c r="KKF217" s="1"/>
      <c r="KKG217" s="1"/>
      <c r="KKH217" s="1"/>
      <c r="KKI217" s="1"/>
      <c r="KKJ217" s="1"/>
      <c r="KKK217" s="1"/>
      <c r="KKL217" s="1"/>
      <c r="KKM217" s="1"/>
      <c r="KKN217" s="1"/>
      <c r="KKO217" s="1"/>
      <c r="KKP217" s="1"/>
      <c r="KKQ217" s="1"/>
      <c r="KKR217" s="1"/>
      <c r="KKS217" s="1"/>
      <c r="KKT217" s="1"/>
      <c r="KKU217" s="1"/>
      <c r="KKV217" s="1"/>
      <c r="KKW217" s="1"/>
      <c r="KKX217" s="1"/>
      <c r="KKY217" s="1"/>
      <c r="KKZ217" s="1"/>
      <c r="KLA217" s="1"/>
      <c r="KLB217" s="1"/>
      <c r="KLC217" s="1"/>
      <c r="KLD217" s="1"/>
      <c r="KLE217" s="1"/>
      <c r="KLF217" s="1"/>
      <c r="KLG217" s="1"/>
      <c r="KLH217" s="1"/>
      <c r="KLI217" s="1"/>
      <c r="KLJ217" s="1"/>
      <c r="KLK217" s="1"/>
      <c r="KLL217" s="1"/>
      <c r="KLM217" s="1"/>
      <c r="KLN217" s="1"/>
      <c r="KLO217" s="1"/>
      <c r="KLP217" s="1"/>
      <c r="KLQ217" s="1"/>
      <c r="KLR217" s="1"/>
      <c r="KLS217" s="1"/>
      <c r="KLT217" s="1"/>
      <c r="KLU217" s="1"/>
      <c r="KLV217" s="1"/>
      <c r="KLW217" s="1"/>
      <c r="KLX217" s="1"/>
      <c r="KLY217" s="1"/>
      <c r="KLZ217" s="1"/>
      <c r="KMA217" s="1"/>
      <c r="KMB217" s="1"/>
      <c r="KMC217" s="1"/>
      <c r="KMD217" s="1"/>
      <c r="KME217" s="1"/>
      <c r="KMF217" s="1"/>
      <c r="KMG217" s="1"/>
      <c r="KMH217" s="1"/>
      <c r="KMI217" s="1"/>
      <c r="KMJ217" s="1"/>
      <c r="KMK217" s="1"/>
      <c r="KML217" s="1"/>
      <c r="KMM217" s="1"/>
      <c r="KMN217" s="1"/>
      <c r="KMO217" s="1"/>
      <c r="KMP217" s="1"/>
      <c r="KMQ217" s="1"/>
      <c r="KMR217" s="1"/>
      <c r="KMS217" s="1"/>
      <c r="KMT217" s="1"/>
      <c r="KMU217" s="1"/>
      <c r="KMV217" s="1"/>
      <c r="KMW217" s="1"/>
      <c r="KMX217" s="1"/>
      <c r="KMY217" s="1"/>
      <c r="KMZ217" s="1"/>
      <c r="KNA217" s="1"/>
      <c r="KNB217" s="1"/>
      <c r="KNC217" s="1"/>
      <c r="KND217" s="1"/>
      <c r="KNE217" s="1"/>
      <c r="KNF217" s="1"/>
      <c r="KNG217" s="1"/>
      <c r="KNH217" s="1"/>
      <c r="KNI217" s="1"/>
      <c r="KNJ217" s="1"/>
      <c r="KNK217" s="1"/>
      <c r="KNL217" s="1"/>
      <c r="KNM217" s="1"/>
      <c r="KNN217" s="1"/>
      <c r="KNO217" s="1"/>
      <c r="KNP217" s="1"/>
      <c r="KNQ217" s="1"/>
      <c r="KNR217" s="1"/>
      <c r="KNS217" s="1"/>
      <c r="KNT217" s="1"/>
      <c r="KNU217" s="1"/>
      <c r="KNV217" s="1"/>
      <c r="KNW217" s="1"/>
      <c r="KNX217" s="1"/>
      <c r="KNY217" s="1"/>
      <c r="KNZ217" s="1"/>
      <c r="KOA217" s="1"/>
      <c r="KOB217" s="1"/>
      <c r="KOC217" s="1"/>
      <c r="KOD217" s="1"/>
      <c r="KOE217" s="1"/>
      <c r="KOF217" s="1"/>
      <c r="KOG217" s="1"/>
      <c r="KOH217" s="1"/>
      <c r="KOI217" s="1"/>
      <c r="KOJ217" s="1"/>
      <c r="KOK217" s="1"/>
      <c r="KOL217" s="1"/>
      <c r="KOM217" s="1"/>
      <c r="KON217" s="1"/>
      <c r="KOO217" s="1"/>
      <c r="KOP217" s="1"/>
      <c r="KOQ217" s="1"/>
      <c r="KOR217" s="1"/>
      <c r="KOS217" s="1"/>
      <c r="KOT217" s="1"/>
      <c r="KOU217" s="1"/>
      <c r="KOV217" s="1"/>
      <c r="KOW217" s="1"/>
      <c r="KOX217" s="1"/>
      <c r="KOY217" s="1"/>
      <c r="KOZ217" s="1"/>
      <c r="KPA217" s="1"/>
      <c r="KPB217" s="1"/>
      <c r="KPC217" s="1"/>
      <c r="KPD217" s="1"/>
      <c r="KPE217" s="1"/>
      <c r="KPF217" s="1"/>
      <c r="KPG217" s="1"/>
      <c r="KPH217" s="1"/>
      <c r="KPI217" s="1"/>
      <c r="KPJ217" s="1"/>
      <c r="KPK217" s="1"/>
      <c r="KPL217" s="1"/>
      <c r="KPM217" s="1"/>
      <c r="KPN217" s="1"/>
      <c r="KPO217" s="1"/>
      <c r="KPP217" s="1"/>
      <c r="KPQ217" s="1"/>
      <c r="KPR217" s="1"/>
      <c r="KPS217" s="1"/>
      <c r="KPT217" s="1"/>
      <c r="KPU217" s="1"/>
      <c r="KPV217" s="1"/>
      <c r="KPW217" s="1"/>
      <c r="KPX217" s="1"/>
      <c r="KPY217" s="1"/>
      <c r="KPZ217" s="1"/>
      <c r="KQA217" s="1"/>
      <c r="KQB217" s="1"/>
      <c r="KQC217" s="1"/>
      <c r="KQD217" s="1"/>
      <c r="KQE217" s="1"/>
      <c r="KQF217" s="1"/>
      <c r="KQG217" s="1"/>
      <c r="KQH217" s="1"/>
      <c r="KQI217" s="1"/>
      <c r="KQJ217" s="1"/>
      <c r="KQK217" s="1"/>
      <c r="KQL217" s="1"/>
      <c r="KQM217" s="1"/>
      <c r="KQN217" s="1"/>
      <c r="KQO217" s="1"/>
      <c r="KQP217" s="1"/>
      <c r="KQQ217" s="1"/>
      <c r="KQR217" s="1"/>
      <c r="KQS217" s="1"/>
      <c r="KQT217" s="1"/>
      <c r="KQU217" s="1"/>
      <c r="KQV217" s="1"/>
      <c r="KQW217" s="1"/>
      <c r="KQX217" s="1"/>
      <c r="KQY217" s="1"/>
      <c r="KQZ217" s="1"/>
      <c r="KRA217" s="1"/>
      <c r="KRB217" s="1"/>
      <c r="KRC217" s="1"/>
      <c r="KRD217" s="1"/>
      <c r="KRE217" s="1"/>
      <c r="KRF217" s="1"/>
      <c r="KRG217" s="1"/>
      <c r="KRH217" s="1"/>
      <c r="KRI217" s="1"/>
      <c r="KRJ217" s="1"/>
      <c r="KRK217" s="1"/>
      <c r="KRL217" s="1"/>
      <c r="KRM217" s="1"/>
      <c r="KRN217" s="1"/>
      <c r="KRO217" s="1"/>
      <c r="KRP217" s="1"/>
      <c r="KRQ217" s="1"/>
      <c r="KRR217" s="1"/>
      <c r="KRS217" s="1"/>
      <c r="KRT217" s="1"/>
      <c r="KRU217" s="1"/>
      <c r="KRV217" s="1"/>
      <c r="KRW217" s="1"/>
      <c r="KRX217" s="1"/>
      <c r="KRY217" s="1"/>
      <c r="KRZ217" s="1"/>
      <c r="KSA217" s="1"/>
      <c r="KSB217" s="1"/>
      <c r="KSC217" s="1"/>
      <c r="KSD217" s="1"/>
      <c r="KSE217" s="1"/>
      <c r="KSF217" s="1"/>
      <c r="KSG217" s="1"/>
      <c r="KSH217" s="1"/>
      <c r="KSI217" s="1"/>
      <c r="KSJ217" s="1"/>
      <c r="KSK217" s="1"/>
      <c r="KSL217" s="1"/>
      <c r="KSM217" s="1"/>
      <c r="KSN217" s="1"/>
      <c r="KSO217" s="1"/>
      <c r="KSP217" s="1"/>
      <c r="KSQ217" s="1"/>
      <c r="KSR217" s="1"/>
      <c r="KSS217" s="1"/>
      <c r="KST217" s="1"/>
      <c r="KSU217" s="1"/>
      <c r="KSV217" s="1"/>
      <c r="KSW217" s="1"/>
      <c r="KSX217" s="1"/>
      <c r="KSY217" s="1"/>
      <c r="KSZ217" s="1"/>
      <c r="KTA217" s="1"/>
      <c r="KTB217" s="1"/>
      <c r="KTC217" s="1"/>
      <c r="KTD217" s="1"/>
      <c r="KTE217" s="1"/>
      <c r="KTF217" s="1"/>
      <c r="KTG217" s="1"/>
      <c r="KTH217" s="1"/>
      <c r="KTI217" s="1"/>
      <c r="KTJ217" s="1"/>
      <c r="KTK217" s="1"/>
      <c r="KTL217" s="1"/>
      <c r="KTM217" s="1"/>
      <c r="KTN217" s="1"/>
      <c r="KTO217" s="1"/>
      <c r="KTP217" s="1"/>
      <c r="KTQ217" s="1"/>
      <c r="KTR217" s="1"/>
      <c r="KTS217" s="1"/>
      <c r="KTT217" s="1"/>
      <c r="KTU217" s="1"/>
      <c r="KTV217" s="1"/>
      <c r="KTW217" s="1"/>
      <c r="KTX217" s="1"/>
      <c r="KTY217" s="1"/>
      <c r="KTZ217" s="1"/>
      <c r="KUA217" s="1"/>
      <c r="KUB217" s="1"/>
      <c r="KUC217" s="1"/>
      <c r="KUD217" s="1"/>
      <c r="KUE217" s="1"/>
      <c r="KUF217" s="1"/>
      <c r="KUG217" s="1"/>
      <c r="KUH217" s="1"/>
      <c r="KUI217" s="1"/>
      <c r="KUJ217" s="1"/>
      <c r="KUK217" s="1"/>
      <c r="KUL217" s="1"/>
      <c r="KUM217" s="1"/>
      <c r="KUN217" s="1"/>
      <c r="KUO217" s="1"/>
      <c r="KUP217" s="1"/>
      <c r="KUQ217" s="1"/>
      <c r="KUR217" s="1"/>
      <c r="KUS217" s="1"/>
      <c r="KUT217" s="1"/>
      <c r="KUU217" s="1"/>
      <c r="KUV217" s="1"/>
      <c r="KUW217" s="1"/>
      <c r="KUX217" s="1"/>
      <c r="KUY217" s="1"/>
      <c r="KUZ217" s="1"/>
      <c r="KVA217" s="1"/>
      <c r="KVB217" s="1"/>
      <c r="KVC217" s="1"/>
      <c r="KVD217" s="1"/>
      <c r="KVE217" s="1"/>
      <c r="KVF217" s="1"/>
      <c r="KVG217" s="1"/>
      <c r="KVH217" s="1"/>
      <c r="KVI217" s="1"/>
      <c r="KVJ217" s="1"/>
      <c r="KVK217" s="1"/>
      <c r="KVL217" s="1"/>
      <c r="KVM217" s="1"/>
      <c r="KVN217" s="1"/>
      <c r="KVO217" s="1"/>
      <c r="KVP217" s="1"/>
      <c r="KVQ217" s="1"/>
      <c r="KVR217" s="1"/>
      <c r="KVS217" s="1"/>
      <c r="KVT217" s="1"/>
      <c r="KVU217" s="1"/>
      <c r="KVV217" s="1"/>
      <c r="KVW217" s="1"/>
      <c r="KVX217" s="1"/>
      <c r="KVY217" s="1"/>
      <c r="KVZ217" s="1"/>
      <c r="KWA217" s="1"/>
      <c r="KWB217" s="1"/>
      <c r="KWC217" s="1"/>
      <c r="KWD217" s="1"/>
      <c r="KWE217" s="1"/>
      <c r="KWF217" s="1"/>
      <c r="KWG217" s="1"/>
      <c r="KWH217" s="1"/>
      <c r="KWI217" s="1"/>
      <c r="KWJ217" s="1"/>
      <c r="KWK217" s="1"/>
      <c r="KWL217" s="1"/>
      <c r="KWM217" s="1"/>
      <c r="KWN217" s="1"/>
      <c r="KWO217" s="1"/>
      <c r="KWP217" s="1"/>
      <c r="KWQ217" s="1"/>
      <c r="KWR217" s="1"/>
      <c r="KWS217" s="1"/>
      <c r="KWT217" s="1"/>
      <c r="KWU217" s="1"/>
      <c r="KWV217" s="1"/>
      <c r="KWW217" s="1"/>
      <c r="KWX217" s="1"/>
      <c r="KWY217" s="1"/>
      <c r="KWZ217" s="1"/>
      <c r="KXA217" s="1"/>
      <c r="KXB217" s="1"/>
      <c r="KXC217" s="1"/>
      <c r="KXD217" s="1"/>
      <c r="KXE217" s="1"/>
      <c r="KXF217" s="1"/>
      <c r="KXG217" s="1"/>
      <c r="KXH217" s="1"/>
      <c r="KXI217" s="1"/>
      <c r="KXJ217" s="1"/>
      <c r="KXK217" s="1"/>
      <c r="KXL217" s="1"/>
      <c r="KXM217" s="1"/>
      <c r="KXN217" s="1"/>
      <c r="KXO217" s="1"/>
      <c r="KXP217" s="1"/>
      <c r="KXQ217" s="1"/>
      <c r="KXR217" s="1"/>
      <c r="KXS217" s="1"/>
      <c r="KXT217" s="1"/>
      <c r="KXU217" s="1"/>
      <c r="KXV217" s="1"/>
      <c r="KXW217" s="1"/>
      <c r="KXX217" s="1"/>
      <c r="KXY217" s="1"/>
      <c r="KXZ217" s="1"/>
      <c r="KYA217" s="1"/>
      <c r="KYB217" s="1"/>
      <c r="KYC217" s="1"/>
      <c r="KYD217" s="1"/>
      <c r="KYE217" s="1"/>
      <c r="KYF217" s="1"/>
      <c r="KYG217" s="1"/>
      <c r="KYH217" s="1"/>
      <c r="KYI217" s="1"/>
      <c r="KYJ217" s="1"/>
      <c r="KYK217" s="1"/>
      <c r="KYL217" s="1"/>
      <c r="KYM217" s="1"/>
      <c r="KYN217" s="1"/>
      <c r="KYO217" s="1"/>
      <c r="KYP217" s="1"/>
      <c r="KYQ217" s="1"/>
      <c r="KYR217" s="1"/>
      <c r="KYS217" s="1"/>
      <c r="KYT217" s="1"/>
      <c r="KYU217" s="1"/>
      <c r="KYV217" s="1"/>
      <c r="KYW217" s="1"/>
      <c r="KYX217" s="1"/>
      <c r="KYY217" s="1"/>
      <c r="KYZ217" s="1"/>
      <c r="KZA217" s="1"/>
      <c r="KZB217" s="1"/>
      <c r="KZC217" s="1"/>
      <c r="KZD217" s="1"/>
      <c r="KZE217" s="1"/>
      <c r="KZF217" s="1"/>
      <c r="KZG217" s="1"/>
      <c r="KZH217" s="1"/>
      <c r="KZI217" s="1"/>
      <c r="KZJ217" s="1"/>
      <c r="KZK217" s="1"/>
      <c r="KZL217" s="1"/>
      <c r="KZM217" s="1"/>
      <c r="KZN217" s="1"/>
      <c r="KZO217" s="1"/>
      <c r="KZP217" s="1"/>
      <c r="KZQ217" s="1"/>
      <c r="KZR217" s="1"/>
      <c r="KZS217" s="1"/>
      <c r="KZT217" s="1"/>
      <c r="KZU217" s="1"/>
      <c r="KZV217" s="1"/>
      <c r="KZW217" s="1"/>
      <c r="KZX217" s="1"/>
      <c r="KZY217" s="1"/>
      <c r="KZZ217" s="1"/>
      <c r="LAA217" s="1"/>
      <c r="LAB217" s="1"/>
      <c r="LAC217" s="1"/>
      <c r="LAD217" s="1"/>
      <c r="LAE217" s="1"/>
      <c r="LAF217" s="1"/>
      <c r="LAG217" s="1"/>
      <c r="LAH217" s="1"/>
      <c r="LAI217" s="1"/>
      <c r="LAJ217" s="1"/>
      <c r="LAK217" s="1"/>
      <c r="LAL217" s="1"/>
      <c r="LAM217" s="1"/>
      <c r="LAN217" s="1"/>
      <c r="LAO217" s="1"/>
      <c r="LAP217" s="1"/>
      <c r="LAQ217" s="1"/>
      <c r="LAR217" s="1"/>
      <c r="LAS217" s="1"/>
      <c r="LAT217" s="1"/>
      <c r="LAU217" s="1"/>
      <c r="LAV217" s="1"/>
      <c r="LAW217" s="1"/>
      <c r="LAX217" s="1"/>
      <c r="LAY217" s="1"/>
      <c r="LAZ217" s="1"/>
      <c r="LBA217" s="1"/>
      <c r="LBB217" s="1"/>
      <c r="LBC217" s="1"/>
      <c r="LBD217" s="1"/>
      <c r="LBE217" s="1"/>
      <c r="LBF217" s="1"/>
      <c r="LBG217" s="1"/>
      <c r="LBH217" s="1"/>
      <c r="LBI217" s="1"/>
      <c r="LBJ217" s="1"/>
      <c r="LBK217" s="1"/>
      <c r="LBL217" s="1"/>
      <c r="LBM217" s="1"/>
      <c r="LBN217" s="1"/>
      <c r="LBO217" s="1"/>
      <c r="LBP217" s="1"/>
      <c r="LBQ217" s="1"/>
      <c r="LBR217" s="1"/>
      <c r="LBS217" s="1"/>
      <c r="LBT217" s="1"/>
      <c r="LBU217" s="1"/>
      <c r="LBV217" s="1"/>
      <c r="LBW217" s="1"/>
      <c r="LBX217" s="1"/>
      <c r="LBY217" s="1"/>
      <c r="LBZ217" s="1"/>
      <c r="LCA217" s="1"/>
      <c r="LCB217" s="1"/>
      <c r="LCC217" s="1"/>
      <c r="LCD217" s="1"/>
      <c r="LCE217" s="1"/>
      <c r="LCF217" s="1"/>
      <c r="LCG217" s="1"/>
      <c r="LCH217" s="1"/>
      <c r="LCI217" s="1"/>
      <c r="LCJ217" s="1"/>
      <c r="LCK217" s="1"/>
      <c r="LCL217" s="1"/>
      <c r="LCM217" s="1"/>
      <c r="LCN217" s="1"/>
      <c r="LCO217" s="1"/>
      <c r="LCP217" s="1"/>
      <c r="LCQ217" s="1"/>
      <c r="LCR217" s="1"/>
      <c r="LCS217" s="1"/>
      <c r="LCT217" s="1"/>
      <c r="LCU217" s="1"/>
      <c r="LCV217" s="1"/>
      <c r="LCW217" s="1"/>
      <c r="LCX217" s="1"/>
      <c r="LCY217" s="1"/>
      <c r="LCZ217" s="1"/>
      <c r="LDA217" s="1"/>
      <c r="LDB217" s="1"/>
      <c r="LDC217" s="1"/>
      <c r="LDD217" s="1"/>
      <c r="LDE217" s="1"/>
      <c r="LDF217" s="1"/>
      <c r="LDG217" s="1"/>
      <c r="LDH217" s="1"/>
      <c r="LDI217" s="1"/>
      <c r="LDJ217" s="1"/>
      <c r="LDK217" s="1"/>
      <c r="LDL217" s="1"/>
      <c r="LDM217" s="1"/>
      <c r="LDN217" s="1"/>
      <c r="LDO217" s="1"/>
      <c r="LDP217" s="1"/>
      <c r="LDQ217" s="1"/>
      <c r="LDR217" s="1"/>
      <c r="LDS217" s="1"/>
      <c r="LDT217" s="1"/>
      <c r="LDU217" s="1"/>
      <c r="LDV217" s="1"/>
      <c r="LDW217" s="1"/>
      <c r="LDX217" s="1"/>
      <c r="LDY217" s="1"/>
      <c r="LDZ217" s="1"/>
      <c r="LEA217" s="1"/>
      <c r="LEB217" s="1"/>
      <c r="LEC217" s="1"/>
      <c r="LED217" s="1"/>
      <c r="LEE217" s="1"/>
      <c r="LEF217" s="1"/>
      <c r="LEG217" s="1"/>
      <c r="LEH217" s="1"/>
      <c r="LEI217" s="1"/>
      <c r="LEJ217" s="1"/>
      <c r="LEK217" s="1"/>
      <c r="LEL217" s="1"/>
      <c r="LEM217" s="1"/>
      <c r="LEN217" s="1"/>
      <c r="LEO217" s="1"/>
      <c r="LEP217" s="1"/>
      <c r="LEQ217" s="1"/>
      <c r="LER217" s="1"/>
      <c r="LES217" s="1"/>
      <c r="LET217" s="1"/>
      <c r="LEU217" s="1"/>
      <c r="LEV217" s="1"/>
      <c r="LEW217" s="1"/>
      <c r="LEX217" s="1"/>
      <c r="LEY217" s="1"/>
      <c r="LEZ217" s="1"/>
      <c r="LFA217" s="1"/>
      <c r="LFB217" s="1"/>
      <c r="LFC217" s="1"/>
      <c r="LFD217" s="1"/>
      <c r="LFE217" s="1"/>
      <c r="LFF217" s="1"/>
      <c r="LFG217" s="1"/>
      <c r="LFH217" s="1"/>
      <c r="LFI217" s="1"/>
      <c r="LFJ217" s="1"/>
      <c r="LFK217" s="1"/>
      <c r="LFL217" s="1"/>
      <c r="LFM217" s="1"/>
      <c r="LFN217" s="1"/>
      <c r="LFO217" s="1"/>
      <c r="LFP217" s="1"/>
      <c r="LFQ217" s="1"/>
      <c r="LFR217" s="1"/>
      <c r="LFS217" s="1"/>
      <c r="LFT217" s="1"/>
      <c r="LFU217" s="1"/>
      <c r="LFV217" s="1"/>
      <c r="LFW217" s="1"/>
      <c r="LFX217" s="1"/>
      <c r="LFY217" s="1"/>
      <c r="LFZ217" s="1"/>
      <c r="LGA217" s="1"/>
      <c r="LGB217" s="1"/>
      <c r="LGC217" s="1"/>
      <c r="LGD217" s="1"/>
      <c r="LGE217" s="1"/>
      <c r="LGF217" s="1"/>
      <c r="LGG217" s="1"/>
      <c r="LGH217" s="1"/>
      <c r="LGI217" s="1"/>
      <c r="LGJ217" s="1"/>
      <c r="LGK217" s="1"/>
      <c r="LGL217" s="1"/>
      <c r="LGM217" s="1"/>
      <c r="LGN217" s="1"/>
      <c r="LGO217" s="1"/>
      <c r="LGP217" s="1"/>
      <c r="LGQ217" s="1"/>
      <c r="LGR217" s="1"/>
      <c r="LGS217" s="1"/>
      <c r="LGT217" s="1"/>
      <c r="LGU217" s="1"/>
      <c r="LGV217" s="1"/>
      <c r="LGW217" s="1"/>
      <c r="LGX217" s="1"/>
      <c r="LGY217" s="1"/>
      <c r="LGZ217" s="1"/>
      <c r="LHA217" s="1"/>
      <c r="LHB217" s="1"/>
      <c r="LHC217" s="1"/>
      <c r="LHD217" s="1"/>
      <c r="LHE217" s="1"/>
      <c r="LHF217" s="1"/>
      <c r="LHG217" s="1"/>
      <c r="LHH217" s="1"/>
      <c r="LHI217" s="1"/>
      <c r="LHJ217" s="1"/>
      <c r="LHK217" s="1"/>
      <c r="LHL217" s="1"/>
      <c r="LHM217" s="1"/>
      <c r="LHN217" s="1"/>
      <c r="LHO217" s="1"/>
      <c r="LHP217" s="1"/>
      <c r="LHQ217" s="1"/>
      <c r="LHR217" s="1"/>
      <c r="LHS217" s="1"/>
      <c r="LHT217" s="1"/>
      <c r="LHU217" s="1"/>
      <c r="LHV217" s="1"/>
      <c r="LHW217" s="1"/>
      <c r="LHX217" s="1"/>
      <c r="LHY217" s="1"/>
      <c r="LHZ217" s="1"/>
      <c r="LIA217" s="1"/>
      <c r="LIB217" s="1"/>
      <c r="LIC217" s="1"/>
      <c r="LID217" s="1"/>
      <c r="LIE217" s="1"/>
      <c r="LIF217" s="1"/>
      <c r="LIG217" s="1"/>
      <c r="LIH217" s="1"/>
      <c r="LII217" s="1"/>
      <c r="LIJ217" s="1"/>
      <c r="LIK217" s="1"/>
      <c r="LIL217" s="1"/>
      <c r="LIM217" s="1"/>
      <c r="LIN217" s="1"/>
      <c r="LIO217" s="1"/>
      <c r="LIP217" s="1"/>
      <c r="LIQ217" s="1"/>
      <c r="LIR217" s="1"/>
      <c r="LIS217" s="1"/>
      <c r="LIT217" s="1"/>
      <c r="LIU217" s="1"/>
      <c r="LIV217" s="1"/>
      <c r="LIW217" s="1"/>
      <c r="LIX217" s="1"/>
      <c r="LIY217" s="1"/>
      <c r="LIZ217" s="1"/>
      <c r="LJA217" s="1"/>
      <c r="LJB217" s="1"/>
      <c r="LJC217" s="1"/>
      <c r="LJD217" s="1"/>
      <c r="LJE217" s="1"/>
      <c r="LJF217" s="1"/>
      <c r="LJG217" s="1"/>
      <c r="LJH217" s="1"/>
      <c r="LJI217" s="1"/>
      <c r="LJJ217" s="1"/>
      <c r="LJK217" s="1"/>
      <c r="LJL217" s="1"/>
      <c r="LJM217" s="1"/>
      <c r="LJN217" s="1"/>
      <c r="LJO217" s="1"/>
      <c r="LJP217" s="1"/>
      <c r="LJQ217" s="1"/>
      <c r="LJR217" s="1"/>
      <c r="LJS217" s="1"/>
      <c r="LJT217" s="1"/>
      <c r="LJU217" s="1"/>
      <c r="LJV217" s="1"/>
      <c r="LJW217" s="1"/>
      <c r="LJX217" s="1"/>
      <c r="LJY217" s="1"/>
      <c r="LJZ217" s="1"/>
      <c r="LKA217" s="1"/>
      <c r="LKB217" s="1"/>
      <c r="LKC217" s="1"/>
      <c r="LKD217" s="1"/>
      <c r="LKE217" s="1"/>
      <c r="LKF217" s="1"/>
      <c r="LKG217" s="1"/>
      <c r="LKH217" s="1"/>
      <c r="LKI217" s="1"/>
      <c r="LKJ217" s="1"/>
      <c r="LKK217" s="1"/>
      <c r="LKL217" s="1"/>
      <c r="LKM217" s="1"/>
      <c r="LKN217" s="1"/>
      <c r="LKO217" s="1"/>
      <c r="LKP217" s="1"/>
      <c r="LKQ217" s="1"/>
      <c r="LKR217" s="1"/>
      <c r="LKS217" s="1"/>
      <c r="LKT217" s="1"/>
      <c r="LKU217" s="1"/>
      <c r="LKV217" s="1"/>
      <c r="LKW217" s="1"/>
      <c r="LKX217" s="1"/>
      <c r="LKY217" s="1"/>
      <c r="LKZ217" s="1"/>
      <c r="LLA217" s="1"/>
      <c r="LLB217" s="1"/>
      <c r="LLC217" s="1"/>
      <c r="LLD217" s="1"/>
      <c r="LLE217" s="1"/>
      <c r="LLF217" s="1"/>
      <c r="LLG217" s="1"/>
      <c r="LLH217" s="1"/>
      <c r="LLI217" s="1"/>
      <c r="LLJ217" s="1"/>
      <c r="LLK217" s="1"/>
      <c r="LLL217" s="1"/>
      <c r="LLM217" s="1"/>
      <c r="LLN217" s="1"/>
      <c r="LLO217" s="1"/>
      <c r="LLP217" s="1"/>
      <c r="LLQ217" s="1"/>
      <c r="LLR217" s="1"/>
      <c r="LLS217" s="1"/>
      <c r="LLT217" s="1"/>
      <c r="LLU217" s="1"/>
      <c r="LLV217" s="1"/>
      <c r="LLW217" s="1"/>
      <c r="LLX217" s="1"/>
      <c r="LLY217" s="1"/>
      <c r="LLZ217" s="1"/>
      <c r="LMA217" s="1"/>
      <c r="LMB217" s="1"/>
      <c r="LMC217" s="1"/>
      <c r="LMD217" s="1"/>
      <c r="LME217" s="1"/>
      <c r="LMF217" s="1"/>
      <c r="LMG217" s="1"/>
      <c r="LMH217" s="1"/>
      <c r="LMI217" s="1"/>
      <c r="LMJ217" s="1"/>
      <c r="LMK217" s="1"/>
      <c r="LML217" s="1"/>
      <c r="LMM217" s="1"/>
      <c r="LMN217" s="1"/>
      <c r="LMO217" s="1"/>
      <c r="LMP217" s="1"/>
      <c r="LMQ217" s="1"/>
      <c r="LMR217" s="1"/>
      <c r="LMS217" s="1"/>
      <c r="LMT217" s="1"/>
      <c r="LMU217" s="1"/>
      <c r="LMV217" s="1"/>
      <c r="LMW217" s="1"/>
      <c r="LMX217" s="1"/>
      <c r="LMY217" s="1"/>
      <c r="LMZ217" s="1"/>
      <c r="LNA217" s="1"/>
      <c r="LNB217" s="1"/>
      <c r="LNC217" s="1"/>
      <c r="LND217" s="1"/>
      <c r="LNE217" s="1"/>
      <c r="LNF217" s="1"/>
      <c r="LNG217" s="1"/>
      <c r="LNH217" s="1"/>
      <c r="LNI217" s="1"/>
      <c r="LNJ217" s="1"/>
      <c r="LNK217" s="1"/>
      <c r="LNL217" s="1"/>
      <c r="LNM217" s="1"/>
      <c r="LNN217" s="1"/>
      <c r="LNO217" s="1"/>
      <c r="LNP217" s="1"/>
      <c r="LNQ217" s="1"/>
      <c r="LNR217" s="1"/>
      <c r="LNS217" s="1"/>
      <c r="LNT217" s="1"/>
      <c r="LNU217" s="1"/>
      <c r="LNV217" s="1"/>
      <c r="LNW217" s="1"/>
      <c r="LNX217" s="1"/>
      <c r="LNY217" s="1"/>
      <c r="LNZ217" s="1"/>
      <c r="LOA217" s="1"/>
      <c r="LOB217" s="1"/>
      <c r="LOC217" s="1"/>
      <c r="LOD217" s="1"/>
      <c r="LOE217" s="1"/>
      <c r="LOF217" s="1"/>
      <c r="LOG217" s="1"/>
      <c r="LOH217" s="1"/>
      <c r="LOI217" s="1"/>
      <c r="LOJ217" s="1"/>
      <c r="LOK217" s="1"/>
      <c r="LOL217" s="1"/>
      <c r="LOM217" s="1"/>
      <c r="LON217" s="1"/>
      <c r="LOO217" s="1"/>
      <c r="LOP217" s="1"/>
      <c r="LOQ217" s="1"/>
      <c r="LOR217" s="1"/>
      <c r="LOS217" s="1"/>
      <c r="LOT217" s="1"/>
      <c r="LOU217" s="1"/>
      <c r="LOV217" s="1"/>
      <c r="LOW217" s="1"/>
      <c r="LOX217" s="1"/>
      <c r="LOY217" s="1"/>
      <c r="LOZ217" s="1"/>
      <c r="LPA217" s="1"/>
      <c r="LPB217" s="1"/>
      <c r="LPC217" s="1"/>
      <c r="LPD217" s="1"/>
      <c r="LPE217" s="1"/>
      <c r="LPF217" s="1"/>
      <c r="LPG217" s="1"/>
      <c r="LPH217" s="1"/>
      <c r="LPI217" s="1"/>
      <c r="LPJ217" s="1"/>
      <c r="LPK217" s="1"/>
      <c r="LPL217" s="1"/>
      <c r="LPM217" s="1"/>
      <c r="LPN217" s="1"/>
      <c r="LPO217" s="1"/>
      <c r="LPP217" s="1"/>
      <c r="LPQ217" s="1"/>
      <c r="LPR217" s="1"/>
      <c r="LPS217" s="1"/>
      <c r="LPT217" s="1"/>
      <c r="LPU217" s="1"/>
      <c r="LPV217" s="1"/>
      <c r="LPW217" s="1"/>
      <c r="LPX217" s="1"/>
      <c r="LPY217" s="1"/>
      <c r="LPZ217" s="1"/>
      <c r="LQA217" s="1"/>
      <c r="LQB217" s="1"/>
      <c r="LQC217" s="1"/>
      <c r="LQD217" s="1"/>
      <c r="LQE217" s="1"/>
      <c r="LQF217" s="1"/>
      <c r="LQG217" s="1"/>
      <c r="LQH217" s="1"/>
      <c r="LQI217" s="1"/>
      <c r="LQJ217" s="1"/>
      <c r="LQK217" s="1"/>
      <c r="LQL217" s="1"/>
      <c r="LQM217" s="1"/>
      <c r="LQN217" s="1"/>
      <c r="LQO217" s="1"/>
      <c r="LQP217" s="1"/>
      <c r="LQQ217" s="1"/>
      <c r="LQR217" s="1"/>
      <c r="LQS217" s="1"/>
      <c r="LQT217" s="1"/>
      <c r="LQU217" s="1"/>
      <c r="LQV217" s="1"/>
      <c r="LQW217" s="1"/>
      <c r="LQX217" s="1"/>
      <c r="LQY217" s="1"/>
      <c r="LQZ217" s="1"/>
      <c r="LRA217" s="1"/>
      <c r="LRB217" s="1"/>
      <c r="LRC217" s="1"/>
      <c r="LRD217" s="1"/>
      <c r="LRE217" s="1"/>
      <c r="LRF217" s="1"/>
      <c r="LRG217" s="1"/>
      <c r="LRH217" s="1"/>
      <c r="LRI217" s="1"/>
      <c r="LRJ217" s="1"/>
      <c r="LRK217" s="1"/>
      <c r="LRL217" s="1"/>
      <c r="LRM217" s="1"/>
      <c r="LRN217" s="1"/>
      <c r="LRO217" s="1"/>
      <c r="LRP217" s="1"/>
      <c r="LRQ217" s="1"/>
      <c r="LRR217" s="1"/>
      <c r="LRS217" s="1"/>
      <c r="LRT217" s="1"/>
      <c r="LRU217" s="1"/>
      <c r="LRV217" s="1"/>
      <c r="LRW217" s="1"/>
      <c r="LRX217" s="1"/>
      <c r="LRY217" s="1"/>
      <c r="LRZ217" s="1"/>
      <c r="LSA217" s="1"/>
      <c r="LSB217" s="1"/>
      <c r="LSC217" s="1"/>
      <c r="LSD217" s="1"/>
      <c r="LSE217" s="1"/>
      <c r="LSF217" s="1"/>
      <c r="LSG217" s="1"/>
      <c r="LSH217" s="1"/>
      <c r="LSI217" s="1"/>
      <c r="LSJ217" s="1"/>
      <c r="LSK217" s="1"/>
      <c r="LSL217" s="1"/>
      <c r="LSM217" s="1"/>
      <c r="LSN217" s="1"/>
      <c r="LSO217" s="1"/>
      <c r="LSP217" s="1"/>
      <c r="LSQ217" s="1"/>
      <c r="LSR217" s="1"/>
      <c r="LSS217" s="1"/>
      <c r="LST217" s="1"/>
      <c r="LSU217" s="1"/>
      <c r="LSV217" s="1"/>
      <c r="LSW217" s="1"/>
      <c r="LSX217" s="1"/>
      <c r="LSY217" s="1"/>
      <c r="LSZ217" s="1"/>
      <c r="LTA217" s="1"/>
      <c r="LTB217" s="1"/>
      <c r="LTC217" s="1"/>
      <c r="LTD217" s="1"/>
      <c r="LTE217" s="1"/>
      <c r="LTF217" s="1"/>
      <c r="LTG217" s="1"/>
      <c r="LTH217" s="1"/>
      <c r="LTI217" s="1"/>
      <c r="LTJ217" s="1"/>
      <c r="LTK217" s="1"/>
      <c r="LTL217" s="1"/>
      <c r="LTM217" s="1"/>
      <c r="LTN217" s="1"/>
      <c r="LTO217" s="1"/>
      <c r="LTP217" s="1"/>
      <c r="LTQ217" s="1"/>
      <c r="LTR217" s="1"/>
      <c r="LTS217" s="1"/>
      <c r="LTT217" s="1"/>
      <c r="LTU217" s="1"/>
      <c r="LTV217" s="1"/>
      <c r="LTW217" s="1"/>
      <c r="LTX217" s="1"/>
      <c r="LTY217" s="1"/>
      <c r="LTZ217" s="1"/>
      <c r="LUA217" s="1"/>
      <c r="LUB217" s="1"/>
      <c r="LUC217" s="1"/>
      <c r="LUD217" s="1"/>
      <c r="LUE217" s="1"/>
      <c r="LUF217" s="1"/>
      <c r="LUG217" s="1"/>
      <c r="LUH217" s="1"/>
      <c r="LUI217" s="1"/>
      <c r="LUJ217" s="1"/>
      <c r="LUK217" s="1"/>
      <c r="LUL217" s="1"/>
      <c r="LUM217" s="1"/>
      <c r="LUN217" s="1"/>
      <c r="LUO217" s="1"/>
      <c r="LUP217" s="1"/>
      <c r="LUQ217" s="1"/>
      <c r="LUR217" s="1"/>
      <c r="LUS217" s="1"/>
      <c r="LUT217" s="1"/>
      <c r="LUU217" s="1"/>
      <c r="LUV217" s="1"/>
      <c r="LUW217" s="1"/>
      <c r="LUX217" s="1"/>
      <c r="LUY217" s="1"/>
      <c r="LUZ217" s="1"/>
      <c r="LVA217" s="1"/>
      <c r="LVB217" s="1"/>
      <c r="LVC217" s="1"/>
      <c r="LVD217" s="1"/>
      <c r="LVE217" s="1"/>
      <c r="LVF217" s="1"/>
      <c r="LVG217" s="1"/>
      <c r="LVH217" s="1"/>
      <c r="LVI217" s="1"/>
      <c r="LVJ217" s="1"/>
      <c r="LVK217" s="1"/>
      <c r="LVL217" s="1"/>
      <c r="LVM217" s="1"/>
      <c r="LVN217" s="1"/>
      <c r="LVO217" s="1"/>
      <c r="LVP217" s="1"/>
      <c r="LVQ217" s="1"/>
      <c r="LVR217" s="1"/>
      <c r="LVS217" s="1"/>
      <c r="LVT217" s="1"/>
      <c r="LVU217" s="1"/>
      <c r="LVV217" s="1"/>
      <c r="LVW217" s="1"/>
      <c r="LVX217" s="1"/>
      <c r="LVY217" s="1"/>
      <c r="LVZ217" s="1"/>
      <c r="LWA217" s="1"/>
      <c r="LWB217" s="1"/>
      <c r="LWC217" s="1"/>
      <c r="LWD217" s="1"/>
      <c r="LWE217" s="1"/>
      <c r="LWF217" s="1"/>
      <c r="LWG217" s="1"/>
      <c r="LWH217" s="1"/>
      <c r="LWI217" s="1"/>
      <c r="LWJ217" s="1"/>
      <c r="LWK217" s="1"/>
      <c r="LWL217" s="1"/>
      <c r="LWM217" s="1"/>
      <c r="LWN217" s="1"/>
      <c r="LWO217" s="1"/>
      <c r="LWP217" s="1"/>
      <c r="LWQ217" s="1"/>
      <c r="LWR217" s="1"/>
      <c r="LWS217" s="1"/>
      <c r="LWT217" s="1"/>
      <c r="LWU217" s="1"/>
      <c r="LWV217" s="1"/>
      <c r="LWW217" s="1"/>
      <c r="LWX217" s="1"/>
      <c r="LWY217" s="1"/>
      <c r="LWZ217" s="1"/>
      <c r="LXA217" s="1"/>
      <c r="LXB217" s="1"/>
      <c r="LXC217" s="1"/>
      <c r="LXD217" s="1"/>
      <c r="LXE217" s="1"/>
      <c r="LXF217" s="1"/>
      <c r="LXG217" s="1"/>
      <c r="LXH217" s="1"/>
      <c r="LXI217" s="1"/>
      <c r="LXJ217" s="1"/>
      <c r="LXK217" s="1"/>
      <c r="LXL217" s="1"/>
      <c r="LXM217" s="1"/>
      <c r="LXN217" s="1"/>
      <c r="LXO217" s="1"/>
      <c r="LXP217" s="1"/>
      <c r="LXQ217" s="1"/>
      <c r="LXR217" s="1"/>
      <c r="LXS217" s="1"/>
      <c r="LXT217" s="1"/>
      <c r="LXU217" s="1"/>
      <c r="LXV217" s="1"/>
      <c r="LXW217" s="1"/>
      <c r="LXX217" s="1"/>
      <c r="LXY217" s="1"/>
      <c r="LXZ217" s="1"/>
      <c r="LYA217" s="1"/>
      <c r="LYB217" s="1"/>
      <c r="LYC217" s="1"/>
      <c r="LYD217" s="1"/>
      <c r="LYE217" s="1"/>
      <c r="LYF217" s="1"/>
      <c r="LYG217" s="1"/>
      <c r="LYH217" s="1"/>
      <c r="LYI217" s="1"/>
      <c r="LYJ217" s="1"/>
      <c r="LYK217" s="1"/>
      <c r="LYL217" s="1"/>
      <c r="LYM217" s="1"/>
      <c r="LYN217" s="1"/>
      <c r="LYO217" s="1"/>
      <c r="LYP217" s="1"/>
      <c r="LYQ217" s="1"/>
      <c r="LYR217" s="1"/>
      <c r="LYS217" s="1"/>
      <c r="LYT217" s="1"/>
      <c r="LYU217" s="1"/>
      <c r="LYV217" s="1"/>
      <c r="LYW217" s="1"/>
      <c r="LYX217" s="1"/>
      <c r="LYY217" s="1"/>
      <c r="LYZ217" s="1"/>
      <c r="LZA217" s="1"/>
      <c r="LZB217" s="1"/>
      <c r="LZC217" s="1"/>
      <c r="LZD217" s="1"/>
      <c r="LZE217" s="1"/>
      <c r="LZF217" s="1"/>
      <c r="LZG217" s="1"/>
      <c r="LZH217" s="1"/>
      <c r="LZI217" s="1"/>
      <c r="LZJ217" s="1"/>
      <c r="LZK217" s="1"/>
      <c r="LZL217" s="1"/>
      <c r="LZM217" s="1"/>
      <c r="LZN217" s="1"/>
      <c r="LZO217" s="1"/>
      <c r="LZP217" s="1"/>
      <c r="LZQ217" s="1"/>
      <c r="LZR217" s="1"/>
      <c r="LZS217" s="1"/>
      <c r="LZT217" s="1"/>
      <c r="LZU217" s="1"/>
      <c r="LZV217" s="1"/>
      <c r="LZW217" s="1"/>
      <c r="LZX217" s="1"/>
      <c r="LZY217" s="1"/>
      <c r="LZZ217" s="1"/>
      <c r="MAA217" s="1"/>
      <c r="MAB217" s="1"/>
      <c r="MAC217" s="1"/>
      <c r="MAD217" s="1"/>
      <c r="MAE217" s="1"/>
      <c r="MAF217" s="1"/>
      <c r="MAG217" s="1"/>
      <c r="MAH217" s="1"/>
      <c r="MAI217" s="1"/>
      <c r="MAJ217" s="1"/>
      <c r="MAK217" s="1"/>
      <c r="MAL217" s="1"/>
      <c r="MAM217" s="1"/>
      <c r="MAN217" s="1"/>
      <c r="MAO217" s="1"/>
      <c r="MAP217" s="1"/>
      <c r="MAQ217" s="1"/>
      <c r="MAR217" s="1"/>
      <c r="MAS217" s="1"/>
      <c r="MAT217" s="1"/>
      <c r="MAU217" s="1"/>
      <c r="MAV217" s="1"/>
      <c r="MAW217" s="1"/>
      <c r="MAX217" s="1"/>
      <c r="MAY217" s="1"/>
      <c r="MAZ217" s="1"/>
      <c r="MBA217" s="1"/>
      <c r="MBB217" s="1"/>
      <c r="MBC217" s="1"/>
      <c r="MBD217" s="1"/>
      <c r="MBE217" s="1"/>
      <c r="MBF217" s="1"/>
      <c r="MBG217" s="1"/>
      <c r="MBH217" s="1"/>
      <c r="MBI217" s="1"/>
      <c r="MBJ217" s="1"/>
      <c r="MBK217" s="1"/>
      <c r="MBL217" s="1"/>
      <c r="MBM217" s="1"/>
      <c r="MBN217" s="1"/>
      <c r="MBO217" s="1"/>
      <c r="MBP217" s="1"/>
      <c r="MBQ217" s="1"/>
      <c r="MBR217" s="1"/>
      <c r="MBS217" s="1"/>
      <c r="MBT217" s="1"/>
      <c r="MBU217" s="1"/>
      <c r="MBV217" s="1"/>
      <c r="MBW217" s="1"/>
      <c r="MBX217" s="1"/>
      <c r="MBY217" s="1"/>
      <c r="MBZ217" s="1"/>
      <c r="MCA217" s="1"/>
      <c r="MCB217" s="1"/>
      <c r="MCC217" s="1"/>
      <c r="MCD217" s="1"/>
      <c r="MCE217" s="1"/>
      <c r="MCF217" s="1"/>
      <c r="MCG217" s="1"/>
      <c r="MCH217" s="1"/>
      <c r="MCI217" s="1"/>
      <c r="MCJ217" s="1"/>
      <c r="MCK217" s="1"/>
      <c r="MCL217" s="1"/>
      <c r="MCM217" s="1"/>
      <c r="MCN217" s="1"/>
      <c r="MCO217" s="1"/>
      <c r="MCP217" s="1"/>
      <c r="MCQ217" s="1"/>
      <c r="MCR217" s="1"/>
      <c r="MCS217" s="1"/>
      <c r="MCT217" s="1"/>
      <c r="MCU217" s="1"/>
      <c r="MCV217" s="1"/>
      <c r="MCW217" s="1"/>
      <c r="MCX217" s="1"/>
      <c r="MCY217" s="1"/>
      <c r="MCZ217" s="1"/>
      <c r="MDA217" s="1"/>
      <c r="MDB217" s="1"/>
      <c r="MDC217" s="1"/>
      <c r="MDD217" s="1"/>
      <c r="MDE217" s="1"/>
      <c r="MDF217" s="1"/>
      <c r="MDG217" s="1"/>
      <c r="MDH217" s="1"/>
      <c r="MDI217" s="1"/>
      <c r="MDJ217" s="1"/>
      <c r="MDK217" s="1"/>
      <c r="MDL217" s="1"/>
      <c r="MDM217" s="1"/>
      <c r="MDN217" s="1"/>
      <c r="MDO217" s="1"/>
      <c r="MDP217" s="1"/>
      <c r="MDQ217" s="1"/>
      <c r="MDR217" s="1"/>
      <c r="MDS217" s="1"/>
      <c r="MDT217" s="1"/>
      <c r="MDU217" s="1"/>
      <c r="MDV217" s="1"/>
      <c r="MDW217" s="1"/>
      <c r="MDX217" s="1"/>
      <c r="MDY217" s="1"/>
      <c r="MDZ217" s="1"/>
      <c r="MEA217" s="1"/>
      <c r="MEB217" s="1"/>
      <c r="MEC217" s="1"/>
      <c r="MED217" s="1"/>
      <c r="MEE217" s="1"/>
      <c r="MEF217" s="1"/>
      <c r="MEG217" s="1"/>
      <c r="MEH217" s="1"/>
      <c r="MEI217" s="1"/>
      <c r="MEJ217" s="1"/>
      <c r="MEK217" s="1"/>
      <c r="MEL217" s="1"/>
      <c r="MEM217" s="1"/>
      <c r="MEN217" s="1"/>
      <c r="MEO217" s="1"/>
      <c r="MEP217" s="1"/>
      <c r="MEQ217" s="1"/>
      <c r="MER217" s="1"/>
      <c r="MES217" s="1"/>
      <c r="MET217" s="1"/>
      <c r="MEU217" s="1"/>
      <c r="MEV217" s="1"/>
      <c r="MEW217" s="1"/>
      <c r="MEX217" s="1"/>
      <c r="MEY217" s="1"/>
      <c r="MEZ217" s="1"/>
      <c r="MFA217" s="1"/>
      <c r="MFB217" s="1"/>
      <c r="MFC217" s="1"/>
      <c r="MFD217" s="1"/>
      <c r="MFE217" s="1"/>
      <c r="MFF217" s="1"/>
      <c r="MFG217" s="1"/>
      <c r="MFH217" s="1"/>
      <c r="MFI217" s="1"/>
      <c r="MFJ217" s="1"/>
      <c r="MFK217" s="1"/>
      <c r="MFL217" s="1"/>
      <c r="MFM217" s="1"/>
      <c r="MFN217" s="1"/>
      <c r="MFO217" s="1"/>
      <c r="MFP217" s="1"/>
      <c r="MFQ217" s="1"/>
      <c r="MFR217" s="1"/>
      <c r="MFS217" s="1"/>
      <c r="MFT217" s="1"/>
      <c r="MFU217" s="1"/>
      <c r="MFV217" s="1"/>
      <c r="MFW217" s="1"/>
      <c r="MFX217" s="1"/>
      <c r="MFY217" s="1"/>
      <c r="MFZ217" s="1"/>
      <c r="MGA217" s="1"/>
      <c r="MGB217" s="1"/>
      <c r="MGC217" s="1"/>
      <c r="MGD217" s="1"/>
      <c r="MGE217" s="1"/>
      <c r="MGF217" s="1"/>
      <c r="MGG217" s="1"/>
      <c r="MGH217" s="1"/>
      <c r="MGI217" s="1"/>
      <c r="MGJ217" s="1"/>
      <c r="MGK217" s="1"/>
      <c r="MGL217" s="1"/>
      <c r="MGM217" s="1"/>
      <c r="MGN217" s="1"/>
      <c r="MGO217" s="1"/>
      <c r="MGP217" s="1"/>
      <c r="MGQ217" s="1"/>
      <c r="MGR217" s="1"/>
      <c r="MGS217" s="1"/>
      <c r="MGT217" s="1"/>
      <c r="MGU217" s="1"/>
      <c r="MGV217" s="1"/>
      <c r="MGW217" s="1"/>
      <c r="MGX217" s="1"/>
      <c r="MGY217" s="1"/>
      <c r="MGZ217" s="1"/>
      <c r="MHA217" s="1"/>
      <c r="MHB217" s="1"/>
      <c r="MHC217" s="1"/>
      <c r="MHD217" s="1"/>
      <c r="MHE217" s="1"/>
      <c r="MHF217" s="1"/>
      <c r="MHG217" s="1"/>
      <c r="MHH217" s="1"/>
      <c r="MHI217" s="1"/>
      <c r="MHJ217" s="1"/>
      <c r="MHK217" s="1"/>
      <c r="MHL217" s="1"/>
      <c r="MHM217" s="1"/>
      <c r="MHN217" s="1"/>
      <c r="MHO217" s="1"/>
      <c r="MHP217" s="1"/>
      <c r="MHQ217" s="1"/>
      <c r="MHR217" s="1"/>
      <c r="MHS217" s="1"/>
      <c r="MHT217" s="1"/>
      <c r="MHU217" s="1"/>
      <c r="MHV217" s="1"/>
      <c r="MHW217" s="1"/>
      <c r="MHX217" s="1"/>
      <c r="MHY217" s="1"/>
      <c r="MHZ217" s="1"/>
      <c r="MIA217" s="1"/>
      <c r="MIB217" s="1"/>
      <c r="MIC217" s="1"/>
      <c r="MID217" s="1"/>
      <c r="MIE217" s="1"/>
      <c r="MIF217" s="1"/>
      <c r="MIG217" s="1"/>
      <c r="MIH217" s="1"/>
      <c r="MII217" s="1"/>
      <c r="MIJ217" s="1"/>
      <c r="MIK217" s="1"/>
      <c r="MIL217" s="1"/>
      <c r="MIM217" s="1"/>
      <c r="MIN217" s="1"/>
      <c r="MIO217" s="1"/>
      <c r="MIP217" s="1"/>
      <c r="MIQ217" s="1"/>
      <c r="MIR217" s="1"/>
      <c r="MIS217" s="1"/>
      <c r="MIT217" s="1"/>
      <c r="MIU217" s="1"/>
      <c r="MIV217" s="1"/>
      <c r="MIW217" s="1"/>
      <c r="MIX217" s="1"/>
      <c r="MIY217" s="1"/>
      <c r="MIZ217" s="1"/>
      <c r="MJA217" s="1"/>
      <c r="MJB217" s="1"/>
      <c r="MJC217" s="1"/>
      <c r="MJD217" s="1"/>
      <c r="MJE217" s="1"/>
      <c r="MJF217" s="1"/>
      <c r="MJG217" s="1"/>
      <c r="MJH217" s="1"/>
      <c r="MJI217" s="1"/>
      <c r="MJJ217" s="1"/>
      <c r="MJK217" s="1"/>
      <c r="MJL217" s="1"/>
      <c r="MJM217" s="1"/>
      <c r="MJN217" s="1"/>
      <c r="MJO217" s="1"/>
      <c r="MJP217" s="1"/>
      <c r="MJQ217" s="1"/>
      <c r="MJR217" s="1"/>
      <c r="MJS217" s="1"/>
      <c r="MJT217" s="1"/>
      <c r="MJU217" s="1"/>
      <c r="MJV217" s="1"/>
      <c r="MJW217" s="1"/>
      <c r="MJX217" s="1"/>
      <c r="MJY217" s="1"/>
      <c r="MJZ217" s="1"/>
      <c r="MKA217" s="1"/>
      <c r="MKB217" s="1"/>
      <c r="MKC217" s="1"/>
      <c r="MKD217" s="1"/>
      <c r="MKE217" s="1"/>
      <c r="MKF217" s="1"/>
      <c r="MKG217" s="1"/>
      <c r="MKH217" s="1"/>
      <c r="MKI217" s="1"/>
      <c r="MKJ217" s="1"/>
      <c r="MKK217" s="1"/>
      <c r="MKL217" s="1"/>
      <c r="MKM217" s="1"/>
      <c r="MKN217" s="1"/>
      <c r="MKO217" s="1"/>
      <c r="MKP217" s="1"/>
      <c r="MKQ217" s="1"/>
      <c r="MKR217" s="1"/>
      <c r="MKS217" s="1"/>
      <c r="MKT217" s="1"/>
      <c r="MKU217" s="1"/>
      <c r="MKV217" s="1"/>
      <c r="MKW217" s="1"/>
      <c r="MKX217" s="1"/>
      <c r="MKY217" s="1"/>
      <c r="MKZ217" s="1"/>
      <c r="MLA217" s="1"/>
      <c r="MLB217" s="1"/>
      <c r="MLC217" s="1"/>
      <c r="MLD217" s="1"/>
      <c r="MLE217" s="1"/>
      <c r="MLF217" s="1"/>
      <c r="MLG217" s="1"/>
      <c r="MLH217" s="1"/>
      <c r="MLI217" s="1"/>
      <c r="MLJ217" s="1"/>
      <c r="MLK217" s="1"/>
      <c r="MLL217" s="1"/>
      <c r="MLM217" s="1"/>
      <c r="MLN217" s="1"/>
      <c r="MLO217" s="1"/>
      <c r="MLP217" s="1"/>
      <c r="MLQ217" s="1"/>
      <c r="MLR217" s="1"/>
      <c r="MLS217" s="1"/>
      <c r="MLT217" s="1"/>
      <c r="MLU217" s="1"/>
      <c r="MLV217" s="1"/>
      <c r="MLW217" s="1"/>
      <c r="MLX217" s="1"/>
      <c r="MLY217" s="1"/>
      <c r="MLZ217" s="1"/>
      <c r="MMA217" s="1"/>
      <c r="MMB217" s="1"/>
      <c r="MMC217" s="1"/>
      <c r="MMD217" s="1"/>
      <c r="MME217" s="1"/>
      <c r="MMF217" s="1"/>
      <c r="MMG217" s="1"/>
      <c r="MMH217" s="1"/>
      <c r="MMI217" s="1"/>
      <c r="MMJ217" s="1"/>
      <c r="MMK217" s="1"/>
      <c r="MML217" s="1"/>
      <c r="MMM217" s="1"/>
      <c r="MMN217" s="1"/>
      <c r="MMO217" s="1"/>
      <c r="MMP217" s="1"/>
      <c r="MMQ217" s="1"/>
      <c r="MMR217" s="1"/>
      <c r="MMS217" s="1"/>
      <c r="MMT217" s="1"/>
      <c r="MMU217" s="1"/>
      <c r="MMV217" s="1"/>
      <c r="MMW217" s="1"/>
      <c r="MMX217" s="1"/>
      <c r="MMY217" s="1"/>
      <c r="MMZ217" s="1"/>
      <c r="MNA217" s="1"/>
      <c r="MNB217" s="1"/>
      <c r="MNC217" s="1"/>
      <c r="MND217" s="1"/>
      <c r="MNE217" s="1"/>
      <c r="MNF217" s="1"/>
      <c r="MNG217" s="1"/>
      <c r="MNH217" s="1"/>
      <c r="MNI217" s="1"/>
      <c r="MNJ217" s="1"/>
      <c r="MNK217" s="1"/>
      <c r="MNL217" s="1"/>
      <c r="MNM217" s="1"/>
      <c r="MNN217" s="1"/>
      <c r="MNO217" s="1"/>
      <c r="MNP217" s="1"/>
      <c r="MNQ217" s="1"/>
      <c r="MNR217" s="1"/>
      <c r="MNS217" s="1"/>
      <c r="MNT217" s="1"/>
      <c r="MNU217" s="1"/>
      <c r="MNV217" s="1"/>
      <c r="MNW217" s="1"/>
      <c r="MNX217" s="1"/>
      <c r="MNY217" s="1"/>
      <c r="MNZ217" s="1"/>
      <c r="MOA217" s="1"/>
      <c r="MOB217" s="1"/>
      <c r="MOC217" s="1"/>
      <c r="MOD217" s="1"/>
      <c r="MOE217" s="1"/>
      <c r="MOF217" s="1"/>
      <c r="MOG217" s="1"/>
      <c r="MOH217" s="1"/>
      <c r="MOI217" s="1"/>
      <c r="MOJ217" s="1"/>
      <c r="MOK217" s="1"/>
      <c r="MOL217" s="1"/>
      <c r="MOM217" s="1"/>
      <c r="MON217" s="1"/>
      <c r="MOO217" s="1"/>
      <c r="MOP217" s="1"/>
      <c r="MOQ217" s="1"/>
      <c r="MOR217" s="1"/>
      <c r="MOS217" s="1"/>
      <c r="MOT217" s="1"/>
      <c r="MOU217" s="1"/>
      <c r="MOV217" s="1"/>
      <c r="MOW217" s="1"/>
      <c r="MOX217" s="1"/>
      <c r="MOY217" s="1"/>
      <c r="MOZ217" s="1"/>
      <c r="MPA217" s="1"/>
      <c r="MPB217" s="1"/>
      <c r="MPC217" s="1"/>
      <c r="MPD217" s="1"/>
      <c r="MPE217" s="1"/>
      <c r="MPF217" s="1"/>
      <c r="MPG217" s="1"/>
      <c r="MPH217" s="1"/>
      <c r="MPI217" s="1"/>
      <c r="MPJ217" s="1"/>
      <c r="MPK217" s="1"/>
      <c r="MPL217" s="1"/>
      <c r="MPM217" s="1"/>
      <c r="MPN217" s="1"/>
      <c r="MPO217" s="1"/>
      <c r="MPP217" s="1"/>
      <c r="MPQ217" s="1"/>
      <c r="MPR217" s="1"/>
      <c r="MPS217" s="1"/>
      <c r="MPT217" s="1"/>
      <c r="MPU217" s="1"/>
      <c r="MPV217" s="1"/>
      <c r="MPW217" s="1"/>
      <c r="MPX217" s="1"/>
      <c r="MPY217" s="1"/>
      <c r="MPZ217" s="1"/>
      <c r="MQA217" s="1"/>
      <c r="MQB217" s="1"/>
      <c r="MQC217" s="1"/>
      <c r="MQD217" s="1"/>
      <c r="MQE217" s="1"/>
      <c r="MQF217" s="1"/>
      <c r="MQG217" s="1"/>
      <c r="MQH217" s="1"/>
      <c r="MQI217" s="1"/>
      <c r="MQJ217" s="1"/>
      <c r="MQK217" s="1"/>
      <c r="MQL217" s="1"/>
      <c r="MQM217" s="1"/>
      <c r="MQN217" s="1"/>
      <c r="MQO217" s="1"/>
      <c r="MQP217" s="1"/>
      <c r="MQQ217" s="1"/>
      <c r="MQR217" s="1"/>
      <c r="MQS217" s="1"/>
      <c r="MQT217" s="1"/>
      <c r="MQU217" s="1"/>
      <c r="MQV217" s="1"/>
      <c r="MQW217" s="1"/>
      <c r="MQX217" s="1"/>
      <c r="MQY217" s="1"/>
      <c r="MQZ217" s="1"/>
      <c r="MRA217" s="1"/>
      <c r="MRB217" s="1"/>
      <c r="MRC217" s="1"/>
      <c r="MRD217" s="1"/>
      <c r="MRE217" s="1"/>
      <c r="MRF217" s="1"/>
      <c r="MRG217" s="1"/>
      <c r="MRH217" s="1"/>
      <c r="MRI217" s="1"/>
      <c r="MRJ217" s="1"/>
      <c r="MRK217" s="1"/>
      <c r="MRL217" s="1"/>
      <c r="MRM217" s="1"/>
      <c r="MRN217" s="1"/>
      <c r="MRO217" s="1"/>
      <c r="MRP217" s="1"/>
      <c r="MRQ217" s="1"/>
      <c r="MRR217" s="1"/>
      <c r="MRS217" s="1"/>
      <c r="MRT217" s="1"/>
      <c r="MRU217" s="1"/>
      <c r="MRV217" s="1"/>
      <c r="MRW217" s="1"/>
      <c r="MRX217" s="1"/>
      <c r="MRY217" s="1"/>
      <c r="MRZ217" s="1"/>
      <c r="MSA217" s="1"/>
      <c r="MSB217" s="1"/>
      <c r="MSC217" s="1"/>
      <c r="MSD217" s="1"/>
      <c r="MSE217" s="1"/>
      <c r="MSF217" s="1"/>
      <c r="MSG217" s="1"/>
      <c r="MSH217" s="1"/>
      <c r="MSI217" s="1"/>
      <c r="MSJ217" s="1"/>
      <c r="MSK217" s="1"/>
      <c r="MSL217" s="1"/>
      <c r="MSM217" s="1"/>
      <c r="MSN217" s="1"/>
      <c r="MSO217" s="1"/>
      <c r="MSP217" s="1"/>
      <c r="MSQ217" s="1"/>
      <c r="MSR217" s="1"/>
      <c r="MSS217" s="1"/>
      <c r="MST217" s="1"/>
      <c r="MSU217" s="1"/>
      <c r="MSV217" s="1"/>
      <c r="MSW217" s="1"/>
      <c r="MSX217" s="1"/>
      <c r="MSY217" s="1"/>
      <c r="MSZ217" s="1"/>
      <c r="MTA217" s="1"/>
      <c r="MTB217" s="1"/>
      <c r="MTC217" s="1"/>
      <c r="MTD217" s="1"/>
      <c r="MTE217" s="1"/>
      <c r="MTF217" s="1"/>
      <c r="MTG217" s="1"/>
      <c r="MTH217" s="1"/>
      <c r="MTI217" s="1"/>
      <c r="MTJ217" s="1"/>
      <c r="MTK217" s="1"/>
      <c r="MTL217" s="1"/>
      <c r="MTM217" s="1"/>
      <c r="MTN217" s="1"/>
      <c r="MTO217" s="1"/>
      <c r="MTP217" s="1"/>
      <c r="MTQ217" s="1"/>
      <c r="MTR217" s="1"/>
      <c r="MTS217" s="1"/>
      <c r="MTT217" s="1"/>
      <c r="MTU217" s="1"/>
      <c r="MTV217" s="1"/>
      <c r="MTW217" s="1"/>
      <c r="MTX217" s="1"/>
      <c r="MTY217" s="1"/>
      <c r="MTZ217" s="1"/>
      <c r="MUA217" s="1"/>
      <c r="MUB217" s="1"/>
      <c r="MUC217" s="1"/>
      <c r="MUD217" s="1"/>
      <c r="MUE217" s="1"/>
      <c r="MUF217" s="1"/>
      <c r="MUG217" s="1"/>
      <c r="MUH217" s="1"/>
      <c r="MUI217" s="1"/>
      <c r="MUJ217" s="1"/>
      <c r="MUK217" s="1"/>
      <c r="MUL217" s="1"/>
      <c r="MUM217" s="1"/>
      <c r="MUN217" s="1"/>
      <c r="MUO217" s="1"/>
      <c r="MUP217" s="1"/>
      <c r="MUQ217" s="1"/>
      <c r="MUR217" s="1"/>
      <c r="MUS217" s="1"/>
      <c r="MUT217" s="1"/>
      <c r="MUU217" s="1"/>
      <c r="MUV217" s="1"/>
      <c r="MUW217" s="1"/>
      <c r="MUX217" s="1"/>
      <c r="MUY217" s="1"/>
      <c r="MUZ217" s="1"/>
      <c r="MVA217" s="1"/>
      <c r="MVB217" s="1"/>
      <c r="MVC217" s="1"/>
      <c r="MVD217" s="1"/>
      <c r="MVE217" s="1"/>
      <c r="MVF217" s="1"/>
      <c r="MVG217" s="1"/>
      <c r="MVH217" s="1"/>
      <c r="MVI217" s="1"/>
      <c r="MVJ217" s="1"/>
      <c r="MVK217" s="1"/>
      <c r="MVL217" s="1"/>
      <c r="MVM217" s="1"/>
      <c r="MVN217" s="1"/>
      <c r="MVO217" s="1"/>
      <c r="MVP217" s="1"/>
      <c r="MVQ217" s="1"/>
      <c r="MVR217" s="1"/>
      <c r="MVS217" s="1"/>
      <c r="MVT217" s="1"/>
      <c r="MVU217" s="1"/>
      <c r="MVV217" s="1"/>
      <c r="MVW217" s="1"/>
      <c r="MVX217" s="1"/>
      <c r="MVY217" s="1"/>
      <c r="MVZ217" s="1"/>
      <c r="MWA217" s="1"/>
      <c r="MWB217" s="1"/>
      <c r="MWC217" s="1"/>
      <c r="MWD217" s="1"/>
      <c r="MWE217" s="1"/>
      <c r="MWF217" s="1"/>
      <c r="MWG217" s="1"/>
      <c r="MWH217" s="1"/>
      <c r="MWI217" s="1"/>
      <c r="MWJ217" s="1"/>
      <c r="MWK217" s="1"/>
      <c r="MWL217" s="1"/>
      <c r="MWM217" s="1"/>
      <c r="MWN217" s="1"/>
      <c r="MWO217" s="1"/>
      <c r="MWP217" s="1"/>
      <c r="MWQ217" s="1"/>
      <c r="MWR217" s="1"/>
      <c r="MWS217" s="1"/>
      <c r="MWT217" s="1"/>
      <c r="MWU217" s="1"/>
      <c r="MWV217" s="1"/>
      <c r="MWW217" s="1"/>
      <c r="MWX217" s="1"/>
      <c r="MWY217" s="1"/>
      <c r="MWZ217" s="1"/>
      <c r="MXA217" s="1"/>
      <c r="MXB217" s="1"/>
      <c r="MXC217" s="1"/>
      <c r="MXD217" s="1"/>
      <c r="MXE217" s="1"/>
      <c r="MXF217" s="1"/>
      <c r="MXG217" s="1"/>
      <c r="MXH217" s="1"/>
      <c r="MXI217" s="1"/>
      <c r="MXJ217" s="1"/>
      <c r="MXK217" s="1"/>
      <c r="MXL217" s="1"/>
      <c r="MXM217" s="1"/>
      <c r="MXN217" s="1"/>
      <c r="MXO217" s="1"/>
      <c r="MXP217" s="1"/>
      <c r="MXQ217" s="1"/>
      <c r="MXR217" s="1"/>
      <c r="MXS217" s="1"/>
      <c r="MXT217" s="1"/>
      <c r="MXU217" s="1"/>
      <c r="MXV217" s="1"/>
      <c r="MXW217" s="1"/>
      <c r="MXX217" s="1"/>
      <c r="MXY217" s="1"/>
      <c r="MXZ217" s="1"/>
      <c r="MYA217" s="1"/>
      <c r="MYB217" s="1"/>
      <c r="MYC217" s="1"/>
      <c r="MYD217" s="1"/>
      <c r="MYE217" s="1"/>
      <c r="MYF217" s="1"/>
      <c r="MYG217" s="1"/>
      <c r="MYH217" s="1"/>
      <c r="MYI217" s="1"/>
      <c r="MYJ217" s="1"/>
      <c r="MYK217" s="1"/>
      <c r="MYL217" s="1"/>
      <c r="MYM217" s="1"/>
      <c r="MYN217" s="1"/>
      <c r="MYO217" s="1"/>
      <c r="MYP217" s="1"/>
      <c r="MYQ217" s="1"/>
      <c r="MYR217" s="1"/>
      <c r="MYS217" s="1"/>
      <c r="MYT217" s="1"/>
      <c r="MYU217" s="1"/>
      <c r="MYV217" s="1"/>
      <c r="MYW217" s="1"/>
      <c r="MYX217" s="1"/>
      <c r="MYY217" s="1"/>
      <c r="MYZ217" s="1"/>
      <c r="MZA217" s="1"/>
      <c r="MZB217" s="1"/>
      <c r="MZC217" s="1"/>
      <c r="MZD217" s="1"/>
      <c r="MZE217" s="1"/>
      <c r="MZF217" s="1"/>
      <c r="MZG217" s="1"/>
      <c r="MZH217" s="1"/>
      <c r="MZI217" s="1"/>
      <c r="MZJ217" s="1"/>
      <c r="MZK217" s="1"/>
      <c r="MZL217" s="1"/>
      <c r="MZM217" s="1"/>
      <c r="MZN217" s="1"/>
      <c r="MZO217" s="1"/>
      <c r="MZP217" s="1"/>
      <c r="MZQ217" s="1"/>
      <c r="MZR217" s="1"/>
      <c r="MZS217" s="1"/>
      <c r="MZT217" s="1"/>
      <c r="MZU217" s="1"/>
      <c r="MZV217" s="1"/>
      <c r="MZW217" s="1"/>
      <c r="MZX217" s="1"/>
      <c r="MZY217" s="1"/>
      <c r="MZZ217" s="1"/>
      <c r="NAA217" s="1"/>
      <c r="NAB217" s="1"/>
      <c r="NAC217" s="1"/>
      <c r="NAD217" s="1"/>
      <c r="NAE217" s="1"/>
      <c r="NAF217" s="1"/>
      <c r="NAG217" s="1"/>
      <c r="NAH217" s="1"/>
      <c r="NAI217" s="1"/>
      <c r="NAJ217" s="1"/>
      <c r="NAK217" s="1"/>
      <c r="NAL217" s="1"/>
      <c r="NAM217" s="1"/>
      <c r="NAN217" s="1"/>
      <c r="NAO217" s="1"/>
      <c r="NAP217" s="1"/>
      <c r="NAQ217" s="1"/>
      <c r="NAR217" s="1"/>
      <c r="NAS217" s="1"/>
      <c r="NAT217" s="1"/>
      <c r="NAU217" s="1"/>
      <c r="NAV217" s="1"/>
      <c r="NAW217" s="1"/>
      <c r="NAX217" s="1"/>
      <c r="NAY217" s="1"/>
      <c r="NAZ217" s="1"/>
      <c r="NBA217" s="1"/>
      <c r="NBB217" s="1"/>
      <c r="NBC217" s="1"/>
      <c r="NBD217" s="1"/>
      <c r="NBE217" s="1"/>
      <c r="NBF217" s="1"/>
      <c r="NBG217" s="1"/>
      <c r="NBH217" s="1"/>
      <c r="NBI217" s="1"/>
      <c r="NBJ217" s="1"/>
      <c r="NBK217" s="1"/>
      <c r="NBL217" s="1"/>
      <c r="NBM217" s="1"/>
      <c r="NBN217" s="1"/>
      <c r="NBO217" s="1"/>
      <c r="NBP217" s="1"/>
      <c r="NBQ217" s="1"/>
      <c r="NBR217" s="1"/>
      <c r="NBS217" s="1"/>
      <c r="NBT217" s="1"/>
      <c r="NBU217" s="1"/>
      <c r="NBV217" s="1"/>
      <c r="NBW217" s="1"/>
      <c r="NBX217" s="1"/>
      <c r="NBY217" s="1"/>
      <c r="NBZ217" s="1"/>
      <c r="NCA217" s="1"/>
      <c r="NCB217" s="1"/>
      <c r="NCC217" s="1"/>
      <c r="NCD217" s="1"/>
      <c r="NCE217" s="1"/>
      <c r="NCF217" s="1"/>
      <c r="NCG217" s="1"/>
      <c r="NCH217" s="1"/>
      <c r="NCI217" s="1"/>
      <c r="NCJ217" s="1"/>
      <c r="NCK217" s="1"/>
      <c r="NCL217" s="1"/>
      <c r="NCM217" s="1"/>
      <c r="NCN217" s="1"/>
      <c r="NCO217" s="1"/>
      <c r="NCP217" s="1"/>
      <c r="NCQ217" s="1"/>
      <c r="NCR217" s="1"/>
      <c r="NCS217" s="1"/>
      <c r="NCT217" s="1"/>
      <c r="NCU217" s="1"/>
      <c r="NCV217" s="1"/>
      <c r="NCW217" s="1"/>
      <c r="NCX217" s="1"/>
      <c r="NCY217" s="1"/>
      <c r="NCZ217" s="1"/>
      <c r="NDA217" s="1"/>
      <c r="NDB217" s="1"/>
      <c r="NDC217" s="1"/>
      <c r="NDD217" s="1"/>
      <c r="NDE217" s="1"/>
      <c r="NDF217" s="1"/>
      <c r="NDG217" s="1"/>
      <c r="NDH217" s="1"/>
      <c r="NDI217" s="1"/>
      <c r="NDJ217" s="1"/>
      <c r="NDK217" s="1"/>
      <c r="NDL217" s="1"/>
      <c r="NDM217" s="1"/>
      <c r="NDN217" s="1"/>
      <c r="NDO217" s="1"/>
      <c r="NDP217" s="1"/>
      <c r="NDQ217" s="1"/>
      <c r="NDR217" s="1"/>
      <c r="NDS217" s="1"/>
      <c r="NDT217" s="1"/>
      <c r="NDU217" s="1"/>
      <c r="NDV217" s="1"/>
      <c r="NDW217" s="1"/>
      <c r="NDX217" s="1"/>
      <c r="NDY217" s="1"/>
      <c r="NDZ217" s="1"/>
      <c r="NEA217" s="1"/>
      <c r="NEB217" s="1"/>
      <c r="NEC217" s="1"/>
      <c r="NED217" s="1"/>
      <c r="NEE217" s="1"/>
      <c r="NEF217" s="1"/>
      <c r="NEG217" s="1"/>
      <c r="NEH217" s="1"/>
      <c r="NEI217" s="1"/>
      <c r="NEJ217" s="1"/>
      <c r="NEK217" s="1"/>
      <c r="NEL217" s="1"/>
      <c r="NEM217" s="1"/>
      <c r="NEN217" s="1"/>
      <c r="NEO217" s="1"/>
      <c r="NEP217" s="1"/>
      <c r="NEQ217" s="1"/>
      <c r="NER217" s="1"/>
      <c r="NES217" s="1"/>
      <c r="NET217" s="1"/>
      <c r="NEU217" s="1"/>
      <c r="NEV217" s="1"/>
      <c r="NEW217" s="1"/>
      <c r="NEX217" s="1"/>
      <c r="NEY217" s="1"/>
      <c r="NEZ217" s="1"/>
      <c r="NFA217" s="1"/>
      <c r="NFB217" s="1"/>
      <c r="NFC217" s="1"/>
      <c r="NFD217" s="1"/>
      <c r="NFE217" s="1"/>
      <c r="NFF217" s="1"/>
      <c r="NFG217" s="1"/>
      <c r="NFH217" s="1"/>
      <c r="NFI217" s="1"/>
      <c r="NFJ217" s="1"/>
      <c r="NFK217" s="1"/>
      <c r="NFL217" s="1"/>
      <c r="NFM217" s="1"/>
      <c r="NFN217" s="1"/>
      <c r="NFO217" s="1"/>
      <c r="NFP217" s="1"/>
      <c r="NFQ217" s="1"/>
      <c r="NFR217" s="1"/>
      <c r="NFS217" s="1"/>
      <c r="NFT217" s="1"/>
      <c r="NFU217" s="1"/>
      <c r="NFV217" s="1"/>
      <c r="NFW217" s="1"/>
      <c r="NFX217" s="1"/>
      <c r="NFY217" s="1"/>
      <c r="NFZ217" s="1"/>
      <c r="NGA217" s="1"/>
      <c r="NGB217" s="1"/>
      <c r="NGC217" s="1"/>
      <c r="NGD217" s="1"/>
      <c r="NGE217" s="1"/>
      <c r="NGF217" s="1"/>
      <c r="NGG217" s="1"/>
      <c r="NGH217" s="1"/>
      <c r="NGI217" s="1"/>
      <c r="NGJ217" s="1"/>
      <c r="NGK217" s="1"/>
      <c r="NGL217" s="1"/>
      <c r="NGM217" s="1"/>
      <c r="NGN217" s="1"/>
      <c r="NGO217" s="1"/>
      <c r="NGP217" s="1"/>
      <c r="NGQ217" s="1"/>
      <c r="NGR217" s="1"/>
      <c r="NGS217" s="1"/>
      <c r="NGT217" s="1"/>
      <c r="NGU217" s="1"/>
      <c r="NGV217" s="1"/>
      <c r="NGW217" s="1"/>
      <c r="NGX217" s="1"/>
      <c r="NGY217" s="1"/>
      <c r="NGZ217" s="1"/>
      <c r="NHA217" s="1"/>
      <c r="NHB217" s="1"/>
      <c r="NHC217" s="1"/>
      <c r="NHD217" s="1"/>
      <c r="NHE217" s="1"/>
      <c r="NHF217" s="1"/>
      <c r="NHG217" s="1"/>
      <c r="NHH217" s="1"/>
      <c r="NHI217" s="1"/>
      <c r="NHJ217" s="1"/>
      <c r="NHK217" s="1"/>
      <c r="NHL217" s="1"/>
      <c r="NHM217" s="1"/>
      <c r="NHN217" s="1"/>
      <c r="NHO217" s="1"/>
      <c r="NHP217" s="1"/>
      <c r="NHQ217" s="1"/>
      <c r="NHR217" s="1"/>
      <c r="NHS217" s="1"/>
      <c r="NHT217" s="1"/>
      <c r="NHU217" s="1"/>
      <c r="NHV217" s="1"/>
      <c r="NHW217" s="1"/>
      <c r="NHX217" s="1"/>
      <c r="NHY217" s="1"/>
      <c r="NHZ217" s="1"/>
      <c r="NIA217" s="1"/>
      <c r="NIB217" s="1"/>
      <c r="NIC217" s="1"/>
      <c r="NID217" s="1"/>
      <c r="NIE217" s="1"/>
      <c r="NIF217" s="1"/>
      <c r="NIG217" s="1"/>
      <c r="NIH217" s="1"/>
      <c r="NII217" s="1"/>
      <c r="NIJ217" s="1"/>
      <c r="NIK217" s="1"/>
      <c r="NIL217" s="1"/>
      <c r="NIM217" s="1"/>
      <c r="NIN217" s="1"/>
      <c r="NIO217" s="1"/>
      <c r="NIP217" s="1"/>
      <c r="NIQ217" s="1"/>
      <c r="NIR217" s="1"/>
      <c r="NIS217" s="1"/>
      <c r="NIT217" s="1"/>
      <c r="NIU217" s="1"/>
      <c r="NIV217" s="1"/>
      <c r="NIW217" s="1"/>
      <c r="NIX217" s="1"/>
      <c r="NIY217" s="1"/>
      <c r="NIZ217" s="1"/>
      <c r="NJA217" s="1"/>
      <c r="NJB217" s="1"/>
      <c r="NJC217" s="1"/>
      <c r="NJD217" s="1"/>
      <c r="NJE217" s="1"/>
      <c r="NJF217" s="1"/>
      <c r="NJG217" s="1"/>
      <c r="NJH217" s="1"/>
      <c r="NJI217" s="1"/>
      <c r="NJJ217" s="1"/>
      <c r="NJK217" s="1"/>
      <c r="NJL217" s="1"/>
      <c r="NJM217" s="1"/>
      <c r="NJN217" s="1"/>
      <c r="NJO217" s="1"/>
      <c r="NJP217" s="1"/>
      <c r="NJQ217" s="1"/>
      <c r="NJR217" s="1"/>
      <c r="NJS217" s="1"/>
      <c r="NJT217" s="1"/>
      <c r="NJU217" s="1"/>
      <c r="NJV217" s="1"/>
      <c r="NJW217" s="1"/>
      <c r="NJX217" s="1"/>
      <c r="NJY217" s="1"/>
      <c r="NJZ217" s="1"/>
      <c r="NKA217" s="1"/>
      <c r="NKB217" s="1"/>
      <c r="NKC217" s="1"/>
      <c r="NKD217" s="1"/>
      <c r="NKE217" s="1"/>
      <c r="NKF217" s="1"/>
      <c r="NKG217" s="1"/>
      <c r="NKH217" s="1"/>
      <c r="NKI217" s="1"/>
      <c r="NKJ217" s="1"/>
      <c r="NKK217" s="1"/>
      <c r="NKL217" s="1"/>
      <c r="NKM217" s="1"/>
      <c r="NKN217" s="1"/>
      <c r="NKO217" s="1"/>
      <c r="NKP217" s="1"/>
      <c r="NKQ217" s="1"/>
      <c r="NKR217" s="1"/>
      <c r="NKS217" s="1"/>
      <c r="NKT217" s="1"/>
      <c r="NKU217" s="1"/>
      <c r="NKV217" s="1"/>
      <c r="NKW217" s="1"/>
      <c r="NKX217" s="1"/>
      <c r="NKY217" s="1"/>
      <c r="NKZ217" s="1"/>
      <c r="NLA217" s="1"/>
      <c r="NLB217" s="1"/>
      <c r="NLC217" s="1"/>
      <c r="NLD217" s="1"/>
      <c r="NLE217" s="1"/>
      <c r="NLF217" s="1"/>
      <c r="NLG217" s="1"/>
      <c r="NLH217" s="1"/>
      <c r="NLI217" s="1"/>
      <c r="NLJ217" s="1"/>
      <c r="NLK217" s="1"/>
      <c r="NLL217" s="1"/>
      <c r="NLM217" s="1"/>
      <c r="NLN217" s="1"/>
      <c r="NLO217" s="1"/>
      <c r="NLP217" s="1"/>
      <c r="NLQ217" s="1"/>
      <c r="NLR217" s="1"/>
      <c r="NLS217" s="1"/>
      <c r="NLT217" s="1"/>
      <c r="NLU217" s="1"/>
      <c r="NLV217" s="1"/>
      <c r="NLW217" s="1"/>
      <c r="NLX217" s="1"/>
      <c r="NLY217" s="1"/>
      <c r="NLZ217" s="1"/>
      <c r="NMA217" s="1"/>
      <c r="NMB217" s="1"/>
      <c r="NMC217" s="1"/>
      <c r="NMD217" s="1"/>
      <c r="NME217" s="1"/>
      <c r="NMF217" s="1"/>
      <c r="NMG217" s="1"/>
      <c r="NMH217" s="1"/>
      <c r="NMI217" s="1"/>
      <c r="NMJ217" s="1"/>
      <c r="NMK217" s="1"/>
      <c r="NML217" s="1"/>
      <c r="NMM217" s="1"/>
      <c r="NMN217" s="1"/>
      <c r="NMO217" s="1"/>
      <c r="NMP217" s="1"/>
      <c r="NMQ217" s="1"/>
      <c r="NMR217" s="1"/>
      <c r="NMS217" s="1"/>
      <c r="NMT217" s="1"/>
      <c r="NMU217" s="1"/>
      <c r="NMV217" s="1"/>
      <c r="NMW217" s="1"/>
      <c r="NMX217" s="1"/>
      <c r="NMY217" s="1"/>
      <c r="NMZ217" s="1"/>
      <c r="NNA217" s="1"/>
      <c r="NNB217" s="1"/>
      <c r="NNC217" s="1"/>
      <c r="NND217" s="1"/>
      <c r="NNE217" s="1"/>
      <c r="NNF217" s="1"/>
      <c r="NNG217" s="1"/>
      <c r="NNH217" s="1"/>
      <c r="NNI217" s="1"/>
      <c r="NNJ217" s="1"/>
      <c r="NNK217" s="1"/>
      <c r="NNL217" s="1"/>
      <c r="NNM217" s="1"/>
      <c r="NNN217" s="1"/>
      <c r="NNO217" s="1"/>
      <c r="NNP217" s="1"/>
      <c r="NNQ217" s="1"/>
      <c r="NNR217" s="1"/>
      <c r="NNS217" s="1"/>
      <c r="NNT217" s="1"/>
      <c r="NNU217" s="1"/>
      <c r="NNV217" s="1"/>
      <c r="NNW217" s="1"/>
      <c r="NNX217" s="1"/>
      <c r="NNY217" s="1"/>
      <c r="NNZ217" s="1"/>
      <c r="NOA217" s="1"/>
      <c r="NOB217" s="1"/>
      <c r="NOC217" s="1"/>
      <c r="NOD217" s="1"/>
      <c r="NOE217" s="1"/>
      <c r="NOF217" s="1"/>
      <c r="NOG217" s="1"/>
      <c r="NOH217" s="1"/>
      <c r="NOI217" s="1"/>
      <c r="NOJ217" s="1"/>
      <c r="NOK217" s="1"/>
      <c r="NOL217" s="1"/>
      <c r="NOM217" s="1"/>
      <c r="NON217" s="1"/>
      <c r="NOO217" s="1"/>
      <c r="NOP217" s="1"/>
      <c r="NOQ217" s="1"/>
      <c r="NOR217" s="1"/>
      <c r="NOS217" s="1"/>
      <c r="NOT217" s="1"/>
      <c r="NOU217" s="1"/>
      <c r="NOV217" s="1"/>
      <c r="NOW217" s="1"/>
      <c r="NOX217" s="1"/>
      <c r="NOY217" s="1"/>
      <c r="NOZ217" s="1"/>
      <c r="NPA217" s="1"/>
      <c r="NPB217" s="1"/>
      <c r="NPC217" s="1"/>
      <c r="NPD217" s="1"/>
      <c r="NPE217" s="1"/>
      <c r="NPF217" s="1"/>
      <c r="NPG217" s="1"/>
      <c r="NPH217" s="1"/>
      <c r="NPI217" s="1"/>
      <c r="NPJ217" s="1"/>
      <c r="NPK217" s="1"/>
      <c r="NPL217" s="1"/>
      <c r="NPM217" s="1"/>
      <c r="NPN217" s="1"/>
      <c r="NPO217" s="1"/>
      <c r="NPP217" s="1"/>
      <c r="NPQ217" s="1"/>
      <c r="NPR217" s="1"/>
      <c r="NPS217" s="1"/>
      <c r="NPT217" s="1"/>
      <c r="NPU217" s="1"/>
      <c r="NPV217" s="1"/>
      <c r="NPW217" s="1"/>
      <c r="NPX217" s="1"/>
      <c r="NPY217" s="1"/>
      <c r="NPZ217" s="1"/>
      <c r="NQA217" s="1"/>
      <c r="NQB217" s="1"/>
      <c r="NQC217" s="1"/>
      <c r="NQD217" s="1"/>
      <c r="NQE217" s="1"/>
      <c r="NQF217" s="1"/>
      <c r="NQG217" s="1"/>
      <c r="NQH217" s="1"/>
      <c r="NQI217" s="1"/>
      <c r="NQJ217" s="1"/>
      <c r="NQK217" s="1"/>
      <c r="NQL217" s="1"/>
      <c r="NQM217" s="1"/>
      <c r="NQN217" s="1"/>
      <c r="NQO217" s="1"/>
      <c r="NQP217" s="1"/>
      <c r="NQQ217" s="1"/>
      <c r="NQR217" s="1"/>
      <c r="NQS217" s="1"/>
      <c r="NQT217" s="1"/>
      <c r="NQU217" s="1"/>
      <c r="NQV217" s="1"/>
      <c r="NQW217" s="1"/>
      <c r="NQX217" s="1"/>
      <c r="NQY217" s="1"/>
      <c r="NQZ217" s="1"/>
      <c r="NRA217" s="1"/>
      <c r="NRB217" s="1"/>
      <c r="NRC217" s="1"/>
      <c r="NRD217" s="1"/>
      <c r="NRE217" s="1"/>
      <c r="NRF217" s="1"/>
      <c r="NRG217" s="1"/>
      <c r="NRH217" s="1"/>
      <c r="NRI217" s="1"/>
      <c r="NRJ217" s="1"/>
      <c r="NRK217" s="1"/>
      <c r="NRL217" s="1"/>
      <c r="NRM217" s="1"/>
      <c r="NRN217" s="1"/>
      <c r="NRO217" s="1"/>
      <c r="NRP217" s="1"/>
      <c r="NRQ217" s="1"/>
      <c r="NRR217" s="1"/>
      <c r="NRS217" s="1"/>
      <c r="NRT217" s="1"/>
      <c r="NRU217" s="1"/>
      <c r="NRV217" s="1"/>
      <c r="NRW217" s="1"/>
      <c r="NRX217" s="1"/>
      <c r="NRY217" s="1"/>
      <c r="NRZ217" s="1"/>
      <c r="NSA217" s="1"/>
      <c r="NSB217" s="1"/>
      <c r="NSC217" s="1"/>
      <c r="NSD217" s="1"/>
      <c r="NSE217" s="1"/>
      <c r="NSF217" s="1"/>
      <c r="NSG217" s="1"/>
      <c r="NSH217" s="1"/>
      <c r="NSI217" s="1"/>
      <c r="NSJ217" s="1"/>
      <c r="NSK217" s="1"/>
      <c r="NSL217" s="1"/>
      <c r="NSM217" s="1"/>
      <c r="NSN217" s="1"/>
      <c r="NSO217" s="1"/>
      <c r="NSP217" s="1"/>
      <c r="NSQ217" s="1"/>
      <c r="NSR217" s="1"/>
      <c r="NSS217" s="1"/>
      <c r="NST217" s="1"/>
      <c r="NSU217" s="1"/>
      <c r="NSV217" s="1"/>
      <c r="NSW217" s="1"/>
      <c r="NSX217" s="1"/>
      <c r="NSY217" s="1"/>
      <c r="NSZ217" s="1"/>
      <c r="NTA217" s="1"/>
      <c r="NTB217" s="1"/>
      <c r="NTC217" s="1"/>
      <c r="NTD217" s="1"/>
      <c r="NTE217" s="1"/>
      <c r="NTF217" s="1"/>
      <c r="NTG217" s="1"/>
      <c r="NTH217" s="1"/>
      <c r="NTI217" s="1"/>
      <c r="NTJ217" s="1"/>
      <c r="NTK217" s="1"/>
      <c r="NTL217" s="1"/>
      <c r="NTM217" s="1"/>
      <c r="NTN217" s="1"/>
      <c r="NTO217" s="1"/>
      <c r="NTP217" s="1"/>
      <c r="NTQ217" s="1"/>
      <c r="NTR217" s="1"/>
      <c r="NTS217" s="1"/>
      <c r="NTT217" s="1"/>
      <c r="NTU217" s="1"/>
      <c r="NTV217" s="1"/>
      <c r="NTW217" s="1"/>
      <c r="NTX217" s="1"/>
      <c r="NTY217" s="1"/>
      <c r="NTZ217" s="1"/>
      <c r="NUA217" s="1"/>
      <c r="NUB217" s="1"/>
      <c r="NUC217" s="1"/>
      <c r="NUD217" s="1"/>
      <c r="NUE217" s="1"/>
      <c r="NUF217" s="1"/>
      <c r="NUG217" s="1"/>
      <c r="NUH217" s="1"/>
      <c r="NUI217" s="1"/>
      <c r="NUJ217" s="1"/>
      <c r="NUK217" s="1"/>
      <c r="NUL217" s="1"/>
      <c r="NUM217" s="1"/>
      <c r="NUN217" s="1"/>
      <c r="NUO217" s="1"/>
      <c r="NUP217" s="1"/>
      <c r="NUQ217" s="1"/>
      <c r="NUR217" s="1"/>
      <c r="NUS217" s="1"/>
      <c r="NUT217" s="1"/>
      <c r="NUU217" s="1"/>
      <c r="NUV217" s="1"/>
      <c r="NUW217" s="1"/>
      <c r="NUX217" s="1"/>
      <c r="NUY217" s="1"/>
      <c r="NUZ217" s="1"/>
      <c r="NVA217" s="1"/>
      <c r="NVB217" s="1"/>
      <c r="NVC217" s="1"/>
      <c r="NVD217" s="1"/>
      <c r="NVE217" s="1"/>
      <c r="NVF217" s="1"/>
      <c r="NVG217" s="1"/>
      <c r="NVH217" s="1"/>
      <c r="NVI217" s="1"/>
      <c r="NVJ217" s="1"/>
      <c r="NVK217" s="1"/>
      <c r="NVL217" s="1"/>
      <c r="NVM217" s="1"/>
      <c r="NVN217" s="1"/>
      <c r="NVO217" s="1"/>
      <c r="NVP217" s="1"/>
      <c r="NVQ217" s="1"/>
      <c r="NVR217" s="1"/>
      <c r="NVS217" s="1"/>
      <c r="NVT217" s="1"/>
      <c r="NVU217" s="1"/>
      <c r="NVV217" s="1"/>
      <c r="NVW217" s="1"/>
      <c r="NVX217" s="1"/>
      <c r="NVY217" s="1"/>
      <c r="NVZ217" s="1"/>
      <c r="NWA217" s="1"/>
      <c r="NWB217" s="1"/>
      <c r="NWC217" s="1"/>
      <c r="NWD217" s="1"/>
      <c r="NWE217" s="1"/>
      <c r="NWF217" s="1"/>
      <c r="NWG217" s="1"/>
      <c r="NWH217" s="1"/>
      <c r="NWI217" s="1"/>
      <c r="NWJ217" s="1"/>
      <c r="NWK217" s="1"/>
      <c r="NWL217" s="1"/>
      <c r="NWM217" s="1"/>
      <c r="NWN217" s="1"/>
      <c r="NWO217" s="1"/>
      <c r="NWP217" s="1"/>
      <c r="NWQ217" s="1"/>
      <c r="NWR217" s="1"/>
      <c r="NWS217" s="1"/>
      <c r="NWT217" s="1"/>
      <c r="NWU217" s="1"/>
      <c r="NWV217" s="1"/>
      <c r="NWW217" s="1"/>
      <c r="NWX217" s="1"/>
      <c r="NWY217" s="1"/>
      <c r="NWZ217" s="1"/>
      <c r="NXA217" s="1"/>
      <c r="NXB217" s="1"/>
      <c r="NXC217" s="1"/>
      <c r="NXD217" s="1"/>
      <c r="NXE217" s="1"/>
      <c r="NXF217" s="1"/>
      <c r="NXG217" s="1"/>
      <c r="NXH217" s="1"/>
      <c r="NXI217" s="1"/>
      <c r="NXJ217" s="1"/>
      <c r="NXK217" s="1"/>
      <c r="NXL217" s="1"/>
      <c r="NXM217" s="1"/>
      <c r="NXN217" s="1"/>
      <c r="NXO217" s="1"/>
      <c r="NXP217" s="1"/>
      <c r="NXQ217" s="1"/>
      <c r="NXR217" s="1"/>
      <c r="NXS217" s="1"/>
      <c r="NXT217" s="1"/>
      <c r="NXU217" s="1"/>
      <c r="NXV217" s="1"/>
      <c r="NXW217" s="1"/>
      <c r="NXX217" s="1"/>
      <c r="NXY217" s="1"/>
      <c r="NXZ217" s="1"/>
      <c r="NYA217" s="1"/>
      <c r="NYB217" s="1"/>
      <c r="NYC217" s="1"/>
      <c r="NYD217" s="1"/>
      <c r="NYE217" s="1"/>
      <c r="NYF217" s="1"/>
      <c r="NYG217" s="1"/>
      <c r="NYH217" s="1"/>
      <c r="NYI217" s="1"/>
      <c r="NYJ217" s="1"/>
      <c r="NYK217" s="1"/>
      <c r="NYL217" s="1"/>
      <c r="NYM217" s="1"/>
      <c r="NYN217" s="1"/>
      <c r="NYO217" s="1"/>
      <c r="NYP217" s="1"/>
      <c r="NYQ217" s="1"/>
      <c r="NYR217" s="1"/>
      <c r="NYS217" s="1"/>
      <c r="NYT217" s="1"/>
      <c r="NYU217" s="1"/>
      <c r="NYV217" s="1"/>
      <c r="NYW217" s="1"/>
      <c r="NYX217" s="1"/>
      <c r="NYY217" s="1"/>
      <c r="NYZ217" s="1"/>
      <c r="NZA217" s="1"/>
      <c r="NZB217" s="1"/>
      <c r="NZC217" s="1"/>
      <c r="NZD217" s="1"/>
      <c r="NZE217" s="1"/>
      <c r="NZF217" s="1"/>
      <c r="NZG217" s="1"/>
      <c r="NZH217" s="1"/>
      <c r="NZI217" s="1"/>
      <c r="NZJ217" s="1"/>
      <c r="NZK217" s="1"/>
      <c r="NZL217" s="1"/>
      <c r="NZM217" s="1"/>
      <c r="NZN217" s="1"/>
      <c r="NZO217" s="1"/>
      <c r="NZP217" s="1"/>
      <c r="NZQ217" s="1"/>
      <c r="NZR217" s="1"/>
      <c r="NZS217" s="1"/>
      <c r="NZT217" s="1"/>
      <c r="NZU217" s="1"/>
      <c r="NZV217" s="1"/>
      <c r="NZW217" s="1"/>
      <c r="NZX217" s="1"/>
      <c r="NZY217" s="1"/>
      <c r="NZZ217" s="1"/>
      <c r="OAA217" s="1"/>
      <c r="OAB217" s="1"/>
      <c r="OAC217" s="1"/>
      <c r="OAD217" s="1"/>
      <c r="OAE217" s="1"/>
      <c r="OAF217" s="1"/>
      <c r="OAG217" s="1"/>
      <c r="OAH217" s="1"/>
      <c r="OAI217" s="1"/>
      <c r="OAJ217" s="1"/>
      <c r="OAK217" s="1"/>
      <c r="OAL217" s="1"/>
      <c r="OAM217" s="1"/>
      <c r="OAN217" s="1"/>
      <c r="OAO217" s="1"/>
      <c r="OAP217" s="1"/>
      <c r="OAQ217" s="1"/>
      <c r="OAR217" s="1"/>
      <c r="OAS217" s="1"/>
      <c r="OAT217" s="1"/>
      <c r="OAU217" s="1"/>
      <c r="OAV217" s="1"/>
      <c r="OAW217" s="1"/>
      <c r="OAX217" s="1"/>
      <c r="OAY217" s="1"/>
      <c r="OAZ217" s="1"/>
      <c r="OBA217" s="1"/>
      <c r="OBB217" s="1"/>
      <c r="OBC217" s="1"/>
      <c r="OBD217" s="1"/>
      <c r="OBE217" s="1"/>
      <c r="OBF217" s="1"/>
      <c r="OBG217" s="1"/>
      <c r="OBH217" s="1"/>
      <c r="OBI217" s="1"/>
      <c r="OBJ217" s="1"/>
      <c r="OBK217" s="1"/>
      <c r="OBL217" s="1"/>
      <c r="OBM217" s="1"/>
      <c r="OBN217" s="1"/>
      <c r="OBO217" s="1"/>
      <c r="OBP217" s="1"/>
      <c r="OBQ217" s="1"/>
      <c r="OBR217" s="1"/>
      <c r="OBS217" s="1"/>
      <c r="OBT217" s="1"/>
      <c r="OBU217" s="1"/>
      <c r="OBV217" s="1"/>
      <c r="OBW217" s="1"/>
      <c r="OBX217" s="1"/>
      <c r="OBY217" s="1"/>
      <c r="OBZ217" s="1"/>
      <c r="OCA217" s="1"/>
      <c r="OCB217" s="1"/>
      <c r="OCC217" s="1"/>
      <c r="OCD217" s="1"/>
      <c r="OCE217" s="1"/>
      <c r="OCF217" s="1"/>
      <c r="OCG217" s="1"/>
      <c r="OCH217" s="1"/>
      <c r="OCI217" s="1"/>
      <c r="OCJ217" s="1"/>
      <c r="OCK217" s="1"/>
      <c r="OCL217" s="1"/>
      <c r="OCM217" s="1"/>
      <c r="OCN217" s="1"/>
      <c r="OCO217" s="1"/>
      <c r="OCP217" s="1"/>
      <c r="OCQ217" s="1"/>
      <c r="OCR217" s="1"/>
      <c r="OCS217" s="1"/>
      <c r="OCT217" s="1"/>
      <c r="OCU217" s="1"/>
      <c r="OCV217" s="1"/>
      <c r="OCW217" s="1"/>
      <c r="OCX217" s="1"/>
      <c r="OCY217" s="1"/>
      <c r="OCZ217" s="1"/>
      <c r="ODA217" s="1"/>
      <c r="ODB217" s="1"/>
      <c r="ODC217" s="1"/>
      <c r="ODD217" s="1"/>
      <c r="ODE217" s="1"/>
      <c r="ODF217" s="1"/>
      <c r="ODG217" s="1"/>
      <c r="ODH217" s="1"/>
      <c r="ODI217" s="1"/>
      <c r="ODJ217" s="1"/>
      <c r="ODK217" s="1"/>
      <c r="ODL217" s="1"/>
      <c r="ODM217" s="1"/>
      <c r="ODN217" s="1"/>
      <c r="ODO217" s="1"/>
      <c r="ODP217" s="1"/>
      <c r="ODQ217" s="1"/>
      <c r="ODR217" s="1"/>
      <c r="ODS217" s="1"/>
      <c r="ODT217" s="1"/>
      <c r="ODU217" s="1"/>
      <c r="ODV217" s="1"/>
      <c r="ODW217" s="1"/>
      <c r="ODX217" s="1"/>
      <c r="ODY217" s="1"/>
      <c r="ODZ217" s="1"/>
      <c r="OEA217" s="1"/>
      <c r="OEB217" s="1"/>
      <c r="OEC217" s="1"/>
      <c r="OED217" s="1"/>
      <c r="OEE217" s="1"/>
      <c r="OEF217" s="1"/>
      <c r="OEG217" s="1"/>
      <c r="OEH217" s="1"/>
      <c r="OEI217" s="1"/>
      <c r="OEJ217" s="1"/>
      <c r="OEK217" s="1"/>
      <c r="OEL217" s="1"/>
      <c r="OEM217" s="1"/>
      <c r="OEN217" s="1"/>
      <c r="OEO217" s="1"/>
      <c r="OEP217" s="1"/>
      <c r="OEQ217" s="1"/>
      <c r="OER217" s="1"/>
      <c r="OES217" s="1"/>
      <c r="OET217" s="1"/>
      <c r="OEU217" s="1"/>
      <c r="OEV217" s="1"/>
      <c r="OEW217" s="1"/>
      <c r="OEX217" s="1"/>
      <c r="OEY217" s="1"/>
      <c r="OEZ217" s="1"/>
      <c r="OFA217" s="1"/>
      <c r="OFB217" s="1"/>
      <c r="OFC217" s="1"/>
      <c r="OFD217" s="1"/>
      <c r="OFE217" s="1"/>
      <c r="OFF217" s="1"/>
      <c r="OFG217" s="1"/>
      <c r="OFH217" s="1"/>
      <c r="OFI217" s="1"/>
      <c r="OFJ217" s="1"/>
      <c r="OFK217" s="1"/>
      <c r="OFL217" s="1"/>
      <c r="OFM217" s="1"/>
      <c r="OFN217" s="1"/>
      <c r="OFO217" s="1"/>
      <c r="OFP217" s="1"/>
      <c r="OFQ217" s="1"/>
      <c r="OFR217" s="1"/>
      <c r="OFS217" s="1"/>
      <c r="OFT217" s="1"/>
      <c r="OFU217" s="1"/>
      <c r="OFV217" s="1"/>
      <c r="OFW217" s="1"/>
      <c r="OFX217" s="1"/>
      <c r="OFY217" s="1"/>
      <c r="OFZ217" s="1"/>
      <c r="OGA217" s="1"/>
      <c r="OGB217" s="1"/>
      <c r="OGC217" s="1"/>
      <c r="OGD217" s="1"/>
      <c r="OGE217" s="1"/>
      <c r="OGF217" s="1"/>
      <c r="OGG217" s="1"/>
      <c r="OGH217" s="1"/>
      <c r="OGI217" s="1"/>
      <c r="OGJ217" s="1"/>
      <c r="OGK217" s="1"/>
      <c r="OGL217" s="1"/>
      <c r="OGM217" s="1"/>
      <c r="OGN217" s="1"/>
      <c r="OGO217" s="1"/>
      <c r="OGP217" s="1"/>
      <c r="OGQ217" s="1"/>
      <c r="OGR217" s="1"/>
      <c r="OGS217" s="1"/>
      <c r="OGT217" s="1"/>
      <c r="OGU217" s="1"/>
      <c r="OGV217" s="1"/>
      <c r="OGW217" s="1"/>
      <c r="OGX217" s="1"/>
      <c r="OGY217" s="1"/>
      <c r="OGZ217" s="1"/>
      <c r="OHA217" s="1"/>
      <c r="OHB217" s="1"/>
      <c r="OHC217" s="1"/>
      <c r="OHD217" s="1"/>
      <c r="OHE217" s="1"/>
      <c r="OHF217" s="1"/>
      <c r="OHG217" s="1"/>
      <c r="OHH217" s="1"/>
      <c r="OHI217" s="1"/>
      <c r="OHJ217" s="1"/>
      <c r="OHK217" s="1"/>
      <c r="OHL217" s="1"/>
      <c r="OHM217" s="1"/>
      <c r="OHN217" s="1"/>
      <c r="OHO217" s="1"/>
      <c r="OHP217" s="1"/>
      <c r="OHQ217" s="1"/>
      <c r="OHR217" s="1"/>
      <c r="OHS217" s="1"/>
      <c r="OHT217" s="1"/>
      <c r="OHU217" s="1"/>
      <c r="OHV217" s="1"/>
      <c r="OHW217" s="1"/>
      <c r="OHX217" s="1"/>
      <c r="OHY217" s="1"/>
      <c r="OHZ217" s="1"/>
      <c r="OIA217" s="1"/>
      <c r="OIB217" s="1"/>
      <c r="OIC217" s="1"/>
      <c r="OID217" s="1"/>
      <c r="OIE217" s="1"/>
      <c r="OIF217" s="1"/>
      <c r="OIG217" s="1"/>
      <c r="OIH217" s="1"/>
      <c r="OII217" s="1"/>
      <c r="OIJ217" s="1"/>
      <c r="OIK217" s="1"/>
      <c r="OIL217" s="1"/>
      <c r="OIM217" s="1"/>
      <c r="OIN217" s="1"/>
      <c r="OIO217" s="1"/>
      <c r="OIP217" s="1"/>
      <c r="OIQ217" s="1"/>
      <c r="OIR217" s="1"/>
      <c r="OIS217" s="1"/>
      <c r="OIT217" s="1"/>
      <c r="OIU217" s="1"/>
      <c r="OIV217" s="1"/>
      <c r="OIW217" s="1"/>
      <c r="OIX217" s="1"/>
      <c r="OIY217" s="1"/>
      <c r="OIZ217" s="1"/>
      <c r="OJA217" s="1"/>
      <c r="OJB217" s="1"/>
      <c r="OJC217" s="1"/>
      <c r="OJD217" s="1"/>
      <c r="OJE217" s="1"/>
      <c r="OJF217" s="1"/>
      <c r="OJG217" s="1"/>
      <c r="OJH217" s="1"/>
      <c r="OJI217" s="1"/>
      <c r="OJJ217" s="1"/>
      <c r="OJK217" s="1"/>
      <c r="OJL217" s="1"/>
      <c r="OJM217" s="1"/>
      <c r="OJN217" s="1"/>
      <c r="OJO217" s="1"/>
      <c r="OJP217" s="1"/>
      <c r="OJQ217" s="1"/>
      <c r="OJR217" s="1"/>
      <c r="OJS217" s="1"/>
      <c r="OJT217" s="1"/>
      <c r="OJU217" s="1"/>
      <c r="OJV217" s="1"/>
      <c r="OJW217" s="1"/>
      <c r="OJX217" s="1"/>
      <c r="OJY217" s="1"/>
      <c r="OJZ217" s="1"/>
      <c r="OKA217" s="1"/>
      <c r="OKB217" s="1"/>
      <c r="OKC217" s="1"/>
      <c r="OKD217" s="1"/>
      <c r="OKE217" s="1"/>
      <c r="OKF217" s="1"/>
      <c r="OKG217" s="1"/>
      <c r="OKH217" s="1"/>
      <c r="OKI217" s="1"/>
      <c r="OKJ217" s="1"/>
      <c r="OKK217" s="1"/>
      <c r="OKL217" s="1"/>
      <c r="OKM217" s="1"/>
      <c r="OKN217" s="1"/>
      <c r="OKO217" s="1"/>
      <c r="OKP217" s="1"/>
      <c r="OKQ217" s="1"/>
      <c r="OKR217" s="1"/>
      <c r="OKS217" s="1"/>
      <c r="OKT217" s="1"/>
      <c r="OKU217" s="1"/>
      <c r="OKV217" s="1"/>
      <c r="OKW217" s="1"/>
      <c r="OKX217" s="1"/>
      <c r="OKY217" s="1"/>
      <c r="OKZ217" s="1"/>
      <c r="OLA217" s="1"/>
      <c r="OLB217" s="1"/>
      <c r="OLC217" s="1"/>
      <c r="OLD217" s="1"/>
      <c r="OLE217" s="1"/>
      <c r="OLF217" s="1"/>
      <c r="OLG217" s="1"/>
      <c r="OLH217" s="1"/>
      <c r="OLI217" s="1"/>
      <c r="OLJ217" s="1"/>
      <c r="OLK217" s="1"/>
      <c r="OLL217" s="1"/>
      <c r="OLM217" s="1"/>
      <c r="OLN217" s="1"/>
      <c r="OLO217" s="1"/>
      <c r="OLP217" s="1"/>
      <c r="OLQ217" s="1"/>
      <c r="OLR217" s="1"/>
      <c r="OLS217" s="1"/>
      <c r="OLT217" s="1"/>
      <c r="OLU217" s="1"/>
      <c r="OLV217" s="1"/>
      <c r="OLW217" s="1"/>
      <c r="OLX217" s="1"/>
      <c r="OLY217" s="1"/>
      <c r="OLZ217" s="1"/>
      <c r="OMA217" s="1"/>
      <c r="OMB217" s="1"/>
      <c r="OMC217" s="1"/>
      <c r="OMD217" s="1"/>
      <c r="OME217" s="1"/>
      <c r="OMF217" s="1"/>
      <c r="OMG217" s="1"/>
      <c r="OMH217" s="1"/>
      <c r="OMI217" s="1"/>
      <c r="OMJ217" s="1"/>
      <c r="OMK217" s="1"/>
      <c r="OML217" s="1"/>
      <c r="OMM217" s="1"/>
      <c r="OMN217" s="1"/>
      <c r="OMO217" s="1"/>
      <c r="OMP217" s="1"/>
      <c r="OMQ217" s="1"/>
      <c r="OMR217" s="1"/>
      <c r="OMS217" s="1"/>
      <c r="OMT217" s="1"/>
      <c r="OMU217" s="1"/>
      <c r="OMV217" s="1"/>
      <c r="OMW217" s="1"/>
      <c r="OMX217" s="1"/>
      <c r="OMY217" s="1"/>
      <c r="OMZ217" s="1"/>
      <c r="ONA217" s="1"/>
      <c r="ONB217" s="1"/>
      <c r="ONC217" s="1"/>
      <c r="OND217" s="1"/>
      <c r="ONE217" s="1"/>
      <c r="ONF217" s="1"/>
      <c r="ONG217" s="1"/>
      <c r="ONH217" s="1"/>
      <c r="ONI217" s="1"/>
      <c r="ONJ217" s="1"/>
      <c r="ONK217" s="1"/>
      <c r="ONL217" s="1"/>
      <c r="ONM217" s="1"/>
      <c r="ONN217" s="1"/>
      <c r="ONO217" s="1"/>
      <c r="ONP217" s="1"/>
      <c r="ONQ217" s="1"/>
      <c r="ONR217" s="1"/>
      <c r="ONS217" s="1"/>
      <c r="ONT217" s="1"/>
      <c r="ONU217" s="1"/>
      <c r="ONV217" s="1"/>
      <c r="ONW217" s="1"/>
      <c r="ONX217" s="1"/>
      <c r="ONY217" s="1"/>
      <c r="ONZ217" s="1"/>
      <c r="OOA217" s="1"/>
      <c r="OOB217" s="1"/>
      <c r="OOC217" s="1"/>
      <c r="OOD217" s="1"/>
      <c r="OOE217" s="1"/>
      <c r="OOF217" s="1"/>
      <c r="OOG217" s="1"/>
      <c r="OOH217" s="1"/>
      <c r="OOI217" s="1"/>
      <c r="OOJ217" s="1"/>
      <c r="OOK217" s="1"/>
      <c r="OOL217" s="1"/>
      <c r="OOM217" s="1"/>
      <c r="OON217" s="1"/>
      <c r="OOO217" s="1"/>
      <c r="OOP217" s="1"/>
      <c r="OOQ217" s="1"/>
      <c r="OOR217" s="1"/>
      <c r="OOS217" s="1"/>
      <c r="OOT217" s="1"/>
      <c r="OOU217" s="1"/>
      <c r="OOV217" s="1"/>
      <c r="OOW217" s="1"/>
      <c r="OOX217" s="1"/>
      <c r="OOY217" s="1"/>
      <c r="OOZ217" s="1"/>
      <c r="OPA217" s="1"/>
      <c r="OPB217" s="1"/>
      <c r="OPC217" s="1"/>
      <c r="OPD217" s="1"/>
      <c r="OPE217" s="1"/>
      <c r="OPF217" s="1"/>
      <c r="OPG217" s="1"/>
      <c r="OPH217" s="1"/>
      <c r="OPI217" s="1"/>
      <c r="OPJ217" s="1"/>
      <c r="OPK217" s="1"/>
      <c r="OPL217" s="1"/>
      <c r="OPM217" s="1"/>
      <c r="OPN217" s="1"/>
      <c r="OPO217" s="1"/>
      <c r="OPP217" s="1"/>
      <c r="OPQ217" s="1"/>
      <c r="OPR217" s="1"/>
      <c r="OPS217" s="1"/>
      <c r="OPT217" s="1"/>
      <c r="OPU217" s="1"/>
      <c r="OPV217" s="1"/>
      <c r="OPW217" s="1"/>
      <c r="OPX217" s="1"/>
      <c r="OPY217" s="1"/>
      <c r="OPZ217" s="1"/>
      <c r="OQA217" s="1"/>
      <c r="OQB217" s="1"/>
      <c r="OQC217" s="1"/>
      <c r="OQD217" s="1"/>
      <c r="OQE217" s="1"/>
      <c r="OQF217" s="1"/>
      <c r="OQG217" s="1"/>
      <c r="OQH217" s="1"/>
      <c r="OQI217" s="1"/>
      <c r="OQJ217" s="1"/>
      <c r="OQK217" s="1"/>
      <c r="OQL217" s="1"/>
      <c r="OQM217" s="1"/>
      <c r="OQN217" s="1"/>
      <c r="OQO217" s="1"/>
      <c r="OQP217" s="1"/>
      <c r="OQQ217" s="1"/>
      <c r="OQR217" s="1"/>
      <c r="OQS217" s="1"/>
      <c r="OQT217" s="1"/>
      <c r="OQU217" s="1"/>
      <c r="OQV217" s="1"/>
      <c r="OQW217" s="1"/>
      <c r="OQX217" s="1"/>
      <c r="OQY217" s="1"/>
      <c r="OQZ217" s="1"/>
      <c r="ORA217" s="1"/>
      <c r="ORB217" s="1"/>
      <c r="ORC217" s="1"/>
      <c r="ORD217" s="1"/>
      <c r="ORE217" s="1"/>
      <c r="ORF217" s="1"/>
      <c r="ORG217" s="1"/>
      <c r="ORH217" s="1"/>
      <c r="ORI217" s="1"/>
      <c r="ORJ217" s="1"/>
      <c r="ORK217" s="1"/>
      <c r="ORL217" s="1"/>
      <c r="ORM217" s="1"/>
      <c r="ORN217" s="1"/>
      <c r="ORO217" s="1"/>
      <c r="ORP217" s="1"/>
      <c r="ORQ217" s="1"/>
      <c r="ORR217" s="1"/>
      <c r="ORS217" s="1"/>
      <c r="ORT217" s="1"/>
      <c r="ORU217" s="1"/>
      <c r="ORV217" s="1"/>
      <c r="ORW217" s="1"/>
      <c r="ORX217" s="1"/>
      <c r="ORY217" s="1"/>
      <c r="ORZ217" s="1"/>
      <c r="OSA217" s="1"/>
      <c r="OSB217" s="1"/>
      <c r="OSC217" s="1"/>
      <c r="OSD217" s="1"/>
      <c r="OSE217" s="1"/>
      <c r="OSF217" s="1"/>
      <c r="OSG217" s="1"/>
      <c r="OSH217" s="1"/>
      <c r="OSI217" s="1"/>
      <c r="OSJ217" s="1"/>
      <c r="OSK217" s="1"/>
      <c r="OSL217" s="1"/>
      <c r="OSM217" s="1"/>
      <c r="OSN217" s="1"/>
      <c r="OSO217" s="1"/>
      <c r="OSP217" s="1"/>
      <c r="OSQ217" s="1"/>
      <c r="OSR217" s="1"/>
      <c r="OSS217" s="1"/>
      <c r="OST217" s="1"/>
      <c r="OSU217" s="1"/>
      <c r="OSV217" s="1"/>
      <c r="OSW217" s="1"/>
      <c r="OSX217" s="1"/>
      <c r="OSY217" s="1"/>
      <c r="OSZ217" s="1"/>
      <c r="OTA217" s="1"/>
      <c r="OTB217" s="1"/>
      <c r="OTC217" s="1"/>
      <c r="OTD217" s="1"/>
      <c r="OTE217" s="1"/>
      <c r="OTF217" s="1"/>
      <c r="OTG217" s="1"/>
      <c r="OTH217" s="1"/>
      <c r="OTI217" s="1"/>
      <c r="OTJ217" s="1"/>
      <c r="OTK217" s="1"/>
      <c r="OTL217" s="1"/>
      <c r="OTM217" s="1"/>
      <c r="OTN217" s="1"/>
      <c r="OTO217" s="1"/>
      <c r="OTP217" s="1"/>
      <c r="OTQ217" s="1"/>
      <c r="OTR217" s="1"/>
      <c r="OTS217" s="1"/>
      <c r="OTT217" s="1"/>
      <c r="OTU217" s="1"/>
      <c r="OTV217" s="1"/>
      <c r="OTW217" s="1"/>
      <c r="OTX217" s="1"/>
      <c r="OTY217" s="1"/>
      <c r="OTZ217" s="1"/>
      <c r="OUA217" s="1"/>
      <c r="OUB217" s="1"/>
      <c r="OUC217" s="1"/>
      <c r="OUD217" s="1"/>
      <c r="OUE217" s="1"/>
      <c r="OUF217" s="1"/>
      <c r="OUG217" s="1"/>
      <c r="OUH217" s="1"/>
      <c r="OUI217" s="1"/>
      <c r="OUJ217" s="1"/>
      <c r="OUK217" s="1"/>
      <c r="OUL217" s="1"/>
      <c r="OUM217" s="1"/>
      <c r="OUN217" s="1"/>
      <c r="OUO217" s="1"/>
      <c r="OUP217" s="1"/>
      <c r="OUQ217" s="1"/>
      <c r="OUR217" s="1"/>
      <c r="OUS217" s="1"/>
      <c r="OUT217" s="1"/>
      <c r="OUU217" s="1"/>
      <c r="OUV217" s="1"/>
      <c r="OUW217" s="1"/>
      <c r="OUX217" s="1"/>
      <c r="OUY217" s="1"/>
      <c r="OUZ217" s="1"/>
      <c r="OVA217" s="1"/>
      <c r="OVB217" s="1"/>
      <c r="OVC217" s="1"/>
      <c r="OVD217" s="1"/>
      <c r="OVE217" s="1"/>
      <c r="OVF217" s="1"/>
      <c r="OVG217" s="1"/>
      <c r="OVH217" s="1"/>
      <c r="OVI217" s="1"/>
      <c r="OVJ217" s="1"/>
      <c r="OVK217" s="1"/>
      <c r="OVL217" s="1"/>
      <c r="OVM217" s="1"/>
      <c r="OVN217" s="1"/>
      <c r="OVO217" s="1"/>
      <c r="OVP217" s="1"/>
      <c r="OVQ217" s="1"/>
      <c r="OVR217" s="1"/>
      <c r="OVS217" s="1"/>
      <c r="OVT217" s="1"/>
      <c r="OVU217" s="1"/>
      <c r="OVV217" s="1"/>
      <c r="OVW217" s="1"/>
      <c r="OVX217" s="1"/>
      <c r="OVY217" s="1"/>
      <c r="OVZ217" s="1"/>
      <c r="OWA217" s="1"/>
      <c r="OWB217" s="1"/>
      <c r="OWC217" s="1"/>
      <c r="OWD217" s="1"/>
      <c r="OWE217" s="1"/>
      <c r="OWF217" s="1"/>
      <c r="OWG217" s="1"/>
      <c r="OWH217" s="1"/>
      <c r="OWI217" s="1"/>
      <c r="OWJ217" s="1"/>
      <c r="OWK217" s="1"/>
      <c r="OWL217" s="1"/>
      <c r="OWM217" s="1"/>
      <c r="OWN217" s="1"/>
      <c r="OWO217" s="1"/>
      <c r="OWP217" s="1"/>
      <c r="OWQ217" s="1"/>
      <c r="OWR217" s="1"/>
      <c r="OWS217" s="1"/>
      <c r="OWT217" s="1"/>
      <c r="OWU217" s="1"/>
      <c r="OWV217" s="1"/>
      <c r="OWW217" s="1"/>
      <c r="OWX217" s="1"/>
      <c r="OWY217" s="1"/>
      <c r="OWZ217" s="1"/>
      <c r="OXA217" s="1"/>
      <c r="OXB217" s="1"/>
      <c r="OXC217" s="1"/>
      <c r="OXD217" s="1"/>
      <c r="OXE217" s="1"/>
      <c r="OXF217" s="1"/>
      <c r="OXG217" s="1"/>
      <c r="OXH217" s="1"/>
      <c r="OXI217" s="1"/>
      <c r="OXJ217" s="1"/>
      <c r="OXK217" s="1"/>
      <c r="OXL217" s="1"/>
      <c r="OXM217" s="1"/>
      <c r="OXN217" s="1"/>
      <c r="OXO217" s="1"/>
      <c r="OXP217" s="1"/>
      <c r="OXQ217" s="1"/>
      <c r="OXR217" s="1"/>
      <c r="OXS217" s="1"/>
      <c r="OXT217" s="1"/>
      <c r="OXU217" s="1"/>
      <c r="OXV217" s="1"/>
      <c r="OXW217" s="1"/>
      <c r="OXX217" s="1"/>
      <c r="OXY217" s="1"/>
      <c r="OXZ217" s="1"/>
      <c r="OYA217" s="1"/>
      <c r="OYB217" s="1"/>
      <c r="OYC217" s="1"/>
      <c r="OYD217" s="1"/>
      <c r="OYE217" s="1"/>
      <c r="OYF217" s="1"/>
      <c r="OYG217" s="1"/>
      <c r="OYH217" s="1"/>
      <c r="OYI217" s="1"/>
      <c r="OYJ217" s="1"/>
      <c r="OYK217" s="1"/>
      <c r="OYL217" s="1"/>
      <c r="OYM217" s="1"/>
      <c r="OYN217" s="1"/>
      <c r="OYO217" s="1"/>
      <c r="OYP217" s="1"/>
      <c r="OYQ217" s="1"/>
      <c r="OYR217" s="1"/>
      <c r="OYS217" s="1"/>
      <c r="OYT217" s="1"/>
      <c r="OYU217" s="1"/>
      <c r="OYV217" s="1"/>
      <c r="OYW217" s="1"/>
      <c r="OYX217" s="1"/>
      <c r="OYY217" s="1"/>
      <c r="OYZ217" s="1"/>
      <c r="OZA217" s="1"/>
      <c r="OZB217" s="1"/>
      <c r="OZC217" s="1"/>
      <c r="OZD217" s="1"/>
      <c r="OZE217" s="1"/>
      <c r="OZF217" s="1"/>
      <c r="OZG217" s="1"/>
      <c r="OZH217" s="1"/>
      <c r="OZI217" s="1"/>
      <c r="OZJ217" s="1"/>
      <c r="OZK217" s="1"/>
      <c r="OZL217" s="1"/>
      <c r="OZM217" s="1"/>
      <c r="OZN217" s="1"/>
      <c r="OZO217" s="1"/>
      <c r="OZP217" s="1"/>
      <c r="OZQ217" s="1"/>
      <c r="OZR217" s="1"/>
      <c r="OZS217" s="1"/>
      <c r="OZT217" s="1"/>
      <c r="OZU217" s="1"/>
      <c r="OZV217" s="1"/>
      <c r="OZW217" s="1"/>
      <c r="OZX217" s="1"/>
      <c r="OZY217" s="1"/>
      <c r="OZZ217" s="1"/>
      <c r="PAA217" s="1"/>
      <c r="PAB217" s="1"/>
      <c r="PAC217" s="1"/>
      <c r="PAD217" s="1"/>
      <c r="PAE217" s="1"/>
      <c r="PAF217" s="1"/>
      <c r="PAG217" s="1"/>
      <c r="PAH217" s="1"/>
      <c r="PAI217" s="1"/>
      <c r="PAJ217" s="1"/>
      <c r="PAK217" s="1"/>
      <c r="PAL217" s="1"/>
      <c r="PAM217" s="1"/>
      <c r="PAN217" s="1"/>
      <c r="PAO217" s="1"/>
      <c r="PAP217" s="1"/>
      <c r="PAQ217" s="1"/>
      <c r="PAR217" s="1"/>
      <c r="PAS217" s="1"/>
      <c r="PAT217" s="1"/>
      <c r="PAU217" s="1"/>
      <c r="PAV217" s="1"/>
      <c r="PAW217" s="1"/>
      <c r="PAX217" s="1"/>
      <c r="PAY217" s="1"/>
      <c r="PAZ217" s="1"/>
      <c r="PBA217" s="1"/>
      <c r="PBB217" s="1"/>
      <c r="PBC217" s="1"/>
      <c r="PBD217" s="1"/>
      <c r="PBE217" s="1"/>
      <c r="PBF217" s="1"/>
      <c r="PBG217" s="1"/>
      <c r="PBH217" s="1"/>
      <c r="PBI217" s="1"/>
      <c r="PBJ217" s="1"/>
      <c r="PBK217" s="1"/>
      <c r="PBL217" s="1"/>
      <c r="PBM217" s="1"/>
      <c r="PBN217" s="1"/>
      <c r="PBO217" s="1"/>
      <c r="PBP217" s="1"/>
      <c r="PBQ217" s="1"/>
      <c r="PBR217" s="1"/>
      <c r="PBS217" s="1"/>
      <c r="PBT217" s="1"/>
      <c r="PBU217" s="1"/>
      <c r="PBV217" s="1"/>
      <c r="PBW217" s="1"/>
      <c r="PBX217" s="1"/>
      <c r="PBY217" s="1"/>
      <c r="PBZ217" s="1"/>
      <c r="PCA217" s="1"/>
      <c r="PCB217" s="1"/>
      <c r="PCC217" s="1"/>
      <c r="PCD217" s="1"/>
      <c r="PCE217" s="1"/>
      <c r="PCF217" s="1"/>
      <c r="PCG217" s="1"/>
      <c r="PCH217" s="1"/>
      <c r="PCI217" s="1"/>
      <c r="PCJ217" s="1"/>
      <c r="PCK217" s="1"/>
      <c r="PCL217" s="1"/>
      <c r="PCM217" s="1"/>
      <c r="PCN217" s="1"/>
      <c r="PCO217" s="1"/>
      <c r="PCP217" s="1"/>
      <c r="PCQ217" s="1"/>
      <c r="PCR217" s="1"/>
      <c r="PCS217" s="1"/>
      <c r="PCT217" s="1"/>
      <c r="PCU217" s="1"/>
      <c r="PCV217" s="1"/>
      <c r="PCW217" s="1"/>
      <c r="PCX217" s="1"/>
      <c r="PCY217" s="1"/>
      <c r="PCZ217" s="1"/>
      <c r="PDA217" s="1"/>
      <c r="PDB217" s="1"/>
      <c r="PDC217" s="1"/>
      <c r="PDD217" s="1"/>
      <c r="PDE217" s="1"/>
      <c r="PDF217" s="1"/>
      <c r="PDG217" s="1"/>
      <c r="PDH217" s="1"/>
      <c r="PDI217" s="1"/>
      <c r="PDJ217" s="1"/>
      <c r="PDK217" s="1"/>
      <c r="PDL217" s="1"/>
      <c r="PDM217" s="1"/>
      <c r="PDN217" s="1"/>
      <c r="PDO217" s="1"/>
      <c r="PDP217" s="1"/>
      <c r="PDQ217" s="1"/>
      <c r="PDR217" s="1"/>
      <c r="PDS217" s="1"/>
      <c r="PDT217" s="1"/>
      <c r="PDU217" s="1"/>
      <c r="PDV217" s="1"/>
      <c r="PDW217" s="1"/>
      <c r="PDX217" s="1"/>
      <c r="PDY217" s="1"/>
      <c r="PDZ217" s="1"/>
      <c r="PEA217" s="1"/>
      <c r="PEB217" s="1"/>
      <c r="PEC217" s="1"/>
      <c r="PED217" s="1"/>
      <c r="PEE217" s="1"/>
      <c r="PEF217" s="1"/>
      <c r="PEG217" s="1"/>
      <c r="PEH217" s="1"/>
      <c r="PEI217" s="1"/>
      <c r="PEJ217" s="1"/>
      <c r="PEK217" s="1"/>
      <c r="PEL217" s="1"/>
      <c r="PEM217" s="1"/>
      <c r="PEN217" s="1"/>
      <c r="PEO217" s="1"/>
      <c r="PEP217" s="1"/>
      <c r="PEQ217" s="1"/>
      <c r="PER217" s="1"/>
      <c r="PES217" s="1"/>
      <c r="PET217" s="1"/>
      <c r="PEU217" s="1"/>
      <c r="PEV217" s="1"/>
      <c r="PEW217" s="1"/>
      <c r="PEX217" s="1"/>
      <c r="PEY217" s="1"/>
      <c r="PEZ217" s="1"/>
      <c r="PFA217" s="1"/>
      <c r="PFB217" s="1"/>
      <c r="PFC217" s="1"/>
      <c r="PFD217" s="1"/>
      <c r="PFE217" s="1"/>
      <c r="PFF217" s="1"/>
      <c r="PFG217" s="1"/>
      <c r="PFH217" s="1"/>
      <c r="PFI217" s="1"/>
      <c r="PFJ217" s="1"/>
      <c r="PFK217" s="1"/>
      <c r="PFL217" s="1"/>
      <c r="PFM217" s="1"/>
      <c r="PFN217" s="1"/>
      <c r="PFO217" s="1"/>
      <c r="PFP217" s="1"/>
      <c r="PFQ217" s="1"/>
      <c r="PFR217" s="1"/>
      <c r="PFS217" s="1"/>
      <c r="PFT217" s="1"/>
      <c r="PFU217" s="1"/>
      <c r="PFV217" s="1"/>
      <c r="PFW217" s="1"/>
      <c r="PFX217" s="1"/>
      <c r="PFY217" s="1"/>
      <c r="PFZ217" s="1"/>
      <c r="PGA217" s="1"/>
      <c r="PGB217" s="1"/>
      <c r="PGC217" s="1"/>
      <c r="PGD217" s="1"/>
      <c r="PGE217" s="1"/>
      <c r="PGF217" s="1"/>
      <c r="PGG217" s="1"/>
      <c r="PGH217" s="1"/>
      <c r="PGI217" s="1"/>
      <c r="PGJ217" s="1"/>
      <c r="PGK217" s="1"/>
      <c r="PGL217" s="1"/>
      <c r="PGM217" s="1"/>
      <c r="PGN217" s="1"/>
      <c r="PGO217" s="1"/>
      <c r="PGP217" s="1"/>
      <c r="PGQ217" s="1"/>
      <c r="PGR217" s="1"/>
      <c r="PGS217" s="1"/>
      <c r="PGT217" s="1"/>
      <c r="PGU217" s="1"/>
      <c r="PGV217" s="1"/>
      <c r="PGW217" s="1"/>
      <c r="PGX217" s="1"/>
      <c r="PGY217" s="1"/>
      <c r="PGZ217" s="1"/>
      <c r="PHA217" s="1"/>
      <c r="PHB217" s="1"/>
      <c r="PHC217" s="1"/>
      <c r="PHD217" s="1"/>
      <c r="PHE217" s="1"/>
      <c r="PHF217" s="1"/>
      <c r="PHG217" s="1"/>
      <c r="PHH217" s="1"/>
      <c r="PHI217" s="1"/>
      <c r="PHJ217" s="1"/>
      <c r="PHK217" s="1"/>
      <c r="PHL217" s="1"/>
      <c r="PHM217" s="1"/>
      <c r="PHN217" s="1"/>
      <c r="PHO217" s="1"/>
      <c r="PHP217" s="1"/>
      <c r="PHQ217" s="1"/>
      <c r="PHR217" s="1"/>
      <c r="PHS217" s="1"/>
      <c r="PHT217" s="1"/>
      <c r="PHU217" s="1"/>
      <c r="PHV217" s="1"/>
      <c r="PHW217" s="1"/>
      <c r="PHX217" s="1"/>
      <c r="PHY217" s="1"/>
      <c r="PHZ217" s="1"/>
      <c r="PIA217" s="1"/>
      <c r="PIB217" s="1"/>
      <c r="PIC217" s="1"/>
      <c r="PID217" s="1"/>
      <c r="PIE217" s="1"/>
      <c r="PIF217" s="1"/>
      <c r="PIG217" s="1"/>
      <c r="PIH217" s="1"/>
      <c r="PII217" s="1"/>
      <c r="PIJ217" s="1"/>
      <c r="PIK217" s="1"/>
      <c r="PIL217" s="1"/>
      <c r="PIM217" s="1"/>
      <c r="PIN217" s="1"/>
      <c r="PIO217" s="1"/>
      <c r="PIP217" s="1"/>
      <c r="PIQ217" s="1"/>
      <c r="PIR217" s="1"/>
      <c r="PIS217" s="1"/>
      <c r="PIT217" s="1"/>
      <c r="PIU217" s="1"/>
      <c r="PIV217" s="1"/>
      <c r="PIW217" s="1"/>
      <c r="PIX217" s="1"/>
      <c r="PIY217" s="1"/>
      <c r="PIZ217" s="1"/>
      <c r="PJA217" s="1"/>
      <c r="PJB217" s="1"/>
      <c r="PJC217" s="1"/>
      <c r="PJD217" s="1"/>
      <c r="PJE217" s="1"/>
      <c r="PJF217" s="1"/>
      <c r="PJG217" s="1"/>
      <c r="PJH217" s="1"/>
      <c r="PJI217" s="1"/>
      <c r="PJJ217" s="1"/>
      <c r="PJK217" s="1"/>
      <c r="PJL217" s="1"/>
      <c r="PJM217" s="1"/>
      <c r="PJN217" s="1"/>
      <c r="PJO217" s="1"/>
      <c r="PJP217" s="1"/>
      <c r="PJQ217" s="1"/>
      <c r="PJR217" s="1"/>
      <c r="PJS217" s="1"/>
      <c r="PJT217" s="1"/>
      <c r="PJU217" s="1"/>
      <c r="PJV217" s="1"/>
      <c r="PJW217" s="1"/>
      <c r="PJX217" s="1"/>
      <c r="PJY217" s="1"/>
      <c r="PJZ217" s="1"/>
      <c r="PKA217" s="1"/>
      <c r="PKB217" s="1"/>
      <c r="PKC217" s="1"/>
      <c r="PKD217" s="1"/>
      <c r="PKE217" s="1"/>
      <c r="PKF217" s="1"/>
      <c r="PKG217" s="1"/>
      <c r="PKH217" s="1"/>
      <c r="PKI217" s="1"/>
      <c r="PKJ217" s="1"/>
      <c r="PKK217" s="1"/>
      <c r="PKL217" s="1"/>
      <c r="PKM217" s="1"/>
      <c r="PKN217" s="1"/>
      <c r="PKO217" s="1"/>
      <c r="PKP217" s="1"/>
      <c r="PKQ217" s="1"/>
      <c r="PKR217" s="1"/>
      <c r="PKS217" s="1"/>
      <c r="PKT217" s="1"/>
      <c r="PKU217" s="1"/>
      <c r="PKV217" s="1"/>
      <c r="PKW217" s="1"/>
      <c r="PKX217" s="1"/>
      <c r="PKY217" s="1"/>
      <c r="PKZ217" s="1"/>
      <c r="PLA217" s="1"/>
      <c r="PLB217" s="1"/>
      <c r="PLC217" s="1"/>
      <c r="PLD217" s="1"/>
      <c r="PLE217" s="1"/>
      <c r="PLF217" s="1"/>
      <c r="PLG217" s="1"/>
      <c r="PLH217" s="1"/>
      <c r="PLI217" s="1"/>
      <c r="PLJ217" s="1"/>
      <c r="PLK217" s="1"/>
      <c r="PLL217" s="1"/>
      <c r="PLM217" s="1"/>
      <c r="PLN217" s="1"/>
      <c r="PLO217" s="1"/>
      <c r="PLP217" s="1"/>
      <c r="PLQ217" s="1"/>
      <c r="PLR217" s="1"/>
      <c r="PLS217" s="1"/>
      <c r="PLT217" s="1"/>
      <c r="PLU217" s="1"/>
      <c r="PLV217" s="1"/>
      <c r="PLW217" s="1"/>
      <c r="PLX217" s="1"/>
      <c r="PLY217" s="1"/>
      <c r="PLZ217" s="1"/>
      <c r="PMA217" s="1"/>
      <c r="PMB217" s="1"/>
      <c r="PMC217" s="1"/>
      <c r="PMD217" s="1"/>
      <c r="PME217" s="1"/>
      <c r="PMF217" s="1"/>
      <c r="PMG217" s="1"/>
      <c r="PMH217" s="1"/>
      <c r="PMI217" s="1"/>
      <c r="PMJ217" s="1"/>
      <c r="PMK217" s="1"/>
      <c r="PML217" s="1"/>
      <c r="PMM217" s="1"/>
      <c r="PMN217" s="1"/>
      <c r="PMO217" s="1"/>
      <c r="PMP217" s="1"/>
      <c r="PMQ217" s="1"/>
      <c r="PMR217" s="1"/>
      <c r="PMS217" s="1"/>
      <c r="PMT217" s="1"/>
      <c r="PMU217" s="1"/>
      <c r="PMV217" s="1"/>
      <c r="PMW217" s="1"/>
      <c r="PMX217" s="1"/>
      <c r="PMY217" s="1"/>
      <c r="PMZ217" s="1"/>
      <c r="PNA217" s="1"/>
      <c r="PNB217" s="1"/>
      <c r="PNC217" s="1"/>
      <c r="PND217" s="1"/>
      <c r="PNE217" s="1"/>
      <c r="PNF217" s="1"/>
      <c r="PNG217" s="1"/>
      <c r="PNH217" s="1"/>
      <c r="PNI217" s="1"/>
      <c r="PNJ217" s="1"/>
      <c r="PNK217" s="1"/>
      <c r="PNL217" s="1"/>
      <c r="PNM217" s="1"/>
      <c r="PNN217" s="1"/>
      <c r="PNO217" s="1"/>
      <c r="PNP217" s="1"/>
      <c r="PNQ217" s="1"/>
      <c r="PNR217" s="1"/>
      <c r="PNS217" s="1"/>
      <c r="PNT217" s="1"/>
      <c r="PNU217" s="1"/>
      <c r="PNV217" s="1"/>
      <c r="PNW217" s="1"/>
      <c r="PNX217" s="1"/>
      <c r="PNY217" s="1"/>
      <c r="PNZ217" s="1"/>
      <c r="POA217" s="1"/>
      <c r="POB217" s="1"/>
      <c r="POC217" s="1"/>
      <c r="POD217" s="1"/>
      <c r="POE217" s="1"/>
      <c r="POF217" s="1"/>
      <c r="POG217" s="1"/>
      <c r="POH217" s="1"/>
      <c r="POI217" s="1"/>
      <c r="POJ217" s="1"/>
      <c r="POK217" s="1"/>
      <c r="POL217" s="1"/>
      <c r="POM217" s="1"/>
      <c r="PON217" s="1"/>
      <c r="POO217" s="1"/>
      <c r="POP217" s="1"/>
      <c r="POQ217" s="1"/>
      <c r="POR217" s="1"/>
      <c r="POS217" s="1"/>
      <c r="POT217" s="1"/>
      <c r="POU217" s="1"/>
      <c r="POV217" s="1"/>
      <c r="POW217" s="1"/>
      <c r="POX217" s="1"/>
      <c r="POY217" s="1"/>
      <c r="POZ217" s="1"/>
      <c r="PPA217" s="1"/>
      <c r="PPB217" s="1"/>
      <c r="PPC217" s="1"/>
      <c r="PPD217" s="1"/>
      <c r="PPE217" s="1"/>
      <c r="PPF217" s="1"/>
      <c r="PPG217" s="1"/>
      <c r="PPH217" s="1"/>
      <c r="PPI217" s="1"/>
      <c r="PPJ217" s="1"/>
      <c r="PPK217" s="1"/>
      <c r="PPL217" s="1"/>
      <c r="PPM217" s="1"/>
      <c r="PPN217" s="1"/>
      <c r="PPO217" s="1"/>
      <c r="PPP217" s="1"/>
      <c r="PPQ217" s="1"/>
      <c r="PPR217" s="1"/>
      <c r="PPS217" s="1"/>
      <c r="PPT217" s="1"/>
      <c r="PPU217" s="1"/>
      <c r="PPV217" s="1"/>
      <c r="PPW217" s="1"/>
      <c r="PPX217" s="1"/>
      <c r="PPY217" s="1"/>
      <c r="PPZ217" s="1"/>
      <c r="PQA217" s="1"/>
      <c r="PQB217" s="1"/>
      <c r="PQC217" s="1"/>
      <c r="PQD217" s="1"/>
      <c r="PQE217" s="1"/>
      <c r="PQF217" s="1"/>
      <c r="PQG217" s="1"/>
      <c r="PQH217" s="1"/>
      <c r="PQI217" s="1"/>
      <c r="PQJ217" s="1"/>
      <c r="PQK217" s="1"/>
      <c r="PQL217" s="1"/>
      <c r="PQM217" s="1"/>
      <c r="PQN217" s="1"/>
      <c r="PQO217" s="1"/>
      <c r="PQP217" s="1"/>
      <c r="PQQ217" s="1"/>
      <c r="PQR217" s="1"/>
      <c r="PQS217" s="1"/>
      <c r="PQT217" s="1"/>
      <c r="PQU217" s="1"/>
      <c r="PQV217" s="1"/>
      <c r="PQW217" s="1"/>
      <c r="PQX217" s="1"/>
      <c r="PQY217" s="1"/>
      <c r="PQZ217" s="1"/>
      <c r="PRA217" s="1"/>
      <c r="PRB217" s="1"/>
      <c r="PRC217" s="1"/>
      <c r="PRD217" s="1"/>
      <c r="PRE217" s="1"/>
      <c r="PRF217" s="1"/>
      <c r="PRG217" s="1"/>
      <c r="PRH217" s="1"/>
      <c r="PRI217" s="1"/>
      <c r="PRJ217" s="1"/>
      <c r="PRK217" s="1"/>
      <c r="PRL217" s="1"/>
      <c r="PRM217" s="1"/>
      <c r="PRN217" s="1"/>
      <c r="PRO217" s="1"/>
      <c r="PRP217" s="1"/>
      <c r="PRQ217" s="1"/>
      <c r="PRR217" s="1"/>
      <c r="PRS217" s="1"/>
      <c r="PRT217" s="1"/>
      <c r="PRU217" s="1"/>
      <c r="PRV217" s="1"/>
      <c r="PRW217" s="1"/>
      <c r="PRX217" s="1"/>
      <c r="PRY217" s="1"/>
      <c r="PRZ217" s="1"/>
      <c r="PSA217" s="1"/>
      <c r="PSB217" s="1"/>
      <c r="PSC217" s="1"/>
      <c r="PSD217" s="1"/>
      <c r="PSE217" s="1"/>
      <c r="PSF217" s="1"/>
      <c r="PSG217" s="1"/>
      <c r="PSH217" s="1"/>
      <c r="PSI217" s="1"/>
      <c r="PSJ217" s="1"/>
      <c r="PSK217" s="1"/>
      <c r="PSL217" s="1"/>
      <c r="PSM217" s="1"/>
      <c r="PSN217" s="1"/>
      <c r="PSO217" s="1"/>
      <c r="PSP217" s="1"/>
      <c r="PSQ217" s="1"/>
      <c r="PSR217" s="1"/>
      <c r="PSS217" s="1"/>
      <c r="PST217" s="1"/>
      <c r="PSU217" s="1"/>
      <c r="PSV217" s="1"/>
      <c r="PSW217" s="1"/>
      <c r="PSX217" s="1"/>
      <c r="PSY217" s="1"/>
      <c r="PSZ217" s="1"/>
      <c r="PTA217" s="1"/>
      <c r="PTB217" s="1"/>
      <c r="PTC217" s="1"/>
      <c r="PTD217" s="1"/>
      <c r="PTE217" s="1"/>
      <c r="PTF217" s="1"/>
      <c r="PTG217" s="1"/>
      <c r="PTH217" s="1"/>
      <c r="PTI217" s="1"/>
      <c r="PTJ217" s="1"/>
      <c r="PTK217" s="1"/>
      <c r="PTL217" s="1"/>
      <c r="PTM217" s="1"/>
      <c r="PTN217" s="1"/>
      <c r="PTO217" s="1"/>
      <c r="PTP217" s="1"/>
      <c r="PTQ217" s="1"/>
      <c r="PTR217" s="1"/>
      <c r="PTS217" s="1"/>
      <c r="PTT217" s="1"/>
      <c r="PTU217" s="1"/>
      <c r="PTV217" s="1"/>
      <c r="PTW217" s="1"/>
      <c r="PTX217" s="1"/>
      <c r="PTY217" s="1"/>
      <c r="PTZ217" s="1"/>
      <c r="PUA217" s="1"/>
      <c r="PUB217" s="1"/>
      <c r="PUC217" s="1"/>
      <c r="PUD217" s="1"/>
      <c r="PUE217" s="1"/>
      <c r="PUF217" s="1"/>
      <c r="PUG217" s="1"/>
      <c r="PUH217" s="1"/>
      <c r="PUI217" s="1"/>
      <c r="PUJ217" s="1"/>
      <c r="PUK217" s="1"/>
      <c r="PUL217" s="1"/>
      <c r="PUM217" s="1"/>
      <c r="PUN217" s="1"/>
      <c r="PUO217" s="1"/>
      <c r="PUP217" s="1"/>
      <c r="PUQ217" s="1"/>
      <c r="PUR217" s="1"/>
      <c r="PUS217" s="1"/>
      <c r="PUT217" s="1"/>
      <c r="PUU217" s="1"/>
      <c r="PUV217" s="1"/>
      <c r="PUW217" s="1"/>
      <c r="PUX217" s="1"/>
      <c r="PUY217" s="1"/>
      <c r="PUZ217" s="1"/>
      <c r="PVA217" s="1"/>
      <c r="PVB217" s="1"/>
      <c r="PVC217" s="1"/>
      <c r="PVD217" s="1"/>
      <c r="PVE217" s="1"/>
      <c r="PVF217" s="1"/>
      <c r="PVG217" s="1"/>
      <c r="PVH217" s="1"/>
      <c r="PVI217" s="1"/>
      <c r="PVJ217" s="1"/>
      <c r="PVK217" s="1"/>
      <c r="PVL217" s="1"/>
      <c r="PVM217" s="1"/>
      <c r="PVN217" s="1"/>
      <c r="PVO217" s="1"/>
      <c r="PVP217" s="1"/>
      <c r="PVQ217" s="1"/>
      <c r="PVR217" s="1"/>
      <c r="PVS217" s="1"/>
      <c r="PVT217" s="1"/>
      <c r="PVU217" s="1"/>
      <c r="PVV217" s="1"/>
      <c r="PVW217" s="1"/>
      <c r="PVX217" s="1"/>
      <c r="PVY217" s="1"/>
      <c r="PVZ217" s="1"/>
      <c r="PWA217" s="1"/>
      <c r="PWB217" s="1"/>
      <c r="PWC217" s="1"/>
      <c r="PWD217" s="1"/>
      <c r="PWE217" s="1"/>
      <c r="PWF217" s="1"/>
      <c r="PWG217" s="1"/>
      <c r="PWH217" s="1"/>
      <c r="PWI217" s="1"/>
      <c r="PWJ217" s="1"/>
      <c r="PWK217" s="1"/>
      <c r="PWL217" s="1"/>
      <c r="PWM217" s="1"/>
      <c r="PWN217" s="1"/>
      <c r="PWO217" s="1"/>
      <c r="PWP217" s="1"/>
      <c r="PWQ217" s="1"/>
      <c r="PWR217" s="1"/>
      <c r="PWS217" s="1"/>
      <c r="PWT217" s="1"/>
      <c r="PWU217" s="1"/>
      <c r="PWV217" s="1"/>
      <c r="PWW217" s="1"/>
      <c r="PWX217" s="1"/>
      <c r="PWY217" s="1"/>
      <c r="PWZ217" s="1"/>
      <c r="PXA217" s="1"/>
      <c r="PXB217" s="1"/>
      <c r="PXC217" s="1"/>
      <c r="PXD217" s="1"/>
      <c r="PXE217" s="1"/>
      <c r="PXF217" s="1"/>
      <c r="PXG217" s="1"/>
      <c r="PXH217" s="1"/>
      <c r="PXI217" s="1"/>
      <c r="PXJ217" s="1"/>
      <c r="PXK217" s="1"/>
      <c r="PXL217" s="1"/>
      <c r="PXM217" s="1"/>
      <c r="PXN217" s="1"/>
      <c r="PXO217" s="1"/>
      <c r="PXP217" s="1"/>
      <c r="PXQ217" s="1"/>
      <c r="PXR217" s="1"/>
      <c r="PXS217" s="1"/>
      <c r="PXT217" s="1"/>
      <c r="PXU217" s="1"/>
      <c r="PXV217" s="1"/>
      <c r="PXW217" s="1"/>
      <c r="PXX217" s="1"/>
      <c r="PXY217" s="1"/>
      <c r="PXZ217" s="1"/>
      <c r="PYA217" s="1"/>
      <c r="PYB217" s="1"/>
      <c r="PYC217" s="1"/>
      <c r="PYD217" s="1"/>
      <c r="PYE217" s="1"/>
      <c r="PYF217" s="1"/>
      <c r="PYG217" s="1"/>
      <c r="PYH217" s="1"/>
      <c r="PYI217" s="1"/>
      <c r="PYJ217" s="1"/>
      <c r="PYK217" s="1"/>
      <c r="PYL217" s="1"/>
      <c r="PYM217" s="1"/>
      <c r="PYN217" s="1"/>
      <c r="PYO217" s="1"/>
      <c r="PYP217" s="1"/>
      <c r="PYQ217" s="1"/>
      <c r="PYR217" s="1"/>
      <c r="PYS217" s="1"/>
      <c r="PYT217" s="1"/>
      <c r="PYU217" s="1"/>
      <c r="PYV217" s="1"/>
      <c r="PYW217" s="1"/>
      <c r="PYX217" s="1"/>
      <c r="PYY217" s="1"/>
      <c r="PYZ217" s="1"/>
      <c r="PZA217" s="1"/>
      <c r="PZB217" s="1"/>
      <c r="PZC217" s="1"/>
      <c r="PZD217" s="1"/>
      <c r="PZE217" s="1"/>
      <c r="PZF217" s="1"/>
      <c r="PZG217" s="1"/>
      <c r="PZH217" s="1"/>
      <c r="PZI217" s="1"/>
      <c r="PZJ217" s="1"/>
      <c r="PZK217" s="1"/>
      <c r="PZL217" s="1"/>
      <c r="PZM217" s="1"/>
      <c r="PZN217" s="1"/>
      <c r="PZO217" s="1"/>
      <c r="PZP217" s="1"/>
      <c r="PZQ217" s="1"/>
      <c r="PZR217" s="1"/>
      <c r="PZS217" s="1"/>
      <c r="PZT217" s="1"/>
      <c r="PZU217" s="1"/>
      <c r="PZV217" s="1"/>
      <c r="PZW217" s="1"/>
      <c r="PZX217" s="1"/>
      <c r="PZY217" s="1"/>
      <c r="PZZ217" s="1"/>
      <c r="QAA217" s="1"/>
      <c r="QAB217" s="1"/>
      <c r="QAC217" s="1"/>
      <c r="QAD217" s="1"/>
      <c r="QAE217" s="1"/>
      <c r="QAF217" s="1"/>
      <c r="QAG217" s="1"/>
      <c r="QAH217" s="1"/>
      <c r="QAI217" s="1"/>
      <c r="QAJ217" s="1"/>
      <c r="QAK217" s="1"/>
      <c r="QAL217" s="1"/>
      <c r="QAM217" s="1"/>
      <c r="QAN217" s="1"/>
      <c r="QAO217" s="1"/>
      <c r="QAP217" s="1"/>
      <c r="QAQ217" s="1"/>
      <c r="QAR217" s="1"/>
      <c r="QAS217" s="1"/>
      <c r="QAT217" s="1"/>
      <c r="QAU217" s="1"/>
      <c r="QAV217" s="1"/>
      <c r="QAW217" s="1"/>
      <c r="QAX217" s="1"/>
      <c r="QAY217" s="1"/>
      <c r="QAZ217" s="1"/>
      <c r="QBA217" s="1"/>
      <c r="QBB217" s="1"/>
      <c r="QBC217" s="1"/>
      <c r="QBD217" s="1"/>
      <c r="QBE217" s="1"/>
      <c r="QBF217" s="1"/>
      <c r="QBG217" s="1"/>
      <c r="QBH217" s="1"/>
      <c r="QBI217" s="1"/>
      <c r="QBJ217" s="1"/>
      <c r="QBK217" s="1"/>
      <c r="QBL217" s="1"/>
      <c r="QBM217" s="1"/>
      <c r="QBN217" s="1"/>
      <c r="QBO217" s="1"/>
      <c r="QBP217" s="1"/>
      <c r="QBQ217" s="1"/>
      <c r="QBR217" s="1"/>
      <c r="QBS217" s="1"/>
      <c r="QBT217" s="1"/>
      <c r="QBU217" s="1"/>
      <c r="QBV217" s="1"/>
      <c r="QBW217" s="1"/>
      <c r="QBX217" s="1"/>
      <c r="QBY217" s="1"/>
      <c r="QBZ217" s="1"/>
      <c r="QCA217" s="1"/>
      <c r="QCB217" s="1"/>
      <c r="QCC217" s="1"/>
      <c r="QCD217" s="1"/>
      <c r="QCE217" s="1"/>
      <c r="QCF217" s="1"/>
      <c r="QCG217" s="1"/>
      <c r="QCH217" s="1"/>
      <c r="QCI217" s="1"/>
      <c r="QCJ217" s="1"/>
      <c r="QCK217" s="1"/>
      <c r="QCL217" s="1"/>
      <c r="QCM217" s="1"/>
      <c r="QCN217" s="1"/>
      <c r="QCO217" s="1"/>
      <c r="QCP217" s="1"/>
      <c r="QCQ217" s="1"/>
      <c r="QCR217" s="1"/>
      <c r="QCS217" s="1"/>
      <c r="QCT217" s="1"/>
      <c r="QCU217" s="1"/>
      <c r="QCV217" s="1"/>
      <c r="QCW217" s="1"/>
      <c r="QCX217" s="1"/>
      <c r="QCY217" s="1"/>
      <c r="QCZ217" s="1"/>
      <c r="QDA217" s="1"/>
      <c r="QDB217" s="1"/>
      <c r="QDC217" s="1"/>
      <c r="QDD217" s="1"/>
      <c r="QDE217" s="1"/>
      <c r="QDF217" s="1"/>
      <c r="QDG217" s="1"/>
      <c r="QDH217" s="1"/>
      <c r="QDI217" s="1"/>
      <c r="QDJ217" s="1"/>
      <c r="QDK217" s="1"/>
      <c r="QDL217" s="1"/>
      <c r="QDM217" s="1"/>
      <c r="QDN217" s="1"/>
      <c r="QDO217" s="1"/>
      <c r="QDP217" s="1"/>
      <c r="QDQ217" s="1"/>
      <c r="QDR217" s="1"/>
      <c r="QDS217" s="1"/>
      <c r="QDT217" s="1"/>
      <c r="QDU217" s="1"/>
      <c r="QDV217" s="1"/>
      <c r="QDW217" s="1"/>
      <c r="QDX217" s="1"/>
      <c r="QDY217" s="1"/>
      <c r="QDZ217" s="1"/>
      <c r="QEA217" s="1"/>
      <c r="QEB217" s="1"/>
      <c r="QEC217" s="1"/>
      <c r="QED217" s="1"/>
      <c r="QEE217" s="1"/>
      <c r="QEF217" s="1"/>
      <c r="QEG217" s="1"/>
      <c r="QEH217" s="1"/>
      <c r="QEI217" s="1"/>
      <c r="QEJ217" s="1"/>
      <c r="QEK217" s="1"/>
      <c r="QEL217" s="1"/>
      <c r="QEM217" s="1"/>
      <c r="QEN217" s="1"/>
      <c r="QEO217" s="1"/>
      <c r="QEP217" s="1"/>
      <c r="QEQ217" s="1"/>
      <c r="QER217" s="1"/>
      <c r="QES217" s="1"/>
      <c r="QET217" s="1"/>
      <c r="QEU217" s="1"/>
      <c r="QEV217" s="1"/>
      <c r="QEW217" s="1"/>
      <c r="QEX217" s="1"/>
      <c r="QEY217" s="1"/>
      <c r="QEZ217" s="1"/>
      <c r="QFA217" s="1"/>
      <c r="QFB217" s="1"/>
      <c r="QFC217" s="1"/>
      <c r="QFD217" s="1"/>
      <c r="QFE217" s="1"/>
      <c r="QFF217" s="1"/>
      <c r="QFG217" s="1"/>
      <c r="QFH217" s="1"/>
      <c r="QFI217" s="1"/>
      <c r="QFJ217" s="1"/>
      <c r="QFK217" s="1"/>
      <c r="QFL217" s="1"/>
      <c r="QFM217" s="1"/>
      <c r="QFN217" s="1"/>
      <c r="QFO217" s="1"/>
      <c r="QFP217" s="1"/>
      <c r="QFQ217" s="1"/>
      <c r="QFR217" s="1"/>
      <c r="QFS217" s="1"/>
      <c r="QFT217" s="1"/>
      <c r="QFU217" s="1"/>
      <c r="QFV217" s="1"/>
      <c r="QFW217" s="1"/>
      <c r="QFX217" s="1"/>
      <c r="QFY217" s="1"/>
      <c r="QFZ217" s="1"/>
      <c r="QGA217" s="1"/>
      <c r="QGB217" s="1"/>
      <c r="QGC217" s="1"/>
      <c r="QGD217" s="1"/>
      <c r="QGE217" s="1"/>
      <c r="QGF217" s="1"/>
      <c r="QGG217" s="1"/>
      <c r="QGH217" s="1"/>
      <c r="QGI217" s="1"/>
      <c r="QGJ217" s="1"/>
      <c r="QGK217" s="1"/>
      <c r="QGL217" s="1"/>
      <c r="QGM217" s="1"/>
      <c r="QGN217" s="1"/>
      <c r="QGO217" s="1"/>
      <c r="QGP217" s="1"/>
      <c r="QGQ217" s="1"/>
      <c r="QGR217" s="1"/>
      <c r="QGS217" s="1"/>
      <c r="QGT217" s="1"/>
      <c r="QGU217" s="1"/>
      <c r="QGV217" s="1"/>
      <c r="QGW217" s="1"/>
      <c r="QGX217" s="1"/>
      <c r="QGY217" s="1"/>
      <c r="QGZ217" s="1"/>
      <c r="QHA217" s="1"/>
      <c r="QHB217" s="1"/>
      <c r="QHC217" s="1"/>
      <c r="QHD217" s="1"/>
      <c r="QHE217" s="1"/>
      <c r="QHF217" s="1"/>
      <c r="QHG217" s="1"/>
      <c r="QHH217" s="1"/>
      <c r="QHI217" s="1"/>
      <c r="QHJ217" s="1"/>
      <c r="QHK217" s="1"/>
      <c r="QHL217" s="1"/>
      <c r="QHM217" s="1"/>
      <c r="QHN217" s="1"/>
      <c r="QHO217" s="1"/>
      <c r="QHP217" s="1"/>
      <c r="QHQ217" s="1"/>
      <c r="QHR217" s="1"/>
      <c r="QHS217" s="1"/>
      <c r="QHT217" s="1"/>
      <c r="QHU217" s="1"/>
      <c r="QHV217" s="1"/>
      <c r="QHW217" s="1"/>
      <c r="QHX217" s="1"/>
      <c r="QHY217" s="1"/>
      <c r="QHZ217" s="1"/>
      <c r="QIA217" s="1"/>
      <c r="QIB217" s="1"/>
      <c r="QIC217" s="1"/>
      <c r="QID217" s="1"/>
      <c r="QIE217" s="1"/>
      <c r="QIF217" s="1"/>
      <c r="QIG217" s="1"/>
      <c r="QIH217" s="1"/>
      <c r="QII217" s="1"/>
      <c r="QIJ217" s="1"/>
      <c r="QIK217" s="1"/>
      <c r="QIL217" s="1"/>
      <c r="QIM217" s="1"/>
      <c r="QIN217" s="1"/>
      <c r="QIO217" s="1"/>
      <c r="QIP217" s="1"/>
      <c r="QIQ217" s="1"/>
      <c r="QIR217" s="1"/>
      <c r="QIS217" s="1"/>
      <c r="QIT217" s="1"/>
      <c r="QIU217" s="1"/>
      <c r="QIV217" s="1"/>
      <c r="QIW217" s="1"/>
      <c r="QIX217" s="1"/>
      <c r="QIY217" s="1"/>
      <c r="QIZ217" s="1"/>
      <c r="QJA217" s="1"/>
      <c r="QJB217" s="1"/>
      <c r="QJC217" s="1"/>
      <c r="QJD217" s="1"/>
      <c r="QJE217" s="1"/>
      <c r="QJF217" s="1"/>
      <c r="QJG217" s="1"/>
      <c r="QJH217" s="1"/>
      <c r="QJI217" s="1"/>
      <c r="QJJ217" s="1"/>
      <c r="QJK217" s="1"/>
      <c r="QJL217" s="1"/>
      <c r="QJM217" s="1"/>
      <c r="QJN217" s="1"/>
      <c r="QJO217" s="1"/>
      <c r="QJP217" s="1"/>
      <c r="QJQ217" s="1"/>
      <c r="QJR217" s="1"/>
      <c r="QJS217" s="1"/>
      <c r="QJT217" s="1"/>
      <c r="QJU217" s="1"/>
      <c r="QJV217" s="1"/>
      <c r="QJW217" s="1"/>
      <c r="QJX217" s="1"/>
      <c r="QJY217" s="1"/>
      <c r="QJZ217" s="1"/>
      <c r="QKA217" s="1"/>
      <c r="QKB217" s="1"/>
      <c r="QKC217" s="1"/>
      <c r="QKD217" s="1"/>
      <c r="QKE217" s="1"/>
      <c r="QKF217" s="1"/>
      <c r="QKG217" s="1"/>
      <c r="QKH217" s="1"/>
      <c r="QKI217" s="1"/>
      <c r="QKJ217" s="1"/>
      <c r="QKK217" s="1"/>
      <c r="QKL217" s="1"/>
      <c r="QKM217" s="1"/>
      <c r="QKN217" s="1"/>
      <c r="QKO217" s="1"/>
      <c r="QKP217" s="1"/>
      <c r="QKQ217" s="1"/>
      <c r="QKR217" s="1"/>
      <c r="QKS217" s="1"/>
      <c r="QKT217" s="1"/>
      <c r="QKU217" s="1"/>
      <c r="QKV217" s="1"/>
      <c r="QKW217" s="1"/>
      <c r="QKX217" s="1"/>
      <c r="QKY217" s="1"/>
      <c r="QKZ217" s="1"/>
      <c r="QLA217" s="1"/>
      <c r="QLB217" s="1"/>
      <c r="QLC217" s="1"/>
      <c r="QLD217" s="1"/>
      <c r="QLE217" s="1"/>
      <c r="QLF217" s="1"/>
      <c r="QLG217" s="1"/>
      <c r="QLH217" s="1"/>
      <c r="QLI217" s="1"/>
      <c r="QLJ217" s="1"/>
      <c r="QLK217" s="1"/>
      <c r="QLL217" s="1"/>
      <c r="QLM217" s="1"/>
      <c r="QLN217" s="1"/>
      <c r="QLO217" s="1"/>
      <c r="QLP217" s="1"/>
      <c r="QLQ217" s="1"/>
      <c r="QLR217" s="1"/>
      <c r="QLS217" s="1"/>
      <c r="QLT217" s="1"/>
      <c r="QLU217" s="1"/>
      <c r="QLV217" s="1"/>
      <c r="QLW217" s="1"/>
      <c r="QLX217" s="1"/>
      <c r="QLY217" s="1"/>
      <c r="QLZ217" s="1"/>
      <c r="QMA217" s="1"/>
      <c r="QMB217" s="1"/>
      <c r="QMC217" s="1"/>
      <c r="QMD217" s="1"/>
      <c r="QME217" s="1"/>
      <c r="QMF217" s="1"/>
      <c r="QMG217" s="1"/>
      <c r="QMH217" s="1"/>
      <c r="QMI217" s="1"/>
      <c r="QMJ217" s="1"/>
      <c r="QMK217" s="1"/>
      <c r="QML217" s="1"/>
      <c r="QMM217" s="1"/>
      <c r="QMN217" s="1"/>
      <c r="QMO217" s="1"/>
      <c r="QMP217" s="1"/>
      <c r="QMQ217" s="1"/>
      <c r="QMR217" s="1"/>
      <c r="QMS217" s="1"/>
      <c r="QMT217" s="1"/>
      <c r="QMU217" s="1"/>
      <c r="QMV217" s="1"/>
      <c r="QMW217" s="1"/>
      <c r="QMX217" s="1"/>
      <c r="QMY217" s="1"/>
      <c r="QMZ217" s="1"/>
      <c r="QNA217" s="1"/>
      <c r="QNB217" s="1"/>
      <c r="QNC217" s="1"/>
      <c r="QND217" s="1"/>
      <c r="QNE217" s="1"/>
      <c r="QNF217" s="1"/>
      <c r="QNG217" s="1"/>
      <c r="QNH217" s="1"/>
      <c r="QNI217" s="1"/>
      <c r="QNJ217" s="1"/>
      <c r="QNK217" s="1"/>
      <c r="QNL217" s="1"/>
      <c r="QNM217" s="1"/>
      <c r="QNN217" s="1"/>
      <c r="QNO217" s="1"/>
      <c r="QNP217" s="1"/>
      <c r="QNQ217" s="1"/>
      <c r="QNR217" s="1"/>
      <c r="QNS217" s="1"/>
      <c r="QNT217" s="1"/>
      <c r="QNU217" s="1"/>
      <c r="QNV217" s="1"/>
      <c r="QNW217" s="1"/>
      <c r="QNX217" s="1"/>
      <c r="QNY217" s="1"/>
      <c r="QNZ217" s="1"/>
      <c r="QOA217" s="1"/>
      <c r="QOB217" s="1"/>
      <c r="QOC217" s="1"/>
      <c r="QOD217" s="1"/>
      <c r="QOE217" s="1"/>
      <c r="QOF217" s="1"/>
      <c r="QOG217" s="1"/>
      <c r="QOH217" s="1"/>
      <c r="QOI217" s="1"/>
      <c r="QOJ217" s="1"/>
      <c r="QOK217" s="1"/>
      <c r="QOL217" s="1"/>
      <c r="QOM217" s="1"/>
      <c r="QON217" s="1"/>
      <c r="QOO217" s="1"/>
      <c r="QOP217" s="1"/>
      <c r="QOQ217" s="1"/>
      <c r="QOR217" s="1"/>
      <c r="QOS217" s="1"/>
      <c r="QOT217" s="1"/>
      <c r="QOU217" s="1"/>
      <c r="QOV217" s="1"/>
      <c r="QOW217" s="1"/>
      <c r="QOX217" s="1"/>
      <c r="QOY217" s="1"/>
      <c r="QOZ217" s="1"/>
      <c r="QPA217" s="1"/>
      <c r="QPB217" s="1"/>
      <c r="QPC217" s="1"/>
      <c r="QPD217" s="1"/>
      <c r="QPE217" s="1"/>
      <c r="QPF217" s="1"/>
      <c r="QPG217" s="1"/>
      <c r="QPH217" s="1"/>
      <c r="QPI217" s="1"/>
      <c r="QPJ217" s="1"/>
      <c r="QPK217" s="1"/>
      <c r="QPL217" s="1"/>
      <c r="QPM217" s="1"/>
      <c r="QPN217" s="1"/>
      <c r="QPO217" s="1"/>
      <c r="QPP217" s="1"/>
      <c r="QPQ217" s="1"/>
      <c r="QPR217" s="1"/>
      <c r="QPS217" s="1"/>
      <c r="QPT217" s="1"/>
      <c r="QPU217" s="1"/>
      <c r="QPV217" s="1"/>
      <c r="QPW217" s="1"/>
      <c r="QPX217" s="1"/>
      <c r="QPY217" s="1"/>
      <c r="QPZ217" s="1"/>
      <c r="QQA217" s="1"/>
      <c r="QQB217" s="1"/>
      <c r="QQC217" s="1"/>
      <c r="QQD217" s="1"/>
      <c r="QQE217" s="1"/>
      <c r="QQF217" s="1"/>
      <c r="QQG217" s="1"/>
      <c r="QQH217" s="1"/>
      <c r="QQI217" s="1"/>
      <c r="QQJ217" s="1"/>
      <c r="QQK217" s="1"/>
      <c r="QQL217" s="1"/>
      <c r="QQM217" s="1"/>
      <c r="QQN217" s="1"/>
      <c r="QQO217" s="1"/>
      <c r="QQP217" s="1"/>
      <c r="QQQ217" s="1"/>
      <c r="QQR217" s="1"/>
      <c r="QQS217" s="1"/>
      <c r="QQT217" s="1"/>
      <c r="QQU217" s="1"/>
      <c r="QQV217" s="1"/>
      <c r="QQW217" s="1"/>
      <c r="QQX217" s="1"/>
      <c r="QQY217" s="1"/>
      <c r="QQZ217" s="1"/>
      <c r="QRA217" s="1"/>
      <c r="QRB217" s="1"/>
      <c r="QRC217" s="1"/>
      <c r="QRD217" s="1"/>
      <c r="QRE217" s="1"/>
      <c r="QRF217" s="1"/>
      <c r="QRG217" s="1"/>
      <c r="QRH217" s="1"/>
      <c r="QRI217" s="1"/>
      <c r="QRJ217" s="1"/>
      <c r="QRK217" s="1"/>
      <c r="QRL217" s="1"/>
      <c r="QRM217" s="1"/>
      <c r="QRN217" s="1"/>
      <c r="QRO217" s="1"/>
      <c r="QRP217" s="1"/>
      <c r="QRQ217" s="1"/>
      <c r="QRR217" s="1"/>
      <c r="QRS217" s="1"/>
      <c r="QRT217" s="1"/>
      <c r="QRU217" s="1"/>
      <c r="QRV217" s="1"/>
      <c r="QRW217" s="1"/>
      <c r="QRX217" s="1"/>
      <c r="QRY217" s="1"/>
      <c r="QRZ217" s="1"/>
      <c r="QSA217" s="1"/>
      <c r="QSB217" s="1"/>
      <c r="QSC217" s="1"/>
      <c r="QSD217" s="1"/>
      <c r="QSE217" s="1"/>
      <c r="QSF217" s="1"/>
      <c r="QSG217" s="1"/>
      <c r="QSH217" s="1"/>
      <c r="QSI217" s="1"/>
      <c r="QSJ217" s="1"/>
      <c r="QSK217" s="1"/>
      <c r="QSL217" s="1"/>
      <c r="QSM217" s="1"/>
      <c r="QSN217" s="1"/>
      <c r="QSO217" s="1"/>
      <c r="QSP217" s="1"/>
      <c r="QSQ217" s="1"/>
      <c r="QSR217" s="1"/>
      <c r="QSS217" s="1"/>
      <c r="QST217" s="1"/>
      <c r="QSU217" s="1"/>
      <c r="QSV217" s="1"/>
      <c r="QSW217" s="1"/>
      <c r="QSX217" s="1"/>
      <c r="QSY217" s="1"/>
      <c r="QSZ217" s="1"/>
      <c r="QTA217" s="1"/>
      <c r="QTB217" s="1"/>
      <c r="QTC217" s="1"/>
      <c r="QTD217" s="1"/>
      <c r="QTE217" s="1"/>
      <c r="QTF217" s="1"/>
      <c r="QTG217" s="1"/>
      <c r="QTH217" s="1"/>
      <c r="QTI217" s="1"/>
      <c r="QTJ217" s="1"/>
      <c r="QTK217" s="1"/>
      <c r="QTL217" s="1"/>
      <c r="QTM217" s="1"/>
      <c r="QTN217" s="1"/>
      <c r="QTO217" s="1"/>
      <c r="QTP217" s="1"/>
      <c r="QTQ217" s="1"/>
      <c r="QTR217" s="1"/>
      <c r="QTS217" s="1"/>
      <c r="QTT217" s="1"/>
      <c r="QTU217" s="1"/>
      <c r="QTV217" s="1"/>
      <c r="QTW217" s="1"/>
      <c r="QTX217" s="1"/>
      <c r="QTY217" s="1"/>
      <c r="QTZ217" s="1"/>
      <c r="QUA217" s="1"/>
      <c r="QUB217" s="1"/>
      <c r="QUC217" s="1"/>
      <c r="QUD217" s="1"/>
      <c r="QUE217" s="1"/>
      <c r="QUF217" s="1"/>
      <c r="QUG217" s="1"/>
      <c r="QUH217" s="1"/>
      <c r="QUI217" s="1"/>
      <c r="QUJ217" s="1"/>
      <c r="QUK217" s="1"/>
      <c r="QUL217" s="1"/>
      <c r="QUM217" s="1"/>
      <c r="QUN217" s="1"/>
      <c r="QUO217" s="1"/>
      <c r="QUP217" s="1"/>
      <c r="QUQ217" s="1"/>
      <c r="QUR217" s="1"/>
      <c r="QUS217" s="1"/>
      <c r="QUT217" s="1"/>
      <c r="QUU217" s="1"/>
      <c r="QUV217" s="1"/>
      <c r="QUW217" s="1"/>
      <c r="QUX217" s="1"/>
      <c r="QUY217" s="1"/>
      <c r="QUZ217" s="1"/>
      <c r="QVA217" s="1"/>
      <c r="QVB217" s="1"/>
      <c r="QVC217" s="1"/>
      <c r="QVD217" s="1"/>
      <c r="QVE217" s="1"/>
      <c r="QVF217" s="1"/>
      <c r="QVG217" s="1"/>
      <c r="QVH217" s="1"/>
      <c r="QVI217" s="1"/>
      <c r="QVJ217" s="1"/>
      <c r="QVK217" s="1"/>
      <c r="QVL217" s="1"/>
      <c r="QVM217" s="1"/>
      <c r="QVN217" s="1"/>
      <c r="QVO217" s="1"/>
      <c r="QVP217" s="1"/>
      <c r="QVQ217" s="1"/>
      <c r="QVR217" s="1"/>
      <c r="QVS217" s="1"/>
      <c r="QVT217" s="1"/>
      <c r="QVU217" s="1"/>
      <c r="QVV217" s="1"/>
      <c r="QVW217" s="1"/>
      <c r="QVX217" s="1"/>
      <c r="QVY217" s="1"/>
      <c r="QVZ217" s="1"/>
      <c r="QWA217" s="1"/>
      <c r="QWB217" s="1"/>
      <c r="QWC217" s="1"/>
      <c r="QWD217" s="1"/>
      <c r="QWE217" s="1"/>
      <c r="QWF217" s="1"/>
      <c r="QWG217" s="1"/>
      <c r="QWH217" s="1"/>
      <c r="QWI217" s="1"/>
      <c r="QWJ217" s="1"/>
      <c r="QWK217" s="1"/>
      <c r="QWL217" s="1"/>
      <c r="QWM217" s="1"/>
      <c r="QWN217" s="1"/>
      <c r="QWO217" s="1"/>
      <c r="QWP217" s="1"/>
      <c r="QWQ217" s="1"/>
      <c r="QWR217" s="1"/>
      <c r="QWS217" s="1"/>
      <c r="QWT217" s="1"/>
      <c r="QWU217" s="1"/>
      <c r="QWV217" s="1"/>
      <c r="QWW217" s="1"/>
      <c r="QWX217" s="1"/>
      <c r="QWY217" s="1"/>
      <c r="QWZ217" s="1"/>
      <c r="QXA217" s="1"/>
      <c r="QXB217" s="1"/>
      <c r="QXC217" s="1"/>
      <c r="QXD217" s="1"/>
      <c r="QXE217" s="1"/>
      <c r="QXF217" s="1"/>
      <c r="QXG217" s="1"/>
      <c r="QXH217" s="1"/>
      <c r="QXI217" s="1"/>
      <c r="QXJ217" s="1"/>
      <c r="QXK217" s="1"/>
      <c r="QXL217" s="1"/>
      <c r="QXM217" s="1"/>
      <c r="QXN217" s="1"/>
      <c r="QXO217" s="1"/>
      <c r="QXP217" s="1"/>
      <c r="QXQ217" s="1"/>
      <c r="QXR217" s="1"/>
      <c r="QXS217" s="1"/>
      <c r="QXT217" s="1"/>
      <c r="QXU217" s="1"/>
      <c r="QXV217" s="1"/>
      <c r="QXW217" s="1"/>
      <c r="QXX217" s="1"/>
      <c r="QXY217" s="1"/>
      <c r="QXZ217" s="1"/>
      <c r="QYA217" s="1"/>
      <c r="QYB217" s="1"/>
      <c r="QYC217" s="1"/>
      <c r="QYD217" s="1"/>
      <c r="QYE217" s="1"/>
      <c r="QYF217" s="1"/>
      <c r="QYG217" s="1"/>
      <c r="QYH217" s="1"/>
      <c r="QYI217" s="1"/>
      <c r="QYJ217" s="1"/>
      <c r="QYK217" s="1"/>
      <c r="QYL217" s="1"/>
      <c r="QYM217" s="1"/>
      <c r="QYN217" s="1"/>
      <c r="QYO217" s="1"/>
      <c r="QYP217" s="1"/>
      <c r="QYQ217" s="1"/>
      <c r="QYR217" s="1"/>
      <c r="QYS217" s="1"/>
      <c r="QYT217" s="1"/>
      <c r="QYU217" s="1"/>
      <c r="QYV217" s="1"/>
      <c r="QYW217" s="1"/>
      <c r="QYX217" s="1"/>
      <c r="QYY217" s="1"/>
      <c r="QYZ217" s="1"/>
      <c r="QZA217" s="1"/>
      <c r="QZB217" s="1"/>
      <c r="QZC217" s="1"/>
      <c r="QZD217" s="1"/>
      <c r="QZE217" s="1"/>
      <c r="QZF217" s="1"/>
      <c r="QZG217" s="1"/>
      <c r="QZH217" s="1"/>
      <c r="QZI217" s="1"/>
      <c r="QZJ217" s="1"/>
      <c r="QZK217" s="1"/>
      <c r="QZL217" s="1"/>
      <c r="QZM217" s="1"/>
      <c r="QZN217" s="1"/>
      <c r="QZO217" s="1"/>
      <c r="QZP217" s="1"/>
      <c r="QZQ217" s="1"/>
      <c r="QZR217" s="1"/>
      <c r="QZS217" s="1"/>
      <c r="QZT217" s="1"/>
      <c r="QZU217" s="1"/>
      <c r="QZV217" s="1"/>
      <c r="QZW217" s="1"/>
      <c r="QZX217" s="1"/>
      <c r="QZY217" s="1"/>
      <c r="QZZ217" s="1"/>
      <c r="RAA217" s="1"/>
      <c r="RAB217" s="1"/>
      <c r="RAC217" s="1"/>
      <c r="RAD217" s="1"/>
      <c r="RAE217" s="1"/>
      <c r="RAF217" s="1"/>
      <c r="RAG217" s="1"/>
      <c r="RAH217" s="1"/>
      <c r="RAI217" s="1"/>
      <c r="RAJ217" s="1"/>
      <c r="RAK217" s="1"/>
      <c r="RAL217" s="1"/>
      <c r="RAM217" s="1"/>
      <c r="RAN217" s="1"/>
      <c r="RAO217" s="1"/>
      <c r="RAP217" s="1"/>
      <c r="RAQ217" s="1"/>
      <c r="RAR217" s="1"/>
      <c r="RAS217" s="1"/>
      <c r="RAT217" s="1"/>
      <c r="RAU217" s="1"/>
      <c r="RAV217" s="1"/>
      <c r="RAW217" s="1"/>
      <c r="RAX217" s="1"/>
      <c r="RAY217" s="1"/>
      <c r="RAZ217" s="1"/>
      <c r="RBA217" s="1"/>
      <c r="RBB217" s="1"/>
      <c r="RBC217" s="1"/>
      <c r="RBD217" s="1"/>
      <c r="RBE217" s="1"/>
      <c r="RBF217" s="1"/>
      <c r="RBG217" s="1"/>
      <c r="RBH217" s="1"/>
      <c r="RBI217" s="1"/>
      <c r="RBJ217" s="1"/>
      <c r="RBK217" s="1"/>
      <c r="RBL217" s="1"/>
      <c r="RBM217" s="1"/>
      <c r="RBN217" s="1"/>
      <c r="RBO217" s="1"/>
      <c r="RBP217" s="1"/>
      <c r="RBQ217" s="1"/>
      <c r="RBR217" s="1"/>
      <c r="RBS217" s="1"/>
      <c r="RBT217" s="1"/>
      <c r="RBU217" s="1"/>
      <c r="RBV217" s="1"/>
      <c r="RBW217" s="1"/>
      <c r="RBX217" s="1"/>
      <c r="RBY217" s="1"/>
      <c r="RBZ217" s="1"/>
      <c r="RCA217" s="1"/>
      <c r="RCB217" s="1"/>
      <c r="RCC217" s="1"/>
      <c r="RCD217" s="1"/>
      <c r="RCE217" s="1"/>
      <c r="RCF217" s="1"/>
      <c r="RCG217" s="1"/>
      <c r="RCH217" s="1"/>
      <c r="RCI217" s="1"/>
      <c r="RCJ217" s="1"/>
      <c r="RCK217" s="1"/>
      <c r="RCL217" s="1"/>
      <c r="RCM217" s="1"/>
      <c r="RCN217" s="1"/>
      <c r="RCO217" s="1"/>
      <c r="RCP217" s="1"/>
      <c r="RCQ217" s="1"/>
      <c r="RCR217" s="1"/>
      <c r="RCS217" s="1"/>
      <c r="RCT217" s="1"/>
      <c r="RCU217" s="1"/>
      <c r="RCV217" s="1"/>
      <c r="RCW217" s="1"/>
      <c r="RCX217" s="1"/>
      <c r="RCY217" s="1"/>
      <c r="RCZ217" s="1"/>
      <c r="RDA217" s="1"/>
      <c r="RDB217" s="1"/>
      <c r="RDC217" s="1"/>
      <c r="RDD217" s="1"/>
      <c r="RDE217" s="1"/>
      <c r="RDF217" s="1"/>
      <c r="RDG217" s="1"/>
      <c r="RDH217" s="1"/>
      <c r="RDI217" s="1"/>
      <c r="RDJ217" s="1"/>
      <c r="RDK217" s="1"/>
      <c r="RDL217" s="1"/>
      <c r="RDM217" s="1"/>
      <c r="RDN217" s="1"/>
      <c r="RDO217" s="1"/>
      <c r="RDP217" s="1"/>
      <c r="RDQ217" s="1"/>
      <c r="RDR217" s="1"/>
      <c r="RDS217" s="1"/>
      <c r="RDT217" s="1"/>
      <c r="RDU217" s="1"/>
      <c r="RDV217" s="1"/>
      <c r="RDW217" s="1"/>
      <c r="RDX217" s="1"/>
      <c r="RDY217" s="1"/>
      <c r="RDZ217" s="1"/>
      <c r="REA217" s="1"/>
      <c r="REB217" s="1"/>
      <c r="REC217" s="1"/>
      <c r="RED217" s="1"/>
      <c r="REE217" s="1"/>
      <c r="REF217" s="1"/>
      <c r="REG217" s="1"/>
      <c r="REH217" s="1"/>
      <c r="REI217" s="1"/>
      <c r="REJ217" s="1"/>
      <c r="REK217" s="1"/>
      <c r="REL217" s="1"/>
      <c r="REM217" s="1"/>
      <c r="REN217" s="1"/>
      <c r="REO217" s="1"/>
      <c r="REP217" s="1"/>
      <c r="REQ217" s="1"/>
      <c r="RER217" s="1"/>
      <c r="RES217" s="1"/>
      <c r="RET217" s="1"/>
      <c r="REU217" s="1"/>
      <c r="REV217" s="1"/>
      <c r="REW217" s="1"/>
      <c r="REX217" s="1"/>
      <c r="REY217" s="1"/>
      <c r="REZ217" s="1"/>
      <c r="RFA217" s="1"/>
      <c r="RFB217" s="1"/>
      <c r="RFC217" s="1"/>
      <c r="RFD217" s="1"/>
      <c r="RFE217" s="1"/>
      <c r="RFF217" s="1"/>
      <c r="RFG217" s="1"/>
      <c r="RFH217" s="1"/>
      <c r="RFI217" s="1"/>
      <c r="RFJ217" s="1"/>
      <c r="RFK217" s="1"/>
      <c r="RFL217" s="1"/>
      <c r="RFM217" s="1"/>
      <c r="RFN217" s="1"/>
      <c r="RFO217" s="1"/>
      <c r="RFP217" s="1"/>
      <c r="RFQ217" s="1"/>
      <c r="RFR217" s="1"/>
      <c r="RFS217" s="1"/>
      <c r="RFT217" s="1"/>
      <c r="RFU217" s="1"/>
      <c r="RFV217" s="1"/>
      <c r="RFW217" s="1"/>
      <c r="RFX217" s="1"/>
      <c r="RFY217" s="1"/>
      <c r="RFZ217" s="1"/>
      <c r="RGA217" s="1"/>
      <c r="RGB217" s="1"/>
      <c r="RGC217" s="1"/>
      <c r="RGD217" s="1"/>
      <c r="RGE217" s="1"/>
      <c r="RGF217" s="1"/>
      <c r="RGG217" s="1"/>
      <c r="RGH217" s="1"/>
      <c r="RGI217" s="1"/>
      <c r="RGJ217" s="1"/>
      <c r="RGK217" s="1"/>
      <c r="RGL217" s="1"/>
      <c r="RGM217" s="1"/>
      <c r="RGN217" s="1"/>
      <c r="RGO217" s="1"/>
      <c r="RGP217" s="1"/>
      <c r="RGQ217" s="1"/>
      <c r="RGR217" s="1"/>
      <c r="RGS217" s="1"/>
      <c r="RGT217" s="1"/>
      <c r="RGU217" s="1"/>
      <c r="RGV217" s="1"/>
      <c r="RGW217" s="1"/>
      <c r="RGX217" s="1"/>
      <c r="RGY217" s="1"/>
      <c r="RGZ217" s="1"/>
      <c r="RHA217" s="1"/>
      <c r="RHB217" s="1"/>
      <c r="RHC217" s="1"/>
      <c r="RHD217" s="1"/>
      <c r="RHE217" s="1"/>
      <c r="RHF217" s="1"/>
      <c r="RHG217" s="1"/>
      <c r="RHH217" s="1"/>
      <c r="RHI217" s="1"/>
      <c r="RHJ217" s="1"/>
      <c r="RHK217" s="1"/>
      <c r="RHL217" s="1"/>
      <c r="RHM217" s="1"/>
      <c r="RHN217" s="1"/>
      <c r="RHO217" s="1"/>
      <c r="RHP217" s="1"/>
      <c r="RHQ217" s="1"/>
      <c r="RHR217" s="1"/>
      <c r="RHS217" s="1"/>
      <c r="RHT217" s="1"/>
      <c r="RHU217" s="1"/>
      <c r="RHV217" s="1"/>
      <c r="RHW217" s="1"/>
      <c r="RHX217" s="1"/>
      <c r="RHY217" s="1"/>
      <c r="RHZ217" s="1"/>
      <c r="RIA217" s="1"/>
      <c r="RIB217" s="1"/>
      <c r="RIC217" s="1"/>
      <c r="RID217" s="1"/>
      <c r="RIE217" s="1"/>
      <c r="RIF217" s="1"/>
      <c r="RIG217" s="1"/>
      <c r="RIH217" s="1"/>
      <c r="RII217" s="1"/>
      <c r="RIJ217" s="1"/>
      <c r="RIK217" s="1"/>
      <c r="RIL217" s="1"/>
      <c r="RIM217" s="1"/>
      <c r="RIN217" s="1"/>
      <c r="RIO217" s="1"/>
      <c r="RIP217" s="1"/>
      <c r="RIQ217" s="1"/>
      <c r="RIR217" s="1"/>
      <c r="RIS217" s="1"/>
      <c r="RIT217" s="1"/>
      <c r="RIU217" s="1"/>
      <c r="RIV217" s="1"/>
      <c r="RIW217" s="1"/>
      <c r="RIX217" s="1"/>
      <c r="RIY217" s="1"/>
      <c r="RIZ217" s="1"/>
      <c r="RJA217" s="1"/>
      <c r="RJB217" s="1"/>
      <c r="RJC217" s="1"/>
      <c r="RJD217" s="1"/>
      <c r="RJE217" s="1"/>
      <c r="RJF217" s="1"/>
      <c r="RJG217" s="1"/>
      <c r="RJH217" s="1"/>
      <c r="RJI217" s="1"/>
      <c r="RJJ217" s="1"/>
      <c r="RJK217" s="1"/>
      <c r="RJL217" s="1"/>
      <c r="RJM217" s="1"/>
      <c r="RJN217" s="1"/>
      <c r="RJO217" s="1"/>
      <c r="RJP217" s="1"/>
      <c r="RJQ217" s="1"/>
      <c r="RJR217" s="1"/>
      <c r="RJS217" s="1"/>
      <c r="RJT217" s="1"/>
      <c r="RJU217" s="1"/>
      <c r="RJV217" s="1"/>
      <c r="RJW217" s="1"/>
      <c r="RJX217" s="1"/>
      <c r="RJY217" s="1"/>
      <c r="RJZ217" s="1"/>
      <c r="RKA217" s="1"/>
      <c r="RKB217" s="1"/>
      <c r="RKC217" s="1"/>
      <c r="RKD217" s="1"/>
      <c r="RKE217" s="1"/>
      <c r="RKF217" s="1"/>
      <c r="RKG217" s="1"/>
      <c r="RKH217" s="1"/>
      <c r="RKI217" s="1"/>
      <c r="RKJ217" s="1"/>
      <c r="RKK217" s="1"/>
      <c r="RKL217" s="1"/>
      <c r="RKM217" s="1"/>
      <c r="RKN217" s="1"/>
      <c r="RKO217" s="1"/>
      <c r="RKP217" s="1"/>
      <c r="RKQ217" s="1"/>
      <c r="RKR217" s="1"/>
      <c r="RKS217" s="1"/>
      <c r="RKT217" s="1"/>
      <c r="RKU217" s="1"/>
      <c r="RKV217" s="1"/>
      <c r="RKW217" s="1"/>
      <c r="RKX217" s="1"/>
      <c r="RKY217" s="1"/>
      <c r="RKZ217" s="1"/>
      <c r="RLA217" s="1"/>
      <c r="RLB217" s="1"/>
      <c r="RLC217" s="1"/>
      <c r="RLD217" s="1"/>
      <c r="RLE217" s="1"/>
      <c r="RLF217" s="1"/>
      <c r="RLG217" s="1"/>
      <c r="RLH217" s="1"/>
      <c r="RLI217" s="1"/>
      <c r="RLJ217" s="1"/>
      <c r="RLK217" s="1"/>
      <c r="RLL217" s="1"/>
      <c r="RLM217" s="1"/>
      <c r="RLN217" s="1"/>
      <c r="RLO217" s="1"/>
      <c r="RLP217" s="1"/>
      <c r="RLQ217" s="1"/>
      <c r="RLR217" s="1"/>
      <c r="RLS217" s="1"/>
      <c r="RLT217" s="1"/>
      <c r="RLU217" s="1"/>
      <c r="RLV217" s="1"/>
      <c r="RLW217" s="1"/>
      <c r="RLX217" s="1"/>
      <c r="RLY217" s="1"/>
      <c r="RLZ217" s="1"/>
      <c r="RMA217" s="1"/>
      <c r="RMB217" s="1"/>
      <c r="RMC217" s="1"/>
      <c r="RMD217" s="1"/>
      <c r="RME217" s="1"/>
      <c r="RMF217" s="1"/>
      <c r="RMG217" s="1"/>
      <c r="RMH217" s="1"/>
      <c r="RMI217" s="1"/>
      <c r="RMJ217" s="1"/>
      <c r="RMK217" s="1"/>
      <c r="RML217" s="1"/>
      <c r="RMM217" s="1"/>
      <c r="RMN217" s="1"/>
      <c r="RMO217" s="1"/>
      <c r="RMP217" s="1"/>
      <c r="RMQ217" s="1"/>
      <c r="RMR217" s="1"/>
      <c r="RMS217" s="1"/>
      <c r="RMT217" s="1"/>
      <c r="RMU217" s="1"/>
      <c r="RMV217" s="1"/>
      <c r="RMW217" s="1"/>
      <c r="RMX217" s="1"/>
      <c r="RMY217" s="1"/>
      <c r="RMZ217" s="1"/>
      <c r="RNA217" s="1"/>
      <c r="RNB217" s="1"/>
      <c r="RNC217" s="1"/>
      <c r="RND217" s="1"/>
      <c r="RNE217" s="1"/>
      <c r="RNF217" s="1"/>
      <c r="RNG217" s="1"/>
      <c r="RNH217" s="1"/>
      <c r="RNI217" s="1"/>
      <c r="RNJ217" s="1"/>
      <c r="RNK217" s="1"/>
      <c r="RNL217" s="1"/>
      <c r="RNM217" s="1"/>
      <c r="RNN217" s="1"/>
      <c r="RNO217" s="1"/>
      <c r="RNP217" s="1"/>
      <c r="RNQ217" s="1"/>
      <c r="RNR217" s="1"/>
      <c r="RNS217" s="1"/>
      <c r="RNT217" s="1"/>
      <c r="RNU217" s="1"/>
      <c r="RNV217" s="1"/>
      <c r="RNW217" s="1"/>
      <c r="RNX217" s="1"/>
      <c r="RNY217" s="1"/>
      <c r="RNZ217" s="1"/>
      <c r="ROA217" s="1"/>
      <c r="ROB217" s="1"/>
      <c r="ROC217" s="1"/>
      <c r="ROD217" s="1"/>
      <c r="ROE217" s="1"/>
      <c r="ROF217" s="1"/>
      <c r="ROG217" s="1"/>
      <c r="ROH217" s="1"/>
      <c r="ROI217" s="1"/>
      <c r="ROJ217" s="1"/>
      <c r="ROK217" s="1"/>
      <c r="ROL217" s="1"/>
      <c r="ROM217" s="1"/>
      <c r="RON217" s="1"/>
      <c r="ROO217" s="1"/>
      <c r="ROP217" s="1"/>
      <c r="ROQ217" s="1"/>
      <c r="ROR217" s="1"/>
      <c r="ROS217" s="1"/>
      <c r="ROT217" s="1"/>
      <c r="ROU217" s="1"/>
      <c r="ROV217" s="1"/>
      <c r="ROW217" s="1"/>
      <c r="ROX217" s="1"/>
      <c r="ROY217" s="1"/>
      <c r="ROZ217" s="1"/>
      <c r="RPA217" s="1"/>
      <c r="RPB217" s="1"/>
      <c r="RPC217" s="1"/>
      <c r="RPD217" s="1"/>
      <c r="RPE217" s="1"/>
      <c r="RPF217" s="1"/>
      <c r="RPG217" s="1"/>
      <c r="RPH217" s="1"/>
      <c r="RPI217" s="1"/>
      <c r="RPJ217" s="1"/>
      <c r="RPK217" s="1"/>
      <c r="RPL217" s="1"/>
      <c r="RPM217" s="1"/>
      <c r="RPN217" s="1"/>
      <c r="RPO217" s="1"/>
      <c r="RPP217" s="1"/>
      <c r="RPQ217" s="1"/>
      <c r="RPR217" s="1"/>
      <c r="RPS217" s="1"/>
      <c r="RPT217" s="1"/>
      <c r="RPU217" s="1"/>
      <c r="RPV217" s="1"/>
      <c r="RPW217" s="1"/>
      <c r="RPX217" s="1"/>
      <c r="RPY217" s="1"/>
      <c r="RPZ217" s="1"/>
      <c r="RQA217" s="1"/>
      <c r="RQB217" s="1"/>
      <c r="RQC217" s="1"/>
      <c r="RQD217" s="1"/>
      <c r="RQE217" s="1"/>
      <c r="RQF217" s="1"/>
      <c r="RQG217" s="1"/>
      <c r="RQH217" s="1"/>
      <c r="RQI217" s="1"/>
      <c r="RQJ217" s="1"/>
      <c r="RQK217" s="1"/>
      <c r="RQL217" s="1"/>
      <c r="RQM217" s="1"/>
      <c r="RQN217" s="1"/>
      <c r="RQO217" s="1"/>
      <c r="RQP217" s="1"/>
      <c r="RQQ217" s="1"/>
      <c r="RQR217" s="1"/>
      <c r="RQS217" s="1"/>
      <c r="RQT217" s="1"/>
      <c r="RQU217" s="1"/>
      <c r="RQV217" s="1"/>
      <c r="RQW217" s="1"/>
      <c r="RQX217" s="1"/>
      <c r="RQY217" s="1"/>
      <c r="RQZ217" s="1"/>
      <c r="RRA217" s="1"/>
      <c r="RRB217" s="1"/>
      <c r="RRC217" s="1"/>
      <c r="RRD217" s="1"/>
      <c r="RRE217" s="1"/>
      <c r="RRF217" s="1"/>
      <c r="RRG217" s="1"/>
      <c r="RRH217" s="1"/>
      <c r="RRI217" s="1"/>
      <c r="RRJ217" s="1"/>
      <c r="RRK217" s="1"/>
      <c r="RRL217" s="1"/>
      <c r="RRM217" s="1"/>
      <c r="RRN217" s="1"/>
      <c r="RRO217" s="1"/>
      <c r="RRP217" s="1"/>
      <c r="RRQ217" s="1"/>
      <c r="RRR217" s="1"/>
      <c r="RRS217" s="1"/>
      <c r="RRT217" s="1"/>
      <c r="RRU217" s="1"/>
      <c r="RRV217" s="1"/>
      <c r="RRW217" s="1"/>
      <c r="RRX217" s="1"/>
      <c r="RRY217" s="1"/>
      <c r="RRZ217" s="1"/>
      <c r="RSA217" s="1"/>
      <c r="RSB217" s="1"/>
      <c r="RSC217" s="1"/>
      <c r="RSD217" s="1"/>
      <c r="RSE217" s="1"/>
      <c r="RSF217" s="1"/>
      <c r="RSG217" s="1"/>
      <c r="RSH217" s="1"/>
      <c r="RSI217" s="1"/>
      <c r="RSJ217" s="1"/>
      <c r="RSK217" s="1"/>
      <c r="RSL217" s="1"/>
      <c r="RSM217" s="1"/>
      <c r="RSN217" s="1"/>
      <c r="RSO217" s="1"/>
      <c r="RSP217" s="1"/>
      <c r="RSQ217" s="1"/>
      <c r="RSR217" s="1"/>
      <c r="RSS217" s="1"/>
      <c r="RST217" s="1"/>
      <c r="RSU217" s="1"/>
      <c r="RSV217" s="1"/>
      <c r="RSW217" s="1"/>
      <c r="RSX217" s="1"/>
      <c r="RSY217" s="1"/>
      <c r="RSZ217" s="1"/>
      <c r="RTA217" s="1"/>
      <c r="RTB217" s="1"/>
      <c r="RTC217" s="1"/>
      <c r="RTD217" s="1"/>
      <c r="RTE217" s="1"/>
      <c r="RTF217" s="1"/>
      <c r="RTG217" s="1"/>
      <c r="RTH217" s="1"/>
      <c r="RTI217" s="1"/>
      <c r="RTJ217" s="1"/>
      <c r="RTK217" s="1"/>
      <c r="RTL217" s="1"/>
      <c r="RTM217" s="1"/>
      <c r="RTN217" s="1"/>
      <c r="RTO217" s="1"/>
      <c r="RTP217" s="1"/>
      <c r="RTQ217" s="1"/>
      <c r="RTR217" s="1"/>
      <c r="RTS217" s="1"/>
      <c r="RTT217" s="1"/>
      <c r="RTU217" s="1"/>
      <c r="RTV217" s="1"/>
      <c r="RTW217" s="1"/>
      <c r="RTX217" s="1"/>
      <c r="RTY217" s="1"/>
      <c r="RTZ217" s="1"/>
      <c r="RUA217" s="1"/>
      <c r="RUB217" s="1"/>
      <c r="RUC217" s="1"/>
      <c r="RUD217" s="1"/>
      <c r="RUE217" s="1"/>
      <c r="RUF217" s="1"/>
      <c r="RUG217" s="1"/>
      <c r="RUH217" s="1"/>
      <c r="RUI217" s="1"/>
      <c r="RUJ217" s="1"/>
      <c r="RUK217" s="1"/>
      <c r="RUL217" s="1"/>
      <c r="RUM217" s="1"/>
      <c r="RUN217" s="1"/>
      <c r="RUO217" s="1"/>
      <c r="RUP217" s="1"/>
      <c r="RUQ217" s="1"/>
      <c r="RUR217" s="1"/>
      <c r="RUS217" s="1"/>
      <c r="RUT217" s="1"/>
      <c r="RUU217" s="1"/>
      <c r="RUV217" s="1"/>
      <c r="RUW217" s="1"/>
      <c r="RUX217" s="1"/>
      <c r="RUY217" s="1"/>
      <c r="RUZ217" s="1"/>
      <c r="RVA217" s="1"/>
      <c r="RVB217" s="1"/>
      <c r="RVC217" s="1"/>
      <c r="RVD217" s="1"/>
      <c r="RVE217" s="1"/>
      <c r="RVF217" s="1"/>
      <c r="RVG217" s="1"/>
      <c r="RVH217" s="1"/>
      <c r="RVI217" s="1"/>
      <c r="RVJ217" s="1"/>
      <c r="RVK217" s="1"/>
      <c r="RVL217" s="1"/>
      <c r="RVM217" s="1"/>
      <c r="RVN217" s="1"/>
      <c r="RVO217" s="1"/>
      <c r="RVP217" s="1"/>
      <c r="RVQ217" s="1"/>
      <c r="RVR217" s="1"/>
      <c r="RVS217" s="1"/>
      <c r="RVT217" s="1"/>
      <c r="RVU217" s="1"/>
      <c r="RVV217" s="1"/>
      <c r="RVW217" s="1"/>
      <c r="RVX217" s="1"/>
      <c r="RVY217" s="1"/>
      <c r="RVZ217" s="1"/>
      <c r="RWA217" s="1"/>
      <c r="RWB217" s="1"/>
      <c r="RWC217" s="1"/>
      <c r="RWD217" s="1"/>
      <c r="RWE217" s="1"/>
      <c r="RWF217" s="1"/>
      <c r="RWG217" s="1"/>
      <c r="RWH217" s="1"/>
      <c r="RWI217" s="1"/>
      <c r="RWJ217" s="1"/>
      <c r="RWK217" s="1"/>
      <c r="RWL217" s="1"/>
      <c r="RWM217" s="1"/>
      <c r="RWN217" s="1"/>
      <c r="RWO217" s="1"/>
      <c r="RWP217" s="1"/>
      <c r="RWQ217" s="1"/>
      <c r="RWR217" s="1"/>
      <c r="RWS217" s="1"/>
      <c r="RWT217" s="1"/>
      <c r="RWU217" s="1"/>
      <c r="RWV217" s="1"/>
      <c r="RWW217" s="1"/>
      <c r="RWX217" s="1"/>
      <c r="RWY217" s="1"/>
      <c r="RWZ217" s="1"/>
      <c r="RXA217" s="1"/>
      <c r="RXB217" s="1"/>
      <c r="RXC217" s="1"/>
      <c r="RXD217" s="1"/>
      <c r="RXE217" s="1"/>
      <c r="RXF217" s="1"/>
      <c r="RXG217" s="1"/>
      <c r="RXH217" s="1"/>
      <c r="RXI217" s="1"/>
      <c r="RXJ217" s="1"/>
      <c r="RXK217" s="1"/>
      <c r="RXL217" s="1"/>
      <c r="RXM217" s="1"/>
      <c r="RXN217" s="1"/>
      <c r="RXO217" s="1"/>
      <c r="RXP217" s="1"/>
      <c r="RXQ217" s="1"/>
      <c r="RXR217" s="1"/>
      <c r="RXS217" s="1"/>
      <c r="RXT217" s="1"/>
      <c r="RXU217" s="1"/>
      <c r="RXV217" s="1"/>
      <c r="RXW217" s="1"/>
      <c r="RXX217" s="1"/>
      <c r="RXY217" s="1"/>
      <c r="RXZ217" s="1"/>
      <c r="RYA217" s="1"/>
      <c r="RYB217" s="1"/>
      <c r="RYC217" s="1"/>
      <c r="RYD217" s="1"/>
      <c r="RYE217" s="1"/>
      <c r="RYF217" s="1"/>
      <c r="RYG217" s="1"/>
      <c r="RYH217" s="1"/>
      <c r="RYI217" s="1"/>
      <c r="RYJ217" s="1"/>
      <c r="RYK217" s="1"/>
      <c r="RYL217" s="1"/>
      <c r="RYM217" s="1"/>
      <c r="RYN217" s="1"/>
      <c r="RYO217" s="1"/>
      <c r="RYP217" s="1"/>
      <c r="RYQ217" s="1"/>
      <c r="RYR217" s="1"/>
      <c r="RYS217" s="1"/>
      <c r="RYT217" s="1"/>
      <c r="RYU217" s="1"/>
      <c r="RYV217" s="1"/>
      <c r="RYW217" s="1"/>
      <c r="RYX217" s="1"/>
      <c r="RYY217" s="1"/>
      <c r="RYZ217" s="1"/>
      <c r="RZA217" s="1"/>
      <c r="RZB217" s="1"/>
      <c r="RZC217" s="1"/>
      <c r="RZD217" s="1"/>
      <c r="RZE217" s="1"/>
      <c r="RZF217" s="1"/>
      <c r="RZG217" s="1"/>
      <c r="RZH217" s="1"/>
      <c r="RZI217" s="1"/>
      <c r="RZJ217" s="1"/>
      <c r="RZK217" s="1"/>
      <c r="RZL217" s="1"/>
      <c r="RZM217" s="1"/>
      <c r="RZN217" s="1"/>
      <c r="RZO217" s="1"/>
      <c r="RZP217" s="1"/>
      <c r="RZQ217" s="1"/>
      <c r="RZR217" s="1"/>
      <c r="RZS217" s="1"/>
      <c r="RZT217" s="1"/>
      <c r="RZU217" s="1"/>
      <c r="RZV217" s="1"/>
      <c r="RZW217" s="1"/>
      <c r="RZX217" s="1"/>
      <c r="RZY217" s="1"/>
      <c r="RZZ217" s="1"/>
      <c r="SAA217" s="1"/>
      <c r="SAB217" s="1"/>
      <c r="SAC217" s="1"/>
      <c r="SAD217" s="1"/>
      <c r="SAE217" s="1"/>
      <c r="SAF217" s="1"/>
      <c r="SAG217" s="1"/>
      <c r="SAH217" s="1"/>
      <c r="SAI217" s="1"/>
      <c r="SAJ217" s="1"/>
      <c r="SAK217" s="1"/>
      <c r="SAL217" s="1"/>
      <c r="SAM217" s="1"/>
      <c r="SAN217" s="1"/>
      <c r="SAO217" s="1"/>
      <c r="SAP217" s="1"/>
      <c r="SAQ217" s="1"/>
      <c r="SAR217" s="1"/>
      <c r="SAS217" s="1"/>
      <c r="SAT217" s="1"/>
      <c r="SAU217" s="1"/>
      <c r="SAV217" s="1"/>
      <c r="SAW217" s="1"/>
      <c r="SAX217" s="1"/>
      <c r="SAY217" s="1"/>
      <c r="SAZ217" s="1"/>
      <c r="SBA217" s="1"/>
      <c r="SBB217" s="1"/>
      <c r="SBC217" s="1"/>
      <c r="SBD217" s="1"/>
      <c r="SBE217" s="1"/>
      <c r="SBF217" s="1"/>
      <c r="SBG217" s="1"/>
      <c r="SBH217" s="1"/>
      <c r="SBI217" s="1"/>
      <c r="SBJ217" s="1"/>
      <c r="SBK217" s="1"/>
      <c r="SBL217" s="1"/>
      <c r="SBM217" s="1"/>
      <c r="SBN217" s="1"/>
      <c r="SBO217" s="1"/>
      <c r="SBP217" s="1"/>
      <c r="SBQ217" s="1"/>
      <c r="SBR217" s="1"/>
      <c r="SBS217" s="1"/>
      <c r="SBT217" s="1"/>
      <c r="SBU217" s="1"/>
      <c r="SBV217" s="1"/>
      <c r="SBW217" s="1"/>
      <c r="SBX217" s="1"/>
      <c r="SBY217" s="1"/>
      <c r="SBZ217" s="1"/>
      <c r="SCA217" s="1"/>
      <c r="SCB217" s="1"/>
      <c r="SCC217" s="1"/>
      <c r="SCD217" s="1"/>
      <c r="SCE217" s="1"/>
      <c r="SCF217" s="1"/>
      <c r="SCG217" s="1"/>
      <c r="SCH217" s="1"/>
      <c r="SCI217" s="1"/>
      <c r="SCJ217" s="1"/>
      <c r="SCK217" s="1"/>
      <c r="SCL217" s="1"/>
      <c r="SCM217" s="1"/>
      <c r="SCN217" s="1"/>
      <c r="SCO217" s="1"/>
      <c r="SCP217" s="1"/>
      <c r="SCQ217" s="1"/>
      <c r="SCR217" s="1"/>
      <c r="SCS217" s="1"/>
      <c r="SCT217" s="1"/>
      <c r="SCU217" s="1"/>
      <c r="SCV217" s="1"/>
      <c r="SCW217" s="1"/>
      <c r="SCX217" s="1"/>
      <c r="SCY217" s="1"/>
      <c r="SCZ217" s="1"/>
      <c r="SDA217" s="1"/>
      <c r="SDB217" s="1"/>
      <c r="SDC217" s="1"/>
      <c r="SDD217" s="1"/>
      <c r="SDE217" s="1"/>
      <c r="SDF217" s="1"/>
      <c r="SDG217" s="1"/>
      <c r="SDH217" s="1"/>
      <c r="SDI217" s="1"/>
      <c r="SDJ217" s="1"/>
      <c r="SDK217" s="1"/>
      <c r="SDL217" s="1"/>
      <c r="SDM217" s="1"/>
      <c r="SDN217" s="1"/>
      <c r="SDO217" s="1"/>
      <c r="SDP217" s="1"/>
      <c r="SDQ217" s="1"/>
      <c r="SDR217" s="1"/>
      <c r="SDS217" s="1"/>
      <c r="SDT217" s="1"/>
      <c r="SDU217" s="1"/>
      <c r="SDV217" s="1"/>
      <c r="SDW217" s="1"/>
      <c r="SDX217" s="1"/>
      <c r="SDY217" s="1"/>
      <c r="SDZ217" s="1"/>
      <c r="SEA217" s="1"/>
      <c r="SEB217" s="1"/>
      <c r="SEC217" s="1"/>
      <c r="SED217" s="1"/>
      <c r="SEE217" s="1"/>
      <c r="SEF217" s="1"/>
      <c r="SEG217" s="1"/>
      <c r="SEH217" s="1"/>
      <c r="SEI217" s="1"/>
      <c r="SEJ217" s="1"/>
      <c r="SEK217" s="1"/>
      <c r="SEL217" s="1"/>
      <c r="SEM217" s="1"/>
      <c r="SEN217" s="1"/>
      <c r="SEO217" s="1"/>
      <c r="SEP217" s="1"/>
      <c r="SEQ217" s="1"/>
      <c r="SER217" s="1"/>
      <c r="SES217" s="1"/>
      <c r="SET217" s="1"/>
      <c r="SEU217" s="1"/>
      <c r="SEV217" s="1"/>
      <c r="SEW217" s="1"/>
      <c r="SEX217" s="1"/>
      <c r="SEY217" s="1"/>
      <c r="SEZ217" s="1"/>
      <c r="SFA217" s="1"/>
      <c r="SFB217" s="1"/>
      <c r="SFC217" s="1"/>
      <c r="SFD217" s="1"/>
      <c r="SFE217" s="1"/>
      <c r="SFF217" s="1"/>
      <c r="SFG217" s="1"/>
      <c r="SFH217" s="1"/>
      <c r="SFI217" s="1"/>
      <c r="SFJ217" s="1"/>
      <c r="SFK217" s="1"/>
      <c r="SFL217" s="1"/>
      <c r="SFM217" s="1"/>
      <c r="SFN217" s="1"/>
      <c r="SFO217" s="1"/>
      <c r="SFP217" s="1"/>
      <c r="SFQ217" s="1"/>
      <c r="SFR217" s="1"/>
      <c r="SFS217" s="1"/>
      <c r="SFT217" s="1"/>
      <c r="SFU217" s="1"/>
      <c r="SFV217" s="1"/>
      <c r="SFW217" s="1"/>
      <c r="SFX217" s="1"/>
      <c r="SFY217" s="1"/>
      <c r="SFZ217" s="1"/>
      <c r="SGA217" s="1"/>
      <c r="SGB217" s="1"/>
      <c r="SGC217" s="1"/>
      <c r="SGD217" s="1"/>
      <c r="SGE217" s="1"/>
      <c r="SGF217" s="1"/>
      <c r="SGG217" s="1"/>
      <c r="SGH217" s="1"/>
      <c r="SGI217" s="1"/>
      <c r="SGJ217" s="1"/>
      <c r="SGK217" s="1"/>
      <c r="SGL217" s="1"/>
      <c r="SGM217" s="1"/>
      <c r="SGN217" s="1"/>
      <c r="SGO217" s="1"/>
      <c r="SGP217" s="1"/>
      <c r="SGQ217" s="1"/>
      <c r="SGR217" s="1"/>
      <c r="SGS217" s="1"/>
      <c r="SGT217" s="1"/>
      <c r="SGU217" s="1"/>
      <c r="SGV217" s="1"/>
      <c r="SGW217" s="1"/>
      <c r="SGX217" s="1"/>
      <c r="SGY217" s="1"/>
      <c r="SGZ217" s="1"/>
      <c r="SHA217" s="1"/>
      <c r="SHB217" s="1"/>
      <c r="SHC217" s="1"/>
      <c r="SHD217" s="1"/>
      <c r="SHE217" s="1"/>
      <c r="SHF217" s="1"/>
      <c r="SHG217" s="1"/>
      <c r="SHH217" s="1"/>
      <c r="SHI217" s="1"/>
      <c r="SHJ217" s="1"/>
      <c r="SHK217" s="1"/>
      <c r="SHL217" s="1"/>
      <c r="SHM217" s="1"/>
      <c r="SHN217" s="1"/>
      <c r="SHO217" s="1"/>
      <c r="SHP217" s="1"/>
      <c r="SHQ217" s="1"/>
      <c r="SHR217" s="1"/>
      <c r="SHS217" s="1"/>
      <c r="SHT217" s="1"/>
      <c r="SHU217" s="1"/>
      <c r="SHV217" s="1"/>
      <c r="SHW217" s="1"/>
      <c r="SHX217" s="1"/>
      <c r="SHY217" s="1"/>
      <c r="SHZ217" s="1"/>
      <c r="SIA217" s="1"/>
      <c r="SIB217" s="1"/>
      <c r="SIC217" s="1"/>
      <c r="SID217" s="1"/>
      <c r="SIE217" s="1"/>
      <c r="SIF217" s="1"/>
      <c r="SIG217" s="1"/>
      <c r="SIH217" s="1"/>
      <c r="SII217" s="1"/>
      <c r="SIJ217" s="1"/>
      <c r="SIK217" s="1"/>
      <c r="SIL217" s="1"/>
      <c r="SIM217" s="1"/>
      <c r="SIN217" s="1"/>
      <c r="SIO217" s="1"/>
      <c r="SIP217" s="1"/>
      <c r="SIQ217" s="1"/>
      <c r="SIR217" s="1"/>
      <c r="SIS217" s="1"/>
      <c r="SIT217" s="1"/>
      <c r="SIU217" s="1"/>
      <c r="SIV217" s="1"/>
      <c r="SIW217" s="1"/>
      <c r="SIX217" s="1"/>
      <c r="SIY217" s="1"/>
      <c r="SIZ217" s="1"/>
      <c r="SJA217" s="1"/>
      <c r="SJB217" s="1"/>
      <c r="SJC217" s="1"/>
      <c r="SJD217" s="1"/>
      <c r="SJE217" s="1"/>
      <c r="SJF217" s="1"/>
      <c r="SJG217" s="1"/>
      <c r="SJH217" s="1"/>
      <c r="SJI217" s="1"/>
      <c r="SJJ217" s="1"/>
      <c r="SJK217" s="1"/>
      <c r="SJL217" s="1"/>
      <c r="SJM217" s="1"/>
      <c r="SJN217" s="1"/>
      <c r="SJO217" s="1"/>
      <c r="SJP217" s="1"/>
      <c r="SJQ217" s="1"/>
      <c r="SJR217" s="1"/>
      <c r="SJS217" s="1"/>
      <c r="SJT217" s="1"/>
      <c r="SJU217" s="1"/>
      <c r="SJV217" s="1"/>
      <c r="SJW217" s="1"/>
      <c r="SJX217" s="1"/>
      <c r="SJY217" s="1"/>
      <c r="SJZ217" s="1"/>
      <c r="SKA217" s="1"/>
      <c r="SKB217" s="1"/>
      <c r="SKC217" s="1"/>
      <c r="SKD217" s="1"/>
      <c r="SKE217" s="1"/>
      <c r="SKF217" s="1"/>
      <c r="SKG217" s="1"/>
      <c r="SKH217" s="1"/>
      <c r="SKI217" s="1"/>
      <c r="SKJ217" s="1"/>
      <c r="SKK217" s="1"/>
      <c r="SKL217" s="1"/>
      <c r="SKM217" s="1"/>
      <c r="SKN217" s="1"/>
      <c r="SKO217" s="1"/>
      <c r="SKP217" s="1"/>
      <c r="SKQ217" s="1"/>
      <c r="SKR217" s="1"/>
      <c r="SKS217" s="1"/>
      <c r="SKT217" s="1"/>
      <c r="SKU217" s="1"/>
      <c r="SKV217" s="1"/>
      <c r="SKW217" s="1"/>
      <c r="SKX217" s="1"/>
      <c r="SKY217" s="1"/>
      <c r="SKZ217" s="1"/>
      <c r="SLA217" s="1"/>
      <c r="SLB217" s="1"/>
      <c r="SLC217" s="1"/>
      <c r="SLD217" s="1"/>
      <c r="SLE217" s="1"/>
      <c r="SLF217" s="1"/>
      <c r="SLG217" s="1"/>
      <c r="SLH217" s="1"/>
      <c r="SLI217" s="1"/>
      <c r="SLJ217" s="1"/>
      <c r="SLK217" s="1"/>
      <c r="SLL217" s="1"/>
      <c r="SLM217" s="1"/>
      <c r="SLN217" s="1"/>
      <c r="SLO217" s="1"/>
      <c r="SLP217" s="1"/>
      <c r="SLQ217" s="1"/>
      <c r="SLR217" s="1"/>
      <c r="SLS217" s="1"/>
      <c r="SLT217" s="1"/>
      <c r="SLU217" s="1"/>
      <c r="SLV217" s="1"/>
      <c r="SLW217" s="1"/>
      <c r="SLX217" s="1"/>
      <c r="SLY217" s="1"/>
      <c r="SLZ217" s="1"/>
      <c r="SMA217" s="1"/>
      <c r="SMB217" s="1"/>
      <c r="SMC217" s="1"/>
      <c r="SMD217" s="1"/>
      <c r="SME217" s="1"/>
      <c r="SMF217" s="1"/>
      <c r="SMG217" s="1"/>
      <c r="SMH217" s="1"/>
      <c r="SMI217" s="1"/>
      <c r="SMJ217" s="1"/>
      <c r="SMK217" s="1"/>
      <c r="SML217" s="1"/>
      <c r="SMM217" s="1"/>
      <c r="SMN217" s="1"/>
      <c r="SMO217" s="1"/>
      <c r="SMP217" s="1"/>
      <c r="SMQ217" s="1"/>
      <c r="SMR217" s="1"/>
      <c r="SMS217" s="1"/>
      <c r="SMT217" s="1"/>
      <c r="SMU217" s="1"/>
      <c r="SMV217" s="1"/>
      <c r="SMW217" s="1"/>
      <c r="SMX217" s="1"/>
      <c r="SMY217" s="1"/>
      <c r="SMZ217" s="1"/>
      <c r="SNA217" s="1"/>
      <c r="SNB217" s="1"/>
      <c r="SNC217" s="1"/>
      <c r="SND217" s="1"/>
      <c r="SNE217" s="1"/>
      <c r="SNF217" s="1"/>
      <c r="SNG217" s="1"/>
      <c r="SNH217" s="1"/>
      <c r="SNI217" s="1"/>
      <c r="SNJ217" s="1"/>
      <c r="SNK217" s="1"/>
      <c r="SNL217" s="1"/>
      <c r="SNM217" s="1"/>
      <c r="SNN217" s="1"/>
      <c r="SNO217" s="1"/>
      <c r="SNP217" s="1"/>
      <c r="SNQ217" s="1"/>
      <c r="SNR217" s="1"/>
      <c r="SNS217" s="1"/>
      <c r="SNT217" s="1"/>
      <c r="SNU217" s="1"/>
      <c r="SNV217" s="1"/>
      <c r="SNW217" s="1"/>
      <c r="SNX217" s="1"/>
      <c r="SNY217" s="1"/>
      <c r="SNZ217" s="1"/>
      <c r="SOA217" s="1"/>
      <c r="SOB217" s="1"/>
      <c r="SOC217" s="1"/>
      <c r="SOD217" s="1"/>
      <c r="SOE217" s="1"/>
      <c r="SOF217" s="1"/>
      <c r="SOG217" s="1"/>
      <c r="SOH217" s="1"/>
      <c r="SOI217" s="1"/>
      <c r="SOJ217" s="1"/>
      <c r="SOK217" s="1"/>
      <c r="SOL217" s="1"/>
      <c r="SOM217" s="1"/>
      <c r="SON217" s="1"/>
      <c r="SOO217" s="1"/>
      <c r="SOP217" s="1"/>
      <c r="SOQ217" s="1"/>
      <c r="SOR217" s="1"/>
      <c r="SOS217" s="1"/>
      <c r="SOT217" s="1"/>
      <c r="SOU217" s="1"/>
      <c r="SOV217" s="1"/>
      <c r="SOW217" s="1"/>
      <c r="SOX217" s="1"/>
      <c r="SOY217" s="1"/>
      <c r="SOZ217" s="1"/>
      <c r="SPA217" s="1"/>
      <c r="SPB217" s="1"/>
      <c r="SPC217" s="1"/>
      <c r="SPD217" s="1"/>
      <c r="SPE217" s="1"/>
      <c r="SPF217" s="1"/>
      <c r="SPG217" s="1"/>
      <c r="SPH217" s="1"/>
      <c r="SPI217" s="1"/>
      <c r="SPJ217" s="1"/>
      <c r="SPK217" s="1"/>
      <c r="SPL217" s="1"/>
      <c r="SPM217" s="1"/>
      <c r="SPN217" s="1"/>
      <c r="SPO217" s="1"/>
      <c r="SPP217" s="1"/>
      <c r="SPQ217" s="1"/>
      <c r="SPR217" s="1"/>
      <c r="SPS217" s="1"/>
      <c r="SPT217" s="1"/>
      <c r="SPU217" s="1"/>
      <c r="SPV217" s="1"/>
      <c r="SPW217" s="1"/>
      <c r="SPX217" s="1"/>
      <c r="SPY217" s="1"/>
      <c r="SPZ217" s="1"/>
      <c r="SQA217" s="1"/>
      <c r="SQB217" s="1"/>
      <c r="SQC217" s="1"/>
      <c r="SQD217" s="1"/>
      <c r="SQE217" s="1"/>
      <c r="SQF217" s="1"/>
      <c r="SQG217" s="1"/>
      <c r="SQH217" s="1"/>
      <c r="SQI217" s="1"/>
      <c r="SQJ217" s="1"/>
      <c r="SQK217" s="1"/>
      <c r="SQL217" s="1"/>
      <c r="SQM217" s="1"/>
      <c r="SQN217" s="1"/>
      <c r="SQO217" s="1"/>
      <c r="SQP217" s="1"/>
      <c r="SQQ217" s="1"/>
      <c r="SQR217" s="1"/>
      <c r="SQS217" s="1"/>
      <c r="SQT217" s="1"/>
      <c r="SQU217" s="1"/>
      <c r="SQV217" s="1"/>
      <c r="SQW217" s="1"/>
      <c r="SQX217" s="1"/>
      <c r="SQY217" s="1"/>
      <c r="SQZ217" s="1"/>
      <c r="SRA217" s="1"/>
      <c r="SRB217" s="1"/>
      <c r="SRC217" s="1"/>
      <c r="SRD217" s="1"/>
      <c r="SRE217" s="1"/>
      <c r="SRF217" s="1"/>
      <c r="SRG217" s="1"/>
      <c r="SRH217" s="1"/>
      <c r="SRI217" s="1"/>
      <c r="SRJ217" s="1"/>
      <c r="SRK217" s="1"/>
      <c r="SRL217" s="1"/>
      <c r="SRM217" s="1"/>
      <c r="SRN217" s="1"/>
      <c r="SRO217" s="1"/>
      <c r="SRP217" s="1"/>
      <c r="SRQ217" s="1"/>
      <c r="SRR217" s="1"/>
      <c r="SRS217" s="1"/>
      <c r="SRT217" s="1"/>
      <c r="SRU217" s="1"/>
      <c r="SRV217" s="1"/>
      <c r="SRW217" s="1"/>
      <c r="SRX217" s="1"/>
      <c r="SRY217" s="1"/>
      <c r="SRZ217" s="1"/>
      <c r="SSA217" s="1"/>
      <c r="SSB217" s="1"/>
      <c r="SSC217" s="1"/>
      <c r="SSD217" s="1"/>
      <c r="SSE217" s="1"/>
      <c r="SSF217" s="1"/>
      <c r="SSG217" s="1"/>
      <c r="SSH217" s="1"/>
      <c r="SSI217" s="1"/>
      <c r="SSJ217" s="1"/>
      <c r="SSK217" s="1"/>
      <c r="SSL217" s="1"/>
      <c r="SSM217" s="1"/>
      <c r="SSN217" s="1"/>
      <c r="SSO217" s="1"/>
      <c r="SSP217" s="1"/>
      <c r="SSQ217" s="1"/>
      <c r="SSR217" s="1"/>
      <c r="SSS217" s="1"/>
      <c r="SST217" s="1"/>
      <c r="SSU217" s="1"/>
      <c r="SSV217" s="1"/>
      <c r="SSW217" s="1"/>
      <c r="SSX217" s="1"/>
      <c r="SSY217" s="1"/>
      <c r="SSZ217" s="1"/>
      <c r="STA217" s="1"/>
      <c r="STB217" s="1"/>
      <c r="STC217" s="1"/>
      <c r="STD217" s="1"/>
      <c r="STE217" s="1"/>
      <c r="STF217" s="1"/>
      <c r="STG217" s="1"/>
      <c r="STH217" s="1"/>
      <c r="STI217" s="1"/>
      <c r="STJ217" s="1"/>
      <c r="STK217" s="1"/>
      <c r="STL217" s="1"/>
      <c r="STM217" s="1"/>
      <c r="STN217" s="1"/>
      <c r="STO217" s="1"/>
      <c r="STP217" s="1"/>
      <c r="STQ217" s="1"/>
      <c r="STR217" s="1"/>
      <c r="STS217" s="1"/>
      <c r="STT217" s="1"/>
      <c r="STU217" s="1"/>
      <c r="STV217" s="1"/>
      <c r="STW217" s="1"/>
      <c r="STX217" s="1"/>
      <c r="STY217" s="1"/>
      <c r="STZ217" s="1"/>
      <c r="SUA217" s="1"/>
      <c r="SUB217" s="1"/>
      <c r="SUC217" s="1"/>
      <c r="SUD217" s="1"/>
      <c r="SUE217" s="1"/>
      <c r="SUF217" s="1"/>
      <c r="SUG217" s="1"/>
      <c r="SUH217" s="1"/>
      <c r="SUI217" s="1"/>
      <c r="SUJ217" s="1"/>
      <c r="SUK217" s="1"/>
      <c r="SUL217" s="1"/>
      <c r="SUM217" s="1"/>
      <c r="SUN217" s="1"/>
      <c r="SUO217" s="1"/>
      <c r="SUP217" s="1"/>
      <c r="SUQ217" s="1"/>
      <c r="SUR217" s="1"/>
      <c r="SUS217" s="1"/>
      <c r="SUT217" s="1"/>
      <c r="SUU217" s="1"/>
      <c r="SUV217" s="1"/>
      <c r="SUW217" s="1"/>
      <c r="SUX217" s="1"/>
      <c r="SUY217" s="1"/>
      <c r="SUZ217" s="1"/>
      <c r="SVA217" s="1"/>
      <c r="SVB217" s="1"/>
      <c r="SVC217" s="1"/>
      <c r="SVD217" s="1"/>
      <c r="SVE217" s="1"/>
      <c r="SVF217" s="1"/>
      <c r="SVG217" s="1"/>
      <c r="SVH217" s="1"/>
      <c r="SVI217" s="1"/>
      <c r="SVJ217" s="1"/>
      <c r="SVK217" s="1"/>
      <c r="SVL217" s="1"/>
      <c r="SVM217" s="1"/>
      <c r="SVN217" s="1"/>
      <c r="SVO217" s="1"/>
      <c r="SVP217" s="1"/>
      <c r="SVQ217" s="1"/>
      <c r="SVR217" s="1"/>
      <c r="SVS217" s="1"/>
      <c r="SVT217" s="1"/>
      <c r="SVU217" s="1"/>
      <c r="SVV217" s="1"/>
      <c r="SVW217" s="1"/>
      <c r="SVX217" s="1"/>
      <c r="SVY217" s="1"/>
      <c r="SVZ217" s="1"/>
      <c r="SWA217" s="1"/>
      <c r="SWB217" s="1"/>
      <c r="SWC217" s="1"/>
      <c r="SWD217" s="1"/>
      <c r="SWE217" s="1"/>
      <c r="SWF217" s="1"/>
      <c r="SWG217" s="1"/>
      <c r="SWH217" s="1"/>
      <c r="SWI217" s="1"/>
      <c r="SWJ217" s="1"/>
      <c r="SWK217" s="1"/>
      <c r="SWL217" s="1"/>
      <c r="SWM217" s="1"/>
      <c r="SWN217" s="1"/>
      <c r="SWO217" s="1"/>
      <c r="SWP217" s="1"/>
      <c r="SWQ217" s="1"/>
      <c r="SWR217" s="1"/>
      <c r="SWS217" s="1"/>
      <c r="SWT217" s="1"/>
      <c r="SWU217" s="1"/>
      <c r="SWV217" s="1"/>
      <c r="SWW217" s="1"/>
      <c r="SWX217" s="1"/>
      <c r="SWY217" s="1"/>
      <c r="SWZ217" s="1"/>
      <c r="SXA217" s="1"/>
      <c r="SXB217" s="1"/>
      <c r="SXC217" s="1"/>
      <c r="SXD217" s="1"/>
      <c r="SXE217" s="1"/>
      <c r="SXF217" s="1"/>
      <c r="SXG217" s="1"/>
      <c r="SXH217" s="1"/>
      <c r="SXI217" s="1"/>
      <c r="SXJ217" s="1"/>
      <c r="SXK217" s="1"/>
      <c r="SXL217" s="1"/>
      <c r="SXM217" s="1"/>
      <c r="SXN217" s="1"/>
      <c r="SXO217" s="1"/>
      <c r="SXP217" s="1"/>
      <c r="SXQ217" s="1"/>
      <c r="SXR217" s="1"/>
      <c r="SXS217" s="1"/>
      <c r="SXT217" s="1"/>
      <c r="SXU217" s="1"/>
      <c r="SXV217" s="1"/>
      <c r="SXW217" s="1"/>
      <c r="SXX217" s="1"/>
      <c r="SXY217" s="1"/>
      <c r="SXZ217" s="1"/>
      <c r="SYA217" s="1"/>
      <c r="SYB217" s="1"/>
      <c r="SYC217" s="1"/>
      <c r="SYD217" s="1"/>
      <c r="SYE217" s="1"/>
      <c r="SYF217" s="1"/>
      <c r="SYG217" s="1"/>
      <c r="SYH217" s="1"/>
      <c r="SYI217" s="1"/>
      <c r="SYJ217" s="1"/>
      <c r="SYK217" s="1"/>
      <c r="SYL217" s="1"/>
      <c r="SYM217" s="1"/>
      <c r="SYN217" s="1"/>
      <c r="SYO217" s="1"/>
      <c r="SYP217" s="1"/>
      <c r="SYQ217" s="1"/>
      <c r="SYR217" s="1"/>
      <c r="SYS217" s="1"/>
      <c r="SYT217" s="1"/>
      <c r="SYU217" s="1"/>
      <c r="SYV217" s="1"/>
      <c r="SYW217" s="1"/>
      <c r="SYX217" s="1"/>
      <c r="SYY217" s="1"/>
      <c r="SYZ217" s="1"/>
      <c r="SZA217" s="1"/>
      <c r="SZB217" s="1"/>
      <c r="SZC217" s="1"/>
      <c r="SZD217" s="1"/>
      <c r="SZE217" s="1"/>
      <c r="SZF217" s="1"/>
      <c r="SZG217" s="1"/>
      <c r="SZH217" s="1"/>
      <c r="SZI217" s="1"/>
      <c r="SZJ217" s="1"/>
      <c r="SZK217" s="1"/>
      <c r="SZL217" s="1"/>
      <c r="SZM217" s="1"/>
      <c r="SZN217" s="1"/>
      <c r="SZO217" s="1"/>
      <c r="SZP217" s="1"/>
      <c r="SZQ217" s="1"/>
      <c r="SZR217" s="1"/>
      <c r="SZS217" s="1"/>
      <c r="SZT217" s="1"/>
      <c r="SZU217" s="1"/>
      <c r="SZV217" s="1"/>
      <c r="SZW217" s="1"/>
      <c r="SZX217" s="1"/>
      <c r="SZY217" s="1"/>
      <c r="SZZ217" s="1"/>
      <c r="TAA217" s="1"/>
      <c r="TAB217" s="1"/>
      <c r="TAC217" s="1"/>
      <c r="TAD217" s="1"/>
      <c r="TAE217" s="1"/>
      <c r="TAF217" s="1"/>
      <c r="TAG217" s="1"/>
      <c r="TAH217" s="1"/>
      <c r="TAI217" s="1"/>
      <c r="TAJ217" s="1"/>
      <c r="TAK217" s="1"/>
      <c r="TAL217" s="1"/>
      <c r="TAM217" s="1"/>
      <c r="TAN217" s="1"/>
      <c r="TAO217" s="1"/>
      <c r="TAP217" s="1"/>
      <c r="TAQ217" s="1"/>
      <c r="TAR217" s="1"/>
      <c r="TAS217" s="1"/>
      <c r="TAT217" s="1"/>
      <c r="TAU217" s="1"/>
      <c r="TAV217" s="1"/>
      <c r="TAW217" s="1"/>
      <c r="TAX217" s="1"/>
      <c r="TAY217" s="1"/>
      <c r="TAZ217" s="1"/>
      <c r="TBA217" s="1"/>
      <c r="TBB217" s="1"/>
      <c r="TBC217" s="1"/>
      <c r="TBD217" s="1"/>
      <c r="TBE217" s="1"/>
      <c r="TBF217" s="1"/>
      <c r="TBG217" s="1"/>
      <c r="TBH217" s="1"/>
      <c r="TBI217" s="1"/>
      <c r="TBJ217" s="1"/>
      <c r="TBK217" s="1"/>
      <c r="TBL217" s="1"/>
      <c r="TBM217" s="1"/>
      <c r="TBN217" s="1"/>
      <c r="TBO217" s="1"/>
      <c r="TBP217" s="1"/>
      <c r="TBQ217" s="1"/>
      <c r="TBR217" s="1"/>
      <c r="TBS217" s="1"/>
      <c r="TBT217" s="1"/>
      <c r="TBU217" s="1"/>
      <c r="TBV217" s="1"/>
      <c r="TBW217" s="1"/>
      <c r="TBX217" s="1"/>
      <c r="TBY217" s="1"/>
      <c r="TBZ217" s="1"/>
      <c r="TCA217" s="1"/>
      <c r="TCB217" s="1"/>
      <c r="TCC217" s="1"/>
      <c r="TCD217" s="1"/>
      <c r="TCE217" s="1"/>
      <c r="TCF217" s="1"/>
      <c r="TCG217" s="1"/>
      <c r="TCH217" s="1"/>
      <c r="TCI217" s="1"/>
      <c r="TCJ217" s="1"/>
      <c r="TCK217" s="1"/>
      <c r="TCL217" s="1"/>
      <c r="TCM217" s="1"/>
      <c r="TCN217" s="1"/>
      <c r="TCO217" s="1"/>
      <c r="TCP217" s="1"/>
      <c r="TCQ217" s="1"/>
      <c r="TCR217" s="1"/>
      <c r="TCS217" s="1"/>
      <c r="TCT217" s="1"/>
      <c r="TCU217" s="1"/>
      <c r="TCV217" s="1"/>
      <c r="TCW217" s="1"/>
      <c r="TCX217" s="1"/>
      <c r="TCY217" s="1"/>
      <c r="TCZ217" s="1"/>
      <c r="TDA217" s="1"/>
      <c r="TDB217" s="1"/>
      <c r="TDC217" s="1"/>
      <c r="TDD217" s="1"/>
      <c r="TDE217" s="1"/>
      <c r="TDF217" s="1"/>
      <c r="TDG217" s="1"/>
      <c r="TDH217" s="1"/>
      <c r="TDI217" s="1"/>
      <c r="TDJ217" s="1"/>
      <c r="TDK217" s="1"/>
      <c r="TDL217" s="1"/>
      <c r="TDM217" s="1"/>
      <c r="TDN217" s="1"/>
      <c r="TDO217" s="1"/>
      <c r="TDP217" s="1"/>
      <c r="TDQ217" s="1"/>
      <c r="TDR217" s="1"/>
      <c r="TDS217" s="1"/>
      <c r="TDT217" s="1"/>
      <c r="TDU217" s="1"/>
      <c r="TDV217" s="1"/>
      <c r="TDW217" s="1"/>
      <c r="TDX217" s="1"/>
      <c r="TDY217" s="1"/>
      <c r="TDZ217" s="1"/>
      <c r="TEA217" s="1"/>
      <c r="TEB217" s="1"/>
      <c r="TEC217" s="1"/>
      <c r="TED217" s="1"/>
      <c r="TEE217" s="1"/>
      <c r="TEF217" s="1"/>
      <c r="TEG217" s="1"/>
      <c r="TEH217" s="1"/>
      <c r="TEI217" s="1"/>
      <c r="TEJ217" s="1"/>
      <c r="TEK217" s="1"/>
      <c r="TEL217" s="1"/>
      <c r="TEM217" s="1"/>
      <c r="TEN217" s="1"/>
      <c r="TEO217" s="1"/>
      <c r="TEP217" s="1"/>
      <c r="TEQ217" s="1"/>
      <c r="TER217" s="1"/>
      <c r="TES217" s="1"/>
      <c r="TET217" s="1"/>
      <c r="TEU217" s="1"/>
      <c r="TEV217" s="1"/>
      <c r="TEW217" s="1"/>
      <c r="TEX217" s="1"/>
      <c r="TEY217" s="1"/>
      <c r="TEZ217" s="1"/>
      <c r="TFA217" s="1"/>
      <c r="TFB217" s="1"/>
      <c r="TFC217" s="1"/>
      <c r="TFD217" s="1"/>
      <c r="TFE217" s="1"/>
      <c r="TFF217" s="1"/>
      <c r="TFG217" s="1"/>
      <c r="TFH217" s="1"/>
      <c r="TFI217" s="1"/>
      <c r="TFJ217" s="1"/>
      <c r="TFK217" s="1"/>
      <c r="TFL217" s="1"/>
      <c r="TFM217" s="1"/>
      <c r="TFN217" s="1"/>
      <c r="TFO217" s="1"/>
      <c r="TFP217" s="1"/>
      <c r="TFQ217" s="1"/>
      <c r="TFR217" s="1"/>
      <c r="TFS217" s="1"/>
      <c r="TFT217" s="1"/>
      <c r="TFU217" s="1"/>
      <c r="TFV217" s="1"/>
      <c r="TFW217" s="1"/>
      <c r="TFX217" s="1"/>
      <c r="TFY217" s="1"/>
      <c r="TFZ217" s="1"/>
      <c r="TGA217" s="1"/>
      <c r="TGB217" s="1"/>
      <c r="TGC217" s="1"/>
      <c r="TGD217" s="1"/>
      <c r="TGE217" s="1"/>
      <c r="TGF217" s="1"/>
      <c r="TGG217" s="1"/>
      <c r="TGH217" s="1"/>
      <c r="TGI217" s="1"/>
      <c r="TGJ217" s="1"/>
      <c r="TGK217" s="1"/>
      <c r="TGL217" s="1"/>
      <c r="TGM217" s="1"/>
      <c r="TGN217" s="1"/>
      <c r="TGO217" s="1"/>
      <c r="TGP217" s="1"/>
      <c r="TGQ217" s="1"/>
      <c r="TGR217" s="1"/>
      <c r="TGS217" s="1"/>
      <c r="TGT217" s="1"/>
      <c r="TGU217" s="1"/>
      <c r="TGV217" s="1"/>
      <c r="TGW217" s="1"/>
      <c r="TGX217" s="1"/>
      <c r="TGY217" s="1"/>
      <c r="TGZ217" s="1"/>
      <c r="THA217" s="1"/>
      <c r="THB217" s="1"/>
      <c r="THC217" s="1"/>
      <c r="THD217" s="1"/>
      <c r="THE217" s="1"/>
      <c r="THF217" s="1"/>
      <c r="THG217" s="1"/>
      <c r="THH217" s="1"/>
      <c r="THI217" s="1"/>
      <c r="THJ217" s="1"/>
      <c r="THK217" s="1"/>
      <c r="THL217" s="1"/>
      <c r="THM217" s="1"/>
      <c r="THN217" s="1"/>
      <c r="THO217" s="1"/>
      <c r="THP217" s="1"/>
      <c r="THQ217" s="1"/>
      <c r="THR217" s="1"/>
      <c r="THS217" s="1"/>
      <c r="THT217" s="1"/>
      <c r="THU217" s="1"/>
      <c r="THV217" s="1"/>
      <c r="THW217" s="1"/>
      <c r="THX217" s="1"/>
      <c r="THY217" s="1"/>
      <c r="THZ217" s="1"/>
      <c r="TIA217" s="1"/>
      <c r="TIB217" s="1"/>
      <c r="TIC217" s="1"/>
      <c r="TID217" s="1"/>
      <c r="TIE217" s="1"/>
      <c r="TIF217" s="1"/>
      <c r="TIG217" s="1"/>
      <c r="TIH217" s="1"/>
      <c r="TII217" s="1"/>
      <c r="TIJ217" s="1"/>
      <c r="TIK217" s="1"/>
      <c r="TIL217" s="1"/>
      <c r="TIM217" s="1"/>
      <c r="TIN217" s="1"/>
      <c r="TIO217" s="1"/>
      <c r="TIP217" s="1"/>
      <c r="TIQ217" s="1"/>
      <c r="TIR217" s="1"/>
      <c r="TIS217" s="1"/>
      <c r="TIT217" s="1"/>
      <c r="TIU217" s="1"/>
      <c r="TIV217" s="1"/>
      <c r="TIW217" s="1"/>
      <c r="TIX217" s="1"/>
      <c r="TIY217" s="1"/>
      <c r="TIZ217" s="1"/>
      <c r="TJA217" s="1"/>
      <c r="TJB217" s="1"/>
      <c r="TJC217" s="1"/>
      <c r="TJD217" s="1"/>
      <c r="TJE217" s="1"/>
      <c r="TJF217" s="1"/>
      <c r="TJG217" s="1"/>
      <c r="TJH217" s="1"/>
      <c r="TJI217" s="1"/>
      <c r="TJJ217" s="1"/>
      <c r="TJK217" s="1"/>
      <c r="TJL217" s="1"/>
      <c r="TJM217" s="1"/>
      <c r="TJN217" s="1"/>
      <c r="TJO217" s="1"/>
      <c r="TJP217" s="1"/>
      <c r="TJQ217" s="1"/>
      <c r="TJR217" s="1"/>
      <c r="TJS217" s="1"/>
      <c r="TJT217" s="1"/>
      <c r="TJU217" s="1"/>
      <c r="TJV217" s="1"/>
      <c r="TJW217" s="1"/>
      <c r="TJX217" s="1"/>
      <c r="TJY217" s="1"/>
      <c r="TJZ217" s="1"/>
      <c r="TKA217" s="1"/>
      <c r="TKB217" s="1"/>
      <c r="TKC217" s="1"/>
      <c r="TKD217" s="1"/>
      <c r="TKE217" s="1"/>
      <c r="TKF217" s="1"/>
      <c r="TKG217" s="1"/>
      <c r="TKH217" s="1"/>
      <c r="TKI217" s="1"/>
      <c r="TKJ217" s="1"/>
      <c r="TKK217" s="1"/>
      <c r="TKL217" s="1"/>
      <c r="TKM217" s="1"/>
      <c r="TKN217" s="1"/>
      <c r="TKO217" s="1"/>
      <c r="TKP217" s="1"/>
      <c r="TKQ217" s="1"/>
      <c r="TKR217" s="1"/>
      <c r="TKS217" s="1"/>
      <c r="TKT217" s="1"/>
      <c r="TKU217" s="1"/>
      <c r="TKV217" s="1"/>
      <c r="TKW217" s="1"/>
      <c r="TKX217" s="1"/>
      <c r="TKY217" s="1"/>
      <c r="TKZ217" s="1"/>
      <c r="TLA217" s="1"/>
      <c r="TLB217" s="1"/>
      <c r="TLC217" s="1"/>
      <c r="TLD217" s="1"/>
      <c r="TLE217" s="1"/>
      <c r="TLF217" s="1"/>
      <c r="TLG217" s="1"/>
      <c r="TLH217" s="1"/>
      <c r="TLI217" s="1"/>
      <c r="TLJ217" s="1"/>
      <c r="TLK217" s="1"/>
      <c r="TLL217" s="1"/>
      <c r="TLM217" s="1"/>
      <c r="TLN217" s="1"/>
      <c r="TLO217" s="1"/>
      <c r="TLP217" s="1"/>
      <c r="TLQ217" s="1"/>
      <c r="TLR217" s="1"/>
      <c r="TLS217" s="1"/>
      <c r="TLT217" s="1"/>
      <c r="TLU217" s="1"/>
      <c r="TLV217" s="1"/>
      <c r="TLW217" s="1"/>
      <c r="TLX217" s="1"/>
      <c r="TLY217" s="1"/>
      <c r="TLZ217" s="1"/>
      <c r="TMA217" s="1"/>
      <c r="TMB217" s="1"/>
      <c r="TMC217" s="1"/>
      <c r="TMD217" s="1"/>
      <c r="TME217" s="1"/>
      <c r="TMF217" s="1"/>
      <c r="TMG217" s="1"/>
      <c r="TMH217" s="1"/>
      <c r="TMI217" s="1"/>
      <c r="TMJ217" s="1"/>
      <c r="TMK217" s="1"/>
      <c r="TML217" s="1"/>
      <c r="TMM217" s="1"/>
      <c r="TMN217" s="1"/>
      <c r="TMO217" s="1"/>
      <c r="TMP217" s="1"/>
      <c r="TMQ217" s="1"/>
      <c r="TMR217" s="1"/>
      <c r="TMS217" s="1"/>
      <c r="TMT217" s="1"/>
      <c r="TMU217" s="1"/>
      <c r="TMV217" s="1"/>
      <c r="TMW217" s="1"/>
      <c r="TMX217" s="1"/>
      <c r="TMY217" s="1"/>
      <c r="TMZ217" s="1"/>
      <c r="TNA217" s="1"/>
      <c r="TNB217" s="1"/>
      <c r="TNC217" s="1"/>
      <c r="TND217" s="1"/>
      <c r="TNE217" s="1"/>
      <c r="TNF217" s="1"/>
      <c r="TNG217" s="1"/>
      <c r="TNH217" s="1"/>
      <c r="TNI217" s="1"/>
      <c r="TNJ217" s="1"/>
      <c r="TNK217" s="1"/>
      <c r="TNL217" s="1"/>
      <c r="TNM217" s="1"/>
      <c r="TNN217" s="1"/>
      <c r="TNO217" s="1"/>
      <c r="TNP217" s="1"/>
      <c r="TNQ217" s="1"/>
      <c r="TNR217" s="1"/>
      <c r="TNS217" s="1"/>
      <c r="TNT217" s="1"/>
      <c r="TNU217" s="1"/>
      <c r="TNV217" s="1"/>
      <c r="TNW217" s="1"/>
      <c r="TNX217" s="1"/>
      <c r="TNY217" s="1"/>
      <c r="TNZ217" s="1"/>
      <c r="TOA217" s="1"/>
      <c r="TOB217" s="1"/>
      <c r="TOC217" s="1"/>
      <c r="TOD217" s="1"/>
      <c r="TOE217" s="1"/>
      <c r="TOF217" s="1"/>
      <c r="TOG217" s="1"/>
      <c r="TOH217" s="1"/>
      <c r="TOI217" s="1"/>
      <c r="TOJ217" s="1"/>
      <c r="TOK217" s="1"/>
      <c r="TOL217" s="1"/>
      <c r="TOM217" s="1"/>
      <c r="TON217" s="1"/>
      <c r="TOO217" s="1"/>
      <c r="TOP217" s="1"/>
      <c r="TOQ217" s="1"/>
      <c r="TOR217" s="1"/>
      <c r="TOS217" s="1"/>
      <c r="TOT217" s="1"/>
      <c r="TOU217" s="1"/>
      <c r="TOV217" s="1"/>
      <c r="TOW217" s="1"/>
      <c r="TOX217" s="1"/>
      <c r="TOY217" s="1"/>
      <c r="TOZ217" s="1"/>
      <c r="TPA217" s="1"/>
      <c r="TPB217" s="1"/>
      <c r="TPC217" s="1"/>
      <c r="TPD217" s="1"/>
      <c r="TPE217" s="1"/>
      <c r="TPF217" s="1"/>
      <c r="TPG217" s="1"/>
      <c r="TPH217" s="1"/>
      <c r="TPI217" s="1"/>
      <c r="TPJ217" s="1"/>
      <c r="TPK217" s="1"/>
      <c r="TPL217" s="1"/>
      <c r="TPM217" s="1"/>
      <c r="TPN217" s="1"/>
      <c r="TPO217" s="1"/>
      <c r="TPP217" s="1"/>
      <c r="TPQ217" s="1"/>
      <c r="TPR217" s="1"/>
      <c r="TPS217" s="1"/>
      <c r="TPT217" s="1"/>
      <c r="TPU217" s="1"/>
      <c r="TPV217" s="1"/>
      <c r="TPW217" s="1"/>
      <c r="TPX217" s="1"/>
      <c r="TPY217" s="1"/>
      <c r="TPZ217" s="1"/>
      <c r="TQA217" s="1"/>
      <c r="TQB217" s="1"/>
      <c r="TQC217" s="1"/>
      <c r="TQD217" s="1"/>
      <c r="TQE217" s="1"/>
      <c r="TQF217" s="1"/>
      <c r="TQG217" s="1"/>
      <c r="TQH217" s="1"/>
      <c r="TQI217" s="1"/>
      <c r="TQJ217" s="1"/>
      <c r="TQK217" s="1"/>
      <c r="TQL217" s="1"/>
      <c r="TQM217" s="1"/>
      <c r="TQN217" s="1"/>
      <c r="TQO217" s="1"/>
      <c r="TQP217" s="1"/>
      <c r="TQQ217" s="1"/>
      <c r="TQR217" s="1"/>
      <c r="TQS217" s="1"/>
      <c r="TQT217" s="1"/>
      <c r="TQU217" s="1"/>
      <c r="TQV217" s="1"/>
      <c r="TQW217" s="1"/>
      <c r="TQX217" s="1"/>
      <c r="TQY217" s="1"/>
      <c r="TQZ217" s="1"/>
      <c r="TRA217" s="1"/>
      <c r="TRB217" s="1"/>
      <c r="TRC217" s="1"/>
      <c r="TRD217" s="1"/>
      <c r="TRE217" s="1"/>
      <c r="TRF217" s="1"/>
      <c r="TRG217" s="1"/>
      <c r="TRH217" s="1"/>
      <c r="TRI217" s="1"/>
      <c r="TRJ217" s="1"/>
      <c r="TRK217" s="1"/>
      <c r="TRL217" s="1"/>
      <c r="TRM217" s="1"/>
      <c r="TRN217" s="1"/>
      <c r="TRO217" s="1"/>
      <c r="TRP217" s="1"/>
      <c r="TRQ217" s="1"/>
      <c r="TRR217" s="1"/>
      <c r="TRS217" s="1"/>
      <c r="TRT217" s="1"/>
      <c r="TRU217" s="1"/>
      <c r="TRV217" s="1"/>
      <c r="TRW217" s="1"/>
      <c r="TRX217" s="1"/>
      <c r="TRY217" s="1"/>
      <c r="TRZ217" s="1"/>
      <c r="TSA217" s="1"/>
      <c r="TSB217" s="1"/>
      <c r="TSC217" s="1"/>
      <c r="TSD217" s="1"/>
      <c r="TSE217" s="1"/>
      <c r="TSF217" s="1"/>
      <c r="TSG217" s="1"/>
      <c r="TSH217" s="1"/>
      <c r="TSI217" s="1"/>
      <c r="TSJ217" s="1"/>
      <c r="TSK217" s="1"/>
      <c r="TSL217" s="1"/>
      <c r="TSM217" s="1"/>
      <c r="TSN217" s="1"/>
      <c r="TSO217" s="1"/>
      <c r="TSP217" s="1"/>
      <c r="TSQ217" s="1"/>
      <c r="TSR217" s="1"/>
      <c r="TSS217" s="1"/>
      <c r="TST217" s="1"/>
      <c r="TSU217" s="1"/>
      <c r="TSV217" s="1"/>
      <c r="TSW217" s="1"/>
      <c r="TSX217" s="1"/>
      <c r="TSY217" s="1"/>
      <c r="TSZ217" s="1"/>
      <c r="TTA217" s="1"/>
      <c r="TTB217" s="1"/>
      <c r="TTC217" s="1"/>
      <c r="TTD217" s="1"/>
      <c r="TTE217" s="1"/>
      <c r="TTF217" s="1"/>
      <c r="TTG217" s="1"/>
      <c r="TTH217" s="1"/>
      <c r="TTI217" s="1"/>
      <c r="TTJ217" s="1"/>
      <c r="TTK217" s="1"/>
      <c r="TTL217" s="1"/>
      <c r="TTM217" s="1"/>
      <c r="TTN217" s="1"/>
      <c r="TTO217" s="1"/>
      <c r="TTP217" s="1"/>
      <c r="TTQ217" s="1"/>
      <c r="TTR217" s="1"/>
      <c r="TTS217" s="1"/>
      <c r="TTT217" s="1"/>
      <c r="TTU217" s="1"/>
      <c r="TTV217" s="1"/>
      <c r="TTW217" s="1"/>
      <c r="TTX217" s="1"/>
      <c r="TTY217" s="1"/>
      <c r="TTZ217" s="1"/>
      <c r="TUA217" s="1"/>
      <c r="TUB217" s="1"/>
      <c r="TUC217" s="1"/>
      <c r="TUD217" s="1"/>
      <c r="TUE217" s="1"/>
      <c r="TUF217" s="1"/>
      <c r="TUG217" s="1"/>
      <c r="TUH217" s="1"/>
      <c r="TUI217" s="1"/>
      <c r="TUJ217" s="1"/>
      <c r="TUK217" s="1"/>
      <c r="TUL217" s="1"/>
      <c r="TUM217" s="1"/>
      <c r="TUN217" s="1"/>
      <c r="TUO217" s="1"/>
      <c r="TUP217" s="1"/>
      <c r="TUQ217" s="1"/>
      <c r="TUR217" s="1"/>
      <c r="TUS217" s="1"/>
      <c r="TUT217" s="1"/>
      <c r="TUU217" s="1"/>
      <c r="TUV217" s="1"/>
      <c r="TUW217" s="1"/>
      <c r="TUX217" s="1"/>
      <c r="TUY217" s="1"/>
      <c r="TUZ217" s="1"/>
      <c r="TVA217" s="1"/>
      <c r="TVB217" s="1"/>
      <c r="TVC217" s="1"/>
      <c r="TVD217" s="1"/>
      <c r="TVE217" s="1"/>
      <c r="TVF217" s="1"/>
      <c r="TVG217" s="1"/>
      <c r="TVH217" s="1"/>
      <c r="TVI217" s="1"/>
      <c r="TVJ217" s="1"/>
      <c r="TVK217" s="1"/>
      <c r="TVL217" s="1"/>
      <c r="TVM217" s="1"/>
      <c r="TVN217" s="1"/>
      <c r="TVO217" s="1"/>
      <c r="TVP217" s="1"/>
      <c r="TVQ217" s="1"/>
      <c r="TVR217" s="1"/>
      <c r="TVS217" s="1"/>
      <c r="TVT217" s="1"/>
      <c r="TVU217" s="1"/>
      <c r="TVV217" s="1"/>
      <c r="TVW217" s="1"/>
      <c r="TVX217" s="1"/>
      <c r="TVY217" s="1"/>
      <c r="TVZ217" s="1"/>
      <c r="TWA217" s="1"/>
      <c r="TWB217" s="1"/>
      <c r="TWC217" s="1"/>
      <c r="TWD217" s="1"/>
      <c r="TWE217" s="1"/>
      <c r="TWF217" s="1"/>
      <c r="TWG217" s="1"/>
      <c r="TWH217" s="1"/>
      <c r="TWI217" s="1"/>
      <c r="TWJ217" s="1"/>
      <c r="TWK217" s="1"/>
      <c r="TWL217" s="1"/>
      <c r="TWM217" s="1"/>
      <c r="TWN217" s="1"/>
      <c r="TWO217" s="1"/>
      <c r="TWP217" s="1"/>
      <c r="TWQ217" s="1"/>
      <c r="TWR217" s="1"/>
      <c r="TWS217" s="1"/>
      <c r="TWT217" s="1"/>
      <c r="TWU217" s="1"/>
      <c r="TWV217" s="1"/>
      <c r="TWW217" s="1"/>
      <c r="TWX217" s="1"/>
      <c r="TWY217" s="1"/>
      <c r="TWZ217" s="1"/>
      <c r="TXA217" s="1"/>
      <c r="TXB217" s="1"/>
      <c r="TXC217" s="1"/>
      <c r="TXD217" s="1"/>
      <c r="TXE217" s="1"/>
      <c r="TXF217" s="1"/>
      <c r="TXG217" s="1"/>
      <c r="TXH217" s="1"/>
      <c r="TXI217" s="1"/>
      <c r="TXJ217" s="1"/>
      <c r="TXK217" s="1"/>
      <c r="TXL217" s="1"/>
      <c r="TXM217" s="1"/>
      <c r="TXN217" s="1"/>
      <c r="TXO217" s="1"/>
      <c r="TXP217" s="1"/>
      <c r="TXQ217" s="1"/>
      <c r="TXR217" s="1"/>
      <c r="TXS217" s="1"/>
      <c r="TXT217" s="1"/>
      <c r="TXU217" s="1"/>
      <c r="TXV217" s="1"/>
      <c r="TXW217" s="1"/>
      <c r="TXX217" s="1"/>
      <c r="TXY217" s="1"/>
      <c r="TXZ217" s="1"/>
      <c r="TYA217" s="1"/>
      <c r="TYB217" s="1"/>
      <c r="TYC217" s="1"/>
      <c r="TYD217" s="1"/>
      <c r="TYE217" s="1"/>
      <c r="TYF217" s="1"/>
      <c r="TYG217" s="1"/>
      <c r="TYH217" s="1"/>
      <c r="TYI217" s="1"/>
      <c r="TYJ217" s="1"/>
      <c r="TYK217" s="1"/>
      <c r="TYL217" s="1"/>
      <c r="TYM217" s="1"/>
      <c r="TYN217" s="1"/>
      <c r="TYO217" s="1"/>
      <c r="TYP217" s="1"/>
      <c r="TYQ217" s="1"/>
      <c r="TYR217" s="1"/>
      <c r="TYS217" s="1"/>
      <c r="TYT217" s="1"/>
      <c r="TYU217" s="1"/>
      <c r="TYV217" s="1"/>
      <c r="TYW217" s="1"/>
      <c r="TYX217" s="1"/>
      <c r="TYY217" s="1"/>
      <c r="TYZ217" s="1"/>
      <c r="TZA217" s="1"/>
      <c r="TZB217" s="1"/>
      <c r="TZC217" s="1"/>
      <c r="TZD217" s="1"/>
      <c r="TZE217" s="1"/>
      <c r="TZF217" s="1"/>
      <c r="TZG217" s="1"/>
      <c r="TZH217" s="1"/>
      <c r="TZI217" s="1"/>
      <c r="TZJ217" s="1"/>
      <c r="TZK217" s="1"/>
      <c r="TZL217" s="1"/>
      <c r="TZM217" s="1"/>
      <c r="TZN217" s="1"/>
      <c r="TZO217" s="1"/>
      <c r="TZP217" s="1"/>
      <c r="TZQ217" s="1"/>
      <c r="TZR217" s="1"/>
      <c r="TZS217" s="1"/>
      <c r="TZT217" s="1"/>
      <c r="TZU217" s="1"/>
      <c r="TZV217" s="1"/>
      <c r="TZW217" s="1"/>
      <c r="TZX217" s="1"/>
      <c r="TZY217" s="1"/>
      <c r="TZZ217" s="1"/>
      <c r="UAA217" s="1"/>
      <c r="UAB217" s="1"/>
      <c r="UAC217" s="1"/>
      <c r="UAD217" s="1"/>
      <c r="UAE217" s="1"/>
      <c r="UAF217" s="1"/>
      <c r="UAG217" s="1"/>
      <c r="UAH217" s="1"/>
      <c r="UAI217" s="1"/>
      <c r="UAJ217" s="1"/>
      <c r="UAK217" s="1"/>
      <c r="UAL217" s="1"/>
      <c r="UAM217" s="1"/>
      <c r="UAN217" s="1"/>
      <c r="UAO217" s="1"/>
      <c r="UAP217" s="1"/>
      <c r="UAQ217" s="1"/>
      <c r="UAR217" s="1"/>
      <c r="UAS217" s="1"/>
      <c r="UAT217" s="1"/>
      <c r="UAU217" s="1"/>
      <c r="UAV217" s="1"/>
      <c r="UAW217" s="1"/>
      <c r="UAX217" s="1"/>
      <c r="UAY217" s="1"/>
      <c r="UAZ217" s="1"/>
      <c r="UBA217" s="1"/>
      <c r="UBB217" s="1"/>
      <c r="UBC217" s="1"/>
      <c r="UBD217" s="1"/>
      <c r="UBE217" s="1"/>
      <c r="UBF217" s="1"/>
      <c r="UBG217" s="1"/>
      <c r="UBH217" s="1"/>
      <c r="UBI217" s="1"/>
      <c r="UBJ217" s="1"/>
      <c r="UBK217" s="1"/>
      <c r="UBL217" s="1"/>
      <c r="UBM217" s="1"/>
      <c r="UBN217" s="1"/>
      <c r="UBO217" s="1"/>
      <c r="UBP217" s="1"/>
      <c r="UBQ217" s="1"/>
      <c r="UBR217" s="1"/>
      <c r="UBS217" s="1"/>
      <c r="UBT217" s="1"/>
      <c r="UBU217" s="1"/>
      <c r="UBV217" s="1"/>
      <c r="UBW217" s="1"/>
      <c r="UBX217" s="1"/>
      <c r="UBY217" s="1"/>
      <c r="UBZ217" s="1"/>
      <c r="UCA217" s="1"/>
      <c r="UCB217" s="1"/>
      <c r="UCC217" s="1"/>
      <c r="UCD217" s="1"/>
      <c r="UCE217" s="1"/>
      <c r="UCF217" s="1"/>
      <c r="UCG217" s="1"/>
      <c r="UCH217" s="1"/>
      <c r="UCI217" s="1"/>
      <c r="UCJ217" s="1"/>
      <c r="UCK217" s="1"/>
      <c r="UCL217" s="1"/>
      <c r="UCM217" s="1"/>
      <c r="UCN217" s="1"/>
      <c r="UCO217" s="1"/>
      <c r="UCP217" s="1"/>
      <c r="UCQ217" s="1"/>
      <c r="UCR217" s="1"/>
      <c r="UCS217" s="1"/>
      <c r="UCT217" s="1"/>
      <c r="UCU217" s="1"/>
      <c r="UCV217" s="1"/>
      <c r="UCW217" s="1"/>
      <c r="UCX217" s="1"/>
      <c r="UCY217" s="1"/>
      <c r="UCZ217" s="1"/>
      <c r="UDA217" s="1"/>
      <c r="UDB217" s="1"/>
      <c r="UDC217" s="1"/>
      <c r="UDD217" s="1"/>
      <c r="UDE217" s="1"/>
      <c r="UDF217" s="1"/>
      <c r="UDG217" s="1"/>
      <c r="UDH217" s="1"/>
      <c r="UDI217" s="1"/>
      <c r="UDJ217" s="1"/>
      <c r="UDK217" s="1"/>
      <c r="UDL217" s="1"/>
      <c r="UDM217" s="1"/>
      <c r="UDN217" s="1"/>
      <c r="UDO217" s="1"/>
      <c r="UDP217" s="1"/>
      <c r="UDQ217" s="1"/>
      <c r="UDR217" s="1"/>
      <c r="UDS217" s="1"/>
      <c r="UDT217" s="1"/>
      <c r="UDU217" s="1"/>
      <c r="UDV217" s="1"/>
      <c r="UDW217" s="1"/>
      <c r="UDX217" s="1"/>
      <c r="UDY217" s="1"/>
      <c r="UDZ217" s="1"/>
      <c r="UEA217" s="1"/>
      <c r="UEB217" s="1"/>
      <c r="UEC217" s="1"/>
      <c r="UED217" s="1"/>
      <c r="UEE217" s="1"/>
      <c r="UEF217" s="1"/>
      <c r="UEG217" s="1"/>
      <c r="UEH217" s="1"/>
      <c r="UEI217" s="1"/>
      <c r="UEJ217" s="1"/>
      <c r="UEK217" s="1"/>
      <c r="UEL217" s="1"/>
      <c r="UEM217" s="1"/>
      <c r="UEN217" s="1"/>
      <c r="UEO217" s="1"/>
      <c r="UEP217" s="1"/>
      <c r="UEQ217" s="1"/>
      <c r="UER217" s="1"/>
      <c r="UES217" s="1"/>
      <c r="UET217" s="1"/>
      <c r="UEU217" s="1"/>
      <c r="UEV217" s="1"/>
      <c r="UEW217" s="1"/>
      <c r="UEX217" s="1"/>
      <c r="UEY217" s="1"/>
      <c r="UEZ217" s="1"/>
      <c r="UFA217" s="1"/>
      <c r="UFB217" s="1"/>
      <c r="UFC217" s="1"/>
      <c r="UFD217" s="1"/>
      <c r="UFE217" s="1"/>
      <c r="UFF217" s="1"/>
      <c r="UFG217" s="1"/>
      <c r="UFH217" s="1"/>
      <c r="UFI217" s="1"/>
      <c r="UFJ217" s="1"/>
      <c r="UFK217" s="1"/>
      <c r="UFL217" s="1"/>
      <c r="UFM217" s="1"/>
      <c r="UFN217" s="1"/>
      <c r="UFO217" s="1"/>
      <c r="UFP217" s="1"/>
      <c r="UFQ217" s="1"/>
      <c r="UFR217" s="1"/>
      <c r="UFS217" s="1"/>
      <c r="UFT217" s="1"/>
      <c r="UFU217" s="1"/>
      <c r="UFV217" s="1"/>
      <c r="UFW217" s="1"/>
      <c r="UFX217" s="1"/>
      <c r="UFY217" s="1"/>
      <c r="UFZ217" s="1"/>
      <c r="UGA217" s="1"/>
      <c r="UGB217" s="1"/>
      <c r="UGC217" s="1"/>
      <c r="UGD217" s="1"/>
      <c r="UGE217" s="1"/>
      <c r="UGF217" s="1"/>
      <c r="UGG217" s="1"/>
      <c r="UGH217" s="1"/>
      <c r="UGI217" s="1"/>
      <c r="UGJ217" s="1"/>
      <c r="UGK217" s="1"/>
      <c r="UGL217" s="1"/>
      <c r="UGM217" s="1"/>
      <c r="UGN217" s="1"/>
      <c r="UGO217" s="1"/>
      <c r="UGP217" s="1"/>
      <c r="UGQ217" s="1"/>
      <c r="UGR217" s="1"/>
      <c r="UGS217" s="1"/>
      <c r="UGT217" s="1"/>
      <c r="UGU217" s="1"/>
      <c r="UGV217" s="1"/>
      <c r="UGW217" s="1"/>
      <c r="UGX217" s="1"/>
      <c r="UGY217" s="1"/>
      <c r="UGZ217" s="1"/>
      <c r="UHA217" s="1"/>
      <c r="UHB217" s="1"/>
      <c r="UHC217" s="1"/>
      <c r="UHD217" s="1"/>
      <c r="UHE217" s="1"/>
      <c r="UHF217" s="1"/>
      <c r="UHG217" s="1"/>
      <c r="UHH217" s="1"/>
      <c r="UHI217" s="1"/>
      <c r="UHJ217" s="1"/>
      <c r="UHK217" s="1"/>
      <c r="UHL217" s="1"/>
      <c r="UHM217" s="1"/>
      <c r="UHN217" s="1"/>
      <c r="UHO217" s="1"/>
      <c r="UHP217" s="1"/>
      <c r="UHQ217" s="1"/>
      <c r="UHR217" s="1"/>
      <c r="UHS217" s="1"/>
      <c r="UHT217" s="1"/>
      <c r="UHU217" s="1"/>
      <c r="UHV217" s="1"/>
      <c r="UHW217" s="1"/>
      <c r="UHX217" s="1"/>
      <c r="UHY217" s="1"/>
      <c r="UHZ217" s="1"/>
      <c r="UIA217" s="1"/>
      <c r="UIB217" s="1"/>
      <c r="UIC217" s="1"/>
      <c r="UID217" s="1"/>
      <c r="UIE217" s="1"/>
      <c r="UIF217" s="1"/>
      <c r="UIG217" s="1"/>
      <c r="UIH217" s="1"/>
      <c r="UII217" s="1"/>
      <c r="UIJ217" s="1"/>
      <c r="UIK217" s="1"/>
      <c r="UIL217" s="1"/>
      <c r="UIM217" s="1"/>
      <c r="UIN217" s="1"/>
      <c r="UIO217" s="1"/>
      <c r="UIP217" s="1"/>
      <c r="UIQ217" s="1"/>
      <c r="UIR217" s="1"/>
      <c r="UIS217" s="1"/>
      <c r="UIT217" s="1"/>
      <c r="UIU217" s="1"/>
      <c r="UIV217" s="1"/>
      <c r="UIW217" s="1"/>
      <c r="UIX217" s="1"/>
      <c r="UIY217" s="1"/>
      <c r="UIZ217" s="1"/>
      <c r="UJA217" s="1"/>
      <c r="UJB217" s="1"/>
      <c r="UJC217" s="1"/>
      <c r="UJD217" s="1"/>
      <c r="UJE217" s="1"/>
      <c r="UJF217" s="1"/>
      <c r="UJG217" s="1"/>
      <c r="UJH217" s="1"/>
      <c r="UJI217" s="1"/>
      <c r="UJJ217" s="1"/>
      <c r="UJK217" s="1"/>
      <c r="UJL217" s="1"/>
      <c r="UJM217" s="1"/>
      <c r="UJN217" s="1"/>
      <c r="UJO217" s="1"/>
      <c r="UJP217" s="1"/>
      <c r="UJQ217" s="1"/>
      <c r="UJR217" s="1"/>
      <c r="UJS217" s="1"/>
      <c r="UJT217" s="1"/>
      <c r="UJU217" s="1"/>
      <c r="UJV217" s="1"/>
      <c r="UJW217" s="1"/>
      <c r="UJX217" s="1"/>
      <c r="UJY217" s="1"/>
      <c r="UJZ217" s="1"/>
      <c r="UKA217" s="1"/>
      <c r="UKB217" s="1"/>
      <c r="UKC217" s="1"/>
      <c r="UKD217" s="1"/>
      <c r="UKE217" s="1"/>
      <c r="UKF217" s="1"/>
      <c r="UKG217" s="1"/>
      <c r="UKH217" s="1"/>
      <c r="UKI217" s="1"/>
      <c r="UKJ217" s="1"/>
      <c r="UKK217" s="1"/>
      <c r="UKL217" s="1"/>
      <c r="UKM217" s="1"/>
      <c r="UKN217" s="1"/>
      <c r="UKO217" s="1"/>
      <c r="UKP217" s="1"/>
      <c r="UKQ217" s="1"/>
      <c r="UKR217" s="1"/>
      <c r="UKS217" s="1"/>
      <c r="UKT217" s="1"/>
      <c r="UKU217" s="1"/>
      <c r="UKV217" s="1"/>
      <c r="UKW217" s="1"/>
      <c r="UKX217" s="1"/>
      <c r="UKY217" s="1"/>
      <c r="UKZ217" s="1"/>
      <c r="ULA217" s="1"/>
      <c r="ULB217" s="1"/>
      <c r="ULC217" s="1"/>
      <c r="ULD217" s="1"/>
      <c r="ULE217" s="1"/>
      <c r="ULF217" s="1"/>
      <c r="ULG217" s="1"/>
      <c r="ULH217" s="1"/>
      <c r="ULI217" s="1"/>
      <c r="ULJ217" s="1"/>
      <c r="ULK217" s="1"/>
      <c r="ULL217" s="1"/>
      <c r="ULM217" s="1"/>
      <c r="ULN217" s="1"/>
      <c r="ULO217" s="1"/>
      <c r="ULP217" s="1"/>
      <c r="ULQ217" s="1"/>
      <c r="ULR217" s="1"/>
      <c r="ULS217" s="1"/>
      <c r="ULT217" s="1"/>
      <c r="ULU217" s="1"/>
      <c r="ULV217" s="1"/>
      <c r="ULW217" s="1"/>
      <c r="ULX217" s="1"/>
      <c r="ULY217" s="1"/>
      <c r="ULZ217" s="1"/>
      <c r="UMA217" s="1"/>
      <c r="UMB217" s="1"/>
      <c r="UMC217" s="1"/>
      <c r="UMD217" s="1"/>
      <c r="UME217" s="1"/>
      <c r="UMF217" s="1"/>
      <c r="UMG217" s="1"/>
      <c r="UMH217" s="1"/>
      <c r="UMI217" s="1"/>
      <c r="UMJ217" s="1"/>
      <c r="UMK217" s="1"/>
      <c r="UML217" s="1"/>
      <c r="UMM217" s="1"/>
      <c r="UMN217" s="1"/>
      <c r="UMO217" s="1"/>
      <c r="UMP217" s="1"/>
      <c r="UMQ217" s="1"/>
      <c r="UMR217" s="1"/>
      <c r="UMS217" s="1"/>
      <c r="UMT217" s="1"/>
      <c r="UMU217" s="1"/>
      <c r="UMV217" s="1"/>
      <c r="UMW217" s="1"/>
      <c r="UMX217" s="1"/>
      <c r="UMY217" s="1"/>
      <c r="UMZ217" s="1"/>
      <c r="UNA217" s="1"/>
      <c r="UNB217" s="1"/>
      <c r="UNC217" s="1"/>
      <c r="UND217" s="1"/>
      <c r="UNE217" s="1"/>
      <c r="UNF217" s="1"/>
      <c r="UNG217" s="1"/>
      <c r="UNH217" s="1"/>
      <c r="UNI217" s="1"/>
      <c r="UNJ217" s="1"/>
      <c r="UNK217" s="1"/>
      <c r="UNL217" s="1"/>
      <c r="UNM217" s="1"/>
      <c r="UNN217" s="1"/>
      <c r="UNO217" s="1"/>
      <c r="UNP217" s="1"/>
      <c r="UNQ217" s="1"/>
      <c r="UNR217" s="1"/>
      <c r="UNS217" s="1"/>
      <c r="UNT217" s="1"/>
      <c r="UNU217" s="1"/>
      <c r="UNV217" s="1"/>
      <c r="UNW217" s="1"/>
      <c r="UNX217" s="1"/>
      <c r="UNY217" s="1"/>
      <c r="UNZ217" s="1"/>
      <c r="UOA217" s="1"/>
      <c r="UOB217" s="1"/>
      <c r="UOC217" s="1"/>
      <c r="UOD217" s="1"/>
      <c r="UOE217" s="1"/>
      <c r="UOF217" s="1"/>
      <c r="UOG217" s="1"/>
      <c r="UOH217" s="1"/>
      <c r="UOI217" s="1"/>
      <c r="UOJ217" s="1"/>
      <c r="UOK217" s="1"/>
      <c r="UOL217" s="1"/>
      <c r="UOM217" s="1"/>
      <c r="UON217" s="1"/>
      <c r="UOO217" s="1"/>
      <c r="UOP217" s="1"/>
      <c r="UOQ217" s="1"/>
      <c r="UOR217" s="1"/>
      <c r="UOS217" s="1"/>
      <c r="UOT217" s="1"/>
      <c r="UOU217" s="1"/>
      <c r="UOV217" s="1"/>
      <c r="UOW217" s="1"/>
      <c r="UOX217" s="1"/>
      <c r="UOY217" s="1"/>
      <c r="UOZ217" s="1"/>
      <c r="UPA217" s="1"/>
      <c r="UPB217" s="1"/>
      <c r="UPC217" s="1"/>
      <c r="UPD217" s="1"/>
      <c r="UPE217" s="1"/>
      <c r="UPF217" s="1"/>
      <c r="UPG217" s="1"/>
      <c r="UPH217" s="1"/>
      <c r="UPI217" s="1"/>
      <c r="UPJ217" s="1"/>
      <c r="UPK217" s="1"/>
      <c r="UPL217" s="1"/>
      <c r="UPM217" s="1"/>
      <c r="UPN217" s="1"/>
      <c r="UPO217" s="1"/>
      <c r="UPP217" s="1"/>
      <c r="UPQ217" s="1"/>
      <c r="UPR217" s="1"/>
      <c r="UPS217" s="1"/>
      <c r="UPT217" s="1"/>
      <c r="UPU217" s="1"/>
      <c r="UPV217" s="1"/>
      <c r="UPW217" s="1"/>
      <c r="UPX217" s="1"/>
      <c r="UPY217" s="1"/>
      <c r="UPZ217" s="1"/>
      <c r="UQA217" s="1"/>
      <c r="UQB217" s="1"/>
      <c r="UQC217" s="1"/>
      <c r="UQD217" s="1"/>
      <c r="UQE217" s="1"/>
      <c r="UQF217" s="1"/>
      <c r="UQG217" s="1"/>
      <c r="UQH217" s="1"/>
      <c r="UQI217" s="1"/>
      <c r="UQJ217" s="1"/>
      <c r="UQK217" s="1"/>
      <c r="UQL217" s="1"/>
      <c r="UQM217" s="1"/>
      <c r="UQN217" s="1"/>
      <c r="UQO217" s="1"/>
      <c r="UQP217" s="1"/>
      <c r="UQQ217" s="1"/>
      <c r="UQR217" s="1"/>
      <c r="UQS217" s="1"/>
      <c r="UQT217" s="1"/>
      <c r="UQU217" s="1"/>
      <c r="UQV217" s="1"/>
      <c r="UQW217" s="1"/>
      <c r="UQX217" s="1"/>
      <c r="UQY217" s="1"/>
      <c r="UQZ217" s="1"/>
      <c r="URA217" s="1"/>
      <c r="URB217" s="1"/>
      <c r="URC217" s="1"/>
      <c r="URD217" s="1"/>
      <c r="URE217" s="1"/>
      <c r="URF217" s="1"/>
      <c r="URG217" s="1"/>
      <c r="URH217" s="1"/>
      <c r="URI217" s="1"/>
      <c r="URJ217" s="1"/>
      <c r="URK217" s="1"/>
      <c r="URL217" s="1"/>
      <c r="URM217" s="1"/>
      <c r="URN217" s="1"/>
      <c r="URO217" s="1"/>
      <c r="URP217" s="1"/>
      <c r="URQ217" s="1"/>
      <c r="URR217" s="1"/>
      <c r="URS217" s="1"/>
      <c r="URT217" s="1"/>
      <c r="URU217" s="1"/>
      <c r="URV217" s="1"/>
      <c r="URW217" s="1"/>
      <c r="URX217" s="1"/>
      <c r="URY217" s="1"/>
      <c r="URZ217" s="1"/>
      <c r="USA217" s="1"/>
      <c r="USB217" s="1"/>
      <c r="USC217" s="1"/>
      <c r="USD217" s="1"/>
      <c r="USE217" s="1"/>
      <c r="USF217" s="1"/>
      <c r="USG217" s="1"/>
      <c r="USH217" s="1"/>
      <c r="USI217" s="1"/>
      <c r="USJ217" s="1"/>
      <c r="USK217" s="1"/>
      <c r="USL217" s="1"/>
      <c r="USM217" s="1"/>
      <c r="USN217" s="1"/>
      <c r="USO217" s="1"/>
      <c r="USP217" s="1"/>
      <c r="USQ217" s="1"/>
      <c r="USR217" s="1"/>
      <c r="USS217" s="1"/>
      <c r="UST217" s="1"/>
      <c r="USU217" s="1"/>
      <c r="USV217" s="1"/>
      <c r="USW217" s="1"/>
      <c r="USX217" s="1"/>
      <c r="USY217" s="1"/>
      <c r="USZ217" s="1"/>
      <c r="UTA217" s="1"/>
      <c r="UTB217" s="1"/>
      <c r="UTC217" s="1"/>
      <c r="UTD217" s="1"/>
      <c r="UTE217" s="1"/>
      <c r="UTF217" s="1"/>
      <c r="UTG217" s="1"/>
      <c r="UTH217" s="1"/>
      <c r="UTI217" s="1"/>
      <c r="UTJ217" s="1"/>
      <c r="UTK217" s="1"/>
      <c r="UTL217" s="1"/>
      <c r="UTM217" s="1"/>
      <c r="UTN217" s="1"/>
      <c r="UTO217" s="1"/>
      <c r="UTP217" s="1"/>
      <c r="UTQ217" s="1"/>
      <c r="UTR217" s="1"/>
      <c r="UTS217" s="1"/>
      <c r="UTT217" s="1"/>
      <c r="UTU217" s="1"/>
      <c r="UTV217" s="1"/>
      <c r="UTW217" s="1"/>
      <c r="UTX217" s="1"/>
      <c r="UTY217" s="1"/>
      <c r="UTZ217" s="1"/>
      <c r="UUA217" s="1"/>
      <c r="UUB217" s="1"/>
      <c r="UUC217" s="1"/>
      <c r="UUD217" s="1"/>
      <c r="UUE217" s="1"/>
      <c r="UUF217" s="1"/>
      <c r="UUG217" s="1"/>
      <c r="UUH217" s="1"/>
      <c r="UUI217" s="1"/>
      <c r="UUJ217" s="1"/>
      <c r="UUK217" s="1"/>
      <c r="UUL217" s="1"/>
      <c r="UUM217" s="1"/>
      <c r="UUN217" s="1"/>
      <c r="UUO217" s="1"/>
      <c r="UUP217" s="1"/>
      <c r="UUQ217" s="1"/>
      <c r="UUR217" s="1"/>
      <c r="UUS217" s="1"/>
      <c r="UUT217" s="1"/>
      <c r="UUU217" s="1"/>
      <c r="UUV217" s="1"/>
      <c r="UUW217" s="1"/>
      <c r="UUX217" s="1"/>
      <c r="UUY217" s="1"/>
      <c r="UUZ217" s="1"/>
      <c r="UVA217" s="1"/>
      <c r="UVB217" s="1"/>
      <c r="UVC217" s="1"/>
      <c r="UVD217" s="1"/>
      <c r="UVE217" s="1"/>
      <c r="UVF217" s="1"/>
      <c r="UVG217" s="1"/>
      <c r="UVH217" s="1"/>
      <c r="UVI217" s="1"/>
      <c r="UVJ217" s="1"/>
      <c r="UVK217" s="1"/>
      <c r="UVL217" s="1"/>
      <c r="UVM217" s="1"/>
      <c r="UVN217" s="1"/>
      <c r="UVO217" s="1"/>
      <c r="UVP217" s="1"/>
      <c r="UVQ217" s="1"/>
      <c r="UVR217" s="1"/>
      <c r="UVS217" s="1"/>
      <c r="UVT217" s="1"/>
      <c r="UVU217" s="1"/>
      <c r="UVV217" s="1"/>
      <c r="UVW217" s="1"/>
      <c r="UVX217" s="1"/>
      <c r="UVY217" s="1"/>
      <c r="UVZ217" s="1"/>
      <c r="UWA217" s="1"/>
      <c r="UWB217" s="1"/>
      <c r="UWC217" s="1"/>
      <c r="UWD217" s="1"/>
      <c r="UWE217" s="1"/>
      <c r="UWF217" s="1"/>
      <c r="UWG217" s="1"/>
      <c r="UWH217" s="1"/>
      <c r="UWI217" s="1"/>
      <c r="UWJ217" s="1"/>
      <c r="UWK217" s="1"/>
      <c r="UWL217" s="1"/>
      <c r="UWM217" s="1"/>
      <c r="UWN217" s="1"/>
      <c r="UWO217" s="1"/>
      <c r="UWP217" s="1"/>
      <c r="UWQ217" s="1"/>
      <c r="UWR217" s="1"/>
      <c r="UWS217" s="1"/>
      <c r="UWT217" s="1"/>
      <c r="UWU217" s="1"/>
      <c r="UWV217" s="1"/>
      <c r="UWW217" s="1"/>
      <c r="UWX217" s="1"/>
      <c r="UWY217" s="1"/>
      <c r="UWZ217" s="1"/>
      <c r="UXA217" s="1"/>
      <c r="UXB217" s="1"/>
      <c r="UXC217" s="1"/>
      <c r="UXD217" s="1"/>
      <c r="UXE217" s="1"/>
      <c r="UXF217" s="1"/>
      <c r="UXG217" s="1"/>
      <c r="UXH217" s="1"/>
      <c r="UXI217" s="1"/>
      <c r="UXJ217" s="1"/>
      <c r="UXK217" s="1"/>
      <c r="UXL217" s="1"/>
      <c r="UXM217" s="1"/>
      <c r="UXN217" s="1"/>
      <c r="UXO217" s="1"/>
      <c r="UXP217" s="1"/>
      <c r="UXQ217" s="1"/>
      <c r="UXR217" s="1"/>
      <c r="UXS217" s="1"/>
      <c r="UXT217" s="1"/>
      <c r="UXU217" s="1"/>
      <c r="UXV217" s="1"/>
      <c r="UXW217" s="1"/>
      <c r="UXX217" s="1"/>
      <c r="UXY217" s="1"/>
      <c r="UXZ217" s="1"/>
      <c r="UYA217" s="1"/>
      <c r="UYB217" s="1"/>
      <c r="UYC217" s="1"/>
      <c r="UYD217" s="1"/>
      <c r="UYE217" s="1"/>
      <c r="UYF217" s="1"/>
      <c r="UYG217" s="1"/>
      <c r="UYH217" s="1"/>
      <c r="UYI217" s="1"/>
      <c r="UYJ217" s="1"/>
      <c r="UYK217" s="1"/>
      <c r="UYL217" s="1"/>
      <c r="UYM217" s="1"/>
      <c r="UYN217" s="1"/>
      <c r="UYO217" s="1"/>
      <c r="UYP217" s="1"/>
      <c r="UYQ217" s="1"/>
      <c r="UYR217" s="1"/>
      <c r="UYS217" s="1"/>
      <c r="UYT217" s="1"/>
      <c r="UYU217" s="1"/>
      <c r="UYV217" s="1"/>
      <c r="UYW217" s="1"/>
      <c r="UYX217" s="1"/>
      <c r="UYY217" s="1"/>
      <c r="UYZ217" s="1"/>
      <c r="UZA217" s="1"/>
      <c r="UZB217" s="1"/>
      <c r="UZC217" s="1"/>
      <c r="UZD217" s="1"/>
      <c r="UZE217" s="1"/>
      <c r="UZF217" s="1"/>
      <c r="UZG217" s="1"/>
      <c r="UZH217" s="1"/>
      <c r="UZI217" s="1"/>
      <c r="UZJ217" s="1"/>
      <c r="UZK217" s="1"/>
      <c r="UZL217" s="1"/>
      <c r="UZM217" s="1"/>
      <c r="UZN217" s="1"/>
      <c r="UZO217" s="1"/>
      <c r="UZP217" s="1"/>
      <c r="UZQ217" s="1"/>
      <c r="UZR217" s="1"/>
      <c r="UZS217" s="1"/>
      <c r="UZT217" s="1"/>
      <c r="UZU217" s="1"/>
      <c r="UZV217" s="1"/>
      <c r="UZW217" s="1"/>
      <c r="UZX217" s="1"/>
      <c r="UZY217" s="1"/>
      <c r="UZZ217" s="1"/>
      <c r="VAA217" s="1"/>
      <c r="VAB217" s="1"/>
      <c r="VAC217" s="1"/>
      <c r="VAD217" s="1"/>
      <c r="VAE217" s="1"/>
      <c r="VAF217" s="1"/>
      <c r="VAG217" s="1"/>
      <c r="VAH217" s="1"/>
      <c r="VAI217" s="1"/>
      <c r="VAJ217" s="1"/>
      <c r="VAK217" s="1"/>
      <c r="VAL217" s="1"/>
      <c r="VAM217" s="1"/>
      <c r="VAN217" s="1"/>
      <c r="VAO217" s="1"/>
      <c r="VAP217" s="1"/>
      <c r="VAQ217" s="1"/>
      <c r="VAR217" s="1"/>
      <c r="VAS217" s="1"/>
      <c r="VAT217" s="1"/>
      <c r="VAU217" s="1"/>
      <c r="VAV217" s="1"/>
      <c r="VAW217" s="1"/>
      <c r="VAX217" s="1"/>
      <c r="VAY217" s="1"/>
      <c r="VAZ217" s="1"/>
      <c r="VBA217" s="1"/>
      <c r="VBB217" s="1"/>
      <c r="VBC217" s="1"/>
      <c r="VBD217" s="1"/>
      <c r="VBE217" s="1"/>
      <c r="VBF217" s="1"/>
      <c r="VBG217" s="1"/>
      <c r="VBH217" s="1"/>
      <c r="VBI217" s="1"/>
      <c r="VBJ217" s="1"/>
      <c r="VBK217" s="1"/>
      <c r="VBL217" s="1"/>
      <c r="VBM217" s="1"/>
      <c r="VBN217" s="1"/>
      <c r="VBO217" s="1"/>
      <c r="VBP217" s="1"/>
      <c r="VBQ217" s="1"/>
      <c r="VBR217" s="1"/>
      <c r="VBS217" s="1"/>
      <c r="VBT217" s="1"/>
      <c r="VBU217" s="1"/>
      <c r="VBV217" s="1"/>
      <c r="VBW217" s="1"/>
      <c r="VBX217" s="1"/>
      <c r="VBY217" s="1"/>
      <c r="VBZ217" s="1"/>
      <c r="VCA217" s="1"/>
      <c r="VCB217" s="1"/>
      <c r="VCC217" s="1"/>
      <c r="VCD217" s="1"/>
      <c r="VCE217" s="1"/>
      <c r="VCF217" s="1"/>
      <c r="VCG217" s="1"/>
      <c r="VCH217" s="1"/>
      <c r="VCI217" s="1"/>
      <c r="VCJ217" s="1"/>
      <c r="VCK217" s="1"/>
      <c r="VCL217" s="1"/>
      <c r="VCM217" s="1"/>
      <c r="VCN217" s="1"/>
      <c r="VCO217" s="1"/>
      <c r="VCP217" s="1"/>
      <c r="VCQ217" s="1"/>
      <c r="VCR217" s="1"/>
      <c r="VCS217" s="1"/>
      <c r="VCT217" s="1"/>
      <c r="VCU217" s="1"/>
      <c r="VCV217" s="1"/>
      <c r="VCW217" s="1"/>
    </row>
    <row r="218" spans="5:14973" s="2" customFormat="1" x14ac:dyDescent="0.3">
      <c r="E218" s="1"/>
      <c r="F218" s="277"/>
      <c r="G218" s="211" t="s">
        <v>3</v>
      </c>
      <c r="H218" s="188">
        <v>28700</v>
      </c>
      <c r="I218" s="193" t="s">
        <v>2</v>
      </c>
      <c r="J218" s="11">
        <v>27500</v>
      </c>
      <c r="K218" s="11">
        <v>27000</v>
      </c>
      <c r="L218" s="11">
        <v>26100</v>
      </c>
      <c r="M218" s="11">
        <v>24800</v>
      </c>
      <c r="N218" s="11">
        <v>27000</v>
      </c>
      <c r="O218" s="259">
        <v>27400</v>
      </c>
      <c r="P218" s="11">
        <v>25800</v>
      </c>
      <c r="Q218" s="11">
        <v>23000</v>
      </c>
      <c r="R218" s="11">
        <v>22500</v>
      </c>
      <c r="S218" s="11">
        <v>23900</v>
      </c>
      <c r="T218" s="11">
        <v>25400</v>
      </c>
      <c r="U218" s="11">
        <v>23300</v>
      </c>
      <c r="V218" s="11">
        <v>23300</v>
      </c>
      <c r="W218" s="11">
        <v>24000</v>
      </c>
      <c r="X218" s="11">
        <v>23300</v>
      </c>
      <c r="Y218" s="11">
        <v>23800</v>
      </c>
      <c r="Z218" s="11">
        <v>23200</v>
      </c>
      <c r="AA218" s="11">
        <v>25300</v>
      </c>
      <c r="AB218" s="11">
        <v>24600</v>
      </c>
      <c r="AC218" s="11">
        <v>23800</v>
      </c>
      <c r="AD218" s="11">
        <v>23600</v>
      </c>
      <c r="AE218" s="11">
        <v>22700</v>
      </c>
      <c r="AF218" s="11">
        <v>20400</v>
      </c>
      <c r="AG218" s="11">
        <v>19000</v>
      </c>
      <c r="AH218" s="11">
        <v>23800</v>
      </c>
      <c r="AI218" s="11">
        <v>24800</v>
      </c>
      <c r="AJ218" s="11">
        <v>23300</v>
      </c>
      <c r="AK218" s="11">
        <v>24100</v>
      </c>
      <c r="AL218" s="11">
        <v>26800</v>
      </c>
      <c r="AM218" s="11">
        <v>24000</v>
      </c>
      <c r="AN218" s="11">
        <v>22900</v>
      </c>
      <c r="AO218" s="10"/>
      <c r="AP218" s="9">
        <f>SUM(J218:AN218)</f>
        <v>750400</v>
      </c>
      <c r="AQ218" s="1"/>
      <c r="AR218" s="8">
        <f>AP218/AP28</f>
        <v>24206.451612903227</v>
      </c>
      <c r="AT218" s="3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s="1"/>
      <c r="ADM218" s="1"/>
      <c r="ADN218" s="1"/>
      <c r="ADO218" s="1"/>
      <c r="ADP218" s="1"/>
      <c r="ADQ218" s="1"/>
      <c r="ADR218" s="1"/>
      <c r="ADS218" s="1"/>
      <c r="ADT218" s="1"/>
      <c r="ADU218" s="1"/>
      <c r="ADV218" s="1"/>
      <c r="ADW218" s="1"/>
      <c r="ADX218" s="1"/>
      <c r="ADY218" s="1"/>
      <c r="ADZ218" s="1"/>
      <c r="AEA218" s="1"/>
      <c r="AEB218" s="1"/>
      <c r="AEC218" s="1"/>
      <c r="AED218" s="1"/>
      <c r="AEE218" s="1"/>
      <c r="AEF218" s="1"/>
      <c r="AEG218" s="1"/>
      <c r="AEH218" s="1"/>
      <c r="AEI218" s="1"/>
      <c r="AEJ218" s="1"/>
      <c r="AEK218" s="1"/>
      <c r="AEL218" s="1"/>
      <c r="AEM218" s="1"/>
      <c r="AEN218" s="1"/>
      <c r="AEO218" s="1"/>
      <c r="AEP218" s="1"/>
      <c r="AEQ218" s="1"/>
      <c r="AER218" s="1"/>
      <c r="AES218" s="1"/>
      <c r="AET218" s="1"/>
      <c r="AEU218" s="1"/>
      <c r="AEV218" s="1"/>
      <c r="AEW218" s="1"/>
      <c r="AEX218" s="1"/>
      <c r="AEY218" s="1"/>
      <c r="AEZ218" s="1"/>
      <c r="AFA218" s="1"/>
      <c r="AFB218" s="1"/>
      <c r="AFC218" s="1"/>
      <c r="AFD218" s="1"/>
      <c r="AFE218" s="1"/>
      <c r="AFF218" s="1"/>
      <c r="AFG218" s="1"/>
      <c r="AFH218" s="1"/>
      <c r="AFI218" s="1"/>
      <c r="AFJ218" s="1"/>
      <c r="AFK218" s="1"/>
      <c r="AFL218" s="1"/>
      <c r="AFM218" s="1"/>
      <c r="AFN218" s="1"/>
      <c r="AFO218" s="1"/>
      <c r="AFP218" s="1"/>
      <c r="AFQ218" s="1"/>
      <c r="AFR218" s="1"/>
      <c r="AFS218" s="1"/>
      <c r="AFT218" s="1"/>
      <c r="AFU218" s="1"/>
      <c r="AFV218" s="1"/>
      <c r="AFW218" s="1"/>
      <c r="AFX218" s="1"/>
      <c r="AFY218" s="1"/>
      <c r="AFZ218" s="1"/>
      <c r="AGA218" s="1"/>
      <c r="AGB218" s="1"/>
      <c r="AGC218" s="1"/>
      <c r="AGD218" s="1"/>
      <c r="AGE218" s="1"/>
      <c r="AGF218" s="1"/>
      <c r="AGG218" s="1"/>
      <c r="AGH218" s="1"/>
      <c r="AGI218" s="1"/>
      <c r="AGJ218" s="1"/>
      <c r="AGK218" s="1"/>
      <c r="AGL218" s="1"/>
      <c r="AGM218" s="1"/>
      <c r="AGN218" s="1"/>
      <c r="AGO218" s="1"/>
      <c r="AGP218" s="1"/>
      <c r="AGQ218" s="1"/>
      <c r="AGR218" s="1"/>
      <c r="AGS218" s="1"/>
      <c r="AGT218" s="1"/>
      <c r="AGU218" s="1"/>
      <c r="AGV218" s="1"/>
      <c r="AGW218" s="1"/>
      <c r="AGX218" s="1"/>
      <c r="AGY218" s="1"/>
      <c r="AGZ218" s="1"/>
      <c r="AHA218" s="1"/>
      <c r="AHB218" s="1"/>
      <c r="AHC218" s="1"/>
      <c r="AHD218" s="1"/>
      <c r="AHE218" s="1"/>
      <c r="AHF218" s="1"/>
      <c r="AHG218" s="1"/>
      <c r="AHH218" s="1"/>
      <c r="AHI218" s="1"/>
      <c r="AHJ218" s="1"/>
      <c r="AHK218" s="1"/>
      <c r="AHL218" s="1"/>
      <c r="AHM218" s="1"/>
      <c r="AHN218" s="1"/>
      <c r="AHO218" s="1"/>
      <c r="AHP218" s="1"/>
      <c r="AHQ218" s="1"/>
      <c r="AHR218" s="1"/>
      <c r="AHS218" s="1"/>
      <c r="AHT218" s="1"/>
      <c r="AHU218" s="1"/>
      <c r="AHV218" s="1"/>
      <c r="AHW218" s="1"/>
      <c r="AHX218" s="1"/>
      <c r="AHY218" s="1"/>
      <c r="AHZ218" s="1"/>
      <c r="AIA218" s="1"/>
      <c r="AIB218" s="1"/>
      <c r="AIC218" s="1"/>
      <c r="AID218" s="1"/>
      <c r="AIE218" s="1"/>
      <c r="AIF218" s="1"/>
      <c r="AIG218" s="1"/>
      <c r="AIH218" s="1"/>
      <c r="AII218" s="1"/>
      <c r="AIJ218" s="1"/>
      <c r="AIK218" s="1"/>
      <c r="AIL218" s="1"/>
      <c r="AIM218" s="1"/>
      <c r="AIN218" s="1"/>
      <c r="AIO218" s="1"/>
      <c r="AIP218" s="1"/>
      <c r="AIQ218" s="1"/>
      <c r="AIR218" s="1"/>
      <c r="AIS218" s="1"/>
      <c r="AIT218" s="1"/>
      <c r="AIU218" s="1"/>
      <c r="AIV218" s="1"/>
      <c r="AIW218" s="1"/>
      <c r="AIX218" s="1"/>
      <c r="AIY218" s="1"/>
      <c r="AIZ218" s="1"/>
      <c r="AJA218" s="1"/>
      <c r="AJB218" s="1"/>
      <c r="AJC218" s="1"/>
      <c r="AJD218" s="1"/>
      <c r="AJE218" s="1"/>
      <c r="AJF218" s="1"/>
      <c r="AJG218" s="1"/>
      <c r="AJH218" s="1"/>
      <c r="AJI218" s="1"/>
      <c r="AJJ218" s="1"/>
      <c r="AJK218" s="1"/>
      <c r="AJL218" s="1"/>
      <c r="AJM218" s="1"/>
      <c r="AJN218" s="1"/>
      <c r="AJO218" s="1"/>
      <c r="AJP218" s="1"/>
      <c r="AJQ218" s="1"/>
      <c r="AJR218" s="1"/>
      <c r="AJS218" s="1"/>
      <c r="AJT218" s="1"/>
      <c r="AJU218" s="1"/>
      <c r="AJV218" s="1"/>
      <c r="AJW218" s="1"/>
      <c r="AJX218" s="1"/>
      <c r="AJY218" s="1"/>
      <c r="AJZ218" s="1"/>
      <c r="AKA218" s="1"/>
      <c r="AKB218" s="1"/>
      <c r="AKC218" s="1"/>
      <c r="AKD218" s="1"/>
      <c r="AKE218" s="1"/>
      <c r="AKF218" s="1"/>
      <c r="AKG218" s="1"/>
      <c r="AKH218" s="1"/>
      <c r="AKI218" s="1"/>
      <c r="AKJ218" s="1"/>
      <c r="AKK218" s="1"/>
      <c r="AKL218" s="1"/>
      <c r="AKM218" s="1"/>
      <c r="AKN218" s="1"/>
      <c r="AKO218" s="1"/>
      <c r="AKP218" s="1"/>
      <c r="AKQ218" s="1"/>
      <c r="AKR218" s="1"/>
      <c r="AKS218" s="1"/>
      <c r="AKT218" s="1"/>
      <c r="AKU218" s="1"/>
      <c r="AKV218" s="1"/>
      <c r="AKW218" s="1"/>
      <c r="AKX218" s="1"/>
      <c r="AKY218" s="1"/>
      <c r="AKZ218" s="1"/>
      <c r="ALA218" s="1"/>
      <c r="ALB218" s="1"/>
      <c r="ALC218" s="1"/>
      <c r="ALD218" s="1"/>
      <c r="ALE218" s="1"/>
      <c r="ALF218" s="1"/>
      <c r="ALG218" s="1"/>
      <c r="ALH218" s="1"/>
      <c r="ALI218" s="1"/>
      <c r="ALJ218" s="1"/>
      <c r="ALK218" s="1"/>
      <c r="ALL218" s="1"/>
      <c r="ALM218" s="1"/>
      <c r="ALN218" s="1"/>
      <c r="ALO218" s="1"/>
      <c r="ALP218" s="1"/>
      <c r="ALQ218" s="1"/>
      <c r="ALR218" s="1"/>
      <c r="ALS218" s="1"/>
      <c r="ALT218" s="1"/>
      <c r="ALU218" s="1"/>
      <c r="ALV218" s="1"/>
      <c r="ALW218" s="1"/>
      <c r="ALX218" s="1"/>
      <c r="ALY218" s="1"/>
      <c r="ALZ218" s="1"/>
      <c r="AMA218" s="1"/>
      <c r="AMB218" s="1"/>
      <c r="AMC218" s="1"/>
      <c r="AMD218" s="1"/>
      <c r="AME218" s="1"/>
      <c r="AMF218" s="1"/>
      <c r="AMG218" s="1"/>
      <c r="AMH218" s="1"/>
      <c r="AMI218" s="1"/>
      <c r="AMJ218" s="1"/>
      <c r="AMK218" s="1"/>
      <c r="AML218" s="1"/>
      <c r="AMM218" s="1"/>
      <c r="AMN218" s="1"/>
      <c r="AMO218" s="1"/>
      <c r="AMP218" s="1"/>
      <c r="AMQ218" s="1"/>
      <c r="AMR218" s="1"/>
      <c r="AMS218" s="1"/>
      <c r="AMT218" s="1"/>
      <c r="AMU218" s="1"/>
      <c r="AMV218" s="1"/>
      <c r="AMW218" s="1"/>
      <c r="AMX218" s="1"/>
      <c r="AMY218" s="1"/>
      <c r="AMZ218" s="1"/>
      <c r="ANA218" s="1"/>
      <c r="ANB218" s="1"/>
      <c r="ANC218" s="1"/>
      <c r="AND218" s="1"/>
      <c r="ANE218" s="1"/>
      <c r="ANF218" s="1"/>
      <c r="ANG218" s="1"/>
      <c r="ANH218" s="1"/>
      <c r="ANI218" s="1"/>
      <c r="ANJ218" s="1"/>
      <c r="ANK218" s="1"/>
      <c r="ANL218" s="1"/>
      <c r="ANM218" s="1"/>
      <c r="ANN218" s="1"/>
      <c r="ANO218" s="1"/>
      <c r="ANP218" s="1"/>
      <c r="ANQ218" s="1"/>
      <c r="ANR218" s="1"/>
      <c r="ANS218" s="1"/>
      <c r="ANT218" s="1"/>
      <c r="ANU218" s="1"/>
      <c r="ANV218" s="1"/>
      <c r="ANW218" s="1"/>
      <c r="ANX218" s="1"/>
      <c r="ANY218" s="1"/>
      <c r="ANZ218" s="1"/>
      <c r="AOA218" s="1"/>
      <c r="AOB218" s="1"/>
      <c r="AOC218" s="1"/>
      <c r="AOD218" s="1"/>
      <c r="AOE218" s="1"/>
      <c r="AOF218" s="1"/>
      <c r="AOG218" s="1"/>
      <c r="AOH218" s="1"/>
      <c r="AOI218" s="1"/>
      <c r="AOJ218" s="1"/>
      <c r="AOK218" s="1"/>
      <c r="AOL218" s="1"/>
      <c r="AOM218" s="1"/>
      <c r="AON218" s="1"/>
      <c r="AOO218" s="1"/>
      <c r="AOP218" s="1"/>
      <c r="AOQ218" s="1"/>
      <c r="AOR218" s="1"/>
      <c r="AOS218" s="1"/>
      <c r="AOT218" s="1"/>
      <c r="AOU218" s="1"/>
      <c r="AOV218" s="1"/>
      <c r="AOW218" s="1"/>
      <c r="AOX218" s="1"/>
      <c r="AOY218" s="1"/>
      <c r="AOZ218" s="1"/>
      <c r="APA218" s="1"/>
      <c r="APB218" s="1"/>
      <c r="APC218" s="1"/>
      <c r="APD218" s="1"/>
      <c r="APE218" s="1"/>
      <c r="APF218" s="1"/>
      <c r="APG218" s="1"/>
      <c r="APH218" s="1"/>
      <c r="API218" s="1"/>
      <c r="APJ218" s="1"/>
      <c r="APK218" s="1"/>
      <c r="APL218" s="1"/>
      <c r="APM218" s="1"/>
      <c r="APN218" s="1"/>
      <c r="APO218" s="1"/>
      <c r="APP218" s="1"/>
      <c r="APQ218" s="1"/>
      <c r="APR218" s="1"/>
      <c r="APS218" s="1"/>
      <c r="APT218" s="1"/>
      <c r="APU218" s="1"/>
      <c r="APV218" s="1"/>
      <c r="APW218" s="1"/>
      <c r="APX218" s="1"/>
      <c r="APY218" s="1"/>
      <c r="APZ218" s="1"/>
      <c r="AQA218" s="1"/>
      <c r="AQB218" s="1"/>
      <c r="AQC218" s="1"/>
      <c r="AQD218" s="1"/>
      <c r="AQE218" s="1"/>
      <c r="AQF218" s="1"/>
      <c r="AQG218" s="1"/>
      <c r="AQH218" s="1"/>
      <c r="AQI218" s="1"/>
      <c r="AQJ218" s="1"/>
      <c r="AQK218" s="1"/>
      <c r="AQL218" s="1"/>
      <c r="AQM218" s="1"/>
      <c r="AQN218" s="1"/>
      <c r="AQO218" s="1"/>
      <c r="AQP218" s="1"/>
      <c r="AQQ218" s="1"/>
      <c r="AQR218" s="1"/>
      <c r="AQS218" s="1"/>
      <c r="AQT218" s="1"/>
      <c r="AQU218" s="1"/>
      <c r="AQV218" s="1"/>
      <c r="AQW218" s="1"/>
      <c r="AQX218" s="1"/>
      <c r="AQY218" s="1"/>
      <c r="AQZ218" s="1"/>
      <c r="ARA218" s="1"/>
      <c r="ARB218" s="1"/>
      <c r="ARC218" s="1"/>
      <c r="ARD218" s="1"/>
      <c r="ARE218" s="1"/>
      <c r="ARF218" s="1"/>
      <c r="ARG218" s="1"/>
      <c r="ARH218" s="1"/>
      <c r="ARI218" s="1"/>
      <c r="ARJ218" s="1"/>
      <c r="ARK218" s="1"/>
      <c r="ARL218" s="1"/>
      <c r="ARM218" s="1"/>
      <c r="ARN218" s="1"/>
      <c r="ARO218" s="1"/>
      <c r="ARP218" s="1"/>
      <c r="ARQ218" s="1"/>
      <c r="ARR218" s="1"/>
      <c r="ARS218" s="1"/>
      <c r="ART218" s="1"/>
      <c r="ARU218" s="1"/>
      <c r="ARV218" s="1"/>
      <c r="ARW218" s="1"/>
      <c r="ARX218" s="1"/>
      <c r="ARY218" s="1"/>
      <c r="ARZ218" s="1"/>
      <c r="ASA218" s="1"/>
      <c r="ASB218" s="1"/>
      <c r="ASC218" s="1"/>
      <c r="ASD218" s="1"/>
      <c r="ASE218" s="1"/>
      <c r="ASF218" s="1"/>
      <c r="ASG218" s="1"/>
      <c r="ASH218" s="1"/>
      <c r="ASI218" s="1"/>
      <c r="ASJ218" s="1"/>
      <c r="ASK218" s="1"/>
      <c r="ASL218" s="1"/>
      <c r="ASM218" s="1"/>
      <c r="ASN218" s="1"/>
      <c r="ASO218" s="1"/>
      <c r="ASP218" s="1"/>
      <c r="ASQ218" s="1"/>
      <c r="ASR218" s="1"/>
      <c r="ASS218" s="1"/>
      <c r="AST218" s="1"/>
      <c r="ASU218" s="1"/>
      <c r="ASV218" s="1"/>
      <c r="ASW218" s="1"/>
      <c r="ASX218" s="1"/>
      <c r="ASY218" s="1"/>
      <c r="ASZ218" s="1"/>
      <c r="ATA218" s="1"/>
      <c r="ATB218" s="1"/>
      <c r="ATC218" s="1"/>
      <c r="ATD218" s="1"/>
      <c r="ATE218" s="1"/>
      <c r="ATF218" s="1"/>
      <c r="ATG218" s="1"/>
      <c r="ATH218" s="1"/>
      <c r="ATI218" s="1"/>
      <c r="ATJ218" s="1"/>
      <c r="ATK218" s="1"/>
      <c r="ATL218" s="1"/>
      <c r="ATM218" s="1"/>
      <c r="ATN218" s="1"/>
      <c r="ATO218" s="1"/>
      <c r="ATP218" s="1"/>
      <c r="ATQ218" s="1"/>
      <c r="ATR218" s="1"/>
      <c r="ATS218" s="1"/>
      <c r="ATT218" s="1"/>
      <c r="ATU218" s="1"/>
      <c r="ATV218" s="1"/>
      <c r="ATW218" s="1"/>
      <c r="ATX218" s="1"/>
      <c r="ATY218" s="1"/>
      <c r="ATZ218" s="1"/>
      <c r="AUA218" s="1"/>
      <c r="AUB218" s="1"/>
      <c r="AUC218" s="1"/>
      <c r="AUD218" s="1"/>
      <c r="AUE218" s="1"/>
      <c r="AUF218" s="1"/>
      <c r="AUG218" s="1"/>
      <c r="AUH218" s="1"/>
      <c r="AUI218" s="1"/>
      <c r="AUJ218" s="1"/>
      <c r="AUK218" s="1"/>
      <c r="AUL218" s="1"/>
      <c r="AUM218" s="1"/>
      <c r="AUN218" s="1"/>
      <c r="AUO218" s="1"/>
      <c r="AUP218" s="1"/>
      <c r="AUQ218" s="1"/>
      <c r="AUR218" s="1"/>
      <c r="AUS218" s="1"/>
      <c r="AUT218" s="1"/>
      <c r="AUU218" s="1"/>
      <c r="AUV218" s="1"/>
      <c r="AUW218" s="1"/>
      <c r="AUX218" s="1"/>
      <c r="AUY218" s="1"/>
      <c r="AUZ218" s="1"/>
      <c r="AVA218" s="1"/>
      <c r="AVB218" s="1"/>
      <c r="AVC218" s="1"/>
      <c r="AVD218" s="1"/>
      <c r="AVE218" s="1"/>
      <c r="AVF218" s="1"/>
      <c r="AVG218" s="1"/>
      <c r="AVH218" s="1"/>
      <c r="AVI218" s="1"/>
      <c r="AVJ218" s="1"/>
      <c r="AVK218" s="1"/>
      <c r="AVL218" s="1"/>
      <c r="AVM218" s="1"/>
      <c r="AVN218" s="1"/>
      <c r="AVO218" s="1"/>
      <c r="AVP218" s="1"/>
      <c r="AVQ218" s="1"/>
      <c r="AVR218" s="1"/>
      <c r="AVS218" s="1"/>
      <c r="AVT218" s="1"/>
      <c r="AVU218" s="1"/>
      <c r="AVV218" s="1"/>
      <c r="AVW218" s="1"/>
      <c r="AVX218" s="1"/>
      <c r="AVY218" s="1"/>
      <c r="AVZ218" s="1"/>
      <c r="AWA218" s="1"/>
      <c r="AWB218" s="1"/>
      <c r="AWC218" s="1"/>
      <c r="AWD218" s="1"/>
      <c r="AWE218" s="1"/>
      <c r="AWF218" s="1"/>
      <c r="AWG218" s="1"/>
      <c r="AWH218" s="1"/>
      <c r="AWI218" s="1"/>
      <c r="AWJ218" s="1"/>
      <c r="AWK218" s="1"/>
      <c r="AWL218" s="1"/>
      <c r="AWM218" s="1"/>
      <c r="AWN218" s="1"/>
      <c r="AWO218" s="1"/>
      <c r="AWP218" s="1"/>
      <c r="AWQ218" s="1"/>
      <c r="AWR218" s="1"/>
      <c r="AWS218" s="1"/>
      <c r="AWT218" s="1"/>
      <c r="AWU218" s="1"/>
      <c r="AWV218" s="1"/>
      <c r="AWW218" s="1"/>
      <c r="AWX218" s="1"/>
      <c r="AWY218" s="1"/>
      <c r="AWZ218" s="1"/>
      <c r="AXA218" s="1"/>
      <c r="AXB218" s="1"/>
      <c r="AXC218" s="1"/>
      <c r="AXD218" s="1"/>
      <c r="AXE218" s="1"/>
      <c r="AXF218" s="1"/>
      <c r="AXG218" s="1"/>
      <c r="AXH218" s="1"/>
      <c r="AXI218" s="1"/>
      <c r="AXJ218" s="1"/>
      <c r="AXK218" s="1"/>
      <c r="AXL218" s="1"/>
      <c r="AXM218" s="1"/>
      <c r="AXN218" s="1"/>
      <c r="AXO218" s="1"/>
      <c r="AXP218" s="1"/>
      <c r="AXQ218" s="1"/>
      <c r="AXR218" s="1"/>
      <c r="AXS218" s="1"/>
      <c r="AXT218" s="1"/>
      <c r="AXU218" s="1"/>
      <c r="AXV218" s="1"/>
      <c r="AXW218" s="1"/>
      <c r="AXX218" s="1"/>
      <c r="AXY218" s="1"/>
      <c r="AXZ218" s="1"/>
      <c r="AYA218" s="1"/>
      <c r="AYB218" s="1"/>
      <c r="AYC218" s="1"/>
      <c r="AYD218" s="1"/>
      <c r="AYE218" s="1"/>
      <c r="AYF218" s="1"/>
      <c r="AYG218" s="1"/>
      <c r="AYH218" s="1"/>
      <c r="AYI218" s="1"/>
      <c r="AYJ218" s="1"/>
      <c r="AYK218" s="1"/>
      <c r="AYL218" s="1"/>
      <c r="AYM218" s="1"/>
      <c r="AYN218" s="1"/>
      <c r="AYO218" s="1"/>
      <c r="AYP218" s="1"/>
      <c r="AYQ218" s="1"/>
      <c r="AYR218" s="1"/>
      <c r="AYS218" s="1"/>
      <c r="AYT218" s="1"/>
      <c r="AYU218" s="1"/>
      <c r="AYV218" s="1"/>
      <c r="AYW218" s="1"/>
      <c r="AYX218" s="1"/>
      <c r="AYY218" s="1"/>
      <c r="AYZ218" s="1"/>
      <c r="AZA218" s="1"/>
      <c r="AZB218" s="1"/>
      <c r="AZC218" s="1"/>
      <c r="AZD218" s="1"/>
      <c r="AZE218" s="1"/>
      <c r="AZF218" s="1"/>
      <c r="AZG218" s="1"/>
      <c r="AZH218" s="1"/>
      <c r="AZI218" s="1"/>
      <c r="AZJ218" s="1"/>
      <c r="AZK218" s="1"/>
      <c r="AZL218" s="1"/>
      <c r="AZM218" s="1"/>
      <c r="AZN218" s="1"/>
      <c r="AZO218" s="1"/>
      <c r="AZP218" s="1"/>
      <c r="AZQ218" s="1"/>
      <c r="AZR218" s="1"/>
      <c r="AZS218" s="1"/>
      <c r="AZT218" s="1"/>
      <c r="AZU218" s="1"/>
      <c r="AZV218" s="1"/>
      <c r="AZW218" s="1"/>
      <c r="AZX218" s="1"/>
      <c r="AZY218" s="1"/>
      <c r="AZZ218" s="1"/>
      <c r="BAA218" s="1"/>
      <c r="BAB218" s="1"/>
      <c r="BAC218" s="1"/>
      <c r="BAD218" s="1"/>
      <c r="BAE218" s="1"/>
      <c r="BAF218" s="1"/>
      <c r="BAG218" s="1"/>
      <c r="BAH218" s="1"/>
      <c r="BAI218" s="1"/>
      <c r="BAJ218" s="1"/>
      <c r="BAK218" s="1"/>
      <c r="BAL218" s="1"/>
      <c r="BAM218" s="1"/>
      <c r="BAN218" s="1"/>
      <c r="BAO218" s="1"/>
      <c r="BAP218" s="1"/>
      <c r="BAQ218" s="1"/>
      <c r="BAR218" s="1"/>
      <c r="BAS218" s="1"/>
      <c r="BAT218" s="1"/>
      <c r="BAU218" s="1"/>
      <c r="BAV218" s="1"/>
      <c r="BAW218" s="1"/>
      <c r="BAX218" s="1"/>
      <c r="BAY218" s="1"/>
      <c r="BAZ218" s="1"/>
      <c r="BBA218" s="1"/>
      <c r="BBB218" s="1"/>
      <c r="BBC218" s="1"/>
      <c r="BBD218" s="1"/>
      <c r="BBE218" s="1"/>
      <c r="BBF218" s="1"/>
      <c r="BBG218" s="1"/>
      <c r="BBH218" s="1"/>
      <c r="BBI218" s="1"/>
      <c r="BBJ218" s="1"/>
      <c r="BBK218" s="1"/>
      <c r="BBL218" s="1"/>
      <c r="BBM218" s="1"/>
      <c r="BBN218" s="1"/>
      <c r="BBO218" s="1"/>
      <c r="BBP218" s="1"/>
      <c r="BBQ218" s="1"/>
      <c r="BBR218" s="1"/>
      <c r="BBS218" s="1"/>
      <c r="BBT218" s="1"/>
      <c r="BBU218" s="1"/>
      <c r="BBV218" s="1"/>
      <c r="BBW218" s="1"/>
      <c r="BBX218" s="1"/>
      <c r="BBY218" s="1"/>
      <c r="BBZ218" s="1"/>
      <c r="BCA218" s="1"/>
      <c r="BCB218" s="1"/>
      <c r="BCC218" s="1"/>
      <c r="BCD218" s="1"/>
      <c r="BCE218" s="1"/>
      <c r="BCF218" s="1"/>
      <c r="BCG218" s="1"/>
      <c r="BCH218" s="1"/>
      <c r="BCI218" s="1"/>
      <c r="BCJ218" s="1"/>
      <c r="BCK218" s="1"/>
      <c r="BCL218" s="1"/>
      <c r="BCM218" s="1"/>
      <c r="BCN218" s="1"/>
      <c r="BCO218" s="1"/>
      <c r="BCP218" s="1"/>
      <c r="BCQ218" s="1"/>
      <c r="BCR218" s="1"/>
      <c r="BCS218" s="1"/>
      <c r="BCT218" s="1"/>
      <c r="BCU218" s="1"/>
      <c r="BCV218" s="1"/>
      <c r="BCW218" s="1"/>
      <c r="BCX218" s="1"/>
      <c r="BCY218" s="1"/>
      <c r="BCZ218" s="1"/>
      <c r="BDA218" s="1"/>
      <c r="BDB218" s="1"/>
      <c r="BDC218" s="1"/>
      <c r="BDD218" s="1"/>
      <c r="BDE218" s="1"/>
      <c r="BDF218" s="1"/>
      <c r="BDG218" s="1"/>
      <c r="BDH218" s="1"/>
      <c r="BDI218" s="1"/>
      <c r="BDJ218" s="1"/>
      <c r="BDK218" s="1"/>
      <c r="BDL218" s="1"/>
      <c r="BDM218" s="1"/>
      <c r="BDN218" s="1"/>
      <c r="BDO218" s="1"/>
      <c r="BDP218" s="1"/>
      <c r="BDQ218" s="1"/>
      <c r="BDR218" s="1"/>
      <c r="BDS218" s="1"/>
      <c r="BDT218" s="1"/>
      <c r="BDU218" s="1"/>
      <c r="BDV218" s="1"/>
      <c r="BDW218" s="1"/>
      <c r="BDX218" s="1"/>
      <c r="BDY218" s="1"/>
      <c r="BDZ218" s="1"/>
      <c r="BEA218" s="1"/>
      <c r="BEB218" s="1"/>
      <c r="BEC218" s="1"/>
      <c r="BED218" s="1"/>
      <c r="BEE218" s="1"/>
      <c r="BEF218" s="1"/>
      <c r="BEG218" s="1"/>
      <c r="BEH218" s="1"/>
      <c r="BEI218" s="1"/>
      <c r="BEJ218" s="1"/>
      <c r="BEK218" s="1"/>
      <c r="BEL218" s="1"/>
      <c r="BEM218" s="1"/>
      <c r="BEN218" s="1"/>
      <c r="BEO218" s="1"/>
      <c r="BEP218" s="1"/>
      <c r="BEQ218" s="1"/>
      <c r="BER218" s="1"/>
      <c r="BES218" s="1"/>
      <c r="BET218" s="1"/>
      <c r="BEU218" s="1"/>
      <c r="BEV218" s="1"/>
      <c r="BEW218" s="1"/>
      <c r="BEX218" s="1"/>
      <c r="BEY218" s="1"/>
      <c r="BEZ218" s="1"/>
      <c r="BFA218" s="1"/>
      <c r="BFB218" s="1"/>
      <c r="BFC218" s="1"/>
      <c r="BFD218" s="1"/>
      <c r="BFE218" s="1"/>
      <c r="BFF218" s="1"/>
      <c r="BFG218" s="1"/>
      <c r="BFH218" s="1"/>
      <c r="BFI218" s="1"/>
      <c r="BFJ218" s="1"/>
      <c r="BFK218" s="1"/>
      <c r="BFL218" s="1"/>
      <c r="BFM218" s="1"/>
      <c r="BFN218" s="1"/>
      <c r="BFO218" s="1"/>
      <c r="BFP218" s="1"/>
      <c r="BFQ218" s="1"/>
      <c r="BFR218" s="1"/>
      <c r="BFS218" s="1"/>
      <c r="BFT218" s="1"/>
      <c r="BFU218" s="1"/>
      <c r="BFV218" s="1"/>
      <c r="BFW218" s="1"/>
      <c r="BFX218" s="1"/>
      <c r="BFY218" s="1"/>
      <c r="BFZ218" s="1"/>
      <c r="BGA218" s="1"/>
      <c r="BGB218" s="1"/>
      <c r="BGC218" s="1"/>
      <c r="BGD218" s="1"/>
      <c r="BGE218" s="1"/>
      <c r="BGF218" s="1"/>
      <c r="BGG218" s="1"/>
      <c r="BGH218" s="1"/>
      <c r="BGI218" s="1"/>
      <c r="BGJ218" s="1"/>
      <c r="BGK218" s="1"/>
      <c r="BGL218" s="1"/>
      <c r="BGM218" s="1"/>
      <c r="BGN218" s="1"/>
      <c r="BGO218" s="1"/>
      <c r="BGP218" s="1"/>
      <c r="BGQ218" s="1"/>
      <c r="BGR218" s="1"/>
      <c r="BGS218" s="1"/>
      <c r="BGT218" s="1"/>
      <c r="BGU218" s="1"/>
      <c r="BGV218" s="1"/>
      <c r="BGW218" s="1"/>
      <c r="BGX218" s="1"/>
      <c r="BGY218" s="1"/>
      <c r="BGZ218" s="1"/>
      <c r="BHA218" s="1"/>
      <c r="BHB218" s="1"/>
      <c r="BHC218" s="1"/>
      <c r="BHD218" s="1"/>
      <c r="BHE218" s="1"/>
      <c r="BHF218" s="1"/>
      <c r="BHG218" s="1"/>
      <c r="BHH218" s="1"/>
      <c r="BHI218" s="1"/>
      <c r="BHJ218" s="1"/>
      <c r="BHK218" s="1"/>
      <c r="BHL218" s="1"/>
      <c r="BHM218" s="1"/>
      <c r="BHN218" s="1"/>
      <c r="BHO218" s="1"/>
      <c r="BHP218" s="1"/>
      <c r="BHQ218" s="1"/>
      <c r="BHR218" s="1"/>
      <c r="BHS218" s="1"/>
      <c r="BHT218" s="1"/>
      <c r="BHU218" s="1"/>
      <c r="BHV218" s="1"/>
      <c r="BHW218" s="1"/>
      <c r="BHX218" s="1"/>
      <c r="BHY218" s="1"/>
      <c r="BHZ218" s="1"/>
      <c r="BIA218" s="1"/>
      <c r="BIB218" s="1"/>
      <c r="BIC218" s="1"/>
      <c r="BID218" s="1"/>
      <c r="BIE218" s="1"/>
      <c r="BIF218" s="1"/>
      <c r="BIG218" s="1"/>
      <c r="BIH218" s="1"/>
      <c r="BII218" s="1"/>
      <c r="BIJ218" s="1"/>
      <c r="BIK218" s="1"/>
      <c r="BIL218" s="1"/>
      <c r="BIM218" s="1"/>
      <c r="BIN218" s="1"/>
      <c r="BIO218" s="1"/>
      <c r="BIP218" s="1"/>
      <c r="BIQ218" s="1"/>
      <c r="BIR218" s="1"/>
      <c r="BIS218" s="1"/>
      <c r="BIT218" s="1"/>
      <c r="BIU218" s="1"/>
      <c r="BIV218" s="1"/>
      <c r="BIW218" s="1"/>
      <c r="BIX218" s="1"/>
      <c r="BIY218" s="1"/>
      <c r="BIZ218" s="1"/>
      <c r="BJA218" s="1"/>
      <c r="BJB218" s="1"/>
      <c r="BJC218" s="1"/>
      <c r="BJD218" s="1"/>
      <c r="BJE218" s="1"/>
      <c r="BJF218" s="1"/>
      <c r="BJG218" s="1"/>
      <c r="BJH218" s="1"/>
      <c r="BJI218" s="1"/>
      <c r="BJJ218" s="1"/>
      <c r="BJK218" s="1"/>
      <c r="BJL218" s="1"/>
      <c r="BJM218" s="1"/>
      <c r="BJN218" s="1"/>
      <c r="BJO218" s="1"/>
      <c r="BJP218" s="1"/>
      <c r="BJQ218" s="1"/>
      <c r="BJR218" s="1"/>
      <c r="BJS218" s="1"/>
      <c r="BJT218" s="1"/>
      <c r="BJU218" s="1"/>
      <c r="BJV218" s="1"/>
      <c r="BJW218" s="1"/>
      <c r="BJX218" s="1"/>
      <c r="BJY218" s="1"/>
      <c r="BJZ218" s="1"/>
      <c r="BKA218" s="1"/>
      <c r="BKB218" s="1"/>
      <c r="BKC218" s="1"/>
      <c r="BKD218" s="1"/>
      <c r="BKE218" s="1"/>
      <c r="BKF218" s="1"/>
      <c r="BKG218" s="1"/>
      <c r="BKH218" s="1"/>
      <c r="BKI218" s="1"/>
      <c r="BKJ218" s="1"/>
      <c r="BKK218" s="1"/>
      <c r="BKL218" s="1"/>
      <c r="BKM218" s="1"/>
      <c r="BKN218" s="1"/>
      <c r="BKO218" s="1"/>
      <c r="BKP218" s="1"/>
      <c r="BKQ218" s="1"/>
      <c r="BKR218" s="1"/>
      <c r="BKS218" s="1"/>
      <c r="BKT218" s="1"/>
      <c r="BKU218" s="1"/>
      <c r="BKV218" s="1"/>
      <c r="BKW218" s="1"/>
      <c r="BKX218" s="1"/>
      <c r="BKY218" s="1"/>
      <c r="BKZ218" s="1"/>
      <c r="BLA218" s="1"/>
      <c r="BLB218" s="1"/>
      <c r="BLC218" s="1"/>
      <c r="BLD218" s="1"/>
      <c r="BLE218" s="1"/>
      <c r="BLF218" s="1"/>
      <c r="BLG218" s="1"/>
      <c r="BLH218" s="1"/>
      <c r="BLI218" s="1"/>
      <c r="BLJ218" s="1"/>
      <c r="BLK218" s="1"/>
      <c r="BLL218" s="1"/>
      <c r="BLM218" s="1"/>
      <c r="BLN218" s="1"/>
      <c r="BLO218" s="1"/>
      <c r="BLP218" s="1"/>
      <c r="BLQ218" s="1"/>
      <c r="BLR218" s="1"/>
      <c r="BLS218" s="1"/>
      <c r="BLT218" s="1"/>
      <c r="BLU218" s="1"/>
      <c r="BLV218" s="1"/>
      <c r="BLW218" s="1"/>
      <c r="BLX218" s="1"/>
      <c r="BLY218" s="1"/>
      <c r="BLZ218" s="1"/>
      <c r="BMA218" s="1"/>
      <c r="BMB218" s="1"/>
      <c r="BMC218" s="1"/>
      <c r="BMD218" s="1"/>
      <c r="BME218" s="1"/>
      <c r="BMF218" s="1"/>
      <c r="BMG218" s="1"/>
      <c r="BMH218" s="1"/>
      <c r="BMI218" s="1"/>
      <c r="BMJ218" s="1"/>
      <c r="BMK218" s="1"/>
      <c r="BML218" s="1"/>
      <c r="BMM218" s="1"/>
      <c r="BMN218" s="1"/>
      <c r="BMO218" s="1"/>
      <c r="BMP218" s="1"/>
      <c r="BMQ218" s="1"/>
      <c r="BMR218" s="1"/>
      <c r="BMS218" s="1"/>
      <c r="BMT218" s="1"/>
      <c r="BMU218" s="1"/>
      <c r="BMV218" s="1"/>
      <c r="BMW218" s="1"/>
      <c r="BMX218" s="1"/>
      <c r="BMY218" s="1"/>
      <c r="BMZ218" s="1"/>
      <c r="BNA218" s="1"/>
      <c r="BNB218" s="1"/>
      <c r="BNC218" s="1"/>
      <c r="BND218" s="1"/>
      <c r="BNE218" s="1"/>
      <c r="BNF218" s="1"/>
      <c r="BNG218" s="1"/>
      <c r="BNH218" s="1"/>
      <c r="BNI218" s="1"/>
      <c r="BNJ218" s="1"/>
      <c r="BNK218" s="1"/>
      <c r="BNL218" s="1"/>
      <c r="BNM218" s="1"/>
      <c r="BNN218" s="1"/>
      <c r="BNO218" s="1"/>
      <c r="BNP218" s="1"/>
      <c r="BNQ218" s="1"/>
      <c r="BNR218" s="1"/>
      <c r="BNS218" s="1"/>
      <c r="BNT218" s="1"/>
      <c r="BNU218" s="1"/>
      <c r="BNV218" s="1"/>
      <c r="BNW218" s="1"/>
      <c r="BNX218" s="1"/>
      <c r="BNY218" s="1"/>
      <c r="BNZ218" s="1"/>
      <c r="BOA218" s="1"/>
      <c r="BOB218" s="1"/>
      <c r="BOC218" s="1"/>
      <c r="BOD218" s="1"/>
      <c r="BOE218" s="1"/>
      <c r="BOF218" s="1"/>
      <c r="BOG218" s="1"/>
      <c r="BOH218" s="1"/>
      <c r="BOI218" s="1"/>
      <c r="BOJ218" s="1"/>
      <c r="BOK218" s="1"/>
      <c r="BOL218" s="1"/>
      <c r="BOM218" s="1"/>
      <c r="BON218" s="1"/>
      <c r="BOO218" s="1"/>
      <c r="BOP218" s="1"/>
      <c r="BOQ218" s="1"/>
      <c r="BOR218" s="1"/>
      <c r="BOS218" s="1"/>
      <c r="BOT218" s="1"/>
      <c r="BOU218" s="1"/>
      <c r="BOV218" s="1"/>
      <c r="BOW218" s="1"/>
      <c r="BOX218" s="1"/>
      <c r="BOY218" s="1"/>
      <c r="BOZ218" s="1"/>
      <c r="BPA218" s="1"/>
      <c r="BPB218" s="1"/>
      <c r="BPC218" s="1"/>
      <c r="BPD218" s="1"/>
      <c r="BPE218" s="1"/>
      <c r="BPF218" s="1"/>
      <c r="BPG218" s="1"/>
      <c r="BPH218" s="1"/>
      <c r="BPI218" s="1"/>
      <c r="BPJ218" s="1"/>
      <c r="BPK218" s="1"/>
      <c r="BPL218" s="1"/>
      <c r="BPM218" s="1"/>
      <c r="BPN218" s="1"/>
      <c r="BPO218" s="1"/>
      <c r="BPP218" s="1"/>
      <c r="BPQ218" s="1"/>
      <c r="BPR218" s="1"/>
      <c r="BPS218" s="1"/>
      <c r="BPT218" s="1"/>
      <c r="BPU218" s="1"/>
      <c r="BPV218" s="1"/>
      <c r="BPW218" s="1"/>
      <c r="BPX218" s="1"/>
      <c r="BPY218" s="1"/>
      <c r="BPZ218" s="1"/>
      <c r="BQA218" s="1"/>
      <c r="BQB218" s="1"/>
      <c r="BQC218" s="1"/>
      <c r="BQD218" s="1"/>
      <c r="BQE218" s="1"/>
      <c r="BQF218" s="1"/>
      <c r="BQG218" s="1"/>
      <c r="BQH218" s="1"/>
      <c r="BQI218" s="1"/>
      <c r="BQJ218" s="1"/>
      <c r="BQK218" s="1"/>
      <c r="BQL218" s="1"/>
      <c r="BQM218" s="1"/>
      <c r="BQN218" s="1"/>
      <c r="BQO218" s="1"/>
      <c r="BQP218" s="1"/>
      <c r="BQQ218" s="1"/>
      <c r="BQR218" s="1"/>
      <c r="BQS218" s="1"/>
      <c r="BQT218" s="1"/>
      <c r="BQU218" s="1"/>
      <c r="BQV218" s="1"/>
      <c r="BQW218" s="1"/>
      <c r="BQX218" s="1"/>
      <c r="BQY218" s="1"/>
      <c r="BQZ218" s="1"/>
      <c r="BRA218" s="1"/>
      <c r="BRB218" s="1"/>
      <c r="BRC218" s="1"/>
      <c r="BRD218" s="1"/>
      <c r="BRE218" s="1"/>
      <c r="BRF218" s="1"/>
      <c r="BRG218" s="1"/>
      <c r="BRH218" s="1"/>
      <c r="BRI218" s="1"/>
      <c r="BRJ218" s="1"/>
      <c r="BRK218" s="1"/>
      <c r="BRL218" s="1"/>
      <c r="BRM218" s="1"/>
      <c r="BRN218" s="1"/>
      <c r="BRO218" s="1"/>
      <c r="BRP218" s="1"/>
      <c r="BRQ218" s="1"/>
      <c r="BRR218" s="1"/>
      <c r="BRS218" s="1"/>
      <c r="BRT218" s="1"/>
      <c r="BRU218" s="1"/>
      <c r="BRV218" s="1"/>
      <c r="BRW218" s="1"/>
      <c r="BRX218" s="1"/>
      <c r="BRY218" s="1"/>
      <c r="BRZ218" s="1"/>
      <c r="BSA218" s="1"/>
      <c r="BSB218" s="1"/>
      <c r="BSC218" s="1"/>
      <c r="BSD218" s="1"/>
      <c r="BSE218" s="1"/>
      <c r="BSF218" s="1"/>
      <c r="BSG218" s="1"/>
      <c r="BSH218" s="1"/>
      <c r="BSI218" s="1"/>
      <c r="BSJ218" s="1"/>
      <c r="BSK218" s="1"/>
      <c r="BSL218" s="1"/>
      <c r="BSM218" s="1"/>
      <c r="BSN218" s="1"/>
      <c r="BSO218" s="1"/>
      <c r="BSP218" s="1"/>
      <c r="BSQ218" s="1"/>
      <c r="BSR218" s="1"/>
      <c r="BSS218" s="1"/>
      <c r="BST218" s="1"/>
      <c r="BSU218" s="1"/>
      <c r="BSV218" s="1"/>
      <c r="BSW218" s="1"/>
      <c r="BSX218" s="1"/>
      <c r="BSY218" s="1"/>
      <c r="BSZ218" s="1"/>
      <c r="BTA218" s="1"/>
      <c r="BTB218" s="1"/>
      <c r="BTC218" s="1"/>
      <c r="BTD218" s="1"/>
      <c r="BTE218" s="1"/>
      <c r="BTF218" s="1"/>
      <c r="BTG218" s="1"/>
      <c r="BTH218" s="1"/>
      <c r="BTI218" s="1"/>
      <c r="BTJ218" s="1"/>
      <c r="BTK218" s="1"/>
      <c r="BTL218" s="1"/>
      <c r="BTM218" s="1"/>
      <c r="BTN218" s="1"/>
      <c r="BTO218" s="1"/>
      <c r="BTP218" s="1"/>
      <c r="BTQ218" s="1"/>
      <c r="BTR218" s="1"/>
      <c r="BTS218" s="1"/>
      <c r="BTT218" s="1"/>
      <c r="BTU218" s="1"/>
      <c r="BTV218" s="1"/>
      <c r="BTW218" s="1"/>
      <c r="BTX218" s="1"/>
      <c r="BTY218" s="1"/>
      <c r="BTZ218" s="1"/>
      <c r="BUA218" s="1"/>
      <c r="BUB218" s="1"/>
      <c r="BUC218" s="1"/>
      <c r="BUD218" s="1"/>
      <c r="BUE218" s="1"/>
      <c r="BUF218" s="1"/>
      <c r="BUG218" s="1"/>
      <c r="BUH218" s="1"/>
      <c r="BUI218" s="1"/>
      <c r="BUJ218" s="1"/>
      <c r="BUK218" s="1"/>
      <c r="BUL218" s="1"/>
      <c r="BUM218" s="1"/>
      <c r="BUN218" s="1"/>
      <c r="BUO218" s="1"/>
      <c r="BUP218" s="1"/>
      <c r="BUQ218" s="1"/>
      <c r="BUR218" s="1"/>
      <c r="BUS218" s="1"/>
      <c r="BUT218" s="1"/>
      <c r="BUU218" s="1"/>
      <c r="BUV218" s="1"/>
      <c r="BUW218" s="1"/>
      <c r="BUX218" s="1"/>
      <c r="BUY218" s="1"/>
      <c r="BUZ218" s="1"/>
      <c r="BVA218" s="1"/>
      <c r="BVB218" s="1"/>
      <c r="BVC218" s="1"/>
      <c r="BVD218" s="1"/>
      <c r="BVE218" s="1"/>
      <c r="BVF218" s="1"/>
      <c r="BVG218" s="1"/>
      <c r="BVH218" s="1"/>
      <c r="BVI218" s="1"/>
      <c r="BVJ218" s="1"/>
      <c r="BVK218" s="1"/>
      <c r="BVL218" s="1"/>
      <c r="BVM218" s="1"/>
      <c r="BVN218" s="1"/>
      <c r="BVO218" s="1"/>
      <c r="BVP218" s="1"/>
      <c r="BVQ218" s="1"/>
      <c r="BVR218" s="1"/>
      <c r="BVS218" s="1"/>
      <c r="BVT218" s="1"/>
      <c r="BVU218" s="1"/>
      <c r="BVV218" s="1"/>
      <c r="BVW218" s="1"/>
      <c r="BVX218" s="1"/>
      <c r="BVY218" s="1"/>
      <c r="BVZ218" s="1"/>
      <c r="BWA218" s="1"/>
      <c r="BWB218" s="1"/>
      <c r="BWC218" s="1"/>
      <c r="BWD218" s="1"/>
      <c r="BWE218" s="1"/>
      <c r="BWF218" s="1"/>
      <c r="BWG218" s="1"/>
      <c r="BWH218" s="1"/>
      <c r="BWI218" s="1"/>
      <c r="BWJ218" s="1"/>
      <c r="BWK218" s="1"/>
      <c r="BWL218" s="1"/>
      <c r="BWM218" s="1"/>
      <c r="BWN218" s="1"/>
      <c r="BWO218" s="1"/>
      <c r="BWP218" s="1"/>
      <c r="BWQ218" s="1"/>
      <c r="BWR218" s="1"/>
      <c r="BWS218" s="1"/>
      <c r="BWT218" s="1"/>
      <c r="BWU218" s="1"/>
      <c r="BWV218" s="1"/>
      <c r="BWW218" s="1"/>
      <c r="BWX218" s="1"/>
      <c r="BWY218" s="1"/>
      <c r="BWZ218" s="1"/>
      <c r="BXA218" s="1"/>
      <c r="BXB218" s="1"/>
      <c r="BXC218" s="1"/>
      <c r="BXD218" s="1"/>
      <c r="BXE218" s="1"/>
      <c r="BXF218" s="1"/>
      <c r="BXG218" s="1"/>
      <c r="BXH218" s="1"/>
      <c r="BXI218" s="1"/>
      <c r="BXJ218" s="1"/>
      <c r="BXK218" s="1"/>
      <c r="BXL218" s="1"/>
      <c r="BXM218" s="1"/>
      <c r="BXN218" s="1"/>
      <c r="BXO218" s="1"/>
      <c r="BXP218" s="1"/>
      <c r="BXQ218" s="1"/>
      <c r="BXR218" s="1"/>
      <c r="BXS218" s="1"/>
      <c r="BXT218" s="1"/>
      <c r="BXU218" s="1"/>
      <c r="BXV218" s="1"/>
      <c r="BXW218" s="1"/>
      <c r="BXX218" s="1"/>
      <c r="BXY218" s="1"/>
      <c r="BXZ218" s="1"/>
      <c r="BYA218" s="1"/>
      <c r="BYB218" s="1"/>
      <c r="BYC218" s="1"/>
      <c r="BYD218" s="1"/>
      <c r="BYE218" s="1"/>
      <c r="BYF218" s="1"/>
      <c r="BYG218" s="1"/>
      <c r="BYH218" s="1"/>
      <c r="BYI218" s="1"/>
      <c r="BYJ218" s="1"/>
      <c r="BYK218" s="1"/>
      <c r="BYL218" s="1"/>
      <c r="BYM218" s="1"/>
      <c r="BYN218" s="1"/>
      <c r="BYO218" s="1"/>
      <c r="BYP218" s="1"/>
      <c r="BYQ218" s="1"/>
      <c r="BYR218" s="1"/>
      <c r="BYS218" s="1"/>
      <c r="BYT218" s="1"/>
      <c r="BYU218" s="1"/>
      <c r="BYV218" s="1"/>
      <c r="BYW218" s="1"/>
      <c r="BYX218" s="1"/>
      <c r="BYY218" s="1"/>
      <c r="BYZ218" s="1"/>
      <c r="BZA218" s="1"/>
      <c r="BZB218" s="1"/>
      <c r="BZC218" s="1"/>
      <c r="BZD218" s="1"/>
      <c r="BZE218" s="1"/>
      <c r="BZF218" s="1"/>
      <c r="BZG218" s="1"/>
      <c r="BZH218" s="1"/>
      <c r="BZI218" s="1"/>
      <c r="BZJ218" s="1"/>
      <c r="BZK218" s="1"/>
      <c r="BZL218" s="1"/>
      <c r="BZM218" s="1"/>
      <c r="BZN218" s="1"/>
      <c r="BZO218" s="1"/>
      <c r="BZP218" s="1"/>
      <c r="BZQ218" s="1"/>
      <c r="BZR218" s="1"/>
      <c r="BZS218" s="1"/>
      <c r="BZT218" s="1"/>
      <c r="BZU218" s="1"/>
      <c r="BZV218" s="1"/>
      <c r="BZW218" s="1"/>
      <c r="BZX218" s="1"/>
      <c r="BZY218" s="1"/>
      <c r="BZZ218" s="1"/>
      <c r="CAA218" s="1"/>
      <c r="CAB218" s="1"/>
      <c r="CAC218" s="1"/>
      <c r="CAD218" s="1"/>
      <c r="CAE218" s="1"/>
      <c r="CAF218" s="1"/>
      <c r="CAG218" s="1"/>
      <c r="CAH218" s="1"/>
      <c r="CAI218" s="1"/>
      <c r="CAJ218" s="1"/>
      <c r="CAK218" s="1"/>
      <c r="CAL218" s="1"/>
      <c r="CAM218" s="1"/>
      <c r="CAN218" s="1"/>
      <c r="CAO218" s="1"/>
      <c r="CAP218" s="1"/>
      <c r="CAQ218" s="1"/>
      <c r="CAR218" s="1"/>
      <c r="CAS218" s="1"/>
      <c r="CAT218" s="1"/>
      <c r="CAU218" s="1"/>
      <c r="CAV218" s="1"/>
      <c r="CAW218" s="1"/>
      <c r="CAX218" s="1"/>
      <c r="CAY218" s="1"/>
      <c r="CAZ218" s="1"/>
      <c r="CBA218" s="1"/>
      <c r="CBB218" s="1"/>
      <c r="CBC218" s="1"/>
      <c r="CBD218" s="1"/>
      <c r="CBE218" s="1"/>
      <c r="CBF218" s="1"/>
      <c r="CBG218" s="1"/>
      <c r="CBH218" s="1"/>
      <c r="CBI218" s="1"/>
      <c r="CBJ218" s="1"/>
      <c r="CBK218" s="1"/>
      <c r="CBL218" s="1"/>
      <c r="CBM218" s="1"/>
      <c r="CBN218" s="1"/>
      <c r="CBO218" s="1"/>
      <c r="CBP218" s="1"/>
      <c r="CBQ218" s="1"/>
      <c r="CBR218" s="1"/>
      <c r="CBS218" s="1"/>
      <c r="CBT218" s="1"/>
      <c r="CBU218" s="1"/>
      <c r="CBV218" s="1"/>
      <c r="CBW218" s="1"/>
      <c r="CBX218" s="1"/>
      <c r="CBY218" s="1"/>
      <c r="CBZ218" s="1"/>
      <c r="CCA218" s="1"/>
      <c r="CCB218" s="1"/>
      <c r="CCC218" s="1"/>
      <c r="CCD218" s="1"/>
      <c r="CCE218" s="1"/>
      <c r="CCF218" s="1"/>
      <c r="CCG218" s="1"/>
      <c r="CCH218" s="1"/>
      <c r="CCI218" s="1"/>
      <c r="CCJ218" s="1"/>
      <c r="CCK218" s="1"/>
      <c r="CCL218" s="1"/>
      <c r="CCM218" s="1"/>
      <c r="CCN218" s="1"/>
      <c r="CCO218" s="1"/>
      <c r="CCP218" s="1"/>
      <c r="CCQ218" s="1"/>
      <c r="CCR218" s="1"/>
      <c r="CCS218" s="1"/>
      <c r="CCT218" s="1"/>
      <c r="CCU218" s="1"/>
      <c r="CCV218" s="1"/>
      <c r="CCW218" s="1"/>
      <c r="CCX218" s="1"/>
      <c r="CCY218" s="1"/>
      <c r="CCZ218" s="1"/>
      <c r="CDA218" s="1"/>
      <c r="CDB218" s="1"/>
      <c r="CDC218" s="1"/>
      <c r="CDD218" s="1"/>
      <c r="CDE218" s="1"/>
      <c r="CDF218" s="1"/>
      <c r="CDG218" s="1"/>
      <c r="CDH218" s="1"/>
      <c r="CDI218" s="1"/>
      <c r="CDJ218" s="1"/>
      <c r="CDK218" s="1"/>
      <c r="CDL218" s="1"/>
      <c r="CDM218" s="1"/>
      <c r="CDN218" s="1"/>
      <c r="CDO218" s="1"/>
      <c r="CDP218" s="1"/>
      <c r="CDQ218" s="1"/>
      <c r="CDR218" s="1"/>
      <c r="CDS218" s="1"/>
      <c r="CDT218" s="1"/>
      <c r="CDU218" s="1"/>
      <c r="CDV218" s="1"/>
      <c r="CDW218" s="1"/>
      <c r="CDX218" s="1"/>
      <c r="CDY218" s="1"/>
      <c r="CDZ218" s="1"/>
      <c r="CEA218" s="1"/>
      <c r="CEB218" s="1"/>
      <c r="CEC218" s="1"/>
      <c r="CED218" s="1"/>
      <c r="CEE218" s="1"/>
      <c r="CEF218" s="1"/>
      <c r="CEG218" s="1"/>
      <c r="CEH218" s="1"/>
      <c r="CEI218" s="1"/>
      <c r="CEJ218" s="1"/>
      <c r="CEK218" s="1"/>
      <c r="CEL218" s="1"/>
      <c r="CEM218" s="1"/>
      <c r="CEN218" s="1"/>
      <c r="CEO218" s="1"/>
      <c r="CEP218" s="1"/>
      <c r="CEQ218" s="1"/>
      <c r="CER218" s="1"/>
      <c r="CES218" s="1"/>
      <c r="CET218" s="1"/>
      <c r="CEU218" s="1"/>
      <c r="CEV218" s="1"/>
      <c r="CEW218" s="1"/>
      <c r="CEX218" s="1"/>
      <c r="CEY218" s="1"/>
      <c r="CEZ218" s="1"/>
      <c r="CFA218" s="1"/>
      <c r="CFB218" s="1"/>
      <c r="CFC218" s="1"/>
      <c r="CFD218" s="1"/>
      <c r="CFE218" s="1"/>
      <c r="CFF218" s="1"/>
      <c r="CFG218" s="1"/>
      <c r="CFH218" s="1"/>
      <c r="CFI218" s="1"/>
      <c r="CFJ218" s="1"/>
      <c r="CFK218" s="1"/>
      <c r="CFL218" s="1"/>
      <c r="CFM218" s="1"/>
      <c r="CFN218" s="1"/>
      <c r="CFO218" s="1"/>
      <c r="CFP218" s="1"/>
      <c r="CFQ218" s="1"/>
      <c r="CFR218" s="1"/>
      <c r="CFS218" s="1"/>
      <c r="CFT218" s="1"/>
      <c r="CFU218" s="1"/>
      <c r="CFV218" s="1"/>
      <c r="CFW218" s="1"/>
      <c r="CFX218" s="1"/>
      <c r="CFY218" s="1"/>
      <c r="CFZ218" s="1"/>
      <c r="CGA218" s="1"/>
      <c r="CGB218" s="1"/>
      <c r="CGC218" s="1"/>
      <c r="CGD218" s="1"/>
      <c r="CGE218" s="1"/>
      <c r="CGF218" s="1"/>
      <c r="CGG218" s="1"/>
      <c r="CGH218" s="1"/>
      <c r="CGI218" s="1"/>
      <c r="CGJ218" s="1"/>
      <c r="CGK218" s="1"/>
      <c r="CGL218" s="1"/>
      <c r="CGM218" s="1"/>
      <c r="CGN218" s="1"/>
      <c r="CGO218" s="1"/>
      <c r="CGP218" s="1"/>
      <c r="CGQ218" s="1"/>
      <c r="CGR218" s="1"/>
      <c r="CGS218" s="1"/>
      <c r="CGT218" s="1"/>
      <c r="CGU218" s="1"/>
      <c r="CGV218" s="1"/>
      <c r="CGW218" s="1"/>
      <c r="CGX218" s="1"/>
      <c r="CGY218" s="1"/>
      <c r="CGZ218" s="1"/>
      <c r="CHA218" s="1"/>
      <c r="CHB218" s="1"/>
      <c r="CHC218" s="1"/>
      <c r="CHD218" s="1"/>
      <c r="CHE218" s="1"/>
      <c r="CHF218" s="1"/>
      <c r="CHG218" s="1"/>
      <c r="CHH218" s="1"/>
      <c r="CHI218" s="1"/>
      <c r="CHJ218" s="1"/>
      <c r="CHK218" s="1"/>
      <c r="CHL218" s="1"/>
      <c r="CHM218" s="1"/>
      <c r="CHN218" s="1"/>
      <c r="CHO218" s="1"/>
      <c r="CHP218" s="1"/>
      <c r="CHQ218" s="1"/>
      <c r="CHR218" s="1"/>
      <c r="CHS218" s="1"/>
      <c r="CHT218" s="1"/>
      <c r="CHU218" s="1"/>
      <c r="CHV218" s="1"/>
      <c r="CHW218" s="1"/>
      <c r="CHX218" s="1"/>
      <c r="CHY218" s="1"/>
      <c r="CHZ218" s="1"/>
      <c r="CIA218" s="1"/>
      <c r="CIB218" s="1"/>
      <c r="CIC218" s="1"/>
      <c r="CID218" s="1"/>
      <c r="CIE218" s="1"/>
      <c r="CIF218" s="1"/>
      <c r="CIG218" s="1"/>
      <c r="CIH218" s="1"/>
      <c r="CII218" s="1"/>
      <c r="CIJ218" s="1"/>
      <c r="CIK218" s="1"/>
      <c r="CIL218" s="1"/>
      <c r="CIM218" s="1"/>
      <c r="CIN218" s="1"/>
      <c r="CIO218" s="1"/>
      <c r="CIP218" s="1"/>
      <c r="CIQ218" s="1"/>
      <c r="CIR218" s="1"/>
      <c r="CIS218" s="1"/>
      <c r="CIT218" s="1"/>
      <c r="CIU218" s="1"/>
      <c r="CIV218" s="1"/>
      <c r="CIW218" s="1"/>
      <c r="CIX218" s="1"/>
      <c r="CIY218" s="1"/>
      <c r="CIZ218" s="1"/>
      <c r="CJA218" s="1"/>
      <c r="CJB218" s="1"/>
      <c r="CJC218" s="1"/>
      <c r="CJD218" s="1"/>
      <c r="CJE218" s="1"/>
      <c r="CJF218" s="1"/>
      <c r="CJG218" s="1"/>
      <c r="CJH218" s="1"/>
      <c r="CJI218" s="1"/>
      <c r="CJJ218" s="1"/>
      <c r="CJK218" s="1"/>
      <c r="CJL218" s="1"/>
      <c r="CJM218" s="1"/>
      <c r="CJN218" s="1"/>
      <c r="CJO218" s="1"/>
      <c r="CJP218" s="1"/>
      <c r="CJQ218" s="1"/>
      <c r="CJR218" s="1"/>
      <c r="CJS218" s="1"/>
      <c r="CJT218" s="1"/>
      <c r="CJU218" s="1"/>
      <c r="CJV218" s="1"/>
      <c r="CJW218" s="1"/>
      <c r="CJX218" s="1"/>
      <c r="CJY218" s="1"/>
      <c r="CJZ218" s="1"/>
      <c r="CKA218" s="1"/>
      <c r="CKB218" s="1"/>
      <c r="CKC218" s="1"/>
      <c r="CKD218" s="1"/>
      <c r="CKE218" s="1"/>
      <c r="CKF218" s="1"/>
      <c r="CKG218" s="1"/>
      <c r="CKH218" s="1"/>
      <c r="CKI218" s="1"/>
      <c r="CKJ218" s="1"/>
      <c r="CKK218" s="1"/>
      <c r="CKL218" s="1"/>
      <c r="CKM218" s="1"/>
      <c r="CKN218" s="1"/>
      <c r="CKO218" s="1"/>
      <c r="CKP218" s="1"/>
      <c r="CKQ218" s="1"/>
      <c r="CKR218" s="1"/>
      <c r="CKS218" s="1"/>
      <c r="CKT218" s="1"/>
      <c r="CKU218" s="1"/>
      <c r="CKV218" s="1"/>
      <c r="CKW218" s="1"/>
      <c r="CKX218" s="1"/>
      <c r="CKY218" s="1"/>
      <c r="CKZ218" s="1"/>
      <c r="CLA218" s="1"/>
      <c r="CLB218" s="1"/>
      <c r="CLC218" s="1"/>
      <c r="CLD218" s="1"/>
      <c r="CLE218" s="1"/>
      <c r="CLF218" s="1"/>
      <c r="CLG218" s="1"/>
      <c r="CLH218" s="1"/>
      <c r="CLI218" s="1"/>
      <c r="CLJ218" s="1"/>
      <c r="CLK218" s="1"/>
      <c r="CLL218" s="1"/>
      <c r="CLM218" s="1"/>
      <c r="CLN218" s="1"/>
      <c r="CLO218" s="1"/>
      <c r="CLP218" s="1"/>
      <c r="CLQ218" s="1"/>
      <c r="CLR218" s="1"/>
      <c r="CLS218" s="1"/>
      <c r="CLT218" s="1"/>
      <c r="CLU218" s="1"/>
      <c r="CLV218" s="1"/>
      <c r="CLW218" s="1"/>
      <c r="CLX218" s="1"/>
      <c r="CLY218" s="1"/>
      <c r="CLZ218" s="1"/>
      <c r="CMA218" s="1"/>
      <c r="CMB218" s="1"/>
      <c r="CMC218" s="1"/>
      <c r="CMD218" s="1"/>
      <c r="CME218" s="1"/>
      <c r="CMF218" s="1"/>
      <c r="CMG218" s="1"/>
      <c r="CMH218" s="1"/>
      <c r="CMI218" s="1"/>
      <c r="CMJ218" s="1"/>
      <c r="CMK218" s="1"/>
      <c r="CML218" s="1"/>
      <c r="CMM218" s="1"/>
      <c r="CMN218" s="1"/>
      <c r="CMO218" s="1"/>
      <c r="CMP218" s="1"/>
      <c r="CMQ218" s="1"/>
      <c r="CMR218" s="1"/>
      <c r="CMS218" s="1"/>
      <c r="CMT218" s="1"/>
      <c r="CMU218" s="1"/>
      <c r="CMV218" s="1"/>
      <c r="CMW218" s="1"/>
      <c r="CMX218" s="1"/>
      <c r="CMY218" s="1"/>
      <c r="CMZ218" s="1"/>
      <c r="CNA218" s="1"/>
      <c r="CNB218" s="1"/>
      <c r="CNC218" s="1"/>
      <c r="CND218" s="1"/>
      <c r="CNE218" s="1"/>
      <c r="CNF218" s="1"/>
      <c r="CNG218" s="1"/>
      <c r="CNH218" s="1"/>
      <c r="CNI218" s="1"/>
      <c r="CNJ218" s="1"/>
      <c r="CNK218" s="1"/>
      <c r="CNL218" s="1"/>
      <c r="CNM218" s="1"/>
      <c r="CNN218" s="1"/>
      <c r="CNO218" s="1"/>
      <c r="CNP218" s="1"/>
      <c r="CNQ218" s="1"/>
      <c r="CNR218" s="1"/>
      <c r="CNS218" s="1"/>
      <c r="CNT218" s="1"/>
      <c r="CNU218" s="1"/>
      <c r="CNV218" s="1"/>
      <c r="CNW218" s="1"/>
      <c r="CNX218" s="1"/>
      <c r="CNY218" s="1"/>
      <c r="CNZ218" s="1"/>
      <c r="COA218" s="1"/>
      <c r="COB218" s="1"/>
      <c r="COC218" s="1"/>
      <c r="COD218" s="1"/>
      <c r="COE218" s="1"/>
      <c r="COF218" s="1"/>
      <c r="COG218" s="1"/>
      <c r="COH218" s="1"/>
      <c r="COI218" s="1"/>
      <c r="COJ218" s="1"/>
      <c r="COK218" s="1"/>
      <c r="COL218" s="1"/>
      <c r="COM218" s="1"/>
      <c r="CON218" s="1"/>
      <c r="COO218" s="1"/>
      <c r="COP218" s="1"/>
      <c r="COQ218" s="1"/>
      <c r="COR218" s="1"/>
      <c r="COS218" s="1"/>
      <c r="COT218" s="1"/>
      <c r="COU218" s="1"/>
      <c r="COV218" s="1"/>
      <c r="COW218" s="1"/>
      <c r="COX218" s="1"/>
      <c r="COY218" s="1"/>
      <c r="COZ218" s="1"/>
      <c r="CPA218" s="1"/>
      <c r="CPB218" s="1"/>
      <c r="CPC218" s="1"/>
      <c r="CPD218" s="1"/>
      <c r="CPE218" s="1"/>
      <c r="CPF218" s="1"/>
      <c r="CPG218" s="1"/>
      <c r="CPH218" s="1"/>
      <c r="CPI218" s="1"/>
      <c r="CPJ218" s="1"/>
      <c r="CPK218" s="1"/>
      <c r="CPL218" s="1"/>
      <c r="CPM218" s="1"/>
      <c r="CPN218" s="1"/>
      <c r="CPO218" s="1"/>
      <c r="CPP218" s="1"/>
      <c r="CPQ218" s="1"/>
      <c r="CPR218" s="1"/>
      <c r="CPS218" s="1"/>
      <c r="CPT218" s="1"/>
      <c r="CPU218" s="1"/>
      <c r="CPV218" s="1"/>
      <c r="CPW218" s="1"/>
      <c r="CPX218" s="1"/>
      <c r="CPY218" s="1"/>
      <c r="CPZ218" s="1"/>
      <c r="CQA218" s="1"/>
      <c r="CQB218" s="1"/>
      <c r="CQC218" s="1"/>
      <c r="CQD218" s="1"/>
      <c r="CQE218" s="1"/>
      <c r="CQF218" s="1"/>
      <c r="CQG218" s="1"/>
      <c r="CQH218" s="1"/>
      <c r="CQI218" s="1"/>
      <c r="CQJ218" s="1"/>
      <c r="CQK218" s="1"/>
      <c r="CQL218" s="1"/>
      <c r="CQM218" s="1"/>
      <c r="CQN218" s="1"/>
      <c r="CQO218" s="1"/>
      <c r="CQP218" s="1"/>
      <c r="CQQ218" s="1"/>
      <c r="CQR218" s="1"/>
      <c r="CQS218" s="1"/>
      <c r="CQT218" s="1"/>
      <c r="CQU218" s="1"/>
      <c r="CQV218" s="1"/>
      <c r="CQW218" s="1"/>
      <c r="CQX218" s="1"/>
      <c r="CQY218" s="1"/>
      <c r="CQZ218" s="1"/>
      <c r="CRA218" s="1"/>
      <c r="CRB218" s="1"/>
      <c r="CRC218" s="1"/>
      <c r="CRD218" s="1"/>
      <c r="CRE218" s="1"/>
      <c r="CRF218" s="1"/>
      <c r="CRG218" s="1"/>
      <c r="CRH218" s="1"/>
      <c r="CRI218" s="1"/>
      <c r="CRJ218" s="1"/>
      <c r="CRK218" s="1"/>
      <c r="CRL218" s="1"/>
      <c r="CRM218" s="1"/>
      <c r="CRN218" s="1"/>
      <c r="CRO218" s="1"/>
      <c r="CRP218" s="1"/>
      <c r="CRQ218" s="1"/>
      <c r="CRR218" s="1"/>
      <c r="CRS218" s="1"/>
      <c r="CRT218" s="1"/>
      <c r="CRU218" s="1"/>
      <c r="CRV218" s="1"/>
      <c r="CRW218" s="1"/>
      <c r="CRX218" s="1"/>
      <c r="CRY218" s="1"/>
      <c r="CRZ218" s="1"/>
      <c r="CSA218" s="1"/>
      <c r="CSB218" s="1"/>
      <c r="CSC218" s="1"/>
      <c r="CSD218" s="1"/>
      <c r="CSE218" s="1"/>
      <c r="CSF218" s="1"/>
      <c r="CSG218" s="1"/>
      <c r="CSH218" s="1"/>
      <c r="CSI218" s="1"/>
      <c r="CSJ218" s="1"/>
      <c r="CSK218" s="1"/>
      <c r="CSL218" s="1"/>
      <c r="CSM218" s="1"/>
      <c r="CSN218" s="1"/>
      <c r="CSO218" s="1"/>
      <c r="CSP218" s="1"/>
      <c r="CSQ218" s="1"/>
      <c r="CSR218" s="1"/>
      <c r="CSS218" s="1"/>
      <c r="CST218" s="1"/>
      <c r="CSU218" s="1"/>
      <c r="CSV218" s="1"/>
      <c r="CSW218" s="1"/>
      <c r="CSX218" s="1"/>
      <c r="CSY218" s="1"/>
      <c r="CSZ218" s="1"/>
      <c r="CTA218" s="1"/>
      <c r="CTB218" s="1"/>
      <c r="CTC218" s="1"/>
      <c r="CTD218" s="1"/>
      <c r="CTE218" s="1"/>
      <c r="CTF218" s="1"/>
      <c r="CTG218" s="1"/>
      <c r="CTH218" s="1"/>
      <c r="CTI218" s="1"/>
      <c r="CTJ218" s="1"/>
      <c r="CTK218" s="1"/>
      <c r="CTL218" s="1"/>
      <c r="CTM218" s="1"/>
      <c r="CTN218" s="1"/>
      <c r="CTO218" s="1"/>
      <c r="CTP218" s="1"/>
      <c r="CTQ218" s="1"/>
      <c r="CTR218" s="1"/>
      <c r="CTS218" s="1"/>
      <c r="CTT218" s="1"/>
      <c r="CTU218" s="1"/>
      <c r="CTV218" s="1"/>
      <c r="CTW218" s="1"/>
      <c r="CTX218" s="1"/>
      <c r="CTY218" s="1"/>
      <c r="CTZ218" s="1"/>
      <c r="CUA218" s="1"/>
      <c r="CUB218" s="1"/>
      <c r="CUC218" s="1"/>
      <c r="CUD218" s="1"/>
      <c r="CUE218" s="1"/>
      <c r="CUF218" s="1"/>
      <c r="CUG218" s="1"/>
      <c r="CUH218" s="1"/>
      <c r="CUI218" s="1"/>
      <c r="CUJ218" s="1"/>
      <c r="CUK218" s="1"/>
      <c r="CUL218" s="1"/>
      <c r="CUM218" s="1"/>
      <c r="CUN218" s="1"/>
      <c r="CUO218" s="1"/>
      <c r="CUP218" s="1"/>
      <c r="CUQ218" s="1"/>
      <c r="CUR218" s="1"/>
      <c r="CUS218" s="1"/>
      <c r="CUT218" s="1"/>
      <c r="CUU218" s="1"/>
      <c r="CUV218" s="1"/>
      <c r="CUW218" s="1"/>
      <c r="CUX218" s="1"/>
      <c r="CUY218" s="1"/>
      <c r="CUZ218" s="1"/>
      <c r="CVA218" s="1"/>
      <c r="CVB218" s="1"/>
      <c r="CVC218" s="1"/>
      <c r="CVD218" s="1"/>
      <c r="CVE218" s="1"/>
      <c r="CVF218" s="1"/>
      <c r="CVG218" s="1"/>
      <c r="CVH218" s="1"/>
      <c r="CVI218" s="1"/>
      <c r="CVJ218" s="1"/>
      <c r="CVK218" s="1"/>
      <c r="CVL218" s="1"/>
      <c r="CVM218" s="1"/>
      <c r="CVN218" s="1"/>
      <c r="CVO218" s="1"/>
      <c r="CVP218" s="1"/>
      <c r="CVQ218" s="1"/>
      <c r="CVR218" s="1"/>
      <c r="CVS218" s="1"/>
      <c r="CVT218" s="1"/>
      <c r="CVU218" s="1"/>
      <c r="CVV218" s="1"/>
      <c r="CVW218" s="1"/>
      <c r="CVX218" s="1"/>
      <c r="CVY218" s="1"/>
      <c r="CVZ218" s="1"/>
      <c r="CWA218" s="1"/>
      <c r="CWB218" s="1"/>
      <c r="CWC218" s="1"/>
      <c r="CWD218" s="1"/>
      <c r="CWE218" s="1"/>
      <c r="CWF218" s="1"/>
      <c r="CWG218" s="1"/>
      <c r="CWH218" s="1"/>
      <c r="CWI218" s="1"/>
      <c r="CWJ218" s="1"/>
      <c r="CWK218" s="1"/>
      <c r="CWL218" s="1"/>
      <c r="CWM218" s="1"/>
      <c r="CWN218" s="1"/>
      <c r="CWO218" s="1"/>
      <c r="CWP218" s="1"/>
      <c r="CWQ218" s="1"/>
      <c r="CWR218" s="1"/>
      <c r="CWS218" s="1"/>
      <c r="CWT218" s="1"/>
      <c r="CWU218" s="1"/>
      <c r="CWV218" s="1"/>
      <c r="CWW218" s="1"/>
      <c r="CWX218" s="1"/>
      <c r="CWY218" s="1"/>
      <c r="CWZ218" s="1"/>
      <c r="CXA218" s="1"/>
      <c r="CXB218" s="1"/>
      <c r="CXC218" s="1"/>
      <c r="CXD218" s="1"/>
      <c r="CXE218" s="1"/>
      <c r="CXF218" s="1"/>
      <c r="CXG218" s="1"/>
      <c r="CXH218" s="1"/>
      <c r="CXI218" s="1"/>
      <c r="CXJ218" s="1"/>
      <c r="CXK218" s="1"/>
      <c r="CXL218" s="1"/>
      <c r="CXM218" s="1"/>
      <c r="CXN218" s="1"/>
      <c r="CXO218" s="1"/>
      <c r="CXP218" s="1"/>
      <c r="CXQ218" s="1"/>
      <c r="CXR218" s="1"/>
      <c r="CXS218" s="1"/>
      <c r="CXT218" s="1"/>
      <c r="CXU218" s="1"/>
      <c r="CXV218" s="1"/>
      <c r="CXW218" s="1"/>
      <c r="CXX218" s="1"/>
      <c r="CXY218" s="1"/>
      <c r="CXZ218" s="1"/>
      <c r="CYA218" s="1"/>
      <c r="CYB218" s="1"/>
      <c r="CYC218" s="1"/>
      <c r="CYD218" s="1"/>
      <c r="CYE218" s="1"/>
      <c r="CYF218" s="1"/>
      <c r="CYG218" s="1"/>
      <c r="CYH218" s="1"/>
      <c r="CYI218" s="1"/>
      <c r="CYJ218" s="1"/>
      <c r="CYK218" s="1"/>
      <c r="CYL218" s="1"/>
      <c r="CYM218" s="1"/>
      <c r="CYN218" s="1"/>
      <c r="CYO218" s="1"/>
      <c r="CYP218" s="1"/>
      <c r="CYQ218" s="1"/>
      <c r="CYR218" s="1"/>
      <c r="CYS218" s="1"/>
      <c r="CYT218" s="1"/>
      <c r="CYU218" s="1"/>
      <c r="CYV218" s="1"/>
      <c r="CYW218" s="1"/>
      <c r="CYX218" s="1"/>
      <c r="CYY218" s="1"/>
      <c r="CYZ218" s="1"/>
      <c r="CZA218" s="1"/>
      <c r="CZB218" s="1"/>
      <c r="CZC218" s="1"/>
      <c r="CZD218" s="1"/>
      <c r="CZE218" s="1"/>
      <c r="CZF218" s="1"/>
      <c r="CZG218" s="1"/>
      <c r="CZH218" s="1"/>
      <c r="CZI218" s="1"/>
      <c r="CZJ218" s="1"/>
      <c r="CZK218" s="1"/>
      <c r="CZL218" s="1"/>
      <c r="CZM218" s="1"/>
      <c r="CZN218" s="1"/>
      <c r="CZO218" s="1"/>
      <c r="CZP218" s="1"/>
      <c r="CZQ218" s="1"/>
      <c r="CZR218" s="1"/>
      <c r="CZS218" s="1"/>
      <c r="CZT218" s="1"/>
      <c r="CZU218" s="1"/>
      <c r="CZV218" s="1"/>
      <c r="CZW218" s="1"/>
      <c r="CZX218" s="1"/>
      <c r="CZY218" s="1"/>
      <c r="CZZ218" s="1"/>
      <c r="DAA218" s="1"/>
      <c r="DAB218" s="1"/>
      <c r="DAC218" s="1"/>
      <c r="DAD218" s="1"/>
      <c r="DAE218" s="1"/>
      <c r="DAF218" s="1"/>
      <c r="DAG218" s="1"/>
      <c r="DAH218" s="1"/>
      <c r="DAI218" s="1"/>
      <c r="DAJ218" s="1"/>
      <c r="DAK218" s="1"/>
      <c r="DAL218" s="1"/>
      <c r="DAM218" s="1"/>
      <c r="DAN218" s="1"/>
      <c r="DAO218" s="1"/>
      <c r="DAP218" s="1"/>
      <c r="DAQ218" s="1"/>
      <c r="DAR218" s="1"/>
      <c r="DAS218" s="1"/>
      <c r="DAT218" s="1"/>
      <c r="DAU218" s="1"/>
      <c r="DAV218" s="1"/>
      <c r="DAW218" s="1"/>
      <c r="DAX218" s="1"/>
      <c r="DAY218" s="1"/>
      <c r="DAZ218" s="1"/>
      <c r="DBA218" s="1"/>
      <c r="DBB218" s="1"/>
      <c r="DBC218" s="1"/>
      <c r="DBD218" s="1"/>
      <c r="DBE218" s="1"/>
      <c r="DBF218" s="1"/>
      <c r="DBG218" s="1"/>
      <c r="DBH218" s="1"/>
      <c r="DBI218" s="1"/>
      <c r="DBJ218" s="1"/>
      <c r="DBK218" s="1"/>
      <c r="DBL218" s="1"/>
      <c r="DBM218" s="1"/>
      <c r="DBN218" s="1"/>
      <c r="DBO218" s="1"/>
      <c r="DBP218" s="1"/>
      <c r="DBQ218" s="1"/>
      <c r="DBR218" s="1"/>
      <c r="DBS218" s="1"/>
      <c r="DBT218" s="1"/>
      <c r="DBU218" s="1"/>
      <c r="DBV218" s="1"/>
      <c r="DBW218" s="1"/>
      <c r="DBX218" s="1"/>
      <c r="DBY218" s="1"/>
      <c r="DBZ218" s="1"/>
      <c r="DCA218" s="1"/>
      <c r="DCB218" s="1"/>
      <c r="DCC218" s="1"/>
      <c r="DCD218" s="1"/>
      <c r="DCE218" s="1"/>
      <c r="DCF218" s="1"/>
      <c r="DCG218" s="1"/>
      <c r="DCH218" s="1"/>
      <c r="DCI218" s="1"/>
      <c r="DCJ218" s="1"/>
      <c r="DCK218" s="1"/>
      <c r="DCL218" s="1"/>
      <c r="DCM218" s="1"/>
      <c r="DCN218" s="1"/>
      <c r="DCO218" s="1"/>
      <c r="DCP218" s="1"/>
      <c r="DCQ218" s="1"/>
      <c r="DCR218" s="1"/>
      <c r="DCS218" s="1"/>
      <c r="DCT218" s="1"/>
      <c r="DCU218" s="1"/>
      <c r="DCV218" s="1"/>
      <c r="DCW218" s="1"/>
      <c r="DCX218" s="1"/>
      <c r="DCY218" s="1"/>
      <c r="DCZ218" s="1"/>
      <c r="DDA218" s="1"/>
      <c r="DDB218" s="1"/>
      <c r="DDC218" s="1"/>
      <c r="DDD218" s="1"/>
      <c r="DDE218" s="1"/>
      <c r="DDF218" s="1"/>
      <c r="DDG218" s="1"/>
      <c r="DDH218" s="1"/>
      <c r="DDI218" s="1"/>
      <c r="DDJ218" s="1"/>
      <c r="DDK218" s="1"/>
      <c r="DDL218" s="1"/>
      <c r="DDM218" s="1"/>
      <c r="DDN218" s="1"/>
      <c r="DDO218" s="1"/>
      <c r="DDP218" s="1"/>
      <c r="DDQ218" s="1"/>
      <c r="DDR218" s="1"/>
      <c r="DDS218" s="1"/>
      <c r="DDT218" s="1"/>
      <c r="DDU218" s="1"/>
      <c r="DDV218" s="1"/>
      <c r="DDW218" s="1"/>
      <c r="DDX218" s="1"/>
      <c r="DDY218" s="1"/>
      <c r="DDZ218" s="1"/>
      <c r="DEA218" s="1"/>
      <c r="DEB218" s="1"/>
      <c r="DEC218" s="1"/>
      <c r="DED218" s="1"/>
      <c r="DEE218" s="1"/>
      <c r="DEF218" s="1"/>
      <c r="DEG218" s="1"/>
      <c r="DEH218" s="1"/>
      <c r="DEI218" s="1"/>
      <c r="DEJ218" s="1"/>
      <c r="DEK218" s="1"/>
      <c r="DEL218" s="1"/>
      <c r="DEM218" s="1"/>
      <c r="DEN218" s="1"/>
      <c r="DEO218" s="1"/>
      <c r="DEP218" s="1"/>
      <c r="DEQ218" s="1"/>
      <c r="DER218" s="1"/>
      <c r="DES218" s="1"/>
      <c r="DET218" s="1"/>
      <c r="DEU218" s="1"/>
      <c r="DEV218" s="1"/>
      <c r="DEW218" s="1"/>
      <c r="DEX218" s="1"/>
      <c r="DEY218" s="1"/>
      <c r="DEZ218" s="1"/>
      <c r="DFA218" s="1"/>
      <c r="DFB218" s="1"/>
      <c r="DFC218" s="1"/>
      <c r="DFD218" s="1"/>
      <c r="DFE218" s="1"/>
      <c r="DFF218" s="1"/>
      <c r="DFG218" s="1"/>
      <c r="DFH218" s="1"/>
      <c r="DFI218" s="1"/>
      <c r="DFJ218" s="1"/>
      <c r="DFK218" s="1"/>
      <c r="DFL218" s="1"/>
      <c r="DFM218" s="1"/>
      <c r="DFN218" s="1"/>
      <c r="DFO218" s="1"/>
      <c r="DFP218" s="1"/>
      <c r="DFQ218" s="1"/>
      <c r="DFR218" s="1"/>
      <c r="DFS218" s="1"/>
      <c r="DFT218" s="1"/>
      <c r="DFU218" s="1"/>
      <c r="DFV218" s="1"/>
      <c r="DFW218" s="1"/>
      <c r="DFX218" s="1"/>
      <c r="DFY218" s="1"/>
      <c r="DFZ218" s="1"/>
      <c r="DGA218" s="1"/>
      <c r="DGB218" s="1"/>
      <c r="DGC218" s="1"/>
      <c r="DGD218" s="1"/>
      <c r="DGE218" s="1"/>
      <c r="DGF218" s="1"/>
      <c r="DGG218" s="1"/>
      <c r="DGH218" s="1"/>
      <c r="DGI218" s="1"/>
      <c r="DGJ218" s="1"/>
      <c r="DGK218" s="1"/>
      <c r="DGL218" s="1"/>
      <c r="DGM218" s="1"/>
      <c r="DGN218" s="1"/>
      <c r="DGO218" s="1"/>
      <c r="DGP218" s="1"/>
      <c r="DGQ218" s="1"/>
      <c r="DGR218" s="1"/>
      <c r="DGS218" s="1"/>
      <c r="DGT218" s="1"/>
      <c r="DGU218" s="1"/>
      <c r="DGV218" s="1"/>
      <c r="DGW218" s="1"/>
      <c r="DGX218" s="1"/>
      <c r="DGY218" s="1"/>
      <c r="DGZ218" s="1"/>
      <c r="DHA218" s="1"/>
      <c r="DHB218" s="1"/>
      <c r="DHC218" s="1"/>
      <c r="DHD218" s="1"/>
      <c r="DHE218" s="1"/>
      <c r="DHF218" s="1"/>
      <c r="DHG218" s="1"/>
      <c r="DHH218" s="1"/>
      <c r="DHI218" s="1"/>
      <c r="DHJ218" s="1"/>
      <c r="DHK218" s="1"/>
      <c r="DHL218" s="1"/>
      <c r="DHM218" s="1"/>
      <c r="DHN218" s="1"/>
      <c r="DHO218" s="1"/>
      <c r="DHP218" s="1"/>
      <c r="DHQ218" s="1"/>
      <c r="DHR218" s="1"/>
      <c r="DHS218" s="1"/>
      <c r="DHT218" s="1"/>
      <c r="DHU218" s="1"/>
      <c r="DHV218" s="1"/>
      <c r="DHW218" s="1"/>
      <c r="DHX218" s="1"/>
      <c r="DHY218" s="1"/>
      <c r="DHZ218" s="1"/>
      <c r="DIA218" s="1"/>
      <c r="DIB218" s="1"/>
      <c r="DIC218" s="1"/>
      <c r="DID218" s="1"/>
      <c r="DIE218" s="1"/>
      <c r="DIF218" s="1"/>
      <c r="DIG218" s="1"/>
      <c r="DIH218" s="1"/>
      <c r="DII218" s="1"/>
      <c r="DIJ218" s="1"/>
      <c r="DIK218" s="1"/>
      <c r="DIL218" s="1"/>
      <c r="DIM218" s="1"/>
      <c r="DIN218" s="1"/>
      <c r="DIO218" s="1"/>
      <c r="DIP218" s="1"/>
      <c r="DIQ218" s="1"/>
      <c r="DIR218" s="1"/>
      <c r="DIS218" s="1"/>
      <c r="DIT218" s="1"/>
      <c r="DIU218" s="1"/>
      <c r="DIV218" s="1"/>
      <c r="DIW218" s="1"/>
      <c r="DIX218" s="1"/>
      <c r="DIY218" s="1"/>
      <c r="DIZ218" s="1"/>
      <c r="DJA218" s="1"/>
      <c r="DJB218" s="1"/>
      <c r="DJC218" s="1"/>
      <c r="DJD218" s="1"/>
      <c r="DJE218" s="1"/>
      <c r="DJF218" s="1"/>
      <c r="DJG218" s="1"/>
      <c r="DJH218" s="1"/>
      <c r="DJI218" s="1"/>
      <c r="DJJ218" s="1"/>
      <c r="DJK218" s="1"/>
      <c r="DJL218" s="1"/>
      <c r="DJM218" s="1"/>
      <c r="DJN218" s="1"/>
      <c r="DJO218" s="1"/>
      <c r="DJP218" s="1"/>
      <c r="DJQ218" s="1"/>
      <c r="DJR218" s="1"/>
      <c r="DJS218" s="1"/>
      <c r="DJT218" s="1"/>
      <c r="DJU218" s="1"/>
      <c r="DJV218" s="1"/>
      <c r="DJW218" s="1"/>
      <c r="DJX218" s="1"/>
      <c r="DJY218" s="1"/>
      <c r="DJZ218" s="1"/>
      <c r="DKA218" s="1"/>
      <c r="DKB218" s="1"/>
      <c r="DKC218" s="1"/>
      <c r="DKD218" s="1"/>
      <c r="DKE218" s="1"/>
      <c r="DKF218" s="1"/>
      <c r="DKG218" s="1"/>
      <c r="DKH218" s="1"/>
      <c r="DKI218" s="1"/>
      <c r="DKJ218" s="1"/>
      <c r="DKK218" s="1"/>
      <c r="DKL218" s="1"/>
      <c r="DKM218" s="1"/>
      <c r="DKN218" s="1"/>
      <c r="DKO218" s="1"/>
      <c r="DKP218" s="1"/>
      <c r="DKQ218" s="1"/>
      <c r="DKR218" s="1"/>
      <c r="DKS218" s="1"/>
      <c r="DKT218" s="1"/>
      <c r="DKU218" s="1"/>
      <c r="DKV218" s="1"/>
      <c r="DKW218" s="1"/>
      <c r="DKX218" s="1"/>
      <c r="DKY218" s="1"/>
      <c r="DKZ218" s="1"/>
      <c r="DLA218" s="1"/>
      <c r="DLB218" s="1"/>
      <c r="DLC218" s="1"/>
      <c r="DLD218" s="1"/>
      <c r="DLE218" s="1"/>
      <c r="DLF218" s="1"/>
      <c r="DLG218" s="1"/>
      <c r="DLH218" s="1"/>
      <c r="DLI218" s="1"/>
      <c r="DLJ218" s="1"/>
      <c r="DLK218" s="1"/>
      <c r="DLL218" s="1"/>
      <c r="DLM218" s="1"/>
      <c r="DLN218" s="1"/>
      <c r="DLO218" s="1"/>
      <c r="DLP218" s="1"/>
      <c r="DLQ218" s="1"/>
      <c r="DLR218" s="1"/>
      <c r="DLS218" s="1"/>
      <c r="DLT218" s="1"/>
      <c r="DLU218" s="1"/>
      <c r="DLV218" s="1"/>
      <c r="DLW218" s="1"/>
      <c r="DLX218" s="1"/>
      <c r="DLY218" s="1"/>
      <c r="DLZ218" s="1"/>
      <c r="DMA218" s="1"/>
      <c r="DMB218" s="1"/>
      <c r="DMC218" s="1"/>
      <c r="DMD218" s="1"/>
      <c r="DME218" s="1"/>
      <c r="DMF218" s="1"/>
      <c r="DMG218" s="1"/>
      <c r="DMH218" s="1"/>
      <c r="DMI218" s="1"/>
      <c r="DMJ218" s="1"/>
      <c r="DMK218" s="1"/>
      <c r="DML218" s="1"/>
      <c r="DMM218" s="1"/>
      <c r="DMN218" s="1"/>
      <c r="DMO218" s="1"/>
      <c r="DMP218" s="1"/>
      <c r="DMQ218" s="1"/>
      <c r="DMR218" s="1"/>
      <c r="DMS218" s="1"/>
      <c r="DMT218" s="1"/>
      <c r="DMU218" s="1"/>
      <c r="DMV218" s="1"/>
      <c r="DMW218" s="1"/>
      <c r="DMX218" s="1"/>
      <c r="DMY218" s="1"/>
      <c r="DMZ218" s="1"/>
      <c r="DNA218" s="1"/>
      <c r="DNB218" s="1"/>
      <c r="DNC218" s="1"/>
      <c r="DND218" s="1"/>
      <c r="DNE218" s="1"/>
      <c r="DNF218" s="1"/>
      <c r="DNG218" s="1"/>
      <c r="DNH218" s="1"/>
      <c r="DNI218" s="1"/>
      <c r="DNJ218" s="1"/>
      <c r="DNK218" s="1"/>
      <c r="DNL218" s="1"/>
      <c r="DNM218" s="1"/>
      <c r="DNN218" s="1"/>
      <c r="DNO218" s="1"/>
      <c r="DNP218" s="1"/>
      <c r="DNQ218" s="1"/>
      <c r="DNR218" s="1"/>
      <c r="DNS218" s="1"/>
      <c r="DNT218" s="1"/>
      <c r="DNU218" s="1"/>
      <c r="DNV218" s="1"/>
      <c r="DNW218" s="1"/>
      <c r="DNX218" s="1"/>
      <c r="DNY218" s="1"/>
      <c r="DNZ218" s="1"/>
      <c r="DOA218" s="1"/>
      <c r="DOB218" s="1"/>
      <c r="DOC218" s="1"/>
      <c r="DOD218" s="1"/>
      <c r="DOE218" s="1"/>
      <c r="DOF218" s="1"/>
      <c r="DOG218" s="1"/>
      <c r="DOH218" s="1"/>
      <c r="DOI218" s="1"/>
      <c r="DOJ218" s="1"/>
      <c r="DOK218" s="1"/>
      <c r="DOL218" s="1"/>
      <c r="DOM218" s="1"/>
      <c r="DON218" s="1"/>
      <c r="DOO218" s="1"/>
      <c r="DOP218" s="1"/>
      <c r="DOQ218" s="1"/>
      <c r="DOR218" s="1"/>
      <c r="DOS218" s="1"/>
      <c r="DOT218" s="1"/>
      <c r="DOU218" s="1"/>
      <c r="DOV218" s="1"/>
      <c r="DOW218" s="1"/>
      <c r="DOX218" s="1"/>
      <c r="DOY218" s="1"/>
      <c r="DOZ218" s="1"/>
      <c r="DPA218" s="1"/>
      <c r="DPB218" s="1"/>
      <c r="DPC218" s="1"/>
      <c r="DPD218" s="1"/>
      <c r="DPE218" s="1"/>
      <c r="DPF218" s="1"/>
      <c r="DPG218" s="1"/>
      <c r="DPH218" s="1"/>
      <c r="DPI218" s="1"/>
      <c r="DPJ218" s="1"/>
      <c r="DPK218" s="1"/>
      <c r="DPL218" s="1"/>
      <c r="DPM218" s="1"/>
      <c r="DPN218" s="1"/>
      <c r="DPO218" s="1"/>
      <c r="DPP218" s="1"/>
      <c r="DPQ218" s="1"/>
      <c r="DPR218" s="1"/>
      <c r="DPS218" s="1"/>
      <c r="DPT218" s="1"/>
      <c r="DPU218" s="1"/>
      <c r="DPV218" s="1"/>
      <c r="DPW218" s="1"/>
      <c r="DPX218" s="1"/>
      <c r="DPY218" s="1"/>
      <c r="DPZ218" s="1"/>
      <c r="DQA218" s="1"/>
      <c r="DQB218" s="1"/>
      <c r="DQC218" s="1"/>
      <c r="DQD218" s="1"/>
      <c r="DQE218" s="1"/>
      <c r="DQF218" s="1"/>
      <c r="DQG218" s="1"/>
      <c r="DQH218" s="1"/>
      <c r="DQI218" s="1"/>
      <c r="DQJ218" s="1"/>
      <c r="DQK218" s="1"/>
      <c r="DQL218" s="1"/>
      <c r="DQM218" s="1"/>
      <c r="DQN218" s="1"/>
      <c r="DQO218" s="1"/>
      <c r="DQP218" s="1"/>
      <c r="DQQ218" s="1"/>
      <c r="DQR218" s="1"/>
      <c r="DQS218" s="1"/>
      <c r="DQT218" s="1"/>
      <c r="DQU218" s="1"/>
      <c r="DQV218" s="1"/>
      <c r="DQW218" s="1"/>
      <c r="DQX218" s="1"/>
      <c r="DQY218" s="1"/>
      <c r="DQZ218" s="1"/>
      <c r="DRA218" s="1"/>
      <c r="DRB218" s="1"/>
      <c r="DRC218" s="1"/>
      <c r="DRD218" s="1"/>
      <c r="DRE218" s="1"/>
      <c r="DRF218" s="1"/>
      <c r="DRG218" s="1"/>
      <c r="DRH218" s="1"/>
      <c r="DRI218" s="1"/>
      <c r="DRJ218" s="1"/>
      <c r="DRK218" s="1"/>
      <c r="DRL218" s="1"/>
      <c r="DRM218" s="1"/>
      <c r="DRN218" s="1"/>
      <c r="DRO218" s="1"/>
      <c r="DRP218" s="1"/>
      <c r="DRQ218" s="1"/>
      <c r="DRR218" s="1"/>
      <c r="DRS218" s="1"/>
      <c r="DRT218" s="1"/>
      <c r="DRU218" s="1"/>
      <c r="DRV218" s="1"/>
      <c r="DRW218" s="1"/>
      <c r="DRX218" s="1"/>
      <c r="DRY218" s="1"/>
      <c r="DRZ218" s="1"/>
      <c r="DSA218" s="1"/>
      <c r="DSB218" s="1"/>
      <c r="DSC218" s="1"/>
      <c r="DSD218" s="1"/>
      <c r="DSE218" s="1"/>
      <c r="DSF218" s="1"/>
      <c r="DSG218" s="1"/>
      <c r="DSH218" s="1"/>
      <c r="DSI218" s="1"/>
      <c r="DSJ218" s="1"/>
      <c r="DSK218" s="1"/>
      <c r="DSL218" s="1"/>
      <c r="DSM218" s="1"/>
      <c r="DSN218" s="1"/>
      <c r="DSO218" s="1"/>
      <c r="DSP218" s="1"/>
      <c r="DSQ218" s="1"/>
      <c r="DSR218" s="1"/>
      <c r="DSS218" s="1"/>
      <c r="DST218" s="1"/>
      <c r="DSU218" s="1"/>
      <c r="DSV218" s="1"/>
      <c r="DSW218" s="1"/>
      <c r="DSX218" s="1"/>
      <c r="DSY218" s="1"/>
      <c r="DSZ218" s="1"/>
      <c r="DTA218" s="1"/>
      <c r="DTB218" s="1"/>
      <c r="DTC218" s="1"/>
      <c r="DTD218" s="1"/>
      <c r="DTE218" s="1"/>
      <c r="DTF218" s="1"/>
      <c r="DTG218" s="1"/>
      <c r="DTH218" s="1"/>
      <c r="DTI218" s="1"/>
      <c r="DTJ218" s="1"/>
      <c r="DTK218" s="1"/>
      <c r="DTL218" s="1"/>
      <c r="DTM218" s="1"/>
      <c r="DTN218" s="1"/>
      <c r="DTO218" s="1"/>
      <c r="DTP218" s="1"/>
      <c r="DTQ218" s="1"/>
      <c r="DTR218" s="1"/>
      <c r="DTS218" s="1"/>
      <c r="DTT218" s="1"/>
      <c r="DTU218" s="1"/>
      <c r="DTV218" s="1"/>
      <c r="DTW218" s="1"/>
      <c r="DTX218" s="1"/>
      <c r="DTY218" s="1"/>
      <c r="DTZ218" s="1"/>
      <c r="DUA218" s="1"/>
      <c r="DUB218" s="1"/>
      <c r="DUC218" s="1"/>
      <c r="DUD218" s="1"/>
      <c r="DUE218" s="1"/>
      <c r="DUF218" s="1"/>
      <c r="DUG218" s="1"/>
      <c r="DUH218" s="1"/>
      <c r="DUI218" s="1"/>
      <c r="DUJ218" s="1"/>
      <c r="DUK218" s="1"/>
      <c r="DUL218" s="1"/>
      <c r="DUM218" s="1"/>
      <c r="DUN218" s="1"/>
      <c r="DUO218" s="1"/>
      <c r="DUP218" s="1"/>
      <c r="DUQ218" s="1"/>
      <c r="DUR218" s="1"/>
      <c r="DUS218" s="1"/>
      <c r="DUT218" s="1"/>
      <c r="DUU218" s="1"/>
      <c r="DUV218" s="1"/>
      <c r="DUW218" s="1"/>
      <c r="DUX218" s="1"/>
      <c r="DUY218" s="1"/>
      <c r="DUZ218" s="1"/>
      <c r="DVA218" s="1"/>
      <c r="DVB218" s="1"/>
      <c r="DVC218" s="1"/>
      <c r="DVD218" s="1"/>
      <c r="DVE218" s="1"/>
      <c r="DVF218" s="1"/>
      <c r="DVG218" s="1"/>
      <c r="DVH218" s="1"/>
      <c r="DVI218" s="1"/>
      <c r="DVJ218" s="1"/>
      <c r="DVK218" s="1"/>
      <c r="DVL218" s="1"/>
      <c r="DVM218" s="1"/>
      <c r="DVN218" s="1"/>
      <c r="DVO218" s="1"/>
      <c r="DVP218" s="1"/>
      <c r="DVQ218" s="1"/>
      <c r="DVR218" s="1"/>
      <c r="DVS218" s="1"/>
      <c r="DVT218" s="1"/>
      <c r="DVU218" s="1"/>
      <c r="DVV218" s="1"/>
      <c r="DVW218" s="1"/>
      <c r="DVX218" s="1"/>
      <c r="DVY218" s="1"/>
      <c r="DVZ218" s="1"/>
      <c r="DWA218" s="1"/>
      <c r="DWB218" s="1"/>
      <c r="DWC218" s="1"/>
      <c r="DWD218" s="1"/>
      <c r="DWE218" s="1"/>
      <c r="DWF218" s="1"/>
      <c r="DWG218" s="1"/>
      <c r="DWH218" s="1"/>
      <c r="DWI218" s="1"/>
      <c r="DWJ218" s="1"/>
      <c r="DWK218" s="1"/>
      <c r="DWL218" s="1"/>
      <c r="DWM218" s="1"/>
      <c r="DWN218" s="1"/>
      <c r="DWO218" s="1"/>
      <c r="DWP218" s="1"/>
      <c r="DWQ218" s="1"/>
      <c r="DWR218" s="1"/>
      <c r="DWS218" s="1"/>
      <c r="DWT218" s="1"/>
      <c r="DWU218" s="1"/>
      <c r="DWV218" s="1"/>
      <c r="DWW218" s="1"/>
      <c r="DWX218" s="1"/>
      <c r="DWY218" s="1"/>
      <c r="DWZ218" s="1"/>
      <c r="DXA218" s="1"/>
      <c r="DXB218" s="1"/>
      <c r="DXC218" s="1"/>
      <c r="DXD218" s="1"/>
      <c r="DXE218" s="1"/>
      <c r="DXF218" s="1"/>
      <c r="DXG218" s="1"/>
      <c r="DXH218" s="1"/>
      <c r="DXI218" s="1"/>
      <c r="DXJ218" s="1"/>
      <c r="DXK218" s="1"/>
      <c r="DXL218" s="1"/>
      <c r="DXM218" s="1"/>
      <c r="DXN218" s="1"/>
      <c r="DXO218" s="1"/>
      <c r="DXP218" s="1"/>
      <c r="DXQ218" s="1"/>
      <c r="DXR218" s="1"/>
      <c r="DXS218" s="1"/>
      <c r="DXT218" s="1"/>
      <c r="DXU218" s="1"/>
      <c r="DXV218" s="1"/>
      <c r="DXW218" s="1"/>
      <c r="DXX218" s="1"/>
      <c r="DXY218" s="1"/>
      <c r="DXZ218" s="1"/>
      <c r="DYA218" s="1"/>
      <c r="DYB218" s="1"/>
      <c r="DYC218" s="1"/>
      <c r="DYD218" s="1"/>
      <c r="DYE218" s="1"/>
      <c r="DYF218" s="1"/>
      <c r="DYG218" s="1"/>
      <c r="DYH218" s="1"/>
      <c r="DYI218" s="1"/>
      <c r="DYJ218" s="1"/>
      <c r="DYK218" s="1"/>
      <c r="DYL218" s="1"/>
      <c r="DYM218" s="1"/>
      <c r="DYN218" s="1"/>
      <c r="DYO218" s="1"/>
      <c r="DYP218" s="1"/>
      <c r="DYQ218" s="1"/>
      <c r="DYR218" s="1"/>
      <c r="DYS218" s="1"/>
      <c r="DYT218" s="1"/>
      <c r="DYU218" s="1"/>
      <c r="DYV218" s="1"/>
      <c r="DYW218" s="1"/>
      <c r="DYX218" s="1"/>
      <c r="DYY218" s="1"/>
      <c r="DYZ218" s="1"/>
      <c r="DZA218" s="1"/>
      <c r="DZB218" s="1"/>
      <c r="DZC218" s="1"/>
      <c r="DZD218" s="1"/>
      <c r="DZE218" s="1"/>
      <c r="DZF218" s="1"/>
      <c r="DZG218" s="1"/>
      <c r="DZH218" s="1"/>
      <c r="DZI218" s="1"/>
      <c r="DZJ218" s="1"/>
      <c r="DZK218" s="1"/>
      <c r="DZL218" s="1"/>
      <c r="DZM218" s="1"/>
      <c r="DZN218" s="1"/>
      <c r="DZO218" s="1"/>
      <c r="DZP218" s="1"/>
      <c r="DZQ218" s="1"/>
      <c r="DZR218" s="1"/>
      <c r="DZS218" s="1"/>
      <c r="DZT218" s="1"/>
      <c r="DZU218" s="1"/>
      <c r="DZV218" s="1"/>
      <c r="DZW218" s="1"/>
      <c r="DZX218" s="1"/>
      <c r="DZY218" s="1"/>
      <c r="DZZ218" s="1"/>
      <c r="EAA218" s="1"/>
      <c r="EAB218" s="1"/>
      <c r="EAC218" s="1"/>
      <c r="EAD218" s="1"/>
      <c r="EAE218" s="1"/>
      <c r="EAF218" s="1"/>
      <c r="EAG218" s="1"/>
      <c r="EAH218" s="1"/>
      <c r="EAI218" s="1"/>
      <c r="EAJ218" s="1"/>
      <c r="EAK218" s="1"/>
      <c r="EAL218" s="1"/>
      <c r="EAM218" s="1"/>
      <c r="EAN218" s="1"/>
      <c r="EAO218" s="1"/>
      <c r="EAP218" s="1"/>
      <c r="EAQ218" s="1"/>
      <c r="EAR218" s="1"/>
      <c r="EAS218" s="1"/>
      <c r="EAT218" s="1"/>
      <c r="EAU218" s="1"/>
      <c r="EAV218" s="1"/>
      <c r="EAW218" s="1"/>
      <c r="EAX218" s="1"/>
      <c r="EAY218" s="1"/>
      <c r="EAZ218" s="1"/>
      <c r="EBA218" s="1"/>
      <c r="EBB218" s="1"/>
      <c r="EBC218" s="1"/>
      <c r="EBD218" s="1"/>
      <c r="EBE218" s="1"/>
      <c r="EBF218" s="1"/>
      <c r="EBG218" s="1"/>
      <c r="EBH218" s="1"/>
      <c r="EBI218" s="1"/>
      <c r="EBJ218" s="1"/>
      <c r="EBK218" s="1"/>
      <c r="EBL218" s="1"/>
      <c r="EBM218" s="1"/>
      <c r="EBN218" s="1"/>
      <c r="EBO218" s="1"/>
      <c r="EBP218" s="1"/>
      <c r="EBQ218" s="1"/>
      <c r="EBR218" s="1"/>
      <c r="EBS218" s="1"/>
      <c r="EBT218" s="1"/>
      <c r="EBU218" s="1"/>
      <c r="EBV218" s="1"/>
      <c r="EBW218" s="1"/>
      <c r="EBX218" s="1"/>
      <c r="EBY218" s="1"/>
      <c r="EBZ218" s="1"/>
      <c r="ECA218" s="1"/>
      <c r="ECB218" s="1"/>
      <c r="ECC218" s="1"/>
      <c r="ECD218" s="1"/>
      <c r="ECE218" s="1"/>
      <c r="ECF218" s="1"/>
      <c r="ECG218" s="1"/>
      <c r="ECH218" s="1"/>
      <c r="ECI218" s="1"/>
      <c r="ECJ218" s="1"/>
      <c r="ECK218" s="1"/>
      <c r="ECL218" s="1"/>
      <c r="ECM218" s="1"/>
      <c r="ECN218" s="1"/>
      <c r="ECO218" s="1"/>
      <c r="ECP218" s="1"/>
      <c r="ECQ218" s="1"/>
      <c r="ECR218" s="1"/>
      <c r="ECS218" s="1"/>
      <c r="ECT218" s="1"/>
      <c r="ECU218" s="1"/>
      <c r="ECV218" s="1"/>
      <c r="ECW218" s="1"/>
      <c r="ECX218" s="1"/>
      <c r="ECY218" s="1"/>
      <c r="ECZ218" s="1"/>
      <c r="EDA218" s="1"/>
      <c r="EDB218" s="1"/>
      <c r="EDC218" s="1"/>
      <c r="EDD218" s="1"/>
      <c r="EDE218" s="1"/>
      <c r="EDF218" s="1"/>
      <c r="EDG218" s="1"/>
      <c r="EDH218" s="1"/>
      <c r="EDI218" s="1"/>
      <c r="EDJ218" s="1"/>
      <c r="EDK218" s="1"/>
      <c r="EDL218" s="1"/>
      <c r="EDM218" s="1"/>
      <c r="EDN218" s="1"/>
      <c r="EDO218" s="1"/>
      <c r="EDP218" s="1"/>
      <c r="EDQ218" s="1"/>
      <c r="EDR218" s="1"/>
      <c r="EDS218" s="1"/>
      <c r="EDT218" s="1"/>
      <c r="EDU218" s="1"/>
      <c r="EDV218" s="1"/>
      <c r="EDW218" s="1"/>
      <c r="EDX218" s="1"/>
      <c r="EDY218" s="1"/>
      <c r="EDZ218" s="1"/>
      <c r="EEA218" s="1"/>
      <c r="EEB218" s="1"/>
      <c r="EEC218" s="1"/>
      <c r="EED218" s="1"/>
      <c r="EEE218" s="1"/>
      <c r="EEF218" s="1"/>
      <c r="EEG218" s="1"/>
      <c r="EEH218" s="1"/>
      <c r="EEI218" s="1"/>
      <c r="EEJ218" s="1"/>
      <c r="EEK218" s="1"/>
      <c r="EEL218" s="1"/>
      <c r="EEM218" s="1"/>
      <c r="EEN218" s="1"/>
      <c r="EEO218" s="1"/>
      <c r="EEP218" s="1"/>
      <c r="EEQ218" s="1"/>
      <c r="EER218" s="1"/>
      <c r="EES218" s="1"/>
      <c r="EET218" s="1"/>
      <c r="EEU218" s="1"/>
      <c r="EEV218" s="1"/>
      <c r="EEW218" s="1"/>
      <c r="EEX218" s="1"/>
      <c r="EEY218" s="1"/>
      <c r="EEZ218" s="1"/>
      <c r="EFA218" s="1"/>
      <c r="EFB218" s="1"/>
      <c r="EFC218" s="1"/>
      <c r="EFD218" s="1"/>
      <c r="EFE218" s="1"/>
      <c r="EFF218" s="1"/>
      <c r="EFG218" s="1"/>
      <c r="EFH218" s="1"/>
      <c r="EFI218" s="1"/>
      <c r="EFJ218" s="1"/>
      <c r="EFK218" s="1"/>
      <c r="EFL218" s="1"/>
      <c r="EFM218" s="1"/>
      <c r="EFN218" s="1"/>
      <c r="EFO218" s="1"/>
      <c r="EFP218" s="1"/>
      <c r="EFQ218" s="1"/>
      <c r="EFR218" s="1"/>
      <c r="EFS218" s="1"/>
      <c r="EFT218" s="1"/>
      <c r="EFU218" s="1"/>
      <c r="EFV218" s="1"/>
      <c r="EFW218" s="1"/>
      <c r="EFX218" s="1"/>
      <c r="EFY218" s="1"/>
      <c r="EFZ218" s="1"/>
      <c r="EGA218" s="1"/>
      <c r="EGB218" s="1"/>
      <c r="EGC218" s="1"/>
      <c r="EGD218" s="1"/>
      <c r="EGE218" s="1"/>
      <c r="EGF218" s="1"/>
      <c r="EGG218" s="1"/>
      <c r="EGH218" s="1"/>
      <c r="EGI218" s="1"/>
      <c r="EGJ218" s="1"/>
      <c r="EGK218" s="1"/>
      <c r="EGL218" s="1"/>
      <c r="EGM218" s="1"/>
      <c r="EGN218" s="1"/>
      <c r="EGO218" s="1"/>
      <c r="EGP218" s="1"/>
      <c r="EGQ218" s="1"/>
      <c r="EGR218" s="1"/>
      <c r="EGS218" s="1"/>
      <c r="EGT218" s="1"/>
      <c r="EGU218" s="1"/>
      <c r="EGV218" s="1"/>
      <c r="EGW218" s="1"/>
      <c r="EGX218" s="1"/>
      <c r="EGY218" s="1"/>
      <c r="EGZ218" s="1"/>
      <c r="EHA218" s="1"/>
      <c r="EHB218" s="1"/>
      <c r="EHC218" s="1"/>
      <c r="EHD218" s="1"/>
      <c r="EHE218" s="1"/>
      <c r="EHF218" s="1"/>
      <c r="EHG218" s="1"/>
      <c r="EHH218" s="1"/>
      <c r="EHI218" s="1"/>
      <c r="EHJ218" s="1"/>
      <c r="EHK218" s="1"/>
      <c r="EHL218" s="1"/>
      <c r="EHM218" s="1"/>
      <c r="EHN218" s="1"/>
      <c r="EHO218" s="1"/>
      <c r="EHP218" s="1"/>
      <c r="EHQ218" s="1"/>
      <c r="EHR218" s="1"/>
      <c r="EHS218" s="1"/>
      <c r="EHT218" s="1"/>
      <c r="EHU218" s="1"/>
      <c r="EHV218" s="1"/>
      <c r="EHW218" s="1"/>
      <c r="EHX218" s="1"/>
      <c r="EHY218" s="1"/>
      <c r="EHZ218" s="1"/>
      <c r="EIA218" s="1"/>
      <c r="EIB218" s="1"/>
      <c r="EIC218" s="1"/>
      <c r="EID218" s="1"/>
      <c r="EIE218" s="1"/>
      <c r="EIF218" s="1"/>
      <c r="EIG218" s="1"/>
      <c r="EIH218" s="1"/>
      <c r="EII218" s="1"/>
      <c r="EIJ218" s="1"/>
      <c r="EIK218" s="1"/>
      <c r="EIL218" s="1"/>
      <c r="EIM218" s="1"/>
      <c r="EIN218" s="1"/>
      <c r="EIO218" s="1"/>
      <c r="EIP218" s="1"/>
      <c r="EIQ218" s="1"/>
      <c r="EIR218" s="1"/>
      <c r="EIS218" s="1"/>
      <c r="EIT218" s="1"/>
      <c r="EIU218" s="1"/>
      <c r="EIV218" s="1"/>
      <c r="EIW218" s="1"/>
      <c r="EIX218" s="1"/>
      <c r="EIY218" s="1"/>
      <c r="EIZ218" s="1"/>
      <c r="EJA218" s="1"/>
      <c r="EJB218" s="1"/>
      <c r="EJC218" s="1"/>
      <c r="EJD218" s="1"/>
      <c r="EJE218" s="1"/>
      <c r="EJF218" s="1"/>
      <c r="EJG218" s="1"/>
      <c r="EJH218" s="1"/>
      <c r="EJI218" s="1"/>
      <c r="EJJ218" s="1"/>
      <c r="EJK218" s="1"/>
      <c r="EJL218" s="1"/>
      <c r="EJM218" s="1"/>
      <c r="EJN218" s="1"/>
      <c r="EJO218" s="1"/>
      <c r="EJP218" s="1"/>
      <c r="EJQ218" s="1"/>
      <c r="EJR218" s="1"/>
      <c r="EJS218" s="1"/>
      <c r="EJT218" s="1"/>
      <c r="EJU218" s="1"/>
      <c r="EJV218" s="1"/>
      <c r="EJW218" s="1"/>
      <c r="EJX218" s="1"/>
      <c r="EJY218" s="1"/>
      <c r="EJZ218" s="1"/>
      <c r="EKA218" s="1"/>
      <c r="EKB218" s="1"/>
      <c r="EKC218" s="1"/>
      <c r="EKD218" s="1"/>
      <c r="EKE218" s="1"/>
      <c r="EKF218" s="1"/>
      <c r="EKG218" s="1"/>
      <c r="EKH218" s="1"/>
      <c r="EKI218" s="1"/>
      <c r="EKJ218" s="1"/>
      <c r="EKK218" s="1"/>
      <c r="EKL218" s="1"/>
      <c r="EKM218" s="1"/>
      <c r="EKN218" s="1"/>
      <c r="EKO218" s="1"/>
      <c r="EKP218" s="1"/>
      <c r="EKQ218" s="1"/>
      <c r="EKR218" s="1"/>
      <c r="EKS218" s="1"/>
      <c r="EKT218" s="1"/>
      <c r="EKU218" s="1"/>
      <c r="EKV218" s="1"/>
      <c r="EKW218" s="1"/>
      <c r="EKX218" s="1"/>
      <c r="EKY218" s="1"/>
      <c r="EKZ218" s="1"/>
      <c r="ELA218" s="1"/>
      <c r="ELB218" s="1"/>
      <c r="ELC218" s="1"/>
      <c r="ELD218" s="1"/>
      <c r="ELE218" s="1"/>
      <c r="ELF218" s="1"/>
      <c r="ELG218" s="1"/>
      <c r="ELH218" s="1"/>
      <c r="ELI218" s="1"/>
      <c r="ELJ218" s="1"/>
      <c r="ELK218" s="1"/>
      <c r="ELL218" s="1"/>
      <c r="ELM218" s="1"/>
      <c r="ELN218" s="1"/>
      <c r="ELO218" s="1"/>
      <c r="ELP218" s="1"/>
      <c r="ELQ218" s="1"/>
      <c r="ELR218" s="1"/>
      <c r="ELS218" s="1"/>
      <c r="ELT218" s="1"/>
      <c r="ELU218" s="1"/>
      <c r="ELV218" s="1"/>
      <c r="ELW218" s="1"/>
      <c r="ELX218" s="1"/>
      <c r="ELY218" s="1"/>
      <c r="ELZ218" s="1"/>
      <c r="EMA218" s="1"/>
      <c r="EMB218" s="1"/>
      <c r="EMC218" s="1"/>
      <c r="EMD218" s="1"/>
      <c r="EME218" s="1"/>
      <c r="EMF218" s="1"/>
      <c r="EMG218" s="1"/>
      <c r="EMH218" s="1"/>
      <c r="EMI218" s="1"/>
      <c r="EMJ218" s="1"/>
      <c r="EMK218" s="1"/>
      <c r="EML218" s="1"/>
      <c r="EMM218" s="1"/>
      <c r="EMN218" s="1"/>
      <c r="EMO218" s="1"/>
      <c r="EMP218" s="1"/>
      <c r="EMQ218" s="1"/>
      <c r="EMR218" s="1"/>
      <c r="EMS218" s="1"/>
      <c r="EMT218" s="1"/>
      <c r="EMU218" s="1"/>
      <c r="EMV218" s="1"/>
      <c r="EMW218" s="1"/>
      <c r="EMX218" s="1"/>
      <c r="EMY218" s="1"/>
      <c r="EMZ218" s="1"/>
      <c r="ENA218" s="1"/>
      <c r="ENB218" s="1"/>
      <c r="ENC218" s="1"/>
      <c r="END218" s="1"/>
      <c r="ENE218" s="1"/>
      <c r="ENF218" s="1"/>
      <c r="ENG218" s="1"/>
      <c r="ENH218" s="1"/>
      <c r="ENI218" s="1"/>
      <c r="ENJ218" s="1"/>
      <c r="ENK218" s="1"/>
      <c r="ENL218" s="1"/>
      <c r="ENM218" s="1"/>
      <c r="ENN218" s="1"/>
      <c r="ENO218" s="1"/>
      <c r="ENP218" s="1"/>
      <c r="ENQ218" s="1"/>
      <c r="ENR218" s="1"/>
      <c r="ENS218" s="1"/>
      <c r="ENT218" s="1"/>
      <c r="ENU218" s="1"/>
      <c r="ENV218" s="1"/>
      <c r="ENW218" s="1"/>
      <c r="ENX218" s="1"/>
      <c r="ENY218" s="1"/>
      <c r="ENZ218" s="1"/>
      <c r="EOA218" s="1"/>
      <c r="EOB218" s="1"/>
      <c r="EOC218" s="1"/>
      <c r="EOD218" s="1"/>
      <c r="EOE218" s="1"/>
      <c r="EOF218" s="1"/>
      <c r="EOG218" s="1"/>
      <c r="EOH218" s="1"/>
      <c r="EOI218" s="1"/>
      <c r="EOJ218" s="1"/>
      <c r="EOK218" s="1"/>
      <c r="EOL218" s="1"/>
      <c r="EOM218" s="1"/>
      <c r="EON218" s="1"/>
      <c r="EOO218" s="1"/>
      <c r="EOP218" s="1"/>
      <c r="EOQ218" s="1"/>
      <c r="EOR218" s="1"/>
      <c r="EOS218" s="1"/>
      <c r="EOT218" s="1"/>
      <c r="EOU218" s="1"/>
      <c r="EOV218" s="1"/>
      <c r="EOW218" s="1"/>
      <c r="EOX218" s="1"/>
      <c r="EOY218" s="1"/>
      <c r="EOZ218" s="1"/>
      <c r="EPA218" s="1"/>
      <c r="EPB218" s="1"/>
      <c r="EPC218" s="1"/>
      <c r="EPD218" s="1"/>
      <c r="EPE218" s="1"/>
      <c r="EPF218" s="1"/>
      <c r="EPG218" s="1"/>
      <c r="EPH218" s="1"/>
      <c r="EPI218" s="1"/>
      <c r="EPJ218" s="1"/>
      <c r="EPK218" s="1"/>
      <c r="EPL218" s="1"/>
      <c r="EPM218" s="1"/>
      <c r="EPN218" s="1"/>
      <c r="EPO218" s="1"/>
      <c r="EPP218" s="1"/>
      <c r="EPQ218" s="1"/>
      <c r="EPR218" s="1"/>
      <c r="EPS218" s="1"/>
      <c r="EPT218" s="1"/>
      <c r="EPU218" s="1"/>
      <c r="EPV218" s="1"/>
      <c r="EPW218" s="1"/>
      <c r="EPX218" s="1"/>
      <c r="EPY218" s="1"/>
      <c r="EPZ218" s="1"/>
      <c r="EQA218" s="1"/>
      <c r="EQB218" s="1"/>
      <c r="EQC218" s="1"/>
      <c r="EQD218" s="1"/>
      <c r="EQE218" s="1"/>
      <c r="EQF218" s="1"/>
      <c r="EQG218" s="1"/>
      <c r="EQH218" s="1"/>
      <c r="EQI218" s="1"/>
      <c r="EQJ218" s="1"/>
      <c r="EQK218" s="1"/>
      <c r="EQL218" s="1"/>
      <c r="EQM218" s="1"/>
      <c r="EQN218" s="1"/>
      <c r="EQO218" s="1"/>
      <c r="EQP218" s="1"/>
      <c r="EQQ218" s="1"/>
      <c r="EQR218" s="1"/>
      <c r="EQS218" s="1"/>
      <c r="EQT218" s="1"/>
      <c r="EQU218" s="1"/>
      <c r="EQV218" s="1"/>
      <c r="EQW218" s="1"/>
      <c r="EQX218" s="1"/>
      <c r="EQY218" s="1"/>
      <c r="EQZ218" s="1"/>
      <c r="ERA218" s="1"/>
      <c r="ERB218" s="1"/>
      <c r="ERC218" s="1"/>
      <c r="ERD218" s="1"/>
      <c r="ERE218" s="1"/>
      <c r="ERF218" s="1"/>
      <c r="ERG218" s="1"/>
      <c r="ERH218" s="1"/>
      <c r="ERI218" s="1"/>
      <c r="ERJ218" s="1"/>
      <c r="ERK218" s="1"/>
      <c r="ERL218" s="1"/>
      <c r="ERM218" s="1"/>
      <c r="ERN218" s="1"/>
      <c r="ERO218" s="1"/>
      <c r="ERP218" s="1"/>
      <c r="ERQ218" s="1"/>
      <c r="ERR218" s="1"/>
      <c r="ERS218" s="1"/>
      <c r="ERT218" s="1"/>
      <c r="ERU218" s="1"/>
      <c r="ERV218" s="1"/>
      <c r="ERW218" s="1"/>
      <c r="ERX218" s="1"/>
      <c r="ERY218" s="1"/>
      <c r="ERZ218" s="1"/>
      <c r="ESA218" s="1"/>
      <c r="ESB218" s="1"/>
      <c r="ESC218" s="1"/>
      <c r="ESD218" s="1"/>
      <c r="ESE218" s="1"/>
      <c r="ESF218" s="1"/>
      <c r="ESG218" s="1"/>
      <c r="ESH218" s="1"/>
      <c r="ESI218" s="1"/>
      <c r="ESJ218" s="1"/>
      <c r="ESK218" s="1"/>
      <c r="ESL218" s="1"/>
      <c r="ESM218" s="1"/>
      <c r="ESN218" s="1"/>
      <c r="ESO218" s="1"/>
      <c r="ESP218" s="1"/>
      <c r="ESQ218" s="1"/>
      <c r="ESR218" s="1"/>
      <c r="ESS218" s="1"/>
      <c r="EST218" s="1"/>
      <c r="ESU218" s="1"/>
      <c r="ESV218" s="1"/>
      <c r="ESW218" s="1"/>
      <c r="ESX218" s="1"/>
      <c r="ESY218" s="1"/>
      <c r="ESZ218" s="1"/>
      <c r="ETA218" s="1"/>
      <c r="ETB218" s="1"/>
      <c r="ETC218" s="1"/>
      <c r="ETD218" s="1"/>
      <c r="ETE218" s="1"/>
      <c r="ETF218" s="1"/>
      <c r="ETG218" s="1"/>
      <c r="ETH218" s="1"/>
      <c r="ETI218" s="1"/>
      <c r="ETJ218" s="1"/>
      <c r="ETK218" s="1"/>
      <c r="ETL218" s="1"/>
      <c r="ETM218" s="1"/>
      <c r="ETN218" s="1"/>
      <c r="ETO218" s="1"/>
      <c r="ETP218" s="1"/>
      <c r="ETQ218" s="1"/>
      <c r="ETR218" s="1"/>
      <c r="ETS218" s="1"/>
      <c r="ETT218" s="1"/>
      <c r="ETU218" s="1"/>
      <c r="ETV218" s="1"/>
      <c r="ETW218" s="1"/>
      <c r="ETX218" s="1"/>
      <c r="ETY218" s="1"/>
      <c r="ETZ218" s="1"/>
      <c r="EUA218" s="1"/>
      <c r="EUB218" s="1"/>
      <c r="EUC218" s="1"/>
      <c r="EUD218" s="1"/>
      <c r="EUE218" s="1"/>
      <c r="EUF218" s="1"/>
      <c r="EUG218" s="1"/>
      <c r="EUH218" s="1"/>
      <c r="EUI218" s="1"/>
      <c r="EUJ218" s="1"/>
      <c r="EUK218" s="1"/>
      <c r="EUL218" s="1"/>
      <c r="EUM218" s="1"/>
      <c r="EUN218" s="1"/>
      <c r="EUO218" s="1"/>
      <c r="EUP218" s="1"/>
      <c r="EUQ218" s="1"/>
      <c r="EUR218" s="1"/>
      <c r="EUS218" s="1"/>
      <c r="EUT218" s="1"/>
      <c r="EUU218" s="1"/>
      <c r="EUV218" s="1"/>
      <c r="EUW218" s="1"/>
      <c r="EUX218" s="1"/>
      <c r="EUY218" s="1"/>
      <c r="EUZ218" s="1"/>
      <c r="EVA218" s="1"/>
      <c r="EVB218" s="1"/>
      <c r="EVC218" s="1"/>
      <c r="EVD218" s="1"/>
      <c r="EVE218" s="1"/>
      <c r="EVF218" s="1"/>
      <c r="EVG218" s="1"/>
      <c r="EVH218" s="1"/>
      <c r="EVI218" s="1"/>
      <c r="EVJ218" s="1"/>
      <c r="EVK218" s="1"/>
      <c r="EVL218" s="1"/>
      <c r="EVM218" s="1"/>
      <c r="EVN218" s="1"/>
      <c r="EVO218" s="1"/>
      <c r="EVP218" s="1"/>
      <c r="EVQ218" s="1"/>
      <c r="EVR218" s="1"/>
      <c r="EVS218" s="1"/>
      <c r="EVT218" s="1"/>
      <c r="EVU218" s="1"/>
      <c r="EVV218" s="1"/>
      <c r="EVW218" s="1"/>
      <c r="EVX218" s="1"/>
      <c r="EVY218" s="1"/>
      <c r="EVZ218" s="1"/>
      <c r="EWA218" s="1"/>
      <c r="EWB218" s="1"/>
      <c r="EWC218" s="1"/>
      <c r="EWD218" s="1"/>
      <c r="EWE218" s="1"/>
      <c r="EWF218" s="1"/>
      <c r="EWG218" s="1"/>
      <c r="EWH218" s="1"/>
      <c r="EWI218" s="1"/>
      <c r="EWJ218" s="1"/>
      <c r="EWK218" s="1"/>
      <c r="EWL218" s="1"/>
      <c r="EWM218" s="1"/>
      <c r="EWN218" s="1"/>
      <c r="EWO218" s="1"/>
      <c r="EWP218" s="1"/>
      <c r="EWQ218" s="1"/>
      <c r="EWR218" s="1"/>
      <c r="EWS218" s="1"/>
      <c r="EWT218" s="1"/>
      <c r="EWU218" s="1"/>
      <c r="EWV218" s="1"/>
      <c r="EWW218" s="1"/>
      <c r="EWX218" s="1"/>
      <c r="EWY218" s="1"/>
      <c r="EWZ218" s="1"/>
      <c r="EXA218" s="1"/>
      <c r="EXB218" s="1"/>
      <c r="EXC218" s="1"/>
      <c r="EXD218" s="1"/>
      <c r="EXE218" s="1"/>
      <c r="EXF218" s="1"/>
      <c r="EXG218" s="1"/>
      <c r="EXH218" s="1"/>
      <c r="EXI218" s="1"/>
      <c r="EXJ218" s="1"/>
      <c r="EXK218" s="1"/>
      <c r="EXL218" s="1"/>
      <c r="EXM218" s="1"/>
      <c r="EXN218" s="1"/>
      <c r="EXO218" s="1"/>
      <c r="EXP218" s="1"/>
      <c r="EXQ218" s="1"/>
      <c r="EXR218" s="1"/>
      <c r="EXS218" s="1"/>
      <c r="EXT218" s="1"/>
      <c r="EXU218" s="1"/>
      <c r="EXV218" s="1"/>
      <c r="EXW218" s="1"/>
      <c r="EXX218" s="1"/>
      <c r="EXY218" s="1"/>
      <c r="EXZ218" s="1"/>
      <c r="EYA218" s="1"/>
      <c r="EYB218" s="1"/>
      <c r="EYC218" s="1"/>
      <c r="EYD218" s="1"/>
      <c r="EYE218" s="1"/>
      <c r="EYF218" s="1"/>
      <c r="EYG218" s="1"/>
      <c r="EYH218" s="1"/>
      <c r="EYI218" s="1"/>
      <c r="EYJ218" s="1"/>
      <c r="EYK218" s="1"/>
      <c r="EYL218" s="1"/>
      <c r="EYM218" s="1"/>
      <c r="EYN218" s="1"/>
      <c r="EYO218" s="1"/>
      <c r="EYP218" s="1"/>
      <c r="EYQ218" s="1"/>
      <c r="EYR218" s="1"/>
      <c r="EYS218" s="1"/>
      <c r="EYT218" s="1"/>
      <c r="EYU218" s="1"/>
      <c r="EYV218" s="1"/>
      <c r="EYW218" s="1"/>
      <c r="EYX218" s="1"/>
      <c r="EYY218" s="1"/>
      <c r="EYZ218" s="1"/>
      <c r="EZA218" s="1"/>
      <c r="EZB218" s="1"/>
      <c r="EZC218" s="1"/>
      <c r="EZD218" s="1"/>
      <c r="EZE218" s="1"/>
      <c r="EZF218" s="1"/>
      <c r="EZG218" s="1"/>
      <c r="EZH218" s="1"/>
      <c r="EZI218" s="1"/>
      <c r="EZJ218" s="1"/>
      <c r="EZK218" s="1"/>
      <c r="EZL218" s="1"/>
      <c r="EZM218" s="1"/>
      <c r="EZN218" s="1"/>
      <c r="EZO218" s="1"/>
      <c r="EZP218" s="1"/>
      <c r="EZQ218" s="1"/>
      <c r="EZR218" s="1"/>
      <c r="EZS218" s="1"/>
      <c r="EZT218" s="1"/>
      <c r="EZU218" s="1"/>
      <c r="EZV218" s="1"/>
      <c r="EZW218" s="1"/>
      <c r="EZX218" s="1"/>
      <c r="EZY218" s="1"/>
      <c r="EZZ218" s="1"/>
      <c r="FAA218" s="1"/>
      <c r="FAB218" s="1"/>
      <c r="FAC218" s="1"/>
      <c r="FAD218" s="1"/>
      <c r="FAE218" s="1"/>
      <c r="FAF218" s="1"/>
      <c r="FAG218" s="1"/>
      <c r="FAH218" s="1"/>
      <c r="FAI218" s="1"/>
      <c r="FAJ218" s="1"/>
      <c r="FAK218" s="1"/>
      <c r="FAL218" s="1"/>
      <c r="FAM218" s="1"/>
      <c r="FAN218" s="1"/>
      <c r="FAO218" s="1"/>
      <c r="FAP218" s="1"/>
      <c r="FAQ218" s="1"/>
      <c r="FAR218" s="1"/>
      <c r="FAS218" s="1"/>
      <c r="FAT218" s="1"/>
      <c r="FAU218" s="1"/>
      <c r="FAV218" s="1"/>
      <c r="FAW218" s="1"/>
      <c r="FAX218" s="1"/>
      <c r="FAY218" s="1"/>
      <c r="FAZ218" s="1"/>
      <c r="FBA218" s="1"/>
      <c r="FBB218" s="1"/>
      <c r="FBC218" s="1"/>
      <c r="FBD218" s="1"/>
      <c r="FBE218" s="1"/>
      <c r="FBF218" s="1"/>
      <c r="FBG218" s="1"/>
      <c r="FBH218" s="1"/>
      <c r="FBI218" s="1"/>
      <c r="FBJ218" s="1"/>
      <c r="FBK218" s="1"/>
      <c r="FBL218" s="1"/>
      <c r="FBM218" s="1"/>
      <c r="FBN218" s="1"/>
      <c r="FBO218" s="1"/>
      <c r="FBP218" s="1"/>
      <c r="FBQ218" s="1"/>
      <c r="FBR218" s="1"/>
      <c r="FBS218" s="1"/>
      <c r="FBT218" s="1"/>
      <c r="FBU218" s="1"/>
      <c r="FBV218" s="1"/>
      <c r="FBW218" s="1"/>
      <c r="FBX218" s="1"/>
      <c r="FBY218" s="1"/>
      <c r="FBZ218" s="1"/>
      <c r="FCA218" s="1"/>
      <c r="FCB218" s="1"/>
      <c r="FCC218" s="1"/>
      <c r="FCD218" s="1"/>
      <c r="FCE218" s="1"/>
      <c r="FCF218" s="1"/>
      <c r="FCG218" s="1"/>
      <c r="FCH218" s="1"/>
      <c r="FCI218" s="1"/>
      <c r="FCJ218" s="1"/>
      <c r="FCK218" s="1"/>
      <c r="FCL218" s="1"/>
      <c r="FCM218" s="1"/>
      <c r="FCN218" s="1"/>
      <c r="FCO218" s="1"/>
      <c r="FCP218" s="1"/>
      <c r="FCQ218" s="1"/>
      <c r="FCR218" s="1"/>
      <c r="FCS218" s="1"/>
      <c r="FCT218" s="1"/>
      <c r="FCU218" s="1"/>
      <c r="FCV218" s="1"/>
      <c r="FCW218" s="1"/>
      <c r="FCX218" s="1"/>
      <c r="FCY218" s="1"/>
      <c r="FCZ218" s="1"/>
      <c r="FDA218" s="1"/>
      <c r="FDB218" s="1"/>
      <c r="FDC218" s="1"/>
      <c r="FDD218" s="1"/>
      <c r="FDE218" s="1"/>
      <c r="FDF218" s="1"/>
      <c r="FDG218" s="1"/>
      <c r="FDH218" s="1"/>
      <c r="FDI218" s="1"/>
      <c r="FDJ218" s="1"/>
      <c r="FDK218" s="1"/>
      <c r="FDL218" s="1"/>
      <c r="FDM218" s="1"/>
      <c r="FDN218" s="1"/>
      <c r="FDO218" s="1"/>
      <c r="FDP218" s="1"/>
      <c r="FDQ218" s="1"/>
      <c r="FDR218" s="1"/>
      <c r="FDS218" s="1"/>
      <c r="FDT218" s="1"/>
      <c r="FDU218" s="1"/>
      <c r="FDV218" s="1"/>
      <c r="FDW218" s="1"/>
      <c r="FDX218" s="1"/>
      <c r="FDY218" s="1"/>
      <c r="FDZ218" s="1"/>
      <c r="FEA218" s="1"/>
      <c r="FEB218" s="1"/>
      <c r="FEC218" s="1"/>
      <c r="FED218" s="1"/>
      <c r="FEE218" s="1"/>
      <c r="FEF218" s="1"/>
      <c r="FEG218" s="1"/>
      <c r="FEH218" s="1"/>
      <c r="FEI218" s="1"/>
      <c r="FEJ218" s="1"/>
      <c r="FEK218" s="1"/>
      <c r="FEL218" s="1"/>
      <c r="FEM218" s="1"/>
      <c r="FEN218" s="1"/>
      <c r="FEO218" s="1"/>
      <c r="FEP218" s="1"/>
      <c r="FEQ218" s="1"/>
      <c r="FER218" s="1"/>
      <c r="FES218" s="1"/>
      <c r="FET218" s="1"/>
      <c r="FEU218" s="1"/>
      <c r="FEV218" s="1"/>
      <c r="FEW218" s="1"/>
      <c r="FEX218" s="1"/>
      <c r="FEY218" s="1"/>
      <c r="FEZ218" s="1"/>
      <c r="FFA218" s="1"/>
      <c r="FFB218" s="1"/>
      <c r="FFC218" s="1"/>
      <c r="FFD218" s="1"/>
      <c r="FFE218" s="1"/>
      <c r="FFF218" s="1"/>
      <c r="FFG218" s="1"/>
      <c r="FFH218" s="1"/>
      <c r="FFI218" s="1"/>
      <c r="FFJ218" s="1"/>
      <c r="FFK218" s="1"/>
      <c r="FFL218" s="1"/>
      <c r="FFM218" s="1"/>
      <c r="FFN218" s="1"/>
      <c r="FFO218" s="1"/>
      <c r="FFP218" s="1"/>
      <c r="FFQ218" s="1"/>
      <c r="FFR218" s="1"/>
      <c r="FFS218" s="1"/>
      <c r="FFT218" s="1"/>
      <c r="FFU218" s="1"/>
      <c r="FFV218" s="1"/>
      <c r="FFW218" s="1"/>
      <c r="FFX218" s="1"/>
      <c r="FFY218" s="1"/>
      <c r="FFZ218" s="1"/>
      <c r="FGA218" s="1"/>
      <c r="FGB218" s="1"/>
      <c r="FGC218" s="1"/>
      <c r="FGD218" s="1"/>
      <c r="FGE218" s="1"/>
      <c r="FGF218" s="1"/>
      <c r="FGG218" s="1"/>
      <c r="FGH218" s="1"/>
      <c r="FGI218" s="1"/>
      <c r="FGJ218" s="1"/>
      <c r="FGK218" s="1"/>
      <c r="FGL218" s="1"/>
      <c r="FGM218" s="1"/>
      <c r="FGN218" s="1"/>
      <c r="FGO218" s="1"/>
      <c r="FGP218" s="1"/>
      <c r="FGQ218" s="1"/>
      <c r="FGR218" s="1"/>
      <c r="FGS218" s="1"/>
      <c r="FGT218" s="1"/>
      <c r="FGU218" s="1"/>
      <c r="FGV218" s="1"/>
      <c r="FGW218" s="1"/>
      <c r="FGX218" s="1"/>
      <c r="FGY218" s="1"/>
      <c r="FGZ218" s="1"/>
      <c r="FHA218" s="1"/>
      <c r="FHB218" s="1"/>
      <c r="FHC218" s="1"/>
      <c r="FHD218" s="1"/>
      <c r="FHE218" s="1"/>
      <c r="FHF218" s="1"/>
      <c r="FHG218" s="1"/>
      <c r="FHH218" s="1"/>
      <c r="FHI218" s="1"/>
      <c r="FHJ218" s="1"/>
      <c r="FHK218" s="1"/>
      <c r="FHL218" s="1"/>
      <c r="FHM218" s="1"/>
      <c r="FHN218" s="1"/>
      <c r="FHO218" s="1"/>
      <c r="FHP218" s="1"/>
      <c r="FHQ218" s="1"/>
      <c r="FHR218" s="1"/>
      <c r="FHS218" s="1"/>
      <c r="FHT218" s="1"/>
      <c r="FHU218" s="1"/>
      <c r="FHV218" s="1"/>
      <c r="FHW218" s="1"/>
      <c r="FHX218" s="1"/>
      <c r="FHY218" s="1"/>
      <c r="FHZ218" s="1"/>
      <c r="FIA218" s="1"/>
      <c r="FIB218" s="1"/>
      <c r="FIC218" s="1"/>
      <c r="FID218" s="1"/>
      <c r="FIE218" s="1"/>
      <c r="FIF218" s="1"/>
      <c r="FIG218" s="1"/>
      <c r="FIH218" s="1"/>
      <c r="FII218" s="1"/>
      <c r="FIJ218" s="1"/>
      <c r="FIK218" s="1"/>
      <c r="FIL218" s="1"/>
      <c r="FIM218" s="1"/>
      <c r="FIN218" s="1"/>
      <c r="FIO218" s="1"/>
      <c r="FIP218" s="1"/>
      <c r="FIQ218" s="1"/>
      <c r="FIR218" s="1"/>
      <c r="FIS218" s="1"/>
      <c r="FIT218" s="1"/>
      <c r="FIU218" s="1"/>
      <c r="FIV218" s="1"/>
      <c r="FIW218" s="1"/>
      <c r="FIX218" s="1"/>
      <c r="FIY218" s="1"/>
      <c r="FIZ218" s="1"/>
      <c r="FJA218" s="1"/>
      <c r="FJB218" s="1"/>
      <c r="FJC218" s="1"/>
      <c r="FJD218" s="1"/>
      <c r="FJE218" s="1"/>
      <c r="FJF218" s="1"/>
      <c r="FJG218" s="1"/>
      <c r="FJH218" s="1"/>
      <c r="FJI218" s="1"/>
      <c r="FJJ218" s="1"/>
      <c r="FJK218" s="1"/>
      <c r="FJL218" s="1"/>
      <c r="FJM218" s="1"/>
      <c r="FJN218" s="1"/>
      <c r="FJO218" s="1"/>
      <c r="FJP218" s="1"/>
      <c r="FJQ218" s="1"/>
      <c r="FJR218" s="1"/>
      <c r="FJS218" s="1"/>
      <c r="FJT218" s="1"/>
      <c r="FJU218" s="1"/>
      <c r="FJV218" s="1"/>
      <c r="FJW218" s="1"/>
      <c r="FJX218" s="1"/>
      <c r="FJY218" s="1"/>
      <c r="FJZ218" s="1"/>
      <c r="FKA218" s="1"/>
      <c r="FKB218" s="1"/>
      <c r="FKC218" s="1"/>
      <c r="FKD218" s="1"/>
      <c r="FKE218" s="1"/>
      <c r="FKF218" s="1"/>
      <c r="FKG218" s="1"/>
      <c r="FKH218" s="1"/>
      <c r="FKI218" s="1"/>
      <c r="FKJ218" s="1"/>
      <c r="FKK218" s="1"/>
      <c r="FKL218" s="1"/>
      <c r="FKM218" s="1"/>
      <c r="FKN218" s="1"/>
      <c r="FKO218" s="1"/>
      <c r="FKP218" s="1"/>
      <c r="FKQ218" s="1"/>
      <c r="FKR218" s="1"/>
      <c r="FKS218" s="1"/>
      <c r="FKT218" s="1"/>
      <c r="FKU218" s="1"/>
      <c r="FKV218" s="1"/>
      <c r="FKW218" s="1"/>
      <c r="FKX218" s="1"/>
      <c r="FKY218" s="1"/>
      <c r="FKZ218" s="1"/>
      <c r="FLA218" s="1"/>
      <c r="FLB218" s="1"/>
      <c r="FLC218" s="1"/>
      <c r="FLD218" s="1"/>
      <c r="FLE218" s="1"/>
      <c r="FLF218" s="1"/>
      <c r="FLG218" s="1"/>
      <c r="FLH218" s="1"/>
      <c r="FLI218" s="1"/>
      <c r="FLJ218" s="1"/>
      <c r="FLK218" s="1"/>
      <c r="FLL218" s="1"/>
      <c r="FLM218" s="1"/>
      <c r="FLN218" s="1"/>
      <c r="FLO218" s="1"/>
      <c r="FLP218" s="1"/>
      <c r="FLQ218" s="1"/>
      <c r="FLR218" s="1"/>
      <c r="FLS218" s="1"/>
      <c r="FLT218" s="1"/>
      <c r="FLU218" s="1"/>
      <c r="FLV218" s="1"/>
      <c r="FLW218" s="1"/>
      <c r="FLX218" s="1"/>
      <c r="FLY218" s="1"/>
      <c r="FLZ218" s="1"/>
      <c r="FMA218" s="1"/>
      <c r="FMB218" s="1"/>
      <c r="FMC218" s="1"/>
      <c r="FMD218" s="1"/>
      <c r="FME218" s="1"/>
      <c r="FMF218" s="1"/>
      <c r="FMG218" s="1"/>
      <c r="FMH218" s="1"/>
      <c r="FMI218" s="1"/>
      <c r="FMJ218" s="1"/>
      <c r="FMK218" s="1"/>
      <c r="FML218" s="1"/>
      <c r="FMM218" s="1"/>
      <c r="FMN218" s="1"/>
      <c r="FMO218" s="1"/>
      <c r="FMP218" s="1"/>
      <c r="FMQ218" s="1"/>
      <c r="FMR218" s="1"/>
      <c r="FMS218" s="1"/>
      <c r="FMT218" s="1"/>
      <c r="FMU218" s="1"/>
      <c r="FMV218" s="1"/>
      <c r="FMW218" s="1"/>
      <c r="FMX218" s="1"/>
      <c r="FMY218" s="1"/>
      <c r="FMZ218" s="1"/>
      <c r="FNA218" s="1"/>
      <c r="FNB218" s="1"/>
      <c r="FNC218" s="1"/>
      <c r="FND218" s="1"/>
      <c r="FNE218" s="1"/>
      <c r="FNF218" s="1"/>
      <c r="FNG218" s="1"/>
      <c r="FNH218" s="1"/>
      <c r="FNI218" s="1"/>
      <c r="FNJ218" s="1"/>
      <c r="FNK218" s="1"/>
      <c r="FNL218" s="1"/>
      <c r="FNM218" s="1"/>
      <c r="FNN218" s="1"/>
      <c r="FNO218" s="1"/>
      <c r="FNP218" s="1"/>
      <c r="FNQ218" s="1"/>
      <c r="FNR218" s="1"/>
      <c r="FNS218" s="1"/>
      <c r="FNT218" s="1"/>
      <c r="FNU218" s="1"/>
      <c r="FNV218" s="1"/>
      <c r="FNW218" s="1"/>
      <c r="FNX218" s="1"/>
      <c r="FNY218" s="1"/>
      <c r="FNZ218" s="1"/>
      <c r="FOA218" s="1"/>
      <c r="FOB218" s="1"/>
      <c r="FOC218" s="1"/>
      <c r="FOD218" s="1"/>
      <c r="FOE218" s="1"/>
      <c r="FOF218" s="1"/>
      <c r="FOG218" s="1"/>
      <c r="FOH218" s="1"/>
      <c r="FOI218" s="1"/>
      <c r="FOJ218" s="1"/>
      <c r="FOK218" s="1"/>
      <c r="FOL218" s="1"/>
      <c r="FOM218" s="1"/>
      <c r="FON218" s="1"/>
      <c r="FOO218" s="1"/>
      <c r="FOP218" s="1"/>
      <c r="FOQ218" s="1"/>
      <c r="FOR218" s="1"/>
      <c r="FOS218" s="1"/>
      <c r="FOT218" s="1"/>
      <c r="FOU218" s="1"/>
      <c r="FOV218" s="1"/>
      <c r="FOW218" s="1"/>
      <c r="FOX218" s="1"/>
      <c r="FOY218" s="1"/>
      <c r="FOZ218" s="1"/>
      <c r="FPA218" s="1"/>
      <c r="FPB218" s="1"/>
      <c r="FPC218" s="1"/>
      <c r="FPD218" s="1"/>
      <c r="FPE218" s="1"/>
      <c r="FPF218" s="1"/>
      <c r="FPG218" s="1"/>
      <c r="FPH218" s="1"/>
      <c r="FPI218" s="1"/>
      <c r="FPJ218" s="1"/>
      <c r="FPK218" s="1"/>
      <c r="FPL218" s="1"/>
      <c r="FPM218" s="1"/>
      <c r="FPN218" s="1"/>
      <c r="FPO218" s="1"/>
      <c r="FPP218" s="1"/>
      <c r="FPQ218" s="1"/>
      <c r="FPR218" s="1"/>
      <c r="FPS218" s="1"/>
      <c r="FPT218" s="1"/>
      <c r="FPU218" s="1"/>
      <c r="FPV218" s="1"/>
      <c r="FPW218" s="1"/>
      <c r="FPX218" s="1"/>
      <c r="FPY218" s="1"/>
      <c r="FPZ218" s="1"/>
      <c r="FQA218" s="1"/>
      <c r="FQB218" s="1"/>
      <c r="FQC218" s="1"/>
      <c r="FQD218" s="1"/>
      <c r="FQE218" s="1"/>
      <c r="FQF218" s="1"/>
      <c r="FQG218" s="1"/>
      <c r="FQH218" s="1"/>
      <c r="FQI218" s="1"/>
      <c r="FQJ218" s="1"/>
      <c r="FQK218" s="1"/>
      <c r="FQL218" s="1"/>
      <c r="FQM218" s="1"/>
      <c r="FQN218" s="1"/>
      <c r="FQO218" s="1"/>
      <c r="FQP218" s="1"/>
      <c r="FQQ218" s="1"/>
      <c r="FQR218" s="1"/>
      <c r="FQS218" s="1"/>
      <c r="FQT218" s="1"/>
      <c r="FQU218" s="1"/>
      <c r="FQV218" s="1"/>
      <c r="FQW218" s="1"/>
      <c r="FQX218" s="1"/>
      <c r="FQY218" s="1"/>
      <c r="FQZ218" s="1"/>
      <c r="FRA218" s="1"/>
      <c r="FRB218" s="1"/>
      <c r="FRC218" s="1"/>
      <c r="FRD218" s="1"/>
      <c r="FRE218" s="1"/>
      <c r="FRF218" s="1"/>
      <c r="FRG218" s="1"/>
      <c r="FRH218" s="1"/>
      <c r="FRI218" s="1"/>
      <c r="FRJ218" s="1"/>
      <c r="FRK218" s="1"/>
      <c r="FRL218" s="1"/>
      <c r="FRM218" s="1"/>
      <c r="FRN218" s="1"/>
      <c r="FRO218" s="1"/>
      <c r="FRP218" s="1"/>
      <c r="FRQ218" s="1"/>
      <c r="FRR218" s="1"/>
      <c r="FRS218" s="1"/>
      <c r="FRT218" s="1"/>
      <c r="FRU218" s="1"/>
      <c r="FRV218" s="1"/>
      <c r="FRW218" s="1"/>
      <c r="FRX218" s="1"/>
      <c r="FRY218" s="1"/>
      <c r="FRZ218" s="1"/>
      <c r="FSA218" s="1"/>
      <c r="FSB218" s="1"/>
      <c r="FSC218" s="1"/>
      <c r="FSD218" s="1"/>
      <c r="FSE218" s="1"/>
      <c r="FSF218" s="1"/>
      <c r="FSG218" s="1"/>
      <c r="FSH218" s="1"/>
      <c r="FSI218" s="1"/>
      <c r="FSJ218" s="1"/>
      <c r="FSK218" s="1"/>
      <c r="FSL218" s="1"/>
      <c r="FSM218" s="1"/>
      <c r="FSN218" s="1"/>
      <c r="FSO218" s="1"/>
      <c r="FSP218" s="1"/>
      <c r="FSQ218" s="1"/>
      <c r="FSR218" s="1"/>
      <c r="FSS218" s="1"/>
      <c r="FST218" s="1"/>
      <c r="FSU218" s="1"/>
      <c r="FSV218" s="1"/>
      <c r="FSW218" s="1"/>
      <c r="FSX218" s="1"/>
      <c r="FSY218" s="1"/>
      <c r="FSZ218" s="1"/>
      <c r="FTA218" s="1"/>
      <c r="FTB218" s="1"/>
      <c r="FTC218" s="1"/>
      <c r="FTD218" s="1"/>
      <c r="FTE218" s="1"/>
      <c r="FTF218" s="1"/>
      <c r="FTG218" s="1"/>
      <c r="FTH218" s="1"/>
      <c r="FTI218" s="1"/>
      <c r="FTJ218" s="1"/>
      <c r="FTK218" s="1"/>
      <c r="FTL218" s="1"/>
      <c r="FTM218" s="1"/>
      <c r="FTN218" s="1"/>
      <c r="FTO218" s="1"/>
      <c r="FTP218" s="1"/>
      <c r="FTQ218" s="1"/>
      <c r="FTR218" s="1"/>
      <c r="FTS218" s="1"/>
      <c r="FTT218" s="1"/>
      <c r="FTU218" s="1"/>
      <c r="FTV218" s="1"/>
      <c r="FTW218" s="1"/>
      <c r="FTX218" s="1"/>
      <c r="FTY218" s="1"/>
      <c r="FTZ218" s="1"/>
      <c r="FUA218" s="1"/>
      <c r="FUB218" s="1"/>
      <c r="FUC218" s="1"/>
      <c r="FUD218" s="1"/>
      <c r="FUE218" s="1"/>
      <c r="FUF218" s="1"/>
      <c r="FUG218" s="1"/>
      <c r="FUH218" s="1"/>
      <c r="FUI218" s="1"/>
      <c r="FUJ218" s="1"/>
      <c r="FUK218" s="1"/>
      <c r="FUL218" s="1"/>
      <c r="FUM218" s="1"/>
      <c r="FUN218" s="1"/>
      <c r="FUO218" s="1"/>
      <c r="FUP218" s="1"/>
      <c r="FUQ218" s="1"/>
      <c r="FUR218" s="1"/>
      <c r="FUS218" s="1"/>
      <c r="FUT218" s="1"/>
      <c r="FUU218" s="1"/>
      <c r="FUV218" s="1"/>
      <c r="FUW218" s="1"/>
      <c r="FUX218" s="1"/>
      <c r="FUY218" s="1"/>
      <c r="FUZ218" s="1"/>
      <c r="FVA218" s="1"/>
      <c r="FVB218" s="1"/>
      <c r="FVC218" s="1"/>
      <c r="FVD218" s="1"/>
      <c r="FVE218" s="1"/>
      <c r="FVF218" s="1"/>
      <c r="FVG218" s="1"/>
      <c r="FVH218" s="1"/>
      <c r="FVI218" s="1"/>
      <c r="FVJ218" s="1"/>
      <c r="FVK218" s="1"/>
      <c r="FVL218" s="1"/>
      <c r="FVM218" s="1"/>
      <c r="FVN218" s="1"/>
      <c r="FVO218" s="1"/>
      <c r="FVP218" s="1"/>
      <c r="FVQ218" s="1"/>
      <c r="FVR218" s="1"/>
      <c r="FVS218" s="1"/>
      <c r="FVT218" s="1"/>
      <c r="FVU218" s="1"/>
      <c r="FVV218" s="1"/>
      <c r="FVW218" s="1"/>
      <c r="FVX218" s="1"/>
      <c r="FVY218" s="1"/>
      <c r="FVZ218" s="1"/>
      <c r="FWA218" s="1"/>
      <c r="FWB218" s="1"/>
      <c r="FWC218" s="1"/>
      <c r="FWD218" s="1"/>
      <c r="FWE218" s="1"/>
      <c r="FWF218" s="1"/>
      <c r="FWG218" s="1"/>
      <c r="FWH218" s="1"/>
      <c r="FWI218" s="1"/>
      <c r="FWJ218" s="1"/>
      <c r="FWK218" s="1"/>
      <c r="FWL218" s="1"/>
      <c r="FWM218" s="1"/>
      <c r="FWN218" s="1"/>
      <c r="FWO218" s="1"/>
      <c r="FWP218" s="1"/>
      <c r="FWQ218" s="1"/>
      <c r="FWR218" s="1"/>
      <c r="FWS218" s="1"/>
      <c r="FWT218" s="1"/>
      <c r="FWU218" s="1"/>
      <c r="FWV218" s="1"/>
      <c r="FWW218" s="1"/>
      <c r="FWX218" s="1"/>
      <c r="FWY218" s="1"/>
      <c r="FWZ218" s="1"/>
      <c r="FXA218" s="1"/>
      <c r="FXB218" s="1"/>
      <c r="FXC218" s="1"/>
      <c r="FXD218" s="1"/>
      <c r="FXE218" s="1"/>
      <c r="FXF218" s="1"/>
      <c r="FXG218" s="1"/>
      <c r="FXH218" s="1"/>
      <c r="FXI218" s="1"/>
      <c r="FXJ218" s="1"/>
      <c r="FXK218" s="1"/>
      <c r="FXL218" s="1"/>
      <c r="FXM218" s="1"/>
      <c r="FXN218" s="1"/>
      <c r="FXO218" s="1"/>
      <c r="FXP218" s="1"/>
      <c r="FXQ218" s="1"/>
      <c r="FXR218" s="1"/>
      <c r="FXS218" s="1"/>
      <c r="FXT218" s="1"/>
      <c r="FXU218" s="1"/>
      <c r="FXV218" s="1"/>
      <c r="FXW218" s="1"/>
      <c r="FXX218" s="1"/>
      <c r="FXY218" s="1"/>
      <c r="FXZ218" s="1"/>
      <c r="FYA218" s="1"/>
      <c r="FYB218" s="1"/>
      <c r="FYC218" s="1"/>
      <c r="FYD218" s="1"/>
      <c r="FYE218" s="1"/>
      <c r="FYF218" s="1"/>
      <c r="FYG218" s="1"/>
      <c r="FYH218" s="1"/>
      <c r="FYI218" s="1"/>
      <c r="FYJ218" s="1"/>
      <c r="FYK218" s="1"/>
      <c r="FYL218" s="1"/>
      <c r="FYM218" s="1"/>
      <c r="FYN218" s="1"/>
      <c r="FYO218" s="1"/>
      <c r="FYP218" s="1"/>
      <c r="FYQ218" s="1"/>
      <c r="FYR218" s="1"/>
      <c r="FYS218" s="1"/>
      <c r="FYT218" s="1"/>
      <c r="FYU218" s="1"/>
      <c r="FYV218" s="1"/>
      <c r="FYW218" s="1"/>
      <c r="FYX218" s="1"/>
      <c r="FYY218" s="1"/>
      <c r="FYZ218" s="1"/>
      <c r="FZA218" s="1"/>
      <c r="FZB218" s="1"/>
      <c r="FZC218" s="1"/>
      <c r="FZD218" s="1"/>
      <c r="FZE218" s="1"/>
      <c r="FZF218" s="1"/>
      <c r="FZG218" s="1"/>
      <c r="FZH218" s="1"/>
      <c r="FZI218" s="1"/>
      <c r="FZJ218" s="1"/>
      <c r="FZK218" s="1"/>
      <c r="FZL218" s="1"/>
      <c r="FZM218" s="1"/>
      <c r="FZN218" s="1"/>
      <c r="FZO218" s="1"/>
      <c r="FZP218" s="1"/>
      <c r="FZQ218" s="1"/>
      <c r="FZR218" s="1"/>
      <c r="FZS218" s="1"/>
      <c r="FZT218" s="1"/>
      <c r="FZU218" s="1"/>
      <c r="FZV218" s="1"/>
      <c r="FZW218" s="1"/>
      <c r="FZX218" s="1"/>
      <c r="FZY218" s="1"/>
      <c r="FZZ218" s="1"/>
      <c r="GAA218" s="1"/>
      <c r="GAB218" s="1"/>
      <c r="GAC218" s="1"/>
      <c r="GAD218" s="1"/>
      <c r="GAE218" s="1"/>
      <c r="GAF218" s="1"/>
      <c r="GAG218" s="1"/>
      <c r="GAH218" s="1"/>
      <c r="GAI218" s="1"/>
      <c r="GAJ218" s="1"/>
      <c r="GAK218" s="1"/>
      <c r="GAL218" s="1"/>
      <c r="GAM218" s="1"/>
      <c r="GAN218" s="1"/>
      <c r="GAO218" s="1"/>
      <c r="GAP218" s="1"/>
      <c r="GAQ218" s="1"/>
      <c r="GAR218" s="1"/>
      <c r="GAS218" s="1"/>
      <c r="GAT218" s="1"/>
      <c r="GAU218" s="1"/>
      <c r="GAV218" s="1"/>
      <c r="GAW218" s="1"/>
      <c r="GAX218" s="1"/>
      <c r="GAY218" s="1"/>
      <c r="GAZ218" s="1"/>
      <c r="GBA218" s="1"/>
      <c r="GBB218" s="1"/>
      <c r="GBC218" s="1"/>
      <c r="GBD218" s="1"/>
      <c r="GBE218" s="1"/>
      <c r="GBF218" s="1"/>
      <c r="GBG218" s="1"/>
      <c r="GBH218" s="1"/>
      <c r="GBI218" s="1"/>
      <c r="GBJ218" s="1"/>
      <c r="GBK218" s="1"/>
      <c r="GBL218" s="1"/>
      <c r="GBM218" s="1"/>
      <c r="GBN218" s="1"/>
      <c r="GBO218" s="1"/>
      <c r="GBP218" s="1"/>
      <c r="GBQ218" s="1"/>
      <c r="GBR218" s="1"/>
      <c r="GBS218" s="1"/>
      <c r="GBT218" s="1"/>
      <c r="GBU218" s="1"/>
      <c r="GBV218" s="1"/>
      <c r="GBW218" s="1"/>
      <c r="GBX218" s="1"/>
      <c r="GBY218" s="1"/>
      <c r="GBZ218" s="1"/>
      <c r="GCA218" s="1"/>
      <c r="GCB218" s="1"/>
      <c r="GCC218" s="1"/>
      <c r="GCD218" s="1"/>
      <c r="GCE218" s="1"/>
      <c r="GCF218" s="1"/>
      <c r="GCG218" s="1"/>
      <c r="GCH218" s="1"/>
      <c r="GCI218" s="1"/>
      <c r="GCJ218" s="1"/>
      <c r="GCK218" s="1"/>
      <c r="GCL218" s="1"/>
      <c r="GCM218" s="1"/>
      <c r="GCN218" s="1"/>
      <c r="GCO218" s="1"/>
      <c r="GCP218" s="1"/>
      <c r="GCQ218" s="1"/>
      <c r="GCR218" s="1"/>
      <c r="GCS218" s="1"/>
      <c r="GCT218" s="1"/>
      <c r="GCU218" s="1"/>
      <c r="GCV218" s="1"/>
      <c r="GCW218" s="1"/>
      <c r="GCX218" s="1"/>
      <c r="GCY218" s="1"/>
      <c r="GCZ218" s="1"/>
      <c r="GDA218" s="1"/>
      <c r="GDB218" s="1"/>
      <c r="GDC218" s="1"/>
      <c r="GDD218" s="1"/>
      <c r="GDE218" s="1"/>
      <c r="GDF218" s="1"/>
      <c r="GDG218" s="1"/>
      <c r="GDH218" s="1"/>
      <c r="GDI218" s="1"/>
      <c r="GDJ218" s="1"/>
      <c r="GDK218" s="1"/>
      <c r="GDL218" s="1"/>
      <c r="GDM218" s="1"/>
      <c r="GDN218" s="1"/>
      <c r="GDO218" s="1"/>
      <c r="GDP218" s="1"/>
      <c r="GDQ218" s="1"/>
      <c r="GDR218" s="1"/>
      <c r="GDS218" s="1"/>
      <c r="GDT218" s="1"/>
      <c r="GDU218" s="1"/>
      <c r="GDV218" s="1"/>
      <c r="GDW218" s="1"/>
      <c r="GDX218" s="1"/>
      <c r="GDY218" s="1"/>
      <c r="GDZ218" s="1"/>
      <c r="GEA218" s="1"/>
      <c r="GEB218" s="1"/>
      <c r="GEC218" s="1"/>
      <c r="GED218" s="1"/>
      <c r="GEE218" s="1"/>
      <c r="GEF218" s="1"/>
      <c r="GEG218" s="1"/>
      <c r="GEH218" s="1"/>
      <c r="GEI218" s="1"/>
      <c r="GEJ218" s="1"/>
      <c r="GEK218" s="1"/>
      <c r="GEL218" s="1"/>
      <c r="GEM218" s="1"/>
      <c r="GEN218" s="1"/>
      <c r="GEO218" s="1"/>
      <c r="GEP218" s="1"/>
      <c r="GEQ218" s="1"/>
      <c r="GER218" s="1"/>
      <c r="GES218" s="1"/>
      <c r="GET218" s="1"/>
      <c r="GEU218" s="1"/>
      <c r="GEV218" s="1"/>
      <c r="GEW218" s="1"/>
      <c r="GEX218" s="1"/>
      <c r="GEY218" s="1"/>
      <c r="GEZ218" s="1"/>
      <c r="GFA218" s="1"/>
      <c r="GFB218" s="1"/>
      <c r="GFC218" s="1"/>
      <c r="GFD218" s="1"/>
      <c r="GFE218" s="1"/>
      <c r="GFF218" s="1"/>
      <c r="GFG218" s="1"/>
      <c r="GFH218" s="1"/>
      <c r="GFI218" s="1"/>
      <c r="GFJ218" s="1"/>
      <c r="GFK218" s="1"/>
      <c r="GFL218" s="1"/>
      <c r="GFM218" s="1"/>
      <c r="GFN218" s="1"/>
      <c r="GFO218" s="1"/>
      <c r="GFP218" s="1"/>
      <c r="GFQ218" s="1"/>
      <c r="GFR218" s="1"/>
      <c r="GFS218" s="1"/>
      <c r="GFT218" s="1"/>
      <c r="GFU218" s="1"/>
      <c r="GFV218" s="1"/>
      <c r="GFW218" s="1"/>
      <c r="GFX218" s="1"/>
      <c r="GFY218" s="1"/>
      <c r="GFZ218" s="1"/>
      <c r="GGA218" s="1"/>
      <c r="GGB218" s="1"/>
      <c r="GGC218" s="1"/>
      <c r="GGD218" s="1"/>
      <c r="GGE218" s="1"/>
      <c r="GGF218" s="1"/>
      <c r="GGG218" s="1"/>
      <c r="GGH218" s="1"/>
      <c r="GGI218" s="1"/>
      <c r="GGJ218" s="1"/>
      <c r="GGK218" s="1"/>
      <c r="GGL218" s="1"/>
      <c r="GGM218" s="1"/>
      <c r="GGN218" s="1"/>
      <c r="GGO218" s="1"/>
      <c r="GGP218" s="1"/>
      <c r="GGQ218" s="1"/>
      <c r="GGR218" s="1"/>
      <c r="GGS218" s="1"/>
      <c r="GGT218" s="1"/>
      <c r="GGU218" s="1"/>
      <c r="GGV218" s="1"/>
      <c r="GGW218" s="1"/>
      <c r="GGX218" s="1"/>
      <c r="GGY218" s="1"/>
      <c r="GGZ218" s="1"/>
      <c r="GHA218" s="1"/>
      <c r="GHB218" s="1"/>
      <c r="GHC218" s="1"/>
      <c r="GHD218" s="1"/>
      <c r="GHE218" s="1"/>
      <c r="GHF218" s="1"/>
      <c r="GHG218" s="1"/>
      <c r="GHH218" s="1"/>
      <c r="GHI218" s="1"/>
      <c r="GHJ218" s="1"/>
      <c r="GHK218" s="1"/>
      <c r="GHL218" s="1"/>
      <c r="GHM218" s="1"/>
      <c r="GHN218" s="1"/>
      <c r="GHO218" s="1"/>
      <c r="GHP218" s="1"/>
      <c r="GHQ218" s="1"/>
      <c r="GHR218" s="1"/>
      <c r="GHS218" s="1"/>
      <c r="GHT218" s="1"/>
      <c r="GHU218" s="1"/>
      <c r="GHV218" s="1"/>
      <c r="GHW218" s="1"/>
      <c r="GHX218" s="1"/>
      <c r="GHY218" s="1"/>
      <c r="GHZ218" s="1"/>
      <c r="GIA218" s="1"/>
      <c r="GIB218" s="1"/>
      <c r="GIC218" s="1"/>
      <c r="GID218" s="1"/>
      <c r="GIE218" s="1"/>
      <c r="GIF218" s="1"/>
      <c r="GIG218" s="1"/>
      <c r="GIH218" s="1"/>
      <c r="GII218" s="1"/>
      <c r="GIJ218" s="1"/>
      <c r="GIK218" s="1"/>
      <c r="GIL218" s="1"/>
      <c r="GIM218" s="1"/>
      <c r="GIN218" s="1"/>
      <c r="GIO218" s="1"/>
      <c r="GIP218" s="1"/>
      <c r="GIQ218" s="1"/>
      <c r="GIR218" s="1"/>
      <c r="GIS218" s="1"/>
      <c r="GIT218" s="1"/>
      <c r="GIU218" s="1"/>
      <c r="GIV218" s="1"/>
      <c r="GIW218" s="1"/>
      <c r="GIX218" s="1"/>
      <c r="GIY218" s="1"/>
      <c r="GIZ218" s="1"/>
      <c r="GJA218" s="1"/>
      <c r="GJB218" s="1"/>
      <c r="GJC218" s="1"/>
      <c r="GJD218" s="1"/>
      <c r="GJE218" s="1"/>
      <c r="GJF218" s="1"/>
      <c r="GJG218" s="1"/>
      <c r="GJH218" s="1"/>
      <c r="GJI218" s="1"/>
      <c r="GJJ218" s="1"/>
      <c r="GJK218" s="1"/>
      <c r="GJL218" s="1"/>
      <c r="GJM218" s="1"/>
      <c r="GJN218" s="1"/>
      <c r="GJO218" s="1"/>
      <c r="GJP218" s="1"/>
      <c r="GJQ218" s="1"/>
      <c r="GJR218" s="1"/>
      <c r="GJS218" s="1"/>
      <c r="GJT218" s="1"/>
      <c r="GJU218" s="1"/>
      <c r="GJV218" s="1"/>
      <c r="GJW218" s="1"/>
      <c r="GJX218" s="1"/>
      <c r="GJY218" s="1"/>
      <c r="GJZ218" s="1"/>
      <c r="GKA218" s="1"/>
      <c r="GKB218" s="1"/>
      <c r="GKC218" s="1"/>
      <c r="GKD218" s="1"/>
      <c r="GKE218" s="1"/>
      <c r="GKF218" s="1"/>
      <c r="GKG218" s="1"/>
      <c r="GKH218" s="1"/>
      <c r="GKI218" s="1"/>
      <c r="GKJ218" s="1"/>
      <c r="GKK218" s="1"/>
      <c r="GKL218" s="1"/>
      <c r="GKM218" s="1"/>
      <c r="GKN218" s="1"/>
      <c r="GKO218" s="1"/>
      <c r="GKP218" s="1"/>
      <c r="GKQ218" s="1"/>
      <c r="GKR218" s="1"/>
      <c r="GKS218" s="1"/>
      <c r="GKT218" s="1"/>
      <c r="GKU218" s="1"/>
      <c r="GKV218" s="1"/>
      <c r="GKW218" s="1"/>
      <c r="GKX218" s="1"/>
      <c r="GKY218" s="1"/>
      <c r="GKZ218" s="1"/>
      <c r="GLA218" s="1"/>
      <c r="GLB218" s="1"/>
      <c r="GLC218" s="1"/>
      <c r="GLD218" s="1"/>
      <c r="GLE218" s="1"/>
      <c r="GLF218" s="1"/>
      <c r="GLG218" s="1"/>
      <c r="GLH218" s="1"/>
      <c r="GLI218" s="1"/>
      <c r="GLJ218" s="1"/>
      <c r="GLK218" s="1"/>
      <c r="GLL218" s="1"/>
      <c r="GLM218" s="1"/>
      <c r="GLN218" s="1"/>
      <c r="GLO218" s="1"/>
      <c r="GLP218" s="1"/>
      <c r="GLQ218" s="1"/>
      <c r="GLR218" s="1"/>
      <c r="GLS218" s="1"/>
      <c r="GLT218" s="1"/>
      <c r="GLU218" s="1"/>
      <c r="GLV218" s="1"/>
      <c r="GLW218" s="1"/>
      <c r="GLX218" s="1"/>
      <c r="GLY218" s="1"/>
      <c r="GLZ218" s="1"/>
      <c r="GMA218" s="1"/>
      <c r="GMB218" s="1"/>
      <c r="GMC218" s="1"/>
      <c r="GMD218" s="1"/>
      <c r="GME218" s="1"/>
      <c r="GMF218" s="1"/>
      <c r="GMG218" s="1"/>
      <c r="GMH218" s="1"/>
      <c r="GMI218" s="1"/>
      <c r="GMJ218" s="1"/>
      <c r="GMK218" s="1"/>
      <c r="GML218" s="1"/>
      <c r="GMM218" s="1"/>
      <c r="GMN218" s="1"/>
      <c r="GMO218" s="1"/>
      <c r="GMP218" s="1"/>
      <c r="GMQ218" s="1"/>
      <c r="GMR218" s="1"/>
      <c r="GMS218" s="1"/>
      <c r="GMT218" s="1"/>
      <c r="GMU218" s="1"/>
      <c r="GMV218" s="1"/>
      <c r="GMW218" s="1"/>
      <c r="GMX218" s="1"/>
      <c r="GMY218" s="1"/>
      <c r="GMZ218" s="1"/>
      <c r="GNA218" s="1"/>
      <c r="GNB218" s="1"/>
      <c r="GNC218" s="1"/>
      <c r="GND218" s="1"/>
      <c r="GNE218" s="1"/>
      <c r="GNF218" s="1"/>
      <c r="GNG218" s="1"/>
      <c r="GNH218" s="1"/>
      <c r="GNI218" s="1"/>
      <c r="GNJ218" s="1"/>
      <c r="GNK218" s="1"/>
      <c r="GNL218" s="1"/>
      <c r="GNM218" s="1"/>
      <c r="GNN218" s="1"/>
      <c r="GNO218" s="1"/>
      <c r="GNP218" s="1"/>
      <c r="GNQ218" s="1"/>
      <c r="GNR218" s="1"/>
      <c r="GNS218" s="1"/>
      <c r="GNT218" s="1"/>
      <c r="GNU218" s="1"/>
      <c r="GNV218" s="1"/>
      <c r="GNW218" s="1"/>
      <c r="GNX218" s="1"/>
      <c r="GNY218" s="1"/>
      <c r="GNZ218" s="1"/>
      <c r="GOA218" s="1"/>
      <c r="GOB218" s="1"/>
      <c r="GOC218" s="1"/>
      <c r="GOD218" s="1"/>
      <c r="GOE218" s="1"/>
      <c r="GOF218" s="1"/>
      <c r="GOG218" s="1"/>
      <c r="GOH218" s="1"/>
      <c r="GOI218" s="1"/>
      <c r="GOJ218" s="1"/>
      <c r="GOK218" s="1"/>
      <c r="GOL218" s="1"/>
      <c r="GOM218" s="1"/>
      <c r="GON218" s="1"/>
      <c r="GOO218" s="1"/>
      <c r="GOP218" s="1"/>
      <c r="GOQ218" s="1"/>
      <c r="GOR218" s="1"/>
      <c r="GOS218" s="1"/>
      <c r="GOT218" s="1"/>
      <c r="GOU218" s="1"/>
      <c r="GOV218" s="1"/>
      <c r="GOW218" s="1"/>
      <c r="GOX218" s="1"/>
      <c r="GOY218" s="1"/>
      <c r="GOZ218" s="1"/>
      <c r="GPA218" s="1"/>
      <c r="GPB218" s="1"/>
      <c r="GPC218" s="1"/>
      <c r="GPD218" s="1"/>
      <c r="GPE218" s="1"/>
      <c r="GPF218" s="1"/>
      <c r="GPG218" s="1"/>
      <c r="GPH218" s="1"/>
      <c r="GPI218" s="1"/>
      <c r="GPJ218" s="1"/>
      <c r="GPK218" s="1"/>
      <c r="GPL218" s="1"/>
      <c r="GPM218" s="1"/>
      <c r="GPN218" s="1"/>
      <c r="GPO218" s="1"/>
      <c r="GPP218" s="1"/>
      <c r="GPQ218" s="1"/>
      <c r="GPR218" s="1"/>
      <c r="GPS218" s="1"/>
      <c r="GPT218" s="1"/>
      <c r="GPU218" s="1"/>
      <c r="GPV218" s="1"/>
      <c r="GPW218" s="1"/>
      <c r="GPX218" s="1"/>
      <c r="GPY218" s="1"/>
      <c r="GPZ218" s="1"/>
      <c r="GQA218" s="1"/>
      <c r="GQB218" s="1"/>
      <c r="GQC218" s="1"/>
      <c r="GQD218" s="1"/>
      <c r="GQE218" s="1"/>
      <c r="GQF218" s="1"/>
      <c r="GQG218" s="1"/>
      <c r="GQH218" s="1"/>
      <c r="GQI218" s="1"/>
      <c r="GQJ218" s="1"/>
      <c r="GQK218" s="1"/>
      <c r="GQL218" s="1"/>
      <c r="GQM218" s="1"/>
      <c r="GQN218" s="1"/>
      <c r="GQO218" s="1"/>
      <c r="GQP218" s="1"/>
      <c r="GQQ218" s="1"/>
      <c r="GQR218" s="1"/>
      <c r="GQS218" s="1"/>
      <c r="GQT218" s="1"/>
      <c r="GQU218" s="1"/>
      <c r="GQV218" s="1"/>
      <c r="GQW218" s="1"/>
      <c r="GQX218" s="1"/>
      <c r="GQY218" s="1"/>
      <c r="GQZ218" s="1"/>
      <c r="GRA218" s="1"/>
      <c r="GRB218" s="1"/>
      <c r="GRC218" s="1"/>
      <c r="GRD218" s="1"/>
      <c r="GRE218" s="1"/>
      <c r="GRF218" s="1"/>
      <c r="GRG218" s="1"/>
      <c r="GRH218" s="1"/>
      <c r="GRI218" s="1"/>
      <c r="GRJ218" s="1"/>
      <c r="GRK218" s="1"/>
      <c r="GRL218" s="1"/>
      <c r="GRM218" s="1"/>
      <c r="GRN218" s="1"/>
      <c r="GRO218" s="1"/>
      <c r="GRP218" s="1"/>
      <c r="GRQ218" s="1"/>
      <c r="GRR218" s="1"/>
      <c r="GRS218" s="1"/>
      <c r="GRT218" s="1"/>
      <c r="GRU218" s="1"/>
      <c r="GRV218" s="1"/>
      <c r="GRW218" s="1"/>
      <c r="GRX218" s="1"/>
      <c r="GRY218" s="1"/>
      <c r="GRZ218" s="1"/>
      <c r="GSA218" s="1"/>
      <c r="GSB218" s="1"/>
      <c r="GSC218" s="1"/>
      <c r="GSD218" s="1"/>
      <c r="GSE218" s="1"/>
      <c r="GSF218" s="1"/>
      <c r="GSG218" s="1"/>
      <c r="GSH218" s="1"/>
      <c r="GSI218" s="1"/>
      <c r="GSJ218" s="1"/>
      <c r="GSK218" s="1"/>
      <c r="GSL218" s="1"/>
      <c r="GSM218" s="1"/>
      <c r="GSN218" s="1"/>
      <c r="GSO218" s="1"/>
      <c r="GSP218" s="1"/>
      <c r="GSQ218" s="1"/>
      <c r="GSR218" s="1"/>
      <c r="GSS218" s="1"/>
      <c r="GST218" s="1"/>
      <c r="GSU218" s="1"/>
      <c r="GSV218" s="1"/>
      <c r="GSW218" s="1"/>
      <c r="GSX218" s="1"/>
      <c r="GSY218" s="1"/>
      <c r="GSZ218" s="1"/>
      <c r="GTA218" s="1"/>
      <c r="GTB218" s="1"/>
      <c r="GTC218" s="1"/>
      <c r="GTD218" s="1"/>
      <c r="GTE218" s="1"/>
      <c r="GTF218" s="1"/>
      <c r="GTG218" s="1"/>
      <c r="GTH218" s="1"/>
      <c r="GTI218" s="1"/>
      <c r="GTJ218" s="1"/>
      <c r="GTK218" s="1"/>
      <c r="GTL218" s="1"/>
      <c r="GTM218" s="1"/>
      <c r="GTN218" s="1"/>
      <c r="GTO218" s="1"/>
      <c r="GTP218" s="1"/>
      <c r="GTQ218" s="1"/>
      <c r="GTR218" s="1"/>
      <c r="GTS218" s="1"/>
      <c r="GTT218" s="1"/>
      <c r="GTU218" s="1"/>
      <c r="GTV218" s="1"/>
      <c r="GTW218" s="1"/>
      <c r="GTX218" s="1"/>
      <c r="GTY218" s="1"/>
      <c r="GTZ218" s="1"/>
      <c r="GUA218" s="1"/>
      <c r="GUB218" s="1"/>
      <c r="GUC218" s="1"/>
      <c r="GUD218" s="1"/>
      <c r="GUE218" s="1"/>
      <c r="GUF218" s="1"/>
      <c r="GUG218" s="1"/>
      <c r="GUH218" s="1"/>
      <c r="GUI218" s="1"/>
      <c r="GUJ218" s="1"/>
      <c r="GUK218" s="1"/>
      <c r="GUL218" s="1"/>
      <c r="GUM218" s="1"/>
      <c r="GUN218" s="1"/>
      <c r="GUO218" s="1"/>
      <c r="GUP218" s="1"/>
      <c r="GUQ218" s="1"/>
      <c r="GUR218" s="1"/>
      <c r="GUS218" s="1"/>
      <c r="GUT218" s="1"/>
      <c r="GUU218" s="1"/>
      <c r="GUV218" s="1"/>
      <c r="GUW218" s="1"/>
      <c r="GUX218" s="1"/>
      <c r="GUY218" s="1"/>
      <c r="GUZ218" s="1"/>
      <c r="GVA218" s="1"/>
      <c r="GVB218" s="1"/>
      <c r="GVC218" s="1"/>
      <c r="GVD218" s="1"/>
      <c r="GVE218" s="1"/>
      <c r="GVF218" s="1"/>
      <c r="GVG218" s="1"/>
      <c r="GVH218" s="1"/>
      <c r="GVI218" s="1"/>
      <c r="GVJ218" s="1"/>
      <c r="GVK218" s="1"/>
      <c r="GVL218" s="1"/>
      <c r="GVM218" s="1"/>
      <c r="GVN218" s="1"/>
      <c r="GVO218" s="1"/>
      <c r="GVP218" s="1"/>
      <c r="GVQ218" s="1"/>
      <c r="GVR218" s="1"/>
      <c r="GVS218" s="1"/>
      <c r="GVT218" s="1"/>
      <c r="GVU218" s="1"/>
      <c r="GVV218" s="1"/>
      <c r="GVW218" s="1"/>
      <c r="GVX218" s="1"/>
      <c r="GVY218" s="1"/>
      <c r="GVZ218" s="1"/>
      <c r="GWA218" s="1"/>
      <c r="GWB218" s="1"/>
      <c r="GWC218" s="1"/>
      <c r="GWD218" s="1"/>
      <c r="GWE218" s="1"/>
      <c r="GWF218" s="1"/>
      <c r="GWG218" s="1"/>
      <c r="GWH218" s="1"/>
      <c r="GWI218" s="1"/>
      <c r="GWJ218" s="1"/>
      <c r="GWK218" s="1"/>
      <c r="GWL218" s="1"/>
      <c r="GWM218" s="1"/>
      <c r="GWN218" s="1"/>
      <c r="GWO218" s="1"/>
      <c r="GWP218" s="1"/>
      <c r="GWQ218" s="1"/>
      <c r="GWR218" s="1"/>
      <c r="GWS218" s="1"/>
      <c r="GWT218" s="1"/>
      <c r="GWU218" s="1"/>
      <c r="GWV218" s="1"/>
      <c r="GWW218" s="1"/>
      <c r="GWX218" s="1"/>
      <c r="GWY218" s="1"/>
      <c r="GWZ218" s="1"/>
      <c r="GXA218" s="1"/>
      <c r="GXB218" s="1"/>
      <c r="GXC218" s="1"/>
      <c r="GXD218" s="1"/>
      <c r="GXE218" s="1"/>
      <c r="GXF218" s="1"/>
      <c r="GXG218" s="1"/>
      <c r="GXH218" s="1"/>
      <c r="GXI218" s="1"/>
      <c r="GXJ218" s="1"/>
      <c r="GXK218" s="1"/>
      <c r="GXL218" s="1"/>
      <c r="GXM218" s="1"/>
      <c r="GXN218" s="1"/>
      <c r="GXO218" s="1"/>
      <c r="GXP218" s="1"/>
      <c r="GXQ218" s="1"/>
      <c r="GXR218" s="1"/>
      <c r="GXS218" s="1"/>
      <c r="GXT218" s="1"/>
      <c r="GXU218" s="1"/>
      <c r="GXV218" s="1"/>
      <c r="GXW218" s="1"/>
      <c r="GXX218" s="1"/>
      <c r="GXY218" s="1"/>
      <c r="GXZ218" s="1"/>
      <c r="GYA218" s="1"/>
      <c r="GYB218" s="1"/>
      <c r="GYC218" s="1"/>
      <c r="GYD218" s="1"/>
      <c r="GYE218" s="1"/>
      <c r="GYF218" s="1"/>
      <c r="GYG218" s="1"/>
      <c r="GYH218" s="1"/>
      <c r="GYI218" s="1"/>
      <c r="GYJ218" s="1"/>
      <c r="GYK218" s="1"/>
      <c r="GYL218" s="1"/>
      <c r="GYM218" s="1"/>
      <c r="GYN218" s="1"/>
      <c r="GYO218" s="1"/>
      <c r="GYP218" s="1"/>
      <c r="GYQ218" s="1"/>
      <c r="GYR218" s="1"/>
      <c r="GYS218" s="1"/>
      <c r="GYT218" s="1"/>
      <c r="GYU218" s="1"/>
      <c r="GYV218" s="1"/>
      <c r="GYW218" s="1"/>
      <c r="GYX218" s="1"/>
      <c r="GYY218" s="1"/>
      <c r="GYZ218" s="1"/>
      <c r="GZA218" s="1"/>
      <c r="GZB218" s="1"/>
      <c r="GZC218" s="1"/>
      <c r="GZD218" s="1"/>
      <c r="GZE218" s="1"/>
      <c r="GZF218" s="1"/>
      <c r="GZG218" s="1"/>
      <c r="GZH218" s="1"/>
      <c r="GZI218" s="1"/>
      <c r="GZJ218" s="1"/>
      <c r="GZK218" s="1"/>
      <c r="GZL218" s="1"/>
      <c r="GZM218" s="1"/>
      <c r="GZN218" s="1"/>
      <c r="GZO218" s="1"/>
      <c r="GZP218" s="1"/>
      <c r="GZQ218" s="1"/>
      <c r="GZR218" s="1"/>
      <c r="GZS218" s="1"/>
      <c r="GZT218" s="1"/>
      <c r="GZU218" s="1"/>
      <c r="GZV218" s="1"/>
      <c r="GZW218" s="1"/>
      <c r="GZX218" s="1"/>
      <c r="GZY218" s="1"/>
      <c r="GZZ218" s="1"/>
      <c r="HAA218" s="1"/>
      <c r="HAB218" s="1"/>
      <c r="HAC218" s="1"/>
      <c r="HAD218" s="1"/>
      <c r="HAE218" s="1"/>
      <c r="HAF218" s="1"/>
      <c r="HAG218" s="1"/>
      <c r="HAH218" s="1"/>
      <c r="HAI218" s="1"/>
      <c r="HAJ218" s="1"/>
      <c r="HAK218" s="1"/>
      <c r="HAL218" s="1"/>
      <c r="HAM218" s="1"/>
      <c r="HAN218" s="1"/>
      <c r="HAO218" s="1"/>
      <c r="HAP218" s="1"/>
      <c r="HAQ218" s="1"/>
      <c r="HAR218" s="1"/>
      <c r="HAS218" s="1"/>
      <c r="HAT218" s="1"/>
      <c r="HAU218" s="1"/>
      <c r="HAV218" s="1"/>
      <c r="HAW218" s="1"/>
      <c r="HAX218" s="1"/>
      <c r="HAY218" s="1"/>
      <c r="HAZ218" s="1"/>
      <c r="HBA218" s="1"/>
      <c r="HBB218" s="1"/>
      <c r="HBC218" s="1"/>
      <c r="HBD218" s="1"/>
      <c r="HBE218" s="1"/>
      <c r="HBF218" s="1"/>
      <c r="HBG218" s="1"/>
      <c r="HBH218" s="1"/>
      <c r="HBI218" s="1"/>
      <c r="HBJ218" s="1"/>
      <c r="HBK218" s="1"/>
      <c r="HBL218" s="1"/>
      <c r="HBM218" s="1"/>
      <c r="HBN218" s="1"/>
      <c r="HBO218" s="1"/>
      <c r="HBP218" s="1"/>
      <c r="HBQ218" s="1"/>
      <c r="HBR218" s="1"/>
      <c r="HBS218" s="1"/>
      <c r="HBT218" s="1"/>
      <c r="HBU218" s="1"/>
      <c r="HBV218" s="1"/>
      <c r="HBW218" s="1"/>
      <c r="HBX218" s="1"/>
      <c r="HBY218" s="1"/>
      <c r="HBZ218" s="1"/>
      <c r="HCA218" s="1"/>
      <c r="HCB218" s="1"/>
      <c r="HCC218" s="1"/>
      <c r="HCD218" s="1"/>
      <c r="HCE218" s="1"/>
      <c r="HCF218" s="1"/>
      <c r="HCG218" s="1"/>
      <c r="HCH218" s="1"/>
      <c r="HCI218" s="1"/>
      <c r="HCJ218" s="1"/>
      <c r="HCK218" s="1"/>
      <c r="HCL218" s="1"/>
      <c r="HCM218" s="1"/>
      <c r="HCN218" s="1"/>
      <c r="HCO218" s="1"/>
      <c r="HCP218" s="1"/>
      <c r="HCQ218" s="1"/>
      <c r="HCR218" s="1"/>
      <c r="HCS218" s="1"/>
      <c r="HCT218" s="1"/>
      <c r="HCU218" s="1"/>
      <c r="HCV218" s="1"/>
      <c r="HCW218" s="1"/>
      <c r="HCX218" s="1"/>
      <c r="HCY218" s="1"/>
      <c r="HCZ218" s="1"/>
      <c r="HDA218" s="1"/>
      <c r="HDB218" s="1"/>
      <c r="HDC218" s="1"/>
      <c r="HDD218" s="1"/>
      <c r="HDE218" s="1"/>
      <c r="HDF218" s="1"/>
      <c r="HDG218" s="1"/>
      <c r="HDH218" s="1"/>
      <c r="HDI218" s="1"/>
      <c r="HDJ218" s="1"/>
      <c r="HDK218" s="1"/>
      <c r="HDL218" s="1"/>
      <c r="HDM218" s="1"/>
      <c r="HDN218" s="1"/>
      <c r="HDO218" s="1"/>
      <c r="HDP218" s="1"/>
      <c r="HDQ218" s="1"/>
      <c r="HDR218" s="1"/>
      <c r="HDS218" s="1"/>
      <c r="HDT218" s="1"/>
      <c r="HDU218" s="1"/>
      <c r="HDV218" s="1"/>
      <c r="HDW218" s="1"/>
      <c r="HDX218" s="1"/>
      <c r="HDY218" s="1"/>
      <c r="HDZ218" s="1"/>
      <c r="HEA218" s="1"/>
      <c r="HEB218" s="1"/>
      <c r="HEC218" s="1"/>
      <c r="HED218" s="1"/>
      <c r="HEE218" s="1"/>
      <c r="HEF218" s="1"/>
      <c r="HEG218" s="1"/>
      <c r="HEH218" s="1"/>
      <c r="HEI218" s="1"/>
      <c r="HEJ218" s="1"/>
      <c r="HEK218" s="1"/>
      <c r="HEL218" s="1"/>
      <c r="HEM218" s="1"/>
      <c r="HEN218" s="1"/>
      <c r="HEO218" s="1"/>
      <c r="HEP218" s="1"/>
      <c r="HEQ218" s="1"/>
      <c r="HER218" s="1"/>
      <c r="HES218" s="1"/>
      <c r="HET218" s="1"/>
      <c r="HEU218" s="1"/>
      <c r="HEV218" s="1"/>
      <c r="HEW218" s="1"/>
      <c r="HEX218" s="1"/>
      <c r="HEY218" s="1"/>
      <c r="HEZ218" s="1"/>
      <c r="HFA218" s="1"/>
      <c r="HFB218" s="1"/>
      <c r="HFC218" s="1"/>
      <c r="HFD218" s="1"/>
      <c r="HFE218" s="1"/>
      <c r="HFF218" s="1"/>
      <c r="HFG218" s="1"/>
      <c r="HFH218" s="1"/>
      <c r="HFI218" s="1"/>
      <c r="HFJ218" s="1"/>
      <c r="HFK218" s="1"/>
      <c r="HFL218" s="1"/>
      <c r="HFM218" s="1"/>
      <c r="HFN218" s="1"/>
      <c r="HFO218" s="1"/>
      <c r="HFP218" s="1"/>
      <c r="HFQ218" s="1"/>
      <c r="HFR218" s="1"/>
      <c r="HFS218" s="1"/>
      <c r="HFT218" s="1"/>
      <c r="HFU218" s="1"/>
      <c r="HFV218" s="1"/>
      <c r="HFW218" s="1"/>
      <c r="HFX218" s="1"/>
      <c r="HFY218" s="1"/>
      <c r="HFZ218" s="1"/>
      <c r="HGA218" s="1"/>
      <c r="HGB218" s="1"/>
      <c r="HGC218" s="1"/>
      <c r="HGD218" s="1"/>
      <c r="HGE218" s="1"/>
      <c r="HGF218" s="1"/>
      <c r="HGG218" s="1"/>
      <c r="HGH218" s="1"/>
      <c r="HGI218" s="1"/>
      <c r="HGJ218" s="1"/>
      <c r="HGK218" s="1"/>
      <c r="HGL218" s="1"/>
      <c r="HGM218" s="1"/>
      <c r="HGN218" s="1"/>
      <c r="HGO218" s="1"/>
      <c r="HGP218" s="1"/>
      <c r="HGQ218" s="1"/>
      <c r="HGR218" s="1"/>
      <c r="HGS218" s="1"/>
      <c r="HGT218" s="1"/>
      <c r="HGU218" s="1"/>
      <c r="HGV218" s="1"/>
      <c r="HGW218" s="1"/>
      <c r="HGX218" s="1"/>
      <c r="HGY218" s="1"/>
      <c r="HGZ218" s="1"/>
      <c r="HHA218" s="1"/>
      <c r="HHB218" s="1"/>
      <c r="HHC218" s="1"/>
      <c r="HHD218" s="1"/>
      <c r="HHE218" s="1"/>
      <c r="HHF218" s="1"/>
      <c r="HHG218" s="1"/>
      <c r="HHH218" s="1"/>
      <c r="HHI218" s="1"/>
      <c r="HHJ218" s="1"/>
      <c r="HHK218" s="1"/>
      <c r="HHL218" s="1"/>
      <c r="HHM218" s="1"/>
      <c r="HHN218" s="1"/>
      <c r="HHO218" s="1"/>
      <c r="HHP218" s="1"/>
      <c r="HHQ218" s="1"/>
      <c r="HHR218" s="1"/>
      <c r="HHS218" s="1"/>
      <c r="HHT218" s="1"/>
      <c r="HHU218" s="1"/>
      <c r="HHV218" s="1"/>
      <c r="HHW218" s="1"/>
      <c r="HHX218" s="1"/>
      <c r="HHY218" s="1"/>
      <c r="HHZ218" s="1"/>
      <c r="HIA218" s="1"/>
      <c r="HIB218" s="1"/>
      <c r="HIC218" s="1"/>
      <c r="HID218" s="1"/>
      <c r="HIE218" s="1"/>
      <c r="HIF218" s="1"/>
      <c r="HIG218" s="1"/>
      <c r="HIH218" s="1"/>
      <c r="HII218" s="1"/>
      <c r="HIJ218" s="1"/>
      <c r="HIK218" s="1"/>
      <c r="HIL218" s="1"/>
      <c r="HIM218" s="1"/>
      <c r="HIN218" s="1"/>
      <c r="HIO218" s="1"/>
      <c r="HIP218" s="1"/>
      <c r="HIQ218" s="1"/>
      <c r="HIR218" s="1"/>
      <c r="HIS218" s="1"/>
      <c r="HIT218" s="1"/>
      <c r="HIU218" s="1"/>
      <c r="HIV218" s="1"/>
      <c r="HIW218" s="1"/>
      <c r="HIX218" s="1"/>
      <c r="HIY218" s="1"/>
      <c r="HIZ218" s="1"/>
      <c r="HJA218" s="1"/>
      <c r="HJB218" s="1"/>
      <c r="HJC218" s="1"/>
      <c r="HJD218" s="1"/>
      <c r="HJE218" s="1"/>
      <c r="HJF218" s="1"/>
      <c r="HJG218" s="1"/>
      <c r="HJH218" s="1"/>
      <c r="HJI218" s="1"/>
      <c r="HJJ218" s="1"/>
      <c r="HJK218" s="1"/>
      <c r="HJL218" s="1"/>
      <c r="HJM218" s="1"/>
      <c r="HJN218" s="1"/>
      <c r="HJO218" s="1"/>
      <c r="HJP218" s="1"/>
      <c r="HJQ218" s="1"/>
      <c r="HJR218" s="1"/>
      <c r="HJS218" s="1"/>
      <c r="HJT218" s="1"/>
      <c r="HJU218" s="1"/>
      <c r="HJV218" s="1"/>
      <c r="HJW218" s="1"/>
      <c r="HJX218" s="1"/>
      <c r="HJY218" s="1"/>
      <c r="HJZ218" s="1"/>
      <c r="HKA218" s="1"/>
      <c r="HKB218" s="1"/>
      <c r="HKC218" s="1"/>
      <c r="HKD218" s="1"/>
      <c r="HKE218" s="1"/>
      <c r="HKF218" s="1"/>
      <c r="HKG218" s="1"/>
      <c r="HKH218" s="1"/>
      <c r="HKI218" s="1"/>
      <c r="HKJ218" s="1"/>
      <c r="HKK218" s="1"/>
      <c r="HKL218" s="1"/>
      <c r="HKM218" s="1"/>
      <c r="HKN218" s="1"/>
      <c r="HKO218" s="1"/>
      <c r="HKP218" s="1"/>
      <c r="HKQ218" s="1"/>
      <c r="HKR218" s="1"/>
      <c r="HKS218" s="1"/>
      <c r="HKT218" s="1"/>
      <c r="HKU218" s="1"/>
      <c r="HKV218" s="1"/>
      <c r="HKW218" s="1"/>
      <c r="HKX218" s="1"/>
      <c r="HKY218" s="1"/>
      <c r="HKZ218" s="1"/>
      <c r="HLA218" s="1"/>
      <c r="HLB218" s="1"/>
      <c r="HLC218" s="1"/>
      <c r="HLD218" s="1"/>
      <c r="HLE218" s="1"/>
      <c r="HLF218" s="1"/>
      <c r="HLG218" s="1"/>
      <c r="HLH218" s="1"/>
      <c r="HLI218" s="1"/>
      <c r="HLJ218" s="1"/>
      <c r="HLK218" s="1"/>
      <c r="HLL218" s="1"/>
      <c r="HLM218" s="1"/>
      <c r="HLN218" s="1"/>
      <c r="HLO218" s="1"/>
      <c r="HLP218" s="1"/>
      <c r="HLQ218" s="1"/>
      <c r="HLR218" s="1"/>
      <c r="HLS218" s="1"/>
      <c r="HLT218" s="1"/>
      <c r="HLU218" s="1"/>
      <c r="HLV218" s="1"/>
      <c r="HLW218" s="1"/>
      <c r="HLX218" s="1"/>
      <c r="HLY218" s="1"/>
      <c r="HLZ218" s="1"/>
      <c r="HMA218" s="1"/>
      <c r="HMB218" s="1"/>
      <c r="HMC218" s="1"/>
      <c r="HMD218" s="1"/>
      <c r="HME218" s="1"/>
      <c r="HMF218" s="1"/>
      <c r="HMG218" s="1"/>
      <c r="HMH218" s="1"/>
      <c r="HMI218" s="1"/>
      <c r="HMJ218" s="1"/>
      <c r="HMK218" s="1"/>
      <c r="HML218" s="1"/>
      <c r="HMM218" s="1"/>
      <c r="HMN218" s="1"/>
      <c r="HMO218" s="1"/>
      <c r="HMP218" s="1"/>
      <c r="HMQ218" s="1"/>
      <c r="HMR218" s="1"/>
      <c r="HMS218" s="1"/>
      <c r="HMT218" s="1"/>
      <c r="HMU218" s="1"/>
      <c r="HMV218" s="1"/>
      <c r="HMW218" s="1"/>
      <c r="HMX218" s="1"/>
      <c r="HMY218" s="1"/>
      <c r="HMZ218" s="1"/>
      <c r="HNA218" s="1"/>
      <c r="HNB218" s="1"/>
      <c r="HNC218" s="1"/>
      <c r="HND218" s="1"/>
      <c r="HNE218" s="1"/>
      <c r="HNF218" s="1"/>
      <c r="HNG218" s="1"/>
      <c r="HNH218" s="1"/>
      <c r="HNI218" s="1"/>
      <c r="HNJ218" s="1"/>
      <c r="HNK218" s="1"/>
      <c r="HNL218" s="1"/>
      <c r="HNM218" s="1"/>
      <c r="HNN218" s="1"/>
      <c r="HNO218" s="1"/>
      <c r="HNP218" s="1"/>
      <c r="HNQ218" s="1"/>
      <c r="HNR218" s="1"/>
      <c r="HNS218" s="1"/>
      <c r="HNT218" s="1"/>
      <c r="HNU218" s="1"/>
      <c r="HNV218" s="1"/>
      <c r="HNW218" s="1"/>
      <c r="HNX218" s="1"/>
      <c r="HNY218" s="1"/>
      <c r="HNZ218" s="1"/>
      <c r="HOA218" s="1"/>
      <c r="HOB218" s="1"/>
      <c r="HOC218" s="1"/>
      <c r="HOD218" s="1"/>
      <c r="HOE218" s="1"/>
      <c r="HOF218" s="1"/>
      <c r="HOG218" s="1"/>
      <c r="HOH218" s="1"/>
      <c r="HOI218" s="1"/>
      <c r="HOJ218" s="1"/>
      <c r="HOK218" s="1"/>
      <c r="HOL218" s="1"/>
      <c r="HOM218" s="1"/>
      <c r="HON218" s="1"/>
      <c r="HOO218" s="1"/>
      <c r="HOP218" s="1"/>
      <c r="HOQ218" s="1"/>
      <c r="HOR218" s="1"/>
      <c r="HOS218" s="1"/>
      <c r="HOT218" s="1"/>
      <c r="HOU218" s="1"/>
      <c r="HOV218" s="1"/>
      <c r="HOW218" s="1"/>
      <c r="HOX218" s="1"/>
      <c r="HOY218" s="1"/>
      <c r="HOZ218" s="1"/>
      <c r="HPA218" s="1"/>
      <c r="HPB218" s="1"/>
      <c r="HPC218" s="1"/>
      <c r="HPD218" s="1"/>
      <c r="HPE218" s="1"/>
      <c r="HPF218" s="1"/>
      <c r="HPG218" s="1"/>
      <c r="HPH218" s="1"/>
      <c r="HPI218" s="1"/>
      <c r="HPJ218" s="1"/>
      <c r="HPK218" s="1"/>
      <c r="HPL218" s="1"/>
      <c r="HPM218" s="1"/>
      <c r="HPN218" s="1"/>
      <c r="HPO218" s="1"/>
      <c r="HPP218" s="1"/>
      <c r="HPQ218" s="1"/>
      <c r="HPR218" s="1"/>
      <c r="HPS218" s="1"/>
      <c r="HPT218" s="1"/>
      <c r="HPU218" s="1"/>
      <c r="HPV218" s="1"/>
      <c r="HPW218" s="1"/>
      <c r="HPX218" s="1"/>
      <c r="HPY218" s="1"/>
      <c r="HPZ218" s="1"/>
      <c r="HQA218" s="1"/>
      <c r="HQB218" s="1"/>
      <c r="HQC218" s="1"/>
      <c r="HQD218" s="1"/>
      <c r="HQE218" s="1"/>
      <c r="HQF218" s="1"/>
      <c r="HQG218" s="1"/>
      <c r="HQH218" s="1"/>
      <c r="HQI218" s="1"/>
      <c r="HQJ218" s="1"/>
      <c r="HQK218" s="1"/>
      <c r="HQL218" s="1"/>
      <c r="HQM218" s="1"/>
      <c r="HQN218" s="1"/>
      <c r="HQO218" s="1"/>
      <c r="HQP218" s="1"/>
      <c r="HQQ218" s="1"/>
      <c r="HQR218" s="1"/>
      <c r="HQS218" s="1"/>
      <c r="HQT218" s="1"/>
      <c r="HQU218" s="1"/>
      <c r="HQV218" s="1"/>
      <c r="HQW218" s="1"/>
      <c r="HQX218" s="1"/>
      <c r="HQY218" s="1"/>
      <c r="HQZ218" s="1"/>
      <c r="HRA218" s="1"/>
      <c r="HRB218" s="1"/>
      <c r="HRC218" s="1"/>
      <c r="HRD218" s="1"/>
      <c r="HRE218" s="1"/>
      <c r="HRF218" s="1"/>
      <c r="HRG218" s="1"/>
      <c r="HRH218" s="1"/>
      <c r="HRI218" s="1"/>
      <c r="HRJ218" s="1"/>
      <c r="HRK218" s="1"/>
      <c r="HRL218" s="1"/>
      <c r="HRM218" s="1"/>
      <c r="HRN218" s="1"/>
      <c r="HRO218" s="1"/>
      <c r="HRP218" s="1"/>
      <c r="HRQ218" s="1"/>
      <c r="HRR218" s="1"/>
      <c r="HRS218" s="1"/>
      <c r="HRT218" s="1"/>
      <c r="HRU218" s="1"/>
      <c r="HRV218" s="1"/>
      <c r="HRW218" s="1"/>
      <c r="HRX218" s="1"/>
      <c r="HRY218" s="1"/>
      <c r="HRZ218" s="1"/>
      <c r="HSA218" s="1"/>
      <c r="HSB218" s="1"/>
      <c r="HSC218" s="1"/>
      <c r="HSD218" s="1"/>
      <c r="HSE218" s="1"/>
      <c r="HSF218" s="1"/>
      <c r="HSG218" s="1"/>
      <c r="HSH218" s="1"/>
      <c r="HSI218" s="1"/>
      <c r="HSJ218" s="1"/>
      <c r="HSK218" s="1"/>
      <c r="HSL218" s="1"/>
      <c r="HSM218" s="1"/>
      <c r="HSN218" s="1"/>
      <c r="HSO218" s="1"/>
      <c r="HSP218" s="1"/>
      <c r="HSQ218" s="1"/>
      <c r="HSR218" s="1"/>
      <c r="HSS218" s="1"/>
      <c r="HST218" s="1"/>
      <c r="HSU218" s="1"/>
      <c r="HSV218" s="1"/>
      <c r="HSW218" s="1"/>
      <c r="HSX218" s="1"/>
      <c r="HSY218" s="1"/>
      <c r="HSZ218" s="1"/>
      <c r="HTA218" s="1"/>
      <c r="HTB218" s="1"/>
      <c r="HTC218" s="1"/>
      <c r="HTD218" s="1"/>
      <c r="HTE218" s="1"/>
      <c r="HTF218" s="1"/>
      <c r="HTG218" s="1"/>
      <c r="HTH218" s="1"/>
      <c r="HTI218" s="1"/>
      <c r="HTJ218" s="1"/>
      <c r="HTK218" s="1"/>
      <c r="HTL218" s="1"/>
      <c r="HTM218" s="1"/>
      <c r="HTN218" s="1"/>
      <c r="HTO218" s="1"/>
      <c r="HTP218" s="1"/>
      <c r="HTQ218" s="1"/>
      <c r="HTR218" s="1"/>
      <c r="HTS218" s="1"/>
      <c r="HTT218" s="1"/>
      <c r="HTU218" s="1"/>
      <c r="HTV218" s="1"/>
      <c r="HTW218" s="1"/>
      <c r="HTX218" s="1"/>
      <c r="HTY218" s="1"/>
      <c r="HTZ218" s="1"/>
      <c r="HUA218" s="1"/>
      <c r="HUB218" s="1"/>
      <c r="HUC218" s="1"/>
      <c r="HUD218" s="1"/>
      <c r="HUE218" s="1"/>
      <c r="HUF218" s="1"/>
      <c r="HUG218" s="1"/>
      <c r="HUH218" s="1"/>
      <c r="HUI218" s="1"/>
      <c r="HUJ218" s="1"/>
      <c r="HUK218" s="1"/>
      <c r="HUL218" s="1"/>
      <c r="HUM218" s="1"/>
      <c r="HUN218" s="1"/>
      <c r="HUO218" s="1"/>
      <c r="HUP218" s="1"/>
      <c r="HUQ218" s="1"/>
      <c r="HUR218" s="1"/>
      <c r="HUS218" s="1"/>
      <c r="HUT218" s="1"/>
      <c r="HUU218" s="1"/>
      <c r="HUV218" s="1"/>
      <c r="HUW218" s="1"/>
      <c r="HUX218" s="1"/>
      <c r="HUY218" s="1"/>
      <c r="HUZ218" s="1"/>
      <c r="HVA218" s="1"/>
      <c r="HVB218" s="1"/>
      <c r="HVC218" s="1"/>
      <c r="HVD218" s="1"/>
      <c r="HVE218" s="1"/>
      <c r="HVF218" s="1"/>
      <c r="HVG218" s="1"/>
      <c r="HVH218" s="1"/>
      <c r="HVI218" s="1"/>
      <c r="HVJ218" s="1"/>
      <c r="HVK218" s="1"/>
      <c r="HVL218" s="1"/>
      <c r="HVM218" s="1"/>
      <c r="HVN218" s="1"/>
      <c r="HVO218" s="1"/>
      <c r="HVP218" s="1"/>
      <c r="HVQ218" s="1"/>
      <c r="HVR218" s="1"/>
      <c r="HVS218" s="1"/>
      <c r="HVT218" s="1"/>
      <c r="HVU218" s="1"/>
      <c r="HVV218" s="1"/>
      <c r="HVW218" s="1"/>
      <c r="HVX218" s="1"/>
      <c r="HVY218" s="1"/>
      <c r="HVZ218" s="1"/>
      <c r="HWA218" s="1"/>
      <c r="HWB218" s="1"/>
      <c r="HWC218" s="1"/>
      <c r="HWD218" s="1"/>
      <c r="HWE218" s="1"/>
      <c r="HWF218" s="1"/>
      <c r="HWG218" s="1"/>
      <c r="HWH218" s="1"/>
      <c r="HWI218" s="1"/>
      <c r="HWJ218" s="1"/>
      <c r="HWK218" s="1"/>
      <c r="HWL218" s="1"/>
      <c r="HWM218" s="1"/>
      <c r="HWN218" s="1"/>
      <c r="HWO218" s="1"/>
      <c r="HWP218" s="1"/>
      <c r="HWQ218" s="1"/>
      <c r="HWR218" s="1"/>
      <c r="HWS218" s="1"/>
      <c r="HWT218" s="1"/>
      <c r="HWU218" s="1"/>
      <c r="HWV218" s="1"/>
      <c r="HWW218" s="1"/>
      <c r="HWX218" s="1"/>
      <c r="HWY218" s="1"/>
      <c r="HWZ218" s="1"/>
      <c r="HXA218" s="1"/>
      <c r="HXB218" s="1"/>
      <c r="HXC218" s="1"/>
      <c r="HXD218" s="1"/>
      <c r="HXE218" s="1"/>
      <c r="HXF218" s="1"/>
      <c r="HXG218" s="1"/>
      <c r="HXH218" s="1"/>
      <c r="HXI218" s="1"/>
      <c r="HXJ218" s="1"/>
      <c r="HXK218" s="1"/>
      <c r="HXL218" s="1"/>
      <c r="HXM218" s="1"/>
      <c r="HXN218" s="1"/>
      <c r="HXO218" s="1"/>
      <c r="HXP218" s="1"/>
      <c r="HXQ218" s="1"/>
      <c r="HXR218" s="1"/>
      <c r="HXS218" s="1"/>
      <c r="HXT218" s="1"/>
      <c r="HXU218" s="1"/>
      <c r="HXV218" s="1"/>
      <c r="HXW218" s="1"/>
      <c r="HXX218" s="1"/>
      <c r="HXY218" s="1"/>
      <c r="HXZ218" s="1"/>
      <c r="HYA218" s="1"/>
      <c r="HYB218" s="1"/>
      <c r="HYC218" s="1"/>
      <c r="HYD218" s="1"/>
      <c r="HYE218" s="1"/>
      <c r="HYF218" s="1"/>
      <c r="HYG218" s="1"/>
      <c r="HYH218" s="1"/>
      <c r="HYI218" s="1"/>
      <c r="HYJ218" s="1"/>
      <c r="HYK218" s="1"/>
      <c r="HYL218" s="1"/>
      <c r="HYM218" s="1"/>
      <c r="HYN218" s="1"/>
      <c r="HYO218" s="1"/>
      <c r="HYP218" s="1"/>
      <c r="HYQ218" s="1"/>
      <c r="HYR218" s="1"/>
      <c r="HYS218" s="1"/>
      <c r="HYT218" s="1"/>
      <c r="HYU218" s="1"/>
      <c r="HYV218" s="1"/>
      <c r="HYW218" s="1"/>
      <c r="HYX218" s="1"/>
      <c r="HYY218" s="1"/>
      <c r="HYZ218" s="1"/>
      <c r="HZA218" s="1"/>
      <c r="HZB218" s="1"/>
      <c r="HZC218" s="1"/>
      <c r="HZD218" s="1"/>
      <c r="HZE218" s="1"/>
      <c r="HZF218" s="1"/>
      <c r="HZG218" s="1"/>
      <c r="HZH218" s="1"/>
      <c r="HZI218" s="1"/>
      <c r="HZJ218" s="1"/>
      <c r="HZK218" s="1"/>
      <c r="HZL218" s="1"/>
      <c r="HZM218" s="1"/>
      <c r="HZN218" s="1"/>
      <c r="HZO218" s="1"/>
      <c r="HZP218" s="1"/>
      <c r="HZQ218" s="1"/>
      <c r="HZR218" s="1"/>
      <c r="HZS218" s="1"/>
      <c r="HZT218" s="1"/>
      <c r="HZU218" s="1"/>
      <c r="HZV218" s="1"/>
      <c r="HZW218" s="1"/>
      <c r="HZX218" s="1"/>
      <c r="HZY218" s="1"/>
      <c r="HZZ218" s="1"/>
      <c r="IAA218" s="1"/>
      <c r="IAB218" s="1"/>
      <c r="IAC218" s="1"/>
      <c r="IAD218" s="1"/>
      <c r="IAE218" s="1"/>
      <c r="IAF218" s="1"/>
      <c r="IAG218" s="1"/>
      <c r="IAH218" s="1"/>
      <c r="IAI218" s="1"/>
      <c r="IAJ218" s="1"/>
      <c r="IAK218" s="1"/>
      <c r="IAL218" s="1"/>
      <c r="IAM218" s="1"/>
      <c r="IAN218" s="1"/>
      <c r="IAO218" s="1"/>
      <c r="IAP218" s="1"/>
      <c r="IAQ218" s="1"/>
      <c r="IAR218" s="1"/>
      <c r="IAS218" s="1"/>
      <c r="IAT218" s="1"/>
      <c r="IAU218" s="1"/>
      <c r="IAV218" s="1"/>
      <c r="IAW218" s="1"/>
      <c r="IAX218" s="1"/>
      <c r="IAY218" s="1"/>
      <c r="IAZ218" s="1"/>
      <c r="IBA218" s="1"/>
      <c r="IBB218" s="1"/>
      <c r="IBC218" s="1"/>
      <c r="IBD218" s="1"/>
      <c r="IBE218" s="1"/>
      <c r="IBF218" s="1"/>
      <c r="IBG218" s="1"/>
      <c r="IBH218" s="1"/>
      <c r="IBI218" s="1"/>
      <c r="IBJ218" s="1"/>
      <c r="IBK218" s="1"/>
      <c r="IBL218" s="1"/>
      <c r="IBM218" s="1"/>
      <c r="IBN218" s="1"/>
      <c r="IBO218" s="1"/>
      <c r="IBP218" s="1"/>
      <c r="IBQ218" s="1"/>
      <c r="IBR218" s="1"/>
      <c r="IBS218" s="1"/>
      <c r="IBT218" s="1"/>
      <c r="IBU218" s="1"/>
      <c r="IBV218" s="1"/>
      <c r="IBW218" s="1"/>
      <c r="IBX218" s="1"/>
      <c r="IBY218" s="1"/>
      <c r="IBZ218" s="1"/>
      <c r="ICA218" s="1"/>
      <c r="ICB218" s="1"/>
      <c r="ICC218" s="1"/>
      <c r="ICD218" s="1"/>
      <c r="ICE218" s="1"/>
      <c r="ICF218" s="1"/>
      <c r="ICG218" s="1"/>
      <c r="ICH218" s="1"/>
      <c r="ICI218" s="1"/>
      <c r="ICJ218" s="1"/>
      <c r="ICK218" s="1"/>
      <c r="ICL218" s="1"/>
      <c r="ICM218" s="1"/>
      <c r="ICN218" s="1"/>
      <c r="ICO218" s="1"/>
      <c r="ICP218" s="1"/>
      <c r="ICQ218" s="1"/>
      <c r="ICR218" s="1"/>
      <c r="ICS218" s="1"/>
      <c r="ICT218" s="1"/>
      <c r="ICU218" s="1"/>
      <c r="ICV218" s="1"/>
      <c r="ICW218" s="1"/>
      <c r="ICX218" s="1"/>
      <c r="ICY218" s="1"/>
      <c r="ICZ218" s="1"/>
      <c r="IDA218" s="1"/>
      <c r="IDB218" s="1"/>
      <c r="IDC218" s="1"/>
      <c r="IDD218" s="1"/>
      <c r="IDE218" s="1"/>
      <c r="IDF218" s="1"/>
      <c r="IDG218" s="1"/>
      <c r="IDH218" s="1"/>
      <c r="IDI218" s="1"/>
      <c r="IDJ218" s="1"/>
      <c r="IDK218" s="1"/>
      <c r="IDL218" s="1"/>
      <c r="IDM218" s="1"/>
      <c r="IDN218" s="1"/>
      <c r="IDO218" s="1"/>
      <c r="IDP218" s="1"/>
      <c r="IDQ218" s="1"/>
      <c r="IDR218" s="1"/>
      <c r="IDS218" s="1"/>
      <c r="IDT218" s="1"/>
      <c r="IDU218" s="1"/>
      <c r="IDV218" s="1"/>
      <c r="IDW218" s="1"/>
      <c r="IDX218" s="1"/>
      <c r="IDY218" s="1"/>
      <c r="IDZ218" s="1"/>
      <c r="IEA218" s="1"/>
      <c r="IEB218" s="1"/>
      <c r="IEC218" s="1"/>
      <c r="IED218" s="1"/>
      <c r="IEE218" s="1"/>
      <c r="IEF218" s="1"/>
      <c r="IEG218" s="1"/>
      <c r="IEH218" s="1"/>
      <c r="IEI218" s="1"/>
      <c r="IEJ218" s="1"/>
      <c r="IEK218" s="1"/>
      <c r="IEL218" s="1"/>
      <c r="IEM218" s="1"/>
      <c r="IEN218" s="1"/>
      <c r="IEO218" s="1"/>
      <c r="IEP218" s="1"/>
      <c r="IEQ218" s="1"/>
      <c r="IER218" s="1"/>
      <c r="IES218" s="1"/>
      <c r="IET218" s="1"/>
      <c r="IEU218" s="1"/>
      <c r="IEV218" s="1"/>
      <c r="IEW218" s="1"/>
      <c r="IEX218" s="1"/>
      <c r="IEY218" s="1"/>
      <c r="IEZ218" s="1"/>
      <c r="IFA218" s="1"/>
      <c r="IFB218" s="1"/>
      <c r="IFC218" s="1"/>
      <c r="IFD218" s="1"/>
      <c r="IFE218" s="1"/>
      <c r="IFF218" s="1"/>
      <c r="IFG218" s="1"/>
      <c r="IFH218" s="1"/>
      <c r="IFI218" s="1"/>
      <c r="IFJ218" s="1"/>
      <c r="IFK218" s="1"/>
      <c r="IFL218" s="1"/>
      <c r="IFM218" s="1"/>
      <c r="IFN218" s="1"/>
      <c r="IFO218" s="1"/>
      <c r="IFP218" s="1"/>
      <c r="IFQ218" s="1"/>
      <c r="IFR218" s="1"/>
      <c r="IFS218" s="1"/>
      <c r="IFT218" s="1"/>
      <c r="IFU218" s="1"/>
      <c r="IFV218" s="1"/>
      <c r="IFW218" s="1"/>
      <c r="IFX218" s="1"/>
      <c r="IFY218" s="1"/>
      <c r="IFZ218" s="1"/>
      <c r="IGA218" s="1"/>
      <c r="IGB218" s="1"/>
      <c r="IGC218" s="1"/>
      <c r="IGD218" s="1"/>
      <c r="IGE218" s="1"/>
      <c r="IGF218" s="1"/>
      <c r="IGG218" s="1"/>
      <c r="IGH218" s="1"/>
      <c r="IGI218" s="1"/>
      <c r="IGJ218" s="1"/>
      <c r="IGK218" s="1"/>
      <c r="IGL218" s="1"/>
      <c r="IGM218" s="1"/>
      <c r="IGN218" s="1"/>
      <c r="IGO218" s="1"/>
      <c r="IGP218" s="1"/>
      <c r="IGQ218" s="1"/>
      <c r="IGR218" s="1"/>
      <c r="IGS218" s="1"/>
      <c r="IGT218" s="1"/>
      <c r="IGU218" s="1"/>
      <c r="IGV218" s="1"/>
      <c r="IGW218" s="1"/>
      <c r="IGX218" s="1"/>
      <c r="IGY218" s="1"/>
      <c r="IGZ218" s="1"/>
      <c r="IHA218" s="1"/>
      <c r="IHB218" s="1"/>
      <c r="IHC218" s="1"/>
      <c r="IHD218" s="1"/>
      <c r="IHE218" s="1"/>
      <c r="IHF218" s="1"/>
      <c r="IHG218" s="1"/>
      <c r="IHH218" s="1"/>
      <c r="IHI218" s="1"/>
      <c r="IHJ218" s="1"/>
      <c r="IHK218" s="1"/>
      <c r="IHL218" s="1"/>
      <c r="IHM218" s="1"/>
      <c r="IHN218" s="1"/>
      <c r="IHO218" s="1"/>
      <c r="IHP218" s="1"/>
      <c r="IHQ218" s="1"/>
      <c r="IHR218" s="1"/>
      <c r="IHS218" s="1"/>
      <c r="IHT218" s="1"/>
      <c r="IHU218" s="1"/>
      <c r="IHV218" s="1"/>
      <c r="IHW218" s="1"/>
      <c r="IHX218" s="1"/>
      <c r="IHY218" s="1"/>
      <c r="IHZ218" s="1"/>
      <c r="IIA218" s="1"/>
      <c r="IIB218" s="1"/>
      <c r="IIC218" s="1"/>
      <c r="IID218" s="1"/>
      <c r="IIE218" s="1"/>
      <c r="IIF218" s="1"/>
      <c r="IIG218" s="1"/>
      <c r="IIH218" s="1"/>
      <c r="III218" s="1"/>
      <c r="IIJ218" s="1"/>
      <c r="IIK218" s="1"/>
      <c r="IIL218" s="1"/>
      <c r="IIM218" s="1"/>
      <c r="IIN218" s="1"/>
      <c r="IIO218" s="1"/>
      <c r="IIP218" s="1"/>
      <c r="IIQ218" s="1"/>
      <c r="IIR218" s="1"/>
      <c r="IIS218" s="1"/>
      <c r="IIT218" s="1"/>
      <c r="IIU218" s="1"/>
      <c r="IIV218" s="1"/>
      <c r="IIW218" s="1"/>
      <c r="IIX218" s="1"/>
      <c r="IIY218" s="1"/>
      <c r="IIZ218" s="1"/>
      <c r="IJA218" s="1"/>
      <c r="IJB218" s="1"/>
      <c r="IJC218" s="1"/>
      <c r="IJD218" s="1"/>
      <c r="IJE218" s="1"/>
      <c r="IJF218" s="1"/>
      <c r="IJG218" s="1"/>
      <c r="IJH218" s="1"/>
      <c r="IJI218" s="1"/>
      <c r="IJJ218" s="1"/>
      <c r="IJK218" s="1"/>
      <c r="IJL218" s="1"/>
      <c r="IJM218" s="1"/>
      <c r="IJN218" s="1"/>
      <c r="IJO218" s="1"/>
      <c r="IJP218" s="1"/>
      <c r="IJQ218" s="1"/>
      <c r="IJR218" s="1"/>
      <c r="IJS218" s="1"/>
      <c r="IJT218" s="1"/>
      <c r="IJU218" s="1"/>
      <c r="IJV218" s="1"/>
      <c r="IJW218" s="1"/>
      <c r="IJX218" s="1"/>
      <c r="IJY218" s="1"/>
      <c r="IJZ218" s="1"/>
      <c r="IKA218" s="1"/>
      <c r="IKB218" s="1"/>
      <c r="IKC218" s="1"/>
      <c r="IKD218" s="1"/>
      <c r="IKE218" s="1"/>
      <c r="IKF218" s="1"/>
      <c r="IKG218" s="1"/>
      <c r="IKH218" s="1"/>
      <c r="IKI218" s="1"/>
      <c r="IKJ218" s="1"/>
      <c r="IKK218" s="1"/>
      <c r="IKL218" s="1"/>
      <c r="IKM218" s="1"/>
      <c r="IKN218" s="1"/>
      <c r="IKO218" s="1"/>
      <c r="IKP218" s="1"/>
      <c r="IKQ218" s="1"/>
      <c r="IKR218" s="1"/>
      <c r="IKS218" s="1"/>
      <c r="IKT218" s="1"/>
      <c r="IKU218" s="1"/>
      <c r="IKV218" s="1"/>
      <c r="IKW218" s="1"/>
      <c r="IKX218" s="1"/>
      <c r="IKY218" s="1"/>
      <c r="IKZ218" s="1"/>
      <c r="ILA218" s="1"/>
      <c r="ILB218" s="1"/>
      <c r="ILC218" s="1"/>
      <c r="ILD218" s="1"/>
      <c r="ILE218" s="1"/>
      <c r="ILF218" s="1"/>
      <c r="ILG218" s="1"/>
      <c r="ILH218" s="1"/>
      <c r="ILI218" s="1"/>
      <c r="ILJ218" s="1"/>
      <c r="ILK218" s="1"/>
      <c r="ILL218" s="1"/>
      <c r="ILM218" s="1"/>
      <c r="ILN218" s="1"/>
      <c r="ILO218" s="1"/>
      <c r="ILP218" s="1"/>
      <c r="ILQ218" s="1"/>
      <c r="ILR218" s="1"/>
      <c r="ILS218" s="1"/>
      <c r="ILT218" s="1"/>
      <c r="ILU218" s="1"/>
      <c r="ILV218" s="1"/>
      <c r="ILW218" s="1"/>
      <c r="ILX218" s="1"/>
      <c r="ILY218" s="1"/>
      <c r="ILZ218" s="1"/>
      <c r="IMA218" s="1"/>
      <c r="IMB218" s="1"/>
      <c r="IMC218" s="1"/>
      <c r="IMD218" s="1"/>
      <c r="IME218" s="1"/>
      <c r="IMF218" s="1"/>
      <c r="IMG218" s="1"/>
      <c r="IMH218" s="1"/>
      <c r="IMI218" s="1"/>
      <c r="IMJ218" s="1"/>
      <c r="IMK218" s="1"/>
      <c r="IML218" s="1"/>
      <c r="IMM218" s="1"/>
      <c r="IMN218" s="1"/>
      <c r="IMO218" s="1"/>
      <c r="IMP218" s="1"/>
      <c r="IMQ218" s="1"/>
      <c r="IMR218" s="1"/>
      <c r="IMS218" s="1"/>
      <c r="IMT218" s="1"/>
      <c r="IMU218" s="1"/>
      <c r="IMV218" s="1"/>
      <c r="IMW218" s="1"/>
      <c r="IMX218" s="1"/>
      <c r="IMY218" s="1"/>
      <c r="IMZ218" s="1"/>
      <c r="INA218" s="1"/>
      <c r="INB218" s="1"/>
      <c r="INC218" s="1"/>
      <c r="IND218" s="1"/>
      <c r="INE218" s="1"/>
      <c r="INF218" s="1"/>
      <c r="ING218" s="1"/>
      <c r="INH218" s="1"/>
      <c r="INI218" s="1"/>
      <c r="INJ218" s="1"/>
      <c r="INK218" s="1"/>
      <c r="INL218" s="1"/>
      <c r="INM218" s="1"/>
      <c r="INN218" s="1"/>
      <c r="INO218" s="1"/>
      <c r="INP218" s="1"/>
      <c r="INQ218" s="1"/>
      <c r="INR218" s="1"/>
      <c r="INS218" s="1"/>
      <c r="INT218" s="1"/>
      <c r="INU218" s="1"/>
      <c r="INV218" s="1"/>
      <c r="INW218" s="1"/>
      <c r="INX218" s="1"/>
      <c r="INY218" s="1"/>
      <c r="INZ218" s="1"/>
      <c r="IOA218" s="1"/>
      <c r="IOB218" s="1"/>
      <c r="IOC218" s="1"/>
      <c r="IOD218" s="1"/>
      <c r="IOE218" s="1"/>
      <c r="IOF218" s="1"/>
      <c r="IOG218" s="1"/>
      <c r="IOH218" s="1"/>
      <c r="IOI218" s="1"/>
      <c r="IOJ218" s="1"/>
      <c r="IOK218" s="1"/>
      <c r="IOL218" s="1"/>
      <c r="IOM218" s="1"/>
      <c r="ION218" s="1"/>
      <c r="IOO218" s="1"/>
      <c r="IOP218" s="1"/>
      <c r="IOQ218" s="1"/>
      <c r="IOR218" s="1"/>
      <c r="IOS218" s="1"/>
      <c r="IOT218" s="1"/>
      <c r="IOU218" s="1"/>
      <c r="IOV218" s="1"/>
      <c r="IOW218" s="1"/>
      <c r="IOX218" s="1"/>
      <c r="IOY218" s="1"/>
      <c r="IOZ218" s="1"/>
      <c r="IPA218" s="1"/>
      <c r="IPB218" s="1"/>
      <c r="IPC218" s="1"/>
      <c r="IPD218" s="1"/>
      <c r="IPE218" s="1"/>
      <c r="IPF218" s="1"/>
      <c r="IPG218" s="1"/>
      <c r="IPH218" s="1"/>
      <c r="IPI218" s="1"/>
      <c r="IPJ218" s="1"/>
      <c r="IPK218" s="1"/>
      <c r="IPL218" s="1"/>
      <c r="IPM218" s="1"/>
      <c r="IPN218" s="1"/>
      <c r="IPO218" s="1"/>
      <c r="IPP218" s="1"/>
      <c r="IPQ218" s="1"/>
      <c r="IPR218" s="1"/>
      <c r="IPS218" s="1"/>
      <c r="IPT218" s="1"/>
      <c r="IPU218" s="1"/>
      <c r="IPV218" s="1"/>
      <c r="IPW218" s="1"/>
      <c r="IPX218" s="1"/>
      <c r="IPY218" s="1"/>
      <c r="IPZ218" s="1"/>
      <c r="IQA218" s="1"/>
      <c r="IQB218" s="1"/>
      <c r="IQC218" s="1"/>
      <c r="IQD218" s="1"/>
      <c r="IQE218" s="1"/>
      <c r="IQF218" s="1"/>
      <c r="IQG218" s="1"/>
      <c r="IQH218" s="1"/>
      <c r="IQI218" s="1"/>
      <c r="IQJ218" s="1"/>
      <c r="IQK218" s="1"/>
      <c r="IQL218" s="1"/>
      <c r="IQM218" s="1"/>
      <c r="IQN218" s="1"/>
      <c r="IQO218" s="1"/>
      <c r="IQP218" s="1"/>
      <c r="IQQ218" s="1"/>
      <c r="IQR218" s="1"/>
      <c r="IQS218" s="1"/>
      <c r="IQT218" s="1"/>
      <c r="IQU218" s="1"/>
      <c r="IQV218" s="1"/>
      <c r="IQW218" s="1"/>
      <c r="IQX218" s="1"/>
      <c r="IQY218" s="1"/>
      <c r="IQZ218" s="1"/>
      <c r="IRA218" s="1"/>
      <c r="IRB218" s="1"/>
      <c r="IRC218" s="1"/>
      <c r="IRD218" s="1"/>
      <c r="IRE218" s="1"/>
      <c r="IRF218" s="1"/>
      <c r="IRG218" s="1"/>
      <c r="IRH218" s="1"/>
      <c r="IRI218" s="1"/>
      <c r="IRJ218" s="1"/>
      <c r="IRK218" s="1"/>
      <c r="IRL218" s="1"/>
      <c r="IRM218" s="1"/>
      <c r="IRN218" s="1"/>
      <c r="IRO218" s="1"/>
      <c r="IRP218" s="1"/>
      <c r="IRQ218" s="1"/>
      <c r="IRR218" s="1"/>
      <c r="IRS218" s="1"/>
      <c r="IRT218" s="1"/>
      <c r="IRU218" s="1"/>
      <c r="IRV218" s="1"/>
      <c r="IRW218" s="1"/>
      <c r="IRX218" s="1"/>
      <c r="IRY218" s="1"/>
      <c r="IRZ218" s="1"/>
      <c r="ISA218" s="1"/>
      <c r="ISB218" s="1"/>
      <c r="ISC218" s="1"/>
      <c r="ISD218" s="1"/>
      <c r="ISE218" s="1"/>
      <c r="ISF218" s="1"/>
      <c r="ISG218" s="1"/>
      <c r="ISH218" s="1"/>
      <c r="ISI218" s="1"/>
      <c r="ISJ218" s="1"/>
      <c r="ISK218" s="1"/>
      <c r="ISL218" s="1"/>
      <c r="ISM218" s="1"/>
      <c r="ISN218" s="1"/>
      <c r="ISO218" s="1"/>
      <c r="ISP218" s="1"/>
      <c r="ISQ218" s="1"/>
      <c r="ISR218" s="1"/>
      <c r="ISS218" s="1"/>
      <c r="IST218" s="1"/>
      <c r="ISU218" s="1"/>
      <c r="ISV218" s="1"/>
      <c r="ISW218" s="1"/>
      <c r="ISX218" s="1"/>
      <c r="ISY218" s="1"/>
      <c r="ISZ218" s="1"/>
      <c r="ITA218" s="1"/>
      <c r="ITB218" s="1"/>
      <c r="ITC218" s="1"/>
      <c r="ITD218" s="1"/>
      <c r="ITE218" s="1"/>
      <c r="ITF218" s="1"/>
      <c r="ITG218" s="1"/>
      <c r="ITH218" s="1"/>
      <c r="ITI218" s="1"/>
      <c r="ITJ218" s="1"/>
      <c r="ITK218" s="1"/>
      <c r="ITL218" s="1"/>
      <c r="ITM218" s="1"/>
      <c r="ITN218" s="1"/>
      <c r="ITO218" s="1"/>
      <c r="ITP218" s="1"/>
      <c r="ITQ218" s="1"/>
      <c r="ITR218" s="1"/>
      <c r="ITS218" s="1"/>
      <c r="ITT218" s="1"/>
      <c r="ITU218" s="1"/>
      <c r="ITV218" s="1"/>
      <c r="ITW218" s="1"/>
      <c r="ITX218" s="1"/>
      <c r="ITY218" s="1"/>
      <c r="ITZ218" s="1"/>
      <c r="IUA218" s="1"/>
      <c r="IUB218" s="1"/>
      <c r="IUC218" s="1"/>
      <c r="IUD218" s="1"/>
      <c r="IUE218" s="1"/>
      <c r="IUF218" s="1"/>
      <c r="IUG218" s="1"/>
      <c r="IUH218" s="1"/>
      <c r="IUI218" s="1"/>
      <c r="IUJ218" s="1"/>
      <c r="IUK218" s="1"/>
      <c r="IUL218" s="1"/>
      <c r="IUM218" s="1"/>
      <c r="IUN218" s="1"/>
      <c r="IUO218" s="1"/>
      <c r="IUP218" s="1"/>
      <c r="IUQ218" s="1"/>
      <c r="IUR218" s="1"/>
      <c r="IUS218" s="1"/>
      <c r="IUT218" s="1"/>
      <c r="IUU218" s="1"/>
      <c r="IUV218" s="1"/>
      <c r="IUW218" s="1"/>
      <c r="IUX218" s="1"/>
      <c r="IUY218" s="1"/>
      <c r="IUZ218" s="1"/>
      <c r="IVA218" s="1"/>
      <c r="IVB218" s="1"/>
      <c r="IVC218" s="1"/>
      <c r="IVD218" s="1"/>
      <c r="IVE218" s="1"/>
      <c r="IVF218" s="1"/>
      <c r="IVG218" s="1"/>
      <c r="IVH218" s="1"/>
      <c r="IVI218" s="1"/>
      <c r="IVJ218" s="1"/>
      <c r="IVK218" s="1"/>
      <c r="IVL218" s="1"/>
      <c r="IVM218" s="1"/>
      <c r="IVN218" s="1"/>
      <c r="IVO218" s="1"/>
      <c r="IVP218" s="1"/>
      <c r="IVQ218" s="1"/>
      <c r="IVR218" s="1"/>
      <c r="IVS218" s="1"/>
      <c r="IVT218" s="1"/>
      <c r="IVU218" s="1"/>
      <c r="IVV218" s="1"/>
      <c r="IVW218" s="1"/>
      <c r="IVX218" s="1"/>
      <c r="IVY218" s="1"/>
      <c r="IVZ218" s="1"/>
      <c r="IWA218" s="1"/>
      <c r="IWB218" s="1"/>
      <c r="IWC218" s="1"/>
      <c r="IWD218" s="1"/>
      <c r="IWE218" s="1"/>
      <c r="IWF218" s="1"/>
      <c r="IWG218" s="1"/>
      <c r="IWH218" s="1"/>
      <c r="IWI218" s="1"/>
      <c r="IWJ218" s="1"/>
      <c r="IWK218" s="1"/>
      <c r="IWL218" s="1"/>
      <c r="IWM218" s="1"/>
      <c r="IWN218" s="1"/>
      <c r="IWO218" s="1"/>
      <c r="IWP218" s="1"/>
      <c r="IWQ218" s="1"/>
      <c r="IWR218" s="1"/>
      <c r="IWS218" s="1"/>
      <c r="IWT218" s="1"/>
      <c r="IWU218" s="1"/>
      <c r="IWV218" s="1"/>
      <c r="IWW218" s="1"/>
      <c r="IWX218" s="1"/>
      <c r="IWY218" s="1"/>
      <c r="IWZ218" s="1"/>
      <c r="IXA218" s="1"/>
      <c r="IXB218" s="1"/>
      <c r="IXC218" s="1"/>
      <c r="IXD218" s="1"/>
      <c r="IXE218" s="1"/>
      <c r="IXF218" s="1"/>
      <c r="IXG218" s="1"/>
      <c r="IXH218" s="1"/>
      <c r="IXI218" s="1"/>
      <c r="IXJ218" s="1"/>
      <c r="IXK218" s="1"/>
      <c r="IXL218" s="1"/>
      <c r="IXM218" s="1"/>
      <c r="IXN218" s="1"/>
      <c r="IXO218" s="1"/>
      <c r="IXP218" s="1"/>
      <c r="IXQ218" s="1"/>
      <c r="IXR218" s="1"/>
      <c r="IXS218" s="1"/>
      <c r="IXT218" s="1"/>
      <c r="IXU218" s="1"/>
      <c r="IXV218" s="1"/>
      <c r="IXW218" s="1"/>
      <c r="IXX218" s="1"/>
      <c r="IXY218" s="1"/>
      <c r="IXZ218" s="1"/>
      <c r="IYA218" s="1"/>
      <c r="IYB218" s="1"/>
      <c r="IYC218" s="1"/>
      <c r="IYD218" s="1"/>
      <c r="IYE218" s="1"/>
      <c r="IYF218" s="1"/>
      <c r="IYG218" s="1"/>
      <c r="IYH218" s="1"/>
      <c r="IYI218" s="1"/>
      <c r="IYJ218" s="1"/>
      <c r="IYK218" s="1"/>
      <c r="IYL218" s="1"/>
      <c r="IYM218" s="1"/>
      <c r="IYN218" s="1"/>
      <c r="IYO218" s="1"/>
      <c r="IYP218" s="1"/>
      <c r="IYQ218" s="1"/>
      <c r="IYR218" s="1"/>
      <c r="IYS218" s="1"/>
      <c r="IYT218" s="1"/>
      <c r="IYU218" s="1"/>
      <c r="IYV218" s="1"/>
      <c r="IYW218" s="1"/>
      <c r="IYX218" s="1"/>
      <c r="IYY218" s="1"/>
      <c r="IYZ218" s="1"/>
      <c r="IZA218" s="1"/>
      <c r="IZB218" s="1"/>
      <c r="IZC218" s="1"/>
      <c r="IZD218" s="1"/>
      <c r="IZE218" s="1"/>
      <c r="IZF218" s="1"/>
      <c r="IZG218" s="1"/>
      <c r="IZH218" s="1"/>
      <c r="IZI218" s="1"/>
      <c r="IZJ218" s="1"/>
      <c r="IZK218" s="1"/>
      <c r="IZL218" s="1"/>
      <c r="IZM218" s="1"/>
      <c r="IZN218" s="1"/>
      <c r="IZO218" s="1"/>
      <c r="IZP218" s="1"/>
      <c r="IZQ218" s="1"/>
      <c r="IZR218" s="1"/>
      <c r="IZS218" s="1"/>
      <c r="IZT218" s="1"/>
      <c r="IZU218" s="1"/>
      <c r="IZV218" s="1"/>
      <c r="IZW218" s="1"/>
      <c r="IZX218" s="1"/>
      <c r="IZY218" s="1"/>
      <c r="IZZ218" s="1"/>
      <c r="JAA218" s="1"/>
      <c r="JAB218" s="1"/>
      <c r="JAC218" s="1"/>
      <c r="JAD218" s="1"/>
      <c r="JAE218" s="1"/>
      <c r="JAF218" s="1"/>
      <c r="JAG218" s="1"/>
      <c r="JAH218" s="1"/>
      <c r="JAI218" s="1"/>
      <c r="JAJ218" s="1"/>
      <c r="JAK218" s="1"/>
      <c r="JAL218" s="1"/>
      <c r="JAM218" s="1"/>
      <c r="JAN218" s="1"/>
      <c r="JAO218" s="1"/>
      <c r="JAP218" s="1"/>
      <c r="JAQ218" s="1"/>
      <c r="JAR218" s="1"/>
      <c r="JAS218" s="1"/>
      <c r="JAT218" s="1"/>
      <c r="JAU218" s="1"/>
      <c r="JAV218" s="1"/>
      <c r="JAW218" s="1"/>
      <c r="JAX218" s="1"/>
      <c r="JAY218" s="1"/>
      <c r="JAZ218" s="1"/>
      <c r="JBA218" s="1"/>
      <c r="JBB218" s="1"/>
      <c r="JBC218" s="1"/>
      <c r="JBD218" s="1"/>
      <c r="JBE218" s="1"/>
      <c r="JBF218" s="1"/>
      <c r="JBG218" s="1"/>
      <c r="JBH218" s="1"/>
      <c r="JBI218" s="1"/>
      <c r="JBJ218" s="1"/>
      <c r="JBK218" s="1"/>
      <c r="JBL218" s="1"/>
      <c r="JBM218" s="1"/>
      <c r="JBN218" s="1"/>
      <c r="JBO218" s="1"/>
      <c r="JBP218" s="1"/>
      <c r="JBQ218" s="1"/>
      <c r="JBR218" s="1"/>
      <c r="JBS218" s="1"/>
      <c r="JBT218" s="1"/>
      <c r="JBU218" s="1"/>
      <c r="JBV218" s="1"/>
      <c r="JBW218" s="1"/>
      <c r="JBX218" s="1"/>
      <c r="JBY218" s="1"/>
      <c r="JBZ218" s="1"/>
      <c r="JCA218" s="1"/>
      <c r="JCB218" s="1"/>
      <c r="JCC218" s="1"/>
      <c r="JCD218" s="1"/>
      <c r="JCE218" s="1"/>
      <c r="JCF218" s="1"/>
      <c r="JCG218" s="1"/>
      <c r="JCH218" s="1"/>
      <c r="JCI218" s="1"/>
      <c r="JCJ218" s="1"/>
      <c r="JCK218" s="1"/>
      <c r="JCL218" s="1"/>
      <c r="JCM218" s="1"/>
      <c r="JCN218" s="1"/>
      <c r="JCO218" s="1"/>
      <c r="JCP218" s="1"/>
      <c r="JCQ218" s="1"/>
      <c r="JCR218" s="1"/>
      <c r="JCS218" s="1"/>
      <c r="JCT218" s="1"/>
      <c r="JCU218" s="1"/>
      <c r="JCV218" s="1"/>
      <c r="JCW218" s="1"/>
      <c r="JCX218" s="1"/>
      <c r="JCY218" s="1"/>
      <c r="JCZ218" s="1"/>
      <c r="JDA218" s="1"/>
      <c r="JDB218" s="1"/>
      <c r="JDC218" s="1"/>
      <c r="JDD218" s="1"/>
      <c r="JDE218" s="1"/>
      <c r="JDF218" s="1"/>
      <c r="JDG218" s="1"/>
      <c r="JDH218" s="1"/>
      <c r="JDI218" s="1"/>
      <c r="JDJ218" s="1"/>
      <c r="JDK218" s="1"/>
      <c r="JDL218" s="1"/>
      <c r="JDM218" s="1"/>
      <c r="JDN218" s="1"/>
      <c r="JDO218" s="1"/>
      <c r="JDP218" s="1"/>
      <c r="JDQ218" s="1"/>
      <c r="JDR218" s="1"/>
      <c r="JDS218" s="1"/>
      <c r="JDT218" s="1"/>
      <c r="JDU218" s="1"/>
      <c r="JDV218" s="1"/>
      <c r="JDW218" s="1"/>
      <c r="JDX218" s="1"/>
      <c r="JDY218" s="1"/>
      <c r="JDZ218" s="1"/>
      <c r="JEA218" s="1"/>
      <c r="JEB218" s="1"/>
      <c r="JEC218" s="1"/>
      <c r="JED218" s="1"/>
      <c r="JEE218" s="1"/>
      <c r="JEF218" s="1"/>
      <c r="JEG218" s="1"/>
      <c r="JEH218" s="1"/>
      <c r="JEI218" s="1"/>
      <c r="JEJ218" s="1"/>
      <c r="JEK218" s="1"/>
      <c r="JEL218" s="1"/>
      <c r="JEM218" s="1"/>
      <c r="JEN218" s="1"/>
      <c r="JEO218" s="1"/>
      <c r="JEP218" s="1"/>
      <c r="JEQ218" s="1"/>
      <c r="JER218" s="1"/>
      <c r="JES218" s="1"/>
      <c r="JET218" s="1"/>
      <c r="JEU218" s="1"/>
      <c r="JEV218" s="1"/>
      <c r="JEW218" s="1"/>
      <c r="JEX218" s="1"/>
      <c r="JEY218" s="1"/>
      <c r="JEZ218" s="1"/>
      <c r="JFA218" s="1"/>
      <c r="JFB218" s="1"/>
      <c r="JFC218" s="1"/>
      <c r="JFD218" s="1"/>
      <c r="JFE218" s="1"/>
      <c r="JFF218" s="1"/>
      <c r="JFG218" s="1"/>
      <c r="JFH218" s="1"/>
      <c r="JFI218" s="1"/>
      <c r="JFJ218" s="1"/>
      <c r="JFK218" s="1"/>
      <c r="JFL218" s="1"/>
      <c r="JFM218" s="1"/>
      <c r="JFN218" s="1"/>
      <c r="JFO218" s="1"/>
      <c r="JFP218" s="1"/>
      <c r="JFQ218" s="1"/>
      <c r="JFR218" s="1"/>
      <c r="JFS218" s="1"/>
      <c r="JFT218" s="1"/>
      <c r="JFU218" s="1"/>
      <c r="JFV218" s="1"/>
      <c r="JFW218" s="1"/>
      <c r="JFX218" s="1"/>
      <c r="JFY218" s="1"/>
      <c r="JFZ218" s="1"/>
      <c r="JGA218" s="1"/>
      <c r="JGB218" s="1"/>
      <c r="JGC218" s="1"/>
      <c r="JGD218" s="1"/>
      <c r="JGE218" s="1"/>
      <c r="JGF218" s="1"/>
      <c r="JGG218" s="1"/>
      <c r="JGH218" s="1"/>
      <c r="JGI218" s="1"/>
      <c r="JGJ218" s="1"/>
      <c r="JGK218" s="1"/>
      <c r="JGL218" s="1"/>
      <c r="JGM218" s="1"/>
      <c r="JGN218" s="1"/>
      <c r="JGO218" s="1"/>
      <c r="JGP218" s="1"/>
      <c r="JGQ218" s="1"/>
      <c r="JGR218" s="1"/>
      <c r="JGS218" s="1"/>
      <c r="JGT218" s="1"/>
      <c r="JGU218" s="1"/>
      <c r="JGV218" s="1"/>
      <c r="JGW218" s="1"/>
      <c r="JGX218" s="1"/>
      <c r="JGY218" s="1"/>
      <c r="JGZ218" s="1"/>
      <c r="JHA218" s="1"/>
      <c r="JHB218" s="1"/>
      <c r="JHC218" s="1"/>
      <c r="JHD218" s="1"/>
      <c r="JHE218" s="1"/>
      <c r="JHF218" s="1"/>
      <c r="JHG218" s="1"/>
      <c r="JHH218" s="1"/>
      <c r="JHI218" s="1"/>
      <c r="JHJ218" s="1"/>
      <c r="JHK218" s="1"/>
      <c r="JHL218" s="1"/>
      <c r="JHM218" s="1"/>
      <c r="JHN218" s="1"/>
      <c r="JHO218" s="1"/>
      <c r="JHP218" s="1"/>
      <c r="JHQ218" s="1"/>
      <c r="JHR218" s="1"/>
      <c r="JHS218" s="1"/>
      <c r="JHT218" s="1"/>
      <c r="JHU218" s="1"/>
      <c r="JHV218" s="1"/>
      <c r="JHW218" s="1"/>
      <c r="JHX218" s="1"/>
      <c r="JHY218" s="1"/>
      <c r="JHZ218" s="1"/>
      <c r="JIA218" s="1"/>
      <c r="JIB218" s="1"/>
      <c r="JIC218" s="1"/>
      <c r="JID218" s="1"/>
      <c r="JIE218" s="1"/>
      <c r="JIF218" s="1"/>
      <c r="JIG218" s="1"/>
      <c r="JIH218" s="1"/>
      <c r="JII218" s="1"/>
      <c r="JIJ218" s="1"/>
      <c r="JIK218" s="1"/>
      <c r="JIL218" s="1"/>
      <c r="JIM218" s="1"/>
      <c r="JIN218" s="1"/>
      <c r="JIO218" s="1"/>
      <c r="JIP218" s="1"/>
      <c r="JIQ218" s="1"/>
      <c r="JIR218" s="1"/>
      <c r="JIS218" s="1"/>
      <c r="JIT218" s="1"/>
      <c r="JIU218" s="1"/>
      <c r="JIV218" s="1"/>
      <c r="JIW218" s="1"/>
      <c r="JIX218" s="1"/>
      <c r="JIY218" s="1"/>
      <c r="JIZ218" s="1"/>
      <c r="JJA218" s="1"/>
      <c r="JJB218" s="1"/>
      <c r="JJC218" s="1"/>
      <c r="JJD218" s="1"/>
      <c r="JJE218" s="1"/>
      <c r="JJF218" s="1"/>
      <c r="JJG218" s="1"/>
      <c r="JJH218" s="1"/>
      <c r="JJI218" s="1"/>
      <c r="JJJ218" s="1"/>
      <c r="JJK218" s="1"/>
      <c r="JJL218" s="1"/>
      <c r="JJM218" s="1"/>
      <c r="JJN218" s="1"/>
      <c r="JJO218" s="1"/>
      <c r="JJP218" s="1"/>
      <c r="JJQ218" s="1"/>
      <c r="JJR218" s="1"/>
      <c r="JJS218" s="1"/>
      <c r="JJT218" s="1"/>
      <c r="JJU218" s="1"/>
      <c r="JJV218" s="1"/>
      <c r="JJW218" s="1"/>
      <c r="JJX218" s="1"/>
      <c r="JJY218" s="1"/>
      <c r="JJZ218" s="1"/>
      <c r="JKA218" s="1"/>
      <c r="JKB218" s="1"/>
      <c r="JKC218" s="1"/>
      <c r="JKD218" s="1"/>
      <c r="JKE218" s="1"/>
      <c r="JKF218" s="1"/>
      <c r="JKG218" s="1"/>
      <c r="JKH218" s="1"/>
      <c r="JKI218" s="1"/>
      <c r="JKJ218" s="1"/>
      <c r="JKK218" s="1"/>
      <c r="JKL218" s="1"/>
      <c r="JKM218" s="1"/>
      <c r="JKN218" s="1"/>
      <c r="JKO218" s="1"/>
      <c r="JKP218" s="1"/>
      <c r="JKQ218" s="1"/>
      <c r="JKR218" s="1"/>
      <c r="JKS218" s="1"/>
      <c r="JKT218" s="1"/>
      <c r="JKU218" s="1"/>
      <c r="JKV218" s="1"/>
      <c r="JKW218" s="1"/>
      <c r="JKX218" s="1"/>
      <c r="JKY218" s="1"/>
      <c r="JKZ218" s="1"/>
      <c r="JLA218" s="1"/>
      <c r="JLB218" s="1"/>
      <c r="JLC218" s="1"/>
      <c r="JLD218" s="1"/>
      <c r="JLE218" s="1"/>
      <c r="JLF218" s="1"/>
      <c r="JLG218" s="1"/>
      <c r="JLH218" s="1"/>
      <c r="JLI218" s="1"/>
      <c r="JLJ218" s="1"/>
      <c r="JLK218" s="1"/>
      <c r="JLL218" s="1"/>
      <c r="JLM218" s="1"/>
      <c r="JLN218" s="1"/>
      <c r="JLO218" s="1"/>
      <c r="JLP218" s="1"/>
      <c r="JLQ218" s="1"/>
      <c r="JLR218" s="1"/>
      <c r="JLS218" s="1"/>
      <c r="JLT218" s="1"/>
      <c r="JLU218" s="1"/>
      <c r="JLV218" s="1"/>
      <c r="JLW218" s="1"/>
      <c r="JLX218" s="1"/>
      <c r="JLY218" s="1"/>
      <c r="JLZ218" s="1"/>
      <c r="JMA218" s="1"/>
      <c r="JMB218" s="1"/>
      <c r="JMC218" s="1"/>
      <c r="JMD218" s="1"/>
      <c r="JME218" s="1"/>
      <c r="JMF218" s="1"/>
      <c r="JMG218" s="1"/>
      <c r="JMH218" s="1"/>
      <c r="JMI218" s="1"/>
      <c r="JMJ218" s="1"/>
      <c r="JMK218" s="1"/>
      <c r="JML218" s="1"/>
      <c r="JMM218" s="1"/>
      <c r="JMN218" s="1"/>
      <c r="JMO218" s="1"/>
      <c r="JMP218" s="1"/>
      <c r="JMQ218" s="1"/>
      <c r="JMR218" s="1"/>
      <c r="JMS218" s="1"/>
      <c r="JMT218" s="1"/>
      <c r="JMU218" s="1"/>
      <c r="JMV218" s="1"/>
      <c r="JMW218" s="1"/>
      <c r="JMX218" s="1"/>
      <c r="JMY218" s="1"/>
      <c r="JMZ218" s="1"/>
      <c r="JNA218" s="1"/>
      <c r="JNB218" s="1"/>
      <c r="JNC218" s="1"/>
      <c r="JND218" s="1"/>
      <c r="JNE218" s="1"/>
      <c r="JNF218" s="1"/>
      <c r="JNG218" s="1"/>
      <c r="JNH218" s="1"/>
      <c r="JNI218" s="1"/>
      <c r="JNJ218" s="1"/>
      <c r="JNK218" s="1"/>
      <c r="JNL218" s="1"/>
      <c r="JNM218" s="1"/>
      <c r="JNN218" s="1"/>
      <c r="JNO218" s="1"/>
      <c r="JNP218" s="1"/>
      <c r="JNQ218" s="1"/>
      <c r="JNR218" s="1"/>
      <c r="JNS218" s="1"/>
      <c r="JNT218" s="1"/>
      <c r="JNU218" s="1"/>
      <c r="JNV218" s="1"/>
      <c r="JNW218" s="1"/>
      <c r="JNX218" s="1"/>
      <c r="JNY218" s="1"/>
      <c r="JNZ218" s="1"/>
      <c r="JOA218" s="1"/>
      <c r="JOB218" s="1"/>
      <c r="JOC218" s="1"/>
      <c r="JOD218" s="1"/>
      <c r="JOE218" s="1"/>
      <c r="JOF218" s="1"/>
      <c r="JOG218" s="1"/>
      <c r="JOH218" s="1"/>
      <c r="JOI218" s="1"/>
      <c r="JOJ218" s="1"/>
      <c r="JOK218" s="1"/>
      <c r="JOL218" s="1"/>
      <c r="JOM218" s="1"/>
      <c r="JON218" s="1"/>
      <c r="JOO218" s="1"/>
      <c r="JOP218" s="1"/>
      <c r="JOQ218" s="1"/>
      <c r="JOR218" s="1"/>
      <c r="JOS218" s="1"/>
      <c r="JOT218" s="1"/>
      <c r="JOU218" s="1"/>
      <c r="JOV218" s="1"/>
      <c r="JOW218" s="1"/>
      <c r="JOX218" s="1"/>
      <c r="JOY218" s="1"/>
      <c r="JOZ218" s="1"/>
      <c r="JPA218" s="1"/>
      <c r="JPB218" s="1"/>
      <c r="JPC218" s="1"/>
      <c r="JPD218" s="1"/>
      <c r="JPE218" s="1"/>
      <c r="JPF218" s="1"/>
      <c r="JPG218" s="1"/>
      <c r="JPH218" s="1"/>
      <c r="JPI218" s="1"/>
      <c r="JPJ218" s="1"/>
      <c r="JPK218" s="1"/>
      <c r="JPL218" s="1"/>
      <c r="JPM218" s="1"/>
      <c r="JPN218" s="1"/>
      <c r="JPO218" s="1"/>
      <c r="JPP218" s="1"/>
      <c r="JPQ218" s="1"/>
      <c r="JPR218" s="1"/>
      <c r="JPS218" s="1"/>
      <c r="JPT218" s="1"/>
      <c r="JPU218" s="1"/>
      <c r="JPV218" s="1"/>
      <c r="JPW218" s="1"/>
      <c r="JPX218" s="1"/>
      <c r="JPY218" s="1"/>
      <c r="JPZ218" s="1"/>
      <c r="JQA218" s="1"/>
      <c r="JQB218" s="1"/>
      <c r="JQC218" s="1"/>
      <c r="JQD218" s="1"/>
      <c r="JQE218" s="1"/>
      <c r="JQF218" s="1"/>
      <c r="JQG218" s="1"/>
      <c r="JQH218" s="1"/>
      <c r="JQI218" s="1"/>
      <c r="JQJ218" s="1"/>
      <c r="JQK218" s="1"/>
      <c r="JQL218" s="1"/>
      <c r="JQM218" s="1"/>
      <c r="JQN218" s="1"/>
      <c r="JQO218" s="1"/>
      <c r="JQP218" s="1"/>
      <c r="JQQ218" s="1"/>
      <c r="JQR218" s="1"/>
      <c r="JQS218" s="1"/>
      <c r="JQT218" s="1"/>
      <c r="JQU218" s="1"/>
      <c r="JQV218" s="1"/>
      <c r="JQW218" s="1"/>
      <c r="JQX218" s="1"/>
      <c r="JQY218" s="1"/>
      <c r="JQZ218" s="1"/>
      <c r="JRA218" s="1"/>
      <c r="JRB218" s="1"/>
      <c r="JRC218" s="1"/>
      <c r="JRD218" s="1"/>
      <c r="JRE218" s="1"/>
      <c r="JRF218" s="1"/>
      <c r="JRG218" s="1"/>
      <c r="JRH218" s="1"/>
      <c r="JRI218" s="1"/>
      <c r="JRJ218" s="1"/>
      <c r="JRK218" s="1"/>
      <c r="JRL218" s="1"/>
      <c r="JRM218" s="1"/>
      <c r="JRN218" s="1"/>
      <c r="JRO218" s="1"/>
      <c r="JRP218" s="1"/>
      <c r="JRQ218" s="1"/>
      <c r="JRR218" s="1"/>
      <c r="JRS218" s="1"/>
      <c r="JRT218" s="1"/>
      <c r="JRU218" s="1"/>
      <c r="JRV218" s="1"/>
      <c r="JRW218" s="1"/>
      <c r="JRX218" s="1"/>
      <c r="JRY218" s="1"/>
      <c r="JRZ218" s="1"/>
      <c r="JSA218" s="1"/>
      <c r="JSB218" s="1"/>
      <c r="JSC218" s="1"/>
      <c r="JSD218" s="1"/>
      <c r="JSE218" s="1"/>
      <c r="JSF218" s="1"/>
      <c r="JSG218" s="1"/>
      <c r="JSH218" s="1"/>
      <c r="JSI218" s="1"/>
      <c r="JSJ218" s="1"/>
      <c r="JSK218" s="1"/>
      <c r="JSL218" s="1"/>
      <c r="JSM218" s="1"/>
      <c r="JSN218" s="1"/>
      <c r="JSO218" s="1"/>
      <c r="JSP218" s="1"/>
      <c r="JSQ218" s="1"/>
      <c r="JSR218" s="1"/>
      <c r="JSS218" s="1"/>
      <c r="JST218" s="1"/>
      <c r="JSU218" s="1"/>
      <c r="JSV218" s="1"/>
      <c r="JSW218" s="1"/>
      <c r="JSX218" s="1"/>
      <c r="JSY218" s="1"/>
      <c r="JSZ218" s="1"/>
      <c r="JTA218" s="1"/>
      <c r="JTB218" s="1"/>
      <c r="JTC218" s="1"/>
      <c r="JTD218" s="1"/>
      <c r="JTE218" s="1"/>
      <c r="JTF218" s="1"/>
      <c r="JTG218" s="1"/>
      <c r="JTH218" s="1"/>
      <c r="JTI218" s="1"/>
      <c r="JTJ218" s="1"/>
      <c r="JTK218" s="1"/>
      <c r="JTL218" s="1"/>
      <c r="JTM218" s="1"/>
      <c r="JTN218" s="1"/>
      <c r="JTO218" s="1"/>
      <c r="JTP218" s="1"/>
      <c r="JTQ218" s="1"/>
      <c r="JTR218" s="1"/>
      <c r="JTS218" s="1"/>
      <c r="JTT218" s="1"/>
      <c r="JTU218" s="1"/>
      <c r="JTV218" s="1"/>
      <c r="JTW218" s="1"/>
      <c r="JTX218" s="1"/>
      <c r="JTY218" s="1"/>
      <c r="JTZ218" s="1"/>
      <c r="JUA218" s="1"/>
      <c r="JUB218" s="1"/>
      <c r="JUC218" s="1"/>
      <c r="JUD218" s="1"/>
      <c r="JUE218" s="1"/>
      <c r="JUF218" s="1"/>
      <c r="JUG218" s="1"/>
      <c r="JUH218" s="1"/>
      <c r="JUI218" s="1"/>
      <c r="JUJ218" s="1"/>
      <c r="JUK218" s="1"/>
      <c r="JUL218" s="1"/>
      <c r="JUM218" s="1"/>
      <c r="JUN218" s="1"/>
      <c r="JUO218" s="1"/>
      <c r="JUP218" s="1"/>
      <c r="JUQ218" s="1"/>
      <c r="JUR218" s="1"/>
      <c r="JUS218" s="1"/>
      <c r="JUT218" s="1"/>
      <c r="JUU218" s="1"/>
      <c r="JUV218" s="1"/>
      <c r="JUW218" s="1"/>
      <c r="JUX218" s="1"/>
      <c r="JUY218" s="1"/>
      <c r="JUZ218" s="1"/>
      <c r="JVA218" s="1"/>
      <c r="JVB218" s="1"/>
      <c r="JVC218" s="1"/>
      <c r="JVD218" s="1"/>
      <c r="JVE218" s="1"/>
      <c r="JVF218" s="1"/>
      <c r="JVG218" s="1"/>
      <c r="JVH218" s="1"/>
      <c r="JVI218" s="1"/>
      <c r="JVJ218" s="1"/>
      <c r="JVK218" s="1"/>
      <c r="JVL218" s="1"/>
      <c r="JVM218" s="1"/>
      <c r="JVN218" s="1"/>
      <c r="JVO218" s="1"/>
      <c r="JVP218" s="1"/>
      <c r="JVQ218" s="1"/>
      <c r="JVR218" s="1"/>
      <c r="JVS218" s="1"/>
      <c r="JVT218" s="1"/>
      <c r="JVU218" s="1"/>
      <c r="JVV218" s="1"/>
      <c r="JVW218" s="1"/>
      <c r="JVX218" s="1"/>
      <c r="JVY218" s="1"/>
      <c r="JVZ218" s="1"/>
      <c r="JWA218" s="1"/>
      <c r="JWB218" s="1"/>
      <c r="JWC218" s="1"/>
      <c r="JWD218" s="1"/>
      <c r="JWE218" s="1"/>
      <c r="JWF218" s="1"/>
      <c r="JWG218" s="1"/>
      <c r="JWH218" s="1"/>
      <c r="JWI218" s="1"/>
      <c r="JWJ218" s="1"/>
      <c r="JWK218" s="1"/>
      <c r="JWL218" s="1"/>
      <c r="JWM218" s="1"/>
      <c r="JWN218" s="1"/>
      <c r="JWO218" s="1"/>
      <c r="JWP218" s="1"/>
      <c r="JWQ218" s="1"/>
      <c r="JWR218" s="1"/>
      <c r="JWS218" s="1"/>
      <c r="JWT218" s="1"/>
      <c r="JWU218" s="1"/>
      <c r="JWV218" s="1"/>
      <c r="JWW218" s="1"/>
      <c r="JWX218" s="1"/>
      <c r="JWY218" s="1"/>
      <c r="JWZ218" s="1"/>
      <c r="JXA218" s="1"/>
      <c r="JXB218" s="1"/>
      <c r="JXC218" s="1"/>
      <c r="JXD218" s="1"/>
      <c r="JXE218" s="1"/>
      <c r="JXF218" s="1"/>
      <c r="JXG218" s="1"/>
      <c r="JXH218" s="1"/>
      <c r="JXI218" s="1"/>
      <c r="JXJ218" s="1"/>
      <c r="JXK218" s="1"/>
      <c r="JXL218" s="1"/>
      <c r="JXM218" s="1"/>
      <c r="JXN218" s="1"/>
      <c r="JXO218" s="1"/>
      <c r="JXP218" s="1"/>
      <c r="JXQ218" s="1"/>
      <c r="JXR218" s="1"/>
      <c r="JXS218" s="1"/>
      <c r="JXT218" s="1"/>
      <c r="JXU218" s="1"/>
      <c r="JXV218" s="1"/>
      <c r="JXW218" s="1"/>
      <c r="JXX218" s="1"/>
      <c r="JXY218" s="1"/>
      <c r="JXZ218" s="1"/>
      <c r="JYA218" s="1"/>
      <c r="JYB218" s="1"/>
      <c r="JYC218" s="1"/>
      <c r="JYD218" s="1"/>
      <c r="JYE218" s="1"/>
      <c r="JYF218" s="1"/>
      <c r="JYG218" s="1"/>
      <c r="JYH218" s="1"/>
      <c r="JYI218" s="1"/>
      <c r="JYJ218" s="1"/>
      <c r="JYK218" s="1"/>
      <c r="JYL218" s="1"/>
      <c r="JYM218" s="1"/>
      <c r="JYN218" s="1"/>
      <c r="JYO218" s="1"/>
      <c r="JYP218" s="1"/>
      <c r="JYQ218" s="1"/>
      <c r="JYR218" s="1"/>
      <c r="JYS218" s="1"/>
      <c r="JYT218" s="1"/>
      <c r="JYU218" s="1"/>
      <c r="JYV218" s="1"/>
      <c r="JYW218" s="1"/>
      <c r="JYX218" s="1"/>
      <c r="JYY218" s="1"/>
      <c r="JYZ218" s="1"/>
      <c r="JZA218" s="1"/>
      <c r="JZB218" s="1"/>
      <c r="JZC218" s="1"/>
      <c r="JZD218" s="1"/>
      <c r="JZE218" s="1"/>
      <c r="JZF218" s="1"/>
      <c r="JZG218" s="1"/>
      <c r="JZH218" s="1"/>
      <c r="JZI218" s="1"/>
      <c r="JZJ218" s="1"/>
      <c r="JZK218" s="1"/>
      <c r="JZL218" s="1"/>
      <c r="JZM218" s="1"/>
      <c r="JZN218" s="1"/>
      <c r="JZO218" s="1"/>
      <c r="JZP218" s="1"/>
      <c r="JZQ218" s="1"/>
      <c r="JZR218" s="1"/>
      <c r="JZS218" s="1"/>
      <c r="JZT218" s="1"/>
      <c r="JZU218" s="1"/>
      <c r="JZV218" s="1"/>
      <c r="JZW218" s="1"/>
      <c r="JZX218" s="1"/>
      <c r="JZY218" s="1"/>
      <c r="JZZ218" s="1"/>
      <c r="KAA218" s="1"/>
      <c r="KAB218" s="1"/>
      <c r="KAC218" s="1"/>
      <c r="KAD218" s="1"/>
      <c r="KAE218" s="1"/>
      <c r="KAF218" s="1"/>
      <c r="KAG218" s="1"/>
      <c r="KAH218" s="1"/>
      <c r="KAI218" s="1"/>
      <c r="KAJ218" s="1"/>
      <c r="KAK218" s="1"/>
      <c r="KAL218" s="1"/>
      <c r="KAM218" s="1"/>
      <c r="KAN218" s="1"/>
      <c r="KAO218" s="1"/>
      <c r="KAP218" s="1"/>
      <c r="KAQ218" s="1"/>
      <c r="KAR218" s="1"/>
      <c r="KAS218" s="1"/>
      <c r="KAT218" s="1"/>
      <c r="KAU218" s="1"/>
      <c r="KAV218" s="1"/>
      <c r="KAW218" s="1"/>
      <c r="KAX218" s="1"/>
      <c r="KAY218" s="1"/>
      <c r="KAZ218" s="1"/>
      <c r="KBA218" s="1"/>
      <c r="KBB218" s="1"/>
      <c r="KBC218" s="1"/>
      <c r="KBD218" s="1"/>
      <c r="KBE218" s="1"/>
      <c r="KBF218" s="1"/>
      <c r="KBG218" s="1"/>
      <c r="KBH218" s="1"/>
      <c r="KBI218" s="1"/>
      <c r="KBJ218" s="1"/>
      <c r="KBK218" s="1"/>
      <c r="KBL218" s="1"/>
      <c r="KBM218" s="1"/>
      <c r="KBN218" s="1"/>
      <c r="KBO218" s="1"/>
      <c r="KBP218" s="1"/>
      <c r="KBQ218" s="1"/>
      <c r="KBR218" s="1"/>
      <c r="KBS218" s="1"/>
      <c r="KBT218" s="1"/>
      <c r="KBU218" s="1"/>
      <c r="KBV218" s="1"/>
      <c r="KBW218" s="1"/>
      <c r="KBX218" s="1"/>
      <c r="KBY218" s="1"/>
      <c r="KBZ218" s="1"/>
      <c r="KCA218" s="1"/>
      <c r="KCB218" s="1"/>
      <c r="KCC218" s="1"/>
      <c r="KCD218" s="1"/>
      <c r="KCE218" s="1"/>
      <c r="KCF218" s="1"/>
      <c r="KCG218" s="1"/>
      <c r="KCH218" s="1"/>
      <c r="KCI218" s="1"/>
      <c r="KCJ218" s="1"/>
      <c r="KCK218" s="1"/>
      <c r="KCL218" s="1"/>
      <c r="KCM218" s="1"/>
      <c r="KCN218" s="1"/>
      <c r="KCO218" s="1"/>
      <c r="KCP218" s="1"/>
      <c r="KCQ218" s="1"/>
      <c r="KCR218" s="1"/>
      <c r="KCS218" s="1"/>
      <c r="KCT218" s="1"/>
      <c r="KCU218" s="1"/>
      <c r="KCV218" s="1"/>
      <c r="KCW218" s="1"/>
      <c r="KCX218" s="1"/>
      <c r="KCY218" s="1"/>
      <c r="KCZ218" s="1"/>
      <c r="KDA218" s="1"/>
      <c r="KDB218" s="1"/>
      <c r="KDC218" s="1"/>
      <c r="KDD218" s="1"/>
      <c r="KDE218" s="1"/>
      <c r="KDF218" s="1"/>
      <c r="KDG218" s="1"/>
      <c r="KDH218" s="1"/>
      <c r="KDI218" s="1"/>
      <c r="KDJ218" s="1"/>
      <c r="KDK218" s="1"/>
      <c r="KDL218" s="1"/>
      <c r="KDM218" s="1"/>
      <c r="KDN218" s="1"/>
      <c r="KDO218" s="1"/>
      <c r="KDP218" s="1"/>
      <c r="KDQ218" s="1"/>
      <c r="KDR218" s="1"/>
      <c r="KDS218" s="1"/>
      <c r="KDT218" s="1"/>
      <c r="KDU218" s="1"/>
      <c r="KDV218" s="1"/>
      <c r="KDW218" s="1"/>
      <c r="KDX218" s="1"/>
      <c r="KDY218" s="1"/>
      <c r="KDZ218" s="1"/>
      <c r="KEA218" s="1"/>
      <c r="KEB218" s="1"/>
      <c r="KEC218" s="1"/>
      <c r="KED218" s="1"/>
      <c r="KEE218" s="1"/>
      <c r="KEF218" s="1"/>
      <c r="KEG218" s="1"/>
      <c r="KEH218" s="1"/>
      <c r="KEI218" s="1"/>
      <c r="KEJ218" s="1"/>
      <c r="KEK218" s="1"/>
      <c r="KEL218" s="1"/>
      <c r="KEM218" s="1"/>
      <c r="KEN218" s="1"/>
      <c r="KEO218" s="1"/>
      <c r="KEP218" s="1"/>
      <c r="KEQ218" s="1"/>
      <c r="KER218" s="1"/>
      <c r="KES218" s="1"/>
      <c r="KET218" s="1"/>
      <c r="KEU218" s="1"/>
      <c r="KEV218" s="1"/>
      <c r="KEW218" s="1"/>
      <c r="KEX218" s="1"/>
      <c r="KEY218" s="1"/>
      <c r="KEZ218" s="1"/>
      <c r="KFA218" s="1"/>
      <c r="KFB218" s="1"/>
      <c r="KFC218" s="1"/>
      <c r="KFD218" s="1"/>
      <c r="KFE218" s="1"/>
      <c r="KFF218" s="1"/>
      <c r="KFG218" s="1"/>
      <c r="KFH218" s="1"/>
      <c r="KFI218" s="1"/>
      <c r="KFJ218" s="1"/>
      <c r="KFK218" s="1"/>
      <c r="KFL218" s="1"/>
      <c r="KFM218" s="1"/>
      <c r="KFN218" s="1"/>
      <c r="KFO218" s="1"/>
      <c r="KFP218" s="1"/>
      <c r="KFQ218" s="1"/>
      <c r="KFR218" s="1"/>
      <c r="KFS218" s="1"/>
      <c r="KFT218" s="1"/>
      <c r="KFU218" s="1"/>
      <c r="KFV218" s="1"/>
      <c r="KFW218" s="1"/>
      <c r="KFX218" s="1"/>
      <c r="KFY218" s="1"/>
      <c r="KFZ218" s="1"/>
      <c r="KGA218" s="1"/>
      <c r="KGB218" s="1"/>
      <c r="KGC218" s="1"/>
      <c r="KGD218" s="1"/>
      <c r="KGE218" s="1"/>
      <c r="KGF218" s="1"/>
      <c r="KGG218" s="1"/>
      <c r="KGH218" s="1"/>
      <c r="KGI218" s="1"/>
      <c r="KGJ218" s="1"/>
      <c r="KGK218" s="1"/>
      <c r="KGL218" s="1"/>
      <c r="KGM218" s="1"/>
      <c r="KGN218" s="1"/>
      <c r="KGO218" s="1"/>
      <c r="KGP218" s="1"/>
      <c r="KGQ218" s="1"/>
      <c r="KGR218" s="1"/>
      <c r="KGS218" s="1"/>
      <c r="KGT218" s="1"/>
      <c r="KGU218" s="1"/>
      <c r="KGV218" s="1"/>
      <c r="KGW218" s="1"/>
      <c r="KGX218" s="1"/>
      <c r="KGY218" s="1"/>
      <c r="KGZ218" s="1"/>
      <c r="KHA218" s="1"/>
      <c r="KHB218" s="1"/>
      <c r="KHC218" s="1"/>
      <c r="KHD218" s="1"/>
      <c r="KHE218" s="1"/>
      <c r="KHF218" s="1"/>
      <c r="KHG218" s="1"/>
      <c r="KHH218" s="1"/>
      <c r="KHI218" s="1"/>
      <c r="KHJ218" s="1"/>
      <c r="KHK218" s="1"/>
      <c r="KHL218" s="1"/>
      <c r="KHM218" s="1"/>
      <c r="KHN218" s="1"/>
      <c r="KHO218" s="1"/>
      <c r="KHP218" s="1"/>
      <c r="KHQ218" s="1"/>
      <c r="KHR218" s="1"/>
      <c r="KHS218" s="1"/>
      <c r="KHT218" s="1"/>
      <c r="KHU218" s="1"/>
      <c r="KHV218" s="1"/>
      <c r="KHW218" s="1"/>
      <c r="KHX218" s="1"/>
      <c r="KHY218" s="1"/>
      <c r="KHZ218" s="1"/>
      <c r="KIA218" s="1"/>
      <c r="KIB218" s="1"/>
      <c r="KIC218" s="1"/>
      <c r="KID218" s="1"/>
      <c r="KIE218" s="1"/>
      <c r="KIF218" s="1"/>
      <c r="KIG218" s="1"/>
      <c r="KIH218" s="1"/>
      <c r="KII218" s="1"/>
      <c r="KIJ218" s="1"/>
      <c r="KIK218" s="1"/>
      <c r="KIL218" s="1"/>
      <c r="KIM218" s="1"/>
      <c r="KIN218" s="1"/>
      <c r="KIO218" s="1"/>
      <c r="KIP218" s="1"/>
      <c r="KIQ218" s="1"/>
      <c r="KIR218" s="1"/>
      <c r="KIS218" s="1"/>
      <c r="KIT218" s="1"/>
      <c r="KIU218" s="1"/>
      <c r="KIV218" s="1"/>
      <c r="KIW218" s="1"/>
      <c r="KIX218" s="1"/>
      <c r="KIY218" s="1"/>
      <c r="KIZ218" s="1"/>
      <c r="KJA218" s="1"/>
      <c r="KJB218" s="1"/>
      <c r="KJC218" s="1"/>
      <c r="KJD218" s="1"/>
      <c r="KJE218" s="1"/>
      <c r="KJF218" s="1"/>
      <c r="KJG218" s="1"/>
      <c r="KJH218" s="1"/>
      <c r="KJI218" s="1"/>
      <c r="KJJ218" s="1"/>
      <c r="KJK218" s="1"/>
      <c r="KJL218" s="1"/>
      <c r="KJM218" s="1"/>
      <c r="KJN218" s="1"/>
      <c r="KJO218" s="1"/>
      <c r="KJP218" s="1"/>
      <c r="KJQ218" s="1"/>
      <c r="KJR218" s="1"/>
      <c r="KJS218" s="1"/>
      <c r="KJT218" s="1"/>
      <c r="KJU218" s="1"/>
      <c r="KJV218" s="1"/>
      <c r="KJW218" s="1"/>
      <c r="KJX218" s="1"/>
      <c r="KJY218" s="1"/>
      <c r="KJZ218" s="1"/>
      <c r="KKA218" s="1"/>
      <c r="KKB218" s="1"/>
      <c r="KKC218" s="1"/>
      <c r="KKD218" s="1"/>
      <c r="KKE218" s="1"/>
      <c r="KKF218" s="1"/>
      <c r="KKG218" s="1"/>
      <c r="KKH218" s="1"/>
      <c r="KKI218" s="1"/>
      <c r="KKJ218" s="1"/>
      <c r="KKK218" s="1"/>
      <c r="KKL218" s="1"/>
      <c r="KKM218" s="1"/>
      <c r="KKN218" s="1"/>
      <c r="KKO218" s="1"/>
      <c r="KKP218" s="1"/>
      <c r="KKQ218" s="1"/>
      <c r="KKR218" s="1"/>
      <c r="KKS218" s="1"/>
      <c r="KKT218" s="1"/>
      <c r="KKU218" s="1"/>
      <c r="KKV218" s="1"/>
      <c r="KKW218" s="1"/>
      <c r="KKX218" s="1"/>
      <c r="KKY218" s="1"/>
      <c r="KKZ218" s="1"/>
      <c r="KLA218" s="1"/>
      <c r="KLB218" s="1"/>
      <c r="KLC218" s="1"/>
      <c r="KLD218" s="1"/>
      <c r="KLE218" s="1"/>
      <c r="KLF218" s="1"/>
      <c r="KLG218" s="1"/>
      <c r="KLH218" s="1"/>
      <c r="KLI218" s="1"/>
      <c r="KLJ218" s="1"/>
      <c r="KLK218" s="1"/>
      <c r="KLL218" s="1"/>
      <c r="KLM218" s="1"/>
      <c r="KLN218" s="1"/>
      <c r="KLO218" s="1"/>
      <c r="KLP218" s="1"/>
      <c r="KLQ218" s="1"/>
      <c r="KLR218" s="1"/>
      <c r="KLS218" s="1"/>
      <c r="KLT218" s="1"/>
      <c r="KLU218" s="1"/>
      <c r="KLV218" s="1"/>
      <c r="KLW218" s="1"/>
      <c r="KLX218" s="1"/>
      <c r="KLY218" s="1"/>
      <c r="KLZ218" s="1"/>
      <c r="KMA218" s="1"/>
      <c r="KMB218" s="1"/>
      <c r="KMC218" s="1"/>
      <c r="KMD218" s="1"/>
      <c r="KME218" s="1"/>
      <c r="KMF218" s="1"/>
      <c r="KMG218" s="1"/>
      <c r="KMH218" s="1"/>
      <c r="KMI218" s="1"/>
      <c r="KMJ218" s="1"/>
      <c r="KMK218" s="1"/>
      <c r="KML218" s="1"/>
      <c r="KMM218" s="1"/>
      <c r="KMN218" s="1"/>
      <c r="KMO218" s="1"/>
      <c r="KMP218" s="1"/>
      <c r="KMQ218" s="1"/>
      <c r="KMR218" s="1"/>
      <c r="KMS218" s="1"/>
      <c r="KMT218" s="1"/>
      <c r="KMU218" s="1"/>
      <c r="KMV218" s="1"/>
      <c r="KMW218" s="1"/>
      <c r="KMX218" s="1"/>
      <c r="KMY218" s="1"/>
      <c r="KMZ218" s="1"/>
      <c r="KNA218" s="1"/>
      <c r="KNB218" s="1"/>
      <c r="KNC218" s="1"/>
      <c r="KND218" s="1"/>
      <c r="KNE218" s="1"/>
      <c r="KNF218" s="1"/>
      <c r="KNG218" s="1"/>
      <c r="KNH218" s="1"/>
      <c r="KNI218" s="1"/>
      <c r="KNJ218" s="1"/>
      <c r="KNK218" s="1"/>
      <c r="KNL218" s="1"/>
      <c r="KNM218" s="1"/>
      <c r="KNN218" s="1"/>
      <c r="KNO218" s="1"/>
      <c r="KNP218" s="1"/>
      <c r="KNQ218" s="1"/>
      <c r="KNR218" s="1"/>
      <c r="KNS218" s="1"/>
      <c r="KNT218" s="1"/>
      <c r="KNU218" s="1"/>
      <c r="KNV218" s="1"/>
      <c r="KNW218" s="1"/>
      <c r="KNX218" s="1"/>
      <c r="KNY218" s="1"/>
      <c r="KNZ218" s="1"/>
      <c r="KOA218" s="1"/>
      <c r="KOB218" s="1"/>
      <c r="KOC218" s="1"/>
      <c r="KOD218" s="1"/>
      <c r="KOE218" s="1"/>
      <c r="KOF218" s="1"/>
      <c r="KOG218" s="1"/>
      <c r="KOH218" s="1"/>
      <c r="KOI218" s="1"/>
      <c r="KOJ218" s="1"/>
      <c r="KOK218" s="1"/>
      <c r="KOL218" s="1"/>
      <c r="KOM218" s="1"/>
      <c r="KON218" s="1"/>
      <c r="KOO218" s="1"/>
      <c r="KOP218" s="1"/>
      <c r="KOQ218" s="1"/>
      <c r="KOR218" s="1"/>
      <c r="KOS218" s="1"/>
      <c r="KOT218" s="1"/>
      <c r="KOU218" s="1"/>
      <c r="KOV218" s="1"/>
      <c r="KOW218" s="1"/>
      <c r="KOX218" s="1"/>
      <c r="KOY218" s="1"/>
      <c r="KOZ218" s="1"/>
      <c r="KPA218" s="1"/>
      <c r="KPB218" s="1"/>
      <c r="KPC218" s="1"/>
      <c r="KPD218" s="1"/>
      <c r="KPE218" s="1"/>
      <c r="KPF218" s="1"/>
      <c r="KPG218" s="1"/>
      <c r="KPH218" s="1"/>
      <c r="KPI218" s="1"/>
      <c r="KPJ218" s="1"/>
      <c r="KPK218" s="1"/>
      <c r="KPL218" s="1"/>
      <c r="KPM218" s="1"/>
      <c r="KPN218" s="1"/>
      <c r="KPO218" s="1"/>
      <c r="KPP218" s="1"/>
      <c r="KPQ218" s="1"/>
      <c r="KPR218" s="1"/>
      <c r="KPS218" s="1"/>
      <c r="KPT218" s="1"/>
      <c r="KPU218" s="1"/>
      <c r="KPV218" s="1"/>
      <c r="KPW218" s="1"/>
      <c r="KPX218" s="1"/>
      <c r="KPY218" s="1"/>
      <c r="KPZ218" s="1"/>
      <c r="KQA218" s="1"/>
      <c r="KQB218" s="1"/>
      <c r="KQC218" s="1"/>
      <c r="KQD218" s="1"/>
      <c r="KQE218" s="1"/>
      <c r="KQF218" s="1"/>
      <c r="KQG218" s="1"/>
      <c r="KQH218" s="1"/>
      <c r="KQI218" s="1"/>
      <c r="KQJ218" s="1"/>
      <c r="KQK218" s="1"/>
      <c r="KQL218" s="1"/>
      <c r="KQM218" s="1"/>
      <c r="KQN218" s="1"/>
      <c r="KQO218" s="1"/>
      <c r="KQP218" s="1"/>
      <c r="KQQ218" s="1"/>
      <c r="KQR218" s="1"/>
      <c r="KQS218" s="1"/>
      <c r="KQT218" s="1"/>
      <c r="KQU218" s="1"/>
      <c r="KQV218" s="1"/>
      <c r="KQW218" s="1"/>
      <c r="KQX218" s="1"/>
      <c r="KQY218" s="1"/>
      <c r="KQZ218" s="1"/>
      <c r="KRA218" s="1"/>
      <c r="KRB218" s="1"/>
      <c r="KRC218" s="1"/>
      <c r="KRD218" s="1"/>
      <c r="KRE218" s="1"/>
      <c r="KRF218" s="1"/>
      <c r="KRG218" s="1"/>
      <c r="KRH218" s="1"/>
      <c r="KRI218" s="1"/>
      <c r="KRJ218" s="1"/>
      <c r="KRK218" s="1"/>
      <c r="KRL218" s="1"/>
      <c r="KRM218" s="1"/>
      <c r="KRN218" s="1"/>
      <c r="KRO218" s="1"/>
      <c r="KRP218" s="1"/>
      <c r="KRQ218" s="1"/>
      <c r="KRR218" s="1"/>
      <c r="KRS218" s="1"/>
      <c r="KRT218" s="1"/>
      <c r="KRU218" s="1"/>
      <c r="KRV218" s="1"/>
      <c r="KRW218" s="1"/>
      <c r="KRX218" s="1"/>
      <c r="KRY218" s="1"/>
      <c r="KRZ218" s="1"/>
      <c r="KSA218" s="1"/>
      <c r="KSB218" s="1"/>
      <c r="KSC218" s="1"/>
      <c r="KSD218" s="1"/>
      <c r="KSE218" s="1"/>
      <c r="KSF218" s="1"/>
      <c r="KSG218" s="1"/>
      <c r="KSH218" s="1"/>
      <c r="KSI218" s="1"/>
      <c r="KSJ218" s="1"/>
      <c r="KSK218" s="1"/>
      <c r="KSL218" s="1"/>
      <c r="KSM218" s="1"/>
      <c r="KSN218" s="1"/>
      <c r="KSO218" s="1"/>
      <c r="KSP218" s="1"/>
      <c r="KSQ218" s="1"/>
      <c r="KSR218" s="1"/>
      <c r="KSS218" s="1"/>
      <c r="KST218" s="1"/>
      <c r="KSU218" s="1"/>
      <c r="KSV218" s="1"/>
      <c r="KSW218" s="1"/>
      <c r="KSX218" s="1"/>
      <c r="KSY218" s="1"/>
      <c r="KSZ218" s="1"/>
      <c r="KTA218" s="1"/>
      <c r="KTB218" s="1"/>
      <c r="KTC218" s="1"/>
      <c r="KTD218" s="1"/>
      <c r="KTE218" s="1"/>
      <c r="KTF218" s="1"/>
      <c r="KTG218" s="1"/>
      <c r="KTH218" s="1"/>
      <c r="KTI218" s="1"/>
      <c r="KTJ218" s="1"/>
      <c r="KTK218" s="1"/>
      <c r="KTL218" s="1"/>
      <c r="KTM218" s="1"/>
      <c r="KTN218" s="1"/>
      <c r="KTO218" s="1"/>
      <c r="KTP218" s="1"/>
      <c r="KTQ218" s="1"/>
      <c r="KTR218" s="1"/>
      <c r="KTS218" s="1"/>
      <c r="KTT218" s="1"/>
      <c r="KTU218" s="1"/>
      <c r="KTV218" s="1"/>
      <c r="KTW218" s="1"/>
      <c r="KTX218" s="1"/>
      <c r="KTY218" s="1"/>
      <c r="KTZ218" s="1"/>
      <c r="KUA218" s="1"/>
      <c r="KUB218" s="1"/>
      <c r="KUC218" s="1"/>
      <c r="KUD218" s="1"/>
      <c r="KUE218" s="1"/>
      <c r="KUF218" s="1"/>
      <c r="KUG218" s="1"/>
      <c r="KUH218" s="1"/>
      <c r="KUI218" s="1"/>
      <c r="KUJ218" s="1"/>
      <c r="KUK218" s="1"/>
      <c r="KUL218" s="1"/>
      <c r="KUM218" s="1"/>
      <c r="KUN218" s="1"/>
      <c r="KUO218" s="1"/>
      <c r="KUP218" s="1"/>
      <c r="KUQ218" s="1"/>
      <c r="KUR218" s="1"/>
      <c r="KUS218" s="1"/>
      <c r="KUT218" s="1"/>
      <c r="KUU218" s="1"/>
      <c r="KUV218" s="1"/>
      <c r="KUW218" s="1"/>
      <c r="KUX218" s="1"/>
      <c r="KUY218" s="1"/>
      <c r="KUZ218" s="1"/>
      <c r="KVA218" s="1"/>
      <c r="KVB218" s="1"/>
      <c r="KVC218" s="1"/>
      <c r="KVD218" s="1"/>
      <c r="KVE218" s="1"/>
      <c r="KVF218" s="1"/>
      <c r="KVG218" s="1"/>
      <c r="KVH218" s="1"/>
      <c r="KVI218" s="1"/>
      <c r="KVJ218" s="1"/>
      <c r="KVK218" s="1"/>
      <c r="KVL218" s="1"/>
      <c r="KVM218" s="1"/>
      <c r="KVN218" s="1"/>
      <c r="KVO218" s="1"/>
      <c r="KVP218" s="1"/>
      <c r="KVQ218" s="1"/>
      <c r="KVR218" s="1"/>
      <c r="KVS218" s="1"/>
      <c r="KVT218" s="1"/>
      <c r="KVU218" s="1"/>
      <c r="KVV218" s="1"/>
      <c r="KVW218" s="1"/>
      <c r="KVX218" s="1"/>
      <c r="KVY218" s="1"/>
      <c r="KVZ218" s="1"/>
      <c r="KWA218" s="1"/>
      <c r="KWB218" s="1"/>
      <c r="KWC218" s="1"/>
      <c r="KWD218" s="1"/>
      <c r="KWE218" s="1"/>
      <c r="KWF218" s="1"/>
      <c r="KWG218" s="1"/>
      <c r="KWH218" s="1"/>
      <c r="KWI218" s="1"/>
      <c r="KWJ218" s="1"/>
      <c r="KWK218" s="1"/>
      <c r="KWL218" s="1"/>
      <c r="KWM218" s="1"/>
      <c r="KWN218" s="1"/>
      <c r="KWO218" s="1"/>
      <c r="KWP218" s="1"/>
      <c r="KWQ218" s="1"/>
      <c r="KWR218" s="1"/>
      <c r="KWS218" s="1"/>
      <c r="KWT218" s="1"/>
      <c r="KWU218" s="1"/>
      <c r="KWV218" s="1"/>
      <c r="KWW218" s="1"/>
      <c r="KWX218" s="1"/>
      <c r="KWY218" s="1"/>
      <c r="KWZ218" s="1"/>
      <c r="KXA218" s="1"/>
      <c r="KXB218" s="1"/>
      <c r="KXC218" s="1"/>
      <c r="KXD218" s="1"/>
      <c r="KXE218" s="1"/>
      <c r="KXF218" s="1"/>
      <c r="KXG218" s="1"/>
      <c r="KXH218" s="1"/>
      <c r="KXI218" s="1"/>
      <c r="KXJ218" s="1"/>
      <c r="KXK218" s="1"/>
      <c r="KXL218" s="1"/>
      <c r="KXM218" s="1"/>
      <c r="KXN218" s="1"/>
      <c r="KXO218" s="1"/>
      <c r="KXP218" s="1"/>
      <c r="KXQ218" s="1"/>
      <c r="KXR218" s="1"/>
      <c r="KXS218" s="1"/>
      <c r="KXT218" s="1"/>
      <c r="KXU218" s="1"/>
      <c r="KXV218" s="1"/>
      <c r="KXW218" s="1"/>
      <c r="KXX218" s="1"/>
      <c r="KXY218" s="1"/>
      <c r="KXZ218" s="1"/>
      <c r="KYA218" s="1"/>
      <c r="KYB218" s="1"/>
      <c r="KYC218" s="1"/>
      <c r="KYD218" s="1"/>
      <c r="KYE218" s="1"/>
      <c r="KYF218" s="1"/>
      <c r="KYG218" s="1"/>
      <c r="KYH218" s="1"/>
      <c r="KYI218" s="1"/>
      <c r="KYJ218" s="1"/>
      <c r="KYK218" s="1"/>
      <c r="KYL218" s="1"/>
      <c r="KYM218" s="1"/>
      <c r="KYN218" s="1"/>
      <c r="KYO218" s="1"/>
      <c r="KYP218" s="1"/>
      <c r="KYQ218" s="1"/>
      <c r="KYR218" s="1"/>
      <c r="KYS218" s="1"/>
      <c r="KYT218" s="1"/>
      <c r="KYU218" s="1"/>
      <c r="KYV218" s="1"/>
      <c r="KYW218" s="1"/>
      <c r="KYX218" s="1"/>
      <c r="KYY218" s="1"/>
      <c r="KYZ218" s="1"/>
      <c r="KZA218" s="1"/>
      <c r="KZB218" s="1"/>
      <c r="KZC218" s="1"/>
      <c r="KZD218" s="1"/>
      <c r="KZE218" s="1"/>
      <c r="KZF218" s="1"/>
      <c r="KZG218" s="1"/>
      <c r="KZH218" s="1"/>
      <c r="KZI218" s="1"/>
      <c r="KZJ218" s="1"/>
      <c r="KZK218" s="1"/>
      <c r="KZL218" s="1"/>
      <c r="KZM218" s="1"/>
      <c r="KZN218" s="1"/>
      <c r="KZO218" s="1"/>
      <c r="KZP218" s="1"/>
      <c r="KZQ218" s="1"/>
      <c r="KZR218" s="1"/>
      <c r="KZS218" s="1"/>
      <c r="KZT218" s="1"/>
      <c r="KZU218" s="1"/>
      <c r="KZV218" s="1"/>
      <c r="KZW218" s="1"/>
      <c r="KZX218" s="1"/>
      <c r="KZY218" s="1"/>
      <c r="KZZ218" s="1"/>
      <c r="LAA218" s="1"/>
      <c r="LAB218" s="1"/>
      <c r="LAC218" s="1"/>
      <c r="LAD218" s="1"/>
      <c r="LAE218" s="1"/>
      <c r="LAF218" s="1"/>
      <c r="LAG218" s="1"/>
      <c r="LAH218" s="1"/>
      <c r="LAI218" s="1"/>
      <c r="LAJ218" s="1"/>
      <c r="LAK218" s="1"/>
      <c r="LAL218" s="1"/>
      <c r="LAM218" s="1"/>
      <c r="LAN218" s="1"/>
      <c r="LAO218" s="1"/>
      <c r="LAP218" s="1"/>
      <c r="LAQ218" s="1"/>
      <c r="LAR218" s="1"/>
      <c r="LAS218" s="1"/>
      <c r="LAT218" s="1"/>
      <c r="LAU218" s="1"/>
      <c r="LAV218" s="1"/>
      <c r="LAW218" s="1"/>
      <c r="LAX218" s="1"/>
      <c r="LAY218" s="1"/>
      <c r="LAZ218" s="1"/>
      <c r="LBA218" s="1"/>
      <c r="LBB218" s="1"/>
      <c r="LBC218" s="1"/>
      <c r="LBD218" s="1"/>
      <c r="LBE218" s="1"/>
      <c r="LBF218" s="1"/>
      <c r="LBG218" s="1"/>
      <c r="LBH218" s="1"/>
      <c r="LBI218" s="1"/>
      <c r="LBJ218" s="1"/>
      <c r="LBK218" s="1"/>
      <c r="LBL218" s="1"/>
      <c r="LBM218" s="1"/>
      <c r="LBN218" s="1"/>
      <c r="LBO218" s="1"/>
      <c r="LBP218" s="1"/>
      <c r="LBQ218" s="1"/>
      <c r="LBR218" s="1"/>
      <c r="LBS218" s="1"/>
      <c r="LBT218" s="1"/>
      <c r="LBU218" s="1"/>
      <c r="LBV218" s="1"/>
      <c r="LBW218" s="1"/>
      <c r="LBX218" s="1"/>
      <c r="LBY218" s="1"/>
      <c r="LBZ218" s="1"/>
      <c r="LCA218" s="1"/>
      <c r="LCB218" s="1"/>
      <c r="LCC218" s="1"/>
      <c r="LCD218" s="1"/>
      <c r="LCE218" s="1"/>
      <c r="LCF218" s="1"/>
      <c r="LCG218" s="1"/>
      <c r="LCH218" s="1"/>
      <c r="LCI218" s="1"/>
      <c r="LCJ218" s="1"/>
      <c r="LCK218" s="1"/>
      <c r="LCL218" s="1"/>
      <c r="LCM218" s="1"/>
      <c r="LCN218" s="1"/>
      <c r="LCO218" s="1"/>
      <c r="LCP218" s="1"/>
      <c r="LCQ218" s="1"/>
      <c r="LCR218" s="1"/>
      <c r="LCS218" s="1"/>
      <c r="LCT218" s="1"/>
      <c r="LCU218" s="1"/>
      <c r="LCV218" s="1"/>
      <c r="LCW218" s="1"/>
      <c r="LCX218" s="1"/>
      <c r="LCY218" s="1"/>
      <c r="LCZ218" s="1"/>
      <c r="LDA218" s="1"/>
      <c r="LDB218" s="1"/>
      <c r="LDC218" s="1"/>
      <c r="LDD218" s="1"/>
      <c r="LDE218" s="1"/>
      <c r="LDF218" s="1"/>
      <c r="LDG218" s="1"/>
      <c r="LDH218" s="1"/>
      <c r="LDI218" s="1"/>
      <c r="LDJ218" s="1"/>
      <c r="LDK218" s="1"/>
      <c r="LDL218" s="1"/>
      <c r="LDM218" s="1"/>
      <c r="LDN218" s="1"/>
      <c r="LDO218" s="1"/>
      <c r="LDP218" s="1"/>
      <c r="LDQ218" s="1"/>
      <c r="LDR218" s="1"/>
      <c r="LDS218" s="1"/>
      <c r="LDT218" s="1"/>
      <c r="LDU218" s="1"/>
      <c r="LDV218" s="1"/>
      <c r="LDW218" s="1"/>
      <c r="LDX218" s="1"/>
      <c r="LDY218" s="1"/>
      <c r="LDZ218" s="1"/>
      <c r="LEA218" s="1"/>
      <c r="LEB218" s="1"/>
      <c r="LEC218" s="1"/>
      <c r="LED218" s="1"/>
      <c r="LEE218" s="1"/>
      <c r="LEF218" s="1"/>
      <c r="LEG218" s="1"/>
      <c r="LEH218" s="1"/>
      <c r="LEI218" s="1"/>
      <c r="LEJ218" s="1"/>
      <c r="LEK218" s="1"/>
      <c r="LEL218" s="1"/>
      <c r="LEM218" s="1"/>
      <c r="LEN218" s="1"/>
      <c r="LEO218" s="1"/>
      <c r="LEP218" s="1"/>
      <c r="LEQ218" s="1"/>
      <c r="LER218" s="1"/>
      <c r="LES218" s="1"/>
      <c r="LET218" s="1"/>
      <c r="LEU218" s="1"/>
      <c r="LEV218" s="1"/>
      <c r="LEW218" s="1"/>
      <c r="LEX218" s="1"/>
      <c r="LEY218" s="1"/>
      <c r="LEZ218" s="1"/>
      <c r="LFA218" s="1"/>
      <c r="LFB218" s="1"/>
      <c r="LFC218" s="1"/>
      <c r="LFD218" s="1"/>
      <c r="LFE218" s="1"/>
      <c r="LFF218" s="1"/>
      <c r="LFG218" s="1"/>
      <c r="LFH218" s="1"/>
      <c r="LFI218" s="1"/>
      <c r="LFJ218" s="1"/>
      <c r="LFK218" s="1"/>
      <c r="LFL218" s="1"/>
      <c r="LFM218" s="1"/>
      <c r="LFN218" s="1"/>
      <c r="LFO218" s="1"/>
      <c r="LFP218" s="1"/>
      <c r="LFQ218" s="1"/>
      <c r="LFR218" s="1"/>
      <c r="LFS218" s="1"/>
      <c r="LFT218" s="1"/>
      <c r="LFU218" s="1"/>
      <c r="LFV218" s="1"/>
      <c r="LFW218" s="1"/>
      <c r="LFX218" s="1"/>
      <c r="LFY218" s="1"/>
      <c r="LFZ218" s="1"/>
      <c r="LGA218" s="1"/>
      <c r="LGB218" s="1"/>
      <c r="LGC218" s="1"/>
      <c r="LGD218" s="1"/>
      <c r="LGE218" s="1"/>
      <c r="LGF218" s="1"/>
      <c r="LGG218" s="1"/>
      <c r="LGH218" s="1"/>
      <c r="LGI218" s="1"/>
      <c r="LGJ218" s="1"/>
      <c r="LGK218" s="1"/>
      <c r="LGL218" s="1"/>
      <c r="LGM218" s="1"/>
      <c r="LGN218" s="1"/>
      <c r="LGO218" s="1"/>
      <c r="LGP218" s="1"/>
      <c r="LGQ218" s="1"/>
      <c r="LGR218" s="1"/>
      <c r="LGS218" s="1"/>
      <c r="LGT218" s="1"/>
      <c r="LGU218" s="1"/>
      <c r="LGV218" s="1"/>
      <c r="LGW218" s="1"/>
      <c r="LGX218" s="1"/>
      <c r="LGY218" s="1"/>
      <c r="LGZ218" s="1"/>
      <c r="LHA218" s="1"/>
      <c r="LHB218" s="1"/>
      <c r="LHC218" s="1"/>
      <c r="LHD218" s="1"/>
      <c r="LHE218" s="1"/>
      <c r="LHF218" s="1"/>
      <c r="LHG218" s="1"/>
      <c r="LHH218" s="1"/>
      <c r="LHI218" s="1"/>
      <c r="LHJ218" s="1"/>
      <c r="LHK218" s="1"/>
      <c r="LHL218" s="1"/>
      <c r="LHM218" s="1"/>
      <c r="LHN218" s="1"/>
      <c r="LHO218" s="1"/>
      <c r="LHP218" s="1"/>
      <c r="LHQ218" s="1"/>
      <c r="LHR218" s="1"/>
      <c r="LHS218" s="1"/>
      <c r="LHT218" s="1"/>
      <c r="LHU218" s="1"/>
      <c r="LHV218" s="1"/>
      <c r="LHW218" s="1"/>
      <c r="LHX218" s="1"/>
      <c r="LHY218" s="1"/>
      <c r="LHZ218" s="1"/>
      <c r="LIA218" s="1"/>
      <c r="LIB218" s="1"/>
      <c r="LIC218" s="1"/>
      <c r="LID218" s="1"/>
      <c r="LIE218" s="1"/>
      <c r="LIF218" s="1"/>
      <c r="LIG218" s="1"/>
      <c r="LIH218" s="1"/>
      <c r="LII218" s="1"/>
      <c r="LIJ218" s="1"/>
      <c r="LIK218" s="1"/>
      <c r="LIL218" s="1"/>
      <c r="LIM218" s="1"/>
      <c r="LIN218" s="1"/>
      <c r="LIO218" s="1"/>
      <c r="LIP218" s="1"/>
      <c r="LIQ218" s="1"/>
      <c r="LIR218" s="1"/>
      <c r="LIS218" s="1"/>
      <c r="LIT218" s="1"/>
      <c r="LIU218" s="1"/>
      <c r="LIV218" s="1"/>
      <c r="LIW218" s="1"/>
      <c r="LIX218" s="1"/>
      <c r="LIY218" s="1"/>
      <c r="LIZ218" s="1"/>
      <c r="LJA218" s="1"/>
      <c r="LJB218" s="1"/>
      <c r="LJC218" s="1"/>
      <c r="LJD218" s="1"/>
      <c r="LJE218" s="1"/>
      <c r="LJF218" s="1"/>
      <c r="LJG218" s="1"/>
      <c r="LJH218" s="1"/>
      <c r="LJI218" s="1"/>
      <c r="LJJ218" s="1"/>
      <c r="LJK218" s="1"/>
      <c r="LJL218" s="1"/>
      <c r="LJM218" s="1"/>
      <c r="LJN218" s="1"/>
      <c r="LJO218" s="1"/>
      <c r="LJP218" s="1"/>
      <c r="LJQ218" s="1"/>
      <c r="LJR218" s="1"/>
      <c r="LJS218" s="1"/>
      <c r="LJT218" s="1"/>
      <c r="LJU218" s="1"/>
      <c r="LJV218" s="1"/>
      <c r="LJW218" s="1"/>
      <c r="LJX218" s="1"/>
      <c r="LJY218" s="1"/>
      <c r="LJZ218" s="1"/>
      <c r="LKA218" s="1"/>
      <c r="LKB218" s="1"/>
      <c r="LKC218" s="1"/>
      <c r="LKD218" s="1"/>
      <c r="LKE218" s="1"/>
      <c r="LKF218" s="1"/>
      <c r="LKG218" s="1"/>
      <c r="LKH218" s="1"/>
      <c r="LKI218" s="1"/>
      <c r="LKJ218" s="1"/>
      <c r="LKK218" s="1"/>
      <c r="LKL218" s="1"/>
      <c r="LKM218" s="1"/>
      <c r="LKN218" s="1"/>
      <c r="LKO218" s="1"/>
      <c r="LKP218" s="1"/>
      <c r="LKQ218" s="1"/>
      <c r="LKR218" s="1"/>
      <c r="LKS218" s="1"/>
      <c r="LKT218" s="1"/>
      <c r="LKU218" s="1"/>
      <c r="LKV218" s="1"/>
      <c r="LKW218" s="1"/>
      <c r="LKX218" s="1"/>
      <c r="LKY218" s="1"/>
      <c r="LKZ218" s="1"/>
      <c r="LLA218" s="1"/>
      <c r="LLB218" s="1"/>
      <c r="LLC218" s="1"/>
      <c r="LLD218" s="1"/>
      <c r="LLE218" s="1"/>
      <c r="LLF218" s="1"/>
      <c r="LLG218" s="1"/>
      <c r="LLH218" s="1"/>
      <c r="LLI218" s="1"/>
      <c r="LLJ218" s="1"/>
      <c r="LLK218" s="1"/>
      <c r="LLL218" s="1"/>
      <c r="LLM218" s="1"/>
      <c r="LLN218" s="1"/>
      <c r="LLO218" s="1"/>
      <c r="LLP218" s="1"/>
      <c r="LLQ218" s="1"/>
      <c r="LLR218" s="1"/>
      <c r="LLS218" s="1"/>
      <c r="LLT218" s="1"/>
      <c r="LLU218" s="1"/>
      <c r="LLV218" s="1"/>
      <c r="LLW218" s="1"/>
      <c r="LLX218" s="1"/>
      <c r="LLY218" s="1"/>
      <c r="LLZ218" s="1"/>
      <c r="LMA218" s="1"/>
      <c r="LMB218" s="1"/>
      <c r="LMC218" s="1"/>
      <c r="LMD218" s="1"/>
      <c r="LME218" s="1"/>
      <c r="LMF218" s="1"/>
      <c r="LMG218" s="1"/>
      <c r="LMH218" s="1"/>
      <c r="LMI218" s="1"/>
      <c r="LMJ218" s="1"/>
      <c r="LMK218" s="1"/>
      <c r="LML218" s="1"/>
      <c r="LMM218" s="1"/>
      <c r="LMN218" s="1"/>
      <c r="LMO218" s="1"/>
      <c r="LMP218" s="1"/>
      <c r="LMQ218" s="1"/>
      <c r="LMR218" s="1"/>
      <c r="LMS218" s="1"/>
      <c r="LMT218" s="1"/>
      <c r="LMU218" s="1"/>
      <c r="LMV218" s="1"/>
      <c r="LMW218" s="1"/>
      <c r="LMX218" s="1"/>
      <c r="LMY218" s="1"/>
      <c r="LMZ218" s="1"/>
      <c r="LNA218" s="1"/>
      <c r="LNB218" s="1"/>
      <c r="LNC218" s="1"/>
      <c r="LND218" s="1"/>
      <c r="LNE218" s="1"/>
      <c r="LNF218" s="1"/>
      <c r="LNG218" s="1"/>
      <c r="LNH218" s="1"/>
      <c r="LNI218" s="1"/>
      <c r="LNJ218" s="1"/>
      <c r="LNK218" s="1"/>
      <c r="LNL218" s="1"/>
      <c r="LNM218" s="1"/>
      <c r="LNN218" s="1"/>
      <c r="LNO218" s="1"/>
      <c r="LNP218" s="1"/>
      <c r="LNQ218" s="1"/>
      <c r="LNR218" s="1"/>
      <c r="LNS218" s="1"/>
      <c r="LNT218" s="1"/>
      <c r="LNU218" s="1"/>
      <c r="LNV218" s="1"/>
      <c r="LNW218" s="1"/>
      <c r="LNX218" s="1"/>
      <c r="LNY218" s="1"/>
      <c r="LNZ218" s="1"/>
      <c r="LOA218" s="1"/>
      <c r="LOB218" s="1"/>
      <c r="LOC218" s="1"/>
      <c r="LOD218" s="1"/>
      <c r="LOE218" s="1"/>
      <c r="LOF218" s="1"/>
      <c r="LOG218" s="1"/>
      <c r="LOH218" s="1"/>
      <c r="LOI218" s="1"/>
      <c r="LOJ218" s="1"/>
      <c r="LOK218" s="1"/>
      <c r="LOL218" s="1"/>
      <c r="LOM218" s="1"/>
      <c r="LON218" s="1"/>
      <c r="LOO218" s="1"/>
      <c r="LOP218" s="1"/>
      <c r="LOQ218" s="1"/>
      <c r="LOR218" s="1"/>
      <c r="LOS218" s="1"/>
      <c r="LOT218" s="1"/>
      <c r="LOU218" s="1"/>
      <c r="LOV218" s="1"/>
      <c r="LOW218" s="1"/>
      <c r="LOX218" s="1"/>
      <c r="LOY218" s="1"/>
      <c r="LOZ218" s="1"/>
      <c r="LPA218" s="1"/>
      <c r="LPB218" s="1"/>
      <c r="LPC218" s="1"/>
      <c r="LPD218" s="1"/>
      <c r="LPE218" s="1"/>
      <c r="LPF218" s="1"/>
      <c r="LPG218" s="1"/>
      <c r="LPH218" s="1"/>
      <c r="LPI218" s="1"/>
      <c r="LPJ218" s="1"/>
      <c r="LPK218" s="1"/>
      <c r="LPL218" s="1"/>
      <c r="LPM218" s="1"/>
      <c r="LPN218" s="1"/>
      <c r="LPO218" s="1"/>
      <c r="LPP218" s="1"/>
      <c r="LPQ218" s="1"/>
      <c r="LPR218" s="1"/>
      <c r="LPS218" s="1"/>
      <c r="LPT218" s="1"/>
      <c r="LPU218" s="1"/>
      <c r="LPV218" s="1"/>
      <c r="LPW218" s="1"/>
      <c r="LPX218" s="1"/>
      <c r="LPY218" s="1"/>
      <c r="LPZ218" s="1"/>
      <c r="LQA218" s="1"/>
      <c r="LQB218" s="1"/>
      <c r="LQC218" s="1"/>
      <c r="LQD218" s="1"/>
      <c r="LQE218" s="1"/>
      <c r="LQF218" s="1"/>
      <c r="LQG218" s="1"/>
      <c r="LQH218" s="1"/>
      <c r="LQI218" s="1"/>
      <c r="LQJ218" s="1"/>
      <c r="LQK218" s="1"/>
      <c r="LQL218" s="1"/>
      <c r="LQM218" s="1"/>
      <c r="LQN218" s="1"/>
      <c r="LQO218" s="1"/>
      <c r="LQP218" s="1"/>
      <c r="LQQ218" s="1"/>
      <c r="LQR218" s="1"/>
      <c r="LQS218" s="1"/>
      <c r="LQT218" s="1"/>
      <c r="LQU218" s="1"/>
      <c r="LQV218" s="1"/>
      <c r="LQW218" s="1"/>
      <c r="LQX218" s="1"/>
      <c r="LQY218" s="1"/>
      <c r="LQZ218" s="1"/>
      <c r="LRA218" s="1"/>
      <c r="LRB218" s="1"/>
      <c r="LRC218" s="1"/>
      <c r="LRD218" s="1"/>
      <c r="LRE218" s="1"/>
      <c r="LRF218" s="1"/>
      <c r="LRG218" s="1"/>
      <c r="LRH218" s="1"/>
      <c r="LRI218" s="1"/>
      <c r="LRJ218" s="1"/>
      <c r="LRK218" s="1"/>
      <c r="LRL218" s="1"/>
      <c r="LRM218" s="1"/>
      <c r="LRN218" s="1"/>
      <c r="LRO218" s="1"/>
      <c r="LRP218" s="1"/>
      <c r="LRQ218" s="1"/>
      <c r="LRR218" s="1"/>
      <c r="LRS218" s="1"/>
      <c r="LRT218" s="1"/>
      <c r="LRU218" s="1"/>
      <c r="LRV218" s="1"/>
      <c r="LRW218" s="1"/>
      <c r="LRX218" s="1"/>
      <c r="LRY218" s="1"/>
      <c r="LRZ218" s="1"/>
      <c r="LSA218" s="1"/>
      <c r="LSB218" s="1"/>
      <c r="LSC218" s="1"/>
      <c r="LSD218" s="1"/>
      <c r="LSE218" s="1"/>
      <c r="LSF218" s="1"/>
      <c r="LSG218" s="1"/>
      <c r="LSH218" s="1"/>
      <c r="LSI218" s="1"/>
      <c r="LSJ218" s="1"/>
      <c r="LSK218" s="1"/>
      <c r="LSL218" s="1"/>
      <c r="LSM218" s="1"/>
      <c r="LSN218" s="1"/>
      <c r="LSO218" s="1"/>
      <c r="LSP218" s="1"/>
      <c r="LSQ218" s="1"/>
      <c r="LSR218" s="1"/>
      <c r="LSS218" s="1"/>
      <c r="LST218" s="1"/>
      <c r="LSU218" s="1"/>
      <c r="LSV218" s="1"/>
      <c r="LSW218" s="1"/>
      <c r="LSX218" s="1"/>
      <c r="LSY218" s="1"/>
      <c r="LSZ218" s="1"/>
      <c r="LTA218" s="1"/>
      <c r="LTB218" s="1"/>
      <c r="LTC218" s="1"/>
      <c r="LTD218" s="1"/>
      <c r="LTE218" s="1"/>
      <c r="LTF218" s="1"/>
      <c r="LTG218" s="1"/>
      <c r="LTH218" s="1"/>
      <c r="LTI218" s="1"/>
      <c r="LTJ218" s="1"/>
      <c r="LTK218" s="1"/>
      <c r="LTL218" s="1"/>
      <c r="LTM218" s="1"/>
      <c r="LTN218" s="1"/>
      <c r="LTO218" s="1"/>
      <c r="LTP218" s="1"/>
      <c r="LTQ218" s="1"/>
      <c r="LTR218" s="1"/>
      <c r="LTS218" s="1"/>
      <c r="LTT218" s="1"/>
      <c r="LTU218" s="1"/>
      <c r="LTV218" s="1"/>
      <c r="LTW218" s="1"/>
      <c r="LTX218" s="1"/>
      <c r="LTY218" s="1"/>
      <c r="LTZ218" s="1"/>
      <c r="LUA218" s="1"/>
      <c r="LUB218" s="1"/>
      <c r="LUC218" s="1"/>
      <c r="LUD218" s="1"/>
      <c r="LUE218" s="1"/>
      <c r="LUF218" s="1"/>
      <c r="LUG218" s="1"/>
      <c r="LUH218" s="1"/>
      <c r="LUI218" s="1"/>
      <c r="LUJ218" s="1"/>
      <c r="LUK218" s="1"/>
      <c r="LUL218" s="1"/>
      <c r="LUM218" s="1"/>
      <c r="LUN218" s="1"/>
      <c r="LUO218" s="1"/>
      <c r="LUP218" s="1"/>
      <c r="LUQ218" s="1"/>
      <c r="LUR218" s="1"/>
      <c r="LUS218" s="1"/>
      <c r="LUT218" s="1"/>
      <c r="LUU218" s="1"/>
      <c r="LUV218" s="1"/>
      <c r="LUW218" s="1"/>
      <c r="LUX218" s="1"/>
      <c r="LUY218" s="1"/>
      <c r="LUZ218" s="1"/>
      <c r="LVA218" s="1"/>
      <c r="LVB218" s="1"/>
      <c r="LVC218" s="1"/>
      <c r="LVD218" s="1"/>
      <c r="LVE218" s="1"/>
      <c r="LVF218" s="1"/>
      <c r="LVG218" s="1"/>
      <c r="LVH218" s="1"/>
      <c r="LVI218" s="1"/>
      <c r="LVJ218" s="1"/>
      <c r="LVK218" s="1"/>
      <c r="LVL218" s="1"/>
      <c r="LVM218" s="1"/>
      <c r="LVN218" s="1"/>
      <c r="LVO218" s="1"/>
      <c r="LVP218" s="1"/>
      <c r="LVQ218" s="1"/>
      <c r="LVR218" s="1"/>
      <c r="LVS218" s="1"/>
      <c r="LVT218" s="1"/>
      <c r="LVU218" s="1"/>
      <c r="LVV218" s="1"/>
      <c r="LVW218" s="1"/>
      <c r="LVX218" s="1"/>
      <c r="LVY218" s="1"/>
      <c r="LVZ218" s="1"/>
      <c r="LWA218" s="1"/>
      <c r="LWB218" s="1"/>
      <c r="LWC218" s="1"/>
      <c r="LWD218" s="1"/>
      <c r="LWE218" s="1"/>
      <c r="LWF218" s="1"/>
      <c r="LWG218" s="1"/>
      <c r="LWH218" s="1"/>
      <c r="LWI218" s="1"/>
      <c r="LWJ218" s="1"/>
      <c r="LWK218" s="1"/>
      <c r="LWL218" s="1"/>
      <c r="LWM218" s="1"/>
      <c r="LWN218" s="1"/>
      <c r="LWO218" s="1"/>
      <c r="LWP218" s="1"/>
      <c r="LWQ218" s="1"/>
      <c r="LWR218" s="1"/>
      <c r="LWS218" s="1"/>
      <c r="LWT218" s="1"/>
      <c r="LWU218" s="1"/>
      <c r="LWV218" s="1"/>
      <c r="LWW218" s="1"/>
      <c r="LWX218" s="1"/>
      <c r="LWY218" s="1"/>
      <c r="LWZ218" s="1"/>
      <c r="LXA218" s="1"/>
      <c r="LXB218" s="1"/>
      <c r="LXC218" s="1"/>
      <c r="LXD218" s="1"/>
      <c r="LXE218" s="1"/>
      <c r="LXF218" s="1"/>
      <c r="LXG218" s="1"/>
      <c r="LXH218" s="1"/>
      <c r="LXI218" s="1"/>
      <c r="LXJ218" s="1"/>
      <c r="LXK218" s="1"/>
      <c r="LXL218" s="1"/>
      <c r="LXM218" s="1"/>
      <c r="LXN218" s="1"/>
      <c r="LXO218" s="1"/>
      <c r="LXP218" s="1"/>
      <c r="LXQ218" s="1"/>
      <c r="LXR218" s="1"/>
      <c r="LXS218" s="1"/>
      <c r="LXT218" s="1"/>
      <c r="LXU218" s="1"/>
      <c r="LXV218" s="1"/>
      <c r="LXW218" s="1"/>
      <c r="LXX218" s="1"/>
      <c r="LXY218" s="1"/>
      <c r="LXZ218" s="1"/>
      <c r="LYA218" s="1"/>
      <c r="LYB218" s="1"/>
      <c r="LYC218" s="1"/>
      <c r="LYD218" s="1"/>
      <c r="LYE218" s="1"/>
      <c r="LYF218" s="1"/>
      <c r="LYG218" s="1"/>
      <c r="LYH218" s="1"/>
      <c r="LYI218" s="1"/>
      <c r="LYJ218" s="1"/>
      <c r="LYK218" s="1"/>
      <c r="LYL218" s="1"/>
      <c r="LYM218" s="1"/>
      <c r="LYN218" s="1"/>
      <c r="LYO218" s="1"/>
      <c r="LYP218" s="1"/>
      <c r="LYQ218" s="1"/>
      <c r="LYR218" s="1"/>
      <c r="LYS218" s="1"/>
      <c r="LYT218" s="1"/>
      <c r="LYU218" s="1"/>
      <c r="LYV218" s="1"/>
      <c r="LYW218" s="1"/>
      <c r="LYX218" s="1"/>
      <c r="LYY218" s="1"/>
      <c r="LYZ218" s="1"/>
      <c r="LZA218" s="1"/>
      <c r="LZB218" s="1"/>
      <c r="LZC218" s="1"/>
      <c r="LZD218" s="1"/>
      <c r="LZE218" s="1"/>
      <c r="LZF218" s="1"/>
      <c r="LZG218" s="1"/>
      <c r="LZH218" s="1"/>
      <c r="LZI218" s="1"/>
      <c r="LZJ218" s="1"/>
      <c r="LZK218" s="1"/>
      <c r="LZL218" s="1"/>
      <c r="LZM218" s="1"/>
      <c r="LZN218" s="1"/>
      <c r="LZO218" s="1"/>
      <c r="LZP218" s="1"/>
      <c r="LZQ218" s="1"/>
      <c r="LZR218" s="1"/>
      <c r="LZS218" s="1"/>
      <c r="LZT218" s="1"/>
      <c r="LZU218" s="1"/>
      <c r="LZV218" s="1"/>
      <c r="LZW218" s="1"/>
      <c r="LZX218" s="1"/>
      <c r="LZY218" s="1"/>
      <c r="LZZ218" s="1"/>
      <c r="MAA218" s="1"/>
      <c r="MAB218" s="1"/>
      <c r="MAC218" s="1"/>
      <c r="MAD218" s="1"/>
      <c r="MAE218" s="1"/>
      <c r="MAF218" s="1"/>
      <c r="MAG218" s="1"/>
      <c r="MAH218" s="1"/>
      <c r="MAI218" s="1"/>
      <c r="MAJ218" s="1"/>
      <c r="MAK218" s="1"/>
      <c r="MAL218" s="1"/>
      <c r="MAM218" s="1"/>
      <c r="MAN218" s="1"/>
      <c r="MAO218" s="1"/>
      <c r="MAP218" s="1"/>
      <c r="MAQ218" s="1"/>
      <c r="MAR218" s="1"/>
      <c r="MAS218" s="1"/>
      <c r="MAT218" s="1"/>
      <c r="MAU218" s="1"/>
      <c r="MAV218" s="1"/>
      <c r="MAW218" s="1"/>
      <c r="MAX218" s="1"/>
      <c r="MAY218" s="1"/>
      <c r="MAZ218" s="1"/>
      <c r="MBA218" s="1"/>
      <c r="MBB218" s="1"/>
      <c r="MBC218" s="1"/>
      <c r="MBD218" s="1"/>
      <c r="MBE218" s="1"/>
      <c r="MBF218" s="1"/>
      <c r="MBG218" s="1"/>
      <c r="MBH218" s="1"/>
      <c r="MBI218" s="1"/>
      <c r="MBJ218" s="1"/>
      <c r="MBK218" s="1"/>
      <c r="MBL218" s="1"/>
      <c r="MBM218" s="1"/>
      <c r="MBN218" s="1"/>
      <c r="MBO218" s="1"/>
      <c r="MBP218" s="1"/>
      <c r="MBQ218" s="1"/>
      <c r="MBR218" s="1"/>
      <c r="MBS218" s="1"/>
      <c r="MBT218" s="1"/>
      <c r="MBU218" s="1"/>
      <c r="MBV218" s="1"/>
      <c r="MBW218" s="1"/>
      <c r="MBX218" s="1"/>
      <c r="MBY218" s="1"/>
      <c r="MBZ218" s="1"/>
      <c r="MCA218" s="1"/>
      <c r="MCB218" s="1"/>
      <c r="MCC218" s="1"/>
      <c r="MCD218" s="1"/>
      <c r="MCE218" s="1"/>
      <c r="MCF218" s="1"/>
      <c r="MCG218" s="1"/>
      <c r="MCH218" s="1"/>
      <c r="MCI218" s="1"/>
      <c r="MCJ218" s="1"/>
      <c r="MCK218" s="1"/>
      <c r="MCL218" s="1"/>
      <c r="MCM218" s="1"/>
      <c r="MCN218" s="1"/>
      <c r="MCO218" s="1"/>
      <c r="MCP218" s="1"/>
      <c r="MCQ218" s="1"/>
      <c r="MCR218" s="1"/>
      <c r="MCS218" s="1"/>
      <c r="MCT218" s="1"/>
      <c r="MCU218" s="1"/>
      <c r="MCV218" s="1"/>
      <c r="MCW218" s="1"/>
      <c r="MCX218" s="1"/>
      <c r="MCY218" s="1"/>
      <c r="MCZ218" s="1"/>
      <c r="MDA218" s="1"/>
      <c r="MDB218" s="1"/>
      <c r="MDC218" s="1"/>
      <c r="MDD218" s="1"/>
      <c r="MDE218" s="1"/>
      <c r="MDF218" s="1"/>
      <c r="MDG218" s="1"/>
      <c r="MDH218" s="1"/>
      <c r="MDI218" s="1"/>
      <c r="MDJ218" s="1"/>
      <c r="MDK218" s="1"/>
      <c r="MDL218" s="1"/>
      <c r="MDM218" s="1"/>
      <c r="MDN218" s="1"/>
      <c r="MDO218" s="1"/>
      <c r="MDP218" s="1"/>
      <c r="MDQ218" s="1"/>
      <c r="MDR218" s="1"/>
      <c r="MDS218" s="1"/>
      <c r="MDT218" s="1"/>
      <c r="MDU218" s="1"/>
      <c r="MDV218" s="1"/>
      <c r="MDW218" s="1"/>
      <c r="MDX218" s="1"/>
      <c r="MDY218" s="1"/>
      <c r="MDZ218" s="1"/>
      <c r="MEA218" s="1"/>
      <c r="MEB218" s="1"/>
      <c r="MEC218" s="1"/>
      <c r="MED218" s="1"/>
      <c r="MEE218" s="1"/>
      <c r="MEF218" s="1"/>
      <c r="MEG218" s="1"/>
      <c r="MEH218" s="1"/>
      <c r="MEI218" s="1"/>
      <c r="MEJ218" s="1"/>
      <c r="MEK218" s="1"/>
      <c r="MEL218" s="1"/>
      <c r="MEM218" s="1"/>
      <c r="MEN218" s="1"/>
      <c r="MEO218" s="1"/>
      <c r="MEP218" s="1"/>
      <c r="MEQ218" s="1"/>
      <c r="MER218" s="1"/>
      <c r="MES218" s="1"/>
      <c r="MET218" s="1"/>
      <c r="MEU218" s="1"/>
      <c r="MEV218" s="1"/>
      <c r="MEW218" s="1"/>
      <c r="MEX218" s="1"/>
      <c r="MEY218" s="1"/>
      <c r="MEZ218" s="1"/>
      <c r="MFA218" s="1"/>
      <c r="MFB218" s="1"/>
      <c r="MFC218" s="1"/>
      <c r="MFD218" s="1"/>
      <c r="MFE218" s="1"/>
      <c r="MFF218" s="1"/>
      <c r="MFG218" s="1"/>
      <c r="MFH218" s="1"/>
      <c r="MFI218" s="1"/>
      <c r="MFJ218" s="1"/>
      <c r="MFK218" s="1"/>
      <c r="MFL218" s="1"/>
      <c r="MFM218" s="1"/>
      <c r="MFN218" s="1"/>
      <c r="MFO218" s="1"/>
      <c r="MFP218" s="1"/>
      <c r="MFQ218" s="1"/>
      <c r="MFR218" s="1"/>
      <c r="MFS218" s="1"/>
      <c r="MFT218" s="1"/>
      <c r="MFU218" s="1"/>
      <c r="MFV218" s="1"/>
      <c r="MFW218" s="1"/>
      <c r="MFX218" s="1"/>
      <c r="MFY218" s="1"/>
      <c r="MFZ218" s="1"/>
      <c r="MGA218" s="1"/>
      <c r="MGB218" s="1"/>
      <c r="MGC218" s="1"/>
      <c r="MGD218" s="1"/>
      <c r="MGE218" s="1"/>
      <c r="MGF218" s="1"/>
      <c r="MGG218" s="1"/>
      <c r="MGH218" s="1"/>
      <c r="MGI218" s="1"/>
      <c r="MGJ218" s="1"/>
      <c r="MGK218" s="1"/>
      <c r="MGL218" s="1"/>
      <c r="MGM218" s="1"/>
      <c r="MGN218" s="1"/>
      <c r="MGO218" s="1"/>
      <c r="MGP218" s="1"/>
      <c r="MGQ218" s="1"/>
      <c r="MGR218" s="1"/>
      <c r="MGS218" s="1"/>
      <c r="MGT218" s="1"/>
      <c r="MGU218" s="1"/>
      <c r="MGV218" s="1"/>
      <c r="MGW218" s="1"/>
      <c r="MGX218" s="1"/>
      <c r="MGY218" s="1"/>
      <c r="MGZ218" s="1"/>
      <c r="MHA218" s="1"/>
      <c r="MHB218" s="1"/>
      <c r="MHC218" s="1"/>
      <c r="MHD218" s="1"/>
      <c r="MHE218" s="1"/>
      <c r="MHF218" s="1"/>
      <c r="MHG218" s="1"/>
      <c r="MHH218" s="1"/>
      <c r="MHI218" s="1"/>
      <c r="MHJ218" s="1"/>
      <c r="MHK218" s="1"/>
      <c r="MHL218" s="1"/>
      <c r="MHM218" s="1"/>
      <c r="MHN218" s="1"/>
      <c r="MHO218" s="1"/>
      <c r="MHP218" s="1"/>
      <c r="MHQ218" s="1"/>
      <c r="MHR218" s="1"/>
      <c r="MHS218" s="1"/>
      <c r="MHT218" s="1"/>
      <c r="MHU218" s="1"/>
      <c r="MHV218" s="1"/>
      <c r="MHW218" s="1"/>
      <c r="MHX218" s="1"/>
      <c r="MHY218" s="1"/>
      <c r="MHZ218" s="1"/>
      <c r="MIA218" s="1"/>
      <c r="MIB218" s="1"/>
      <c r="MIC218" s="1"/>
      <c r="MID218" s="1"/>
      <c r="MIE218" s="1"/>
      <c r="MIF218" s="1"/>
      <c r="MIG218" s="1"/>
      <c r="MIH218" s="1"/>
      <c r="MII218" s="1"/>
      <c r="MIJ218" s="1"/>
      <c r="MIK218" s="1"/>
      <c r="MIL218" s="1"/>
      <c r="MIM218" s="1"/>
      <c r="MIN218" s="1"/>
      <c r="MIO218" s="1"/>
      <c r="MIP218" s="1"/>
      <c r="MIQ218" s="1"/>
      <c r="MIR218" s="1"/>
      <c r="MIS218" s="1"/>
      <c r="MIT218" s="1"/>
      <c r="MIU218" s="1"/>
      <c r="MIV218" s="1"/>
      <c r="MIW218" s="1"/>
      <c r="MIX218" s="1"/>
      <c r="MIY218" s="1"/>
      <c r="MIZ218" s="1"/>
      <c r="MJA218" s="1"/>
      <c r="MJB218" s="1"/>
      <c r="MJC218" s="1"/>
      <c r="MJD218" s="1"/>
      <c r="MJE218" s="1"/>
      <c r="MJF218" s="1"/>
      <c r="MJG218" s="1"/>
      <c r="MJH218" s="1"/>
      <c r="MJI218" s="1"/>
      <c r="MJJ218" s="1"/>
      <c r="MJK218" s="1"/>
      <c r="MJL218" s="1"/>
      <c r="MJM218" s="1"/>
      <c r="MJN218" s="1"/>
      <c r="MJO218" s="1"/>
      <c r="MJP218" s="1"/>
      <c r="MJQ218" s="1"/>
      <c r="MJR218" s="1"/>
      <c r="MJS218" s="1"/>
      <c r="MJT218" s="1"/>
      <c r="MJU218" s="1"/>
      <c r="MJV218" s="1"/>
      <c r="MJW218" s="1"/>
      <c r="MJX218" s="1"/>
      <c r="MJY218" s="1"/>
      <c r="MJZ218" s="1"/>
      <c r="MKA218" s="1"/>
      <c r="MKB218" s="1"/>
      <c r="MKC218" s="1"/>
      <c r="MKD218" s="1"/>
      <c r="MKE218" s="1"/>
      <c r="MKF218" s="1"/>
      <c r="MKG218" s="1"/>
      <c r="MKH218" s="1"/>
      <c r="MKI218" s="1"/>
      <c r="MKJ218" s="1"/>
      <c r="MKK218" s="1"/>
      <c r="MKL218" s="1"/>
      <c r="MKM218" s="1"/>
      <c r="MKN218" s="1"/>
      <c r="MKO218" s="1"/>
      <c r="MKP218" s="1"/>
      <c r="MKQ218" s="1"/>
      <c r="MKR218" s="1"/>
      <c r="MKS218" s="1"/>
      <c r="MKT218" s="1"/>
      <c r="MKU218" s="1"/>
      <c r="MKV218" s="1"/>
      <c r="MKW218" s="1"/>
      <c r="MKX218" s="1"/>
      <c r="MKY218" s="1"/>
      <c r="MKZ218" s="1"/>
      <c r="MLA218" s="1"/>
      <c r="MLB218" s="1"/>
      <c r="MLC218" s="1"/>
      <c r="MLD218" s="1"/>
      <c r="MLE218" s="1"/>
      <c r="MLF218" s="1"/>
      <c r="MLG218" s="1"/>
      <c r="MLH218" s="1"/>
      <c r="MLI218" s="1"/>
      <c r="MLJ218" s="1"/>
      <c r="MLK218" s="1"/>
      <c r="MLL218" s="1"/>
      <c r="MLM218" s="1"/>
      <c r="MLN218" s="1"/>
      <c r="MLO218" s="1"/>
      <c r="MLP218" s="1"/>
      <c r="MLQ218" s="1"/>
      <c r="MLR218" s="1"/>
      <c r="MLS218" s="1"/>
      <c r="MLT218" s="1"/>
      <c r="MLU218" s="1"/>
      <c r="MLV218" s="1"/>
      <c r="MLW218" s="1"/>
      <c r="MLX218" s="1"/>
      <c r="MLY218" s="1"/>
      <c r="MLZ218" s="1"/>
      <c r="MMA218" s="1"/>
      <c r="MMB218" s="1"/>
      <c r="MMC218" s="1"/>
      <c r="MMD218" s="1"/>
      <c r="MME218" s="1"/>
      <c r="MMF218" s="1"/>
      <c r="MMG218" s="1"/>
      <c r="MMH218" s="1"/>
      <c r="MMI218" s="1"/>
      <c r="MMJ218" s="1"/>
      <c r="MMK218" s="1"/>
      <c r="MML218" s="1"/>
      <c r="MMM218" s="1"/>
      <c r="MMN218" s="1"/>
      <c r="MMO218" s="1"/>
      <c r="MMP218" s="1"/>
      <c r="MMQ218" s="1"/>
      <c r="MMR218" s="1"/>
      <c r="MMS218" s="1"/>
      <c r="MMT218" s="1"/>
      <c r="MMU218" s="1"/>
      <c r="MMV218" s="1"/>
      <c r="MMW218" s="1"/>
      <c r="MMX218" s="1"/>
      <c r="MMY218" s="1"/>
      <c r="MMZ218" s="1"/>
      <c r="MNA218" s="1"/>
      <c r="MNB218" s="1"/>
      <c r="MNC218" s="1"/>
      <c r="MND218" s="1"/>
      <c r="MNE218" s="1"/>
      <c r="MNF218" s="1"/>
      <c r="MNG218" s="1"/>
      <c r="MNH218" s="1"/>
      <c r="MNI218" s="1"/>
      <c r="MNJ218" s="1"/>
      <c r="MNK218" s="1"/>
      <c r="MNL218" s="1"/>
      <c r="MNM218" s="1"/>
      <c r="MNN218" s="1"/>
      <c r="MNO218" s="1"/>
      <c r="MNP218" s="1"/>
      <c r="MNQ218" s="1"/>
      <c r="MNR218" s="1"/>
      <c r="MNS218" s="1"/>
      <c r="MNT218" s="1"/>
      <c r="MNU218" s="1"/>
      <c r="MNV218" s="1"/>
      <c r="MNW218" s="1"/>
      <c r="MNX218" s="1"/>
      <c r="MNY218" s="1"/>
      <c r="MNZ218" s="1"/>
      <c r="MOA218" s="1"/>
      <c r="MOB218" s="1"/>
      <c r="MOC218" s="1"/>
      <c r="MOD218" s="1"/>
      <c r="MOE218" s="1"/>
      <c r="MOF218" s="1"/>
      <c r="MOG218" s="1"/>
      <c r="MOH218" s="1"/>
      <c r="MOI218" s="1"/>
      <c r="MOJ218" s="1"/>
      <c r="MOK218" s="1"/>
      <c r="MOL218" s="1"/>
      <c r="MOM218" s="1"/>
      <c r="MON218" s="1"/>
      <c r="MOO218" s="1"/>
      <c r="MOP218" s="1"/>
      <c r="MOQ218" s="1"/>
      <c r="MOR218" s="1"/>
      <c r="MOS218" s="1"/>
      <c r="MOT218" s="1"/>
      <c r="MOU218" s="1"/>
      <c r="MOV218" s="1"/>
      <c r="MOW218" s="1"/>
      <c r="MOX218" s="1"/>
      <c r="MOY218" s="1"/>
      <c r="MOZ218" s="1"/>
      <c r="MPA218" s="1"/>
      <c r="MPB218" s="1"/>
      <c r="MPC218" s="1"/>
      <c r="MPD218" s="1"/>
      <c r="MPE218" s="1"/>
      <c r="MPF218" s="1"/>
      <c r="MPG218" s="1"/>
      <c r="MPH218" s="1"/>
      <c r="MPI218" s="1"/>
      <c r="MPJ218" s="1"/>
      <c r="MPK218" s="1"/>
      <c r="MPL218" s="1"/>
      <c r="MPM218" s="1"/>
      <c r="MPN218" s="1"/>
      <c r="MPO218" s="1"/>
      <c r="MPP218" s="1"/>
      <c r="MPQ218" s="1"/>
      <c r="MPR218" s="1"/>
      <c r="MPS218" s="1"/>
      <c r="MPT218" s="1"/>
      <c r="MPU218" s="1"/>
      <c r="MPV218" s="1"/>
      <c r="MPW218" s="1"/>
      <c r="MPX218" s="1"/>
      <c r="MPY218" s="1"/>
      <c r="MPZ218" s="1"/>
      <c r="MQA218" s="1"/>
      <c r="MQB218" s="1"/>
      <c r="MQC218" s="1"/>
      <c r="MQD218" s="1"/>
      <c r="MQE218" s="1"/>
      <c r="MQF218" s="1"/>
      <c r="MQG218" s="1"/>
      <c r="MQH218" s="1"/>
      <c r="MQI218" s="1"/>
      <c r="MQJ218" s="1"/>
      <c r="MQK218" s="1"/>
      <c r="MQL218" s="1"/>
      <c r="MQM218" s="1"/>
      <c r="MQN218" s="1"/>
      <c r="MQO218" s="1"/>
      <c r="MQP218" s="1"/>
      <c r="MQQ218" s="1"/>
      <c r="MQR218" s="1"/>
      <c r="MQS218" s="1"/>
      <c r="MQT218" s="1"/>
      <c r="MQU218" s="1"/>
      <c r="MQV218" s="1"/>
      <c r="MQW218" s="1"/>
      <c r="MQX218" s="1"/>
      <c r="MQY218" s="1"/>
      <c r="MQZ218" s="1"/>
      <c r="MRA218" s="1"/>
      <c r="MRB218" s="1"/>
      <c r="MRC218" s="1"/>
      <c r="MRD218" s="1"/>
      <c r="MRE218" s="1"/>
      <c r="MRF218" s="1"/>
      <c r="MRG218" s="1"/>
      <c r="MRH218" s="1"/>
      <c r="MRI218" s="1"/>
      <c r="MRJ218" s="1"/>
      <c r="MRK218" s="1"/>
      <c r="MRL218" s="1"/>
      <c r="MRM218" s="1"/>
      <c r="MRN218" s="1"/>
      <c r="MRO218" s="1"/>
      <c r="MRP218" s="1"/>
      <c r="MRQ218" s="1"/>
      <c r="MRR218" s="1"/>
      <c r="MRS218" s="1"/>
      <c r="MRT218" s="1"/>
      <c r="MRU218" s="1"/>
      <c r="MRV218" s="1"/>
      <c r="MRW218" s="1"/>
      <c r="MRX218" s="1"/>
      <c r="MRY218" s="1"/>
      <c r="MRZ218" s="1"/>
      <c r="MSA218" s="1"/>
      <c r="MSB218" s="1"/>
      <c r="MSC218" s="1"/>
      <c r="MSD218" s="1"/>
      <c r="MSE218" s="1"/>
      <c r="MSF218" s="1"/>
      <c r="MSG218" s="1"/>
      <c r="MSH218" s="1"/>
      <c r="MSI218" s="1"/>
      <c r="MSJ218" s="1"/>
      <c r="MSK218" s="1"/>
      <c r="MSL218" s="1"/>
      <c r="MSM218" s="1"/>
      <c r="MSN218" s="1"/>
      <c r="MSO218" s="1"/>
      <c r="MSP218" s="1"/>
      <c r="MSQ218" s="1"/>
      <c r="MSR218" s="1"/>
      <c r="MSS218" s="1"/>
      <c r="MST218" s="1"/>
      <c r="MSU218" s="1"/>
      <c r="MSV218" s="1"/>
      <c r="MSW218" s="1"/>
      <c r="MSX218" s="1"/>
      <c r="MSY218" s="1"/>
      <c r="MSZ218" s="1"/>
      <c r="MTA218" s="1"/>
      <c r="MTB218" s="1"/>
      <c r="MTC218" s="1"/>
      <c r="MTD218" s="1"/>
      <c r="MTE218" s="1"/>
      <c r="MTF218" s="1"/>
      <c r="MTG218" s="1"/>
      <c r="MTH218" s="1"/>
      <c r="MTI218" s="1"/>
      <c r="MTJ218" s="1"/>
      <c r="MTK218" s="1"/>
      <c r="MTL218" s="1"/>
      <c r="MTM218" s="1"/>
      <c r="MTN218" s="1"/>
      <c r="MTO218" s="1"/>
      <c r="MTP218" s="1"/>
      <c r="MTQ218" s="1"/>
      <c r="MTR218" s="1"/>
      <c r="MTS218" s="1"/>
      <c r="MTT218" s="1"/>
      <c r="MTU218" s="1"/>
      <c r="MTV218" s="1"/>
      <c r="MTW218" s="1"/>
      <c r="MTX218" s="1"/>
      <c r="MTY218" s="1"/>
      <c r="MTZ218" s="1"/>
      <c r="MUA218" s="1"/>
      <c r="MUB218" s="1"/>
      <c r="MUC218" s="1"/>
      <c r="MUD218" s="1"/>
      <c r="MUE218" s="1"/>
      <c r="MUF218" s="1"/>
      <c r="MUG218" s="1"/>
      <c r="MUH218" s="1"/>
      <c r="MUI218" s="1"/>
      <c r="MUJ218" s="1"/>
      <c r="MUK218" s="1"/>
      <c r="MUL218" s="1"/>
      <c r="MUM218" s="1"/>
      <c r="MUN218" s="1"/>
      <c r="MUO218" s="1"/>
      <c r="MUP218" s="1"/>
      <c r="MUQ218" s="1"/>
      <c r="MUR218" s="1"/>
      <c r="MUS218" s="1"/>
      <c r="MUT218" s="1"/>
      <c r="MUU218" s="1"/>
      <c r="MUV218" s="1"/>
      <c r="MUW218" s="1"/>
      <c r="MUX218" s="1"/>
      <c r="MUY218" s="1"/>
      <c r="MUZ218" s="1"/>
      <c r="MVA218" s="1"/>
      <c r="MVB218" s="1"/>
      <c r="MVC218" s="1"/>
      <c r="MVD218" s="1"/>
      <c r="MVE218" s="1"/>
      <c r="MVF218" s="1"/>
      <c r="MVG218" s="1"/>
      <c r="MVH218" s="1"/>
      <c r="MVI218" s="1"/>
      <c r="MVJ218" s="1"/>
      <c r="MVK218" s="1"/>
      <c r="MVL218" s="1"/>
      <c r="MVM218" s="1"/>
      <c r="MVN218" s="1"/>
      <c r="MVO218" s="1"/>
      <c r="MVP218" s="1"/>
      <c r="MVQ218" s="1"/>
      <c r="MVR218" s="1"/>
      <c r="MVS218" s="1"/>
      <c r="MVT218" s="1"/>
      <c r="MVU218" s="1"/>
      <c r="MVV218" s="1"/>
      <c r="MVW218" s="1"/>
      <c r="MVX218" s="1"/>
      <c r="MVY218" s="1"/>
      <c r="MVZ218" s="1"/>
      <c r="MWA218" s="1"/>
      <c r="MWB218" s="1"/>
      <c r="MWC218" s="1"/>
      <c r="MWD218" s="1"/>
      <c r="MWE218" s="1"/>
      <c r="MWF218" s="1"/>
      <c r="MWG218" s="1"/>
      <c r="MWH218" s="1"/>
      <c r="MWI218" s="1"/>
      <c r="MWJ218" s="1"/>
      <c r="MWK218" s="1"/>
      <c r="MWL218" s="1"/>
      <c r="MWM218" s="1"/>
      <c r="MWN218" s="1"/>
      <c r="MWO218" s="1"/>
      <c r="MWP218" s="1"/>
      <c r="MWQ218" s="1"/>
      <c r="MWR218" s="1"/>
      <c r="MWS218" s="1"/>
      <c r="MWT218" s="1"/>
      <c r="MWU218" s="1"/>
      <c r="MWV218" s="1"/>
      <c r="MWW218" s="1"/>
      <c r="MWX218" s="1"/>
      <c r="MWY218" s="1"/>
      <c r="MWZ218" s="1"/>
      <c r="MXA218" s="1"/>
      <c r="MXB218" s="1"/>
      <c r="MXC218" s="1"/>
      <c r="MXD218" s="1"/>
      <c r="MXE218" s="1"/>
      <c r="MXF218" s="1"/>
      <c r="MXG218" s="1"/>
      <c r="MXH218" s="1"/>
      <c r="MXI218" s="1"/>
      <c r="MXJ218" s="1"/>
      <c r="MXK218" s="1"/>
      <c r="MXL218" s="1"/>
      <c r="MXM218" s="1"/>
      <c r="MXN218" s="1"/>
      <c r="MXO218" s="1"/>
      <c r="MXP218" s="1"/>
      <c r="MXQ218" s="1"/>
      <c r="MXR218" s="1"/>
      <c r="MXS218" s="1"/>
      <c r="MXT218" s="1"/>
      <c r="MXU218" s="1"/>
      <c r="MXV218" s="1"/>
      <c r="MXW218" s="1"/>
      <c r="MXX218" s="1"/>
      <c r="MXY218" s="1"/>
      <c r="MXZ218" s="1"/>
      <c r="MYA218" s="1"/>
      <c r="MYB218" s="1"/>
      <c r="MYC218" s="1"/>
      <c r="MYD218" s="1"/>
      <c r="MYE218" s="1"/>
      <c r="MYF218" s="1"/>
      <c r="MYG218" s="1"/>
      <c r="MYH218" s="1"/>
      <c r="MYI218" s="1"/>
      <c r="MYJ218" s="1"/>
      <c r="MYK218" s="1"/>
      <c r="MYL218" s="1"/>
      <c r="MYM218" s="1"/>
      <c r="MYN218" s="1"/>
      <c r="MYO218" s="1"/>
      <c r="MYP218" s="1"/>
      <c r="MYQ218" s="1"/>
      <c r="MYR218" s="1"/>
      <c r="MYS218" s="1"/>
      <c r="MYT218" s="1"/>
      <c r="MYU218" s="1"/>
      <c r="MYV218" s="1"/>
      <c r="MYW218" s="1"/>
      <c r="MYX218" s="1"/>
      <c r="MYY218" s="1"/>
      <c r="MYZ218" s="1"/>
      <c r="MZA218" s="1"/>
      <c r="MZB218" s="1"/>
      <c r="MZC218" s="1"/>
      <c r="MZD218" s="1"/>
      <c r="MZE218" s="1"/>
      <c r="MZF218" s="1"/>
      <c r="MZG218" s="1"/>
      <c r="MZH218" s="1"/>
      <c r="MZI218" s="1"/>
      <c r="MZJ218" s="1"/>
      <c r="MZK218" s="1"/>
      <c r="MZL218" s="1"/>
      <c r="MZM218" s="1"/>
      <c r="MZN218" s="1"/>
      <c r="MZO218" s="1"/>
      <c r="MZP218" s="1"/>
      <c r="MZQ218" s="1"/>
      <c r="MZR218" s="1"/>
      <c r="MZS218" s="1"/>
      <c r="MZT218" s="1"/>
      <c r="MZU218" s="1"/>
      <c r="MZV218" s="1"/>
      <c r="MZW218" s="1"/>
      <c r="MZX218" s="1"/>
      <c r="MZY218" s="1"/>
      <c r="MZZ218" s="1"/>
      <c r="NAA218" s="1"/>
      <c r="NAB218" s="1"/>
      <c r="NAC218" s="1"/>
      <c r="NAD218" s="1"/>
      <c r="NAE218" s="1"/>
      <c r="NAF218" s="1"/>
      <c r="NAG218" s="1"/>
      <c r="NAH218" s="1"/>
      <c r="NAI218" s="1"/>
      <c r="NAJ218" s="1"/>
      <c r="NAK218" s="1"/>
      <c r="NAL218" s="1"/>
      <c r="NAM218" s="1"/>
      <c r="NAN218" s="1"/>
      <c r="NAO218" s="1"/>
      <c r="NAP218" s="1"/>
      <c r="NAQ218" s="1"/>
      <c r="NAR218" s="1"/>
      <c r="NAS218" s="1"/>
      <c r="NAT218" s="1"/>
      <c r="NAU218" s="1"/>
      <c r="NAV218" s="1"/>
      <c r="NAW218" s="1"/>
      <c r="NAX218" s="1"/>
      <c r="NAY218" s="1"/>
      <c r="NAZ218" s="1"/>
      <c r="NBA218" s="1"/>
      <c r="NBB218" s="1"/>
      <c r="NBC218" s="1"/>
      <c r="NBD218" s="1"/>
      <c r="NBE218" s="1"/>
      <c r="NBF218" s="1"/>
      <c r="NBG218" s="1"/>
      <c r="NBH218" s="1"/>
      <c r="NBI218" s="1"/>
      <c r="NBJ218" s="1"/>
      <c r="NBK218" s="1"/>
      <c r="NBL218" s="1"/>
      <c r="NBM218" s="1"/>
      <c r="NBN218" s="1"/>
      <c r="NBO218" s="1"/>
      <c r="NBP218" s="1"/>
      <c r="NBQ218" s="1"/>
      <c r="NBR218" s="1"/>
      <c r="NBS218" s="1"/>
      <c r="NBT218" s="1"/>
      <c r="NBU218" s="1"/>
      <c r="NBV218" s="1"/>
      <c r="NBW218" s="1"/>
      <c r="NBX218" s="1"/>
      <c r="NBY218" s="1"/>
      <c r="NBZ218" s="1"/>
      <c r="NCA218" s="1"/>
      <c r="NCB218" s="1"/>
      <c r="NCC218" s="1"/>
      <c r="NCD218" s="1"/>
      <c r="NCE218" s="1"/>
      <c r="NCF218" s="1"/>
      <c r="NCG218" s="1"/>
      <c r="NCH218" s="1"/>
      <c r="NCI218" s="1"/>
      <c r="NCJ218" s="1"/>
      <c r="NCK218" s="1"/>
      <c r="NCL218" s="1"/>
      <c r="NCM218" s="1"/>
      <c r="NCN218" s="1"/>
      <c r="NCO218" s="1"/>
      <c r="NCP218" s="1"/>
      <c r="NCQ218" s="1"/>
      <c r="NCR218" s="1"/>
      <c r="NCS218" s="1"/>
      <c r="NCT218" s="1"/>
      <c r="NCU218" s="1"/>
      <c r="NCV218" s="1"/>
      <c r="NCW218" s="1"/>
      <c r="NCX218" s="1"/>
      <c r="NCY218" s="1"/>
      <c r="NCZ218" s="1"/>
      <c r="NDA218" s="1"/>
      <c r="NDB218" s="1"/>
      <c r="NDC218" s="1"/>
      <c r="NDD218" s="1"/>
      <c r="NDE218" s="1"/>
      <c r="NDF218" s="1"/>
      <c r="NDG218" s="1"/>
      <c r="NDH218" s="1"/>
      <c r="NDI218" s="1"/>
      <c r="NDJ218" s="1"/>
      <c r="NDK218" s="1"/>
      <c r="NDL218" s="1"/>
      <c r="NDM218" s="1"/>
      <c r="NDN218" s="1"/>
      <c r="NDO218" s="1"/>
      <c r="NDP218" s="1"/>
      <c r="NDQ218" s="1"/>
      <c r="NDR218" s="1"/>
      <c r="NDS218" s="1"/>
      <c r="NDT218" s="1"/>
      <c r="NDU218" s="1"/>
      <c r="NDV218" s="1"/>
      <c r="NDW218" s="1"/>
      <c r="NDX218" s="1"/>
      <c r="NDY218" s="1"/>
      <c r="NDZ218" s="1"/>
      <c r="NEA218" s="1"/>
      <c r="NEB218" s="1"/>
      <c r="NEC218" s="1"/>
      <c r="NED218" s="1"/>
      <c r="NEE218" s="1"/>
      <c r="NEF218" s="1"/>
      <c r="NEG218" s="1"/>
      <c r="NEH218" s="1"/>
      <c r="NEI218" s="1"/>
      <c r="NEJ218" s="1"/>
      <c r="NEK218" s="1"/>
      <c r="NEL218" s="1"/>
      <c r="NEM218" s="1"/>
      <c r="NEN218" s="1"/>
      <c r="NEO218" s="1"/>
      <c r="NEP218" s="1"/>
      <c r="NEQ218" s="1"/>
      <c r="NER218" s="1"/>
      <c r="NES218" s="1"/>
      <c r="NET218" s="1"/>
      <c r="NEU218" s="1"/>
      <c r="NEV218" s="1"/>
      <c r="NEW218" s="1"/>
      <c r="NEX218" s="1"/>
      <c r="NEY218" s="1"/>
      <c r="NEZ218" s="1"/>
      <c r="NFA218" s="1"/>
      <c r="NFB218" s="1"/>
      <c r="NFC218" s="1"/>
      <c r="NFD218" s="1"/>
      <c r="NFE218" s="1"/>
      <c r="NFF218" s="1"/>
      <c r="NFG218" s="1"/>
      <c r="NFH218" s="1"/>
      <c r="NFI218" s="1"/>
      <c r="NFJ218" s="1"/>
      <c r="NFK218" s="1"/>
      <c r="NFL218" s="1"/>
      <c r="NFM218" s="1"/>
      <c r="NFN218" s="1"/>
      <c r="NFO218" s="1"/>
      <c r="NFP218" s="1"/>
      <c r="NFQ218" s="1"/>
      <c r="NFR218" s="1"/>
      <c r="NFS218" s="1"/>
      <c r="NFT218" s="1"/>
      <c r="NFU218" s="1"/>
      <c r="NFV218" s="1"/>
      <c r="NFW218" s="1"/>
      <c r="NFX218" s="1"/>
      <c r="NFY218" s="1"/>
      <c r="NFZ218" s="1"/>
      <c r="NGA218" s="1"/>
      <c r="NGB218" s="1"/>
      <c r="NGC218" s="1"/>
      <c r="NGD218" s="1"/>
      <c r="NGE218" s="1"/>
      <c r="NGF218" s="1"/>
      <c r="NGG218" s="1"/>
      <c r="NGH218" s="1"/>
      <c r="NGI218" s="1"/>
      <c r="NGJ218" s="1"/>
      <c r="NGK218" s="1"/>
      <c r="NGL218" s="1"/>
      <c r="NGM218" s="1"/>
      <c r="NGN218" s="1"/>
      <c r="NGO218" s="1"/>
      <c r="NGP218" s="1"/>
      <c r="NGQ218" s="1"/>
      <c r="NGR218" s="1"/>
      <c r="NGS218" s="1"/>
      <c r="NGT218" s="1"/>
      <c r="NGU218" s="1"/>
      <c r="NGV218" s="1"/>
      <c r="NGW218" s="1"/>
      <c r="NGX218" s="1"/>
      <c r="NGY218" s="1"/>
      <c r="NGZ218" s="1"/>
      <c r="NHA218" s="1"/>
      <c r="NHB218" s="1"/>
      <c r="NHC218" s="1"/>
      <c r="NHD218" s="1"/>
      <c r="NHE218" s="1"/>
      <c r="NHF218" s="1"/>
      <c r="NHG218" s="1"/>
      <c r="NHH218" s="1"/>
      <c r="NHI218" s="1"/>
      <c r="NHJ218" s="1"/>
      <c r="NHK218" s="1"/>
      <c r="NHL218" s="1"/>
      <c r="NHM218" s="1"/>
      <c r="NHN218" s="1"/>
      <c r="NHO218" s="1"/>
      <c r="NHP218" s="1"/>
      <c r="NHQ218" s="1"/>
      <c r="NHR218" s="1"/>
      <c r="NHS218" s="1"/>
      <c r="NHT218" s="1"/>
      <c r="NHU218" s="1"/>
      <c r="NHV218" s="1"/>
      <c r="NHW218" s="1"/>
      <c r="NHX218" s="1"/>
      <c r="NHY218" s="1"/>
      <c r="NHZ218" s="1"/>
      <c r="NIA218" s="1"/>
      <c r="NIB218" s="1"/>
      <c r="NIC218" s="1"/>
      <c r="NID218" s="1"/>
      <c r="NIE218" s="1"/>
      <c r="NIF218" s="1"/>
      <c r="NIG218" s="1"/>
      <c r="NIH218" s="1"/>
      <c r="NII218" s="1"/>
      <c r="NIJ218" s="1"/>
      <c r="NIK218" s="1"/>
      <c r="NIL218" s="1"/>
      <c r="NIM218" s="1"/>
      <c r="NIN218" s="1"/>
      <c r="NIO218" s="1"/>
      <c r="NIP218" s="1"/>
      <c r="NIQ218" s="1"/>
      <c r="NIR218" s="1"/>
      <c r="NIS218" s="1"/>
      <c r="NIT218" s="1"/>
      <c r="NIU218" s="1"/>
      <c r="NIV218" s="1"/>
      <c r="NIW218" s="1"/>
      <c r="NIX218" s="1"/>
      <c r="NIY218" s="1"/>
      <c r="NIZ218" s="1"/>
      <c r="NJA218" s="1"/>
      <c r="NJB218" s="1"/>
      <c r="NJC218" s="1"/>
      <c r="NJD218" s="1"/>
      <c r="NJE218" s="1"/>
      <c r="NJF218" s="1"/>
      <c r="NJG218" s="1"/>
      <c r="NJH218" s="1"/>
      <c r="NJI218" s="1"/>
      <c r="NJJ218" s="1"/>
      <c r="NJK218" s="1"/>
      <c r="NJL218" s="1"/>
      <c r="NJM218" s="1"/>
      <c r="NJN218" s="1"/>
      <c r="NJO218" s="1"/>
      <c r="NJP218" s="1"/>
      <c r="NJQ218" s="1"/>
      <c r="NJR218" s="1"/>
      <c r="NJS218" s="1"/>
      <c r="NJT218" s="1"/>
      <c r="NJU218" s="1"/>
      <c r="NJV218" s="1"/>
      <c r="NJW218" s="1"/>
      <c r="NJX218" s="1"/>
      <c r="NJY218" s="1"/>
      <c r="NJZ218" s="1"/>
      <c r="NKA218" s="1"/>
      <c r="NKB218" s="1"/>
      <c r="NKC218" s="1"/>
      <c r="NKD218" s="1"/>
      <c r="NKE218" s="1"/>
      <c r="NKF218" s="1"/>
      <c r="NKG218" s="1"/>
      <c r="NKH218" s="1"/>
      <c r="NKI218" s="1"/>
      <c r="NKJ218" s="1"/>
      <c r="NKK218" s="1"/>
      <c r="NKL218" s="1"/>
      <c r="NKM218" s="1"/>
      <c r="NKN218" s="1"/>
      <c r="NKO218" s="1"/>
      <c r="NKP218" s="1"/>
      <c r="NKQ218" s="1"/>
      <c r="NKR218" s="1"/>
      <c r="NKS218" s="1"/>
      <c r="NKT218" s="1"/>
      <c r="NKU218" s="1"/>
      <c r="NKV218" s="1"/>
      <c r="NKW218" s="1"/>
      <c r="NKX218" s="1"/>
      <c r="NKY218" s="1"/>
      <c r="NKZ218" s="1"/>
      <c r="NLA218" s="1"/>
      <c r="NLB218" s="1"/>
      <c r="NLC218" s="1"/>
      <c r="NLD218" s="1"/>
      <c r="NLE218" s="1"/>
      <c r="NLF218" s="1"/>
      <c r="NLG218" s="1"/>
      <c r="NLH218" s="1"/>
      <c r="NLI218" s="1"/>
      <c r="NLJ218" s="1"/>
      <c r="NLK218" s="1"/>
      <c r="NLL218" s="1"/>
      <c r="NLM218" s="1"/>
      <c r="NLN218" s="1"/>
      <c r="NLO218" s="1"/>
      <c r="NLP218" s="1"/>
      <c r="NLQ218" s="1"/>
      <c r="NLR218" s="1"/>
      <c r="NLS218" s="1"/>
      <c r="NLT218" s="1"/>
      <c r="NLU218" s="1"/>
      <c r="NLV218" s="1"/>
      <c r="NLW218" s="1"/>
      <c r="NLX218" s="1"/>
      <c r="NLY218" s="1"/>
      <c r="NLZ218" s="1"/>
      <c r="NMA218" s="1"/>
      <c r="NMB218" s="1"/>
      <c r="NMC218" s="1"/>
      <c r="NMD218" s="1"/>
      <c r="NME218" s="1"/>
      <c r="NMF218" s="1"/>
      <c r="NMG218" s="1"/>
      <c r="NMH218" s="1"/>
      <c r="NMI218" s="1"/>
      <c r="NMJ218" s="1"/>
      <c r="NMK218" s="1"/>
      <c r="NML218" s="1"/>
      <c r="NMM218" s="1"/>
      <c r="NMN218" s="1"/>
      <c r="NMO218" s="1"/>
      <c r="NMP218" s="1"/>
      <c r="NMQ218" s="1"/>
      <c r="NMR218" s="1"/>
      <c r="NMS218" s="1"/>
      <c r="NMT218" s="1"/>
      <c r="NMU218" s="1"/>
      <c r="NMV218" s="1"/>
      <c r="NMW218" s="1"/>
      <c r="NMX218" s="1"/>
      <c r="NMY218" s="1"/>
      <c r="NMZ218" s="1"/>
      <c r="NNA218" s="1"/>
      <c r="NNB218" s="1"/>
      <c r="NNC218" s="1"/>
      <c r="NND218" s="1"/>
      <c r="NNE218" s="1"/>
      <c r="NNF218" s="1"/>
      <c r="NNG218" s="1"/>
      <c r="NNH218" s="1"/>
      <c r="NNI218" s="1"/>
      <c r="NNJ218" s="1"/>
      <c r="NNK218" s="1"/>
      <c r="NNL218" s="1"/>
      <c r="NNM218" s="1"/>
      <c r="NNN218" s="1"/>
      <c r="NNO218" s="1"/>
      <c r="NNP218" s="1"/>
      <c r="NNQ218" s="1"/>
      <c r="NNR218" s="1"/>
      <c r="NNS218" s="1"/>
      <c r="NNT218" s="1"/>
      <c r="NNU218" s="1"/>
      <c r="NNV218" s="1"/>
      <c r="NNW218" s="1"/>
      <c r="NNX218" s="1"/>
      <c r="NNY218" s="1"/>
      <c r="NNZ218" s="1"/>
      <c r="NOA218" s="1"/>
      <c r="NOB218" s="1"/>
      <c r="NOC218" s="1"/>
      <c r="NOD218" s="1"/>
      <c r="NOE218" s="1"/>
      <c r="NOF218" s="1"/>
      <c r="NOG218" s="1"/>
      <c r="NOH218" s="1"/>
      <c r="NOI218" s="1"/>
      <c r="NOJ218" s="1"/>
      <c r="NOK218" s="1"/>
      <c r="NOL218" s="1"/>
      <c r="NOM218" s="1"/>
      <c r="NON218" s="1"/>
      <c r="NOO218" s="1"/>
      <c r="NOP218" s="1"/>
      <c r="NOQ218" s="1"/>
      <c r="NOR218" s="1"/>
      <c r="NOS218" s="1"/>
      <c r="NOT218" s="1"/>
      <c r="NOU218" s="1"/>
      <c r="NOV218" s="1"/>
      <c r="NOW218" s="1"/>
      <c r="NOX218" s="1"/>
      <c r="NOY218" s="1"/>
      <c r="NOZ218" s="1"/>
      <c r="NPA218" s="1"/>
      <c r="NPB218" s="1"/>
      <c r="NPC218" s="1"/>
      <c r="NPD218" s="1"/>
      <c r="NPE218" s="1"/>
      <c r="NPF218" s="1"/>
      <c r="NPG218" s="1"/>
      <c r="NPH218" s="1"/>
      <c r="NPI218" s="1"/>
      <c r="NPJ218" s="1"/>
      <c r="NPK218" s="1"/>
      <c r="NPL218" s="1"/>
      <c r="NPM218" s="1"/>
      <c r="NPN218" s="1"/>
      <c r="NPO218" s="1"/>
      <c r="NPP218" s="1"/>
      <c r="NPQ218" s="1"/>
      <c r="NPR218" s="1"/>
      <c r="NPS218" s="1"/>
      <c r="NPT218" s="1"/>
      <c r="NPU218" s="1"/>
      <c r="NPV218" s="1"/>
      <c r="NPW218" s="1"/>
      <c r="NPX218" s="1"/>
      <c r="NPY218" s="1"/>
      <c r="NPZ218" s="1"/>
      <c r="NQA218" s="1"/>
      <c r="NQB218" s="1"/>
      <c r="NQC218" s="1"/>
      <c r="NQD218" s="1"/>
      <c r="NQE218" s="1"/>
      <c r="NQF218" s="1"/>
      <c r="NQG218" s="1"/>
      <c r="NQH218" s="1"/>
      <c r="NQI218" s="1"/>
      <c r="NQJ218" s="1"/>
      <c r="NQK218" s="1"/>
      <c r="NQL218" s="1"/>
      <c r="NQM218" s="1"/>
      <c r="NQN218" s="1"/>
      <c r="NQO218" s="1"/>
      <c r="NQP218" s="1"/>
      <c r="NQQ218" s="1"/>
      <c r="NQR218" s="1"/>
      <c r="NQS218" s="1"/>
      <c r="NQT218" s="1"/>
      <c r="NQU218" s="1"/>
      <c r="NQV218" s="1"/>
      <c r="NQW218" s="1"/>
      <c r="NQX218" s="1"/>
      <c r="NQY218" s="1"/>
      <c r="NQZ218" s="1"/>
      <c r="NRA218" s="1"/>
      <c r="NRB218" s="1"/>
      <c r="NRC218" s="1"/>
      <c r="NRD218" s="1"/>
      <c r="NRE218" s="1"/>
      <c r="NRF218" s="1"/>
      <c r="NRG218" s="1"/>
      <c r="NRH218" s="1"/>
      <c r="NRI218" s="1"/>
      <c r="NRJ218" s="1"/>
      <c r="NRK218" s="1"/>
      <c r="NRL218" s="1"/>
      <c r="NRM218" s="1"/>
      <c r="NRN218" s="1"/>
      <c r="NRO218" s="1"/>
      <c r="NRP218" s="1"/>
      <c r="NRQ218" s="1"/>
      <c r="NRR218" s="1"/>
      <c r="NRS218" s="1"/>
      <c r="NRT218" s="1"/>
      <c r="NRU218" s="1"/>
      <c r="NRV218" s="1"/>
      <c r="NRW218" s="1"/>
      <c r="NRX218" s="1"/>
      <c r="NRY218" s="1"/>
      <c r="NRZ218" s="1"/>
      <c r="NSA218" s="1"/>
      <c r="NSB218" s="1"/>
      <c r="NSC218" s="1"/>
      <c r="NSD218" s="1"/>
      <c r="NSE218" s="1"/>
      <c r="NSF218" s="1"/>
      <c r="NSG218" s="1"/>
      <c r="NSH218" s="1"/>
      <c r="NSI218" s="1"/>
      <c r="NSJ218" s="1"/>
      <c r="NSK218" s="1"/>
      <c r="NSL218" s="1"/>
      <c r="NSM218" s="1"/>
      <c r="NSN218" s="1"/>
      <c r="NSO218" s="1"/>
      <c r="NSP218" s="1"/>
      <c r="NSQ218" s="1"/>
      <c r="NSR218" s="1"/>
      <c r="NSS218" s="1"/>
      <c r="NST218" s="1"/>
      <c r="NSU218" s="1"/>
      <c r="NSV218" s="1"/>
      <c r="NSW218" s="1"/>
      <c r="NSX218" s="1"/>
      <c r="NSY218" s="1"/>
      <c r="NSZ218" s="1"/>
      <c r="NTA218" s="1"/>
      <c r="NTB218" s="1"/>
      <c r="NTC218" s="1"/>
      <c r="NTD218" s="1"/>
      <c r="NTE218" s="1"/>
      <c r="NTF218" s="1"/>
      <c r="NTG218" s="1"/>
      <c r="NTH218" s="1"/>
      <c r="NTI218" s="1"/>
      <c r="NTJ218" s="1"/>
      <c r="NTK218" s="1"/>
      <c r="NTL218" s="1"/>
      <c r="NTM218" s="1"/>
      <c r="NTN218" s="1"/>
      <c r="NTO218" s="1"/>
      <c r="NTP218" s="1"/>
      <c r="NTQ218" s="1"/>
      <c r="NTR218" s="1"/>
      <c r="NTS218" s="1"/>
      <c r="NTT218" s="1"/>
      <c r="NTU218" s="1"/>
      <c r="NTV218" s="1"/>
      <c r="NTW218" s="1"/>
      <c r="NTX218" s="1"/>
      <c r="NTY218" s="1"/>
      <c r="NTZ218" s="1"/>
      <c r="NUA218" s="1"/>
      <c r="NUB218" s="1"/>
      <c r="NUC218" s="1"/>
      <c r="NUD218" s="1"/>
      <c r="NUE218" s="1"/>
      <c r="NUF218" s="1"/>
      <c r="NUG218" s="1"/>
      <c r="NUH218" s="1"/>
      <c r="NUI218" s="1"/>
      <c r="NUJ218" s="1"/>
      <c r="NUK218" s="1"/>
      <c r="NUL218" s="1"/>
      <c r="NUM218" s="1"/>
      <c r="NUN218" s="1"/>
      <c r="NUO218" s="1"/>
      <c r="NUP218" s="1"/>
      <c r="NUQ218" s="1"/>
      <c r="NUR218" s="1"/>
      <c r="NUS218" s="1"/>
      <c r="NUT218" s="1"/>
      <c r="NUU218" s="1"/>
      <c r="NUV218" s="1"/>
      <c r="NUW218" s="1"/>
      <c r="NUX218" s="1"/>
      <c r="NUY218" s="1"/>
      <c r="NUZ218" s="1"/>
      <c r="NVA218" s="1"/>
      <c r="NVB218" s="1"/>
      <c r="NVC218" s="1"/>
      <c r="NVD218" s="1"/>
      <c r="NVE218" s="1"/>
      <c r="NVF218" s="1"/>
      <c r="NVG218" s="1"/>
      <c r="NVH218" s="1"/>
      <c r="NVI218" s="1"/>
      <c r="NVJ218" s="1"/>
      <c r="NVK218" s="1"/>
      <c r="NVL218" s="1"/>
      <c r="NVM218" s="1"/>
      <c r="NVN218" s="1"/>
      <c r="NVO218" s="1"/>
      <c r="NVP218" s="1"/>
      <c r="NVQ218" s="1"/>
      <c r="NVR218" s="1"/>
      <c r="NVS218" s="1"/>
      <c r="NVT218" s="1"/>
      <c r="NVU218" s="1"/>
      <c r="NVV218" s="1"/>
      <c r="NVW218" s="1"/>
      <c r="NVX218" s="1"/>
      <c r="NVY218" s="1"/>
      <c r="NVZ218" s="1"/>
      <c r="NWA218" s="1"/>
      <c r="NWB218" s="1"/>
      <c r="NWC218" s="1"/>
      <c r="NWD218" s="1"/>
      <c r="NWE218" s="1"/>
      <c r="NWF218" s="1"/>
      <c r="NWG218" s="1"/>
      <c r="NWH218" s="1"/>
      <c r="NWI218" s="1"/>
      <c r="NWJ218" s="1"/>
      <c r="NWK218" s="1"/>
      <c r="NWL218" s="1"/>
      <c r="NWM218" s="1"/>
      <c r="NWN218" s="1"/>
      <c r="NWO218" s="1"/>
      <c r="NWP218" s="1"/>
      <c r="NWQ218" s="1"/>
      <c r="NWR218" s="1"/>
      <c r="NWS218" s="1"/>
      <c r="NWT218" s="1"/>
      <c r="NWU218" s="1"/>
      <c r="NWV218" s="1"/>
      <c r="NWW218" s="1"/>
      <c r="NWX218" s="1"/>
      <c r="NWY218" s="1"/>
      <c r="NWZ218" s="1"/>
      <c r="NXA218" s="1"/>
      <c r="NXB218" s="1"/>
      <c r="NXC218" s="1"/>
      <c r="NXD218" s="1"/>
      <c r="NXE218" s="1"/>
      <c r="NXF218" s="1"/>
      <c r="NXG218" s="1"/>
      <c r="NXH218" s="1"/>
      <c r="NXI218" s="1"/>
      <c r="NXJ218" s="1"/>
      <c r="NXK218" s="1"/>
      <c r="NXL218" s="1"/>
      <c r="NXM218" s="1"/>
      <c r="NXN218" s="1"/>
      <c r="NXO218" s="1"/>
      <c r="NXP218" s="1"/>
      <c r="NXQ218" s="1"/>
      <c r="NXR218" s="1"/>
      <c r="NXS218" s="1"/>
      <c r="NXT218" s="1"/>
      <c r="NXU218" s="1"/>
      <c r="NXV218" s="1"/>
      <c r="NXW218" s="1"/>
      <c r="NXX218" s="1"/>
      <c r="NXY218" s="1"/>
      <c r="NXZ218" s="1"/>
      <c r="NYA218" s="1"/>
      <c r="NYB218" s="1"/>
      <c r="NYC218" s="1"/>
      <c r="NYD218" s="1"/>
      <c r="NYE218" s="1"/>
      <c r="NYF218" s="1"/>
      <c r="NYG218" s="1"/>
      <c r="NYH218" s="1"/>
      <c r="NYI218" s="1"/>
      <c r="NYJ218" s="1"/>
      <c r="NYK218" s="1"/>
      <c r="NYL218" s="1"/>
      <c r="NYM218" s="1"/>
      <c r="NYN218" s="1"/>
      <c r="NYO218" s="1"/>
      <c r="NYP218" s="1"/>
      <c r="NYQ218" s="1"/>
      <c r="NYR218" s="1"/>
      <c r="NYS218" s="1"/>
      <c r="NYT218" s="1"/>
      <c r="NYU218" s="1"/>
      <c r="NYV218" s="1"/>
      <c r="NYW218" s="1"/>
      <c r="NYX218" s="1"/>
      <c r="NYY218" s="1"/>
      <c r="NYZ218" s="1"/>
      <c r="NZA218" s="1"/>
      <c r="NZB218" s="1"/>
      <c r="NZC218" s="1"/>
      <c r="NZD218" s="1"/>
      <c r="NZE218" s="1"/>
      <c r="NZF218" s="1"/>
      <c r="NZG218" s="1"/>
      <c r="NZH218" s="1"/>
      <c r="NZI218" s="1"/>
      <c r="NZJ218" s="1"/>
      <c r="NZK218" s="1"/>
      <c r="NZL218" s="1"/>
      <c r="NZM218" s="1"/>
      <c r="NZN218" s="1"/>
      <c r="NZO218" s="1"/>
      <c r="NZP218" s="1"/>
      <c r="NZQ218" s="1"/>
      <c r="NZR218" s="1"/>
      <c r="NZS218" s="1"/>
      <c r="NZT218" s="1"/>
      <c r="NZU218" s="1"/>
      <c r="NZV218" s="1"/>
      <c r="NZW218" s="1"/>
      <c r="NZX218" s="1"/>
      <c r="NZY218" s="1"/>
      <c r="NZZ218" s="1"/>
      <c r="OAA218" s="1"/>
      <c r="OAB218" s="1"/>
      <c r="OAC218" s="1"/>
      <c r="OAD218" s="1"/>
      <c r="OAE218" s="1"/>
      <c r="OAF218" s="1"/>
      <c r="OAG218" s="1"/>
      <c r="OAH218" s="1"/>
      <c r="OAI218" s="1"/>
      <c r="OAJ218" s="1"/>
      <c r="OAK218" s="1"/>
      <c r="OAL218" s="1"/>
      <c r="OAM218" s="1"/>
      <c r="OAN218" s="1"/>
      <c r="OAO218" s="1"/>
      <c r="OAP218" s="1"/>
      <c r="OAQ218" s="1"/>
      <c r="OAR218" s="1"/>
      <c r="OAS218" s="1"/>
      <c r="OAT218" s="1"/>
      <c r="OAU218" s="1"/>
      <c r="OAV218" s="1"/>
      <c r="OAW218" s="1"/>
      <c r="OAX218" s="1"/>
      <c r="OAY218" s="1"/>
      <c r="OAZ218" s="1"/>
      <c r="OBA218" s="1"/>
      <c r="OBB218" s="1"/>
      <c r="OBC218" s="1"/>
      <c r="OBD218" s="1"/>
      <c r="OBE218" s="1"/>
      <c r="OBF218" s="1"/>
      <c r="OBG218" s="1"/>
      <c r="OBH218" s="1"/>
      <c r="OBI218" s="1"/>
      <c r="OBJ218" s="1"/>
      <c r="OBK218" s="1"/>
      <c r="OBL218" s="1"/>
      <c r="OBM218" s="1"/>
      <c r="OBN218" s="1"/>
      <c r="OBO218" s="1"/>
      <c r="OBP218" s="1"/>
      <c r="OBQ218" s="1"/>
      <c r="OBR218" s="1"/>
      <c r="OBS218" s="1"/>
      <c r="OBT218" s="1"/>
      <c r="OBU218" s="1"/>
      <c r="OBV218" s="1"/>
      <c r="OBW218" s="1"/>
      <c r="OBX218" s="1"/>
      <c r="OBY218" s="1"/>
      <c r="OBZ218" s="1"/>
      <c r="OCA218" s="1"/>
      <c r="OCB218" s="1"/>
      <c r="OCC218" s="1"/>
      <c r="OCD218" s="1"/>
      <c r="OCE218" s="1"/>
      <c r="OCF218" s="1"/>
      <c r="OCG218" s="1"/>
      <c r="OCH218" s="1"/>
      <c r="OCI218" s="1"/>
      <c r="OCJ218" s="1"/>
      <c r="OCK218" s="1"/>
      <c r="OCL218" s="1"/>
      <c r="OCM218" s="1"/>
      <c r="OCN218" s="1"/>
      <c r="OCO218" s="1"/>
      <c r="OCP218" s="1"/>
      <c r="OCQ218" s="1"/>
      <c r="OCR218" s="1"/>
      <c r="OCS218" s="1"/>
      <c r="OCT218" s="1"/>
      <c r="OCU218" s="1"/>
      <c r="OCV218" s="1"/>
      <c r="OCW218" s="1"/>
      <c r="OCX218" s="1"/>
      <c r="OCY218" s="1"/>
      <c r="OCZ218" s="1"/>
      <c r="ODA218" s="1"/>
      <c r="ODB218" s="1"/>
      <c r="ODC218" s="1"/>
      <c r="ODD218" s="1"/>
      <c r="ODE218" s="1"/>
      <c r="ODF218" s="1"/>
      <c r="ODG218" s="1"/>
      <c r="ODH218" s="1"/>
      <c r="ODI218" s="1"/>
      <c r="ODJ218" s="1"/>
      <c r="ODK218" s="1"/>
      <c r="ODL218" s="1"/>
      <c r="ODM218" s="1"/>
      <c r="ODN218" s="1"/>
      <c r="ODO218" s="1"/>
      <c r="ODP218" s="1"/>
      <c r="ODQ218" s="1"/>
      <c r="ODR218" s="1"/>
      <c r="ODS218" s="1"/>
      <c r="ODT218" s="1"/>
      <c r="ODU218" s="1"/>
      <c r="ODV218" s="1"/>
      <c r="ODW218" s="1"/>
      <c r="ODX218" s="1"/>
      <c r="ODY218" s="1"/>
      <c r="ODZ218" s="1"/>
      <c r="OEA218" s="1"/>
      <c r="OEB218" s="1"/>
      <c r="OEC218" s="1"/>
      <c r="OED218" s="1"/>
      <c r="OEE218" s="1"/>
      <c r="OEF218" s="1"/>
      <c r="OEG218" s="1"/>
      <c r="OEH218" s="1"/>
      <c r="OEI218" s="1"/>
      <c r="OEJ218" s="1"/>
      <c r="OEK218" s="1"/>
      <c r="OEL218" s="1"/>
      <c r="OEM218" s="1"/>
      <c r="OEN218" s="1"/>
      <c r="OEO218" s="1"/>
      <c r="OEP218" s="1"/>
      <c r="OEQ218" s="1"/>
      <c r="OER218" s="1"/>
      <c r="OES218" s="1"/>
      <c r="OET218" s="1"/>
      <c r="OEU218" s="1"/>
      <c r="OEV218" s="1"/>
      <c r="OEW218" s="1"/>
      <c r="OEX218" s="1"/>
      <c r="OEY218" s="1"/>
      <c r="OEZ218" s="1"/>
      <c r="OFA218" s="1"/>
      <c r="OFB218" s="1"/>
      <c r="OFC218" s="1"/>
      <c r="OFD218" s="1"/>
      <c r="OFE218" s="1"/>
      <c r="OFF218" s="1"/>
      <c r="OFG218" s="1"/>
      <c r="OFH218" s="1"/>
      <c r="OFI218" s="1"/>
      <c r="OFJ218" s="1"/>
      <c r="OFK218" s="1"/>
      <c r="OFL218" s="1"/>
      <c r="OFM218" s="1"/>
      <c r="OFN218" s="1"/>
      <c r="OFO218" s="1"/>
      <c r="OFP218" s="1"/>
      <c r="OFQ218" s="1"/>
      <c r="OFR218" s="1"/>
      <c r="OFS218" s="1"/>
      <c r="OFT218" s="1"/>
      <c r="OFU218" s="1"/>
      <c r="OFV218" s="1"/>
      <c r="OFW218" s="1"/>
      <c r="OFX218" s="1"/>
      <c r="OFY218" s="1"/>
      <c r="OFZ218" s="1"/>
      <c r="OGA218" s="1"/>
      <c r="OGB218" s="1"/>
      <c r="OGC218" s="1"/>
      <c r="OGD218" s="1"/>
      <c r="OGE218" s="1"/>
      <c r="OGF218" s="1"/>
      <c r="OGG218" s="1"/>
      <c r="OGH218" s="1"/>
      <c r="OGI218" s="1"/>
      <c r="OGJ218" s="1"/>
      <c r="OGK218" s="1"/>
      <c r="OGL218" s="1"/>
      <c r="OGM218" s="1"/>
      <c r="OGN218" s="1"/>
      <c r="OGO218" s="1"/>
      <c r="OGP218" s="1"/>
      <c r="OGQ218" s="1"/>
      <c r="OGR218" s="1"/>
      <c r="OGS218" s="1"/>
      <c r="OGT218" s="1"/>
      <c r="OGU218" s="1"/>
      <c r="OGV218" s="1"/>
      <c r="OGW218" s="1"/>
      <c r="OGX218" s="1"/>
      <c r="OGY218" s="1"/>
      <c r="OGZ218" s="1"/>
      <c r="OHA218" s="1"/>
      <c r="OHB218" s="1"/>
      <c r="OHC218" s="1"/>
      <c r="OHD218" s="1"/>
      <c r="OHE218" s="1"/>
      <c r="OHF218" s="1"/>
      <c r="OHG218" s="1"/>
      <c r="OHH218" s="1"/>
      <c r="OHI218" s="1"/>
      <c r="OHJ218" s="1"/>
      <c r="OHK218" s="1"/>
      <c r="OHL218" s="1"/>
      <c r="OHM218" s="1"/>
      <c r="OHN218" s="1"/>
      <c r="OHO218" s="1"/>
      <c r="OHP218" s="1"/>
      <c r="OHQ218" s="1"/>
      <c r="OHR218" s="1"/>
      <c r="OHS218" s="1"/>
      <c r="OHT218" s="1"/>
      <c r="OHU218" s="1"/>
      <c r="OHV218" s="1"/>
      <c r="OHW218" s="1"/>
      <c r="OHX218" s="1"/>
      <c r="OHY218" s="1"/>
      <c r="OHZ218" s="1"/>
      <c r="OIA218" s="1"/>
      <c r="OIB218" s="1"/>
      <c r="OIC218" s="1"/>
      <c r="OID218" s="1"/>
      <c r="OIE218" s="1"/>
      <c r="OIF218" s="1"/>
      <c r="OIG218" s="1"/>
      <c r="OIH218" s="1"/>
      <c r="OII218" s="1"/>
      <c r="OIJ218" s="1"/>
      <c r="OIK218" s="1"/>
      <c r="OIL218" s="1"/>
      <c r="OIM218" s="1"/>
      <c r="OIN218" s="1"/>
      <c r="OIO218" s="1"/>
      <c r="OIP218" s="1"/>
      <c r="OIQ218" s="1"/>
      <c r="OIR218" s="1"/>
      <c r="OIS218" s="1"/>
      <c r="OIT218" s="1"/>
      <c r="OIU218" s="1"/>
      <c r="OIV218" s="1"/>
      <c r="OIW218" s="1"/>
      <c r="OIX218" s="1"/>
      <c r="OIY218" s="1"/>
      <c r="OIZ218" s="1"/>
      <c r="OJA218" s="1"/>
      <c r="OJB218" s="1"/>
      <c r="OJC218" s="1"/>
      <c r="OJD218" s="1"/>
      <c r="OJE218" s="1"/>
      <c r="OJF218" s="1"/>
      <c r="OJG218" s="1"/>
      <c r="OJH218" s="1"/>
      <c r="OJI218" s="1"/>
      <c r="OJJ218" s="1"/>
      <c r="OJK218" s="1"/>
      <c r="OJL218" s="1"/>
      <c r="OJM218" s="1"/>
      <c r="OJN218" s="1"/>
      <c r="OJO218" s="1"/>
      <c r="OJP218" s="1"/>
      <c r="OJQ218" s="1"/>
      <c r="OJR218" s="1"/>
      <c r="OJS218" s="1"/>
      <c r="OJT218" s="1"/>
      <c r="OJU218" s="1"/>
      <c r="OJV218" s="1"/>
      <c r="OJW218" s="1"/>
      <c r="OJX218" s="1"/>
      <c r="OJY218" s="1"/>
      <c r="OJZ218" s="1"/>
      <c r="OKA218" s="1"/>
      <c r="OKB218" s="1"/>
      <c r="OKC218" s="1"/>
      <c r="OKD218" s="1"/>
      <c r="OKE218" s="1"/>
      <c r="OKF218" s="1"/>
      <c r="OKG218" s="1"/>
      <c r="OKH218" s="1"/>
      <c r="OKI218" s="1"/>
      <c r="OKJ218" s="1"/>
      <c r="OKK218" s="1"/>
      <c r="OKL218" s="1"/>
      <c r="OKM218" s="1"/>
      <c r="OKN218" s="1"/>
      <c r="OKO218" s="1"/>
      <c r="OKP218" s="1"/>
      <c r="OKQ218" s="1"/>
      <c r="OKR218" s="1"/>
      <c r="OKS218" s="1"/>
      <c r="OKT218" s="1"/>
      <c r="OKU218" s="1"/>
      <c r="OKV218" s="1"/>
      <c r="OKW218" s="1"/>
      <c r="OKX218" s="1"/>
      <c r="OKY218" s="1"/>
      <c r="OKZ218" s="1"/>
      <c r="OLA218" s="1"/>
      <c r="OLB218" s="1"/>
      <c r="OLC218" s="1"/>
      <c r="OLD218" s="1"/>
      <c r="OLE218" s="1"/>
      <c r="OLF218" s="1"/>
      <c r="OLG218" s="1"/>
      <c r="OLH218" s="1"/>
      <c r="OLI218" s="1"/>
      <c r="OLJ218" s="1"/>
      <c r="OLK218" s="1"/>
      <c r="OLL218" s="1"/>
      <c r="OLM218" s="1"/>
      <c r="OLN218" s="1"/>
      <c r="OLO218" s="1"/>
      <c r="OLP218" s="1"/>
      <c r="OLQ218" s="1"/>
      <c r="OLR218" s="1"/>
      <c r="OLS218" s="1"/>
      <c r="OLT218" s="1"/>
      <c r="OLU218" s="1"/>
      <c r="OLV218" s="1"/>
      <c r="OLW218" s="1"/>
      <c r="OLX218" s="1"/>
      <c r="OLY218" s="1"/>
      <c r="OLZ218" s="1"/>
      <c r="OMA218" s="1"/>
      <c r="OMB218" s="1"/>
      <c r="OMC218" s="1"/>
      <c r="OMD218" s="1"/>
      <c r="OME218" s="1"/>
      <c r="OMF218" s="1"/>
      <c r="OMG218" s="1"/>
      <c r="OMH218" s="1"/>
      <c r="OMI218" s="1"/>
      <c r="OMJ218" s="1"/>
      <c r="OMK218" s="1"/>
      <c r="OML218" s="1"/>
      <c r="OMM218" s="1"/>
      <c r="OMN218" s="1"/>
      <c r="OMO218" s="1"/>
      <c r="OMP218" s="1"/>
      <c r="OMQ218" s="1"/>
      <c r="OMR218" s="1"/>
      <c r="OMS218" s="1"/>
      <c r="OMT218" s="1"/>
      <c r="OMU218" s="1"/>
      <c r="OMV218" s="1"/>
      <c r="OMW218" s="1"/>
      <c r="OMX218" s="1"/>
      <c r="OMY218" s="1"/>
      <c r="OMZ218" s="1"/>
      <c r="ONA218" s="1"/>
      <c r="ONB218" s="1"/>
      <c r="ONC218" s="1"/>
      <c r="OND218" s="1"/>
      <c r="ONE218" s="1"/>
      <c r="ONF218" s="1"/>
      <c r="ONG218" s="1"/>
      <c r="ONH218" s="1"/>
      <c r="ONI218" s="1"/>
      <c r="ONJ218" s="1"/>
      <c r="ONK218" s="1"/>
      <c r="ONL218" s="1"/>
      <c r="ONM218" s="1"/>
      <c r="ONN218" s="1"/>
      <c r="ONO218" s="1"/>
      <c r="ONP218" s="1"/>
      <c r="ONQ218" s="1"/>
      <c r="ONR218" s="1"/>
      <c r="ONS218" s="1"/>
      <c r="ONT218" s="1"/>
      <c r="ONU218" s="1"/>
      <c r="ONV218" s="1"/>
      <c r="ONW218" s="1"/>
      <c r="ONX218" s="1"/>
      <c r="ONY218" s="1"/>
      <c r="ONZ218" s="1"/>
      <c r="OOA218" s="1"/>
      <c r="OOB218" s="1"/>
      <c r="OOC218" s="1"/>
      <c r="OOD218" s="1"/>
      <c r="OOE218" s="1"/>
      <c r="OOF218" s="1"/>
      <c r="OOG218" s="1"/>
      <c r="OOH218" s="1"/>
      <c r="OOI218" s="1"/>
      <c r="OOJ218" s="1"/>
      <c r="OOK218" s="1"/>
      <c r="OOL218" s="1"/>
      <c r="OOM218" s="1"/>
      <c r="OON218" s="1"/>
      <c r="OOO218" s="1"/>
      <c r="OOP218" s="1"/>
      <c r="OOQ218" s="1"/>
      <c r="OOR218" s="1"/>
      <c r="OOS218" s="1"/>
      <c r="OOT218" s="1"/>
      <c r="OOU218" s="1"/>
      <c r="OOV218" s="1"/>
      <c r="OOW218" s="1"/>
      <c r="OOX218" s="1"/>
      <c r="OOY218" s="1"/>
      <c r="OOZ218" s="1"/>
      <c r="OPA218" s="1"/>
      <c r="OPB218" s="1"/>
      <c r="OPC218" s="1"/>
      <c r="OPD218" s="1"/>
      <c r="OPE218" s="1"/>
      <c r="OPF218" s="1"/>
      <c r="OPG218" s="1"/>
      <c r="OPH218" s="1"/>
      <c r="OPI218" s="1"/>
      <c r="OPJ218" s="1"/>
      <c r="OPK218" s="1"/>
      <c r="OPL218" s="1"/>
      <c r="OPM218" s="1"/>
      <c r="OPN218" s="1"/>
      <c r="OPO218" s="1"/>
      <c r="OPP218" s="1"/>
      <c r="OPQ218" s="1"/>
      <c r="OPR218" s="1"/>
      <c r="OPS218" s="1"/>
      <c r="OPT218" s="1"/>
      <c r="OPU218" s="1"/>
      <c r="OPV218" s="1"/>
      <c r="OPW218" s="1"/>
      <c r="OPX218" s="1"/>
      <c r="OPY218" s="1"/>
      <c r="OPZ218" s="1"/>
      <c r="OQA218" s="1"/>
      <c r="OQB218" s="1"/>
      <c r="OQC218" s="1"/>
      <c r="OQD218" s="1"/>
      <c r="OQE218" s="1"/>
      <c r="OQF218" s="1"/>
      <c r="OQG218" s="1"/>
      <c r="OQH218" s="1"/>
      <c r="OQI218" s="1"/>
      <c r="OQJ218" s="1"/>
      <c r="OQK218" s="1"/>
      <c r="OQL218" s="1"/>
      <c r="OQM218" s="1"/>
      <c r="OQN218" s="1"/>
      <c r="OQO218" s="1"/>
      <c r="OQP218" s="1"/>
      <c r="OQQ218" s="1"/>
      <c r="OQR218" s="1"/>
      <c r="OQS218" s="1"/>
      <c r="OQT218" s="1"/>
      <c r="OQU218" s="1"/>
      <c r="OQV218" s="1"/>
      <c r="OQW218" s="1"/>
      <c r="OQX218" s="1"/>
      <c r="OQY218" s="1"/>
      <c r="OQZ218" s="1"/>
      <c r="ORA218" s="1"/>
      <c r="ORB218" s="1"/>
      <c r="ORC218" s="1"/>
      <c r="ORD218" s="1"/>
      <c r="ORE218" s="1"/>
      <c r="ORF218" s="1"/>
      <c r="ORG218" s="1"/>
      <c r="ORH218" s="1"/>
      <c r="ORI218" s="1"/>
      <c r="ORJ218" s="1"/>
      <c r="ORK218" s="1"/>
      <c r="ORL218" s="1"/>
      <c r="ORM218" s="1"/>
      <c r="ORN218" s="1"/>
      <c r="ORO218" s="1"/>
      <c r="ORP218" s="1"/>
      <c r="ORQ218" s="1"/>
      <c r="ORR218" s="1"/>
      <c r="ORS218" s="1"/>
      <c r="ORT218" s="1"/>
      <c r="ORU218" s="1"/>
      <c r="ORV218" s="1"/>
      <c r="ORW218" s="1"/>
      <c r="ORX218" s="1"/>
      <c r="ORY218" s="1"/>
      <c r="ORZ218" s="1"/>
      <c r="OSA218" s="1"/>
      <c r="OSB218" s="1"/>
      <c r="OSC218" s="1"/>
      <c r="OSD218" s="1"/>
      <c r="OSE218" s="1"/>
      <c r="OSF218" s="1"/>
      <c r="OSG218" s="1"/>
      <c r="OSH218" s="1"/>
      <c r="OSI218" s="1"/>
      <c r="OSJ218" s="1"/>
      <c r="OSK218" s="1"/>
      <c r="OSL218" s="1"/>
      <c r="OSM218" s="1"/>
      <c r="OSN218" s="1"/>
      <c r="OSO218" s="1"/>
      <c r="OSP218" s="1"/>
      <c r="OSQ218" s="1"/>
      <c r="OSR218" s="1"/>
      <c r="OSS218" s="1"/>
      <c r="OST218" s="1"/>
      <c r="OSU218" s="1"/>
      <c r="OSV218" s="1"/>
      <c r="OSW218" s="1"/>
      <c r="OSX218" s="1"/>
      <c r="OSY218" s="1"/>
      <c r="OSZ218" s="1"/>
      <c r="OTA218" s="1"/>
      <c r="OTB218" s="1"/>
      <c r="OTC218" s="1"/>
      <c r="OTD218" s="1"/>
      <c r="OTE218" s="1"/>
      <c r="OTF218" s="1"/>
      <c r="OTG218" s="1"/>
      <c r="OTH218" s="1"/>
      <c r="OTI218" s="1"/>
      <c r="OTJ218" s="1"/>
      <c r="OTK218" s="1"/>
      <c r="OTL218" s="1"/>
      <c r="OTM218" s="1"/>
      <c r="OTN218" s="1"/>
      <c r="OTO218" s="1"/>
      <c r="OTP218" s="1"/>
      <c r="OTQ218" s="1"/>
      <c r="OTR218" s="1"/>
      <c r="OTS218" s="1"/>
      <c r="OTT218" s="1"/>
      <c r="OTU218" s="1"/>
      <c r="OTV218" s="1"/>
      <c r="OTW218" s="1"/>
      <c r="OTX218" s="1"/>
      <c r="OTY218" s="1"/>
      <c r="OTZ218" s="1"/>
      <c r="OUA218" s="1"/>
      <c r="OUB218" s="1"/>
      <c r="OUC218" s="1"/>
      <c r="OUD218" s="1"/>
      <c r="OUE218" s="1"/>
      <c r="OUF218" s="1"/>
      <c r="OUG218" s="1"/>
      <c r="OUH218" s="1"/>
      <c r="OUI218" s="1"/>
      <c r="OUJ218" s="1"/>
      <c r="OUK218" s="1"/>
      <c r="OUL218" s="1"/>
      <c r="OUM218" s="1"/>
      <c r="OUN218" s="1"/>
      <c r="OUO218" s="1"/>
      <c r="OUP218" s="1"/>
      <c r="OUQ218" s="1"/>
      <c r="OUR218" s="1"/>
      <c r="OUS218" s="1"/>
      <c r="OUT218" s="1"/>
      <c r="OUU218" s="1"/>
      <c r="OUV218" s="1"/>
      <c r="OUW218" s="1"/>
      <c r="OUX218" s="1"/>
      <c r="OUY218" s="1"/>
      <c r="OUZ218" s="1"/>
      <c r="OVA218" s="1"/>
      <c r="OVB218" s="1"/>
      <c r="OVC218" s="1"/>
      <c r="OVD218" s="1"/>
      <c r="OVE218" s="1"/>
      <c r="OVF218" s="1"/>
      <c r="OVG218" s="1"/>
      <c r="OVH218" s="1"/>
      <c r="OVI218" s="1"/>
      <c r="OVJ218" s="1"/>
      <c r="OVK218" s="1"/>
      <c r="OVL218" s="1"/>
      <c r="OVM218" s="1"/>
      <c r="OVN218" s="1"/>
      <c r="OVO218" s="1"/>
      <c r="OVP218" s="1"/>
      <c r="OVQ218" s="1"/>
      <c r="OVR218" s="1"/>
      <c r="OVS218" s="1"/>
      <c r="OVT218" s="1"/>
      <c r="OVU218" s="1"/>
      <c r="OVV218" s="1"/>
      <c r="OVW218" s="1"/>
      <c r="OVX218" s="1"/>
      <c r="OVY218" s="1"/>
      <c r="OVZ218" s="1"/>
      <c r="OWA218" s="1"/>
      <c r="OWB218" s="1"/>
      <c r="OWC218" s="1"/>
      <c r="OWD218" s="1"/>
      <c r="OWE218" s="1"/>
      <c r="OWF218" s="1"/>
      <c r="OWG218" s="1"/>
      <c r="OWH218" s="1"/>
      <c r="OWI218" s="1"/>
      <c r="OWJ218" s="1"/>
      <c r="OWK218" s="1"/>
      <c r="OWL218" s="1"/>
      <c r="OWM218" s="1"/>
      <c r="OWN218" s="1"/>
      <c r="OWO218" s="1"/>
      <c r="OWP218" s="1"/>
      <c r="OWQ218" s="1"/>
      <c r="OWR218" s="1"/>
      <c r="OWS218" s="1"/>
      <c r="OWT218" s="1"/>
      <c r="OWU218" s="1"/>
      <c r="OWV218" s="1"/>
      <c r="OWW218" s="1"/>
      <c r="OWX218" s="1"/>
      <c r="OWY218" s="1"/>
      <c r="OWZ218" s="1"/>
      <c r="OXA218" s="1"/>
      <c r="OXB218" s="1"/>
      <c r="OXC218" s="1"/>
      <c r="OXD218" s="1"/>
      <c r="OXE218" s="1"/>
      <c r="OXF218" s="1"/>
      <c r="OXG218" s="1"/>
      <c r="OXH218" s="1"/>
      <c r="OXI218" s="1"/>
      <c r="OXJ218" s="1"/>
      <c r="OXK218" s="1"/>
      <c r="OXL218" s="1"/>
      <c r="OXM218" s="1"/>
      <c r="OXN218" s="1"/>
      <c r="OXO218" s="1"/>
      <c r="OXP218" s="1"/>
      <c r="OXQ218" s="1"/>
      <c r="OXR218" s="1"/>
      <c r="OXS218" s="1"/>
      <c r="OXT218" s="1"/>
      <c r="OXU218" s="1"/>
      <c r="OXV218" s="1"/>
      <c r="OXW218" s="1"/>
      <c r="OXX218" s="1"/>
      <c r="OXY218" s="1"/>
      <c r="OXZ218" s="1"/>
      <c r="OYA218" s="1"/>
      <c r="OYB218" s="1"/>
      <c r="OYC218" s="1"/>
      <c r="OYD218" s="1"/>
      <c r="OYE218" s="1"/>
      <c r="OYF218" s="1"/>
      <c r="OYG218" s="1"/>
      <c r="OYH218" s="1"/>
      <c r="OYI218" s="1"/>
      <c r="OYJ218" s="1"/>
      <c r="OYK218" s="1"/>
      <c r="OYL218" s="1"/>
      <c r="OYM218" s="1"/>
      <c r="OYN218" s="1"/>
      <c r="OYO218" s="1"/>
      <c r="OYP218" s="1"/>
      <c r="OYQ218" s="1"/>
      <c r="OYR218" s="1"/>
      <c r="OYS218" s="1"/>
      <c r="OYT218" s="1"/>
      <c r="OYU218" s="1"/>
      <c r="OYV218" s="1"/>
      <c r="OYW218" s="1"/>
      <c r="OYX218" s="1"/>
      <c r="OYY218" s="1"/>
      <c r="OYZ218" s="1"/>
      <c r="OZA218" s="1"/>
      <c r="OZB218" s="1"/>
      <c r="OZC218" s="1"/>
      <c r="OZD218" s="1"/>
      <c r="OZE218" s="1"/>
      <c r="OZF218" s="1"/>
      <c r="OZG218" s="1"/>
      <c r="OZH218" s="1"/>
      <c r="OZI218" s="1"/>
      <c r="OZJ218" s="1"/>
      <c r="OZK218" s="1"/>
      <c r="OZL218" s="1"/>
      <c r="OZM218" s="1"/>
      <c r="OZN218" s="1"/>
      <c r="OZO218" s="1"/>
      <c r="OZP218" s="1"/>
      <c r="OZQ218" s="1"/>
      <c r="OZR218" s="1"/>
      <c r="OZS218" s="1"/>
      <c r="OZT218" s="1"/>
      <c r="OZU218" s="1"/>
      <c r="OZV218" s="1"/>
      <c r="OZW218" s="1"/>
      <c r="OZX218" s="1"/>
      <c r="OZY218" s="1"/>
      <c r="OZZ218" s="1"/>
      <c r="PAA218" s="1"/>
      <c r="PAB218" s="1"/>
      <c r="PAC218" s="1"/>
      <c r="PAD218" s="1"/>
      <c r="PAE218" s="1"/>
      <c r="PAF218" s="1"/>
      <c r="PAG218" s="1"/>
      <c r="PAH218" s="1"/>
      <c r="PAI218" s="1"/>
      <c r="PAJ218" s="1"/>
      <c r="PAK218" s="1"/>
      <c r="PAL218" s="1"/>
      <c r="PAM218" s="1"/>
      <c r="PAN218" s="1"/>
      <c r="PAO218" s="1"/>
      <c r="PAP218" s="1"/>
      <c r="PAQ218" s="1"/>
      <c r="PAR218" s="1"/>
      <c r="PAS218" s="1"/>
      <c r="PAT218" s="1"/>
      <c r="PAU218" s="1"/>
      <c r="PAV218" s="1"/>
      <c r="PAW218" s="1"/>
      <c r="PAX218" s="1"/>
      <c r="PAY218" s="1"/>
      <c r="PAZ218" s="1"/>
      <c r="PBA218" s="1"/>
      <c r="PBB218" s="1"/>
      <c r="PBC218" s="1"/>
      <c r="PBD218" s="1"/>
      <c r="PBE218" s="1"/>
      <c r="PBF218" s="1"/>
      <c r="PBG218" s="1"/>
      <c r="PBH218" s="1"/>
      <c r="PBI218" s="1"/>
      <c r="PBJ218" s="1"/>
      <c r="PBK218" s="1"/>
      <c r="PBL218" s="1"/>
      <c r="PBM218" s="1"/>
      <c r="PBN218" s="1"/>
      <c r="PBO218" s="1"/>
      <c r="PBP218" s="1"/>
      <c r="PBQ218" s="1"/>
      <c r="PBR218" s="1"/>
      <c r="PBS218" s="1"/>
      <c r="PBT218" s="1"/>
      <c r="PBU218" s="1"/>
      <c r="PBV218" s="1"/>
      <c r="PBW218" s="1"/>
      <c r="PBX218" s="1"/>
      <c r="PBY218" s="1"/>
      <c r="PBZ218" s="1"/>
      <c r="PCA218" s="1"/>
      <c r="PCB218" s="1"/>
      <c r="PCC218" s="1"/>
      <c r="PCD218" s="1"/>
      <c r="PCE218" s="1"/>
      <c r="PCF218" s="1"/>
      <c r="PCG218" s="1"/>
      <c r="PCH218" s="1"/>
      <c r="PCI218" s="1"/>
      <c r="PCJ218" s="1"/>
      <c r="PCK218" s="1"/>
      <c r="PCL218" s="1"/>
      <c r="PCM218" s="1"/>
      <c r="PCN218" s="1"/>
      <c r="PCO218" s="1"/>
      <c r="PCP218" s="1"/>
      <c r="PCQ218" s="1"/>
      <c r="PCR218" s="1"/>
      <c r="PCS218" s="1"/>
      <c r="PCT218" s="1"/>
      <c r="PCU218" s="1"/>
      <c r="PCV218" s="1"/>
      <c r="PCW218" s="1"/>
      <c r="PCX218" s="1"/>
      <c r="PCY218" s="1"/>
      <c r="PCZ218" s="1"/>
      <c r="PDA218" s="1"/>
      <c r="PDB218" s="1"/>
      <c r="PDC218" s="1"/>
      <c r="PDD218" s="1"/>
      <c r="PDE218" s="1"/>
      <c r="PDF218" s="1"/>
      <c r="PDG218" s="1"/>
      <c r="PDH218" s="1"/>
      <c r="PDI218" s="1"/>
      <c r="PDJ218" s="1"/>
      <c r="PDK218" s="1"/>
      <c r="PDL218" s="1"/>
      <c r="PDM218" s="1"/>
      <c r="PDN218" s="1"/>
      <c r="PDO218" s="1"/>
      <c r="PDP218" s="1"/>
      <c r="PDQ218" s="1"/>
      <c r="PDR218" s="1"/>
      <c r="PDS218" s="1"/>
      <c r="PDT218" s="1"/>
      <c r="PDU218" s="1"/>
      <c r="PDV218" s="1"/>
      <c r="PDW218" s="1"/>
      <c r="PDX218" s="1"/>
      <c r="PDY218" s="1"/>
      <c r="PDZ218" s="1"/>
      <c r="PEA218" s="1"/>
      <c r="PEB218" s="1"/>
      <c r="PEC218" s="1"/>
      <c r="PED218" s="1"/>
      <c r="PEE218" s="1"/>
      <c r="PEF218" s="1"/>
      <c r="PEG218" s="1"/>
      <c r="PEH218" s="1"/>
      <c r="PEI218" s="1"/>
      <c r="PEJ218" s="1"/>
      <c r="PEK218" s="1"/>
      <c r="PEL218" s="1"/>
      <c r="PEM218" s="1"/>
      <c r="PEN218" s="1"/>
      <c r="PEO218" s="1"/>
      <c r="PEP218" s="1"/>
      <c r="PEQ218" s="1"/>
      <c r="PER218" s="1"/>
      <c r="PES218" s="1"/>
      <c r="PET218" s="1"/>
      <c r="PEU218" s="1"/>
      <c r="PEV218" s="1"/>
      <c r="PEW218" s="1"/>
      <c r="PEX218" s="1"/>
      <c r="PEY218" s="1"/>
      <c r="PEZ218" s="1"/>
      <c r="PFA218" s="1"/>
      <c r="PFB218" s="1"/>
      <c r="PFC218" s="1"/>
      <c r="PFD218" s="1"/>
      <c r="PFE218" s="1"/>
      <c r="PFF218" s="1"/>
      <c r="PFG218" s="1"/>
      <c r="PFH218" s="1"/>
      <c r="PFI218" s="1"/>
      <c r="PFJ218" s="1"/>
      <c r="PFK218" s="1"/>
      <c r="PFL218" s="1"/>
      <c r="PFM218" s="1"/>
      <c r="PFN218" s="1"/>
      <c r="PFO218" s="1"/>
      <c r="PFP218" s="1"/>
      <c r="PFQ218" s="1"/>
      <c r="PFR218" s="1"/>
      <c r="PFS218" s="1"/>
      <c r="PFT218" s="1"/>
      <c r="PFU218" s="1"/>
      <c r="PFV218" s="1"/>
      <c r="PFW218" s="1"/>
      <c r="PFX218" s="1"/>
      <c r="PFY218" s="1"/>
      <c r="PFZ218" s="1"/>
      <c r="PGA218" s="1"/>
      <c r="PGB218" s="1"/>
      <c r="PGC218" s="1"/>
      <c r="PGD218" s="1"/>
      <c r="PGE218" s="1"/>
      <c r="PGF218" s="1"/>
      <c r="PGG218" s="1"/>
      <c r="PGH218" s="1"/>
      <c r="PGI218" s="1"/>
      <c r="PGJ218" s="1"/>
      <c r="PGK218" s="1"/>
      <c r="PGL218" s="1"/>
      <c r="PGM218" s="1"/>
      <c r="PGN218" s="1"/>
      <c r="PGO218" s="1"/>
      <c r="PGP218" s="1"/>
      <c r="PGQ218" s="1"/>
      <c r="PGR218" s="1"/>
      <c r="PGS218" s="1"/>
      <c r="PGT218" s="1"/>
      <c r="PGU218" s="1"/>
      <c r="PGV218" s="1"/>
      <c r="PGW218" s="1"/>
      <c r="PGX218" s="1"/>
      <c r="PGY218" s="1"/>
      <c r="PGZ218" s="1"/>
      <c r="PHA218" s="1"/>
      <c r="PHB218" s="1"/>
      <c r="PHC218" s="1"/>
      <c r="PHD218" s="1"/>
      <c r="PHE218" s="1"/>
      <c r="PHF218" s="1"/>
      <c r="PHG218" s="1"/>
      <c r="PHH218" s="1"/>
      <c r="PHI218" s="1"/>
      <c r="PHJ218" s="1"/>
      <c r="PHK218" s="1"/>
      <c r="PHL218" s="1"/>
      <c r="PHM218" s="1"/>
      <c r="PHN218" s="1"/>
      <c r="PHO218" s="1"/>
      <c r="PHP218" s="1"/>
      <c r="PHQ218" s="1"/>
      <c r="PHR218" s="1"/>
      <c r="PHS218" s="1"/>
      <c r="PHT218" s="1"/>
      <c r="PHU218" s="1"/>
      <c r="PHV218" s="1"/>
      <c r="PHW218" s="1"/>
      <c r="PHX218" s="1"/>
      <c r="PHY218" s="1"/>
      <c r="PHZ218" s="1"/>
      <c r="PIA218" s="1"/>
      <c r="PIB218" s="1"/>
      <c r="PIC218" s="1"/>
      <c r="PID218" s="1"/>
      <c r="PIE218" s="1"/>
      <c r="PIF218" s="1"/>
      <c r="PIG218" s="1"/>
      <c r="PIH218" s="1"/>
      <c r="PII218" s="1"/>
      <c r="PIJ218" s="1"/>
      <c r="PIK218" s="1"/>
      <c r="PIL218" s="1"/>
      <c r="PIM218" s="1"/>
      <c r="PIN218" s="1"/>
      <c r="PIO218" s="1"/>
      <c r="PIP218" s="1"/>
      <c r="PIQ218" s="1"/>
      <c r="PIR218" s="1"/>
      <c r="PIS218" s="1"/>
      <c r="PIT218" s="1"/>
      <c r="PIU218" s="1"/>
      <c r="PIV218" s="1"/>
      <c r="PIW218" s="1"/>
      <c r="PIX218" s="1"/>
      <c r="PIY218" s="1"/>
      <c r="PIZ218" s="1"/>
      <c r="PJA218" s="1"/>
      <c r="PJB218" s="1"/>
      <c r="PJC218" s="1"/>
      <c r="PJD218" s="1"/>
      <c r="PJE218" s="1"/>
      <c r="PJF218" s="1"/>
      <c r="PJG218" s="1"/>
      <c r="PJH218" s="1"/>
      <c r="PJI218" s="1"/>
      <c r="PJJ218" s="1"/>
      <c r="PJK218" s="1"/>
      <c r="PJL218" s="1"/>
      <c r="PJM218" s="1"/>
      <c r="PJN218" s="1"/>
      <c r="PJO218" s="1"/>
      <c r="PJP218" s="1"/>
      <c r="PJQ218" s="1"/>
      <c r="PJR218" s="1"/>
      <c r="PJS218" s="1"/>
      <c r="PJT218" s="1"/>
      <c r="PJU218" s="1"/>
      <c r="PJV218" s="1"/>
      <c r="PJW218" s="1"/>
      <c r="PJX218" s="1"/>
      <c r="PJY218" s="1"/>
      <c r="PJZ218" s="1"/>
      <c r="PKA218" s="1"/>
      <c r="PKB218" s="1"/>
      <c r="PKC218" s="1"/>
      <c r="PKD218" s="1"/>
      <c r="PKE218" s="1"/>
      <c r="PKF218" s="1"/>
      <c r="PKG218" s="1"/>
      <c r="PKH218" s="1"/>
      <c r="PKI218" s="1"/>
      <c r="PKJ218" s="1"/>
      <c r="PKK218" s="1"/>
      <c r="PKL218" s="1"/>
      <c r="PKM218" s="1"/>
      <c r="PKN218" s="1"/>
      <c r="PKO218" s="1"/>
      <c r="PKP218" s="1"/>
      <c r="PKQ218" s="1"/>
      <c r="PKR218" s="1"/>
      <c r="PKS218" s="1"/>
      <c r="PKT218" s="1"/>
      <c r="PKU218" s="1"/>
      <c r="PKV218" s="1"/>
      <c r="PKW218" s="1"/>
      <c r="PKX218" s="1"/>
      <c r="PKY218" s="1"/>
      <c r="PKZ218" s="1"/>
      <c r="PLA218" s="1"/>
      <c r="PLB218" s="1"/>
      <c r="PLC218" s="1"/>
      <c r="PLD218" s="1"/>
      <c r="PLE218" s="1"/>
      <c r="PLF218" s="1"/>
      <c r="PLG218" s="1"/>
      <c r="PLH218" s="1"/>
      <c r="PLI218" s="1"/>
      <c r="PLJ218" s="1"/>
      <c r="PLK218" s="1"/>
      <c r="PLL218" s="1"/>
      <c r="PLM218" s="1"/>
      <c r="PLN218" s="1"/>
      <c r="PLO218" s="1"/>
      <c r="PLP218" s="1"/>
      <c r="PLQ218" s="1"/>
      <c r="PLR218" s="1"/>
      <c r="PLS218" s="1"/>
      <c r="PLT218" s="1"/>
      <c r="PLU218" s="1"/>
      <c r="PLV218" s="1"/>
      <c r="PLW218" s="1"/>
      <c r="PLX218" s="1"/>
      <c r="PLY218" s="1"/>
      <c r="PLZ218" s="1"/>
      <c r="PMA218" s="1"/>
      <c r="PMB218" s="1"/>
      <c r="PMC218" s="1"/>
      <c r="PMD218" s="1"/>
      <c r="PME218" s="1"/>
      <c r="PMF218" s="1"/>
      <c r="PMG218" s="1"/>
      <c r="PMH218" s="1"/>
      <c r="PMI218" s="1"/>
      <c r="PMJ218" s="1"/>
      <c r="PMK218" s="1"/>
      <c r="PML218" s="1"/>
      <c r="PMM218" s="1"/>
      <c r="PMN218" s="1"/>
      <c r="PMO218" s="1"/>
      <c r="PMP218" s="1"/>
      <c r="PMQ218" s="1"/>
      <c r="PMR218" s="1"/>
      <c r="PMS218" s="1"/>
      <c r="PMT218" s="1"/>
      <c r="PMU218" s="1"/>
      <c r="PMV218" s="1"/>
      <c r="PMW218" s="1"/>
      <c r="PMX218" s="1"/>
      <c r="PMY218" s="1"/>
      <c r="PMZ218" s="1"/>
      <c r="PNA218" s="1"/>
      <c r="PNB218" s="1"/>
      <c r="PNC218" s="1"/>
      <c r="PND218" s="1"/>
      <c r="PNE218" s="1"/>
      <c r="PNF218" s="1"/>
      <c r="PNG218" s="1"/>
      <c r="PNH218" s="1"/>
      <c r="PNI218" s="1"/>
      <c r="PNJ218" s="1"/>
      <c r="PNK218" s="1"/>
      <c r="PNL218" s="1"/>
      <c r="PNM218" s="1"/>
      <c r="PNN218" s="1"/>
      <c r="PNO218" s="1"/>
      <c r="PNP218" s="1"/>
      <c r="PNQ218" s="1"/>
      <c r="PNR218" s="1"/>
      <c r="PNS218" s="1"/>
      <c r="PNT218" s="1"/>
      <c r="PNU218" s="1"/>
      <c r="PNV218" s="1"/>
      <c r="PNW218" s="1"/>
      <c r="PNX218" s="1"/>
      <c r="PNY218" s="1"/>
      <c r="PNZ218" s="1"/>
      <c r="POA218" s="1"/>
      <c r="POB218" s="1"/>
      <c r="POC218" s="1"/>
      <c r="POD218" s="1"/>
      <c r="POE218" s="1"/>
      <c r="POF218" s="1"/>
      <c r="POG218" s="1"/>
      <c r="POH218" s="1"/>
      <c r="POI218" s="1"/>
      <c r="POJ218" s="1"/>
      <c r="POK218" s="1"/>
      <c r="POL218" s="1"/>
      <c r="POM218" s="1"/>
      <c r="PON218" s="1"/>
      <c r="POO218" s="1"/>
      <c r="POP218" s="1"/>
      <c r="POQ218" s="1"/>
      <c r="POR218" s="1"/>
      <c r="POS218" s="1"/>
      <c r="POT218" s="1"/>
      <c r="POU218" s="1"/>
      <c r="POV218" s="1"/>
      <c r="POW218" s="1"/>
      <c r="POX218" s="1"/>
      <c r="POY218" s="1"/>
      <c r="POZ218" s="1"/>
      <c r="PPA218" s="1"/>
      <c r="PPB218" s="1"/>
      <c r="PPC218" s="1"/>
      <c r="PPD218" s="1"/>
      <c r="PPE218" s="1"/>
      <c r="PPF218" s="1"/>
      <c r="PPG218" s="1"/>
      <c r="PPH218" s="1"/>
      <c r="PPI218" s="1"/>
      <c r="PPJ218" s="1"/>
      <c r="PPK218" s="1"/>
      <c r="PPL218" s="1"/>
      <c r="PPM218" s="1"/>
      <c r="PPN218" s="1"/>
      <c r="PPO218" s="1"/>
      <c r="PPP218" s="1"/>
      <c r="PPQ218" s="1"/>
      <c r="PPR218" s="1"/>
      <c r="PPS218" s="1"/>
      <c r="PPT218" s="1"/>
      <c r="PPU218" s="1"/>
      <c r="PPV218" s="1"/>
      <c r="PPW218" s="1"/>
      <c r="PPX218" s="1"/>
      <c r="PPY218" s="1"/>
      <c r="PPZ218" s="1"/>
      <c r="PQA218" s="1"/>
      <c r="PQB218" s="1"/>
      <c r="PQC218" s="1"/>
      <c r="PQD218" s="1"/>
      <c r="PQE218" s="1"/>
      <c r="PQF218" s="1"/>
      <c r="PQG218" s="1"/>
      <c r="PQH218" s="1"/>
      <c r="PQI218" s="1"/>
      <c r="PQJ218" s="1"/>
      <c r="PQK218" s="1"/>
      <c r="PQL218" s="1"/>
      <c r="PQM218" s="1"/>
      <c r="PQN218" s="1"/>
      <c r="PQO218" s="1"/>
      <c r="PQP218" s="1"/>
      <c r="PQQ218" s="1"/>
      <c r="PQR218" s="1"/>
      <c r="PQS218" s="1"/>
      <c r="PQT218" s="1"/>
      <c r="PQU218" s="1"/>
      <c r="PQV218" s="1"/>
      <c r="PQW218" s="1"/>
      <c r="PQX218" s="1"/>
      <c r="PQY218" s="1"/>
      <c r="PQZ218" s="1"/>
      <c r="PRA218" s="1"/>
      <c r="PRB218" s="1"/>
      <c r="PRC218" s="1"/>
      <c r="PRD218" s="1"/>
      <c r="PRE218" s="1"/>
      <c r="PRF218" s="1"/>
      <c r="PRG218" s="1"/>
      <c r="PRH218" s="1"/>
      <c r="PRI218" s="1"/>
      <c r="PRJ218" s="1"/>
      <c r="PRK218" s="1"/>
      <c r="PRL218" s="1"/>
      <c r="PRM218" s="1"/>
      <c r="PRN218" s="1"/>
      <c r="PRO218" s="1"/>
      <c r="PRP218" s="1"/>
      <c r="PRQ218" s="1"/>
      <c r="PRR218" s="1"/>
      <c r="PRS218" s="1"/>
      <c r="PRT218" s="1"/>
      <c r="PRU218" s="1"/>
      <c r="PRV218" s="1"/>
      <c r="PRW218" s="1"/>
      <c r="PRX218" s="1"/>
      <c r="PRY218" s="1"/>
      <c r="PRZ218" s="1"/>
      <c r="PSA218" s="1"/>
      <c r="PSB218" s="1"/>
      <c r="PSC218" s="1"/>
      <c r="PSD218" s="1"/>
      <c r="PSE218" s="1"/>
      <c r="PSF218" s="1"/>
      <c r="PSG218" s="1"/>
      <c r="PSH218" s="1"/>
      <c r="PSI218" s="1"/>
      <c r="PSJ218" s="1"/>
      <c r="PSK218" s="1"/>
      <c r="PSL218" s="1"/>
      <c r="PSM218" s="1"/>
      <c r="PSN218" s="1"/>
      <c r="PSO218" s="1"/>
      <c r="PSP218" s="1"/>
      <c r="PSQ218" s="1"/>
      <c r="PSR218" s="1"/>
      <c r="PSS218" s="1"/>
      <c r="PST218" s="1"/>
      <c r="PSU218" s="1"/>
      <c r="PSV218" s="1"/>
      <c r="PSW218" s="1"/>
      <c r="PSX218" s="1"/>
      <c r="PSY218" s="1"/>
      <c r="PSZ218" s="1"/>
      <c r="PTA218" s="1"/>
      <c r="PTB218" s="1"/>
      <c r="PTC218" s="1"/>
      <c r="PTD218" s="1"/>
      <c r="PTE218" s="1"/>
      <c r="PTF218" s="1"/>
      <c r="PTG218" s="1"/>
      <c r="PTH218" s="1"/>
      <c r="PTI218" s="1"/>
      <c r="PTJ218" s="1"/>
      <c r="PTK218" s="1"/>
      <c r="PTL218" s="1"/>
      <c r="PTM218" s="1"/>
      <c r="PTN218" s="1"/>
      <c r="PTO218" s="1"/>
      <c r="PTP218" s="1"/>
      <c r="PTQ218" s="1"/>
      <c r="PTR218" s="1"/>
      <c r="PTS218" s="1"/>
      <c r="PTT218" s="1"/>
      <c r="PTU218" s="1"/>
      <c r="PTV218" s="1"/>
      <c r="PTW218" s="1"/>
      <c r="PTX218" s="1"/>
      <c r="PTY218" s="1"/>
      <c r="PTZ218" s="1"/>
      <c r="PUA218" s="1"/>
      <c r="PUB218" s="1"/>
      <c r="PUC218" s="1"/>
      <c r="PUD218" s="1"/>
      <c r="PUE218" s="1"/>
      <c r="PUF218" s="1"/>
      <c r="PUG218" s="1"/>
      <c r="PUH218" s="1"/>
      <c r="PUI218" s="1"/>
      <c r="PUJ218" s="1"/>
      <c r="PUK218" s="1"/>
      <c r="PUL218" s="1"/>
      <c r="PUM218" s="1"/>
      <c r="PUN218" s="1"/>
      <c r="PUO218" s="1"/>
      <c r="PUP218" s="1"/>
      <c r="PUQ218" s="1"/>
      <c r="PUR218" s="1"/>
      <c r="PUS218" s="1"/>
      <c r="PUT218" s="1"/>
      <c r="PUU218" s="1"/>
      <c r="PUV218" s="1"/>
      <c r="PUW218" s="1"/>
      <c r="PUX218" s="1"/>
      <c r="PUY218" s="1"/>
      <c r="PUZ218" s="1"/>
      <c r="PVA218" s="1"/>
      <c r="PVB218" s="1"/>
      <c r="PVC218" s="1"/>
      <c r="PVD218" s="1"/>
      <c r="PVE218" s="1"/>
      <c r="PVF218" s="1"/>
      <c r="PVG218" s="1"/>
      <c r="PVH218" s="1"/>
      <c r="PVI218" s="1"/>
      <c r="PVJ218" s="1"/>
      <c r="PVK218" s="1"/>
      <c r="PVL218" s="1"/>
      <c r="PVM218" s="1"/>
      <c r="PVN218" s="1"/>
      <c r="PVO218" s="1"/>
      <c r="PVP218" s="1"/>
      <c r="PVQ218" s="1"/>
      <c r="PVR218" s="1"/>
      <c r="PVS218" s="1"/>
      <c r="PVT218" s="1"/>
      <c r="PVU218" s="1"/>
      <c r="PVV218" s="1"/>
      <c r="PVW218" s="1"/>
      <c r="PVX218" s="1"/>
      <c r="PVY218" s="1"/>
      <c r="PVZ218" s="1"/>
      <c r="PWA218" s="1"/>
      <c r="PWB218" s="1"/>
      <c r="PWC218" s="1"/>
      <c r="PWD218" s="1"/>
      <c r="PWE218" s="1"/>
      <c r="PWF218" s="1"/>
      <c r="PWG218" s="1"/>
      <c r="PWH218" s="1"/>
      <c r="PWI218" s="1"/>
      <c r="PWJ218" s="1"/>
      <c r="PWK218" s="1"/>
      <c r="PWL218" s="1"/>
      <c r="PWM218" s="1"/>
      <c r="PWN218" s="1"/>
      <c r="PWO218" s="1"/>
      <c r="PWP218" s="1"/>
      <c r="PWQ218" s="1"/>
      <c r="PWR218" s="1"/>
      <c r="PWS218" s="1"/>
      <c r="PWT218" s="1"/>
      <c r="PWU218" s="1"/>
      <c r="PWV218" s="1"/>
      <c r="PWW218" s="1"/>
      <c r="PWX218" s="1"/>
      <c r="PWY218" s="1"/>
      <c r="PWZ218" s="1"/>
      <c r="PXA218" s="1"/>
      <c r="PXB218" s="1"/>
      <c r="PXC218" s="1"/>
      <c r="PXD218" s="1"/>
      <c r="PXE218" s="1"/>
      <c r="PXF218" s="1"/>
      <c r="PXG218" s="1"/>
      <c r="PXH218" s="1"/>
      <c r="PXI218" s="1"/>
      <c r="PXJ218" s="1"/>
      <c r="PXK218" s="1"/>
      <c r="PXL218" s="1"/>
      <c r="PXM218" s="1"/>
      <c r="PXN218" s="1"/>
      <c r="PXO218" s="1"/>
      <c r="PXP218" s="1"/>
      <c r="PXQ218" s="1"/>
      <c r="PXR218" s="1"/>
      <c r="PXS218" s="1"/>
      <c r="PXT218" s="1"/>
      <c r="PXU218" s="1"/>
      <c r="PXV218" s="1"/>
      <c r="PXW218" s="1"/>
      <c r="PXX218" s="1"/>
      <c r="PXY218" s="1"/>
      <c r="PXZ218" s="1"/>
      <c r="PYA218" s="1"/>
      <c r="PYB218" s="1"/>
      <c r="PYC218" s="1"/>
      <c r="PYD218" s="1"/>
      <c r="PYE218" s="1"/>
      <c r="PYF218" s="1"/>
      <c r="PYG218" s="1"/>
      <c r="PYH218" s="1"/>
      <c r="PYI218" s="1"/>
      <c r="PYJ218" s="1"/>
      <c r="PYK218" s="1"/>
      <c r="PYL218" s="1"/>
      <c r="PYM218" s="1"/>
      <c r="PYN218" s="1"/>
      <c r="PYO218" s="1"/>
      <c r="PYP218" s="1"/>
      <c r="PYQ218" s="1"/>
      <c r="PYR218" s="1"/>
      <c r="PYS218" s="1"/>
      <c r="PYT218" s="1"/>
      <c r="PYU218" s="1"/>
      <c r="PYV218" s="1"/>
      <c r="PYW218" s="1"/>
      <c r="PYX218" s="1"/>
      <c r="PYY218" s="1"/>
      <c r="PYZ218" s="1"/>
      <c r="PZA218" s="1"/>
      <c r="PZB218" s="1"/>
      <c r="PZC218" s="1"/>
      <c r="PZD218" s="1"/>
      <c r="PZE218" s="1"/>
      <c r="PZF218" s="1"/>
      <c r="PZG218" s="1"/>
      <c r="PZH218" s="1"/>
      <c r="PZI218" s="1"/>
      <c r="PZJ218" s="1"/>
      <c r="PZK218" s="1"/>
      <c r="PZL218" s="1"/>
      <c r="PZM218" s="1"/>
      <c r="PZN218" s="1"/>
      <c r="PZO218" s="1"/>
      <c r="PZP218" s="1"/>
      <c r="PZQ218" s="1"/>
      <c r="PZR218" s="1"/>
      <c r="PZS218" s="1"/>
      <c r="PZT218" s="1"/>
      <c r="PZU218" s="1"/>
      <c r="PZV218" s="1"/>
      <c r="PZW218" s="1"/>
      <c r="PZX218" s="1"/>
      <c r="PZY218" s="1"/>
      <c r="PZZ218" s="1"/>
      <c r="QAA218" s="1"/>
      <c r="QAB218" s="1"/>
      <c r="QAC218" s="1"/>
      <c r="QAD218" s="1"/>
      <c r="QAE218" s="1"/>
      <c r="QAF218" s="1"/>
      <c r="QAG218" s="1"/>
      <c r="QAH218" s="1"/>
      <c r="QAI218" s="1"/>
      <c r="QAJ218" s="1"/>
      <c r="QAK218" s="1"/>
      <c r="QAL218" s="1"/>
      <c r="QAM218" s="1"/>
      <c r="QAN218" s="1"/>
      <c r="QAO218" s="1"/>
      <c r="QAP218" s="1"/>
      <c r="QAQ218" s="1"/>
      <c r="QAR218" s="1"/>
      <c r="QAS218" s="1"/>
      <c r="QAT218" s="1"/>
      <c r="QAU218" s="1"/>
      <c r="QAV218" s="1"/>
      <c r="QAW218" s="1"/>
      <c r="QAX218" s="1"/>
      <c r="QAY218" s="1"/>
      <c r="QAZ218" s="1"/>
      <c r="QBA218" s="1"/>
      <c r="QBB218" s="1"/>
      <c r="QBC218" s="1"/>
      <c r="QBD218" s="1"/>
      <c r="QBE218" s="1"/>
      <c r="QBF218" s="1"/>
      <c r="QBG218" s="1"/>
      <c r="QBH218" s="1"/>
      <c r="QBI218" s="1"/>
      <c r="QBJ218" s="1"/>
      <c r="QBK218" s="1"/>
      <c r="QBL218" s="1"/>
      <c r="QBM218" s="1"/>
      <c r="QBN218" s="1"/>
      <c r="QBO218" s="1"/>
      <c r="QBP218" s="1"/>
      <c r="QBQ218" s="1"/>
      <c r="QBR218" s="1"/>
      <c r="QBS218" s="1"/>
      <c r="QBT218" s="1"/>
      <c r="QBU218" s="1"/>
      <c r="QBV218" s="1"/>
      <c r="QBW218" s="1"/>
      <c r="QBX218" s="1"/>
      <c r="QBY218" s="1"/>
      <c r="QBZ218" s="1"/>
      <c r="QCA218" s="1"/>
      <c r="QCB218" s="1"/>
      <c r="QCC218" s="1"/>
      <c r="QCD218" s="1"/>
      <c r="QCE218" s="1"/>
      <c r="QCF218" s="1"/>
      <c r="QCG218" s="1"/>
      <c r="QCH218" s="1"/>
      <c r="QCI218" s="1"/>
      <c r="QCJ218" s="1"/>
      <c r="QCK218" s="1"/>
      <c r="QCL218" s="1"/>
      <c r="QCM218" s="1"/>
      <c r="QCN218" s="1"/>
      <c r="QCO218" s="1"/>
      <c r="QCP218" s="1"/>
      <c r="QCQ218" s="1"/>
      <c r="QCR218" s="1"/>
      <c r="QCS218" s="1"/>
      <c r="QCT218" s="1"/>
      <c r="QCU218" s="1"/>
      <c r="QCV218" s="1"/>
      <c r="QCW218" s="1"/>
      <c r="QCX218" s="1"/>
      <c r="QCY218" s="1"/>
      <c r="QCZ218" s="1"/>
      <c r="QDA218" s="1"/>
      <c r="QDB218" s="1"/>
      <c r="QDC218" s="1"/>
      <c r="QDD218" s="1"/>
      <c r="QDE218" s="1"/>
      <c r="QDF218" s="1"/>
      <c r="QDG218" s="1"/>
      <c r="QDH218" s="1"/>
      <c r="QDI218" s="1"/>
      <c r="QDJ218" s="1"/>
      <c r="QDK218" s="1"/>
      <c r="QDL218" s="1"/>
      <c r="QDM218" s="1"/>
      <c r="QDN218" s="1"/>
      <c r="QDO218" s="1"/>
      <c r="QDP218" s="1"/>
      <c r="QDQ218" s="1"/>
      <c r="QDR218" s="1"/>
      <c r="QDS218" s="1"/>
      <c r="QDT218" s="1"/>
      <c r="QDU218" s="1"/>
      <c r="QDV218" s="1"/>
      <c r="QDW218" s="1"/>
      <c r="QDX218" s="1"/>
      <c r="QDY218" s="1"/>
      <c r="QDZ218" s="1"/>
      <c r="QEA218" s="1"/>
      <c r="QEB218" s="1"/>
      <c r="QEC218" s="1"/>
      <c r="QED218" s="1"/>
      <c r="QEE218" s="1"/>
      <c r="QEF218" s="1"/>
      <c r="QEG218" s="1"/>
      <c r="QEH218" s="1"/>
      <c r="QEI218" s="1"/>
      <c r="QEJ218" s="1"/>
      <c r="QEK218" s="1"/>
      <c r="QEL218" s="1"/>
      <c r="QEM218" s="1"/>
      <c r="QEN218" s="1"/>
      <c r="QEO218" s="1"/>
      <c r="QEP218" s="1"/>
      <c r="QEQ218" s="1"/>
      <c r="QER218" s="1"/>
      <c r="QES218" s="1"/>
      <c r="QET218" s="1"/>
      <c r="QEU218" s="1"/>
      <c r="QEV218" s="1"/>
      <c r="QEW218" s="1"/>
      <c r="QEX218" s="1"/>
      <c r="QEY218" s="1"/>
      <c r="QEZ218" s="1"/>
      <c r="QFA218" s="1"/>
      <c r="QFB218" s="1"/>
      <c r="QFC218" s="1"/>
      <c r="QFD218" s="1"/>
      <c r="QFE218" s="1"/>
      <c r="QFF218" s="1"/>
      <c r="QFG218" s="1"/>
      <c r="QFH218" s="1"/>
      <c r="QFI218" s="1"/>
      <c r="QFJ218" s="1"/>
      <c r="QFK218" s="1"/>
      <c r="QFL218" s="1"/>
      <c r="QFM218" s="1"/>
      <c r="QFN218" s="1"/>
      <c r="QFO218" s="1"/>
      <c r="QFP218" s="1"/>
      <c r="QFQ218" s="1"/>
      <c r="QFR218" s="1"/>
      <c r="QFS218" s="1"/>
      <c r="QFT218" s="1"/>
      <c r="QFU218" s="1"/>
      <c r="QFV218" s="1"/>
      <c r="QFW218" s="1"/>
      <c r="QFX218" s="1"/>
      <c r="QFY218" s="1"/>
      <c r="QFZ218" s="1"/>
      <c r="QGA218" s="1"/>
      <c r="QGB218" s="1"/>
      <c r="QGC218" s="1"/>
      <c r="QGD218" s="1"/>
      <c r="QGE218" s="1"/>
      <c r="QGF218" s="1"/>
      <c r="QGG218" s="1"/>
      <c r="QGH218" s="1"/>
      <c r="QGI218" s="1"/>
      <c r="QGJ218" s="1"/>
      <c r="QGK218" s="1"/>
      <c r="QGL218" s="1"/>
      <c r="QGM218" s="1"/>
      <c r="QGN218" s="1"/>
      <c r="QGO218" s="1"/>
      <c r="QGP218" s="1"/>
      <c r="QGQ218" s="1"/>
      <c r="QGR218" s="1"/>
      <c r="QGS218" s="1"/>
      <c r="QGT218" s="1"/>
      <c r="QGU218" s="1"/>
      <c r="QGV218" s="1"/>
      <c r="QGW218" s="1"/>
      <c r="QGX218" s="1"/>
      <c r="QGY218" s="1"/>
      <c r="QGZ218" s="1"/>
      <c r="QHA218" s="1"/>
      <c r="QHB218" s="1"/>
      <c r="QHC218" s="1"/>
      <c r="QHD218" s="1"/>
      <c r="QHE218" s="1"/>
      <c r="QHF218" s="1"/>
      <c r="QHG218" s="1"/>
      <c r="QHH218" s="1"/>
      <c r="QHI218" s="1"/>
      <c r="QHJ218" s="1"/>
      <c r="QHK218" s="1"/>
      <c r="QHL218" s="1"/>
      <c r="QHM218" s="1"/>
      <c r="QHN218" s="1"/>
      <c r="QHO218" s="1"/>
      <c r="QHP218" s="1"/>
      <c r="QHQ218" s="1"/>
      <c r="QHR218" s="1"/>
      <c r="QHS218" s="1"/>
      <c r="QHT218" s="1"/>
      <c r="QHU218" s="1"/>
      <c r="QHV218" s="1"/>
      <c r="QHW218" s="1"/>
      <c r="QHX218" s="1"/>
      <c r="QHY218" s="1"/>
      <c r="QHZ218" s="1"/>
      <c r="QIA218" s="1"/>
      <c r="QIB218" s="1"/>
      <c r="QIC218" s="1"/>
      <c r="QID218" s="1"/>
      <c r="QIE218" s="1"/>
      <c r="QIF218" s="1"/>
      <c r="QIG218" s="1"/>
      <c r="QIH218" s="1"/>
      <c r="QII218" s="1"/>
      <c r="QIJ218" s="1"/>
      <c r="QIK218" s="1"/>
      <c r="QIL218" s="1"/>
      <c r="QIM218" s="1"/>
      <c r="QIN218" s="1"/>
      <c r="QIO218" s="1"/>
      <c r="QIP218" s="1"/>
      <c r="QIQ218" s="1"/>
      <c r="QIR218" s="1"/>
      <c r="QIS218" s="1"/>
      <c r="QIT218" s="1"/>
      <c r="QIU218" s="1"/>
      <c r="QIV218" s="1"/>
      <c r="QIW218" s="1"/>
      <c r="QIX218" s="1"/>
      <c r="QIY218" s="1"/>
      <c r="QIZ218" s="1"/>
      <c r="QJA218" s="1"/>
      <c r="QJB218" s="1"/>
      <c r="QJC218" s="1"/>
      <c r="QJD218" s="1"/>
      <c r="QJE218" s="1"/>
      <c r="QJF218" s="1"/>
      <c r="QJG218" s="1"/>
      <c r="QJH218" s="1"/>
      <c r="QJI218" s="1"/>
      <c r="QJJ218" s="1"/>
      <c r="QJK218" s="1"/>
      <c r="QJL218" s="1"/>
      <c r="QJM218" s="1"/>
      <c r="QJN218" s="1"/>
      <c r="QJO218" s="1"/>
      <c r="QJP218" s="1"/>
      <c r="QJQ218" s="1"/>
      <c r="QJR218" s="1"/>
      <c r="QJS218" s="1"/>
      <c r="QJT218" s="1"/>
      <c r="QJU218" s="1"/>
      <c r="QJV218" s="1"/>
      <c r="QJW218" s="1"/>
      <c r="QJX218" s="1"/>
      <c r="QJY218" s="1"/>
      <c r="QJZ218" s="1"/>
      <c r="QKA218" s="1"/>
      <c r="QKB218" s="1"/>
      <c r="QKC218" s="1"/>
      <c r="QKD218" s="1"/>
      <c r="QKE218" s="1"/>
      <c r="QKF218" s="1"/>
      <c r="QKG218" s="1"/>
      <c r="QKH218" s="1"/>
      <c r="QKI218" s="1"/>
      <c r="QKJ218" s="1"/>
      <c r="QKK218" s="1"/>
      <c r="QKL218" s="1"/>
      <c r="QKM218" s="1"/>
      <c r="QKN218" s="1"/>
      <c r="QKO218" s="1"/>
      <c r="QKP218" s="1"/>
      <c r="QKQ218" s="1"/>
      <c r="QKR218" s="1"/>
      <c r="QKS218" s="1"/>
      <c r="QKT218" s="1"/>
      <c r="QKU218" s="1"/>
      <c r="QKV218" s="1"/>
      <c r="QKW218" s="1"/>
      <c r="QKX218" s="1"/>
      <c r="QKY218" s="1"/>
      <c r="QKZ218" s="1"/>
      <c r="QLA218" s="1"/>
      <c r="QLB218" s="1"/>
      <c r="QLC218" s="1"/>
      <c r="QLD218" s="1"/>
      <c r="QLE218" s="1"/>
      <c r="QLF218" s="1"/>
      <c r="QLG218" s="1"/>
      <c r="QLH218" s="1"/>
      <c r="QLI218" s="1"/>
      <c r="QLJ218" s="1"/>
      <c r="QLK218" s="1"/>
      <c r="QLL218" s="1"/>
      <c r="QLM218" s="1"/>
      <c r="QLN218" s="1"/>
      <c r="QLO218" s="1"/>
      <c r="QLP218" s="1"/>
      <c r="QLQ218" s="1"/>
      <c r="QLR218" s="1"/>
      <c r="QLS218" s="1"/>
      <c r="QLT218" s="1"/>
      <c r="QLU218" s="1"/>
      <c r="QLV218" s="1"/>
      <c r="QLW218" s="1"/>
      <c r="QLX218" s="1"/>
      <c r="QLY218" s="1"/>
      <c r="QLZ218" s="1"/>
      <c r="QMA218" s="1"/>
      <c r="QMB218" s="1"/>
      <c r="QMC218" s="1"/>
      <c r="QMD218" s="1"/>
      <c r="QME218" s="1"/>
      <c r="QMF218" s="1"/>
      <c r="QMG218" s="1"/>
      <c r="QMH218" s="1"/>
      <c r="QMI218" s="1"/>
      <c r="QMJ218" s="1"/>
      <c r="QMK218" s="1"/>
      <c r="QML218" s="1"/>
      <c r="QMM218" s="1"/>
      <c r="QMN218" s="1"/>
      <c r="QMO218" s="1"/>
      <c r="QMP218" s="1"/>
      <c r="QMQ218" s="1"/>
      <c r="QMR218" s="1"/>
      <c r="QMS218" s="1"/>
      <c r="QMT218" s="1"/>
      <c r="QMU218" s="1"/>
      <c r="QMV218" s="1"/>
      <c r="QMW218" s="1"/>
      <c r="QMX218" s="1"/>
      <c r="QMY218" s="1"/>
      <c r="QMZ218" s="1"/>
      <c r="QNA218" s="1"/>
      <c r="QNB218" s="1"/>
      <c r="QNC218" s="1"/>
      <c r="QND218" s="1"/>
      <c r="QNE218" s="1"/>
      <c r="QNF218" s="1"/>
      <c r="QNG218" s="1"/>
      <c r="QNH218" s="1"/>
      <c r="QNI218" s="1"/>
      <c r="QNJ218" s="1"/>
      <c r="QNK218" s="1"/>
      <c r="QNL218" s="1"/>
      <c r="QNM218" s="1"/>
      <c r="QNN218" s="1"/>
      <c r="QNO218" s="1"/>
      <c r="QNP218" s="1"/>
      <c r="QNQ218" s="1"/>
      <c r="QNR218" s="1"/>
      <c r="QNS218" s="1"/>
      <c r="QNT218" s="1"/>
      <c r="QNU218" s="1"/>
      <c r="QNV218" s="1"/>
      <c r="QNW218" s="1"/>
      <c r="QNX218" s="1"/>
      <c r="QNY218" s="1"/>
      <c r="QNZ218" s="1"/>
      <c r="QOA218" s="1"/>
      <c r="QOB218" s="1"/>
      <c r="QOC218" s="1"/>
      <c r="QOD218" s="1"/>
      <c r="QOE218" s="1"/>
      <c r="QOF218" s="1"/>
      <c r="QOG218" s="1"/>
      <c r="QOH218" s="1"/>
      <c r="QOI218" s="1"/>
      <c r="QOJ218" s="1"/>
      <c r="QOK218" s="1"/>
      <c r="QOL218" s="1"/>
      <c r="QOM218" s="1"/>
      <c r="QON218" s="1"/>
      <c r="QOO218" s="1"/>
      <c r="QOP218" s="1"/>
      <c r="QOQ218" s="1"/>
      <c r="QOR218" s="1"/>
      <c r="QOS218" s="1"/>
      <c r="QOT218" s="1"/>
      <c r="QOU218" s="1"/>
      <c r="QOV218" s="1"/>
      <c r="QOW218" s="1"/>
      <c r="QOX218" s="1"/>
      <c r="QOY218" s="1"/>
      <c r="QOZ218" s="1"/>
      <c r="QPA218" s="1"/>
      <c r="QPB218" s="1"/>
      <c r="QPC218" s="1"/>
      <c r="QPD218" s="1"/>
      <c r="QPE218" s="1"/>
      <c r="QPF218" s="1"/>
      <c r="QPG218" s="1"/>
      <c r="QPH218" s="1"/>
      <c r="QPI218" s="1"/>
      <c r="QPJ218" s="1"/>
      <c r="QPK218" s="1"/>
      <c r="QPL218" s="1"/>
      <c r="QPM218" s="1"/>
      <c r="QPN218" s="1"/>
      <c r="QPO218" s="1"/>
      <c r="QPP218" s="1"/>
      <c r="QPQ218" s="1"/>
      <c r="QPR218" s="1"/>
      <c r="QPS218" s="1"/>
      <c r="QPT218" s="1"/>
      <c r="QPU218" s="1"/>
      <c r="QPV218" s="1"/>
      <c r="QPW218" s="1"/>
      <c r="QPX218" s="1"/>
      <c r="QPY218" s="1"/>
      <c r="QPZ218" s="1"/>
      <c r="QQA218" s="1"/>
      <c r="QQB218" s="1"/>
      <c r="QQC218" s="1"/>
      <c r="QQD218" s="1"/>
      <c r="QQE218" s="1"/>
      <c r="QQF218" s="1"/>
      <c r="QQG218" s="1"/>
      <c r="QQH218" s="1"/>
      <c r="QQI218" s="1"/>
      <c r="QQJ218" s="1"/>
      <c r="QQK218" s="1"/>
      <c r="QQL218" s="1"/>
      <c r="QQM218" s="1"/>
      <c r="QQN218" s="1"/>
      <c r="QQO218" s="1"/>
      <c r="QQP218" s="1"/>
      <c r="QQQ218" s="1"/>
      <c r="QQR218" s="1"/>
      <c r="QQS218" s="1"/>
      <c r="QQT218" s="1"/>
      <c r="QQU218" s="1"/>
      <c r="QQV218" s="1"/>
      <c r="QQW218" s="1"/>
      <c r="QQX218" s="1"/>
      <c r="QQY218" s="1"/>
      <c r="QQZ218" s="1"/>
      <c r="QRA218" s="1"/>
      <c r="QRB218" s="1"/>
      <c r="QRC218" s="1"/>
      <c r="QRD218" s="1"/>
      <c r="QRE218" s="1"/>
      <c r="QRF218" s="1"/>
      <c r="QRG218" s="1"/>
      <c r="QRH218" s="1"/>
      <c r="QRI218" s="1"/>
      <c r="QRJ218" s="1"/>
      <c r="QRK218" s="1"/>
      <c r="QRL218" s="1"/>
      <c r="QRM218" s="1"/>
      <c r="QRN218" s="1"/>
      <c r="QRO218" s="1"/>
      <c r="QRP218" s="1"/>
      <c r="QRQ218" s="1"/>
      <c r="QRR218" s="1"/>
      <c r="QRS218" s="1"/>
      <c r="QRT218" s="1"/>
      <c r="QRU218" s="1"/>
      <c r="QRV218" s="1"/>
      <c r="QRW218" s="1"/>
      <c r="QRX218" s="1"/>
      <c r="QRY218" s="1"/>
      <c r="QRZ218" s="1"/>
      <c r="QSA218" s="1"/>
      <c r="QSB218" s="1"/>
      <c r="QSC218" s="1"/>
      <c r="QSD218" s="1"/>
      <c r="QSE218" s="1"/>
      <c r="QSF218" s="1"/>
      <c r="QSG218" s="1"/>
      <c r="QSH218" s="1"/>
      <c r="QSI218" s="1"/>
      <c r="QSJ218" s="1"/>
      <c r="QSK218" s="1"/>
      <c r="QSL218" s="1"/>
      <c r="QSM218" s="1"/>
      <c r="QSN218" s="1"/>
      <c r="QSO218" s="1"/>
      <c r="QSP218" s="1"/>
      <c r="QSQ218" s="1"/>
      <c r="QSR218" s="1"/>
      <c r="QSS218" s="1"/>
      <c r="QST218" s="1"/>
      <c r="QSU218" s="1"/>
      <c r="QSV218" s="1"/>
      <c r="QSW218" s="1"/>
      <c r="QSX218" s="1"/>
      <c r="QSY218" s="1"/>
      <c r="QSZ218" s="1"/>
      <c r="QTA218" s="1"/>
      <c r="QTB218" s="1"/>
      <c r="QTC218" s="1"/>
      <c r="QTD218" s="1"/>
      <c r="QTE218" s="1"/>
      <c r="QTF218" s="1"/>
      <c r="QTG218" s="1"/>
      <c r="QTH218" s="1"/>
      <c r="QTI218" s="1"/>
      <c r="QTJ218" s="1"/>
      <c r="QTK218" s="1"/>
      <c r="QTL218" s="1"/>
      <c r="QTM218" s="1"/>
      <c r="QTN218" s="1"/>
      <c r="QTO218" s="1"/>
      <c r="QTP218" s="1"/>
      <c r="QTQ218" s="1"/>
      <c r="QTR218" s="1"/>
      <c r="QTS218" s="1"/>
      <c r="QTT218" s="1"/>
      <c r="QTU218" s="1"/>
      <c r="QTV218" s="1"/>
      <c r="QTW218" s="1"/>
      <c r="QTX218" s="1"/>
      <c r="QTY218" s="1"/>
      <c r="QTZ218" s="1"/>
      <c r="QUA218" s="1"/>
      <c r="QUB218" s="1"/>
      <c r="QUC218" s="1"/>
      <c r="QUD218" s="1"/>
      <c r="QUE218" s="1"/>
      <c r="QUF218" s="1"/>
      <c r="QUG218" s="1"/>
      <c r="QUH218" s="1"/>
      <c r="QUI218" s="1"/>
      <c r="QUJ218" s="1"/>
      <c r="QUK218" s="1"/>
      <c r="QUL218" s="1"/>
      <c r="QUM218" s="1"/>
      <c r="QUN218" s="1"/>
      <c r="QUO218" s="1"/>
      <c r="QUP218" s="1"/>
      <c r="QUQ218" s="1"/>
      <c r="QUR218" s="1"/>
      <c r="QUS218" s="1"/>
      <c r="QUT218" s="1"/>
      <c r="QUU218" s="1"/>
      <c r="QUV218" s="1"/>
      <c r="QUW218" s="1"/>
      <c r="QUX218" s="1"/>
      <c r="QUY218" s="1"/>
      <c r="QUZ218" s="1"/>
      <c r="QVA218" s="1"/>
      <c r="QVB218" s="1"/>
      <c r="QVC218" s="1"/>
      <c r="QVD218" s="1"/>
      <c r="QVE218" s="1"/>
      <c r="QVF218" s="1"/>
      <c r="QVG218" s="1"/>
      <c r="QVH218" s="1"/>
      <c r="QVI218" s="1"/>
      <c r="QVJ218" s="1"/>
      <c r="QVK218" s="1"/>
      <c r="QVL218" s="1"/>
      <c r="QVM218" s="1"/>
      <c r="QVN218" s="1"/>
      <c r="QVO218" s="1"/>
      <c r="QVP218" s="1"/>
      <c r="QVQ218" s="1"/>
      <c r="QVR218" s="1"/>
      <c r="QVS218" s="1"/>
      <c r="QVT218" s="1"/>
      <c r="QVU218" s="1"/>
      <c r="QVV218" s="1"/>
      <c r="QVW218" s="1"/>
      <c r="QVX218" s="1"/>
      <c r="QVY218" s="1"/>
      <c r="QVZ218" s="1"/>
      <c r="QWA218" s="1"/>
      <c r="QWB218" s="1"/>
      <c r="QWC218" s="1"/>
      <c r="QWD218" s="1"/>
      <c r="QWE218" s="1"/>
      <c r="QWF218" s="1"/>
      <c r="QWG218" s="1"/>
      <c r="QWH218" s="1"/>
      <c r="QWI218" s="1"/>
      <c r="QWJ218" s="1"/>
      <c r="QWK218" s="1"/>
      <c r="QWL218" s="1"/>
      <c r="QWM218" s="1"/>
      <c r="QWN218" s="1"/>
      <c r="QWO218" s="1"/>
      <c r="QWP218" s="1"/>
      <c r="QWQ218" s="1"/>
      <c r="QWR218" s="1"/>
      <c r="QWS218" s="1"/>
      <c r="QWT218" s="1"/>
      <c r="QWU218" s="1"/>
      <c r="QWV218" s="1"/>
      <c r="QWW218" s="1"/>
      <c r="QWX218" s="1"/>
      <c r="QWY218" s="1"/>
      <c r="QWZ218" s="1"/>
      <c r="QXA218" s="1"/>
      <c r="QXB218" s="1"/>
      <c r="QXC218" s="1"/>
      <c r="QXD218" s="1"/>
      <c r="QXE218" s="1"/>
      <c r="QXF218" s="1"/>
      <c r="QXG218" s="1"/>
      <c r="QXH218" s="1"/>
      <c r="QXI218" s="1"/>
      <c r="QXJ218" s="1"/>
      <c r="QXK218" s="1"/>
      <c r="QXL218" s="1"/>
      <c r="QXM218" s="1"/>
      <c r="QXN218" s="1"/>
      <c r="QXO218" s="1"/>
      <c r="QXP218" s="1"/>
      <c r="QXQ218" s="1"/>
      <c r="QXR218" s="1"/>
      <c r="QXS218" s="1"/>
      <c r="QXT218" s="1"/>
      <c r="QXU218" s="1"/>
      <c r="QXV218" s="1"/>
      <c r="QXW218" s="1"/>
      <c r="QXX218" s="1"/>
      <c r="QXY218" s="1"/>
      <c r="QXZ218" s="1"/>
      <c r="QYA218" s="1"/>
      <c r="QYB218" s="1"/>
      <c r="QYC218" s="1"/>
      <c r="QYD218" s="1"/>
      <c r="QYE218" s="1"/>
      <c r="QYF218" s="1"/>
      <c r="QYG218" s="1"/>
      <c r="QYH218" s="1"/>
      <c r="QYI218" s="1"/>
      <c r="QYJ218" s="1"/>
      <c r="QYK218" s="1"/>
      <c r="QYL218" s="1"/>
      <c r="QYM218" s="1"/>
      <c r="QYN218" s="1"/>
      <c r="QYO218" s="1"/>
      <c r="QYP218" s="1"/>
      <c r="QYQ218" s="1"/>
      <c r="QYR218" s="1"/>
      <c r="QYS218" s="1"/>
      <c r="QYT218" s="1"/>
      <c r="QYU218" s="1"/>
      <c r="QYV218" s="1"/>
      <c r="QYW218" s="1"/>
      <c r="QYX218" s="1"/>
      <c r="QYY218" s="1"/>
      <c r="QYZ218" s="1"/>
      <c r="QZA218" s="1"/>
      <c r="QZB218" s="1"/>
      <c r="QZC218" s="1"/>
      <c r="QZD218" s="1"/>
      <c r="QZE218" s="1"/>
      <c r="QZF218" s="1"/>
      <c r="QZG218" s="1"/>
      <c r="QZH218" s="1"/>
      <c r="QZI218" s="1"/>
      <c r="QZJ218" s="1"/>
      <c r="QZK218" s="1"/>
      <c r="QZL218" s="1"/>
      <c r="QZM218" s="1"/>
      <c r="QZN218" s="1"/>
      <c r="QZO218" s="1"/>
      <c r="QZP218" s="1"/>
      <c r="QZQ218" s="1"/>
      <c r="QZR218" s="1"/>
      <c r="QZS218" s="1"/>
      <c r="QZT218" s="1"/>
      <c r="QZU218" s="1"/>
      <c r="QZV218" s="1"/>
      <c r="QZW218" s="1"/>
      <c r="QZX218" s="1"/>
      <c r="QZY218" s="1"/>
      <c r="QZZ218" s="1"/>
      <c r="RAA218" s="1"/>
      <c r="RAB218" s="1"/>
      <c r="RAC218" s="1"/>
      <c r="RAD218" s="1"/>
      <c r="RAE218" s="1"/>
      <c r="RAF218" s="1"/>
      <c r="RAG218" s="1"/>
      <c r="RAH218" s="1"/>
      <c r="RAI218" s="1"/>
      <c r="RAJ218" s="1"/>
      <c r="RAK218" s="1"/>
      <c r="RAL218" s="1"/>
      <c r="RAM218" s="1"/>
      <c r="RAN218" s="1"/>
      <c r="RAO218" s="1"/>
      <c r="RAP218" s="1"/>
      <c r="RAQ218" s="1"/>
      <c r="RAR218" s="1"/>
      <c r="RAS218" s="1"/>
      <c r="RAT218" s="1"/>
      <c r="RAU218" s="1"/>
      <c r="RAV218" s="1"/>
      <c r="RAW218" s="1"/>
      <c r="RAX218" s="1"/>
      <c r="RAY218" s="1"/>
      <c r="RAZ218" s="1"/>
      <c r="RBA218" s="1"/>
      <c r="RBB218" s="1"/>
      <c r="RBC218" s="1"/>
      <c r="RBD218" s="1"/>
      <c r="RBE218" s="1"/>
      <c r="RBF218" s="1"/>
      <c r="RBG218" s="1"/>
      <c r="RBH218" s="1"/>
      <c r="RBI218" s="1"/>
      <c r="RBJ218" s="1"/>
      <c r="RBK218" s="1"/>
      <c r="RBL218" s="1"/>
      <c r="RBM218" s="1"/>
      <c r="RBN218" s="1"/>
      <c r="RBO218" s="1"/>
      <c r="RBP218" s="1"/>
      <c r="RBQ218" s="1"/>
      <c r="RBR218" s="1"/>
      <c r="RBS218" s="1"/>
      <c r="RBT218" s="1"/>
      <c r="RBU218" s="1"/>
      <c r="RBV218" s="1"/>
      <c r="RBW218" s="1"/>
      <c r="RBX218" s="1"/>
      <c r="RBY218" s="1"/>
      <c r="RBZ218" s="1"/>
      <c r="RCA218" s="1"/>
      <c r="RCB218" s="1"/>
      <c r="RCC218" s="1"/>
      <c r="RCD218" s="1"/>
      <c r="RCE218" s="1"/>
      <c r="RCF218" s="1"/>
      <c r="RCG218" s="1"/>
      <c r="RCH218" s="1"/>
      <c r="RCI218" s="1"/>
      <c r="RCJ218" s="1"/>
      <c r="RCK218" s="1"/>
      <c r="RCL218" s="1"/>
      <c r="RCM218" s="1"/>
      <c r="RCN218" s="1"/>
      <c r="RCO218" s="1"/>
      <c r="RCP218" s="1"/>
      <c r="RCQ218" s="1"/>
      <c r="RCR218" s="1"/>
      <c r="RCS218" s="1"/>
      <c r="RCT218" s="1"/>
      <c r="RCU218" s="1"/>
      <c r="RCV218" s="1"/>
      <c r="RCW218" s="1"/>
      <c r="RCX218" s="1"/>
      <c r="RCY218" s="1"/>
      <c r="RCZ218" s="1"/>
      <c r="RDA218" s="1"/>
      <c r="RDB218" s="1"/>
      <c r="RDC218" s="1"/>
      <c r="RDD218" s="1"/>
      <c r="RDE218" s="1"/>
      <c r="RDF218" s="1"/>
      <c r="RDG218" s="1"/>
      <c r="RDH218" s="1"/>
      <c r="RDI218" s="1"/>
      <c r="RDJ218" s="1"/>
      <c r="RDK218" s="1"/>
      <c r="RDL218" s="1"/>
      <c r="RDM218" s="1"/>
      <c r="RDN218" s="1"/>
      <c r="RDO218" s="1"/>
      <c r="RDP218" s="1"/>
      <c r="RDQ218" s="1"/>
      <c r="RDR218" s="1"/>
      <c r="RDS218" s="1"/>
      <c r="RDT218" s="1"/>
      <c r="RDU218" s="1"/>
      <c r="RDV218" s="1"/>
      <c r="RDW218" s="1"/>
      <c r="RDX218" s="1"/>
      <c r="RDY218" s="1"/>
      <c r="RDZ218" s="1"/>
      <c r="REA218" s="1"/>
      <c r="REB218" s="1"/>
      <c r="REC218" s="1"/>
      <c r="RED218" s="1"/>
      <c r="REE218" s="1"/>
      <c r="REF218" s="1"/>
      <c r="REG218" s="1"/>
      <c r="REH218" s="1"/>
      <c r="REI218" s="1"/>
      <c r="REJ218" s="1"/>
      <c r="REK218" s="1"/>
      <c r="REL218" s="1"/>
      <c r="REM218" s="1"/>
      <c r="REN218" s="1"/>
      <c r="REO218" s="1"/>
      <c r="REP218" s="1"/>
      <c r="REQ218" s="1"/>
      <c r="RER218" s="1"/>
      <c r="RES218" s="1"/>
      <c r="RET218" s="1"/>
      <c r="REU218" s="1"/>
      <c r="REV218" s="1"/>
      <c r="REW218" s="1"/>
      <c r="REX218" s="1"/>
      <c r="REY218" s="1"/>
      <c r="REZ218" s="1"/>
      <c r="RFA218" s="1"/>
      <c r="RFB218" s="1"/>
      <c r="RFC218" s="1"/>
      <c r="RFD218" s="1"/>
      <c r="RFE218" s="1"/>
      <c r="RFF218" s="1"/>
      <c r="RFG218" s="1"/>
      <c r="RFH218" s="1"/>
      <c r="RFI218" s="1"/>
      <c r="RFJ218" s="1"/>
      <c r="RFK218" s="1"/>
      <c r="RFL218" s="1"/>
      <c r="RFM218" s="1"/>
      <c r="RFN218" s="1"/>
      <c r="RFO218" s="1"/>
      <c r="RFP218" s="1"/>
      <c r="RFQ218" s="1"/>
      <c r="RFR218" s="1"/>
      <c r="RFS218" s="1"/>
      <c r="RFT218" s="1"/>
      <c r="RFU218" s="1"/>
      <c r="RFV218" s="1"/>
      <c r="RFW218" s="1"/>
      <c r="RFX218" s="1"/>
      <c r="RFY218" s="1"/>
      <c r="RFZ218" s="1"/>
      <c r="RGA218" s="1"/>
      <c r="RGB218" s="1"/>
      <c r="RGC218" s="1"/>
      <c r="RGD218" s="1"/>
      <c r="RGE218" s="1"/>
      <c r="RGF218" s="1"/>
      <c r="RGG218" s="1"/>
      <c r="RGH218" s="1"/>
      <c r="RGI218" s="1"/>
      <c r="RGJ218" s="1"/>
      <c r="RGK218" s="1"/>
      <c r="RGL218" s="1"/>
      <c r="RGM218" s="1"/>
      <c r="RGN218" s="1"/>
      <c r="RGO218" s="1"/>
      <c r="RGP218" s="1"/>
      <c r="RGQ218" s="1"/>
      <c r="RGR218" s="1"/>
      <c r="RGS218" s="1"/>
      <c r="RGT218" s="1"/>
      <c r="RGU218" s="1"/>
      <c r="RGV218" s="1"/>
      <c r="RGW218" s="1"/>
      <c r="RGX218" s="1"/>
      <c r="RGY218" s="1"/>
      <c r="RGZ218" s="1"/>
      <c r="RHA218" s="1"/>
      <c r="RHB218" s="1"/>
      <c r="RHC218" s="1"/>
      <c r="RHD218" s="1"/>
      <c r="RHE218" s="1"/>
      <c r="RHF218" s="1"/>
      <c r="RHG218" s="1"/>
      <c r="RHH218" s="1"/>
      <c r="RHI218" s="1"/>
      <c r="RHJ218" s="1"/>
      <c r="RHK218" s="1"/>
      <c r="RHL218" s="1"/>
      <c r="RHM218" s="1"/>
      <c r="RHN218" s="1"/>
      <c r="RHO218" s="1"/>
      <c r="RHP218" s="1"/>
      <c r="RHQ218" s="1"/>
      <c r="RHR218" s="1"/>
      <c r="RHS218" s="1"/>
      <c r="RHT218" s="1"/>
      <c r="RHU218" s="1"/>
      <c r="RHV218" s="1"/>
      <c r="RHW218" s="1"/>
      <c r="RHX218" s="1"/>
      <c r="RHY218" s="1"/>
      <c r="RHZ218" s="1"/>
      <c r="RIA218" s="1"/>
      <c r="RIB218" s="1"/>
      <c r="RIC218" s="1"/>
      <c r="RID218" s="1"/>
      <c r="RIE218" s="1"/>
      <c r="RIF218" s="1"/>
      <c r="RIG218" s="1"/>
      <c r="RIH218" s="1"/>
      <c r="RII218" s="1"/>
      <c r="RIJ218" s="1"/>
      <c r="RIK218" s="1"/>
      <c r="RIL218" s="1"/>
      <c r="RIM218" s="1"/>
      <c r="RIN218" s="1"/>
      <c r="RIO218" s="1"/>
      <c r="RIP218" s="1"/>
      <c r="RIQ218" s="1"/>
      <c r="RIR218" s="1"/>
      <c r="RIS218" s="1"/>
      <c r="RIT218" s="1"/>
      <c r="RIU218" s="1"/>
      <c r="RIV218" s="1"/>
      <c r="RIW218" s="1"/>
      <c r="RIX218" s="1"/>
      <c r="RIY218" s="1"/>
      <c r="RIZ218" s="1"/>
      <c r="RJA218" s="1"/>
      <c r="RJB218" s="1"/>
      <c r="RJC218" s="1"/>
      <c r="RJD218" s="1"/>
      <c r="RJE218" s="1"/>
      <c r="RJF218" s="1"/>
      <c r="RJG218" s="1"/>
      <c r="RJH218" s="1"/>
      <c r="RJI218" s="1"/>
      <c r="RJJ218" s="1"/>
      <c r="RJK218" s="1"/>
      <c r="RJL218" s="1"/>
      <c r="RJM218" s="1"/>
      <c r="RJN218" s="1"/>
      <c r="RJO218" s="1"/>
      <c r="RJP218" s="1"/>
      <c r="RJQ218" s="1"/>
      <c r="RJR218" s="1"/>
      <c r="RJS218" s="1"/>
      <c r="RJT218" s="1"/>
      <c r="RJU218" s="1"/>
      <c r="RJV218" s="1"/>
      <c r="RJW218" s="1"/>
      <c r="RJX218" s="1"/>
      <c r="RJY218" s="1"/>
      <c r="RJZ218" s="1"/>
      <c r="RKA218" s="1"/>
      <c r="RKB218" s="1"/>
      <c r="RKC218" s="1"/>
      <c r="RKD218" s="1"/>
      <c r="RKE218" s="1"/>
      <c r="RKF218" s="1"/>
      <c r="RKG218" s="1"/>
      <c r="RKH218" s="1"/>
      <c r="RKI218" s="1"/>
      <c r="RKJ218" s="1"/>
      <c r="RKK218" s="1"/>
      <c r="RKL218" s="1"/>
      <c r="RKM218" s="1"/>
      <c r="RKN218" s="1"/>
      <c r="RKO218" s="1"/>
      <c r="RKP218" s="1"/>
      <c r="RKQ218" s="1"/>
      <c r="RKR218" s="1"/>
      <c r="RKS218" s="1"/>
      <c r="RKT218" s="1"/>
      <c r="RKU218" s="1"/>
      <c r="RKV218" s="1"/>
      <c r="RKW218" s="1"/>
      <c r="RKX218" s="1"/>
      <c r="RKY218" s="1"/>
      <c r="RKZ218" s="1"/>
      <c r="RLA218" s="1"/>
      <c r="RLB218" s="1"/>
      <c r="RLC218" s="1"/>
      <c r="RLD218" s="1"/>
      <c r="RLE218" s="1"/>
      <c r="RLF218" s="1"/>
      <c r="RLG218" s="1"/>
      <c r="RLH218" s="1"/>
      <c r="RLI218" s="1"/>
      <c r="RLJ218" s="1"/>
      <c r="RLK218" s="1"/>
      <c r="RLL218" s="1"/>
      <c r="RLM218" s="1"/>
      <c r="RLN218" s="1"/>
      <c r="RLO218" s="1"/>
      <c r="RLP218" s="1"/>
      <c r="RLQ218" s="1"/>
      <c r="RLR218" s="1"/>
      <c r="RLS218" s="1"/>
      <c r="RLT218" s="1"/>
      <c r="RLU218" s="1"/>
      <c r="RLV218" s="1"/>
      <c r="RLW218" s="1"/>
      <c r="RLX218" s="1"/>
      <c r="RLY218" s="1"/>
      <c r="RLZ218" s="1"/>
      <c r="RMA218" s="1"/>
      <c r="RMB218" s="1"/>
      <c r="RMC218" s="1"/>
      <c r="RMD218" s="1"/>
      <c r="RME218" s="1"/>
      <c r="RMF218" s="1"/>
      <c r="RMG218" s="1"/>
      <c r="RMH218" s="1"/>
      <c r="RMI218" s="1"/>
      <c r="RMJ218" s="1"/>
      <c r="RMK218" s="1"/>
      <c r="RML218" s="1"/>
      <c r="RMM218" s="1"/>
      <c r="RMN218" s="1"/>
      <c r="RMO218" s="1"/>
      <c r="RMP218" s="1"/>
      <c r="RMQ218" s="1"/>
      <c r="RMR218" s="1"/>
      <c r="RMS218" s="1"/>
      <c r="RMT218" s="1"/>
      <c r="RMU218" s="1"/>
      <c r="RMV218" s="1"/>
      <c r="RMW218" s="1"/>
      <c r="RMX218" s="1"/>
      <c r="RMY218" s="1"/>
      <c r="RMZ218" s="1"/>
      <c r="RNA218" s="1"/>
      <c r="RNB218" s="1"/>
      <c r="RNC218" s="1"/>
      <c r="RND218" s="1"/>
      <c r="RNE218" s="1"/>
      <c r="RNF218" s="1"/>
      <c r="RNG218" s="1"/>
      <c r="RNH218" s="1"/>
      <c r="RNI218" s="1"/>
      <c r="RNJ218" s="1"/>
      <c r="RNK218" s="1"/>
      <c r="RNL218" s="1"/>
      <c r="RNM218" s="1"/>
      <c r="RNN218" s="1"/>
      <c r="RNO218" s="1"/>
      <c r="RNP218" s="1"/>
      <c r="RNQ218" s="1"/>
      <c r="RNR218" s="1"/>
      <c r="RNS218" s="1"/>
      <c r="RNT218" s="1"/>
      <c r="RNU218" s="1"/>
      <c r="RNV218" s="1"/>
      <c r="RNW218" s="1"/>
      <c r="RNX218" s="1"/>
      <c r="RNY218" s="1"/>
      <c r="RNZ218" s="1"/>
      <c r="ROA218" s="1"/>
      <c r="ROB218" s="1"/>
      <c r="ROC218" s="1"/>
      <c r="ROD218" s="1"/>
      <c r="ROE218" s="1"/>
      <c r="ROF218" s="1"/>
      <c r="ROG218" s="1"/>
      <c r="ROH218" s="1"/>
      <c r="ROI218" s="1"/>
      <c r="ROJ218" s="1"/>
      <c r="ROK218" s="1"/>
      <c r="ROL218" s="1"/>
      <c r="ROM218" s="1"/>
      <c r="RON218" s="1"/>
      <c r="ROO218" s="1"/>
      <c r="ROP218" s="1"/>
      <c r="ROQ218" s="1"/>
      <c r="ROR218" s="1"/>
      <c r="ROS218" s="1"/>
      <c r="ROT218" s="1"/>
      <c r="ROU218" s="1"/>
      <c r="ROV218" s="1"/>
      <c r="ROW218" s="1"/>
      <c r="ROX218" s="1"/>
      <c r="ROY218" s="1"/>
      <c r="ROZ218" s="1"/>
      <c r="RPA218" s="1"/>
      <c r="RPB218" s="1"/>
      <c r="RPC218" s="1"/>
      <c r="RPD218" s="1"/>
      <c r="RPE218" s="1"/>
      <c r="RPF218" s="1"/>
      <c r="RPG218" s="1"/>
      <c r="RPH218" s="1"/>
      <c r="RPI218" s="1"/>
      <c r="RPJ218" s="1"/>
      <c r="RPK218" s="1"/>
      <c r="RPL218" s="1"/>
      <c r="RPM218" s="1"/>
      <c r="RPN218" s="1"/>
      <c r="RPO218" s="1"/>
      <c r="RPP218" s="1"/>
      <c r="RPQ218" s="1"/>
      <c r="RPR218" s="1"/>
      <c r="RPS218" s="1"/>
      <c r="RPT218" s="1"/>
      <c r="RPU218" s="1"/>
      <c r="RPV218" s="1"/>
      <c r="RPW218" s="1"/>
      <c r="RPX218" s="1"/>
      <c r="RPY218" s="1"/>
      <c r="RPZ218" s="1"/>
      <c r="RQA218" s="1"/>
      <c r="RQB218" s="1"/>
      <c r="RQC218" s="1"/>
      <c r="RQD218" s="1"/>
      <c r="RQE218" s="1"/>
      <c r="RQF218" s="1"/>
      <c r="RQG218" s="1"/>
      <c r="RQH218" s="1"/>
      <c r="RQI218" s="1"/>
      <c r="RQJ218" s="1"/>
      <c r="RQK218" s="1"/>
      <c r="RQL218" s="1"/>
      <c r="RQM218" s="1"/>
      <c r="RQN218" s="1"/>
      <c r="RQO218" s="1"/>
      <c r="RQP218" s="1"/>
      <c r="RQQ218" s="1"/>
      <c r="RQR218" s="1"/>
      <c r="RQS218" s="1"/>
      <c r="RQT218" s="1"/>
      <c r="RQU218" s="1"/>
      <c r="RQV218" s="1"/>
      <c r="RQW218" s="1"/>
      <c r="RQX218" s="1"/>
      <c r="RQY218" s="1"/>
      <c r="RQZ218" s="1"/>
      <c r="RRA218" s="1"/>
      <c r="RRB218" s="1"/>
      <c r="RRC218" s="1"/>
      <c r="RRD218" s="1"/>
      <c r="RRE218" s="1"/>
      <c r="RRF218" s="1"/>
      <c r="RRG218" s="1"/>
      <c r="RRH218" s="1"/>
      <c r="RRI218" s="1"/>
      <c r="RRJ218" s="1"/>
      <c r="RRK218" s="1"/>
      <c r="RRL218" s="1"/>
      <c r="RRM218" s="1"/>
      <c r="RRN218" s="1"/>
      <c r="RRO218" s="1"/>
      <c r="RRP218" s="1"/>
      <c r="RRQ218" s="1"/>
      <c r="RRR218" s="1"/>
      <c r="RRS218" s="1"/>
      <c r="RRT218" s="1"/>
      <c r="RRU218" s="1"/>
      <c r="RRV218" s="1"/>
      <c r="RRW218" s="1"/>
      <c r="RRX218" s="1"/>
      <c r="RRY218" s="1"/>
      <c r="RRZ218" s="1"/>
      <c r="RSA218" s="1"/>
      <c r="RSB218" s="1"/>
      <c r="RSC218" s="1"/>
      <c r="RSD218" s="1"/>
      <c r="RSE218" s="1"/>
      <c r="RSF218" s="1"/>
      <c r="RSG218" s="1"/>
      <c r="RSH218" s="1"/>
      <c r="RSI218" s="1"/>
      <c r="RSJ218" s="1"/>
      <c r="RSK218" s="1"/>
      <c r="RSL218" s="1"/>
      <c r="RSM218" s="1"/>
      <c r="RSN218" s="1"/>
      <c r="RSO218" s="1"/>
      <c r="RSP218" s="1"/>
      <c r="RSQ218" s="1"/>
      <c r="RSR218" s="1"/>
      <c r="RSS218" s="1"/>
      <c r="RST218" s="1"/>
      <c r="RSU218" s="1"/>
      <c r="RSV218" s="1"/>
      <c r="RSW218" s="1"/>
      <c r="RSX218" s="1"/>
      <c r="RSY218" s="1"/>
      <c r="RSZ218" s="1"/>
      <c r="RTA218" s="1"/>
      <c r="RTB218" s="1"/>
      <c r="RTC218" s="1"/>
      <c r="RTD218" s="1"/>
      <c r="RTE218" s="1"/>
      <c r="RTF218" s="1"/>
      <c r="RTG218" s="1"/>
      <c r="RTH218" s="1"/>
      <c r="RTI218" s="1"/>
      <c r="RTJ218" s="1"/>
      <c r="RTK218" s="1"/>
      <c r="RTL218" s="1"/>
      <c r="RTM218" s="1"/>
      <c r="RTN218" s="1"/>
      <c r="RTO218" s="1"/>
      <c r="RTP218" s="1"/>
      <c r="RTQ218" s="1"/>
      <c r="RTR218" s="1"/>
      <c r="RTS218" s="1"/>
      <c r="RTT218" s="1"/>
      <c r="RTU218" s="1"/>
      <c r="RTV218" s="1"/>
      <c r="RTW218" s="1"/>
      <c r="RTX218" s="1"/>
      <c r="RTY218" s="1"/>
      <c r="RTZ218" s="1"/>
      <c r="RUA218" s="1"/>
      <c r="RUB218" s="1"/>
      <c r="RUC218" s="1"/>
      <c r="RUD218" s="1"/>
      <c r="RUE218" s="1"/>
      <c r="RUF218" s="1"/>
      <c r="RUG218" s="1"/>
      <c r="RUH218" s="1"/>
      <c r="RUI218" s="1"/>
      <c r="RUJ218" s="1"/>
      <c r="RUK218" s="1"/>
      <c r="RUL218" s="1"/>
      <c r="RUM218" s="1"/>
      <c r="RUN218" s="1"/>
      <c r="RUO218" s="1"/>
      <c r="RUP218" s="1"/>
      <c r="RUQ218" s="1"/>
      <c r="RUR218" s="1"/>
      <c r="RUS218" s="1"/>
      <c r="RUT218" s="1"/>
      <c r="RUU218" s="1"/>
      <c r="RUV218" s="1"/>
      <c r="RUW218" s="1"/>
      <c r="RUX218" s="1"/>
      <c r="RUY218" s="1"/>
      <c r="RUZ218" s="1"/>
      <c r="RVA218" s="1"/>
      <c r="RVB218" s="1"/>
      <c r="RVC218" s="1"/>
      <c r="RVD218" s="1"/>
      <c r="RVE218" s="1"/>
      <c r="RVF218" s="1"/>
      <c r="RVG218" s="1"/>
      <c r="RVH218" s="1"/>
      <c r="RVI218" s="1"/>
      <c r="RVJ218" s="1"/>
      <c r="RVK218" s="1"/>
      <c r="RVL218" s="1"/>
      <c r="RVM218" s="1"/>
      <c r="RVN218" s="1"/>
      <c r="RVO218" s="1"/>
      <c r="RVP218" s="1"/>
      <c r="RVQ218" s="1"/>
      <c r="RVR218" s="1"/>
      <c r="RVS218" s="1"/>
      <c r="RVT218" s="1"/>
      <c r="RVU218" s="1"/>
      <c r="RVV218" s="1"/>
      <c r="RVW218" s="1"/>
      <c r="RVX218" s="1"/>
      <c r="RVY218" s="1"/>
      <c r="RVZ218" s="1"/>
      <c r="RWA218" s="1"/>
      <c r="RWB218" s="1"/>
      <c r="RWC218" s="1"/>
      <c r="RWD218" s="1"/>
      <c r="RWE218" s="1"/>
      <c r="RWF218" s="1"/>
      <c r="RWG218" s="1"/>
      <c r="RWH218" s="1"/>
      <c r="RWI218" s="1"/>
      <c r="RWJ218" s="1"/>
      <c r="RWK218" s="1"/>
      <c r="RWL218" s="1"/>
      <c r="RWM218" s="1"/>
      <c r="RWN218" s="1"/>
      <c r="RWO218" s="1"/>
      <c r="RWP218" s="1"/>
      <c r="RWQ218" s="1"/>
      <c r="RWR218" s="1"/>
      <c r="RWS218" s="1"/>
      <c r="RWT218" s="1"/>
      <c r="RWU218" s="1"/>
      <c r="RWV218" s="1"/>
      <c r="RWW218" s="1"/>
      <c r="RWX218" s="1"/>
      <c r="RWY218" s="1"/>
      <c r="RWZ218" s="1"/>
      <c r="RXA218" s="1"/>
      <c r="RXB218" s="1"/>
      <c r="RXC218" s="1"/>
      <c r="RXD218" s="1"/>
      <c r="RXE218" s="1"/>
      <c r="RXF218" s="1"/>
      <c r="RXG218" s="1"/>
      <c r="RXH218" s="1"/>
      <c r="RXI218" s="1"/>
      <c r="RXJ218" s="1"/>
      <c r="RXK218" s="1"/>
      <c r="RXL218" s="1"/>
      <c r="RXM218" s="1"/>
      <c r="RXN218" s="1"/>
      <c r="RXO218" s="1"/>
      <c r="RXP218" s="1"/>
      <c r="RXQ218" s="1"/>
      <c r="RXR218" s="1"/>
      <c r="RXS218" s="1"/>
      <c r="RXT218" s="1"/>
      <c r="RXU218" s="1"/>
      <c r="RXV218" s="1"/>
      <c r="RXW218" s="1"/>
      <c r="RXX218" s="1"/>
      <c r="RXY218" s="1"/>
      <c r="RXZ218" s="1"/>
      <c r="RYA218" s="1"/>
      <c r="RYB218" s="1"/>
      <c r="RYC218" s="1"/>
      <c r="RYD218" s="1"/>
      <c r="RYE218" s="1"/>
      <c r="RYF218" s="1"/>
      <c r="RYG218" s="1"/>
      <c r="RYH218" s="1"/>
      <c r="RYI218" s="1"/>
      <c r="RYJ218" s="1"/>
      <c r="RYK218" s="1"/>
      <c r="RYL218" s="1"/>
      <c r="RYM218" s="1"/>
      <c r="RYN218" s="1"/>
      <c r="RYO218" s="1"/>
      <c r="RYP218" s="1"/>
      <c r="RYQ218" s="1"/>
      <c r="RYR218" s="1"/>
      <c r="RYS218" s="1"/>
      <c r="RYT218" s="1"/>
      <c r="RYU218" s="1"/>
      <c r="RYV218" s="1"/>
      <c r="RYW218" s="1"/>
      <c r="RYX218" s="1"/>
      <c r="RYY218" s="1"/>
      <c r="RYZ218" s="1"/>
      <c r="RZA218" s="1"/>
      <c r="RZB218" s="1"/>
      <c r="RZC218" s="1"/>
      <c r="RZD218" s="1"/>
      <c r="RZE218" s="1"/>
      <c r="RZF218" s="1"/>
      <c r="RZG218" s="1"/>
      <c r="RZH218" s="1"/>
      <c r="RZI218" s="1"/>
      <c r="RZJ218" s="1"/>
      <c r="RZK218" s="1"/>
      <c r="RZL218" s="1"/>
      <c r="RZM218" s="1"/>
      <c r="RZN218" s="1"/>
      <c r="RZO218" s="1"/>
      <c r="RZP218" s="1"/>
      <c r="RZQ218" s="1"/>
      <c r="RZR218" s="1"/>
      <c r="RZS218" s="1"/>
      <c r="RZT218" s="1"/>
      <c r="RZU218" s="1"/>
      <c r="RZV218" s="1"/>
      <c r="RZW218" s="1"/>
      <c r="RZX218" s="1"/>
      <c r="RZY218" s="1"/>
      <c r="RZZ218" s="1"/>
      <c r="SAA218" s="1"/>
      <c r="SAB218" s="1"/>
      <c r="SAC218" s="1"/>
      <c r="SAD218" s="1"/>
      <c r="SAE218" s="1"/>
      <c r="SAF218" s="1"/>
      <c r="SAG218" s="1"/>
      <c r="SAH218" s="1"/>
      <c r="SAI218" s="1"/>
      <c r="SAJ218" s="1"/>
      <c r="SAK218" s="1"/>
      <c r="SAL218" s="1"/>
      <c r="SAM218" s="1"/>
      <c r="SAN218" s="1"/>
      <c r="SAO218" s="1"/>
      <c r="SAP218" s="1"/>
      <c r="SAQ218" s="1"/>
      <c r="SAR218" s="1"/>
      <c r="SAS218" s="1"/>
      <c r="SAT218" s="1"/>
      <c r="SAU218" s="1"/>
      <c r="SAV218" s="1"/>
      <c r="SAW218" s="1"/>
      <c r="SAX218" s="1"/>
      <c r="SAY218" s="1"/>
      <c r="SAZ218" s="1"/>
      <c r="SBA218" s="1"/>
      <c r="SBB218" s="1"/>
      <c r="SBC218" s="1"/>
      <c r="SBD218" s="1"/>
      <c r="SBE218" s="1"/>
      <c r="SBF218" s="1"/>
      <c r="SBG218" s="1"/>
      <c r="SBH218" s="1"/>
      <c r="SBI218" s="1"/>
      <c r="SBJ218" s="1"/>
      <c r="SBK218" s="1"/>
      <c r="SBL218" s="1"/>
      <c r="SBM218" s="1"/>
      <c r="SBN218" s="1"/>
      <c r="SBO218" s="1"/>
      <c r="SBP218" s="1"/>
      <c r="SBQ218" s="1"/>
      <c r="SBR218" s="1"/>
      <c r="SBS218" s="1"/>
      <c r="SBT218" s="1"/>
      <c r="SBU218" s="1"/>
      <c r="SBV218" s="1"/>
      <c r="SBW218" s="1"/>
      <c r="SBX218" s="1"/>
      <c r="SBY218" s="1"/>
      <c r="SBZ218" s="1"/>
      <c r="SCA218" s="1"/>
      <c r="SCB218" s="1"/>
      <c r="SCC218" s="1"/>
      <c r="SCD218" s="1"/>
      <c r="SCE218" s="1"/>
      <c r="SCF218" s="1"/>
      <c r="SCG218" s="1"/>
      <c r="SCH218" s="1"/>
      <c r="SCI218" s="1"/>
      <c r="SCJ218" s="1"/>
      <c r="SCK218" s="1"/>
      <c r="SCL218" s="1"/>
      <c r="SCM218" s="1"/>
      <c r="SCN218" s="1"/>
      <c r="SCO218" s="1"/>
      <c r="SCP218" s="1"/>
      <c r="SCQ218" s="1"/>
      <c r="SCR218" s="1"/>
      <c r="SCS218" s="1"/>
      <c r="SCT218" s="1"/>
      <c r="SCU218" s="1"/>
      <c r="SCV218" s="1"/>
      <c r="SCW218" s="1"/>
      <c r="SCX218" s="1"/>
      <c r="SCY218" s="1"/>
      <c r="SCZ218" s="1"/>
      <c r="SDA218" s="1"/>
      <c r="SDB218" s="1"/>
      <c r="SDC218" s="1"/>
      <c r="SDD218" s="1"/>
      <c r="SDE218" s="1"/>
      <c r="SDF218" s="1"/>
      <c r="SDG218" s="1"/>
      <c r="SDH218" s="1"/>
      <c r="SDI218" s="1"/>
      <c r="SDJ218" s="1"/>
      <c r="SDK218" s="1"/>
      <c r="SDL218" s="1"/>
      <c r="SDM218" s="1"/>
      <c r="SDN218" s="1"/>
      <c r="SDO218" s="1"/>
      <c r="SDP218" s="1"/>
      <c r="SDQ218" s="1"/>
      <c r="SDR218" s="1"/>
      <c r="SDS218" s="1"/>
      <c r="SDT218" s="1"/>
      <c r="SDU218" s="1"/>
      <c r="SDV218" s="1"/>
      <c r="SDW218" s="1"/>
      <c r="SDX218" s="1"/>
      <c r="SDY218" s="1"/>
      <c r="SDZ218" s="1"/>
      <c r="SEA218" s="1"/>
      <c r="SEB218" s="1"/>
      <c r="SEC218" s="1"/>
      <c r="SED218" s="1"/>
      <c r="SEE218" s="1"/>
      <c r="SEF218" s="1"/>
      <c r="SEG218" s="1"/>
      <c r="SEH218" s="1"/>
      <c r="SEI218" s="1"/>
      <c r="SEJ218" s="1"/>
      <c r="SEK218" s="1"/>
      <c r="SEL218" s="1"/>
      <c r="SEM218" s="1"/>
      <c r="SEN218" s="1"/>
      <c r="SEO218" s="1"/>
      <c r="SEP218" s="1"/>
      <c r="SEQ218" s="1"/>
      <c r="SER218" s="1"/>
      <c r="SES218" s="1"/>
      <c r="SET218" s="1"/>
      <c r="SEU218" s="1"/>
      <c r="SEV218" s="1"/>
      <c r="SEW218" s="1"/>
      <c r="SEX218" s="1"/>
      <c r="SEY218" s="1"/>
      <c r="SEZ218" s="1"/>
      <c r="SFA218" s="1"/>
      <c r="SFB218" s="1"/>
      <c r="SFC218" s="1"/>
      <c r="SFD218" s="1"/>
      <c r="SFE218" s="1"/>
      <c r="SFF218" s="1"/>
      <c r="SFG218" s="1"/>
      <c r="SFH218" s="1"/>
      <c r="SFI218" s="1"/>
      <c r="SFJ218" s="1"/>
      <c r="SFK218" s="1"/>
      <c r="SFL218" s="1"/>
      <c r="SFM218" s="1"/>
      <c r="SFN218" s="1"/>
      <c r="SFO218" s="1"/>
      <c r="SFP218" s="1"/>
      <c r="SFQ218" s="1"/>
      <c r="SFR218" s="1"/>
      <c r="SFS218" s="1"/>
      <c r="SFT218" s="1"/>
      <c r="SFU218" s="1"/>
      <c r="SFV218" s="1"/>
      <c r="SFW218" s="1"/>
      <c r="SFX218" s="1"/>
      <c r="SFY218" s="1"/>
      <c r="SFZ218" s="1"/>
      <c r="SGA218" s="1"/>
      <c r="SGB218" s="1"/>
      <c r="SGC218" s="1"/>
      <c r="SGD218" s="1"/>
      <c r="SGE218" s="1"/>
      <c r="SGF218" s="1"/>
      <c r="SGG218" s="1"/>
      <c r="SGH218" s="1"/>
      <c r="SGI218" s="1"/>
      <c r="SGJ218" s="1"/>
      <c r="SGK218" s="1"/>
      <c r="SGL218" s="1"/>
      <c r="SGM218" s="1"/>
      <c r="SGN218" s="1"/>
      <c r="SGO218" s="1"/>
      <c r="SGP218" s="1"/>
      <c r="SGQ218" s="1"/>
      <c r="SGR218" s="1"/>
      <c r="SGS218" s="1"/>
      <c r="SGT218" s="1"/>
      <c r="SGU218" s="1"/>
      <c r="SGV218" s="1"/>
      <c r="SGW218" s="1"/>
      <c r="SGX218" s="1"/>
      <c r="SGY218" s="1"/>
      <c r="SGZ218" s="1"/>
      <c r="SHA218" s="1"/>
      <c r="SHB218" s="1"/>
      <c r="SHC218" s="1"/>
      <c r="SHD218" s="1"/>
      <c r="SHE218" s="1"/>
      <c r="SHF218" s="1"/>
      <c r="SHG218" s="1"/>
      <c r="SHH218" s="1"/>
      <c r="SHI218" s="1"/>
      <c r="SHJ218" s="1"/>
      <c r="SHK218" s="1"/>
      <c r="SHL218" s="1"/>
      <c r="SHM218" s="1"/>
      <c r="SHN218" s="1"/>
      <c r="SHO218" s="1"/>
      <c r="SHP218" s="1"/>
      <c r="SHQ218" s="1"/>
      <c r="SHR218" s="1"/>
      <c r="SHS218" s="1"/>
      <c r="SHT218" s="1"/>
      <c r="SHU218" s="1"/>
      <c r="SHV218" s="1"/>
      <c r="SHW218" s="1"/>
      <c r="SHX218" s="1"/>
      <c r="SHY218" s="1"/>
      <c r="SHZ218" s="1"/>
      <c r="SIA218" s="1"/>
      <c r="SIB218" s="1"/>
      <c r="SIC218" s="1"/>
      <c r="SID218" s="1"/>
      <c r="SIE218" s="1"/>
      <c r="SIF218" s="1"/>
      <c r="SIG218" s="1"/>
      <c r="SIH218" s="1"/>
      <c r="SII218" s="1"/>
      <c r="SIJ218" s="1"/>
      <c r="SIK218" s="1"/>
      <c r="SIL218" s="1"/>
      <c r="SIM218" s="1"/>
      <c r="SIN218" s="1"/>
      <c r="SIO218" s="1"/>
      <c r="SIP218" s="1"/>
      <c r="SIQ218" s="1"/>
      <c r="SIR218" s="1"/>
      <c r="SIS218" s="1"/>
      <c r="SIT218" s="1"/>
      <c r="SIU218" s="1"/>
      <c r="SIV218" s="1"/>
      <c r="SIW218" s="1"/>
      <c r="SIX218" s="1"/>
      <c r="SIY218" s="1"/>
      <c r="SIZ218" s="1"/>
      <c r="SJA218" s="1"/>
      <c r="SJB218" s="1"/>
      <c r="SJC218" s="1"/>
      <c r="SJD218" s="1"/>
      <c r="SJE218" s="1"/>
      <c r="SJF218" s="1"/>
      <c r="SJG218" s="1"/>
      <c r="SJH218" s="1"/>
      <c r="SJI218" s="1"/>
      <c r="SJJ218" s="1"/>
      <c r="SJK218" s="1"/>
      <c r="SJL218" s="1"/>
      <c r="SJM218" s="1"/>
      <c r="SJN218" s="1"/>
      <c r="SJO218" s="1"/>
      <c r="SJP218" s="1"/>
      <c r="SJQ218" s="1"/>
      <c r="SJR218" s="1"/>
      <c r="SJS218" s="1"/>
      <c r="SJT218" s="1"/>
      <c r="SJU218" s="1"/>
      <c r="SJV218" s="1"/>
      <c r="SJW218" s="1"/>
      <c r="SJX218" s="1"/>
      <c r="SJY218" s="1"/>
      <c r="SJZ218" s="1"/>
      <c r="SKA218" s="1"/>
      <c r="SKB218" s="1"/>
      <c r="SKC218" s="1"/>
      <c r="SKD218" s="1"/>
      <c r="SKE218" s="1"/>
      <c r="SKF218" s="1"/>
      <c r="SKG218" s="1"/>
      <c r="SKH218" s="1"/>
      <c r="SKI218" s="1"/>
      <c r="SKJ218" s="1"/>
      <c r="SKK218" s="1"/>
      <c r="SKL218" s="1"/>
      <c r="SKM218" s="1"/>
      <c r="SKN218" s="1"/>
      <c r="SKO218" s="1"/>
      <c r="SKP218" s="1"/>
      <c r="SKQ218" s="1"/>
      <c r="SKR218" s="1"/>
      <c r="SKS218" s="1"/>
      <c r="SKT218" s="1"/>
      <c r="SKU218" s="1"/>
      <c r="SKV218" s="1"/>
      <c r="SKW218" s="1"/>
      <c r="SKX218" s="1"/>
      <c r="SKY218" s="1"/>
      <c r="SKZ218" s="1"/>
      <c r="SLA218" s="1"/>
      <c r="SLB218" s="1"/>
      <c r="SLC218" s="1"/>
      <c r="SLD218" s="1"/>
      <c r="SLE218" s="1"/>
      <c r="SLF218" s="1"/>
      <c r="SLG218" s="1"/>
      <c r="SLH218" s="1"/>
      <c r="SLI218" s="1"/>
      <c r="SLJ218" s="1"/>
      <c r="SLK218" s="1"/>
      <c r="SLL218" s="1"/>
      <c r="SLM218" s="1"/>
      <c r="SLN218" s="1"/>
      <c r="SLO218" s="1"/>
      <c r="SLP218" s="1"/>
      <c r="SLQ218" s="1"/>
      <c r="SLR218" s="1"/>
      <c r="SLS218" s="1"/>
      <c r="SLT218" s="1"/>
      <c r="SLU218" s="1"/>
      <c r="SLV218" s="1"/>
      <c r="SLW218" s="1"/>
      <c r="SLX218" s="1"/>
      <c r="SLY218" s="1"/>
      <c r="SLZ218" s="1"/>
      <c r="SMA218" s="1"/>
      <c r="SMB218" s="1"/>
      <c r="SMC218" s="1"/>
      <c r="SMD218" s="1"/>
      <c r="SME218" s="1"/>
      <c r="SMF218" s="1"/>
      <c r="SMG218" s="1"/>
      <c r="SMH218" s="1"/>
      <c r="SMI218" s="1"/>
      <c r="SMJ218" s="1"/>
      <c r="SMK218" s="1"/>
      <c r="SML218" s="1"/>
      <c r="SMM218" s="1"/>
      <c r="SMN218" s="1"/>
      <c r="SMO218" s="1"/>
      <c r="SMP218" s="1"/>
      <c r="SMQ218" s="1"/>
      <c r="SMR218" s="1"/>
      <c r="SMS218" s="1"/>
      <c r="SMT218" s="1"/>
      <c r="SMU218" s="1"/>
      <c r="SMV218" s="1"/>
      <c r="SMW218" s="1"/>
      <c r="SMX218" s="1"/>
      <c r="SMY218" s="1"/>
      <c r="SMZ218" s="1"/>
      <c r="SNA218" s="1"/>
      <c r="SNB218" s="1"/>
      <c r="SNC218" s="1"/>
      <c r="SND218" s="1"/>
      <c r="SNE218" s="1"/>
      <c r="SNF218" s="1"/>
      <c r="SNG218" s="1"/>
      <c r="SNH218" s="1"/>
      <c r="SNI218" s="1"/>
      <c r="SNJ218" s="1"/>
      <c r="SNK218" s="1"/>
      <c r="SNL218" s="1"/>
      <c r="SNM218" s="1"/>
      <c r="SNN218" s="1"/>
      <c r="SNO218" s="1"/>
      <c r="SNP218" s="1"/>
      <c r="SNQ218" s="1"/>
      <c r="SNR218" s="1"/>
      <c r="SNS218" s="1"/>
      <c r="SNT218" s="1"/>
      <c r="SNU218" s="1"/>
      <c r="SNV218" s="1"/>
      <c r="SNW218" s="1"/>
      <c r="SNX218" s="1"/>
      <c r="SNY218" s="1"/>
      <c r="SNZ218" s="1"/>
      <c r="SOA218" s="1"/>
      <c r="SOB218" s="1"/>
      <c r="SOC218" s="1"/>
      <c r="SOD218" s="1"/>
      <c r="SOE218" s="1"/>
      <c r="SOF218" s="1"/>
      <c r="SOG218" s="1"/>
      <c r="SOH218" s="1"/>
      <c r="SOI218" s="1"/>
      <c r="SOJ218" s="1"/>
      <c r="SOK218" s="1"/>
      <c r="SOL218" s="1"/>
      <c r="SOM218" s="1"/>
      <c r="SON218" s="1"/>
      <c r="SOO218" s="1"/>
      <c r="SOP218" s="1"/>
      <c r="SOQ218" s="1"/>
      <c r="SOR218" s="1"/>
      <c r="SOS218" s="1"/>
      <c r="SOT218" s="1"/>
      <c r="SOU218" s="1"/>
      <c r="SOV218" s="1"/>
      <c r="SOW218" s="1"/>
      <c r="SOX218" s="1"/>
      <c r="SOY218" s="1"/>
      <c r="SOZ218" s="1"/>
      <c r="SPA218" s="1"/>
      <c r="SPB218" s="1"/>
      <c r="SPC218" s="1"/>
      <c r="SPD218" s="1"/>
      <c r="SPE218" s="1"/>
      <c r="SPF218" s="1"/>
      <c r="SPG218" s="1"/>
      <c r="SPH218" s="1"/>
      <c r="SPI218" s="1"/>
      <c r="SPJ218" s="1"/>
      <c r="SPK218" s="1"/>
      <c r="SPL218" s="1"/>
      <c r="SPM218" s="1"/>
      <c r="SPN218" s="1"/>
      <c r="SPO218" s="1"/>
      <c r="SPP218" s="1"/>
      <c r="SPQ218" s="1"/>
      <c r="SPR218" s="1"/>
      <c r="SPS218" s="1"/>
      <c r="SPT218" s="1"/>
      <c r="SPU218" s="1"/>
      <c r="SPV218" s="1"/>
      <c r="SPW218" s="1"/>
      <c r="SPX218" s="1"/>
      <c r="SPY218" s="1"/>
      <c r="SPZ218" s="1"/>
      <c r="SQA218" s="1"/>
      <c r="SQB218" s="1"/>
      <c r="SQC218" s="1"/>
      <c r="SQD218" s="1"/>
      <c r="SQE218" s="1"/>
      <c r="SQF218" s="1"/>
      <c r="SQG218" s="1"/>
      <c r="SQH218" s="1"/>
      <c r="SQI218" s="1"/>
      <c r="SQJ218" s="1"/>
      <c r="SQK218" s="1"/>
      <c r="SQL218" s="1"/>
      <c r="SQM218" s="1"/>
      <c r="SQN218" s="1"/>
      <c r="SQO218" s="1"/>
      <c r="SQP218" s="1"/>
      <c r="SQQ218" s="1"/>
      <c r="SQR218" s="1"/>
      <c r="SQS218" s="1"/>
      <c r="SQT218" s="1"/>
      <c r="SQU218" s="1"/>
      <c r="SQV218" s="1"/>
      <c r="SQW218" s="1"/>
      <c r="SQX218" s="1"/>
      <c r="SQY218" s="1"/>
      <c r="SQZ218" s="1"/>
      <c r="SRA218" s="1"/>
      <c r="SRB218" s="1"/>
      <c r="SRC218" s="1"/>
      <c r="SRD218" s="1"/>
      <c r="SRE218" s="1"/>
      <c r="SRF218" s="1"/>
      <c r="SRG218" s="1"/>
      <c r="SRH218" s="1"/>
      <c r="SRI218" s="1"/>
      <c r="SRJ218" s="1"/>
      <c r="SRK218" s="1"/>
      <c r="SRL218" s="1"/>
      <c r="SRM218" s="1"/>
      <c r="SRN218" s="1"/>
      <c r="SRO218" s="1"/>
      <c r="SRP218" s="1"/>
      <c r="SRQ218" s="1"/>
      <c r="SRR218" s="1"/>
      <c r="SRS218" s="1"/>
      <c r="SRT218" s="1"/>
      <c r="SRU218" s="1"/>
      <c r="SRV218" s="1"/>
      <c r="SRW218" s="1"/>
      <c r="SRX218" s="1"/>
      <c r="SRY218" s="1"/>
      <c r="SRZ218" s="1"/>
      <c r="SSA218" s="1"/>
      <c r="SSB218" s="1"/>
      <c r="SSC218" s="1"/>
      <c r="SSD218" s="1"/>
      <c r="SSE218" s="1"/>
      <c r="SSF218" s="1"/>
      <c r="SSG218" s="1"/>
      <c r="SSH218" s="1"/>
      <c r="SSI218" s="1"/>
      <c r="SSJ218" s="1"/>
      <c r="SSK218" s="1"/>
      <c r="SSL218" s="1"/>
      <c r="SSM218" s="1"/>
      <c r="SSN218" s="1"/>
      <c r="SSO218" s="1"/>
      <c r="SSP218" s="1"/>
      <c r="SSQ218" s="1"/>
      <c r="SSR218" s="1"/>
      <c r="SSS218" s="1"/>
      <c r="SST218" s="1"/>
      <c r="SSU218" s="1"/>
      <c r="SSV218" s="1"/>
      <c r="SSW218" s="1"/>
      <c r="SSX218" s="1"/>
      <c r="SSY218" s="1"/>
      <c r="SSZ218" s="1"/>
      <c r="STA218" s="1"/>
      <c r="STB218" s="1"/>
      <c r="STC218" s="1"/>
      <c r="STD218" s="1"/>
      <c r="STE218" s="1"/>
      <c r="STF218" s="1"/>
      <c r="STG218" s="1"/>
      <c r="STH218" s="1"/>
      <c r="STI218" s="1"/>
      <c r="STJ218" s="1"/>
      <c r="STK218" s="1"/>
      <c r="STL218" s="1"/>
      <c r="STM218" s="1"/>
      <c r="STN218" s="1"/>
      <c r="STO218" s="1"/>
      <c r="STP218" s="1"/>
      <c r="STQ218" s="1"/>
      <c r="STR218" s="1"/>
      <c r="STS218" s="1"/>
      <c r="STT218" s="1"/>
      <c r="STU218" s="1"/>
      <c r="STV218" s="1"/>
      <c r="STW218" s="1"/>
      <c r="STX218" s="1"/>
      <c r="STY218" s="1"/>
      <c r="STZ218" s="1"/>
      <c r="SUA218" s="1"/>
      <c r="SUB218" s="1"/>
      <c r="SUC218" s="1"/>
      <c r="SUD218" s="1"/>
      <c r="SUE218" s="1"/>
      <c r="SUF218" s="1"/>
      <c r="SUG218" s="1"/>
      <c r="SUH218" s="1"/>
      <c r="SUI218" s="1"/>
      <c r="SUJ218" s="1"/>
      <c r="SUK218" s="1"/>
      <c r="SUL218" s="1"/>
      <c r="SUM218" s="1"/>
      <c r="SUN218" s="1"/>
      <c r="SUO218" s="1"/>
      <c r="SUP218" s="1"/>
      <c r="SUQ218" s="1"/>
      <c r="SUR218" s="1"/>
      <c r="SUS218" s="1"/>
      <c r="SUT218" s="1"/>
      <c r="SUU218" s="1"/>
      <c r="SUV218" s="1"/>
      <c r="SUW218" s="1"/>
      <c r="SUX218" s="1"/>
      <c r="SUY218" s="1"/>
      <c r="SUZ218" s="1"/>
      <c r="SVA218" s="1"/>
      <c r="SVB218" s="1"/>
      <c r="SVC218" s="1"/>
      <c r="SVD218" s="1"/>
      <c r="SVE218" s="1"/>
      <c r="SVF218" s="1"/>
      <c r="SVG218" s="1"/>
      <c r="SVH218" s="1"/>
      <c r="SVI218" s="1"/>
      <c r="SVJ218" s="1"/>
      <c r="SVK218" s="1"/>
      <c r="SVL218" s="1"/>
      <c r="SVM218" s="1"/>
      <c r="SVN218" s="1"/>
      <c r="SVO218" s="1"/>
      <c r="SVP218" s="1"/>
      <c r="SVQ218" s="1"/>
      <c r="SVR218" s="1"/>
      <c r="SVS218" s="1"/>
      <c r="SVT218" s="1"/>
      <c r="SVU218" s="1"/>
      <c r="SVV218" s="1"/>
      <c r="SVW218" s="1"/>
      <c r="SVX218" s="1"/>
      <c r="SVY218" s="1"/>
      <c r="SVZ218" s="1"/>
      <c r="SWA218" s="1"/>
      <c r="SWB218" s="1"/>
      <c r="SWC218" s="1"/>
      <c r="SWD218" s="1"/>
      <c r="SWE218" s="1"/>
      <c r="SWF218" s="1"/>
      <c r="SWG218" s="1"/>
      <c r="SWH218" s="1"/>
      <c r="SWI218" s="1"/>
      <c r="SWJ218" s="1"/>
      <c r="SWK218" s="1"/>
      <c r="SWL218" s="1"/>
      <c r="SWM218" s="1"/>
      <c r="SWN218" s="1"/>
      <c r="SWO218" s="1"/>
      <c r="SWP218" s="1"/>
      <c r="SWQ218" s="1"/>
      <c r="SWR218" s="1"/>
      <c r="SWS218" s="1"/>
      <c r="SWT218" s="1"/>
      <c r="SWU218" s="1"/>
      <c r="SWV218" s="1"/>
      <c r="SWW218" s="1"/>
      <c r="SWX218" s="1"/>
      <c r="SWY218" s="1"/>
      <c r="SWZ218" s="1"/>
      <c r="SXA218" s="1"/>
      <c r="SXB218" s="1"/>
      <c r="SXC218" s="1"/>
      <c r="SXD218" s="1"/>
      <c r="SXE218" s="1"/>
      <c r="SXF218" s="1"/>
      <c r="SXG218" s="1"/>
      <c r="SXH218" s="1"/>
      <c r="SXI218" s="1"/>
      <c r="SXJ218" s="1"/>
      <c r="SXK218" s="1"/>
      <c r="SXL218" s="1"/>
      <c r="SXM218" s="1"/>
      <c r="SXN218" s="1"/>
      <c r="SXO218" s="1"/>
      <c r="SXP218" s="1"/>
      <c r="SXQ218" s="1"/>
      <c r="SXR218" s="1"/>
      <c r="SXS218" s="1"/>
      <c r="SXT218" s="1"/>
      <c r="SXU218" s="1"/>
      <c r="SXV218" s="1"/>
      <c r="SXW218" s="1"/>
      <c r="SXX218" s="1"/>
      <c r="SXY218" s="1"/>
      <c r="SXZ218" s="1"/>
      <c r="SYA218" s="1"/>
      <c r="SYB218" s="1"/>
      <c r="SYC218" s="1"/>
      <c r="SYD218" s="1"/>
      <c r="SYE218" s="1"/>
      <c r="SYF218" s="1"/>
      <c r="SYG218" s="1"/>
      <c r="SYH218" s="1"/>
      <c r="SYI218" s="1"/>
      <c r="SYJ218" s="1"/>
      <c r="SYK218" s="1"/>
      <c r="SYL218" s="1"/>
      <c r="SYM218" s="1"/>
      <c r="SYN218" s="1"/>
      <c r="SYO218" s="1"/>
      <c r="SYP218" s="1"/>
      <c r="SYQ218" s="1"/>
      <c r="SYR218" s="1"/>
      <c r="SYS218" s="1"/>
      <c r="SYT218" s="1"/>
      <c r="SYU218" s="1"/>
      <c r="SYV218" s="1"/>
      <c r="SYW218" s="1"/>
      <c r="SYX218" s="1"/>
      <c r="SYY218" s="1"/>
      <c r="SYZ218" s="1"/>
      <c r="SZA218" s="1"/>
      <c r="SZB218" s="1"/>
      <c r="SZC218" s="1"/>
      <c r="SZD218" s="1"/>
      <c r="SZE218" s="1"/>
      <c r="SZF218" s="1"/>
      <c r="SZG218" s="1"/>
      <c r="SZH218" s="1"/>
      <c r="SZI218" s="1"/>
      <c r="SZJ218" s="1"/>
      <c r="SZK218" s="1"/>
      <c r="SZL218" s="1"/>
      <c r="SZM218" s="1"/>
      <c r="SZN218" s="1"/>
      <c r="SZO218" s="1"/>
      <c r="SZP218" s="1"/>
      <c r="SZQ218" s="1"/>
      <c r="SZR218" s="1"/>
      <c r="SZS218" s="1"/>
      <c r="SZT218" s="1"/>
      <c r="SZU218" s="1"/>
      <c r="SZV218" s="1"/>
      <c r="SZW218" s="1"/>
      <c r="SZX218" s="1"/>
      <c r="SZY218" s="1"/>
      <c r="SZZ218" s="1"/>
      <c r="TAA218" s="1"/>
      <c r="TAB218" s="1"/>
      <c r="TAC218" s="1"/>
      <c r="TAD218" s="1"/>
      <c r="TAE218" s="1"/>
      <c r="TAF218" s="1"/>
      <c r="TAG218" s="1"/>
      <c r="TAH218" s="1"/>
      <c r="TAI218" s="1"/>
      <c r="TAJ218" s="1"/>
      <c r="TAK218" s="1"/>
      <c r="TAL218" s="1"/>
      <c r="TAM218" s="1"/>
      <c r="TAN218" s="1"/>
      <c r="TAO218" s="1"/>
      <c r="TAP218" s="1"/>
      <c r="TAQ218" s="1"/>
      <c r="TAR218" s="1"/>
      <c r="TAS218" s="1"/>
      <c r="TAT218" s="1"/>
      <c r="TAU218" s="1"/>
      <c r="TAV218" s="1"/>
      <c r="TAW218" s="1"/>
      <c r="TAX218" s="1"/>
      <c r="TAY218" s="1"/>
      <c r="TAZ218" s="1"/>
      <c r="TBA218" s="1"/>
      <c r="TBB218" s="1"/>
      <c r="TBC218" s="1"/>
      <c r="TBD218" s="1"/>
      <c r="TBE218" s="1"/>
      <c r="TBF218" s="1"/>
      <c r="TBG218" s="1"/>
      <c r="TBH218" s="1"/>
      <c r="TBI218" s="1"/>
      <c r="TBJ218" s="1"/>
      <c r="TBK218" s="1"/>
      <c r="TBL218" s="1"/>
      <c r="TBM218" s="1"/>
      <c r="TBN218" s="1"/>
      <c r="TBO218" s="1"/>
      <c r="TBP218" s="1"/>
      <c r="TBQ218" s="1"/>
      <c r="TBR218" s="1"/>
      <c r="TBS218" s="1"/>
      <c r="TBT218" s="1"/>
      <c r="TBU218" s="1"/>
      <c r="TBV218" s="1"/>
      <c r="TBW218" s="1"/>
      <c r="TBX218" s="1"/>
      <c r="TBY218" s="1"/>
      <c r="TBZ218" s="1"/>
      <c r="TCA218" s="1"/>
      <c r="TCB218" s="1"/>
      <c r="TCC218" s="1"/>
      <c r="TCD218" s="1"/>
      <c r="TCE218" s="1"/>
      <c r="TCF218" s="1"/>
      <c r="TCG218" s="1"/>
      <c r="TCH218" s="1"/>
      <c r="TCI218" s="1"/>
      <c r="TCJ218" s="1"/>
      <c r="TCK218" s="1"/>
      <c r="TCL218" s="1"/>
      <c r="TCM218" s="1"/>
      <c r="TCN218" s="1"/>
      <c r="TCO218" s="1"/>
      <c r="TCP218" s="1"/>
      <c r="TCQ218" s="1"/>
      <c r="TCR218" s="1"/>
      <c r="TCS218" s="1"/>
      <c r="TCT218" s="1"/>
      <c r="TCU218" s="1"/>
      <c r="TCV218" s="1"/>
      <c r="TCW218" s="1"/>
      <c r="TCX218" s="1"/>
      <c r="TCY218" s="1"/>
      <c r="TCZ218" s="1"/>
      <c r="TDA218" s="1"/>
      <c r="TDB218" s="1"/>
      <c r="TDC218" s="1"/>
      <c r="TDD218" s="1"/>
      <c r="TDE218" s="1"/>
      <c r="TDF218" s="1"/>
      <c r="TDG218" s="1"/>
      <c r="TDH218" s="1"/>
      <c r="TDI218" s="1"/>
      <c r="TDJ218" s="1"/>
      <c r="TDK218" s="1"/>
      <c r="TDL218" s="1"/>
      <c r="TDM218" s="1"/>
      <c r="TDN218" s="1"/>
      <c r="TDO218" s="1"/>
      <c r="TDP218" s="1"/>
      <c r="TDQ218" s="1"/>
      <c r="TDR218" s="1"/>
      <c r="TDS218" s="1"/>
      <c r="TDT218" s="1"/>
      <c r="TDU218" s="1"/>
      <c r="TDV218" s="1"/>
      <c r="TDW218" s="1"/>
      <c r="TDX218" s="1"/>
      <c r="TDY218" s="1"/>
      <c r="TDZ218" s="1"/>
      <c r="TEA218" s="1"/>
      <c r="TEB218" s="1"/>
      <c r="TEC218" s="1"/>
      <c r="TED218" s="1"/>
      <c r="TEE218" s="1"/>
      <c r="TEF218" s="1"/>
      <c r="TEG218" s="1"/>
      <c r="TEH218" s="1"/>
      <c r="TEI218" s="1"/>
      <c r="TEJ218" s="1"/>
      <c r="TEK218" s="1"/>
      <c r="TEL218" s="1"/>
      <c r="TEM218" s="1"/>
      <c r="TEN218" s="1"/>
      <c r="TEO218" s="1"/>
      <c r="TEP218" s="1"/>
      <c r="TEQ218" s="1"/>
      <c r="TER218" s="1"/>
      <c r="TES218" s="1"/>
      <c r="TET218" s="1"/>
      <c r="TEU218" s="1"/>
      <c r="TEV218" s="1"/>
      <c r="TEW218" s="1"/>
      <c r="TEX218" s="1"/>
      <c r="TEY218" s="1"/>
      <c r="TEZ218" s="1"/>
      <c r="TFA218" s="1"/>
      <c r="TFB218" s="1"/>
      <c r="TFC218" s="1"/>
      <c r="TFD218" s="1"/>
      <c r="TFE218" s="1"/>
      <c r="TFF218" s="1"/>
      <c r="TFG218" s="1"/>
      <c r="TFH218" s="1"/>
      <c r="TFI218" s="1"/>
      <c r="TFJ218" s="1"/>
      <c r="TFK218" s="1"/>
      <c r="TFL218" s="1"/>
      <c r="TFM218" s="1"/>
      <c r="TFN218" s="1"/>
      <c r="TFO218" s="1"/>
      <c r="TFP218" s="1"/>
      <c r="TFQ218" s="1"/>
      <c r="TFR218" s="1"/>
      <c r="TFS218" s="1"/>
      <c r="TFT218" s="1"/>
      <c r="TFU218" s="1"/>
      <c r="TFV218" s="1"/>
      <c r="TFW218" s="1"/>
      <c r="TFX218" s="1"/>
      <c r="TFY218" s="1"/>
      <c r="TFZ218" s="1"/>
      <c r="TGA218" s="1"/>
      <c r="TGB218" s="1"/>
      <c r="TGC218" s="1"/>
      <c r="TGD218" s="1"/>
      <c r="TGE218" s="1"/>
      <c r="TGF218" s="1"/>
      <c r="TGG218" s="1"/>
      <c r="TGH218" s="1"/>
      <c r="TGI218" s="1"/>
      <c r="TGJ218" s="1"/>
      <c r="TGK218" s="1"/>
      <c r="TGL218" s="1"/>
      <c r="TGM218" s="1"/>
      <c r="TGN218" s="1"/>
      <c r="TGO218" s="1"/>
      <c r="TGP218" s="1"/>
      <c r="TGQ218" s="1"/>
      <c r="TGR218" s="1"/>
      <c r="TGS218" s="1"/>
      <c r="TGT218" s="1"/>
      <c r="TGU218" s="1"/>
      <c r="TGV218" s="1"/>
      <c r="TGW218" s="1"/>
      <c r="TGX218" s="1"/>
      <c r="TGY218" s="1"/>
      <c r="TGZ218" s="1"/>
      <c r="THA218" s="1"/>
      <c r="THB218" s="1"/>
      <c r="THC218" s="1"/>
      <c r="THD218" s="1"/>
      <c r="THE218" s="1"/>
      <c r="THF218" s="1"/>
      <c r="THG218" s="1"/>
      <c r="THH218" s="1"/>
      <c r="THI218" s="1"/>
      <c r="THJ218" s="1"/>
      <c r="THK218" s="1"/>
      <c r="THL218" s="1"/>
      <c r="THM218" s="1"/>
      <c r="THN218" s="1"/>
      <c r="THO218" s="1"/>
      <c r="THP218" s="1"/>
      <c r="THQ218" s="1"/>
      <c r="THR218" s="1"/>
      <c r="THS218" s="1"/>
      <c r="THT218" s="1"/>
      <c r="THU218" s="1"/>
      <c r="THV218" s="1"/>
      <c r="THW218" s="1"/>
      <c r="THX218" s="1"/>
      <c r="THY218" s="1"/>
      <c r="THZ218" s="1"/>
      <c r="TIA218" s="1"/>
      <c r="TIB218" s="1"/>
      <c r="TIC218" s="1"/>
      <c r="TID218" s="1"/>
      <c r="TIE218" s="1"/>
      <c r="TIF218" s="1"/>
      <c r="TIG218" s="1"/>
      <c r="TIH218" s="1"/>
      <c r="TII218" s="1"/>
      <c r="TIJ218" s="1"/>
      <c r="TIK218" s="1"/>
      <c r="TIL218" s="1"/>
      <c r="TIM218" s="1"/>
      <c r="TIN218" s="1"/>
      <c r="TIO218" s="1"/>
      <c r="TIP218" s="1"/>
      <c r="TIQ218" s="1"/>
      <c r="TIR218" s="1"/>
      <c r="TIS218" s="1"/>
      <c r="TIT218" s="1"/>
      <c r="TIU218" s="1"/>
      <c r="TIV218" s="1"/>
      <c r="TIW218" s="1"/>
      <c r="TIX218" s="1"/>
      <c r="TIY218" s="1"/>
      <c r="TIZ218" s="1"/>
      <c r="TJA218" s="1"/>
      <c r="TJB218" s="1"/>
      <c r="TJC218" s="1"/>
      <c r="TJD218" s="1"/>
      <c r="TJE218" s="1"/>
      <c r="TJF218" s="1"/>
      <c r="TJG218" s="1"/>
      <c r="TJH218" s="1"/>
      <c r="TJI218" s="1"/>
      <c r="TJJ218" s="1"/>
      <c r="TJK218" s="1"/>
      <c r="TJL218" s="1"/>
      <c r="TJM218" s="1"/>
      <c r="TJN218" s="1"/>
      <c r="TJO218" s="1"/>
      <c r="TJP218" s="1"/>
      <c r="TJQ218" s="1"/>
      <c r="TJR218" s="1"/>
      <c r="TJS218" s="1"/>
      <c r="TJT218" s="1"/>
      <c r="TJU218" s="1"/>
      <c r="TJV218" s="1"/>
      <c r="TJW218" s="1"/>
      <c r="TJX218" s="1"/>
      <c r="TJY218" s="1"/>
      <c r="TJZ218" s="1"/>
      <c r="TKA218" s="1"/>
      <c r="TKB218" s="1"/>
      <c r="TKC218" s="1"/>
      <c r="TKD218" s="1"/>
      <c r="TKE218" s="1"/>
      <c r="TKF218" s="1"/>
      <c r="TKG218" s="1"/>
      <c r="TKH218" s="1"/>
      <c r="TKI218" s="1"/>
      <c r="TKJ218" s="1"/>
      <c r="TKK218" s="1"/>
      <c r="TKL218" s="1"/>
      <c r="TKM218" s="1"/>
      <c r="TKN218" s="1"/>
      <c r="TKO218" s="1"/>
      <c r="TKP218" s="1"/>
      <c r="TKQ218" s="1"/>
      <c r="TKR218" s="1"/>
      <c r="TKS218" s="1"/>
      <c r="TKT218" s="1"/>
      <c r="TKU218" s="1"/>
      <c r="TKV218" s="1"/>
      <c r="TKW218" s="1"/>
      <c r="TKX218" s="1"/>
      <c r="TKY218" s="1"/>
      <c r="TKZ218" s="1"/>
      <c r="TLA218" s="1"/>
      <c r="TLB218" s="1"/>
      <c r="TLC218" s="1"/>
      <c r="TLD218" s="1"/>
      <c r="TLE218" s="1"/>
      <c r="TLF218" s="1"/>
      <c r="TLG218" s="1"/>
      <c r="TLH218" s="1"/>
      <c r="TLI218" s="1"/>
      <c r="TLJ218" s="1"/>
      <c r="TLK218" s="1"/>
      <c r="TLL218" s="1"/>
      <c r="TLM218" s="1"/>
      <c r="TLN218" s="1"/>
      <c r="TLO218" s="1"/>
      <c r="TLP218" s="1"/>
      <c r="TLQ218" s="1"/>
      <c r="TLR218" s="1"/>
      <c r="TLS218" s="1"/>
      <c r="TLT218" s="1"/>
      <c r="TLU218" s="1"/>
      <c r="TLV218" s="1"/>
      <c r="TLW218" s="1"/>
      <c r="TLX218" s="1"/>
      <c r="TLY218" s="1"/>
      <c r="TLZ218" s="1"/>
      <c r="TMA218" s="1"/>
      <c r="TMB218" s="1"/>
      <c r="TMC218" s="1"/>
      <c r="TMD218" s="1"/>
      <c r="TME218" s="1"/>
      <c r="TMF218" s="1"/>
      <c r="TMG218" s="1"/>
      <c r="TMH218" s="1"/>
      <c r="TMI218" s="1"/>
      <c r="TMJ218" s="1"/>
      <c r="TMK218" s="1"/>
      <c r="TML218" s="1"/>
      <c r="TMM218" s="1"/>
      <c r="TMN218" s="1"/>
      <c r="TMO218" s="1"/>
      <c r="TMP218" s="1"/>
      <c r="TMQ218" s="1"/>
      <c r="TMR218" s="1"/>
      <c r="TMS218" s="1"/>
      <c r="TMT218" s="1"/>
      <c r="TMU218" s="1"/>
      <c r="TMV218" s="1"/>
      <c r="TMW218" s="1"/>
      <c r="TMX218" s="1"/>
      <c r="TMY218" s="1"/>
      <c r="TMZ218" s="1"/>
      <c r="TNA218" s="1"/>
      <c r="TNB218" s="1"/>
      <c r="TNC218" s="1"/>
      <c r="TND218" s="1"/>
      <c r="TNE218" s="1"/>
      <c r="TNF218" s="1"/>
      <c r="TNG218" s="1"/>
      <c r="TNH218" s="1"/>
      <c r="TNI218" s="1"/>
      <c r="TNJ218" s="1"/>
      <c r="TNK218" s="1"/>
      <c r="TNL218" s="1"/>
      <c r="TNM218" s="1"/>
      <c r="TNN218" s="1"/>
      <c r="TNO218" s="1"/>
      <c r="TNP218" s="1"/>
      <c r="TNQ218" s="1"/>
      <c r="TNR218" s="1"/>
      <c r="TNS218" s="1"/>
      <c r="TNT218" s="1"/>
      <c r="TNU218" s="1"/>
      <c r="TNV218" s="1"/>
      <c r="TNW218" s="1"/>
      <c r="TNX218" s="1"/>
      <c r="TNY218" s="1"/>
      <c r="TNZ218" s="1"/>
      <c r="TOA218" s="1"/>
      <c r="TOB218" s="1"/>
      <c r="TOC218" s="1"/>
      <c r="TOD218" s="1"/>
      <c r="TOE218" s="1"/>
      <c r="TOF218" s="1"/>
      <c r="TOG218" s="1"/>
      <c r="TOH218" s="1"/>
      <c r="TOI218" s="1"/>
      <c r="TOJ218" s="1"/>
      <c r="TOK218" s="1"/>
      <c r="TOL218" s="1"/>
      <c r="TOM218" s="1"/>
      <c r="TON218" s="1"/>
      <c r="TOO218" s="1"/>
      <c r="TOP218" s="1"/>
      <c r="TOQ218" s="1"/>
      <c r="TOR218" s="1"/>
      <c r="TOS218" s="1"/>
      <c r="TOT218" s="1"/>
      <c r="TOU218" s="1"/>
      <c r="TOV218" s="1"/>
      <c r="TOW218" s="1"/>
      <c r="TOX218" s="1"/>
      <c r="TOY218" s="1"/>
      <c r="TOZ218" s="1"/>
      <c r="TPA218" s="1"/>
      <c r="TPB218" s="1"/>
      <c r="TPC218" s="1"/>
      <c r="TPD218" s="1"/>
      <c r="TPE218" s="1"/>
      <c r="TPF218" s="1"/>
      <c r="TPG218" s="1"/>
      <c r="TPH218" s="1"/>
      <c r="TPI218" s="1"/>
      <c r="TPJ218" s="1"/>
      <c r="TPK218" s="1"/>
      <c r="TPL218" s="1"/>
      <c r="TPM218" s="1"/>
      <c r="TPN218" s="1"/>
      <c r="TPO218" s="1"/>
      <c r="TPP218" s="1"/>
      <c r="TPQ218" s="1"/>
      <c r="TPR218" s="1"/>
      <c r="TPS218" s="1"/>
      <c r="TPT218" s="1"/>
      <c r="TPU218" s="1"/>
      <c r="TPV218" s="1"/>
      <c r="TPW218" s="1"/>
      <c r="TPX218" s="1"/>
      <c r="TPY218" s="1"/>
      <c r="TPZ218" s="1"/>
      <c r="TQA218" s="1"/>
      <c r="TQB218" s="1"/>
      <c r="TQC218" s="1"/>
      <c r="TQD218" s="1"/>
      <c r="TQE218" s="1"/>
      <c r="TQF218" s="1"/>
      <c r="TQG218" s="1"/>
      <c r="TQH218" s="1"/>
      <c r="TQI218" s="1"/>
      <c r="TQJ218" s="1"/>
      <c r="TQK218" s="1"/>
      <c r="TQL218" s="1"/>
      <c r="TQM218" s="1"/>
      <c r="TQN218" s="1"/>
      <c r="TQO218" s="1"/>
      <c r="TQP218" s="1"/>
      <c r="TQQ218" s="1"/>
      <c r="TQR218" s="1"/>
      <c r="TQS218" s="1"/>
      <c r="TQT218" s="1"/>
      <c r="TQU218" s="1"/>
      <c r="TQV218" s="1"/>
      <c r="TQW218" s="1"/>
      <c r="TQX218" s="1"/>
      <c r="TQY218" s="1"/>
      <c r="TQZ218" s="1"/>
      <c r="TRA218" s="1"/>
      <c r="TRB218" s="1"/>
      <c r="TRC218" s="1"/>
      <c r="TRD218" s="1"/>
      <c r="TRE218" s="1"/>
      <c r="TRF218" s="1"/>
      <c r="TRG218" s="1"/>
      <c r="TRH218" s="1"/>
      <c r="TRI218" s="1"/>
      <c r="TRJ218" s="1"/>
      <c r="TRK218" s="1"/>
      <c r="TRL218" s="1"/>
      <c r="TRM218" s="1"/>
      <c r="TRN218" s="1"/>
      <c r="TRO218" s="1"/>
      <c r="TRP218" s="1"/>
      <c r="TRQ218" s="1"/>
      <c r="TRR218" s="1"/>
      <c r="TRS218" s="1"/>
      <c r="TRT218" s="1"/>
      <c r="TRU218" s="1"/>
      <c r="TRV218" s="1"/>
      <c r="TRW218" s="1"/>
      <c r="TRX218" s="1"/>
      <c r="TRY218" s="1"/>
      <c r="TRZ218" s="1"/>
      <c r="TSA218" s="1"/>
      <c r="TSB218" s="1"/>
      <c r="TSC218" s="1"/>
      <c r="TSD218" s="1"/>
      <c r="TSE218" s="1"/>
      <c r="TSF218" s="1"/>
      <c r="TSG218" s="1"/>
      <c r="TSH218" s="1"/>
      <c r="TSI218" s="1"/>
      <c r="TSJ218" s="1"/>
      <c r="TSK218" s="1"/>
      <c r="TSL218" s="1"/>
      <c r="TSM218" s="1"/>
      <c r="TSN218" s="1"/>
      <c r="TSO218" s="1"/>
      <c r="TSP218" s="1"/>
      <c r="TSQ218" s="1"/>
      <c r="TSR218" s="1"/>
      <c r="TSS218" s="1"/>
      <c r="TST218" s="1"/>
      <c r="TSU218" s="1"/>
      <c r="TSV218" s="1"/>
      <c r="TSW218" s="1"/>
      <c r="TSX218" s="1"/>
      <c r="TSY218" s="1"/>
      <c r="TSZ218" s="1"/>
      <c r="TTA218" s="1"/>
      <c r="TTB218" s="1"/>
      <c r="TTC218" s="1"/>
      <c r="TTD218" s="1"/>
      <c r="TTE218" s="1"/>
      <c r="TTF218" s="1"/>
      <c r="TTG218" s="1"/>
      <c r="TTH218" s="1"/>
      <c r="TTI218" s="1"/>
      <c r="TTJ218" s="1"/>
      <c r="TTK218" s="1"/>
      <c r="TTL218" s="1"/>
      <c r="TTM218" s="1"/>
      <c r="TTN218" s="1"/>
      <c r="TTO218" s="1"/>
      <c r="TTP218" s="1"/>
      <c r="TTQ218" s="1"/>
      <c r="TTR218" s="1"/>
      <c r="TTS218" s="1"/>
      <c r="TTT218" s="1"/>
      <c r="TTU218" s="1"/>
      <c r="TTV218" s="1"/>
      <c r="TTW218" s="1"/>
      <c r="TTX218" s="1"/>
      <c r="TTY218" s="1"/>
      <c r="TTZ218" s="1"/>
      <c r="TUA218" s="1"/>
      <c r="TUB218" s="1"/>
      <c r="TUC218" s="1"/>
      <c r="TUD218" s="1"/>
      <c r="TUE218" s="1"/>
      <c r="TUF218" s="1"/>
      <c r="TUG218" s="1"/>
      <c r="TUH218" s="1"/>
      <c r="TUI218" s="1"/>
      <c r="TUJ218" s="1"/>
      <c r="TUK218" s="1"/>
      <c r="TUL218" s="1"/>
      <c r="TUM218" s="1"/>
      <c r="TUN218" s="1"/>
      <c r="TUO218" s="1"/>
      <c r="TUP218" s="1"/>
      <c r="TUQ218" s="1"/>
      <c r="TUR218" s="1"/>
      <c r="TUS218" s="1"/>
      <c r="TUT218" s="1"/>
      <c r="TUU218" s="1"/>
      <c r="TUV218" s="1"/>
      <c r="TUW218" s="1"/>
      <c r="TUX218" s="1"/>
      <c r="TUY218" s="1"/>
      <c r="TUZ218" s="1"/>
      <c r="TVA218" s="1"/>
      <c r="TVB218" s="1"/>
      <c r="TVC218" s="1"/>
      <c r="TVD218" s="1"/>
      <c r="TVE218" s="1"/>
      <c r="TVF218" s="1"/>
      <c r="TVG218" s="1"/>
      <c r="TVH218" s="1"/>
      <c r="TVI218" s="1"/>
      <c r="TVJ218" s="1"/>
      <c r="TVK218" s="1"/>
      <c r="TVL218" s="1"/>
      <c r="TVM218" s="1"/>
      <c r="TVN218" s="1"/>
      <c r="TVO218" s="1"/>
      <c r="TVP218" s="1"/>
      <c r="TVQ218" s="1"/>
      <c r="TVR218" s="1"/>
      <c r="TVS218" s="1"/>
      <c r="TVT218" s="1"/>
      <c r="TVU218" s="1"/>
      <c r="TVV218" s="1"/>
      <c r="TVW218" s="1"/>
      <c r="TVX218" s="1"/>
      <c r="TVY218" s="1"/>
      <c r="TVZ218" s="1"/>
      <c r="TWA218" s="1"/>
      <c r="TWB218" s="1"/>
      <c r="TWC218" s="1"/>
      <c r="TWD218" s="1"/>
      <c r="TWE218" s="1"/>
      <c r="TWF218" s="1"/>
      <c r="TWG218" s="1"/>
      <c r="TWH218" s="1"/>
      <c r="TWI218" s="1"/>
      <c r="TWJ218" s="1"/>
      <c r="TWK218" s="1"/>
      <c r="TWL218" s="1"/>
      <c r="TWM218" s="1"/>
      <c r="TWN218" s="1"/>
      <c r="TWO218" s="1"/>
      <c r="TWP218" s="1"/>
      <c r="TWQ218" s="1"/>
      <c r="TWR218" s="1"/>
      <c r="TWS218" s="1"/>
      <c r="TWT218" s="1"/>
      <c r="TWU218" s="1"/>
      <c r="TWV218" s="1"/>
      <c r="TWW218" s="1"/>
      <c r="TWX218" s="1"/>
      <c r="TWY218" s="1"/>
      <c r="TWZ218" s="1"/>
      <c r="TXA218" s="1"/>
      <c r="TXB218" s="1"/>
      <c r="TXC218" s="1"/>
      <c r="TXD218" s="1"/>
      <c r="TXE218" s="1"/>
      <c r="TXF218" s="1"/>
      <c r="TXG218" s="1"/>
      <c r="TXH218" s="1"/>
      <c r="TXI218" s="1"/>
      <c r="TXJ218" s="1"/>
      <c r="TXK218" s="1"/>
      <c r="TXL218" s="1"/>
      <c r="TXM218" s="1"/>
      <c r="TXN218" s="1"/>
      <c r="TXO218" s="1"/>
      <c r="TXP218" s="1"/>
      <c r="TXQ218" s="1"/>
      <c r="TXR218" s="1"/>
      <c r="TXS218" s="1"/>
      <c r="TXT218" s="1"/>
      <c r="TXU218" s="1"/>
      <c r="TXV218" s="1"/>
      <c r="TXW218" s="1"/>
      <c r="TXX218" s="1"/>
      <c r="TXY218" s="1"/>
      <c r="TXZ218" s="1"/>
      <c r="TYA218" s="1"/>
      <c r="TYB218" s="1"/>
      <c r="TYC218" s="1"/>
      <c r="TYD218" s="1"/>
      <c r="TYE218" s="1"/>
      <c r="TYF218" s="1"/>
      <c r="TYG218" s="1"/>
      <c r="TYH218" s="1"/>
      <c r="TYI218" s="1"/>
      <c r="TYJ218" s="1"/>
      <c r="TYK218" s="1"/>
      <c r="TYL218" s="1"/>
      <c r="TYM218" s="1"/>
      <c r="TYN218" s="1"/>
      <c r="TYO218" s="1"/>
      <c r="TYP218" s="1"/>
      <c r="TYQ218" s="1"/>
      <c r="TYR218" s="1"/>
      <c r="TYS218" s="1"/>
      <c r="TYT218" s="1"/>
      <c r="TYU218" s="1"/>
      <c r="TYV218" s="1"/>
      <c r="TYW218" s="1"/>
      <c r="TYX218" s="1"/>
      <c r="TYY218" s="1"/>
      <c r="TYZ218" s="1"/>
      <c r="TZA218" s="1"/>
      <c r="TZB218" s="1"/>
      <c r="TZC218" s="1"/>
      <c r="TZD218" s="1"/>
      <c r="TZE218" s="1"/>
      <c r="TZF218" s="1"/>
      <c r="TZG218" s="1"/>
      <c r="TZH218" s="1"/>
      <c r="TZI218" s="1"/>
      <c r="TZJ218" s="1"/>
      <c r="TZK218" s="1"/>
      <c r="TZL218" s="1"/>
      <c r="TZM218" s="1"/>
      <c r="TZN218" s="1"/>
      <c r="TZO218" s="1"/>
      <c r="TZP218" s="1"/>
      <c r="TZQ218" s="1"/>
      <c r="TZR218" s="1"/>
      <c r="TZS218" s="1"/>
      <c r="TZT218" s="1"/>
      <c r="TZU218" s="1"/>
      <c r="TZV218" s="1"/>
      <c r="TZW218" s="1"/>
      <c r="TZX218" s="1"/>
      <c r="TZY218" s="1"/>
      <c r="TZZ218" s="1"/>
      <c r="UAA218" s="1"/>
      <c r="UAB218" s="1"/>
      <c r="UAC218" s="1"/>
      <c r="UAD218" s="1"/>
      <c r="UAE218" s="1"/>
      <c r="UAF218" s="1"/>
      <c r="UAG218" s="1"/>
      <c r="UAH218" s="1"/>
      <c r="UAI218" s="1"/>
      <c r="UAJ218" s="1"/>
      <c r="UAK218" s="1"/>
      <c r="UAL218" s="1"/>
      <c r="UAM218" s="1"/>
      <c r="UAN218" s="1"/>
      <c r="UAO218" s="1"/>
      <c r="UAP218" s="1"/>
      <c r="UAQ218" s="1"/>
      <c r="UAR218" s="1"/>
      <c r="UAS218" s="1"/>
      <c r="UAT218" s="1"/>
      <c r="UAU218" s="1"/>
      <c r="UAV218" s="1"/>
      <c r="UAW218" s="1"/>
      <c r="UAX218" s="1"/>
      <c r="UAY218" s="1"/>
      <c r="UAZ218" s="1"/>
      <c r="UBA218" s="1"/>
      <c r="UBB218" s="1"/>
      <c r="UBC218" s="1"/>
      <c r="UBD218" s="1"/>
      <c r="UBE218" s="1"/>
      <c r="UBF218" s="1"/>
      <c r="UBG218" s="1"/>
      <c r="UBH218" s="1"/>
      <c r="UBI218" s="1"/>
      <c r="UBJ218" s="1"/>
      <c r="UBK218" s="1"/>
      <c r="UBL218" s="1"/>
      <c r="UBM218" s="1"/>
      <c r="UBN218" s="1"/>
      <c r="UBO218" s="1"/>
      <c r="UBP218" s="1"/>
      <c r="UBQ218" s="1"/>
      <c r="UBR218" s="1"/>
      <c r="UBS218" s="1"/>
      <c r="UBT218" s="1"/>
      <c r="UBU218" s="1"/>
      <c r="UBV218" s="1"/>
      <c r="UBW218" s="1"/>
      <c r="UBX218" s="1"/>
      <c r="UBY218" s="1"/>
      <c r="UBZ218" s="1"/>
      <c r="UCA218" s="1"/>
      <c r="UCB218" s="1"/>
      <c r="UCC218" s="1"/>
      <c r="UCD218" s="1"/>
      <c r="UCE218" s="1"/>
      <c r="UCF218" s="1"/>
      <c r="UCG218" s="1"/>
      <c r="UCH218" s="1"/>
      <c r="UCI218" s="1"/>
      <c r="UCJ218" s="1"/>
      <c r="UCK218" s="1"/>
      <c r="UCL218" s="1"/>
      <c r="UCM218" s="1"/>
      <c r="UCN218" s="1"/>
      <c r="UCO218" s="1"/>
      <c r="UCP218" s="1"/>
      <c r="UCQ218" s="1"/>
      <c r="UCR218" s="1"/>
      <c r="UCS218" s="1"/>
      <c r="UCT218" s="1"/>
      <c r="UCU218" s="1"/>
      <c r="UCV218" s="1"/>
      <c r="UCW218" s="1"/>
      <c r="UCX218" s="1"/>
      <c r="UCY218" s="1"/>
      <c r="UCZ218" s="1"/>
      <c r="UDA218" s="1"/>
      <c r="UDB218" s="1"/>
      <c r="UDC218" s="1"/>
      <c r="UDD218" s="1"/>
      <c r="UDE218" s="1"/>
      <c r="UDF218" s="1"/>
      <c r="UDG218" s="1"/>
      <c r="UDH218" s="1"/>
      <c r="UDI218" s="1"/>
      <c r="UDJ218" s="1"/>
      <c r="UDK218" s="1"/>
      <c r="UDL218" s="1"/>
      <c r="UDM218" s="1"/>
      <c r="UDN218" s="1"/>
      <c r="UDO218" s="1"/>
      <c r="UDP218" s="1"/>
      <c r="UDQ218" s="1"/>
      <c r="UDR218" s="1"/>
      <c r="UDS218" s="1"/>
      <c r="UDT218" s="1"/>
      <c r="UDU218" s="1"/>
      <c r="UDV218" s="1"/>
      <c r="UDW218" s="1"/>
      <c r="UDX218" s="1"/>
      <c r="UDY218" s="1"/>
      <c r="UDZ218" s="1"/>
      <c r="UEA218" s="1"/>
      <c r="UEB218" s="1"/>
      <c r="UEC218" s="1"/>
      <c r="UED218" s="1"/>
      <c r="UEE218" s="1"/>
      <c r="UEF218" s="1"/>
      <c r="UEG218" s="1"/>
      <c r="UEH218" s="1"/>
      <c r="UEI218" s="1"/>
      <c r="UEJ218" s="1"/>
      <c r="UEK218" s="1"/>
      <c r="UEL218" s="1"/>
      <c r="UEM218" s="1"/>
      <c r="UEN218" s="1"/>
      <c r="UEO218" s="1"/>
      <c r="UEP218" s="1"/>
      <c r="UEQ218" s="1"/>
      <c r="UER218" s="1"/>
      <c r="UES218" s="1"/>
      <c r="UET218" s="1"/>
      <c r="UEU218" s="1"/>
      <c r="UEV218" s="1"/>
      <c r="UEW218" s="1"/>
      <c r="UEX218" s="1"/>
      <c r="UEY218" s="1"/>
      <c r="UEZ218" s="1"/>
      <c r="UFA218" s="1"/>
      <c r="UFB218" s="1"/>
      <c r="UFC218" s="1"/>
      <c r="UFD218" s="1"/>
      <c r="UFE218" s="1"/>
      <c r="UFF218" s="1"/>
      <c r="UFG218" s="1"/>
      <c r="UFH218" s="1"/>
      <c r="UFI218" s="1"/>
      <c r="UFJ218" s="1"/>
      <c r="UFK218" s="1"/>
      <c r="UFL218" s="1"/>
      <c r="UFM218" s="1"/>
      <c r="UFN218" s="1"/>
      <c r="UFO218" s="1"/>
      <c r="UFP218" s="1"/>
      <c r="UFQ218" s="1"/>
      <c r="UFR218" s="1"/>
      <c r="UFS218" s="1"/>
      <c r="UFT218" s="1"/>
      <c r="UFU218" s="1"/>
      <c r="UFV218" s="1"/>
      <c r="UFW218" s="1"/>
      <c r="UFX218" s="1"/>
      <c r="UFY218" s="1"/>
      <c r="UFZ218" s="1"/>
      <c r="UGA218" s="1"/>
      <c r="UGB218" s="1"/>
      <c r="UGC218" s="1"/>
      <c r="UGD218" s="1"/>
      <c r="UGE218" s="1"/>
      <c r="UGF218" s="1"/>
      <c r="UGG218" s="1"/>
      <c r="UGH218" s="1"/>
      <c r="UGI218" s="1"/>
      <c r="UGJ218" s="1"/>
      <c r="UGK218" s="1"/>
      <c r="UGL218" s="1"/>
      <c r="UGM218" s="1"/>
      <c r="UGN218" s="1"/>
      <c r="UGO218" s="1"/>
      <c r="UGP218" s="1"/>
      <c r="UGQ218" s="1"/>
      <c r="UGR218" s="1"/>
      <c r="UGS218" s="1"/>
      <c r="UGT218" s="1"/>
      <c r="UGU218" s="1"/>
      <c r="UGV218" s="1"/>
      <c r="UGW218" s="1"/>
      <c r="UGX218" s="1"/>
      <c r="UGY218" s="1"/>
      <c r="UGZ218" s="1"/>
      <c r="UHA218" s="1"/>
      <c r="UHB218" s="1"/>
      <c r="UHC218" s="1"/>
      <c r="UHD218" s="1"/>
      <c r="UHE218" s="1"/>
      <c r="UHF218" s="1"/>
      <c r="UHG218" s="1"/>
      <c r="UHH218" s="1"/>
      <c r="UHI218" s="1"/>
      <c r="UHJ218" s="1"/>
      <c r="UHK218" s="1"/>
      <c r="UHL218" s="1"/>
      <c r="UHM218" s="1"/>
      <c r="UHN218" s="1"/>
      <c r="UHO218" s="1"/>
      <c r="UHP218" s="1"/>
      <c r="UHQ218" s="1"/>
      <c r="UHR218" s="1"/>
      <c r="UHS218" s="1"/>
      <c r="UHT218" s="1"/>
      <c r="UHU218" s="1"/>
      <c r="UHV218" s="1"/>
      <c r="UHW218" s="1"/>
      <c r="UHX218" s="1"/>
      <c r="UHY218" s="1"/>
      <c r="UHZ218" s="1"/>
      <c r="UIA218" s="1"/>
      <c r="UIB218" s="1"/>
      <c r="UIC218" s="1"/>
      <c r="UID218" s="1"/>
      <c r="UIE218" s="1"/>
      <c r="UIF218" s="1"/>
      <c r="UIG218" s="1"/>
      <c r="UIH218" s="1"/>
      <c r="UII218" s="1"/>
      <c r="UIJ218" s="1"/>
      <c r="UIK218" s="1"/>
      <c r="UIL218" s="1"/>
      <c r="UIM218" s="1"/>
      <c r="UIN218" s="1"/>
      <c r="UIO218" s="1"/>
      <c r="UIP218" s="1"/>
      <c r="UIQ218" s="1"/>
      <c r="UIR218" s="1"/>
      <c r="UIS218" s="1"/>
      <c r="UIT218" s="1"/>
      <c r="UIU218" s="1"/>
      <c r="UIV218" s="1"/>
      <c r="UIW218" s="1"/>
      <c r="UIX218" s="1"/>
      <c r="UIY218" s="1"/>
      <c r="UIZ218" s="1"/>
      <c r="UJA218" s="1"/>
      <c r="UJB218" s="1"/>
      <c r="UJC218" s="1"/>
      <c r="UJD218" s="1"/>
      <c r="UJE218" s="1"/>
      <c r="UJF218" s="1"/>
      <c r="UJG218" s="1"/>
      <c r="UJH218" s="1"/>
      <c r="UJI218" s="1"/>
      <c r="UJJ218" s="1"/>
      <c r="UJK218" s="1"/>
      <c r="UJL218" s="1"/>
      <c r="UJM218" s="1"/>
      <c r="UJN218" s="1"/>
      <c r="UJO218" s="1"/>
      <c r="UJP218" s="1"/>
      <c r="UJQ218" s="1"/>
      <c r="UJR218" s="1"/>
      <c r="UJS218" s="1"/>
      <c r="UJT218" s="1"/>
      <c r="UJU218" s="1"/>
      <c r="UJV218" s="1"/>
      <c r="UJW218" s="1"/>
      <c r="UJX218" s="1"/>
      <c r="UJY218" s="1"/>
      <c r="UJZ218" s="1"/>
      <c r="UKA218" s="1"/>
      <c r="UKB218" s="1"/>
      <c r="UKC218" s="1"/>
      <c r="UKD218" s="1"/>
      <c r="UKE218" s="1"/>
      <c r="UKF218" s="1"/>
      <c r="UKG218" s="1"/>
      <c r="UKH218" s="1"/>
      <c r="UKI218" s="1"/>
      <c r="UKJ218" s="1"/>
      <c r="UKK218" s="1"/>
      <c r="UKL218" s="1"/>
      <c r="UKM218" s="1"/>
      <c r="UKN218" s="1"/>
      <c r="UKO218" s="1"/>
      <c r="UKP218" s="1"/>
      <c r="UKQ218" s="1"/>
      <c r="UKR218" s="1"/>
      <c r="UKS218" s="1"/>
      <c r="UKT218" s="1"/>
      <c r="UKU218" s="1"/>
      <c r="UKV218" s="1"/>
      <c r="UKW218" s="1"/>
      <c r="UKX218" s="1"/>
      <c r="UKY218" s="1"/>
      <c r="UKZ218" s="1"/>
      <c r="ULA218" s="1"/>
      <c r="ULB218" s="1"/>
      <c r="ULC218" s="1"/>
      <c r="ULD218" s="1"/>
      <c r="ULE218" s="1"/>
      <c r="ULF218" s="1"/>
      <c r="ULG218" s="1"/>
      <c r="ULH218" s="1"/>
      <c r="ULI218" s="1"/>
      <c r="ULJ218" s="1"/>
      <c r="ULK218" s="1"/>
      <c r="ULL218" s="1"/>
      <c r="ULM218" s="1"/>
      <c r="ULN218" s="1"/>
      <c r="ULO218" s="1"/>
      <c r="ULP218" s="1"/>
      <c r="ULQ218" s="1"/>
      <c r="ULR218" s="1"/>
      <c r="ULS218" s="1"/>
      <c r="ULT218" s="1"/>
      <c r="ULU218" s="1"/>
      <c r="ULV218" s="1"/>
      <c r="ULW218" s="1"/>
      <c r="ULX218" s="1"/>
      <c r="ULY218" s="1"/>
      <c r="ULZ218" s="1"/>
      <c r="UMA218" s="1"/>
      <c r="UMB218" s="1"/>
      <c r="UMC218" s="1"/>
      <c r="UMD218" s="1"/>
      <c r="UME218" s="1"/>
      <c r="UMF218" s="1"/>
      <c r="UMG218" s="1"/>
      <c r="UMH218" s="1"/>
      <c r="UMI218" s="1"/>
      <c r="UMJ218" s="1"/>
      <c r="UMK218" s="1"/>
      <c r="UML218" s="1"/>
      <c r="UMM218" s="1"/>
      <c r="UMN218" s="1"/>
      <c r="UMO218" s="1"/>
      <c r="UMP218" s="1"/>
      <c r="UMQ218" s="1"/>
      <c r="UMR218" s="1"/>
      <c r="UMS218" s="1"/>
      <c r="UMT218" s="1"/>
      <c r="UMU218" s="1"/>
      <c r="UMV218" s="1"/>
      <c r="UMW218" s="1"/>
      <c r="UMX218" s="1"/>
      <c r="UMY218" s="1"/>
      <c r="UMZ218" s="1"/>
      <c r="UNA218" s="1"/>
      <c r="UNB218" s="1"/>
      <c r="UNC218" s="1"/>
      <c r="UND218" s="1"/>
      <c r="UNE218" s="1"/>
      <c r="UNF218" s="1"/>
      <c r="UNG218" s="1"/>
      <c r="UNH218" s="1"/>
      <c r="UNI218" s="1"/>
      <c r="UNJ218" s="1"/>
      <c r="UNK218" s="1"/>
      <c r="UNL218" s="1"/>
      <c r="UNM218" s="1"/>
      <c r="UNN218" s="1"/>
      <c r="UNO218" s="1"/>
      <c r="UNP218" s="1"/>
      <c r="UNQ218" s="1"/>
      <c r="UNR218" s="1"/>
      <c r="UNS218" s="1"/>
      <c r="UNT218" s="1"/>
      <c r="UNU218" s="1"/>
      <c r="UNV218" s="1"/>
      <c r="UNW218" s="1"/>
      <c r="UNX218" s="1"/>
      <c r="UNY218" s="1"/>
      <c r="UNZ218" s="1"/>
      <c r="UOA218" s="1"/>
      <c r="UOB218" s="1"/>
      <c r="UOC218" s="1"/>
      <c r="UOD218" s="1"/>
      <c r="UOE218" s="1"/>
      <c r="UOF218" s="1"/>
      <c r="UOG218" s="1"/>
      <c r="UOH218" s="1"/>
      <c r="UOI218" s="1"/>
      <c r="UOJ218" s="1"/>
      <c r="UOK218" s="1"/>
      <c r="UOL218" s="1"/>
      <c r="UOM218" s="1"/>
      <c r="UON218" s="1"/>
      <c r="UOO218" s="1"/>
      <c r="UOP218" s="1"/>
      <c r="UOQ218" s="1"/>
      <c r="UOR218" s="1"/>
      <c r="UOS218" s="1"/>
      <c r="UOT218" s="1"/>
      <c r="UOU218" s="1"/>
      <c r="UOV218" s="1"/>
      <c r="UOW218" s="1"/>
      <c r="UOX218" s="1"/>
      <c r="UOY218" s="1"/>
      <c r="UOZ218" s="1"/>
      <c r="UPA218" s="1"/>
      <c r="UPB218" s="1"/>
      <c r="UPC218" s="1"/>
      <c r="UPD218" s="1"/>
      <c r="UPE218" s="1"/>
      <c r="UPF218" s="1"/>
      <c r="UPG218" s="1"/>
      <c r="UPH218" s="1"/>
      <c r="UPI218" s="1"/>
      <c r="UPJ218" s="1"/>
      <c r="UPK218" s="1"/>
      <c r="UPL218" s="1"/>
      <c r="UPM218" s="1"/>
      <c r="UPN218" s="1"/>
      <c r="UPO218" s="1"/>
      <c r="UPP218" s="1"/>
      <c r="UPQ218" s="1"/>
      <c r="UPR218" s="1"/>
      <c r="UPS218" s="1"/>
      <c r="UPT218" s="1"/>
      <c r="UPU218" s="1"/>
      <c r="UPV218" s="1"/>
      <c r="UPW218" s="1"/>
      <c r="UPX218" s="1"/>
      <c r="UPY218" s="1"/>
      <c r="UPZ218" s="1"/>
      <c r="UQA218" s="1"/>
      <c r="UQB218" s="1"/>
      <c r="UQC218" s="1"/>
      <c r="UQD218" s="1"/>
      <c r="UQE218" s="1"/>
      <c r="UQF218" s="1"/>
      <c r="UQG218" s="1"/>
      <c r="UQH218" s="1"/>
      <c r="UQI218" s="1"/>
      <c r="UQJ218" s="1"/>
      <c r="UQK218" s="1"/>
      <c r="UQL218" s="1"/>
      <c r="UQM218" s="1"/>
      <c r="UQN218" s="1"/>
      <c r="UQO218" s="1"/>
      <c r="UQP218" s="1"/>
      <c r="UQQ218" s="1"/>
      <c r="UQR218" s="1"/>
      <c r="UQS218" s="1"/>
      <c r="UQT218" s="1"/>
      <c r="UQU218" s="1"/>
      <c r="UQV218" s="1"/>
      <c r="UQW218" s="1"/>
      <c r="UQX218" s="1"/>
      <c r="UQY218" s="1"/>
      <c r="UQZ218" s="1"/>
      <c r="URA218" s="1"/>
      <c r="URB218" s="1"/>
      <c r="URC218" s="1"/>
      <c r="URD218" s="1"/>
      <c r="URE218" s="1"/>
      <c r="URF218" s="1"/>
      <c r="URG218" s="1"/>
      <c r="URH218" s="1"/>
      <c r="URI218" s="1"/>
      <c r="URJ218" s="1"/>
      <c r="URK218" s="1"/>
      <c r="URL218" s="1"/>
      <c r="URM218" s="1"/>
      <c r="URN218" s="1"/>
      <c r="URO218" s="1"/>
      <c r="URP218" s="1"/>
      <c r="URQ218" s="1"/>
      <c r="URR218" s="1"/>
      <c r="URS218" s="1"/>
      <c r="URT218" s="1"/>
      <c r="URU218" s="1"/>
      <c r="URV218" s="1"/>
      <c r="URW218" s="1"/>
      <c r="URX218" s="1"/>
      <c r="URY218" s="1"/>
      <c r="URZ218" s="1"/>
      <c r="USA218" s="1"/>
      <c r="USB218" s="1"/>
      <c r="USC218" s="1"/>
      <c r="USD218" s="1"/>
      <c r="USE218" s="1"/>
      <c r="USF218" s="1"/>
      <c r="USG218" s="1"/>
      <c r="USH218" s="1"/>
      <c r="USI218" s="1"/>
      <c r="USJ218" s="1"/>
      <c r="USK218" s="1"/>
      <c r="USL218" s="1"/>
      <c r="USM218" s="1"/>
      <c r="USN218" s="1"/>
      <c r="USO218" s="1"/>
      <c r="USP218" s="1"/>
      <c r="USQ218" s="1"/>
      <c r="USR218" s="1"/>
      <c r="USS218" s="1"/>
      <c r="UST218" s="1"/>
      <c r="USU218" s="1"/>
      <c r="USV218" s="1"/>
      <c r="USW218" s="1"/>
      <c r="USX218" s="1"/>
      <c r="USY218" s="1"/>
      <c r="USZ218" s="1"/>
      <c r="UTA218" s="1"/>
      <c r="UTB218" s="1"/>
      <c r="UTC218" s="1"/>
      <c r="UTD218" s="1"/>
      <c r="UTE218" s="1"/>
      <c r="UTF218" s="1"/>
      <c r="UTG218" s="1"/>
      <c r="UTH218" s="1"/>
      <c r="UTI218" s="1"/>
      <c r="UTJ218" s="1"/>
      <c r="UTK218" s="1"/>
      <c r="UTL218" s="1"/>
      <c r="UTM218" s="1"/>
      <c r="UTN218" s="1"/>
      <c r="UTO218" s="1"/>
      <c r="UTP218" s="1"/>
      <c r="UTQ218" s="1"/>
      <c r="UTR218" s="1"/>
      <c r="UTS218" s="1"/>
      <c r="UTT218" s="1"/>
      <c r="UTU218" s="1"/>
      <c r="UTV218" s="1"/>
      <c r="UTW218" s="1"/>
      <c r="UTX218" s="1"/>
      <c r="UTY218" s="1"/>
      <c r="UTZ218" s="1"/>
      <c r="UUA218" s="1"/>
      <c r="UUB218" s="1"/>
      <c r="UUC218" s="1"/>
      <c r="UUD218" s="1"/>
      <c r="UUE218" s="1"/>
      <c r="UUF218" s="1"/>
      <c r="UUG218" s="1"/>
      <c r="UUH218" s="1"/>
      <c r="UUI218" s="1"/>
      <c r="UUJ218" s="1"/>
      <c r="UUK218" s="1"/>
      <c r="UUL218" s="1"/>
      <c r="UUM218" s="1"/>
      <c r="UUN218" s="1"/>
      <c r="UUO218" s="1"/>
      <c r="UUP218" s="1"/>
      <c r="UUQ218" s="1"/>
      <c r="UUR218" s="1"/>
      <c r="UUS218" s="1"/>
      <c r="UUT218" s="1"/>
      <c r="UUU218" s="1"/>
      <c r="UUV218" s="1"/>
      <c r="UUW218" s="1"/>
      <c r="UUX218" s="1"/>
      <c r="UUY218" s="1"/>
      <c r="UUZ218" s="1"/>
      <c r="UVA218" s="1"/>
      <c r="UVB218" s="1"/>
      <c r="UVC218" s="1"/>
      <c r="UVD218" s="1"/>
      <c r="UVE218" s="1"/>
      <c r="UVF218" s="1"/>
      <c r="UVG218" s="1"/>
      <c r="UVH218" s="1"/>
      <c r="UVI218" s="1"/>
      <c r="UVJ218" s="1"/>
      <c r="UVK218" s="1"/>
      <c r="UVL218" s="1"/>
      <c r="UVM218" s="1"/>
      <c r="UVN218" s="1"/>
      <c r="UVO218" s="1"/>
      <c r="UVP218" s="1"/>
      <c r="UVQ218" s="1"/>
      <c r="UVR218" s="1"/>
      <c r="UVS218" s="1"/>
      <c r="UVT218" s="1"/>
      <c r="UVU218" s="1"/>
      <c r="UVV218" s="1"/>
      <c r="UVW218" s="1"/>
      <c r="UVX218" s="1"/>
      <c r="UVY218" s="1"/>
      <c r="UVZ218" s="1"/>
      <c r="UWA218" s="1"/>
      <c r="UWB218" s="1"/>
      <c r="UWC218" s="1"/>
      <c r="UWD218" s="1"/>
      <c r="UWE218" s="1"/>
      <c r="UWF218" s="1"/>
      <c r="UWG218" s="1"/>
      <c r="UWH218" s="1"/>
      <c r="UWI218" s="1"/>
      <c r="UWJ218" s="1"/>
      <c r="UWK218" s="1"/>
      <c r="UWL218" s="1"/>
      <c r="UWM218" s="1"/>
      <c r="UWN218" s="1"/>
      <c r="UWO218" s="1"/>
      <c r="UWP218" s="1"/>
      <c r="UWQ218" s="1"/>
      <c r="UWR218" s="1"/>
      <c r="UWS218" s="1"/>
      <c r="UWT218" s="1"/>
      <c r="UWU218" s="1"/>
      <c r="UWV218" s="1"/>
      <c r="UWW218" s="1"/>
      <c r="UWX218" s="1"/>
      <c r="UWY218" s="1"/>
      <c r="UWZ218" s="1"/>
      <c r="UXA218" s="1"/>
      <c r="UXB218" s="1"/>
      <c r="UXC218" s="1"/>
      <c r="UXD218" s="1"/>
      <c r="UXE218" s="1"/>
      <c r="UXF218" s="1"/>
      <c r="UXG218" s="1"/>
      <c r="UXH218" s="1"/>
      <c r="UXI218" s="1"/>
      <c r="UXJ218" s="1"/>
      <c r="UXK218" s="1"/>
      <c r="UXL218" s="1"/>
      <c r="UXM218" s="1"/>
      <c r="UXN218" s="1"/>
      <c r="UXO218" s="1"/>
      <c r="UXP218" s="1"/>
      <c r="UXQ218" s="1"/>
      <c r="UXR218" s="1"/>
      <c r="UXS218" s="1"/>
      <c r="UXT218" s="1"/>
      <c r="UXU218" s="1"/>
      <c r="UXV218" s="1"/>
      <c r="UXW218" s="1"/>
      <c r="UXX218" s="1"/>
      <c r="UXY218" s="1"/>
      <c r="UXZ218" s="1"/>
      <c r="UYA218" s="1"/>
      <c r="UYB218" s="1"/>
      <c r="UYC218" s="1"/>
      <c r="UYD218" s="1"/>
      <c r="UYE218" s="1"/>
      <c r="UYF218" s="1"/>
      <c r="UYG218" s="1"/>
      <c r="UYH218" s="1"/>
      <c r="UYI218" s="1"/>
      <c r="UYJ218" s="1"/>
      <c r="UYK218" s="1"/>
      <c r="UYL218" s="1"/>
      <c r="UYM218" s="1"/>
      <c r="UYN218" s="1"/>
      <c r="UYO218" s="1"/>
      <c r="UYP218" s="1"/>
      <c r="UYQ218" s="1"/>
      <c r="UYR218" s="1"/>
      <c r="UYS218" s="1"/>
      <c r="UYT218" s="1"/>
      <c r="UYU218" s="1"/>
      <c r="UYV218" s="1"/>
      <c r="UYW218" s="1"/>
      <c r="UYX218" s="1"/>
      <c r="UYY218" s="1"/>
      <c r="UYZ218" s="1"/>
      <c r="UZA218" s="1"/>
      <c r="UZB218" s="1"/>
      <c r="UZC218" s="1"/>
      <c r="UZD218" s="1"/>
      <c r="UZE218" s="1"/>
      <c r="UZF218" s="1"/>
      <c r="UZG218" s="1"/>
      <c r="UZH218" s="1"/>
      <c r="UZI218" s="1"/>
      <c r="UZJ218" s="1"/>
      <c r="UZK218" s="1"/>
      <c r="UZL218" s="1"/>
      <c r="UZM218" s="1"/>
      <c r="UZN218" s="1"/>
      <c r="UZO218" s="1"/>
      <c r="UZP218" s="1"/>
      <c r="UZQ218" s="1"/>
      <c r="UZR218" s="1"/>
      <c r="UZS218" s="1"/>
      <c r="UZT218" s="1"/>
      <c r="UZU218" s="1"/>
      <c r="UZV218" s="1"/>
      <c r="UZW218" s="1"/>
      <c r="UZX218" s="1"/>
      <c r="UZY218" s="1"/>
      <c r="UZZ218" s="1"/>
      <c r="VAA218" s="1"/>
      <c r="VAB218" s="1"/>
      <c r="VAC218" s="1"/>
      <c r="VAD218" s="1"/>
      <c r="VAE218" s="1"/>
      <c r="VAF218" s="1"/>
      <c r="VAG218" s="1"/>
      <c r="VAH218" s="1"/>
      <c r="VAI218" s="1"/>
      <c r="VAJ218" s="1"/>
      <c r="VAK218" s="1"/>
      <c r="VAL218" s="1"/>
      <c r="VAM218" s="1"/>
      <c r="VAN218" s="1"/>
      <c r="VAO218" s="1"/>
      <c r="VAP218" s="1"/>
      <c r="VAQ218" s="1"/>
      <c r="VAR218" s="1"/>
      <c r="VAS218" s="1"/>
      <c r="VAT218" s="1"/>
      <c r="VAU218" s="1"/>
      <c r="VAV218" s="1"/>
      <c r="VAW218" s="1"/>
      <c r="VAX218" s="1"/>
      <c r="VAY218" s="1"/>
      <c r="VAZ218" s="1"/>
      <c r="VBA218" s="1"/>
      <c r="VBB218" s="1"/>
      <c r="VBC218" s="1"/>
      <c r="VBD218" s="1"/>
      <c r="VBE218" s="1"/>
      <c r="VBF218" s="1"/>
      <c r="VBG218" s="1"/>
      <c r="VBH218" s="1"/>
      <c r="VBI218" s="1"/>
      <c r="VBJ218" s="1"/>
      <c r="VBK218" s="1"/>
      <c r="VBL218" s="1"/>
      <c r="VBM218" s="1"/>
      <c r="VBN218" s="1"/>
      <c r="VBO218" s="1"/>
      <c r="VBP218" s="1"/>
      <c r="VBQ218" s="1"/>
      <c r="VBR218" s="1"/>
      <c r="VBS218" s="1"/>
      <c r="VBT218" s="1"/>
      <c r="VBU218" s="1"/>
      <c r="VBV218" s="1"/>
      <c r="VBW218" s="1"/>
      <c r="VBX218" s="1"/>
      <c r="VBY218" s="1"/>
      <c r="VBZ218" s="1"/>
      <c r="VCA218" s="1"/>
      <c r="VCB218" s="1"/>
      <c r="VCC218" s="1"/>
      <c r="VCD218" s="1"/>
      <c r="VCE218" s="1"/>
      <c r="VCF218" s="1"/>
      <c r="VCG218" s="1"/>
      <c r="VCH218" s="1"/>
      <c r="VCI218" s="1"/>
      <c r="VCJ218" s="1"/>
      <c r="VCK218" s="1"/>
      <c r="VCL218" s="1"/>
      <c r="VCM218" s="1"/>
      <c r="VCN218" s="1"/>
      <c r="VCO218" s="1"/>
      <c r="VCP218" s="1"/>
      <c r="VCQ218" s="1"/>
      <c r="VCR218" s="1"/>
      <c r="VCS218" s="1"/>
      <c r="VCT218" s="1"/>
      <c r="VCU218" s="1"/>
      <c r="VCV218" s="1"/>
      <c r="VCW218" s="1"/>
    </row>
    <row r="219" spans="5:14973" s="2" customFormat="1" ht="15" thickBot="1" x14ac:dyDescent="0.35">
      <c r="E219" s="1"/>
      <c r="F219" s="281"/>
      <c r="G219" s="282" t="s">
        <v>1</v>
      </c>
      <c r="H219" s="283"/>
      <c r="I219" s="284" t="s">
        <v>0</v>
      </c>
      <c r="J219" s="285">
        <f t="shared" ref="J219:AN219" si="104">SUM(J218:J218)</f>
        <v>27500</v>
      </c>
      <c r="K219" s="285">
        <f t="shared" si="104"/>
        <v>27000</v>
      </c>
      <c r="L219" s="285">
        <f t="shared" si="104"/>
        <v>26100</v>
      </c>
      <c r="M219" s="285">
        <f t="shared" si="104"/>
        <v>24800</v>
      </c>
      <c r="N219" s="285">
        <f t="shared" si="104"/>
        <v>27000</v>
      </c>
      <c r="O219" s="367">
        <f t="shared" si="104"/>
        <v>27400</v>
      </c>
      <c r="P219" s="285">
        <f t="shared" si="104"/>
        <v>25800</v>
      </c>
      <c r="Q219" s="285">
        <f t="shared" si="104"/>
        <v>23000</v>
      </c>
      <c r="R219" s="285">
        <f t="shared" si="104"/>
        <v>22500</v>
      </c>
      <c r="S219" s="285">
        <f t="shared" si="104"/>
        <v>23900</v>
      </c>
      <c r="T219" s="285">
        <f t="shared" si="104"/>
        <v>25400</v>
      </c>
      <c r="U219" s="285">
        <f t="shared" si="104"/>
        <v>23300</v>
      </c>
      <c r="V219" s="285">
        <f t="shared" si="104"/>
        <v>23300</v>
      </c>
      <c r="W219" s="285">
        <f t="shared" si="104"/>
        <v>24000</v>
      </c>
      <c r="X219" s="285">
        <f t="shared" si="104"/>
        <v>23300</v>
      </c>
      <c r="Y219" s="285">
        <f t="shared" si="104"/>
        <v>23800</v>
      </c>
      <c r="Z219" s="285">
        <f t="shared" si="104"/>
        <v>23200</v>
      </c>
      <c r="AA219" s="285">
        <f t="shared" si="104"/>
        <v>25300</v>
      </c>
      <c r="AB219" s="285">
        <f t="shared" si="104"/>
        <v>24600</v>
      </c>
      <c r="AC219" s="285">
        <f t="shared" si="104"/>
        <v>23800</v>
      </c>
      <c r="AD219" s="285">
        <f t="shared" si="104"/>
        <v>23600</v>
      </c>
      <c r="AE219" s="285">
        <f t="shared" si="104"/>
        <v>22700</v>
      </c>
      <c r="AF219" s="285">
        <f t="shared" si="104"/>
        <v>20400</v>
      </c>
      <c r="AG219" s="285">
        <f t="shared" si="104"/>
        <v>19000</v>
      </c>
      <c r="AH219" s="285">
        <f t="shared" si="104"/>
        <v>23800</v>
      </c>
      <c r="AI219" s="285">
        <f t="shared" si="104"/>
        <v>24800</v>
      </c>
      <c r="AJ219" s="285">
        <f t="shared" si="104"/>
        <v>23300</v>
      </c>
      <c r="AK219" s="285">
        <f t="shared" si="104"/>
        <v>24100</v>
      </c>
      <c r="AL219" s="285">
        <f t="shared" si="104"/>
        <v>26800</v>
      </c>
      <c r="AM219" s="285">
        <f t="shared" si="104"/>
        <v>24000</v>
      </c>
      <c r="AN219" s="285">
        <f t="shared" si="104"/>
        <v>22900</v>
      </c>
      <c r="AO219" s="7"/>
      <c r="AP219" s="6">
        <f>SUM(J219:AN219)</f>
        <v>750400</v>
      </c>
      <c r="AQ219" s="1"/>
      <c r="AR219" s="1"/>
      <c r="AT219" s="3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  <c r="UU219" s="1"/>
      <c r="UV219" s="1"/>
      <c r="UW219" s="1"/>
      <c r="UX219" s="1"/>
      <c r="UY219" s="1"/>
      <c r="UZ219" s="1"/>
      <c r="VA219" s="1"/>
      <c r="VB219" s="1"/>
      <c r="VC219" s="1"/>
      <c r="VD219" s="1"/>
      <c r="VE219" s="1"/>
      <c r="VF219" s="1"/>
      <c r="VG219" s="1"/>
      <c r="VH219" s="1"/>
      <c r="VI219" s="1"/>
      <c r="VJ219" s="1"/>
      <c r="VK219" s="1"/>
      <c r="VL219" s="1"/>
      <c r="VM219" s="1"/>
      <c r="VN219" s="1"/>
      <c r="VO219" s="1"/>
      <c r="VP219" s="1"/>
      <c r="VQ219" s="1"/>
      <c r="VR219" s="1"/>
      <c r="VS219" s="1"/>
      <c r="VT219" s="1"/>
      <c r="VU219" s="1"/>
      <c r="VV219" s="1"/>
      <c r="VW219" s="1"/>
      <c r="VX219" s="1"/>
      <c r="VY219" s="1"/>
      <c r="VZ219" s="1"/>
      <c r="WA219" s="1"/>
      <c r="WB219" s="1"/>
      <c r="WC219" s="1"/>
      <c r="WD219" s="1"/>
      <c r="WE219" s="1"/>
      <c r="WF219" s="1"/>
      <c r="WG219" s="1"/>
      <c r="WH219" s="1"/>
      <c r="WI219" s="1"/>
      <c r="WJ219" s="1"/>
      <c r="WK219" s="1"/>
      <c r="WL219" s="1"/>
      <c r="WM219" s="1"/>
      <c r="WN219" s="1"/>
      <c r="WO219" s="1"/>
      <c r="WP219" s="1"/>
      <c r="WQ219" s="1"/>
      <c r="WR219" s="1"/>
      <c r="WS219" s="1"/>
      <c r="WT219" s="1"/>
      <c r="WU219" s="1"/>
      <c r="WV219" s="1"/>
      <c r="WW219" s="1"/>
      <c r="WX219" s="1"/>
      <c r="WY219" s="1"/>
      <c r="WZ219" s="1"/>
      <c r="XA219" s="1"/>
      <c r="XB219" s="1"/>
      <c r="XC219" s="1"/>
      <c r="XD219" s="1"/>
      <c r="XE219" s="1"/>
      <c r="XF219" s="1"/>
      <c r="XG219" s="1"/>
      <c r="XH219" s="1"/>
      <c r="XI219" s="1"/>
      <c r="XJ219" s="1"/>
      <c r="XK219" s="1"/>
      <c r="XL219" s="1"/>
      <c r="XM219" s="1"/>
      <c r="XN219" s="1"/>
      <c r="XO219" s="1"/>
      <c r="XP219" s="1"/>
      <c r="XQ219" s="1"/>
      <c r="XR219" s="1"/>
      <c r="XS219" s="1"/>
      <c r="XT219" s="1"/>
      <c r="XU219" s="1"/>
      <c r="XV219" s="1"/>
      <c r="XW219" s="1"/>
      <c r="XX219" s="1"/>
      <c r="XY219" s="1"/>
      <c r="XZ219" s="1"/>
      <c r="YA219" s="1"/>
      <c r="YB219" s="1"/>
      <c r="YC219" s="1"/>
      <c r="YD219" s="1"/>
      <c r="YE219" s="1"/>
      <c r="YF219" s="1"/>
      <c r="YG219" s="1"/>
      <c r="YH219" s="1"/>
      <c r="YI219" s="1"/>
      <c r="YJ219" s="1"/>
      <c r="YK219" s="1"/>
      <c r="YL219" s="1"/>
      <c r="YM219" s="1"/>
      <c r="YN219" s="1"/>
      <c r="YO219" s="1"/>
      <c r="YP219" s="1"/>
      <c r="YQ219" s="1"/>
      <c r="YR219" s="1"/>
      <c r="YS219" s="1"/>
      <c r="YT219" s="1"/>
      <c r="YU219" s="1"/>
      <c r="YV219" s="1"/>
      <c r="YW219" s="1"/>
      <c r="YX219" s="1"/>
      <c r="YY219" s="1"/>
      <c r="YZ219" s="1"/>
      <c r="ZA219" s="1"/>
      <c r="ZB219" s="1"/>
      <c r="ZC219" s="1"/>
      <c r="ZD219" s="1"/>
      <c r="ZE219" s="1"/>
      <c r="ZF219" s="1"/>
      <c r="ZG219" s="1"/>
      <c r="ZH219" s="1"/>
      <c r="ZI219" s="1"/>
      <c r="ZJ219" s="1"/>
      <c r="ZK219" s="1"/>
      <c r="ZL219" s="1"/>
      <c r="ZM219" s="1"/>
      <c r="ZN219" s="1"/>
      <c r="ZO219" s="1"/>
      <c r="ZP219" s="1"/>
      <c r="ZQ219" s="1"/>
      <c r="ZR219" s="1"/>
      <c r="ZS219" s="1"/>
      <c r="ZT219" s="1"/>
      <c r="ZU219" s="1"/>
      <c r="ZV219" s="1"/>
      <c r="ZW219" s="1"/>
      <c r="ZX219" s="1"/>
      <c r="ZY219" s="1"/>
      <c r="ZZ219" s="1"/>
      <c r="AAA219" s="1"/>
      <c r="AAB219" s="1"/>
      <c r="AAC219" s="1"/>
      <c r="AAD219" s="1"/>
      <c r="AAE219" s="1"/>
      <c r="AAF219" s="1"/>
      <c r="AAG219" s="1"/>
      <c r="AAH219" s="1"/>
      <c r="AAI219" s="1"/>
      <c r="AAJ219" s="1"/>
      <c r="AAK219" s="1"/>
      <c r="AAL219" s="1"/>
      <c r="AAM219" s="1"/>
      <c r="AAN219" s="1"/>
      <c r="AAO219" s="1"/>
      <c r="AAP219" s="1"/>
      <c r="AAQ219" s="1"/>
      <c r="AAR219" s="1"/>
      <c r="AAS219" s="1"/>
      <c r="AAT219" s="1"/>
      <c r="AAU219" s="1"/>
      <c r="AAV219" s="1"/>
      <c r="AAW219" s="1"/>
      <c r="AAX219" s="1"/>
      <c r="AAY219" s="1"/>
      <c r="AAZ219" s="1"/>
      <c r="ABA219" s="1"/>
      <c r="ABB219" s="1"/>
      <c r="ABC219" s="1"/>
      <c r="ABD219" s="1"/>
      <c r="ABE219" s="1"/>
      <c r="ABF219" s="1"/>
      <c r="ABG219" s="1"/>
      <c r="ABH219" s="1"/>
      <c r="ABI219" s="1"/>
      <c r="ABJ219" s="1"/>
      <c r="ABK219" s="1"/>
      <c r="ABL219" s="1"/>
      <c r="ABM219" s="1"/>
      <c r="ABN219" s="1"/>
      <c r="ABO219" s="1"/>
      <c r="ABP219" s="1"/>
      <c r="ABQ219" s="1"/>
      <c r="ABR219" s="1"/>
      <c r="ABS219" s="1"/>
      <c r="ABT219" s="1"/>
      <c r="ABU219" s="1"/>
      <c r="ABV219" s="1"/>
      <c r="ABW219" s="1"/>
      <c r="ABX219" s="1"/>
      <c r="ABY219" s="1"/>
      <c r="ABZ219" s="1"/>
      <c r="ACA219" s="1"/>
      <c r="ACB219" s="1"/>
      <c r="ACC219" s="1"/>
      <c r="ACD219" s="1"/>
      <c r="ACE219" s="1"/>
      <c r="ACF219" s="1"/>
      <c r="ACG219" s="1"/>
      <c r="ACH219" s="1"/>
      <c r="ACI219" s="1"/>
      <c r="ACJ219" s="1"/>
      <c r="ACK219" s="1"/>
      <c r="ACL219" s="1"/>
      <c r="ACM219" s="1"/>
      <c r="ACN219" s="1"/>
      <c r="ACO219" s="1"/>
      <c r="ACP219" s="1"/>
      <c r="ACQ219" s="1"/>
      <c r="ACR219" s="1"/>
      <c r="ACS219" s="1"/>
      <c r="ACT219" s="1"/>
      <c r="ACU219" s="1"/>
      <c r="ACV219" s="1"/>
      <c r="ACW219" s="1"/>
      <c r="ACX219" s="1"/>
      <c r="ACY219" s="1"/>
      <c r="ACZ219" s="1"/>
      <c r="ADA219" s="1"/>
      <c r="ADB219" s="1"/>
      <c r="ADC219" s="1"/>
      <c r="ADD219" s="1"/>
      <c r="ADE219" s="1"/>
      <c r="ADF219" s="1"/>
      <c r="ADG219" s="1"/>
      <c r="ADH219" s="1"/>
      <c r="ADI219" s="1"/>
      <c r="ADJ219" s="1"/>
      <c r="ADK219" s="1"/>
      <c r="ADL219" s="1"/>
      <c r="ADM219" s="1"/>
      <c r="ADN219" s="1"/>
      <c r="ADO219" s="1"/>
      <c r="ADP219" s="1"/>
      <c r="ADQ219" s="1"/>
      <c r="ADR219" s="1"/>
      <c r="ADS219" s="1"/>
      <c r="ADT219" s="1"/>
      <c r="ADU219" s="1"/>
      <c r="ADV219" s="1"/>
      <c r="ADW219" s="1"/>
      <c r="ADX219" s="1"/>
      <c r="ADY219" s="1"/>
      <c r="ADZ219" s="1"/>
      <c r="AEA219" s="1"/>
      <c r="AEB219" s="1"/>
      <c r="AEC219" s="1"/>
      <c r="AED219" s="1"/>
      <c r="AEE219" s="1"/>
      <c r="AEF219" s="1"/>
      <c r="AEG219" s="1"/>
      <c r="AEH219" s="1"/>
      <c r="AEI219" s="1"/>
      <c r="AEJ219" s="1"/>
      <c r="AEK219" s="1"/>
      <c r="AEL219" s="1"/>
      <c r="AEM219" s="1"/>
      <c r="AEN219" s="1"/>
      <c r="AEO219" s="1"/>
      <c r="AEP219" s="1"/>
      <c r="AEQ219" s="1"/>
      <c r="AER219" s="1"/>
      <c r="AES219" s="1"/>
      <c r="AET219" s="1"/>
      <c r="AEU219" s="1"/>
      <c r="AEV219" s="1"/>
      <c r="AEW219" s="1"/>
      <c r="AEX219" s="1"/>
      <c r="AEY219" s="1"/>
      <c r="AEZ219" s="1"/>
      <c r="AFA219" s="1"/>
      <c r="AFB219" s="1"/>
      <c r="AFC219" s="1"/>
      <c r="AFD219" s="1"/>
      <c r="AFE219" s="1"/>
      <c r="AFF219" s="1"/>
      <c r="AFG219" s="1"/>
      <c r="AFH219" s="1"/>
      <c r="AFI219" s="1"/>
      <c r="AFJ219" s="1"/>
      <c r="AFK219" s="1"/>
      <c r="AFL219" s="1"/>
      <c r="AFM219" s="1"/>
      <c r="AFN219" s="1"/>
      <c r="AFO219" s="1"/>
      <c r="AFP219" s="1"/>
      <c r="AFQ219" s="1"/>
      <c r="AFR219" s="1"/>
      <c r="AFS219" s="1"/>
      <c r="AFT219" s="1"/>
      <c r="AFU219" s="1"/>
      <c r="AFV219" s="1"/>
      <c r="AFW219" s="1"/>
      <c r="AFX219" s="1"/>
      <c r="AFY219" s="1"/>
      <c r="AFZ219" s="1"/>
      <c r="AGA219" s="1"/>
      <c r="AGB219" s="1"/>
      <c r="AGC219" s="1"/>
      <c r="AGD219" s="1"/>
      <c r="AGE219" s="1"/>
      <c r="AGF219" s="1"/>
      <c r="AGG219" s="1"/>
      <c r="AGH219" s="1"/>
      <c r="AGI219" s="1"/>
      <c r="AGJ219" s="1"/>
      <c r="AGK219" s="1"/>
      <c r="AGL219" s="1"/>
      <c r="AGM219" s="1"/>
      <c r="AGN219" s="1"/>
      <c r="AGO219" s="1"/>
      <c r="AGP219" s="1"/>
      <c r="AGQ219" s="1"/>
      <c r="AGR219" s="1"/>
      <c r="AGS219" s="1"/>
      <c r="AGT219" s="1"/>
      <c r="AGU219" s="1"/>
      <c r="AGV219" s="1"/>
      <c r="AGW219" s="1"/>
      <c r="AGX219" s="1"/>
      <c r="AGY219" s="1"/>
      <c r="AGZ219" s="1"/>
      <c r="AHA219" s="1"/>
      <c r="AHB219" s="1"/>
      <c r="AHC219" s="1"/>
      <c r="AHD219" s="1"/>
      <c r="AHE219" s="1"/>
      <c r="AHF219" s="1"/>
      <c r="AHG219" s="1"/>
      <c r="AHH219" s="1"/>
      <c r="AHI219" s="1"/>
      <c r="AHJ219" s="1"/>
      <c r="AHK219" s="1"/>
      <c r="AHL219" s="1"/>
      <c r="AHM219" s="1"/>
      <c r="AHN219" s="1"/>
      <c r="AHO219" s="1"/>
      <c r="AHP219" s="1"/>
      <c r="AHQ219" s="1"/>
      <c r="AHR219" s="1"/>
      <c r="AHS219" s="1"/>
      <c r="AHT219" s="1"/>
      <c r="AHU219" s="1"/>
      <c r="AHV219" s="1"/>
      <c r="AHW219" s="1"/>
      <c r="AHX219" s="1"/>
      <c r="AHY219" s="1"/>
      <c r="AHZ219" s="1"/>
      <c r="AIA219" s="1"/>
      <c r="AIB219" s="1"/>
      <c r="AIC219" s="1"/>
      <c r="AID219" s="1"/>
      <c r="AIE219" s="1"/>
      <c r="AIF219" s="1"/>
      <c r="AIG219" s="1"/>
      <c r="AIH219" s="1"/>
      <c r="AII219" s="1"/>
      <c r="AIJ219" s="1"/>
      <c r="AIK219" s="1"/>
      <c r="AIL219" s="1"/>
      <c r="AIM219" s="1"/>
      <c r="AIN219" s="1"/>
      <c r="AIO219" s="1"/>
      <c r="AIP219" s="1"/>
      <c r="AIQ219" s="1"/>
      <c r="AIR219" s="1"/>
      <c r="AIS219" s="1"/>
      <c r="AIT219" s="1"/>
      <c r="AIU219" s="1"/>
      <c r="AIV219" s="1"/>
      <c r="AIW219" s="1"/>
      <c r="AIX219" s="1"/>
      <c r="AIY219" s="1"/>
      <c r="AIZ219" s="1"/>
      <c r="AJA219" s="1"/>
      <c r="AJB219" s="1"/>
      <c r="AJC219" s="1"/>
      <c r="AJD219" s="1"/>
      <c r="AJE219" s="1"/>
      <c r="AJF219" s="1"/>
      <c r="AJG219" s="1"/>
      <c r="AJH219" s="1"/>
      <c r="AJI219" s="1"/>
      <c r="AJJ219" s="1"/>
      <c r="AJK219" s="1"/>
      <c r="AJL219" s="1"/>
      <c r="AJM219" s="1"/>
      <c r="AJN219" s="1"/>
      <c r="AJO219" s="1"/>
      <c r="AJP219" s="1"/>
      <c r="AJQ219" s="1"/>
      <c r="AJR219" s="1"/>
      <c r="AJS219" s="1"/>
      <c r="AJT219" s="1"/>
      <c r="AJU219" s="1"/>
      <c r="AJV219" s="1"/>
      <c r="AJW219" s="1"/>
      <c r="AJX219" s="1"/>
      <c r="AJY219" s="1"/>
      <c r="AJZ219" s="1"/>
      <c r="AKA219" s="1"/>
      <c r="AKB219" s="1"/>
      <c r="AKC219" s="1"/>
      <c r="AKD219" s="1"/>
      <c r="AKE219" s="1"/>
      <c r="AKF219" s="1"/>
      <c r="AKG219" s="1"/>
      <c r="AKH219" s="1"/>
      <c r="AKI219" s="1"/>
      <c r="AKJ219" s="1"/>
      <c r="AKK219" s="1"/>
      <c r="AKL219" s="1"/>
      <c r="AKM219" s="1"/>
      <c r="AKN219" s="1"/>
      <c r="AKO219" s="1"/>
      <c r="AKP219" s="1"/>
      <c r="AKQ219" s="1"/>
      <c r="AKR219" s="1"/>
      <c r="AKS219" s="1"/>
      <c r="AKT219" s="1"/>
      <c r="AKU219" s="1"/>
      <c r="AKV219" s="1"/>
      <c r="AKW219" s="1"/>
      <c r="AKX219" s="1"/>
      <c r="AKY219" s="1"/>
      <c r="AKZ219" s="1"/>
      <c r="ALA219" s="1"/>
      <c r="ALB219" s="1"/>
      <c r="ALC219" s="1"/>
      <c r="ALD219" s="1"/>
      <c r="ALE219" s="1"/>
      <c r="ALF219" s="1"/>
      <c r="ALG219" s="1"/>
      <c r="ALH219" s="1"/>
      <c r="ALI219" s="1"/>
      <c r="ALJ219" s="1"/>
      <c r="ALK219" s="1"/>
      <c r="ALL219" s="1"/>
      <c r="ALM219" s="1"/>
      <c r="ALN219" s="1"/>
      <c r="ALO219" s="1"/>
      <c r="ALP219" s="1"/>
      <c r="ALQ219" s="1"/>
      <c r="ALR219" s="1"/>
      <c r="ALS219" s="1"/>
      <c r="ALT219" s="1"/>
      <c r="ALU219" s="1"/>
      <c r="ALV219" s="1"/>
      <c r="ALW219" s="1"/>
      <c r="ALX219" s="1"/>
      <c r="ALY219" s="1"/>
      <c r="ALZ219" s="1"/>
      <c r="AMA219" s="1"/>
      <c r="AMB219" s="1"/>
      <c r="AMC219" s="1"/>
      <c r="AMD219" s="1"/>
      <c r="AME219" s="1"/>
      <c r="AMF219" s="1"/>
      <c r="AMG219" s="1"/>
      <c r="AMH219" s="1"/>
      <c r="AMI219" s="1"/>
      <c r="AMJ219" s="1"/>
      <c r="AMK219" s="1"/>
      <c r="AML219" s="1"/>
      <c r="AMM219" s="1"/>
      <c r="AMN219" s="1"/>
      <c r="AMO219" s="1"/>
      <c r="AMP219" s="1"/>
      <c r="AMQ219" s="1"/>
      <c r="AMR219" s="1"/>
      <c r="AMS219" s="1"/>
      <c r="AMT219" s="1"/>
      <c r="AMU219" s="1"/>
      <c r="AMV219" s="1"/>
      <c r="AMW219" s="1"/>
      <c r="AMX219" s="1"/>
      <c r="AMY219" s="1"/>
      <c r="AMZ219" s="1"/>
      <c r="ANA219" s="1"/>
      <c r="ANB219" s="1"/>
      <c r="ANC219" s="1"/>
      <c r="AND219" s="1"/>
      <c r="ANE219" s="1"/>
      <c r="ANF219" s="1"/>
      <c r="ANG219" s="1"/>
      <c r="ANH219" s="1"/>
      <c r="ANI219" s="1"/>
      <c r="ANJ219" s="1"/>
      <c r="ANK219" s="1"/>
      <c r="ANL219" s="1"/>
      <c r="ANM219" s="1"/>
      <c r="ANN219" s="1"/>
      <c r="ANO219" s="1"/>
      <c r="ANP219" s="1"/>
      <c r="ANQ219" s="1"/>
      <c r="ANR219" s="1"/>
      <c r="ANS219" s="1"/>
      <c r="ANT219" s="1"/>
      <c r="ANU219" s="1"/>
      <c r="ANV219" s="1"/>
      <c r="ANW219" s="1"/>
      <c r="ANX219" s="1"/>
      <c r="ANY219" s="1"/>
      <c r="ANZ219" s="1"/>
      <c r="AOA219" s="1"/>
      <c r="AOB219" s="1"/>
      <c r="AOC219" s="1"/>
      <c r="AOD219" s="1"/>
      <c r="AOE219" s="1"/>
      <c r="AOF219" s="1"/>
      <c r="AOG219" s="1"/>
      <c r="AOH219" s="1"/>
      <c r="AOI219" s="1"/>
      <c r="AOJ219" s="1"/>
      <c r="AOK219" s="1"/>
      <c r="AOL219" s="1"/>
      <c r="AOM219" s="1"/>
      <c r="AON219" s="1"/>
      <c r="AOO219" s="1"/>
      <c r="AOP219" s="1"/>
      <c r="AOQ219" s="1"/>
      <c r="AOR219" s="1"/>
      <c r="AOS219" s="1"/>
      <c r="AOT219" s="1"/>
      <c r="AOU219" s="1"/>
      <c r="AOV219" s="1"/>
      <c r="AOW219" s="1"/>
      <c r="AOX219" s="1"/>
      <c r="AOY219" s="1"/>
      <c r="AOZ219" s="1"/>
      <c r="APA219" s="1"/>
      <c r="APB219" s="1"/>
      <c r="APC219" s="1"/>
      <c r="APD219" s="1"/>
      <c r="APE219" s="1"/>
      <c r="APF219" s="1"/>
      <c r="APG219" s="1"/>
      <c r="APH219" s="1"/>
      <c r="API219" s="1"/>
      <c r="APJ219" s="1"/>
      <c r="APK219" s="1"/>
      <c r="APL219" s="1"/>
      <c r="APM219" s="1"/>
      <c r="APN219" s="1"/>
      <c r="APO219" s="1"/>
      <c r="APP219" s="1"/>
      <c r="APQ219" s="1"/>
      <c r="APR219" s="1"/>
      <c r="APS219" s="1"/>
      <c r="APT219" s="1"/>
      <c r="APU219" s="1"/>
      <c r="APV219" s="1"/>
      <c r="APW219" s="1"/>
      <c r="APX219" s="1"/>
      <c r="APY219" s="1"/>
      <c r="APZ219" s="1"/>
      <c r="AQA219" s="1"/>
      <c r="AQB219" s="1"/>
      <c r="AQC219" s="1"/>
      <c r="AQD219" s="1"/>
      <c r="AQE219" s="1"/>
      <c r="AQF219" s="1"/>
      <c r="AQG219" s="1"/>
      <c r="AQH219" s="1"/>
      <c r="AQI219" s="1"/>
      <c r="AQJ219" s="1"/>
      <c r="AQK219" s="1"/>
      <c r="AQL219" s="1"/>
      <c r="AQM219" s="1"/>
      <c r="AQN219" s="1"/>
      <c r="AQO219" s="1"/>
      <c r="AQP219" s="1"/>
      <c r="AQQ219" s="1"/>
      <c r="AQR219" s="1"/>
      <c r="AQS219" s="1"/>
      <c r="AQT219" s="1"/>
      <c r="AQU219" s="1"/>
      <c r="AQV219" s="1"/>
      <c r="AQW219" s="1"/>
      <c r="AQX219" s="1"/>
      <c r="AQY219" s="1"/>
      <c r="AQZ219" s="1"/>
      <c r="ARA219" s="1"/>
      <c r="ARB219" s="1"/>
      <c r="ARC219" s="1"/>
      <c r="ARD219" s="1"/>
      <c r="ARE219" s="1"/>
      <c r="ARF219" s="1"/>
      <c r="ARG219" s="1"/>
      <c r="ARH219" s="1"/>
      <c r="ARI219" s="1"/>
      <c r="ARJ219" s="1"/>
      <c r="ARK219" s="1"/>
      <c r="ARL219" s="1"/>
      <c r="ARM219" s="1"/>
      <c r="ARN219" s="1"/>
      <c r="ARO219" s="1"/>
      <c r="ARP219" s="1"/>
      <c r="ARQ219" s="1"/>
      <c r="ARR219" s="1"/>
      <c r="ARS219" s="1"/>
      <c r="ART219" s="1"/>
      <c r="ARU219" s="1"/>
      <c r="ARV219" s="1"/>
      <c r="ARW219" s="1"/>
      <c r="ARX219" s="1"/>
      <c r="ARY219" s="1"/>
      <c r="ARZ219" s="1"/>
      <c r="ASA219" s="1"/>
      <c r="ASB219" s="1"/>
      <c r="ASC219" s="1"/>
      <c r="ASD219" s="1"/>
      <c r="ASE219" s="1"/>
      <c r="ASF219" s="1"/>
      <c r="ASG219" s="1"/>
      <c r="ASH219" s="1"/>
      <c r="ASI219" s="1"/>
      <c r="ASJ219" s="1"/>
      <c r="ASK219" s="1"/>
      <c r="ASL219" s="1"/>
      <c r="ASM219" s="1"/>
      <c r="ASN219" s="1"/>
      <c r="ASO219" s="1"/>
      <c r="ASP219" s="1"/>
      <c r="ASQ219" s="1"/>
      <c r="ASR219" s="1"/>
      <c r="ASS219" s="1"/>
      <c r="AST219" s="1"/>
      <c r="ASU219" s="1"/>
      <c r="ASV219" s="1"/>
      <c r="ASW219" s="1"/>
      <c r="ASX219" s="1"/>
      <c r="ASY219" s="1"/>
      <c r="ASZ219" s="1"/>
      <c r="ATA219" s="1"/>
      <c r="ATB219" s="1"/>
      <c r="ATC219" s="1"/>
      <c r="ATD219" s="1"/>
      <c r="ATE219" s="1"/>
      <c r="ATF219" s="1"/>
      <c r="ATG219" s="1"/>
      <c r="ATH219" s="1"/>
      <c r="ATI219" s="1"/>
      <c r="ATJ219" s="1"/>
      <c r="ATK219" s="1"/>
      <c r="ATL219" s="1"/>
      <c r="ATM219" s="1"/>
      <c r="ATN219" s="1"/>
      <c r="ATO219" s="1"/>
      <c r="ATP219" s="1"/>
      <c r="ATQ219" s="1"/>
      <c r="ATR219" s="1"/>
      <c r="ATS219" s="1"/>
      <c r="ATT219" s="1"/>
      <c r="ATU219" s="1"/>
      <c r="ATV219" s="1"/>
      <c r="ATW219" s="1"/>
      <c r="ATX219" s="1"/>
      <c r="ATY219" s="1"/>
      <c r="ATZ219" s="1"/>
      <c r="AUA219" s="1"/>
      <c r="AUB219" s="1"/>
      <c r="AUC219" s="1"/>
      <c r="AUD219" s="1"/>
      <c r="AUE219" s="1"/>
      <c r="AUF219" s="1"/>
      <c r="AUG219" s="1"/>
      <c r="AUH219" s="1"/>
      <c r="AUI219" s="1"/>
      <c r="AUJ219" s="1"/>
      <c r="AUK219" s="1"/>
      <c r="AUL219" s="1"/>
      <c r="AUM219" s="1"/>
      <c r="AUN219" s="1"/>
      <c r="AUO219" s="1"/>
      <c r="AUP219" s="1"/>
      <c r="AUQ219" s="1"/>
      <c r="AUR219" s="1"/>
      <c r="AUS219" s="1"/>
      <c r="AUT219" s="1"/>
      <c r="AUU219" s="1"/>
      <c r="AUV219" s="1"/>
      <c r="AUW219" s="1"/>
      <c r="AUX219" s="1"/>
      <c r="AUY219" s="1"/>
      <c r="AUZ219" s="1"/>
      <c r="AVA219" s="1"/>
      <c r="AVB219" s="1"/>
      <c r="AVC219" s="1"/>
      <c r="AVD219" s="1"/>
      <c r="AVE219" s="1"/>
      <c r="AVF219" s="1"/>
      <c r="AVG219" s="1"/>
      <c r="AVH219" s="1"/>
      <c r="AVI219" s="1"/>
      <c r="AVJ219" s="1"/>
      <c r="AVK219" s="1"/>
      <c r="AVL219" s="1"/>
      <c r="AVM219" s="1"/>
      <c r="AVN219" s="1"/>
      <c r="AVO219" s="1"/>
      <c r="AVP219" s="1"/>
      <c r="AVQ219" s="1"/>
      <c r="AVR219" s="1"/>
      <c r="AVS219" s="1"/>
      <c r="AVT219" s="1"/>
      <c r="AVU219" s="1"/>
      <c r="AVV219" s="1"/>
      <c r="AVW219" s="1"/>
      <c r="AVX219" s="1"/>
      <c r="AVY219" s="1"/>
      <c r="AVZ219" s="1"/>
      <c r="AWA219" s="1"/>
      <c r="AWB219" s="1"/>
      <c r="AWC219" s="1"/>
      <c r="AWD219" s="1"/>
      <c r="AWE219" s="1"/>
      <c r="AWF219" s="1"/>
      <c r="AWG219" s="1"/>
      <c r="AWH219" s="1"/>
      <c r="AWI219" s="1"/>
      <c r="AWJ219" s="1"/>
      <c r="AWK219" s="1"/>
      <c r="AWL219" s="1"/>
      <c r="AWM219" s="1"/>
      <c r="AWN219" s="1"/>
      <c r="AWO219" s="1"/>
      <c r="AWP219" s="1"/>
      <c r="AWQ219" s="1"/>
      <c r="AWR219" s="1"/>
      <c r="AWS219" s="1"/>
      <c r="AWT219" s="1"/>
      <c r="AWU219" s="1"/>
      <c r="AWV219" s="1"/>
      <c r="AWW219" s="1"/>
      <c r="AWX219" s="1"/>
      <c r="AWY219" s="1"/>
      <c r="AWZ219" s="1"/>
      <c r="AXA219" s="1"/>
      <c r="AXB219" s="1"/>
      <c r="AXC219" s="1"/>
      <c r="AXD219" s="1"/>
      <c r="AXE219" s="1"/>
      <c r="AXF219" s="1"/>
      <c r="AXG219" s="1"/>
      <c r="AXH219" s="1"/>
      <c r="AXI219" s="1"/>
      <c r="AXJ219" s="1"/>
      <c r="AXK219" s="1"/>
      <c r="AXL219" s="1"/>
      <c r="AXM219" s="1"/>
      <c r="AXN219" s="1"/>
      <c r="AXO219" s="1"/>
      <c r="AXP219" s="1"/>
      <c r="AXQ219" s="1"/>
      <c r="AXR219" s="1"/>
      <c r="AXS219" s="1"/>
      <c r="AXT219" s="1"/>
      <c r="AXU219" s="1"/>
      <c r="AXV219" s="1"/>
      <c r="AXW219" s="1"/>
      <c r="AXX219" s="1"/>
      <c r="AXY219" s="1"/>
      <c r="AXZ219" s="1"/>
      <c r="AYA219" s="1"/>
      <c r="AYB219" s="1"/>
      <c r="AYC219" s="1"/>
      <c r="AYD219" s="1"/>
      <c r="AYE219" s="1"/>
      <c r="AYF219" s="1"/>
      <c r="AYG219" s="1"/>
      <c r="AYH219" s="1"/>
      <c r="AYI219" s="1"/>
      <c r="AYJ219" s="1"/>
      <c r="AYK219" s="1"/>
      <c r="AYL219" s="1"/>
      <c r="AYM219" s="1"/>
      <c r="AYN219" s="1"/>
      <c r="AYO219" s="1"/>
      <c r="AYP219" s="1"/>
      <c r="AYQ219" s="1"/>
      <c r="AYR219" s="1"/>
      <c r="AYS219" s="1"/>
      <c r="AYT219" s="1"/>
      <c r="AYU219" s="1"/>
      <c r="AYV219" s="1"/>
      <c r="AYW219" s="1"/>
      <c r="AYX219" s="1"/>
      <c r="AYY219" s="1"/>
      <c r="AYZ219" s="1"/>
      <c r="AZA219" s="1"/>
      <c r="AZB219" s="1"/>
      <c r="AZC219" s="1"/>
      <c r="AZD219" s="1"/>
      <c r="AZE219" s="1"/>
      <c r="AZF219" s="1"/>
      <c r="AZG219" s="1"/>
      <c r="AZH219" s="1"/>
      <c r="AZI219" s="1"/>
      <c r="AZJ219" s="1"/>
      <c r="AZK219" s="1"/>
      <c r="AZL219" s="1"/>
      <c r="AZM219" s="1"/>
      <c r="AZN219" s="1"/>
      <c r="AZO219" s="1"/>
      <c r="AZP219" s="1"/>
      <c r="AZQ219" s="1"/>
      <c r="AZR219" s="1"/>
      <c r="AZS219" s="1"/>
      <c r="AZT219" s="1"/>
      <c r="AZU219" s="1"/>
      <c r="AZV219" s="1"/>
      <c r="AZW219" s="1"/>
      <c r="AZX219" s="1"/>
      <c r="AZY219" s="1"/>
      <c r="AZZ219" s="1"/>
      <c r="BAA219" s="1"/>
      <c r="BAB219" s="1"/>
      <c r="BAC219" s="1"/>
      <c r="BAD219" s="1"/>
      <c r="BAE219" s="1"/>
      <c r="BAF219" s="1"/>
      <c r="BAG219" s="1"/>
      <c r="BAH219" s="1"/>
      <c r="BAI219" s="1"/>
      <c r="BAJ219" s="1"/>
      <c r="BAK219" s="1"/>
      <c r="BAL219" s="1"/>
      <c r="BAM219" s="1"/>
      <c r="BAN219" s="1"/>
      <c r="BAO219" s="1"/>
      <c r="BAP219" s="1"/>
      <c r="BAQ219" s="1"/>
      <c r="BAR219" s="1"/>
      <c r="BAS219" s="1"/>
      <c r="BAT219" s="1"/>
      <c r="BAU219" s="1"/>
      <c r="BAV219" s="1"/>
      <c r="BAW219" s="1"/>
      <c r="BAX219" s="1"/>
      <c r="BAY219" s="1"/>
      <c r="BAZ219" s="1"/>
      <c r="BBA219" s="1"/>
      <c r="BBB219" s="1"/>
      <c r="BBC219" s="1"/>
      <c r="BBD219" s="1"/>
      <c r="BBE219" s="1"/>
      <c r="BBF219" s="1"/>
      <c r="BBG219" s="1"/>
      <c r="BBH219" s="1"/>
      <c r="BBI219" s="1"/>
      <c r="BBJ219" s="1"/>
      <c r="BBK219" s="1"/>
      <c r="BBL219" s="1"/>
      <c r="BBM219" s="1"/>
      <c r="BBN219" s="1"/>
      <c r="BBO219" s="1"/>
      <c r="BBP219" s="1"/>
      <c r="BBQ219" s="1"/>
      <c r="BBR219" s="1"/>
      <c r="BBS219" s="1"/>
      <c r="BBT219" s="1"/>
      <c r="BBU219" s="1"/>
      <c r="BBV219" s="1"/>
      <c r="BBW219" s="1"/>
      <c r="BBX219" s="1"/>
      <c r="BBY219" s="1"/>
      <c r="BBZ219" s="1"/>
      <c r="BCA219" s="1"/>
      <c r="BCB219" s="1"/>
      <c r="BCC219" s="1"/>
      <c r="BCD219" s="1"/>
      <c r="BCE219" s="1"/>
      <c r="BCF219" s="1"/>
      <c r="BCG219" s="1"/>
      <c r="BCH219" s="1"/>
      <c r="BCI219" s="1"/>
      <c r="BCJ219" s="1"/>
      <c r="BCK219" s="1"/>
      <c r="BCL219" s="1"/>
      <c r="BCM219" s="1"/>
      <c r="BCN219" s="1"/>
      <c r="BCO219" s="1"/>
      <c r="BCP219" s="1"/>
      <c r="BCQ219" s="1"/>
      <c r="BCR219" s="1"/>
      <c r="BCS219" s="1"/>
      <c r="BCT219" s="1"/>
      <c r="BCU219" s="1"/>
      <c r="BCV219" s="1"/>
      <c r="BCW219" s="1"/>
      <c r="BCX219" s="1"/>
      <c r="BCY219" s="1"/>
      <c r="BCZ219" s="1"/>
      <c r="BDA219" s="1"/>
      <c r="BDB219" s="1"/>
      <c r="BDC219" s="1"/>
      <c r="BDD219" s="1"/>
      <c r="BDE219" s="1"/>
      <c r="BDF219" s="1"/>
      <c r="BDG219" s="1"/>
      <c r="BDH219" s="1"/>
      <c r="BDI219" s="1"/>
      <c r="BDJ219" s="1"/>
      <c r="BDK219" s="1"/>
      <c r="BDL219" s="1"/>
      <c r="BDM219" s="1"/>
      <c r="BDN219" s="1"/>
      <c r="BDO219" s="1"/>
      <c r="BDP219" s="1"/>
      <c r="BDQ219" s="1"/>
      <c r="BDR219" s="1"/>
      <c r="BDS219" s="1"/>
      <c r="BDT219" s="1"/>
      <c r="BDU219" s="1"/>
      <c r="BDV219" s="1"/>
      <c r="BDW219" s="1"/>
      <c r="BDX219" s="1"/>
      <c r="BDY219" s="1"/>
      <c r="BDZ219" s="1"/>
      <c r="BEA219" s="1"/>
      <c r="BEB219" s="1"/>
      <c r="BEC219" s="1"/>
      <c r="BED219" s="1"/>
      <c r="BEE219" s="1"/>
      <c r="BEF219" s="1"/>
      <c r="BEG219" s="1"/>
      <c r="BEH219" s="1"/>
      <c r="BEI219" s="1"/>
      <c r="BEJ219" s="1"/>
      <c r="BEK219" s="1"/>
      <c r="BEL219" s="1"/>
      <c r="BEM219" s="1"/>
      <c r="BEN219" s="1"/>
      <c r="BEO219" s="1"/>
      <c r="BEP219" s="1"/>
      <c r="BEQ219" s="1"/>
      <c r="BER219" s="1"/>
      <c r="BES219" s="1"/>
      <c r="BET219" s="1"/>
      <c r="BEU219" s="1"/>
      <c r="BEV219" s="1"/>
      <c r="BEW219" s="1"/>
      <c r="BEX219" s="1"/>
      <c r="BEY219" s="1"/>
      <c r="BEZ219" s="1"/>
      <c r="BFA219" s="1"/>
      <c r="BFB219" s="1"/>
      <c r="BFC219" s="1"/>
      <c r="BFD219" s="1"/>
      <c r="BFE219" s="1"/>
      <c r="BFF219" s="1"/>
      <c r="BFG219" s="1"/>
      <c r="BFH219" s="1"/>
      <c r="BFI219" s="1"/>
      <c r="BFJ219" s="1"/>
      <c r="BFK219" s="1"/>
      <c r="BFL219" s="1"/>
      <c r="BFM219" s="1"/>
      <c r="BFN219" s="1"/>
      <c r="BFO219" s="1"/>
      <c r="BFP219" s="1"/>
      <c r="BFQ219" s="1"/>
      <c r="BFR219" s="1"/>
      <c r="BFS219" s="1"/>
      <c r="BFT219" s="1"/>
      <c r="BFU219" s="1"/>
      <c r="BFV219" s="1"/>
      <c r="BFW219" s="1"/>
      <c r="BFX219" s="1"/>
      <c r="BFY219" s="1"/>
      <c r="BFZ219" s="1"/>
      <c r="BGA219" s="1"/>
      <c r="BGB219" s="1"/>
      <c r="BGC219" s="1"/>
      <c r="BGD219" s="1"/>
      <c r="BGE219" s="1"/>
      <c r="BGF219" s="1"/>
      <c r="BGG219" s="1"/>
      <c r="BGH219" s="1"/>
      <c r="BGI219" s="1"/>
      <c r="BGJ219" s="1"/>
      <c r="BGK219" s="1"/>
      <c r="BGL219" s="1"/>
      <c r="BGM219" s="1"/>
      <c r="BGN219" s="1"/>
      <c r="BGO219" s="1"/>
      <c r="BGP219" s="1"/>
      <c r="BGQ219" s="1"/>
      <c r="BGR219" s="1"/>
      <c r="BGS219" s="1"/>
      <c r="BGT219" s="1"/>
      <c r="BGU219" s="1"/>
      <c r="BGV219" s="1"/>
      <c r="BGW219" s="1"/>
      <c r="BGX219" s="1"/>
      <c r="BGY219" s="1"/>
      <c r="BGZ219" s="1"/>
      <c r="BHA219" s="1"/>
      <c r="BHB219" s="1"/>
      <c r="BHC219" s="1"/>
      <c r="BHD219" s="1"/>
      <c r="BHE219" s="1"/>
      <c r="BHF219" s="1"/>
      <c r="BHG219" s="1"/>
      <c r="BHH219" s="1"/>
      <c r="BHI219" s="1"/>
      <c r="BHJ219" s="1"/>
      <c r="BHK219" s="1"/>
      <c r="BHL219" s="1"/>
      <c r="BHM219" s="1"/>
      <c r="BHN219" s="1"/>
      <c r="BHO219" s="1"/>
      <c r="BHP219" s="1"/>
      <c r="BHQ219" s="1"/>
      <c r="BHR219" s="1"/>
      <c r="BHS219" s="1"/>
      <c r="BHT219" s="1"/>
      <c r="BHU219" s="1"/>
      <c r="BHV219" s="1"/>
      <c r="BHW219" s="1"/>
      <c r="BHX219" s="1"/>
      <c r="BHY219" s="1"/>
      <c r="BHZ219" s="1"/>
      <c r="BIA219" s="1"/>
      <c r="BIB219" s="1"/>
      <c r="BIC219" s="1"/>
      <c r="BID219" s="1"/>
      <c r="BIE219" s="1"/>
      <c r="BIF219" s="1"/>
      <c r="BIG219" s="1"/>
      <c r="BIH219" s="1"/>
      <c r="BII219" s="1"/>
      <c r="BIJ219" s="1"/>
      <c r="BIK219" s="1"/>
      <c r="BIL219" s="1"/>
      <c r="BIM219" s="1"/>
      <c r="BIN219" s="1"/>
      <c r="BIO219" s="1"/>
      <c r="BIP219" s="1"/>
      <c r="BIQ219" s="1"/>
      <c r="BIR219" s="1"/>
      <c r="BIS219" s="1"/>
      <c r="BIT219" s="1"/>
      <c r="BIU219" s="1"/>
      <c r="BIV219" s="1"/>
      <c r="BIW219" s="1"/>
      <c r="BIX219" s="1"/>
      <c r="BIY219" s="1"/>
      <c r="BIZ219" s="1"/>
      <c r="BJA219" s="1"/>
      <c r="BJB219" s="1"/>
      <c r="BJC219" s="1"/>
      <c r="BJD219" s="1"/>
      <c r="BJE219" s="1"/>
      <c r="BJF219" s="1"/>
      <c r="BJG219" s="1"/>
      <c r="BJH219" s="1"/>
      <c r="BJI219" s="1"/>
      <c r="BJJ219" s="1"/>
      <c r="BJK219" s="1"/>
      <c r="BJL219" s="1"/>
      <c r="BJM219" s="1"/>
      <c r="BJN219" s="1"/>
      <c r="BJO219" s="1"/>
      <c r="BJP219" s="1"/>
      <c r="BJQ219" s="1"/>
      <c r="BJR219" s="1"/>
      <c r="BJS219" s="1"/>
      <c r="BJT219" s="1"/>
      <c r="BJU219" s="1"/>
      <c r="BJV219" s="1"/>
      <c r="BJW219" s="1"/>
      <c r="BJX219" s="1"/>
      <c r="BJY219" s="1"/>
      <c r="BJZ219" s="1"/>
      <c r="BKA219" s="1"/>
      <c r="BKB219" s="1"/>
      <c r="BKC219" s="1"/>
      <c r="BKD219" s="1"/>
      <c r="BKE219" s="1"/>
      <c r="BKF219" s="1"/>
      <c r="BKG219" s="1"/>
      <c r="BKH219" s="1"/>
      <c r="BKI219" s="1"/>
      <c r="BKJ219" s="1"/>
      <c r="BKK219" s="1"/>
      <c r="BKL219" s="1"/>
      <c r="BKM219" s="1"/>
      <c r="BKN219" s="1"/>
      <c r="BKO219" s="1"/>
      <c r="BKP219" s="1"/>
      <c r="BKQ219" s="1"/>
      <c r="BKR219" s="1"/>
      <c r="BKS219" s="1"/>
      <c r="BKT219" s="1"/>
      <c r="BKU219" s="1"/>
      <c r="BKV219" s="1"/>
      <c r="BKW219" s="1"/>
      <c r="BKX219" s="1"/>
      <c r="BKY219" s="1"/>
      <c r="BKZ219" s="1"/>
      <c r="BLA219" s="1"/>
      <c r="BLB219" s="1"/>
      <c r="BLC219" s="1"/>
      <c r="BLD219" s="1"/>
      <c r="BLE219" s="1"/>
      <c r="BLF219" s="1"/>
      <c r="BLG219" s="1"/>
      <c r="BLH219" s="1"/>
      <c r="BLI219" s="1"/>
      <c r="BLJ219" s="1"/>
      <c r="BLK219" s="1"/>
      <c r="BLL219" s="1"/>
      <c r="BLM219" s="1"/>
      <c r="BLN219" s="1"/>
      <c r="BLO219" s="1"/>
      <c r="BLP219" s="1"/>
      <c r="BLQ219" s="1"/>
      <c r="BLR219" s="1"/>
      <c r="BLS219" s="1"/>
      <c r="BLT219" s="1"/>
      <c r="BLU219" s="1"/>
      <c r="BLV219" s="1"/>
      <c r="BLW219" s="1"/>
      <c r="BLX219" s="1"/>
      <c r="BLY219" s="1"/>
      <c r="BLZ219" s="1"/>
      <c r="BMA219" s="1"/>
      <c r="BMB219" s="1"/>
      <c r="BMC219" s="1"/>
      <c r="BMD219" s="1"/>
      <c r="BME219" s="1"/>
      <c r="BMF219" s="1"/>
      <c r="BMG219" s="1"/>
      <c r="BMH219" s="1"/>
      <c r="BMI219" s="1"/>
      <c r="BMJ219" s="1"/>
      <c r="BMK219" s="1"/>
      <c r="BML219" s="1"/>
      <c r="BMM219" s="1"/>
      <c r="BMN219" s="1"/>
      <c r="BMO219" s="1"/>
      <c r="BMP219" s="1"/>
      <c r="BMQ219" s="1"/>
      <c r="BMR219" s="1"/>
      <c r="BMS219" s="1"/>
      <c r="BMT219" s="1"/>
      <c r="BMU219" s="1"/>
      <c r="BMV219" s="1"/>
      <c r="BMW219" s="1"/>
      <c r="BMX219" s="1"/>
      <c r="BMY219" s="1"/>
      <c r="BMZ219" s="1"/>
      <c r="BNA219" s="1"/>
      <c r="BNB219" s="1"/>
      <c r="BNC219" s="1"/>
      <c r="BND219" s="1"/>
      <c r="BNE219" s="1"/>
      <c r="BNF219" s="1"/>
      <c r="BNG219" s="1"/>
      <c r="BNH219" s="1"/>
      <c r="BNI219" s="1"/>
      <c r="BNJ219" s="1"/>
      <c r="BNK219" s="1"/>
      <c r="BNL219" s="1"/>
      <c r="BNM219" s="1"/>
      <c r="BNN219" s="1"/>
      <c r="BNO219" s="1"/>
      <c r="BNP219" s="1"/>
      <c r="BNQ219" s="1"/>
      <c r="BNR219" s="1"/>
      <c r="BNS219" s="1"/>
      <c r="BNT219" s="1"/>
      <c r="BNU219" s="1"/>
      <c r="BNV219" s="1"/>
      <c r="BNW219" s="1"/>
      <c r="BNX219" s="1"/>
      <c r="BNY219" s="1"/>
      <c r="BNZ219" s="1"/>
      <c r="BOA219" s="1"/>
      <c r="BOB219" s="1"/>
      <c r="BOC219" s="1"/>
      <c r="BOD219" s="1"/>
      <c r="BOE219" s="1"/>
      <c r="BOF219" s="1"/>
      <c r="BOG219" s="1"/>
      <c r="BOH219" s="1"/>
      <c r="BOI219" s="1"/>
      <c r="BOJ219" s="1"/>
      <c r="BOK219" s="1"/>
      <c r="BOL219" s="1"/>
      <c r="BOM219" s="1"/>
      <c r="BON219" s="1"/>
      <c r="BOO219" s="1"/>
      <c r="BOP219" s="1"/>
      <c r="BOQ219" s="1"/>
      <c r="BOR219" s="1"/>
      <c r="BOS219" s="1"/>
      <c r="BOT219" s="1"/>
      <c r="BOU219" s="1"/>
      <c r="BOV219" s="1"/>
      <c r="BOW219" s="1"/>
      <c r="BOX219" s="1"/>
      <c r="BOY219" s="1"/>
      <c r="BOZ219" s="1"/>
      <c r="BPA219" s="1"/>
      <c r="BPB219" s="1"/>
      <c r="BPC219" s="1"/>
      <c r="BPD219" s="1"/>
      <c r="BPE219" s="1"/>
      <c r="BPF219" s="1"/>
      <c r="BPG219" s="1"/>
      <c r="BPH219" s="1"/>
      <c r="BPI219" s="1"/>
      <c r="BPJ219" s="1"/>
      <c r="BPK219" s="1"/>
      <c r="BPL219" s="1"/>
      <c r="BPM219" s="1"/>
      <c r="BPN219" s="1"/>
      <c r="BPO219" s="1"/>
      <c r="BPP219" s="1"/>
      <c r="BPQ219" s="1"/>
      <c r="BPR219" s="1"/>
      <c r="BPS219" s="1"/>
      <c r="BPT219" s="1"/>
      <c r="BPU219" s="1"/>
      <c r="BPV219" s="1"/>
      <c r="BPW219" s="1"/>
      <c r="BPX219" s="1"/>
      <c r="BPY219" s="1"/>
      <c r="BPZ219" s="1"/>
      <c r="BQA219" s="1"/>
      <c r="BQB219" s="1"/>
      <c r="BQC219" s="1"/>
      <c r="BQD219" s="1"/>
      <c r="BQE219" s="1"/>
      <c r="BQF219" s="1"/>
      <c r="BQG219" s="1"/>
      <c r="BQH219" s="1"/>
      <c r="BQI219" s="1"/>
      <c r="BQJ219" s="1"/>
      <c r="BQK219" s="1"/>
      <c r="BQL219" s="1"/>
      <c r="BQM219" s="1"/>
      <c r="BQN219" s="1"/>
      <c r="BQO219" s="1"/>
      <c r="BQP219" s="1"/>
      <c r="BQQ219" s="1"/>
      <c r="BQR219" s="1"/>
      <c r="BQS219" s="1"/>
      <c r="BQT219" s="1"/>
      <c r="BQU219" s="1"/>
      <c r="BQV219" s="1"/>
      <c r="BQW219" s="1"/>
      <c r="BQX219" s="1"/>
      <c r="BQY219" s="1"/>
      <c r="BQZ219" s="1"/>
      <c r="BRA219" s="1"/>
      <c r="BRB219" s="1"/>
      <c r="BRC219" s="1"/>
      <c r="BRD219" s="1"/>
      <c r="BRE219" s="1"/>
      <c r="BRF219" s="1"/>
      <c r="BRG219" s="1"/>
      <c r="BRH219" s="1"/>
      <c r="BRI219" s="1"/>
      <c r="BRJ219" s="1"/>
      <c r="BRK219" s="1"/>
      <c r="BRL219" s="1"/>
      <c r="BRM219" s="1"/>
      <c r="BRN219" s="1"/>
      <c r="BRO219" s="1"/>
      <c r="BRP219" s="1"/>
      <c r="BRQ219" s="1"/>
      <c r="BRR219" s="1"/>
      <c r="BRS219" s="1"/>
      <c r="BRT219" s="1"/>
      <c r="BRU219" s="1"/>
      <c r="BRV219" s="1"/>
      <c r="BRW219" s="1"/>
      <c r="BRX219" s="1"/>
      <c r="BRY219" s="1"/>
      <c r="BRZ219" s="1"/>
      <c r="BSA219" s="1"/>
      <c r="BSB219" s="1"/>
      <c r="BSC219" s="1"/>
      <c r="BSD219" s="1"/>
      <c r="BSE219" s="1"/>
      <c r="BSF219" s="1"/>
      <c r="BSG219" s="1"/>
      <c r="BSH219" s="1"/>
      <c r="BSI219" s="1"/>
      <c r="BSJ219" s="1"/>
      <c r="BSK219" s="1"/>
      <c r="BSL219" s="1"/>
      <c r="BSM219" s="1"/>
      <c r="BSN219" s="1"/>
      <c r="BSO219" s="1"/>
      <c r="BSP219" s="1"/>
      <c r="BSQ219" s="1"/>
      <c r="BSR219" s="1"/>
      <c r="BSS219" s="1"/>
      <c r="BST219" s="1"/>
      <c r="BSU219" s="1"/>
      <c r="BSV219" s="1"/>
      <c r="BSW219" s="1"/>
      <c r="BSX219" s="1"/>
      <c r="BSY219" s="1"/>
      <c r="BSZ219" s="1"/>
      <c r="BTA219" s="1"/>
      <c r="BTB219" s="1"/>
      <c r="BTC219" s="1"/>
      <c r="BTD219" s="1"/>
      <c r="BTE219" s="1"/>
      <c r="BTF219" s="1"/>
      <c r="BTG219" s="1"/>
      <c r="BTH219" s="1"/>
      <c r="BTI219" s="1"/>
      <c r="BTJ219" s="1"/>
      <c r="BTK219" s="1"/>
      <c r="BTL219" s="1"/>
      <c r="BTM219" s="1"/>
      <c r="BTN219" s="1"/>
      <c r="BTO219" s="1"/>
      <c r="BTP219" s="1"/>
      <c r="BTQ219" s="1"/>
      <c r="BTR219" s="1"/>
      <c r="BTS219" s="1"/>
      <c r="BTT219" s="1"/>
      <c r="BTU219" s="1"/>
      <c r="BTV219" s="1"/>
      <c r="BTW219" s="1"/>
      <c r="BTX219" s="1"/>
      <c r="BTY219" s="1"/>
      <c r="BTZ219" s="1"/>
      <c r="BUA219" s="1"/>
      <c r="BUB219" s="1"/>
      <c r="BUC219" s="1"/>
      <c r="BUD219" s="1"/>
      <c r="BUE219" s="1"/>
      <c r="BUF219" s="1"/>
      <c r="BUG219" s="1"/>
      <c r="BUH219" s="1"/>
      <c r="BUI219" s="1"/>
      <c r="BUJ219" s="1"/>
      <c r="BUK219" s="1"/>
      <c r="BUL219" s="1"/>
      <c r="BUM219" s="1"/>
      <c r="BUN219" s="1"/>
      <c r="BUO219" s="1"/>
      <c r="BUP219" s="1"/>
      <c r="BUQ219" s="1"/>
      <c r="BUR219" s="1"/>
      <c r="BUS219" s="1"/>
      <c r="BUT219" s="1"/>
      <c r="BUU219" s="1"/>
      <c r="BUV219" s="1"/>
      <c r="BUW219" s="1"/>
      <c r="BUX219" s="1"/>
      <c r="BUY219" s="1"/>
      <c r="BUZ219" s="1"/>
      <c r="BVA219" s="1"/>
      <c r="BVB219" s="1"/>
      <c r="BVC219" s="1"/>
      <c r="BVD219" s="1"/>
      <c r="BVE219" s="1"/>
      <c r="BVF219" s="1"/>
      <c r="BVG219" s="1"/>
      <c r="BVH219" s="1"/>
      <c r="BVI219" s="1"/>
      <c r="BVJ219" s="1"/>
      <c r="BVK219" s="1"/>
      <c r="BVL219" s="1"/>
      <c r="BVM219" s="1"/>
      <c r="BVN219" s="1"/>
      <c r="BVO219" s="1"/>
      <c r="BVP219" s="1"/>
      <c r="BVQ219" s="1"/>
      <c r="BVR219" s="1"/>
      <c r="BVS219" s="1"/>
      <c r="BVT219" s="1"/>
      <c r="BVU219" s="1"/>
      <c r="BVV219" s="1"/>
      <c r="BVW219" s="1"/>
      <c r="BVX219" s="1"/>
      <c r="BVY219" s="1"/>
      <c r="BVZ219" s="1"/>
      <c r="BWA219" s="1"/>
      <c r="BWB219" s="1"/>
      <c r="BWC219" s="1"/>
      <c r="BWD219" s="1"/>
      <c r="BWE219" s="1"/>
      <c r="BWF219" s="1"/>
      <c r="BWG219" s="1"/>
      <c r="BWH219" s="1"/>
      <c r="BWI219" s="1"/>
      <c r="BWJ219" s="1"/>
      <c r="BWK219" s="1"/>
      <c r="BWL219" s="1"/>
      <c r="BWM219" s="1"/>
      <c r="BWN219" s="1"/>
      <c r="BWO219" s="1"/>
      <c r="BWP219" s="1"/>
      <c r="BWQ219" s="1"/>
      <c r="BWR219" s="1"/>
      <c r="BWS219" s="1"/>
      <c r="BWT219" s="1"/>
      <c r="BWU219" s="1"/>
      <c r="BWV219" s="1"/>
      <c r="BWW219" s="1"/>
      <c r="BWX219" s="1"/>
      <c r="BWY219" s="1"/>
      <c r="BWZ219" s="1"/>
      <c r="BXA219" s="1"/>
      <c r="BXB219" s="1"/>
      <c r="BXC219" s="1"/>
      <c r="BXD219" s="1"/>
      <c r="BXE219" s="1"/>
      <c r="BXF219" s="1"/>
      <c r="BXG219" s="1"/>
      <c r="BXH219" s="1"/>
      <c r="BXI219" s="1"/>
      <c r="BXJ219" s="1"/>
      <c r="BXK219" s="1"/>
      <c r="BXL219" s="1"/>
      <c r="BXM219" s="1"/>
      <c r="BXN219" s="1"/>
      <c r="BXO219" s="1"/>
      <c r="BXP219" s="1"/>
      <c r="BXQ219" s="1"/>
      <c r="BXR219" s="1"/>
      <c r="BXS219" s="1"/>
      <c r="BXT219" s="1"/>
      <c r="BXU219" s="1"/>
      <c r="BXV219" s="1"/>
      <c r="BXW219" s="1"/>
      <c r="BXX219" s="1"/>
      <c r="BXY219" s="1"/>
      <c r="BXZ219" s="1"/>
      <c r="BYA219" s="1"/>
      <c r="BYB219" s="1"/>
      <c r="BYC219" s="1"/>
      <c r="BYD219" s="1"/>
      <c r="BYE219" s="1"/>
      <c r="BYF219" s="1"/>
      <c r="BYG219" s="1"/>
      <c r="BYH219" s="1"/>
      <c r="BYI219" s="1"/>
      <c r="BYJ219" s="1"/>
      <c r="BYK219" s="1"/>
      <c r="BYL219" s="1"/>
      <c r="BYM219" s="1"/>
      <c r="BYN219" s="1"/>
      <c r="BYO219" s="1"/>
      <c r="BYP219" s="1"/>
      <c r="BYQ219" s="1"/>
      <c r="BYR219" s="1"/>
      <c r="BYS219" s="1"/>
      <c r="BYT219" s="1"/>
      <c r="BYU219" s="1"/>
      <c r="BYV219" s="1"/>
      <c r="BYW219" s="1"/>
      <c r="BYX219" s="1"/>
      <c r="BYY219" s="1"/>
      <c r="BYZ219" s="1"/>
      <c r="BZA219" s="1"/>
      <c r="BZB219" s="1"/>
      <c r="BZC219" s="1"/>
      <c r="BZD219" s="1"/>
      <c r="BZE219" s="1"/>
      <c r="BZF219" s="1"/>
      <c r="BZG219" s="1"/>
      <c r="BZH219" s="1"/>
      <c r="BZI219" s="1"/>
      <c r="BZJ219" s="1"/>
      <c r="BZK219" s="1"/>
      <c r="BZL219" s="1"/>
      <c r="BZM219" s="1"/>
      <c r="BZN219" s="1"/>
      <c r="BZO219" s="1"/>
      <c r="BZP219" s="1"/>
      <c r="BZQ219" s="1"/>
      <c r="BZR219" s="1"/>
      <c r="BZS219" s="1"/>
      <c r="BZT219" s="1"/>
      <c r="BZU219" s="1"/>
      <c r="BZV219" s="1"/>
      <c r="BZW219" s="1"/>
      <c r="BZX219" s="1"/>
      <c r="BZY219" s="1"/>
      <c r="BZZ219" s="1"/>
      <c r="CAA219" s="1"/>
      <c r="CAB219" s="1"/>
      <c r="CAC219" s="1"/>
      <c r="CAD219" s="1"/>
      <c r="CAE219" s="1"/>
      <c r="CAF219" s="1"/>
      <c r="CAG219" s="1"/>
      <c r="CAH219" s="1"/>
      <c r="CAI219" s="1"/>
      <c r="CAJ219" s="1"/>
      <c r="CAK219" s="1"/>
      <c r="CAL219" s="1"/>
      <c r="CAM219" s="1"/>
      <c r="CAN219" s="1"/>
      <c r="CAO219" s="1"/>
      <c r="CAP219" s="1"/>
      <c r="CAQ219" s="1"/>
      <c r="CAR219" s="1"/>
      <c r="CAS219" s="1"/>
      <c r="CAT219" s="1"/>
      <c r="CAU219" s="1"/>
      <c r="CAV219" s="1"/>
      <c r="CAW219" s="1"/>
      <c r="CAX219" s="1"/>
      <c r="CAY219" s="1"/>
      <c r="CAZ219" s="1"/>
      <c r="CBA219" s="1"/>
      <c r="CBB219" s="1"/>
      <c r="CBC219" s="1"/>
      <c r="CBD219" s="1"/>
      <c r="CBE219" s="1"/>
      <c r="CBF219" s="1"/>
      <c r="CBG219" s="1"/>
      <c r="CBH219" s="1"/>
      <c r="CBI219" s="1"/>
      <c r="CBJ219" s="1"/>
      <c r="CBK219" s="1"/>
      <c r="CBL219" s="1"/>
      <c r="CBM219" s="1"/>
      <c r="CBN219" s="1"/>
      <c r="CBO219" s="1"/>
      <c r="CBP219" s="1"/>
      <c r="CBQ219" s="1"/>
      <c r="CBR219" s="1"/>
      <c r="CBS219" s="1"/>
      <c r="CBT219" s="1"/>
      <c r="CBU219" s="1"/>
      <c r="CBV219" s="1"/>
      <c r="CBW219" s="1"/>
      <c r="CBX219" s="1"/>
      <c r="CBY219" s="1"/>
      <c r="CBZ219" s="1"/>
      <c r="CCA219" s="1"/>
      <c r="CCB219" s="1"/>
      <c r="CCC219" s="1"/>
      <c r="CCD219" s="1"/>
      <c r="CCE219" s="1"/>
      <c r="CCF219" s="1"/>
      <c r="CCG219" s="1"/>
      <c r="CCH219" s="1"/>
      <c r="CCI219" s="1"/>
      <c r="CCJ219" s="1"/>
      <c r="CCK219" s="1"/>
      <c r="CCL219" s="1"/>
      <c r="CCM219" s="1"/>
      <c r="CCN219" s="1"/>
      <c r="CCO219" s="1"/>
      <c r="CCP219" s="1"/>
      <c r="CCQ219" s="1"/>
      <c r="CCR219" s="1"/>
      <c r="CCS219" s="1"/>
      <c r="CCT219" s="1"/>
      <c r="CCU219" s="1"/>
      <c r="CCV219" s="1"/>
      <c r="CCW219" s="1"/>
      <c r="CCX219" s="1"/>
      <c r="CCY219" s="1"/>
      <c r="CCZ219" s="1"/>
      <c r="CDA219" s="1"/>
      <c r="CDB219" s="1"/>
      <c r="CDC219" s="1"/>
      <c r="CDD219" s="1"/>
      <c r="CDE219" s="1"/>
      <c r="CDF219" s="1"/>
      <c r="CDG219" s="1"/>
      <c r="CDH219" s="1"/>
      <c r="CDI219" s="1"/>
      <c r="CDJ219" s="1"/>
      <c r="CDK219" s="1"/>
      <c r="CDL219" s="1"/>
      <c r="CDM219" s="1"/>
      <c r="CDN219" s="1"/>
      <c r="CDO219" s="1"/>
      <c r="CDP219" s="1"/>
      <c r="CDQ219" s="1"/>
      <c r="CDR219" s="1"/>
      <c r="CDS219" s="1"/>
      <c r="CDT219" s="1"/>
      <c r="CDU219" s="1"/>
      <c r="CDV219" s="1"/>
      <c r="CDW219" s="1"/>
      <c r="CDX219" s="1"/>
      <c r="CDY219" s="1"/>
      <c r="CDZ219" s="1"/>
      <c r="CEA219" s="1"/>
      <c r="CEB219" s="1"/>
      <c r="CEC219" s="1"/>
      <c r="CED219" s="1"/>
      <c r="CEE219" s="1"/>
      <c r="CEF219" s="1"/>
      <c r="CEG219" s="1"/>
      <c r="CEH219" s="1"/>
      <c r="CEI219" s="1"/>
      <c r="CEJ219" s="1"/>
      <c r="CEK219" s="1"/>
      <c r="CEL219" s="1"/>
      <c r="CEM219" s="1"/>
      <c r="CEN219" s="1"/>
      <c r="CEO219" s="1"/>
      <c r="CEP219" s="1"/>
      <c r="CEQ219" s="1"/>
      <c r="CER219" s="1"/>
      <c r="CES219" s="1"/>
      <c r="CET219" s="1"/>
      <c r="CEU219" s="1"/>
      <c r="CEV219" s="1"/>
      <c r="CEW219" s="1"/>
      <c r="CEX219" s="1"/>
      <c r="CEY219" s="1"/>
      <c r="CEZ219" s="1"/>
      <c r="CFA219" s="1"/>
      <c r="CFB219" s="1"/>
      <c r="CFC219" s="1"/>
      <c r="CFD219" s="1"/>
      <c r="CFE219" s="1"/>
      <c r="CFF219" s="1"/>
      <c r="CFG219" s="1"/>
      <c r="CFH219" s="1"/>
      <c r="CFI219" s="1"/>
      <c r="CFJ219" s="1"/>
      <c r="CFK219" s="1"/>
      <c r="CFL219" s="1"/>
      <c r="CFM219" s="1"/>
      <c r="CFN219" s="1"/>
      <c r="CFO219" s="1"/>
      <c r="CFP219" s="1"/>
      <c r="CFQ219" s="1"/>
      <c r="CFR219" s="1"/>
      <c r="CFS219" s="1"/>
      <c r="CFT219" s="1"/>
      <c r="CFU219" s="1"/>
      <c r="CFV219" s="1"/>
      <c r="CFW219" s="1"/>
      <c r="CFX219" s="1"/>
      <c r="CFY219" s="1"/>
      <c r="CFZ219" s="1"/>
      <c r="CGA219" s="1"/>
      <c r="CGB219" s="1"/>
      <c r="CGC219" s="1"/>
      <c r="CGD219" s="1"/>
      <c r="CGE219" s="1"/>
      <c r="CGF219" s="1"/>
      <c r="CGG219" s="1"/>
      <c r="CGH219" s="1"/>
      <c r="CGI219" s="1"/>
      <c r="CGJ219" s="1"/>
      <c r="CGK219" s="1"/>
      <c r="CGL219" s="1"/>
      <c r="CGM219" s="1"/>
      <c r="CGN219" s="1"/>
      <c r="CGO219" s="1"/>
      <c r="CGP219" s="1"/>
      <c r="CGQ219" s="1"/>
      <c r="CGR219" s="1"/>
      <c r="CGS219" s="1"/>
      <c r="CGT219" s="1"/>
      <c r="CGU219" s="1"/>
      <c r="CGV219" s="1"/>
      <c r="CGW219" s="1"/>
      <c r="CGX219" s="1"/>
      <c r="CGY219" s="1"/>
      <c r="CGZ219" s="1"/>
      <c r="CHA219" s="1"/>
      <c r="CHB219" s="1"/>
      <c r="CHC219" s="1"/>
      <c r="CHD219" s="1"/>
      <c r="CHE219" s="1"/>
      <c r="CHF219" s="1"/>
      <c r="CHG219" s="1"/>
      <c r="CHH219" s="1"/>
      <c r="CHI219" s="1"/>
      <c r="CHJ219" s="1"/>
      <c r="CHK219" s="1"/>
      <c r="CHL219" s="1"/>
      <c r="CHM219" s="1"/>
      <c r="CHN219" s="1"/>
      <c r="CHO219" s="1"/>
      <c r="CHP219" s="1"/>
      <c r="CHQ219" s="1"/>
      <c r="CHR219" s="1"/>
      <c r="CHS219" s="1"/>
      <c r="CHT219" s="1"/>
      <c r="CHU219" s="1"/>
      <c r="CHV219" s="1"/>
      <c r="CHW219" s="1"/>
      <c r="CHX219" s="1"/>
      <c r="CHY219" s="1"/>
      <c r="CHZ219" s="1"/>
      <c r="CIA219" s="1"/>
      <c r="CIB219" s="1"/>
      <c r="CIC219" s="1"/>
      <c r="CID219" s="1"/>
      <c r="CIE219" s="1"/>
      <c r="CIF219" s="1"/>
      <c r="CIG219" s="1"/>
      <c r="CIH219" s="1"/>
      <c r="CII219" s="1"/>
      <c r="CIJ219" s="1"/>
      <c r="CIK219" s="1"/>
      <c r="CIL219" s="1"/>
      <c r="CIM219" s="1"/>
      <c r="CIN219" s="1"/>
      <c r="CIO219" s="1"/>
      <c r="CIP219" s="1"/>
      <c r="CIQ219" s="1"/>
      <c r="CIR219" s="1"/>
      <c r="CIS219" s="1"/>
      <c r="CIT219" s="1"/>
      <c r="CIU219" s="1"/>
      <c r="CIV219" s="1"/>
      <c r="CIW219" s="1"/>
      <c r="CIX219" s="1"/>
      <c r="CIY219" s="1"/>
      <c r="CIZ219" s="1"/>
      <c r="CJA219" s="1"/>
      <c r="CJB219" s="1"/>
      <c r="CJC219" s="1"/>
      <c r="CJD219" s="1"/>
      <c r="CJE219" s="1"/>
      <c r="CJF219" s="1"/>
      <c r="CJG219" s="1"/>
      <c r="CJH219" s="1"/>
      <c r="CJI219" s="1"/>
      <c r="CJJ219" s="1"/>
      <c r="CJK219" s="1"/>
      <c r="CJL219" s="1"/>
      <c r="CJM219" s="1"/>
      <c r="CJN219" s="1"/>
      <c r="CJO219" s="1"/>
      <c r="CJP219" s="1"/>
      <c r="CJQ219" s="1"/>
      <c r="CJR219" s="1"/>
      <c r="CJS219" s="1"/>
      <c r="CJT219" s="1"/>
      <c r="CJU219" s="1"/>
      <c r="CJV219" s="1"/>
      <c r="CJW219" s="1"/>
      <c r="CJX219" s="1"/>
      <c r="CJY219" s="1"/>
      <c r="CJZ219" s="1"/>
      <c r="CKA219" s="1"/>
      <c r="CKB219" s="1"/>
      <c r="CKC219" s="1"/>
      <c r="CKD219" s="1"/>
      <c r="CKE219" s="1"/>
      <c r="CKF219" s="1"/>
      <c r="CKG219" s="1"/>
      <c r="CKH219" s="1"/>
      <c r="CKI219" s="1"/>
      <c r="CKJ219" s="1"/>
      <c r="CKK219" s="1"/>
      <c r="CKL219" s="1"/>
      <c r="CKM219" s="1"/>
      <c r="CKN219" s="1"/>
      <c r="CKO219" s="1"/>
      <c r="CKP219" s="1"/>
      <c r="CKQ219" s="1"/>
      <c r="CKR219" s="1"/>
      <c r="CKS219" s="1"/>
      <c r="CKT219" s="1"/>
      <c r="CKU219" s="1"/>
      <c r="CKV219" s="1"/>
      <c r="CKW219" s="1"/>
      <c r="CKX219" s="1"/>
      <c r="CKY219" s="1"/>
      <c r="CKZ219" s="1"/>
      <c r="CLA219" s="1"/>
      <c r="CLB219" s="1"/>
      <c r="CLC219" s="1"/>
      <c r="CLD219" s="1"/>
      <c r="CLE219" s="1"/>
      <c r="CLF219" s="1"/>
      <c r="CLG219" s="1"/>
      <c r="CLH219" s="1"/>
      <c r="CLI219" s="1"/>
      <c r="CLJ219" s="1"/>
      <c r="CLK219" s="1"/>
      <c r="CLL219" s="1"/>
      <c r="CLM219" s="1"/>
      <c r="CLN219" s="1"/>
      <c r="CLO219" s="1"/>
      <c r="CLP219" s="1"/>
      <c r="CLQ219" s="1"/>
      <c r="CLR219" s="1"/>
      <c r="CLS219" s="1"/>
      <c r="CLT219" s="1"/>
      <c r="CLU219" s="1"/>
      <c r="CLV219" s="1"/>
      <c r="CLW219" s="1"/>
      <c r="CLX219" s="1"/>
      <c r="CLY219" s="1"/>
      <c r="CLZ219" s="1"/>
      <c r="CMA219" s="1"/>
      <c r="CMB219" s="1"/>
      <c r="CMC219" s="1"/>
      <c r="CMD219" s="1"/>
      <c r="CME219" s="1"/>
      <c r="CMF219" s="1"/>
      <c r="CMG219" s="1"/>
      <c r="CMH219" s="1"/>
      <c r="CMI219" s="1"/>
      <c r="CMJ219" s="1"/>
      <c r="CMK219" s="1"/>
      <c r="CML219" s="1"/>
      <c r="CMM219" s="1"/>
      <c r="CMN219" s="1"/>
      <c r="CMO219" s="1"/>
      <c r="CMP219" s="1"/>
      <c r="CMQ219" s="1"/>
      <c r="CMR219" s="1"/>
      <c r="CMS219" s="1"/>
      <c r="CMT219" s="1"/>
      <c r="CMU219" s="1"/>
      <c r="CMV219" s="1"/>
      <c r="CMW219" s="1"/>
      <c r="CMX219" s="1"/>
      <c r="CMY219" s="1"/>
      <c r="CMZ219" s="1"/>
      <c r="CNA219" s="1"/>
      <c r="CNB219" s="1"/>
      <c r="CNC219" s="1"/>
      <c r="CND219" s="1"/>
      <c r="CNE219" s="1"/>
      <c r="CNF219" s="1"/>
      <c r="CNG219" s="1"/>
      <c r="CNH219" s="1"/>
      <c r="CNI219" s="1"/>
      <c r="CNJ219" s="1"/>
      <c r="CNK219" s="1"/>
      <c r="CNL219" s="1"/>
      <c r="CNM219" s="1"/>
      <c r="CNN219" s="1"/>
      <c r="CNO219" s="1"/>
      <c r="CNP219" s="1"/>
      <c r="CNQ219" s="1"/>
      <c r="CNR219" s="1"/>
      <c r="CNS219" s="1"/>
      <c r="CNT219" s="1"/>
      <c r="CNU219" s="1"/>
      <c r="CNV219" s="1"/>
      <c r="CNW219" s="1"/>
      <c r="CNX219" s="1"/>
      <c r="CNY219" s="1"/>
      <c r="CNZ219" s="1"/>
      <c r="COA219" s="1"/>
      <c r="COB219" s="1"/>
      <c r="COC219" s="1"/>
      <c r="COD219" s="1"/>
      <c r="COE219" s="1"/>
      <c r="COF219" s="1"/>
      <c r="COG219" s="1"/>
      <c r="COH219" s="1"/>
      <c r="COI219" s="1"/>
      <c r="COJ219" s="1"/>
      <c r="COK219" s="1"/>
      <c r="COL219" s="1"/>
      <c r="COM219" s="1"/>
      <c r="CON219" s="1"/>
      <c r="COO219" s="1"/>
      <c r="COP219" s="1"/>
      <c r="COQ219" s="1"/>
      <c r="COR219" s="1"/>
      <c r="COS219" s="1"/>
      <c r="COT219" s="1"/>
      <c r="COU219" s="1"/>
      <c r="COV219" s="1"/>
      <c r="COW219" s="1"/>
      <c r="COX219" s="1"/>
      <c r="COY219" s="1"/>
      <c r="COZ219" s="1"/>
      <c r="CPA219" s="1"/>
      <c r="CPB219" s="1"/>
      <c r="CPC219" s="1"/>
      <c r="CPD219" s="1"/>
      <c r="CPE219" s="1"/>
      <c r="CPF219" s="1"/>
      <c r="CPG219" s="1"/>
      <c r="CPH219" s="1"/>
      <c r="CPI219" s="1"/>
      <c r="CPJ219" s="1"/>
      <c r="CPK219" s="1"/>
      <c r="CPL219" s="1"/>
      <c r="CPM219" s="1"/>
      <c r="CPN219" s="1"/>
      <c r="CPO219" s="1"/>
      <c r="CPP219" s="1"/>
      <c r="CPQ219" s="1"/>
      <c r="CPR219" s="1"/>
      <c r="CPS219" s="1"/>
      <c r="CPT219" s="1"/>
      <c r="CPU219" s="1"/>
      <c r="CPV219" s="1"/>
      <c r="CPW219" s="1"/>
      <c r="CPX219" s="1"/>
      <c r="CPY219" s="1"/>
      <c r="CPZ219" s="1"/>
      <c r="CQA219" s="1"/>
      <c r="CQB219" s="1"/>
      <c r="CQC219" s="1"/>
      <c r="CQD219" s="1"/>
      <c r="CQE219" s="1"/>
      <c r="CQF219" s="1"/>
      <c r="CQG219" s="1"/>
      <c r="CQH219" s="1"/>
      <c r="CQI219" s="1"/>
      <c r="CQJ219" s="1"/>
      <c r="CQK219" s="1"/>
      <c r="CQL219" s="1"/>
      <c r="CQM219" s="1"/>
      <c r="CQN219" s="1"/>
      <c r="CQO219" s="1"/>
      <c r="CQP219" s="1"/>
      <c r="CQQ219" s="1"/>
      <c r="CQR219" s="1"/>
      <c r="CQS219" s="1"/>
      <c r="CQT219" s="1"/>
      <c r="CQU219" s="1"/>
      <c r="CQV219" s="1"/>
      <c r="CQW219" s="1"/>
      <c r="CQX219" s="1"/>
      <c r="CQY219" s="1"/>
      <c r="CQZ219" s="1"/>
      <c r="CRA219" s="1"/>
      <c r="CRB219" s="1"/>
      <c r="CRC219" s="1"/>
      <c r="CRD219" s="1"/>
      <c r="CRE219" s="1"/>
      <c r="CRF219" s="1"/>
      <c r="CRG219" s="1"/>
      <c r="CRH219" s="1"/>
      <c r="CRI219" s="1"/>
      <c r="CRJ219" s="1"/>
      <c r="CRK219" s="1"/>
      <c r="CRL219" s="1"/>
      <c r="CRM219" s="1"/>
      <c r="CRN219" s="1"/>
      <c r="CRO219" s="1"/>
      <c r="CRP219" s="1"/>
      <c r="CRQ219" s="1"/>
      <c r="CRR219" s="1"/>
      <c r="CRS219" s="1"/>
      <c r="CRT219" s="1"/>
      <c r="CRU219" s="1"/>
      <c r="CRV219" s="1"/>
      <c r="CRW219" s="1"/>
      <c r="CRX219" s="1"/>
      <c r="CRY219" s="1"/>
      <c r="CRZ219" s="1"/>
      <c r="CSA219" s="1"/>
      <c r="CSB219" s="1"/>
      <c r="CSC219" s="1"/>
      <c r="CSD219" s="1"/>
      <c r="CSE219" s="1"/>
      <c r="CSF219" s="1"/>
      <c r="CSG219" s="1"/>
      <c r="CSH219" s="1"/>
      <c r="CSI219" s="1"/>
      <c r="CSJ219" s="1"/>
      <c r="CSK219" s="1"/>
      <c r="CSL219" s="1"/>
      <c r="CSM219" s="1"/>
      <c r="CSN219" s="1"/>
      <c r="CSO219" s="1"/>
      <c r="CSP219" s="1"/>
      <c r="CSQ219" s="1"/>
      <c r="CSR219" s="1"/>
      <c r="CSS219" s="1"/>
      <c r="CST219" s="1"/>
      <c r="CSU219" s="1"/>
      <c r="CSV219" s="1"/>
      <c r="CSW219" s="1"/>
      <c r="CSX219" s="1"/>
      <c r="CSY219" s="1"/>
      <c r="CSZ219" s="1"/>
      <c r="CTA219" s="1"/>
      <c r="CTB219" s="1"/>
      <c r="CTC219" s="1"/>
      <c r="CTD219" s="1"/>
      <c r="CTE219" s="1"/>
      <c r="CTF219" s="1"/>
      <c r="CTG219" s="1"/>
      <c r="CTH219" s="1"/>
      <c r="CTI219" s="1"/>
      <c r="CTJ219" s="1"/>
      <c r="CTK219" s="1"/>
      <c r="CTL219" s="1"/>
      <c r="CTM219" s="1"/>
      <c r="CTN219" s="1"/>
      <c r="CTO219" s="1"/>
      <c r="CTP219" s="1"/>
      <c r="CTQ219" s="1"/>
      <c r="CTR219" s="1"/>
      <c r="CTS219" s="1"/>
      <c r="CTT219" s="1"/>
      <c r="CTU219" s="1"/>
      <c r="CTV219" s="1"/>
      <c r="CTW219" s="1"/>
      <c r="CTX219" s="1"/>
      <c r="CTY219" s="1"/>
      <c r="CTZ219" s="1"/>
      <c r="CUA219" s="1"/>
      <c r="CUB219" s="1"/>
      <c r="CUC219" s="1"/>
      <c r="CUD219" s="1"/>
      <c r="CUE219" s="1"/>
      <c r="CUF219" s="1"/>
      <c r="CUG219" s="1"/>
      <c r="CUH219" s="1"/>
      <c r="CUI219" s="1"/>
      <c r="CUJ219" s="1"/>
      <c r="CUK219" s="1"/>
      <c r="CUL219" s="1"/>
      <c r="CUM219" s="1"/>
      <c r="CUN219" s="1"/>
      <c r="CUO219" s="1"/>
      <c r="CUP219" s="1"/>
      <c r="CUQ219" s="1"/>
      <c r="CUR219" s="1"/>
      <c r="CUS219" s="1"/>
      <c r="CUT219" s="1"/>
      <c r="CUU219" s="1"/>
      <c r="CUV219" s="1"/>
      <c r="CUW219" s="1"/>
      <c r="CUX219" s="1"/>
      <c r="CUY219" s="1"/>
      <c r="CUZ219" s="1"/>
      <c r="CVA219" s="1"/>
      <c r="CVB219" s="1"/>
      <c r="CVC219" s="1"/>
      <c r="CVD219" s="1"/>
      <c r="CVE219" s="1"/>
      <c r="CVF219" s="1"/>
      <c r="CVG219" s="1"/>
      <c r="CVH219" s="1"/>
      <c r="CVI219" s="1"/>
      <c r="CVJ219" s="1"/>
      <c r="CVK219" s="1"/>
      <c r="CVL219" s="1"/>
      <c r="CVM219" s="1"/>
      <c r="CVN219" s="1"/>
      <c r="CVO219" s="1"/>
      <c r="CVP219" s="1"/>
      <c r="CVQ219" s="1"/>
      <c r="CVR219" s="1"/>
      <c r="CVS219" s="1"/>
      <c r="CVT219" s="1"/>
      <c r="CVU219" s="1"/>
      <c r="CVV219" s="1"/>
      <c r="CVW219" s="1"/>
      <c r="CVX219" s="1"/>
      <c r="CVY219" s="1"/>
      <c r="CVZ219" s="1"/>
      <c r="CWA219" s="1"/>
      <c r="CWB219" s="1"/>
      <c r="CWC219" s="1"/>
      <c r="CWD219" s="1"/>
      <c r="CWE219" s="1"/>
      <c r="CWF219" s="1"/>
      <c r="CWG219" s="1"/>
      <c r="CWH219" s="1"/>
      <c r="CWI219" s="1"/>
      <c r="CWJ219" s="1"/>
      <c r="CWK219" s="1"/>
      <c r="CWL219" s="1"/>
      <c r="CWM219" s="1"/>
      <c r="CWN219" s="1"/>
      <c r="CWO219" s="1"/>
      <c r="CWP219" s="1"/>
      <c r="CWQ219" s="1"/>
      <c r="CWR219" s="1"/>
      <c r="CWS219" s="1"/>
      <c r="CWT219" s="1"/>
      <c r="CWU219" s="1"/>
      <c r="CWV219" s="1"/>
      <c r="CWW219" s="1"/>
      <c r="CWX219" s="1"/>
      <c r="CWY219" s="1"/>
      <c r="CWZ219" s="1"/>
      <c r="CXA219" s="1"/>
      <c r="CXB219" s="1"/>
      <c r="CXC219" s="1"/>
      <c r="CXD219" s="1"/>
      <c r="CXE219" s="1"/>
      <c r="CXF219" s="1"/>
      <c r="CXG219" s="1"/>
      <c r="CXH219" s="1"/>
      <c r="CXI219" s="1"/>
      <c r="CXJ219" s="1"/>
      <c r="CXK219" s="1"/>
      <c r="CXL219" s="1"/>
      <c r="CXM219" s="1"/>
      <c r="CXN219" s="1"/>
      <c r="CXO219" s="1"/>
      <c r="CXP219" s="1"/>
      <c r="CXQ219" s="1"/>
      <c r="CXR219" s="1"/>
      <c r="CXS219" s="1"/>
      <c r="CXT219" s="1"/>
      <c r="CXU219" s="1"/>
      <c r="CXV219" s="1"/>
      <c r="CXW219" s="1"/>
      <c r="CXX219" s="1"/>
      <c r="CXY219" s="1"/>
      <c r="CXZ219" s="1"/>
      <c r="CYA219" s="1"/>
      <c r="CYB219" s="1"/>
      <c r="CYC219" s="1"/>
      <c r="CYD219" s="1"/>
      <c r="CYE219" s="1"/>
      <c r="CYF219" s="1"/>
      <c r="CYG219" s="1"/>
      <c r="CYH219" s="1"/>
      <c r="CYI219" s="1"/>
      <c r="CYJ219" s="1"/>
      <c r="CYK219" s="1"/>
      <c r="CYL219" s="1"/>
      <c r="CYM219" s="1"/>
      <c r="CYN219" s="1"/>
      <c r="CYO219" s="1"/>
      <c r="CYP219" s="1"/>
      <c r="CYQ219" s="1"/>
      <c r="CYR219" s="1"/>
      <c r="CYS219" s="1"/>
      <c r="CYT219" s="1"/>
      <c r="CYU219" s="1"/>
      <c r="CYV219" s="1"/>
      <c r="CYW219" s="1"/>
      <c r="CYX219" s="1"/>
      <c r="CYY219" s="1"/>
      <c r="CYZ219" s="1"/>
      <c r="CZA219" s="1"/>
      <c r="CZB219" s="1"/>
      <c r="CZC219" s="1"/>
      <c r="CZD219" s="1"/>
      <c r="CZE219" s="1"/>
      <c r="CZF219" s="1"/>
      <c r="CZG219" s="1"/>
      <c r="CZH219" s="1"/>
      <c r="CZI219" s="1"/>
      <c r="CZJ219" s="1"/>
      <c r="CZK219" s="1"/>
      <c r="CZL219" s="1"/>
      <c r="CZM219" s="1"/>
      <c r="CZN219" s="1"/>
      <c r="CZO219" s="1"/>
      <c r="CZP219" s="1"/>
      <c r="CZQ219" s="1"/>
      <c r="CZR219" s="1"/>
      <c r="CZS219" s="1"/>
      <c r="CZT219" s="1"/>
      <c r="CZU219" s="1"/>
      <c r="CZV219" s="1"/>
      <c r="CZW219" s="1"/>
      <c r="CZX219" s="1"/>
      <c r="CZY219" s="1"/>
      <c r="CZZ219" s="1"/>
      <c r="DAA219" s="1"/>
      <c r="DAB219" s="1"/>
      <c r="DAC219" s="1"/>
      <c r="DAD219" s="1"/>
      <c r="DAE219" s="1"/>
      <c r="DAF219" s="1"/>
      <c r="DAG219" s="1"/>
      <c r="DAH219" s="1"/>
      <c r="DAI219" s="1"/>
      <c r="DAJ219" s="1"/>
      <c r="DAK219" s="1"/>
      <c r="DAL219" s="1"/>
      <c r="DAM219" s="1"/>
      <c r="DAN219" s="1"/>
      <c r="DAO219" s="1"/>
      <c r="DAP219" s="1"/>
      <c r="DAQ219" s="1"/>
      <c r="DAR219" s="1"/>
      <c r="DAS219" s="1"/>
      <c r="DAT219" s="1"/>
      <c r="DAU219" s="1"/>
      <c r="DAV219" s="1"/>
      <c r="DAW219" s="1"/>
      <c r="DAX219" s="1"/>
      <c r="DAY219" s="1"/>
      <c r="DAZ219" s="1"/>
      <c r="DBA219" s="1"/>
      <c r="DBB219" s="1"/>
      <c r="DBC219" s="1"/>
      <c r="DBD219" s="1"/>
      <c r="DBE219" s="1"/>
      <c r="DBF219" s="1"/>
      <c r="DBG219" s="1"/>
      <c r="DBH219" s="1"/>
      <c r="DBI219" s="1"/>
      <c r="DBJ219" s="1"/>
      <c r="DBK219" s="1"/>
      <c r="DBL219" s="1"/>
      <c r="DBM219" s="1"/>
      <c r="DBN219" s="1"/>
      <c r="DBO219" s="1"/>
      <c r="DBP219" s="1"/>
      <c r="DBQ219" s="1"/>
      <c r="DBR219" s="1"/>
      <c r="DBS219" s="1"/>
      <c r="DBT219" s="1"/>
      <c r="DBU219" s="1"/>
      <c r="DBV219" s="1"/>
      <c r="DBW219" s="1"/>
      <c r="DBX219" s="1"/>
      <c r="DBY219" s="1"/>
      <c r="DBZ219" s="1"/>
      <c r="DCA219" s="1"/>
      <c r="DCB219" s="1"/>
      <c r="DCC219" s="1"/>
      <c r="DCD219" s="1"/>
      <c r="DCE219" s="1"/>
      <c r="DCF219" s="1"/>
      <c r="DCG219" s="1"/>
      <c r="DCH219" s="1"/>
      <c r="DCI219" s="1"/>
      <c r="DCJ219" s="1"/>
      <c r="DCK219" s="1"/>
      <c r="DCL219" s="1"/>
      <c r="DCM219" s="1"/>
      <c r="DCN219" s="1"/>
      <c r="DCO219" s="1"/>
      <c r="DCP219" s="1"/>
      <c r="DCQ219" s="1"/>
      <c r="DCR219" s="1"/>
      <c r="DCS219" s="1"/>
      <c r="DCT219" s="1"/>
      <c r="DCU219" s="1"/>
      <c r="DCV219" s="1"/>
      <c r="DCW219" s="1"/>
      <c r="DCX219" s="1"/>
      <c r="DCY219" s="1"/>
      <c r="DCZ219" s="1"/>
      <c r="DDA219" s="1"/>
      <c r="DDB219" s="1"/>
      <c r="DDC219" s="1"/>
      <c r="DDD219" s="1"/>
      <c r="DDE219" s="1"/>
      <c r="DDF219" s="1"/>
      <c r="DDG219" s="1"/>
      <c r="DDH219" s="1"/>
      <c r="DDI219" s="1"/>
      <c r="DDJ219" s="1"/>
      <c r="DDK219" s="1"/>
      <c r="DDL219" s="1"/>
      <c r="DDM219" s="1"/>
      <c r="DDN219" s="1"/>
      <c r="DDO219" s="1"/>
      <c r="DDP219" s="1"/>
      <c r="DDQ219" s="1"/>
      <c r="DDR219" s="1"/>
      <c r="DDS219" s="1"/>
      <c r="DDT219" s="1"/>
      <c r="DDU219" s="1"/>
      <c r="DDV219" s="1"/>
      <c r="DDW219" s="1"/>
      <c r="DDX219" s="1"/>
      <c r="DDY219" s="1"/>
      <c r="DDZ219" s="1"/>
      <c r="DEA219" s="1"/>
      <c r="DEB219" s="1"/>
      <c r="DEC219" s="1"/>
      <c r="DED219" s="1"/>
      <c r="DEE219" s="1"/>
      <c r="DEF219" s="1"/>
      <c r="DEG219" s="1"/>
      <c r="DEH219" s="1"/>
      <c r="DEI219" s="1"/>
      <c r="DEJ219" s="1"/>
      <c r="DEK219" s="1"/>
      <c r="DEL219" s="1"/>
      <c r="DEM219" s="1"/>
      <c r="DEN219" s="1"/>
      <c r="DEO219" s="1"/>
      <c r="DEP219" s="1"/>
      <c r="DEQ219" s="1"/>
      <c r="DER219" s="1"/>
      <c r="DES219" s="1"/>
      <c r="DET219" s="1"/>
      <c r="DEU219" s="1"/>
      <c r="DEV219" s="1"/>
      <c r="DEW219" s="1"/>
      <c r="DEX219" s="1"/>
      <c r="DEY219" s="1"/>
      <c r="DEZ219" s="1"/>
      <c r="DFA219" s="1"/>
      <c r="DFB219" s="1"/>
      <c r="DFC219" s="1"/>
      <c r="DFD219" s="1"/>
      <c r="DFE219" s="1"/>
      <c r="DFF219" s="1"/>
      <c r="DFG219" s="1"/>
      <c r="DFH219" s="1"/>
      <c r="DFI219" s="1"/>
      <c r="DFJ219" s="1"/>
      <c r="DFK219" s="1"/>
      <c r="DFL219" s="1"/>
      <c r="DFM219" s="1"/>
      <c r="DFN219" s="1"/>
      <c r="DFO219" s="1"/>
      <c r="DFP219" s="1"/>
      <c r="DFQ219" s="1"/>
      <c r="DFR219" s="1"/>
      <c r="DFS219" s="1"/>
      <c r="DFT219" s="1"/>
      <c r="DFU219" s="1"/>
      <c r="DFV219" s="1"/>
      <c r="DFW219" s="1"/>
      <c r="DFX219" s="1"/>
      <c r="DFY219" s="1"/>
      <c r="DFZ219" s="1"/>
      <c r="DGA219" s="1"/>
      <c r="DGB219" s="1"/>
      <c r="DGC219" s="1"/>
      <c r="DGD219" s="1"/>
      <c r="DGE219" s="1"/>
      <c r="DGF219" s="1"/>
      <c r="DGG219" s="1"/>
      <c r="DGH219" s="1"/>
      <c r="DGI219" s="1"/>
      <c r="DGJ219" s="1"/>
      <c r="DGK219" s="1"/>
      <c r="DGL219" s="1"/>
      <c r="DGM219" s="1"/>
      <c r="DGN219" s="1"/>
      <c r="DGO219" s="1"/>
      <c r="DGP219" s="1"/>
      <c r="DGQ219" s="1"/>
      <c r="DGR219" s="1"/>
      <c r="DGS219" s="1"/>
      <c r="DGT219" s="1"/>
      <c r="DGU219" s="1"/>
      <c r="DGV219" s="1"/>
      <c r="DGW219" s="1"/>
      <c r="DGX219" s="1"/>
      <c r="DGY219" s="1"/>
      <c r="DGZ219" s="1"/>
      <c r="DHA219" s="1"/>
      <c r="DHB219" s="1"/>
      <c r="DHC219" s="1"/>
      <c r="DHD219" s="1"/>
      <c r="DHE219" s="1"/>
      <c r="DHF219" s="1"/>
      <c r="DHG219" s="1"/>
      <c r="DHH219" s="1"/>
      <c r="DHI219" s="1"/>
      <c r="DHJ219" s="1"/>
      <c r="DHK219" s="1"/>
      <c r="DHL219" s="1"/>
      <c r="DHM219" s="1"/>
      <c r="DHN219" s="1"/>
      <c r="DHO219" s="1"/>
      <c r="DHP219" s="1"/>
      <c r="DHQ219" s="1"/>
      <c r="DHR219" s="1"/>
      <c r="DHS219" s="1"/>
      <c r="DHT219" s="1"/>
      <c r="DHU219" s="1"/>
      <c r="DHV219" s="1"/>
      <c r="DHW219" s="1"/>
      <c r="DHX219" s="1"/>
      <c r="DHY219" s="1"/>
      <c r="DHZ219" s="1"/>
      <c r="DIA219" s="1"/>
      <c r="DIB219" s="1"/>
      <c r="DIC219" s="1"/>
      <c r="DID219" s="1"/>
      <c r="DIE219" s="1"/>
      <c r="DIF219" s="1"/>
      <c r="DIG219" s="1"/>
      <c r="DIH219" s="1"/>
      <c r="DII219" s="1"/>
      <c r="DIJ219" s="1"/>
      <c r="DIK219" s="1"/>
      <c r="DIL219" s="1"/>
      <c r="DIM219" s="1"/>
      <c r="DIN219" s="1"/>
      <c r="DIO219" s="1"/>
      <c r="DIP219" s="1"/>
      <c r="DIQ219" s="1"/>
      <c r="DIR219" s="1"/>
      <c r="DIS219" s="1"/>
      <c r="DIT219" s="1"/>
      <c r="DIU219" s="1"/>
      <c r="DIV219" s="1"/>
      <c r="DIW219" s="1"/>
      <c r="DIX219" s="1"/>
      <c r="DIY219" s="1"/>
      <c r="DIZ219" s="1"/>
      <c r="DJA219" s="1"/>
      <c r="DJB219" s="1"/>
      <c r="DJC219" s="1"/>
      <c r="DJD219" s="1"/>
      <c r="DJE219" s="1"/>
      <c r="DJF219" s="1"/>
      <c r="DJG219" s="1"/>
      <c r="DJH219" s="1"/>
      <c r="DJI219" s="1"/>
      <c r="DJJ219" s="1"/>
      <c r="DJK219" s="1"/>
      <c r="DJL219" s="1"/>
      <c r="DJM219" s="1"/>
      <c r="DJN219" s="1"/>
      <c r="DJO219" s="1"/>
      <c r="DJP219" s="1"/>
      <c r="DJQ219" s="1"/>
      <c r="DJR219" s="1"/>
      <c r="DJS219" s="1"/>
      <c r="DJT219" s="1"/>
      <c r="DJU219" s="1"/>
      <c r="DJV219" s="1"/>
      <c r="DJW219" s="1"/>
      <c r="DJX219" s="1"/>
      <c r="DJY219" s="1"/>
      <c r="DJZ219" s="1"/>
      <c r="DKA219" s="1"/>
      <c r="DKB219" s="1"/>
      <c r="DKC219" s="1"/>
      <c r="DKD219" s="1"/>
      <c r="DKE219" s="1"/>
      <c r="DKF219" s="1"/>
      <c r="DKG219" s="1"/>
      <c r="DKH219" s="1"/>
      <c r="DKI219" s="1"/>
      <c r="DKJ219" s="1"/>
      <c r="DKK219" s="1"/>
      <c r="DKL219" s="1"/>
      <c r="DKM219" s="1"/>
      <c r="DKN219" s="1"/>
      <c r="DKO219" s="1"/>
      <c r="DKP219" s="1"/>
      <c r="DKQ219" s="1"/>
      <c r="DKR219" s="1"/>
      <c r="DKS219" s="1"/>
      <c r="DKT219" s="1"/>
      <c r="DKU219" s="1"/>
      <c r="DKV219" s="1"/>
      <c r="DKW219" s="1"/>
      <c r="DKX219" s="1"/>
      <c r="DKY219" s="1"/>
      <c r="DKZ219" s="1"/>
      <c r="DLA219" s="1"/>
      <c r="DLB219" s="1"/>
      <c r="DLC219" s="1"/>
      <c r="DLD219" s="1"/>
      <c r="DLE219" s="1"/>
      <c r="DLF219" s="1"/>
      <c r="DLG219" s="1"/>
      <c r="DLH219" s="1"/>
      <c r="DLI219" s="1"/>
      <c r="DLJ219" s="1"/>
      <c r="DLK219" s="1"/>
      <c r="DLL219" s="1"/>
      <c r="DLM219" s="1"/>
      <c r="DLN219" s="1"/>
      <c r="DLO219" s="1"/>
      <c r="DLP219" s="1"/>
      <c r="DLQ219" s="1"/>
      <c r="DLR219" s="1"/>
      <c r="DLS219" s="1"/>
      <c r="DLT219" s="1"/>
      <c r="DLU219" s="1"/>
      <c r="DLV219" s="1"/>
      <c r="DLW219" s="1"/>
      <c r="DLX219" s="1"/>
      <c r="DLY219" s="1"/>
      <c r="DLZ219" s="1"/>
      <c r="DMA219" s="1"/>
      <c r="DMB219" s="1"/>
      <c r="DMC219" s="1"/>
      <c r="DMD219" s="1"/>
      <c r="DME219" s="1"/>
      <c r="DMF219" s="1"/>
      <c r="DMG219" s="1"/>
      <c r="DMH219" s="1"/>
      <c r="DMI219" s="1"/>
      <c r="DMJ219" s="1"/>
      <c r="DMK219" s="1"/>
      <c r="DML219" s="1"/>
      <c r="DMM219" s="1"/>
      <c r="DMN219" s="1"/>
      <c r="DMO219" s="1"/>
      <c r="DMP219" s="1"/>
      <c r="DMQ219" s="1"/>
      <c r="DMR219" s="1"/>
      <c r="DMS219" s="1"/>
      <c r="DMT219" s="1"/>
      <c r="DMU219" s="1"/>
      <c r="DMV219" s="1"/>
      <c r="DMW219" s="1"/>
      <c r="DMX219" s="1"/>
      <c r="DMY219" s="1"/>
      <c r="DMZ219" s="1"/>
      <c r="DNA219" s="1"/>
      <c r="DNB219" s="1"/>
      <c r="DNC219" s="1"/>
      <c r="DND219" s="1"/>
      <c r="DNE219" s="1"/>
      <c r="DNF219" s="1"/>
      <c r="DNG219" s="1"/>
      <c r="DNH219" s="1"/>
      <c r="DNI219" s="1"/>
      <c r="DNJ219" s="1"/>
      <c r="DNK219" s="1"/>
      <c r="DNL219" s="1"/>
      <c r="DNM219" s="1"/>
      <c r="DNN219" s="1"/>
      <c r="DNO219" s="1"/>
      <c r="DNP219" s="1"/>
      <c r="DNQ219" s="1"/>
      <c r="DNR219" s="1"/>
      <c r="DNS219" s="1"/>
      <c r="DNT219" s="1"/>
      <c r="DNU219" s="1"/>
      <c r="DNV219" s="1"/>
      <c r="DNW219" s="1"/>
      <c r="DNX219" s="1"/>
      <c r="DNY219" s="1"/>
      <c r="DNZ219" s="1"/>
      <c r="DOA219" s="1"/>
      <c r="DOB219" s="1"/>
      <c r="DOC219" s="1"/>
      <c r="DOD219" s="1"/>
      <c r="DOE219" s="1"/>
      <c r="DOF219" s="1"/>
      <c r="DOG219" s="1"/>
      <c r="DOH219" s="1"/>
      <c r="DOI219" s="1"/>
      <c r="DOJ219" s="1"/>
      <c r="DOK219" s="1"/>
      <c r="DOL219" s="1"/>
      <c r="DOM219" s="1"/>
      <c r="DON219" s="1"/>
      <c r="DOO219" s="1"/>
      <c r="DOP219" s="1"/>
      <c r="DOQ219" s="1"/>
      <c r="DOR219" s="1"/>
      <c r="DOS219" s="1"/>
      <c r="DOT219" s="1"/>
      <c r="DOU219" s="1"/>
      <c r="DOV219" s="1"/>
      <c r="DOW219" s="1"/>
      <c r="DOX219" s="1"/>
      <c r="DOY219" s="1"/>
      <c r="DOZ219" s="1"/>
      <c r="DPA219" s="1"/>
      <c r="DPB219" s="1"/>
      <c r="DPC219" s="1"/>
      <c r="DPD219" s="1"/>
      <c r="DPE219" s="1"/>
      <c r="DPF219" s="1"/>
      <c r="DPG219" s="1"/>
      <c r="DPH219" s="1"/>
      <c r="DPI219" s="1"/>
      <c r="DPJ219" s="1"/>
      <c r="DPK219" s="1"/>
      <c r="DPL219" s="1"/>
      <c r="DPM219" s="1"/>
      <c r="DPN219" s="1"/>
      <c r="DPO219" s="1"/>
      <c r="DPP219" s="1"/>
      <c r="DPQ219" s="1"/>
      <c r="DPR219" s="1"/>
      <c r="DPS219" s="1"/>
      <c r="DPT219" s="1"/>
      <c r="DPU219" s="1"/>
      <c r="DPV219" s="1"/>
      <c r="DPW219" s="1"/>
      <c r="DPX219" s="1"/>
      <c r="DPY219" s="1"/>
      <c r="DPZ219" s="1"/>
      <c r="DQA219" s="1"/>
      <c r="DQB219" s="1"/>
      <c r="DQC219" s="1"/>
      <c r="DQD219" s="1"/>
      <c r="DQE219" s="1"/>
      <c r="DQF219" s="1"/>
      <c r="DQG219" s="1"/>
      <c r="DQH219" s="1"/>
      <c r="DQI219" s="1"/>
      <c r="DQJ219" s="1"/>
      <c r="DQK219" s="1"/>
      <c r="DQL219" s="1"/>
      <c r="DQM219" s="1"/>
      <c r="DQN219" s="1"/>
      <c r="DQO219" s="1"/>
      <c r="DQP219" s="1"/>
      <c r="DQQ219" s="1"/>
      <c r="DQR219" s="1"/>
      <c r="DQS219" s="1"/>
      <c r="DQT219" s="1"/>
      <c r="DQU219" s="1"/>
      <c r="DQV219" s="1"/>
      <c r="DQW219" s="1"/>
      <c r="DQX219" s="1"/>
      <c r="DQY219" s="1"/>
      <c r="DQZ219" s="1"/>
      <c r="DRA219" s="1"/>
      <c r="DRB219" s="1"/>
      <c r="DRC219" s="1"/>
      <c r="DRD219" s="1"/>
      <c r="DRE219" s="1"/>
      <c r="DRF219" s="1"/>
      <c r="DRG219" s="1"/>
      <c r="DRH219" s="1"/>
      <c r="DRI219" s="1"/>
      <c r="DRJ219" s="1"/>
      <c r="DRK219" s="1"/>
      <c r="DRL219" s="1"/>
      <c r="DRM219" s="1"/>
      <c r="DRN219" s="1"/>
      <c r="DRO219" s="1"/>
      <c r="DRP219" s="1"/>
      <c r="DRQ219" s="1"/>
      <c r="DRR219" s="1"/>
      <c r="DRS219" s="1"/>
      <c r="DRT219" s="1"/>
      <c r="DRU219" s="1"/>
      <c r="DRV219" s="1"/>
      <c r="DRW219" s="1"/>
      <c r="DRX219" s="1"/>
      <c r="DRY219" s="1"/>
      <c r="DRZ219" s="1"/>
      <c r="DSA219" s="1"/>
      <c r="DSB219" s="1"/>
      <c r="DSC219" s="1"/>
      <c r="DSD219" s="1"/>
      <c r="DSE219" s="1"/>
      <c r="DSF219" s="1"/>
      <c r="DSG219" s="1"/>
      <c r="DSH219" s="1"/>
      <c r="DSI219" s="1"/>
      <c r="DSJ219" s="1"/>
      <c r="DSK219" s="1"/>
      <c r="DSL219" s="1"/>
      <c r="DSM219" s="1"/>
      <c r="DSN219" s="1"/>
      <c r="DSO219" s="1"/>
      <c r="DSP219" s="1"/>
      <c r="DSQ219" s="1"/>
      <c r="DSR219" s="1"/>
      <c r="DSS219" s="1"/>
      <c r="DST219" s="1"/>
      <c r="DSU219" s="1"/>
      <c r="DSV219" s="1"/>
      <c r="DSW219" s="1"/>
      <c r="DSX219" s="1"/>
      <c r="DSY219" s="1"/>
      <c r="DSZ219" s="1"/>
      <c r="DTA219" s="1"/>
      <c r="DTB219" s="1"/>
      <c r="DTC219" s="1"/>
      <c r="DTD219" s="1"/>
      <c r="DTE219" s="1"/>
      <c r="DTF219" s="1"/>
      <c r="DTG219" s="1"/>
      <c r="DTH219" s="1"/>
      <c r="DTI219" s="1"/>
      <c r="DTJ219" s="1"/>
      <c r="DTK219" s="1"/>
      <c r="DTL219" s="1"/>
      <c r="DTM219" s="1"/>
      <c r="DTN219" s="1"/>
      <c r="DTO219" s="1"/>
      <c r="DTP219" s="1"/>
      <c r="DTQ219" s="1"/>
      <c r="DTR219" s="1"/>
      <c r="DTS219" s="1"/>
      <c r="DTT219" s="1"/>
      <c r="DTU219" s="1"/>
      <c r="DTV219" s="1"/>
      <c r="DTW219" s="1"/>
      <c r="DTX219" s="1"/>
      <c r="DTY219" s="1"/>
      <c r="DTZ219" s="1"/>
      <c r="DUA219" s="1"/>
      <c r="DUB219" s="1"/>
      <c r="DUC219" s="1"/>
      <c r="DUD219" s="1"/>
      <c r="DUE219" s="1"/>
      <c r="DUF219" s="1"/>
      <c r="DUG219" s="1"/>
      <c r="DUH219" s="1"/>
      <c r="DUI219" s="1"/>
      <c r="DUJ219" s="1"/>
      <c r="DUK219" s="1"/>
      <c r="DUL219" s="1"/>
      <c r="DUM219" s="1"/>
      <c r="DUN219" s="1"/>
      <c r="DUO219" s="1"/>
      <c r="DUP219" s="1"/>
      <c r="DUQ219" s="1"/>
      <c r="DUR219" s="1"/>
      <c r="DUS219" s="1"/>
      <c r="DUT219" s="1"/>
      <c r="DUU219" s="1"/>
      <c r="DUV219" s="1"/>
      <c r="DUW219" s="1"/>
      <c r="DUX219" s="1"/>
      <c r="DUY219" s="1"/>
      <c r="DUZ219" s="1"/>
      <c r="DVA219" s="1"/>
      <c r="DVB219" s="1"/>
      <c r="DVC219" s="1"/>
      <c r="DVD219" s="1"/>
      <c r="DVE219" s="1"/>
      <c r="DVF219" s="1"/>
      <c r="DVG219" s="1"/>
      <c r="DVH219" s="1"/>
      <c r="DVI219" s="1"/>
      <c r="DVJ219" s="1"/>
      <c r="DVK219" s="1"/>
      <c r="DVL219" s="1"/>
      <c r="DVM219" s="1"/>
      <c r="DVN219" s="1"/>
      <c r="DVO219" s="1"/>
      <c r="DVP219" s="1"/>
      <c r="DVQ219" s="1"/>
      <c r="DVR219" s="1"/>
      <c r="DVS219" s="1"/>
      <c r="DVT219" s="1"/>
      <c r="DVU219" s="1"/>
      <c r="DVV219" s="1"/>
      <c r="DVW219" s="1"/>
      <c r="DVX219" s="1"/>
      <c r="DVY219" s="1"/>
      <c r="DVZ219" s="1"/>
      <c r="DWA219" s="1"/>
      <c r="DWB219" s="1"/>
      <c r="DWC219" s="1"/>
      <c r="DWD219" s="1"/>
      <c r="DWE219" s="1"/>
      <c r="DWF219" s="1"/>
      <c r="DWG219" s="1"/>
      <c r="DWH219" s="1"/>
      <c r="DWI219" s="1"/>
      <c r="DWJ219" s="1"/>
      <c r="DWK219" s="1"/>
      <c r="DWL219" s="1"/>
      <c r="DWM219" s="1"/>
      <c r="DWN219" s="1"/>
      <c r="DWO219" s="1"/>
      <c r="DWP219" s="1"/>
      <c r="DWQ219" s="1"/>
      <c r="DWR219" s="1"/>
      <c r="DWS219" s="1"/>
      <c r="DWT219" s="1"/>
      <c r="DWU219" s="1"/>
      <c r="DWV219" s="1"/>
      <c r="DWW219" s="1"/>
      <c r="DWX219" s="1"/>
      <c r="DWY219" s="1"/>
      <c r="DWZ219" s="1"/>
      <c r="DXA219" s="1"/>
      <c r="DXB219" s="1"/>
      <c r="DXC219" s="1"/>
      <c r="DXD219" s="1"/>
      <c r="DXE219" s="1"/>
      <c r="DXF219" s="1"/>
      <c r="DXG219" s="1"/>
      <c r="DXH219" s="1"/>
      <c r="DXI219" s="1"/>
      <c r="DXJ219" s="1"/>
      <c r="DXK219" s="1"/>
      <c r="DXL219" s="1"/>
      <c r="DXM219" s="1"/>
      <c r="DXN219" s="1"/>
      <c r="DXO219" s="1"/>
      <c r="DXP219" s="1"/>
      <c r="DXQ219" s="1"/>
      <c r="DXR219" s="1"/>
      <c r="DXS219" s="1"/>
      <c r="DXT219" s="1"/>
      <c r="DXU219" s="1"/>
      <c r="DXV219" s="1"/>
      <c r="DXW219" s="1"/>
      <c r="DXX219" s="1"/>
      <c r="DXY219" s="1"/>
      <c r="DXZ219" s="1"/>
      <c r="DYA219" s="1"/>
      <c r="DYB219" s="1"/>
      <c r="DYC219" s="1"/>
      <c r="DYD219" s="1"/>
      <c r="DYE219" s="1"/>
      <c r="DYF219" s="1"/>
      <c r="DYG219" s="1"/>
      <c r="DYH219" s="1"/>
      <c r="DYI219" s="1"/>
      <c r="DYJ219" s="1"/>
      <c r="DYK219" s="1"/>
      <c r="DYL219" s="1"/>
      <c r="DYM219" s="1"/>
      <c r="DYN219" s="1"/>
      <c r="DYO219" s="1"/>
      <c r="DYP219" s="1"/>
      <c r="DYQ219" s="1"/>
      <c r="DYR219" s="1"/>
      <c r="DYS219" s="1"/>
      <c r="DYT219" s="1"/>
      <c r="DYU219" s="1"/>
      <c r="DYV219" s="1"/>
      <c r="DYW219" s="1"/>
      <c r="DYX219" s="1"/>
      <c r="DYY219" s="1"/>
      <c r="DYZ219" s="1"/>
      <c r="DZA219" s="1"/>
      <c r="DZB219" s="1"/>
      <c r="DZC219" s="1"/>
      <c r="DZD219" s="1"/>
      <c r="DZE219" s="1"/>
      <c r="DZF219" s="1"/>
      <c r="DZG219" s="1"/>
      <c r="DZH219" s="1"/>
      <c r="DZI219" s="1"/>
      <c r="DZJ219" s="1"/>
      <c r="DZK219" s="1"/>
      <c r="DZL219" s="1"/>
      <c r="DZM219" s="1"/>
      <c r="DZN219" s="1"/>
      <c r="DZO219" s="1"/>
      <c r="DZP219" s="1"/>
      <c r="DZQ219" s="1"/>
      <c r="DZR219" s="1"/>
      <c r="DZS219" s="1"/>
      <c r="DZT219" s="1"/>
      <c r="DZU219" s="1"/>
      <c r="DZV219" s="1"/>
      <c r="DZW219" s="1"/>
      <c r="DZX219" s="1"/>
      <c r="DZY219" s="1"/>
      <c r="DZZ219" s="1"/>
      <c r="EAA219" s="1"/>
      <c r="EAB219" s="1"/>
      <c r="EAC219" s="1"/>
      <c r="EAD219" s="1"/>
      <c r="EAE219" s="1"/>
      <c r="EAF219" s="1"/>
      <c r="EAG219" s="1"/>
      <c r="EAH219" s="1"/>
      <c r="EAI219" s="1"/>
      <c r="EAJ219" s="1"/>
      <c r="EAK219" s="1"/>
      <c r="EAL219" s="1"/>
      <c r="EAM219" s="1"/>
      <c r="EAN219" s="1"/>
      <c r="EAO219" s="1"/>
      <c r="EAP219" s="1"/>
      <c r="EAQ219" s="1"/>
      <c r="EAR219" s="1"/>
      <c r="EAS219" s="1"/>
      <c r="EAT219" s="1"/>
      <c r="EAU219" s="1"/>
      <c r="EAV219" s="1"/>
      <c r="EAW219" s="1"/>
      <c r="EAX219" s="1"/>
      <c r="EAY219" s="1"/>
      <c r="EAZ219" s="1"/>
      <c r="EBA219" s="1"/>
      <c r="EBB219" s="1"/>
      <c r="EBC219" s="1"/>
      <c r="EBD219" s="1"/>
      <c r="EBE219" s="1"/>
      <c r="EBF219" s="1"/>
      <c r="EBG219" s="1"/>
      <c r="EBH219" s="1"/>
      <c r="EBI219" s="1"/>
      <c r="EBJ219" s="1"/>
      <c r="EBK219" s="1"/>
      <c r="EBL219" s="1"/>
      <c r="EBM219" s="1"/>
      <c r="EBN219" s="1"/>
      <c r="EBO219" s="1"/>
      <c r="EBP219" s="1"/>
      <c r="EBQ219" s="1"/>
      <c r="EBR219" s="1"/>
      <c r="EBS219" s="1"/>
      <c r="EBT219" s="1"/>
      <c r="EBU219" s="1"/>
      <c r="EBV219" s="1"/>
      <c r="EBW219" s="1"/>
      <c r="EBX219" s="1"/>
      <c r="EBY219" s="1"/>
      <c r="EBZ219" s="1"/>
      <c r="ECA219" s="1"/>
      <c r="ECB219" s="1"/>
      <c r="ECC219" s="1"/>
      <c r="ECD219" s="1"/>
      <c r="ECE219" s="1"/>
      <c r="ECF219" s="1"/>
      <c r="ECG219" s="1"/>
      <c r="ECH219" s="1"/>
      <c r="ECI219" s="1"/>
      <c r="ECJ219" s="1"/>
      <c r="ECK219" s="1"/>
      <c r="ECL219" s="1"/>
      <c r="ECM219" s="1"/>
      <c r="ECN219" s="1"/>
      <c r="ECO219" s="1"/>
      <c r="ECP219" s="1"/>
      <c r="ECQ219" s="1"/>
      <c r="ECR219" s="1"/>
      <c r="ECS219" s="1"/>
      <c r="ECT219" s="1"/>
      <c r="ECU219" s="1"/>
      <c r="ECV219" s="1"/>
      <c r="ECW219" s="1"/>
      <c r="ECX219" s="1"/>
      <c r="ECY219" s="1"/>
      <c r="ECZ219" s="1"/>
      <c r="EDA219" s="1"/>
      <c r="EDB219" s="1"/>
      <c r="EDC219" s="1"/>
      <c r="EDD219" s="1"/>
      <c r="EDE219" s="1"/>
      <c r="EDF219" s="1"/>
      <c r="EDG219" s="1"/>
      <c r="EDH219" s="1"/>
      <c r="EDI219" s="1"/>
      <c r="EDJ219" s="1"/>
      <c r="EDK219" s="1"/>
      <c r="EDL219" s="1"/>
      <c r="EDM219" s="1"/>
      <c r="EDN219" s="1"/>
      <c r="EDO219" s="1"/>
      <c r="EDP219" s="1"/>
      <c r="EDQ219" s="1"/>
      <c r="EDR219" s="1"/>
      <c r="EDS219" s="1"/>
      <c r="EDT219" s="1"/>
      <c r="EDU219" s="1"/>
      <c r="EDV219" s="1"/>
      <c r="EDW219" s="1"/>
      <c r="EDX219" s="1"/>
      <c r="EDY219" s="1"/>
      <c r="EDZ219" s="1"/>
      <c r="EEA219" s="1"/>
      <c r="EEB219" s="1"/>
      <c r="EEC219" s="1"/>
      <c r="EED219" s="1"/>
      <c r="EEE219" s="1"/>
      <c r="EEF219" s="1"/>
      <c r="EEG219" s="1"/>
      <c r="EEH219" s="1"/>
      <c r="EEI219" s="1"/>
      <c r="EEJ219" s="1"/>
      <c r="EEK219" s="1"/>
      <c r="EEL219" s="1"/>
      <c r="EEM219" s="1"/>
      <c r="EEN219" s="1"/>
      <c r="EEO219" s="1"/>
      <c r="EEP219" s="1"/>
      <c r="EEQ219" s="1"/>
      <c r="EER219" s="1"/>
      <c r="EES219" s="1"/>
      <c r="EET219" s="1"/>
      <c r="EEU219" s="1"/>
      <c r="EEV219" s="1"/>
      <c r="EEW219" s="1"/>
      <c r="EEX219" s="1"/>
      <c r="EEY219" s="1"/>
      <c r="EEZ219" s="1"/>
      <c r="EFA219" s="1"/>
      <c r="EFB219" s="1"/>
      <c r="EFC219" s="1"/>
      <c r="EFD219" s="1"/>
      <c r="EFE219" s="1"/>
      <c r="EFF219" s="1"/>
      <c r="EFG219" s="1"/>
      <c r="EFH219" s="1"/>
      <c r="EFI219" s="1"/>
      <c r="EFJ219" s="1"/>
      <c r="EFK219" s="1"/>
      <c r="EFL219" s="1"/>
      <c r="EFM219" s="1"/>
      <c r="EFN219" s="1"/>
      <c r="EFO219" s="1"/>
      <c r="EFP219" s="1"/>
      <c r="EFQ219" s="1"/>
      <c r="EFR219" s="1"/>
      <c r="EFS219" s="1"/>
      <c r="EFT219" s="1"/>
      <c r="EFU219" s="1"/>
      <c r="EFV219" s="1"/>
      <c r="EFW219" s="1"/>
      <c r="EFX219" s="1"/>
      <c r="EFY219" s="1"/>
      <c r="EFZ219" s="1"/>
      <c r="EGA219" s="1"/>
      <c r="EGB219" s="1"/>
      <c r="EGC219" s="1"/>
      <c r="EGD219" s="1"/>
      <c r="EGE219" s="1"/>
      <c r="EGF219" s="1"/>
      <c r="EGG219" s="1"/>
      <c r="EGH219" s="1"/>
      <c r="EGI219" s="1"/>
      <c r="EGJ219" s="1"/>
      <c r="EGK219" s="1"/>
      <c r="EGL219" s="1"/>
      <c r="EGM219" s="1"/>
      <c r="EGN219" s="1"/>
      <c r="EGO219" s="1"/>
      <c r="EGP219" s="1"/>
      <c r="EGQ219" s="1"/>
      <c r="EGR219" s="1"/>
      <c r="EGS219" s="1"/>
      <c r="EGT219" s="1"/>
      <c r="EGU219" s="1"/>
      <c r="EGV219" s="1"/>
      <c r="EGW219" s="1"/>
      <c r="EGX219" s="1"/>
      <c r="EGY219" s="1"/>
      <c r="EGZ219" s="1"/>
      <c r="EHA219" s="1"/>
      <c r="EHB219" s="1"/>
      <c r="EHC219" s="1"/>
      <c r="EHD219" s="1"/>
      <c r="EHE219" s="1"/>
      <c r="EHF219" s="1"/>
      <c r="EHG219" s="1"/>
      <c r="EHH219" s="1"/>
      <c r="EHI219" s="1"/>
      <c r="EHJ219" s="1"/>
      <c r="EHK219" s="1"/>
      <c r="EHL219" s="1"/>
      <c r="EHM219" s="1"/>
      <c r="EHN219" s="1"/>
      <c r="EHO219" s="1"/>
      <c r="EHP219" s="1"/>
      <c r="EHQ219" s="1"/>
      <c r="EHR219" s="1"/>
      <c r="EHS219" s="1"/>
      <c r="EHT219" s="1"/>
      <c r="EHU219" s="1"/>
      <c r="EHV219" s="1"/>
      <c r="EHW219" s="1"/>
      <c r="EHX219" s="1"/>
      <c r="EHY219" s="1"/>
      <c r="EHZ219" s="1"/>
      <c r="EIA219" s="1"/>
      <c r="EIB219" s="1"/>
      <c r="EIC219" s="1"/>
      <c r="EID219" s="1"/>
      <c r="EIE219" s="1"/>
      <c r="EIF219" s="1"/>
      <c r="EIG219" s="1"/>
      <c r="EIH219" s="1"/>
      <c r="EII219" s="1"/>
      <c r="EIJ219" s="1"/>
      <c r="EIK219" s="1"/>
      <c r="EIL219" s="1"/>
      <c r="EIM219" s="1"/>
      <c r="EIN219" s="1"/>
      <c r="EIO219" s="1"/>
      <c r="EIP219" s="1"/>
      <c r="EIQ219" s="1"/>
      <c r="EIR219" s="1"/>
      <c r="EIS219" s="1"/>
      <c r="EIT219" s="1"/>
      <c r="EIU219" s="1"/>
      <c r="EIV219" s="1"/>
      <c r="EIW219" s="1"/>
      <c r="EIX219" s="1"/>
      <c r="EIY219" s="1"/>
      <c r="EIZ219" s="1"/>
      <c r="EJA219" s="1"/>
      <c r="EJB219" s="1"/>
      <c r="EJC219" s="1"/>
      <c r="EJD219" s="1"/>
      <c r="EJE219" s="1"/>
      <c r="EJF219" s="1"/>
      <c r="EJG219" s="1"/>
      <c r="EJH219" s="1"/>
      <c r="EJI219" s="1"/>
      <c r="EJJ219" s="1"/>
      <c r="EJK219" s="1"/>
      <c r="EJL219" s="1"/>
      <c r="EJM219" s="1"/>
      <c r="EJN219" s="1"/>
      <c r="EJO219" s="1"/>
      <c r="EJP219" s="1"/>
      <c r="EJQ219" s="1"/>
      <c r="EJR219" s="1"/>
      <c r="EJS219" s="1"/>
      <c r="EJT219" s="1"/>
      <c r="EJU219" s="1"/>
      <c r="EJV219" s="1"/>
      <c r="EJW219" s="1"/>
      <c r="EJX219" s="1"/>
      <c r="EJY219" s="1"/>
      <c r="EJZ219" s="1"/>
      <c r="EKA219" s="1"/>
      <c r="EKB219" s="1"/>
      <c r="EKC219" s="1"/>
      <c r="EKD219" s="1"/>
      <c r="EKE219" s="1"/>
      <c r="EKF219" s="1"/>
      <c r="EKG219" s="1"/>
      <c r="EKH219" s="1"/>
      <c r="EKI219" s="1"/>
      <c r="EKJ219" s="1"/>
      <c r="EKK219" s="1"/>
      <c r="EKL219" s="1"/>
      <c r="EKM219" s="1"/>
      <c r="EKN219" s="1"/>
      <c r="EKO219" s="1"/>
      <c r="EKP219" s="1"/>
      <c r="EKQ219" s="1"/>
      <c r="EKR219" s="1"/>
      <c r="EKS219" s="1"/>
      <c r="EKT219" s="1"/>
      <c r="EKU219" s="1"/>
      <c r="EKV219" s="1"/>
      <c r="EKW219" s="1"/>
      <c r="EKX219" s="1"/>
      <c r="EKY219" s="1"/>
      <c r="EKZ219" s="1"/>
      <c r="ELA219" s="1"/>
      <c r="ELB219" s="1"/>
      <c r="ELC219" s="1"/>
      <c r="ELD219" s="1"/>
      <c r="ELE219" s="1"/>
      <c r="ELF219" s="1"/>
      <c r="ELG219" s="1"/>
      <c r="ELH219" s="1"/>
      <c r="ELI219" s="1"/>
      <c r="ELJ219" s="1"/>
      <c r="ELK219" s="1"/>
      <c r="ELL219" s="1"/>
      <c r="ELM219" s="1"/>
      <c r="ELN219" s="1"/>
      <c r="ELO219" s="1"/>
      <c r="ELP219" s="1"/>
      <c r="ELQ219" s="1"/>
      <c r="ELR219" s="1"/>
      <c r="ELS219" s="1"/>
      <c r="ELT219" s="1"/>
      <c r="ELU219" s="1"/>
      <c r="ELV219" s="1"/>
      <c r="ELW219" s="1"/>
      <c r="ELX219" s="1"/>
      <c r="ELY219" s="1"/>
      <c r="ELZ219" s="1"/>
      <c r="EMA219" s="1"/>
      <c r="EMB219" s="1"/>
      <c r="EMC219" s="1"/>
      <c r="EMD219" s="1"/>
      <c r="EME219" s="1"/>
      <c r="EMF219" s="1"/>
      <c r="EMG219" s="1"/>
      <c r="EMH219" s="1"/>
      <c r="EMI219" s="1"/>
      <c r="EMJ219" s="1"/>
      <c r="EMK219" s="1"/>
      <c r="EML219" s="1"/>
      <c r="EMM219" s="1"/>
      <c r="EMN219" s="1"/>
      <c r="EMO219" s="1"/>
      <c r="EMP219" s="1"/>
      <c r="EMQ219" s="1"/>
      <c r="EMR219" s="1"/>
      <c r="EMS219" s="1"/>
      <c r="EMT219" s="1"/>
      <c r="EMU219" s="1"/>
      <c r="EMV219" s="1"/>
      <c r="EMW219" s="1"/>
      <c r="EMX219" s="1"/>
      <c r="EMY219" s="1"/>
      <c r="EMZ219" s="1"/>
      <c r="ENA219" s="1"/>
      <c r="ENB219" s="1"/>
      <c r="ENC219" s="1"/>
      <c r="END219" s="1"/>
      <c r="ENE219" s="1"/>
      <c r="ENF219" s="1"/>
      <c r="ENG219" s="1"/>
      <c r="ENH219" s="1"/>
      <c r="ENI219" s="1"/>
      <c r="ENJ219" s="1"/>
      <c r="ENK219" s="1"/>
      <c r="ENL219" s="1"/>
      <c r="ENM219" s="1"/>
      <c r="ENN219" s="1"/>
      <c r="ENO219" s="1"/>
      <c r="ENP219" s="1"/>
      <c r="ENQ219" s="1"/>
      <c r="ENR219" s="1"/>
      <c r="ENS219" s="1"/>
      <c r="ENT219" s="1"/>
      <c r="ENU219" s="1"/>
      <c r="ENV219" s="1"/>
      <c r="ENW219" s="1"/>
      <c r="ENX219" s="1"/>
      <c r="ENY219" s="1"/>
      <c r="ENZ219" s="1"/>
      <c r="EOA219" s="1"/>
      <c r="EOB219" s="1"/>
      <c r="EOC219" s="1"/>
      <c r="EOD219" s="1"/>
      <c r="EOE219" s="1"/>
      <c r="EOF219" s="1"/>
      <c r="EOG219" s="1"/>
      <c r="EOH219" s="1"/>
      <c r="EOI219" s="1"/>
      <c r="EOJ219" s="1"/>
      <c r="EOK219" s="1"/>
      <c r="EOL219" s="1"/>
      <c r="EOM219" s="1"/>
      <c r="EON219" s="1"/>
      <c r="EOO219" s="1"/>
      <c r="EOP219" s="1"/>
      <c r="EOQ219" s="1"/>
      <c r="EOR219" s="1"/>
      <c r="EOS219" s="1"/>
      <c r="EOT219" s="1"/>
      <c r="EOU219" s="1"/>
      <c r="EOV219" s="1"/>
      <c r="EOW219" s="1"/>
      <c r="EOX219" s="1"/>
      <c r="EOY219" s="1"/>
      <c r="EOZ219" s="1"/>
      <c r="EPA219" s="1"/>
      <c r="EPB219" s="1"/>
      <c r="EPC219" s="1"/>
      <c r="EPD219" s="1"/>
      <c r="EPE219" s="1"/>
      <c r="EPF219" s="1"/>
      <c r="EPG219" s="1"/>
      <c r="EPH219" s="1"/>
      <c r="EPI219" s="1"/>
      <c r="EPJ219" s="1"/>
      <c r="EPK219" s="1"/>
      <c r="EPL219" s="1"/>
      <c r="EPM219" s="1"/>
      <c r="EPN219" s="1"/>
      <c r="EPO219" s="1"/>
      <c r="EPP219" s="1"/>
      <c r="EPQ219" s="1"/>
      <c r="EPR219" s="1"/>
      <c r="EPS219" s="1"/>
      <c r="EPT219" s="1"/>
      <c r="EPU219" s="1"/>
      <c r="EPV219" s="1"/>
      <c r="EPW219" s="1"/>
      <c r="EPX219" s="1"/>
      <c r="EPY219" s="1"/>
      <c r="EPZ219" s="1"/>
      <c r="EQA219" s="1"/>
      <c r="EQB219" s="1"/>
      <c r="EQC219" s="1"/>
      <c r="EQD219" s="1"/>
      <c r="EQE219" s="1"/>
      <c r="EQF219" s="1"/>
      <c r="EQG219" s="1"/>
      <c r="EQH219" s="1"/>
      <c r="EQI219" s="1"/>
      <c r="EQJ219" s="1"/>
      <c r="EQK219" s="1"/>
      <c r="EQL219" s="1"/>
      <c r="EQM219" s="1"/>
      <c r="EQN219" s="1"/>
      <c r="EQO219" s="1"/>
      <c r="EQP219" s="1"/>
      <c r="EQQ219" s="1"/>
      <c r="EQR219" s="1"/>
      <c r="EQS219" s="1"/>
      <c r="EQT219" s="1"/>
      <c r="EQU219" s="1"/>
      <c r="EQV219" s="1"/>
      <c r="EQW219" s="1"/>
      <c r="EQX219" s="1"/>
      <c r="EQY219" s="1"/>
      <c r="EQZ219" s="1"/>
      <c r="ERA219" s="1"/>
      <c r="ERB219" s="1"/>
      <c r="ERC219" s="1"/>
      <c r="ERD219" s="1"/>
      <c r="ERE219" s="1"/>
      <c r="ERF219" s="1"/>
      <c r="ERG219" s="1"/>
      <c r="ERH219" s="1"/>
      <c r="ERI219" s="1"/>
      <c r="ERJ219" s="1"/>
      <c r="ERK219" s="1"/>
      <c r="ERL219" s="1"/>
      <c r="ERM219" s="1"/>
      <c r="ERN219" s="1"/>
      <c r="ERO219" s="1"/>
      <c r="ERP219" s="1"/>
      <c r="ERQ219" s="1"/>
      <c r="ERR219" s="1"/>
      <c r="ERS219" s="1"/>
      <c r="ERT219" s="1"/>
      <c r="ERU219" s="1"/>
      <c r="ERV219" s="1"/>
      <c r="ERW219" s="1"/>
      <c r="ERX219" s="1"/>
      <c r="ERY219" s="1"/>
      <c r="ERZ219" s="1"/>
      <c r="ESA219" s="1"/>
      <c r="ESB219" s="1"/>
      <c r="ESC219" s="1"/>
      <c r="ESD219" s="1"/>
      <c r="ESE219" s="1"/>
      <c r="ESF219" s="1"/>
      <c r="ESG219" s="1"/>
      <c r="ESH219" s="1"/>
      <c r="ESI219" s="1"/>
      <c r="ESJ219" s="1"/>
      <c r="ESK219" s="1"/>
      <c r="ESL219" s="1"/>
      <c r="ESM219" s="1"/>
      <c r="ESN219" s="1"/>
      <c r="ESO219" s="1"/>
      <c r="ESP219" s="1"/>
      <c r="ESQ219" s="1"/>
      <c r="ESR219" s="1"/>
      <c r="ESS219" s="1"/>
      <c r="EST219" s="1"/>
      <c r="ESU219" s="1"/>
      <c r="ESV219" s="1"/>
      <c r="ESW219" s="1"/>
      <c r="ESX219" s="1"/>
      <c r="ESY219" s="1"/>
      <c r="ESZ219" s="1"/>
      <c r="ETA219" s="1"/>
      <c r="ETB219" s="1"/>
      <c r="ETC219" s="1"/>
      <c r="ETD219" s="1"/>
      <c r="ETE219" s="1"/>
      <c r="ETF219" s="1"/>
      <c r="ETG219" s="1"/>
      <c r="ETH219" s="1"/>
      <c r="ETI219" s="1"/>
      <c r="ETJ219" s="1"/>
      <c r="ETK219" s="1"/>
      <c r="ETL219" s="1"/>
      <c r="ETM219" s="1"/>
      <c r="ETN219" s="1"/>
      <c r="ETO219" s="1"/>
      <c r="ETP219" s="1"/>
      <c r="ETQ219" s="1"/>
      <c r="ETR219" s="1"/>
      <c r="ETS219" s="1"/>
      <c r="ETT219" s="1"/>
      <c r="ETU219" s="1"/>
      <c r="ETV219" s="1"/>
      <c r="ETW219" s="1"/>
      <c r="ETX219" s="1"/>
      <c r="ETY219" s="1"/>
      <c r="ETZ219" s="1"/>
      <c r="EUA219" s="1"/>
      <c r="EUB219" s="1"/>
      <c r="EUC219" s="1"/>
      <c r="EUD219" s="1"/>
      <c r="EUE219" s="1"/>
      <c r="EUF219" s="1"/>
      <c r="EUG219" s="1"/>
      <c r="EUH219" s="1"/>
      <c r="EUI219" s="1"/>
      <c r="EUJ219" s="1"/>
      <c r="EUK219" s="1"/>
      <c r="EUL219" s="1"/>
      <c r="EUM219" s="1"/>
      <c r="EUN219" s="1"/>
      <c r="EUO219" s="1"/>
      <c r="EUP219" s="1"/>
      <c r="EUQ219" s="1"/>
      <c r="EUR219" s="1"/>
      <c r="EUS219" s="1"/>
      <c r="EUT219" s="1"/>
      <c r="EUU219" s="1"/>
      <c r="EUV219" s="1"/>
      <c r="EUW219" s="1"/>
      <c r="EUX219" s="1"/>
      <c r="EUY219" s="1"/>
      <c r="EUZ219" s="1"/>
      <c r="EVA219" s="1"/>
      <c r="EVB219" s="1"/>
      <c r="EVC219" s="1"/>
      <c r="EVD219" s="1"/>
      <c r="EVE219" s="1"/>
      <c r="EVF219" s="1"/>
      <c r="EVG219" s="1"/>
      <c r="EVH219" s="1"/>
      <c r="EVI219" s="1"/>
      <c r="EVJ219" s="1"/>
      <c r="EVK219" s="1"/>
      <c r="EVL219" s="1"/>
      <c r="EVM219" s="1"/>
      <c r="EVN219" s="1"/>
      <c r="EVO219" s="1"/>
      <c r="EVP219" s="1"/>
      <c r="EVQ219" s="1"/>
      <c r="EVR219" s="1"/>
      <c r="EVS219" s="1"/>
      <c r="EVT219" s="1"/>
      <c r="EVU219" s="1"/>
      <c r="EVV219" s="1"/>
      <c r="EVW219" s="1"/>
      <c r="EVX219" s="1"/>
      <c r="EVY219" s="1"/>
      <c r="EVZ219" s="1"/>
      <c r="EWA219" s="1"/>
      <c r="EWB219" s="1"/>
      <c r="EWC219" s="1"/>
      <c r="EWD219" s="1"/>
      <c r="EWE219" s="1"/>
      <c r="EWF219" s="1"/>
      <c r="EWG219" s="1"/>
      <c r="EWH219" s="1"/>
      <c r="EWI219" s="1"/>
      <c r="EWJ219" s="1"/>
      <c r="EWK219" s="1"/>
      <c r="EWL219" s="1"/>
      <c r="EWM219" s="1"/>
      <c r="EWN219" s="1"/>
      <c r="EWO219" s="1"/>
      <c r="EWP219" s="1"/>
      <c r="EWQ219" s="1"/>
      <c r="EWR219" s="1"/>
      <c r="EWS219" s="1"/>
      <c r="EWT219" s="1"/>
      <c r="EWU219" s="1"/>
      <c r="EWV219" s="1"/>
      <c r="EWW219" s="1"/>
      <c r="EWX219" s="1"/>
      <c r="EWY219" s="1"/>
      <c r="EWZ219" s="1"/>
      <c r="EXA219" s="1"/>
      <c r="EXB219" s="1"/>
      <c r="EXC219" s="1"/>
      <c r="EXD219" s="1"/>
      <c r="EXE219" s="1"/>
      <c r="EXF219" s="1"/>
      <c r="EXG219" s="1"/>
      <c r="EXH219" s="1"/>
      <c r="EXI219" s="1"/>
      <c r="EXJ219" s="1"/>
      <c r="EXK219" s="1"/>
      <c r="EXL219" s="1"/>
      <c r="EXM219" s="1"/>
      <c r="EXN219" s="1"/>
      <c r="EXO219" s="1"/>
      <c r="EXP219" s="1"/>
      <c r="EXQ219" s="1"/>
      <c r="EXR219" s="1"/>
      <c r="EXS219" s="1"/>
      <c r="EXT219" s="1"/>
      <c r="EXU219" s="1"/>
      <c r="EXV219" s="1"/>
      <c r="EXW219" s="1"/>
      <c r="EXX219" s="1"/>
      <c r="EXY219" s="1"/>
      <c r="EXZ219" s="1"/>
      <c r="EYA219" s="1"/>
      <c r="EYB219" s="1"/>
      <c r="EYC219" s="1"/>
      <c r="EYD219" s="1"/>
      <c r="EYE219" s="1"/>
      <c r="EYF219" s="1"/>
      <c r="EYG219" s="1"/>
      <c r="EYH219" s="1"/>
      <c r="EYI219" s="1"/>
      <c r="EYJ219" s="1"/>
      <c r="EYK219" s="1"/>
      <c r="EYL219" s="1"/>
      <c r="EYM219" s="1"/>
      <c r="EYN219" s="1"/>
      <c r="EYO219" s="1"/>
      <c r="EYP219" s="1"/>
      <c r="EYQ219" s="1"/>
      <c r="EYR219" s="1"/>
      <c r="EYS219" s="1"/>
      <c r="EYT219" s="1"/>
      <c r="EYU219" s="1"/>
      <c r="EYV219" s="1"/>
      <c r="EYW219" s="1"/>
      <c r="EYX219" s="1"/>
      <c r="EYY219" s="1"/>
      <c r="EYZ219" s="1"/>
      <c r="EZA219" s="1"/>
      <c r="EZB219" s="1"/>
      <c r="EZC219" s="1"/>
      <c r="EZD219" s="1"/>
      <c r="EZE219" s="1"/>
      <c r="EZF219" s="1"/>
      <c r="EZG219" s="1"/>
      <c r="EZH219" s="1"/>
      <c r="EZI219" s="1"/>
      <c r="EZJ219" s="1"/>
      <c r="EZK219" s="1"/>
      <c r="EZL219" s="1"/>
      <c r="EZM219" s="1"/>
      <c r="EZN219" s="1"/>
      <c r="EZO219" s="1"/>
      <c r="EZP219" s="1"/>
      <c r="EZQ219" s="1"/>
      <c r="EZR219" s="1"/>
      <c r="EZS219" s="1"/>
      <c r="EZT219" s="1"/>
      <c r="EZU219" s="1"/>
      <c r="EZV219" s="1"/>
      <c r="EZW219" s="1"/>
      <c r="EZX219" s="1"/>
      <c r="EZY219" s="1"/>
      <c r="EZZ219" s="1"/>
      <c r="FAA219" s="1"/>
      <c r="FAB219" s="1"/>
      <c r="FAC219" s="1"/>
      <c r="FAD219" s="1"/>
      <c r="FAE219" s="1"/>
      <c r="FAF219" s="1"/>
      <c r="FAG219" s="1"/>
      <c r="FAH219" s="1"/>
      <c r="FAI219" s="1"/>
      <c r="FAJ219" s="1"/>
      <c r="FAK219" s="1"/>
      <c r="FAL219" s="1"/>
      <c r="FAM219" s="1"/>
      <c r="FAN219" s="1"/>
      <c r="FAO219" s="1"/>
      <c r="FAP219" s="1"/>
      <c r="FAQ219" s="1"/>
      <c r="FAR219" s="1"/>
      <c r="FAS219" s="1"/>
      <c r="FAT219" s="1"/>
      <c r="FAU219" s="1"/>
      <c r="FAV219" s="1"/>
      <c r="FAW219" s="1"/>
      <c r="FAX219" s="1"/>
      <c r="FAY219" s="1"/>
      <c r="FAZ219" s="1"/>
      <c r="FBA219" s="1"/>
      <c r="FBB219" s="1"/>
      <c r="FBC219" s="1"/>
      <c r="FBD219" s="1"/>
      <c r="FBE219" s="1"/>
      <c r="FBF219" s="1"/>
      <c r="FBG219" s="1"/>
      <c r="FBH219" s="1"/>
      <c r="FBI219" s="1"/>
      <c r="FBJ219" s="1"/>
      <c r="FBK219" s="1"/>
      <c r="FBL219" s="1"/>
      <c r="FBM219" s="1"/>
      <c r="FBN219" s="1"/>
      <c r="FBO219" s="1"/>
      <c r="FBP219" s="1"/>
      <c r="FBQ219" s="1"/>
      <c r="FBR219" s="1"/>
      <c r="FBS219" s="1"/>
      <c r="FBT219" s="1"/>
      <c r="FBU219" s="1"/>
      <c r="FBV219" s="1"/>
      <c r="FBW219" s="1"/>
      <c r="FBX219" s="1"/>
      <c r="FBY219" s="1"/>
      <c r="FBZ219" s="1"/>
      <c r="FCA219" s="1"/>
      <c r="FCB219" s="1"/>
      <c r="FCC219" s="1"/>
      <c r="FCD219" s="1"/>
      <c r="FCE219" s="1"/>
      <c r="FCF219" s="1"/>
      <c r="FCG219" s="1"/>
      <c r="FCH219" s="1"/>
      <c r="FCI219" s="1"/>
      <c r="FCJ219" s="1"/>
      <c r="FCK219" s="1"/>
      <c r="FCL219" s="1"/>
      <c r="FCM219" s="1"/>
      <c r="FCN219" s="1"/>
      <c r="FCO219" s="1"/>
      <c r="FCP219" s="1"/>
      <c r="FCQ219" s="1"/>
      <c r="FCR219" s="1"/>
      <c r="FCS219" s="1"/>
      <c r="FCT219" s="1"/>
      <c r="FCU219" s="1"/>
      <c r="FCV219" s="1"/>
      <c r="FCW219" s="1"/>
      <c r="FCX219" s="1"/>
      <c r="FCY219" s="1"/>
      <c r="FCZ219" s="1"/>
      <c r="FDA219" s="1"/>
      <c r="FDB219" s="1"/>
      <c r="FDC219" s="1"/>
      <c r="FDD219" s="1"/>
      <c r="FDE219" s="1"/>
      <c r="FDF219" s="1"/>
      <c r="FDG219" s="1"/>
      <c r="FDH219" s="1"/>
      <c r="FDI219" s="1"/>
      <c r="FDJ219" s="1"/>
      <c r="FDK219" s="1"/>
      <c r="FDL219" s="1"/>
      <c r="FDM219" s="1"/>
      <c r="FDN219" s="1"/>
      <c r="FDO219" s="1"/>
      <c r="FDP219" s="1"/>
      <c r="FDQ219" s="1"/>
      <c r="FDR219" s="1"/>
      <c r="FDS219" s="1"/>
      <c r="FDT219" s="1"/>
      <c r="FDU219" s="1"/>
      <c r="FDV219" s="1"/>
      <c r="FDW219" s="1"/>
      <c r="FDX219" s="1"/>
      <c r="FDY219" s="1"/>
      <c r="FDZ219" s="1"/>
      <c r="FEA219" s="1"/>
      <c r="FEB219" s="1"/>
      <c r="FEC219" s="1"/>
      <c r="FED219" s="1"/>
      <c r="FEE219" s="1"/>
      <c r="FEF219" s="1"/>
      <c r="FEG219" s="1"/>
      <c r="FEH219" s="1"/>
      <c r="FEI219" s="1"/>
      <c r="FEJ219" s="1"/>
      <c r="FEK219" s="1"/>
      <c r="FEL219" s="1"/>
      <c r="FEM219" s="1"/>
      <c r="FEN219" s="1"/>
      <c r="FEO219" s="1"/>
      <c r="FEP219" s="1"/>
      <c r="FEQ219" s="1"/>
      <c r="FER219" s="1"/>
      <c r="FES219" s="1"/>
      <c r="FET219" s="1"/>
      <c r="FEU219" s="1"/>
      <c r="FEV219" s="1"/>
      <c r="FEW219" s="1"/>
      <c r="FEX219" s="1"/>
      <c r="FEY219" s="1"/>
      <c r="FEZ219" s="1"/>
      <c r="FFA219" s="1"/>
      <c r="FFB219" s="1"/>
      <c r="FFC219" s="1"/>
      <c r="FFD219" s="1"/>
      <c r="FFE219" s="1"/>
      <c r="FFF219" s="1"/>
      <c r="FFG219" s="1"/>
      <c r="FFH219" s="1"/>
      <c r="FFI219" s="1"/>
      <c r="FFJ219" s="1"/>
      <c r="FFK219" s="1"/>
      <c r="FFL219" s="1"/>
      <c r="FFM219" s="1"/>
      <c r="FFN219" s="1"/>
      <c r="FFO219" s="1"/>
      <c r="FFP219" s="1"/>
      <c r="FFQ219" s="1"/>
      <c r="FFR219" s="1"/>
      <c r="FFS219" s="1"/>
      <c r="FFT219" s="1"/>
      <c r="FFU219" s="1"/>
      <c r="FFV219" s="1"/>
      <c r="FFW219" s="1"/>
      <c r="FFX219" s="1"/>
      <c r="FFY219" s="1"/>
      <c r="FFZ219" s="1"/>
      <c r="FGA219" s="1"/>
      <c r="FGB219" s="1"/>
      <c r="FGC219" s="1"/>
      <c r="FGD219" s="1"/>
      <c r="FGE219" s="1"/>
      <c r="FGF219" s="1"/>
      <c r="FGG219" s="1"/>
      <c r="FGH219" s="1"/>
      <c r="FGI219" s="1"/>
      <c r="FGJ219" s="1"/>
      <c r="FGK219" s="1"/>
      <c r="FGL219" s="1"/>
      <c r="FGM219" s="1"/>
      <c r="FGN219" s="1"/>
      <c r="FGO219" s="1"/>
      <c r="FGP219" s="1"/>
      <c r="FGQ219" s="1"/>
      <c r="FGR219" s="1"/>
      <c r="FGS219" s="1"/>
      <c r="FGT219" s="1"/>
      <c r="FGU219" s="1"/>
      <c r="FGV219" s="1"/>
      <c r="FGW219" s="1"/>
      <c r="FGX219" s="1"/>
      <c r="FGY219" s="1"/>
      <c r="FGZ219" s="1"/>
      <c r="FHA219" s="1"/>
      <c r="FHB219" s="1"/>
      <c r="FHC219" s="1"/>
      <c r="FHD219" s="1"/>
      <c r="FHE219" s="1"/>
      <c r="FHF219" s="1"/>
      <c r="FHG219" s="1"/>
      <c r="FHH219" s="1"/>
      <c r="FHI219" s="1"/>
      <c r="FHJ219" s="1"/>
      <c r="FHK219" s="1"/>
      <c r="FHL219" s="1"/>
      <c r="FHM219" s="1"/>
      <c r="FHN219" s="1"/>
      <c r="FHO219" s="1"/>
      <c r="FHP219" s="1"/>
      <c r="FHQ219" s="1"/>
      <c r="FHR219" s="1"/>
      <c r="FHS219" s="1"/>
      <c r="FHT219" s="1"/>
      <c r="FHU219" s="1"/>
      <c r="FHV219" s="1"/>
      <c r="FHW219" s="1"/>
      <c r="FHX219" s="1"/>
      <c r="FHY219" s="1"/>
      <c r="FHZ219" s="1"/>
      <c r="FIA219" s="1"/>
      <c r="FIB219" s="1"/>
      <c r="FIC219" s="1"/>
      <c r="FID219" s="1"/>
      <c r="FIE219" s="1"/>
      <c r="FIF219" s="1"/>
      <c r="FIG219" s="1"/>
      <c r="FIH219" s="1"/>
      <c r="FII219" s="1"/>
      <c r="FIJ219" s="1"/>
      <c r="FIK219" s="1"/>
      <c r="FIL219" s="1"/>
      <c r="FIM219" s="1"/>
      <c r="FIN219" s="1"/>
      <c r="FIO219" s="1"/>
      <c r="FIP219" s="1"/>
      <c r="FIQ219" s="1"/>
      <c r="FIR219" s="1"/>
      <c r="FIS219" s="1"/>
      <c r="FIT219" s="1"/>
      <c r="FIU219" s="1"/>
      <c r="FIV219" s="1"/>
      <c r="FIW219" s="1"/>
      <c r="FIX219" s="1"/>
      <c r="FIY219" s="1"/>
      <c r="FIZ219" s="1"/>
      <c r="FJA219" s="1"/>
      <c r="FJB219" s="1"/>
      <c r="FJC219" s="1"/>
      <c r="FJD219" s="1"/>
      <c r="FJE219" s="1"/>
      <c r="FJF219" s="1"/>
      <c r="FJG219" s="1"/>
      <c r="FJH219" s="1"/>
      <c r="FJI219" s="1"/>
      <c r="FJJ219" s="1"/>
      <c r="FJK219" s="1"/>
      <c r="FJL219" s="1"/>
      <c r="FJM219" s="1"/>
      <c r="FJN219" s="1"/>
      <c r="FJO219" s="1"/>
      <c r="FJP219" s="1"/>
      <c r="FJQ219" s="1"/>
      <c r="FJR219" s="1"/>
      <c r="FJS219" s="1"/>
      <c r="FJT219" s="1"/>
      <c r="FJU219" s="1"/>
      <c r="FJV219" s="1"/>
      <c r="FJW219" s="1"/>
      <c r="FJX219" s="1"/>
      <c r="FJY219" s="1"/>
      <c r="FJZ219" s="1"/>
      <c r="FKA219" s="1"/>
      <c r="FKB219" s="1"/>
      <c r="FKC219" s="1"/>
      <c r="FKD219" s="1"/>
      <c r="FKE219" s="1"/>
      <c r="FKF219" s="1"/>
      <c r="FKG219" s="1"/>
      <c r="FKH219" s="1"/>
      <c r="FKI219" s="1"/>
      <c r="FKJ219" s="1"/>
      <c r="FKK219" s="1"/>
      <c r="FKL219" s="1"/>
      <c r="FKM219" s="1"/>
      <c r="FKN219" s="1"/>
      <c r="FKO219" s="1"/>
      <c r="FKP219" s="1"/>
      <c r="FKQ219" s="1"/>
      <c r="FKR219" s="1"/>
      <c r="FKS219" s="1"/>
      <c r="FKT219" s="1"/>
      <c r="FKU219" s="1"/>
      <c r="FKV219" s="1"/>
      <c r="FKW219" s="1"/>
      <c r="FKX219" s="1"/>
      <c r="FKY219" s="1"/>
      <c r="FKZ219" s="1"/>
      <c r="FLA219" s="1"/>
      <c r="FLB219" s="1"/>
      <c r="FLC219" s="1"/>
      <c r="FLD219" s="1"/>
      <c r="FLE219" s="1"/>
      <c r="FLF219" s="1"/>
      <c r="FLG219" s="1"/>
      <c r="FLH219" s="1"/>
      <c r="FLI219" s="1"/>
      <c r="FLJ219" s="1"/>
      <c r="FLK219" s="1"/>
      <c r="FLL219" s="1"/>
      <c r="FLM219" s="1"/>
      <c r="FLN219" s="1"/>
      <c r="FLO219" s="1"/>
      <c r="FLP219" s="1"/>
      <c r="FLQ219" s="1"/>
      <c r="FLR219" s="1"/>
      <c r="FLS219" s="1"/>
      <c r="FLT219" s="1"/>
      <c r="FLU219" s="1"/>
      <c r="FLV219" s="1"/>
      <c r="FLW219" s="1"/>
      <c r="FLX219" s="1"/>
      <c r="FLY219" s="1"/>
      <c r="FLZ219" s="1"/>
      <c r="FMA219" s="1"/>
      <c r="FMB219" s="1"/>
      <c r="FMC219" s="1"/>
      <c r="FMD219" s="1"/>
      <c r="FME219" s="1"/>
      <c r="FMF219" s="1"/>
      <c r="FMG219" s="1"/>
      <c r="FMH219" s="1"/>
      <c r="FMI219" s="1"/>
      <c r="FMJ219" s="1"/>
      <c r="FMK219" s="1"/>
      <c r="FML219" s="1"/>
      <c r="FMM219" s="1"/>
      <c r="FMN219" s="1"/>
      <c r="FMO219" s="1"/>
      <c r="FMP219" s="1"/>
      <c r="FMQ219" s="1"/>
      <c r="FMR219" s="1"/>
      <c r="FMS219" s="1"/>
      <c r="FMT219" s="1"/>
      <c r="FMU219" s="1"/>
      <c r="FMV219" s="1"/>
      <c r="FMW219" s="1"/>
      <c r="FMX219" s="1"/>
      <c r="FMY219" s="1"/>
      <c r="FMZ219" s="1"/>
      <c r="FNA219" s="1"/>
      <c r="FNB219" s="1"/>
      <c r="FNC219" s="1"/>
      <c r="FND219" s="1"/>
      <c r="FNE219" s="1"/>
      <c r="FNF219" s="1"/>
      <c r="FNG219" s="1"/>
      <c r="FNH219" s="1"/>
      <c r="FNI219" s="1"/>
      <c r="FNJ219" s="1"/>
      <c r="FNK219" s="1"/>
      <c r="FNL219" s="1"/>
      <c r="FNM219" s="1"/>
      <c r="FNN219" s="1"/>
      <c r="FNO219" s="1"/>
      <c r="FNP219" s="1"/>
      <c r="FNQ219" s="1"/>
      <c r="FNR219" s="1"/>
      <c r="FNS219" s="1"/>
      <c r="FNT219" s="1"/>
      <c r="FNU219" s="1"/>
      <c r="FNV219" s="1"/>
      <c r="FNW219" s="1"/>
      <c r="FNX219" s="1"/>
      <c r="FNY219" s="1"/>
      <c r="FNZ219" s="1"/>
      <c r="FOA219" s="1"/>
      <c r="FOB219" s="1"/>
      <c r="FOC219" s="1"/>
      <c r="FOD219" s="1"/>
      <c r="FOE219" s="1"/>
      <c r="FOF219" s="1"/>
      <c r="FOG219" s="1"/>
      <c r="FOH219" s="1"/>
      <c r="FOI219" s="1"/>
      <c r="FOJ219" s="1"/>
      <c r="FOK219" s="1"/>
      <c r="FOL219" s="1"/>
      <c r="FOM219" s="1"/>
      <c r="FON219" s="1"/>
      <c r="FOO219" s="1"/>
      <c r="FOP219" s="1"/>
      <c r="FOQ219" s="1"/>
      <c r="FOR219" s="1"/>
      <c r="FOS219" s="1"/>
      <c r="FOT219" s="1"/>
      <c r="FOU219" s="1"/>
      <c r="FOV219" s="1"/>
      <c r="FOW219" s="1"/>
      <c r="FOX219" s="1"/>
      <c r="FOY219" s="1"/>
      <c r="FOZ219" s="1"/>
      <c r="FPA219" s="1"/>
      <c r="FPB219" s="1"/>
      <c r="FPC219" s="1"/>
      <c r="FPD219" s="1"/>
      <c r="FPE219" s="1"/>
      <c r="FPF219" s="1"/>
      <c r="FPG219" s="1"/>
      <c r="FPH219" s="1"/>
      <c r="FPI219" s="1"/>
      <c r="FPJ219" s="1"/>
      <c r="FPK219" s="1"/>
      <c r="FPL219" s="1"/>
      <c r="FPM219" s="1"/>
      <c r="FPN219" s="1"/>
      <c r="FPO219" s="1"/>
      <c r="FPP219" s="1"/>
      <c r="FPQ219" s="1"/>
      <c r="FPR219" s="1"/>
      <c r="FPS219" s="1"/>
      <c r="FPT219" s="1"/>
      <c r="FPU219" s="1"/>
      <c r="FPV219" s="1"/>
      <c r="FPW219" s="1"/>
      <c r="FPX219" s="1"/>
      <c r="FPY219" s="1"/>
      <c r="FPZ219" s="1"/>
      <c r="FQA219" s="1"/>
      <c r="FQB219" s="1"/>
      <c r="FQC219" s="1"/>
      <c r="FQD219" s="1"/>
      <c r="FQE219" s="1"/>
      <c r="FQF219" s="1"/>
      <c r="FQG219" s="1"/>
      <c r="FQH219" s="1"/>
      <c r="FQI219" s="1"/>
      <c r="FQJ219" s="1"/>
      <c r="FQK219" s="1"/>
      <c r="FQL219" s="1"/>
      <c r="FQM219" s="1"/>
      <c r="FQN219" s="1"/>
      <c r="FQO219" s="1"/>
      <c r="FQP219" s="1"/>
      <c r="FQQ219" s="1"/>
      <c r="FQR219" s="1"/>
      <c r="FQS219" s="1"/>
      <c r="FQT219" s="1"/>
      <c r="FQU219" s="1"/>
      <c r="FQV219" s="1"/>
      <c r="FQW219" s="1"/>
      <c r="FQX219" s="1"/>
      <c r="FQY219" s="1"/>
      <c r="FQZ219" s="1"/>
      <c r="FRA219" s="1"/>
      <c r="FRB219" s="1"/>
      <c r="FRC219" s="1"/>
      <c r="FRD219" s="1"/>
      <c r="FRE219" s="1"/>
      <c r="FRF219" s="1"/>
      <c r="FRG219" s="1"/>
      <c r="FRH219" s="1"/>
      <c r="FRI219" s="1"/>
      <c r="FRJ219" s="1"/>
      <c r="FRK219" s="1"/>
      <c r="FRL219" s="1"/>
      <c r="FRM219" s="1"/>
      <c r="FRN219" s="1"/>
      <c r="FRO219" s="1"/>
      <c r="FRP219" s="1"/>
      <c r="FRQ219" s="1"/>
      <c r="FRR219" s="1"/>
      <c r="FRS219" s="1"/>
      <c r="FRT219" s="1"/>
      <c r="FRU219" s="1"/>
      <c r="FRV219" s="1"/>
      <c r="FRW219" s="1"/>
      <c r="FRX219" s="1"/>
      <c r="FRY219" s="1"/>
      <c r="FRZ219" s="1"/>
      <c r="FSA219" s="1"/>
      <c r="FSB219" s="1"/>
      <c r="FSC219" s="1"/>
      <c r="FSD219" s="1"/>
      <c r="FSE219" s="1"/>
      <c r="FSF219" s="1"/>
      <c r="FSG219" s="1"/>
      <c r="FSH219" s="1"/>
      <c r="FSI219" s="1"/>
      <c r="FSJ219" s="1"/>
      <c r="FSK219" s="1"/>
      <c r="FSL219" s="1"/>
      <c r="FSM219" s="1"/>
      <c r="FSN219" s="1"/>
      <c r="FSO219" s="1"/>
      <c r="FSP219" s="1"/>
      <c r="FSQ219" s="1"/>
      <c r="FSR219" s="1"/>
      <c r="FSS219" s="1"/>
      <c r="FST219" s="1"/>
      <c r="FSU219" s="1"/>
      <c r="FSV219" s="1"/>
      <c r="FSW219" s="1"/>
      <c r="FSX219" s="1"/>
      <c r="FSY219" s="1"/>
      <c r="FSZ219" s="1"/>
      <c r="FTA219" s="1"/>
      <c r="FTB219" s="1"/>
      <c r="FTC219" s="1"/>
      <c r="FTD219" s="1"/>
      <c r="FTE219" s="1"/>
      <c r="FTF219" s="1"/>
      <c r="FTG219" s="1"/>
      <c r="FTH219" s="1"/>
      <c r="FTI219" s="1"/>
      <c r="FTJ219" s="1"/>
      <c r="FTK219" s="1"/>
      <c r="FTL219" s="1"/>
      <c r="FTM219" s="1"/>
      <c r="FTN219" s="1"/>
      <c r="FTO219" s="1"/>
      <c r="FTP219" s="1"/>
      <c r="FTQ219" s="1"/>
      <c r="FTR219" s="1"/>
      <c r="FTS219" s="1"/>
      <c r="FTT219" s="1"/>
      <c r="FTU219" s="1"/>
      <c r="FTV219" s="1"/>
      <c r="FTW219" s="1"/>
      <c r="FTX219" s="1"/>
      <c r="FTY219" s="1"/>
      <c r="FTZ219" s="1"/>
      <c r="FUA219" s="1"/>
      <c r="FUB219" s="1"/>
      <c r="FUC219" s="1"/>
      <c r="FUD219" s="1"/>
      <c r="FUE219" s="1"/>
      <c r="FUF219" s="1"/>
      <c r="FUG219" s="1"/>
      <c r="FUH219" s="1"/>
      <c r="FUI219" s="1"/>
      <c r="FUJ219" s="1"/>
      <c r="FUK219" s="1"/>
      <c r="FUL219" s="1"/>
      <c r="FUM219" s="1"/>
      <c r="FUN219" s="1"/>
      <c r="FUO219" s="1"/>
      <c r="FUP219" s="1"/>
      <c r="FUQ219" s="1"/>
      <c r="FUR219" s="1"/>
      <c r="FUS219" s="1"/>
      <c r="FUT219" s="1"/>
      <c r="FUU219" s="1"/>
      <c r="FUV219" s="1"/>
      <c r="FUW219" s="1"/>
      <c r="FUX219" s="1"/>
      <c r="FUY219" s="1"/>
      <c r="FUZ219" s="1"/>
      <c r="FVA219" s="1"/>
      <c r="FVB219" s="1"/>
      <c r="FVC219" s="1"/>
      <c r="FVD219" s="1"/>
      <c r="FVE219" s="1"/>
      <c r="FVF219" s="1"/>
      <c r="FVG219" s="1"/>
      <c r="FVH219" s="1"/>
      <c r="FVI219" s="1"/>
      <c r="FVJ219" s="1"/>
      <c r="FVK219" s="1"/>
      <c r="FVL219" s="1"/>
      <c r="FVM219" s="1"/>
      <c r="FVN219" s="1"/>
      <c r="FVO219" s="1"/>
      <c r="FVP219" s="1"/>
      <c r="FVQ219" s="1"/>
      <c r="FVR219" s="1"/>
      <c r="FVS219" s="1"/>
      <c r="FVT219" s="1"/>
      <c r="FVU219" s="1"/>
      <c r="FVV219" s="1"/>
      <c r="FVW219" s="1"/>
      <c r="FVX219" s="1"/>
      <c r="FVY219" s="1"/>
      <c r="FVZ219" s="1"/>
      <c r="FWA219" s="1"/>
      <c r="FWB219" s="1"/>
      <c r="FWC219" s="1"/>
      <c r="FWD219" s="1"/>
      <c r="FWE219" s="1"/>
      <c r="FWF219" s="1"/>
      <c r="FWG219" s="1"/>
      <c r="FWH219" s="1"/>
      <c r="FWI219" s="1"/>
      <c r="FWJ219" s="1"/>
      <c r="FWK219" s="1"/>
      <c r="FWL219" s="1"/>
      <c r="FWM219" s="1"/>
      <c r="FWN219" s="1"/>
      <c r="FWO219" s="1"/>
      <c r="FWP219" s="1"/>
      <c r="FWQ219" s="1"/>
      <c r="FWR219" s="1"/>
      <c r="FWS219" s="1"/>
      <c r="FWT219" s="1"/>
      <c r="FWU219" s="1"/>
      <c r="FWV219" s="1"/>
      <c r="FWW219" s="1"/>
      <c r="FWX219" s="1"/>
      <c r="FWY219" s="1"/>
      <c r="FWZ219" s="1"/>
      <c r="FXA219" s="1"/>
      <c r="FXB219" s="1"/>
      <c r="FXC219" s="1"/>
      <c r="FXD219" s="1"/>
      <c r="FXE219" s="1"/>
      <c r="FXF219" s="1"/>
      <c r="FXG219" s="1"/>
      <c r="FXH219" s="1"/>
      <c r="FXI219" s="1"/>
      <c r="FXJ219" s="1"/>
      <c r="FXK219" s="1"/>
      <c r="FXL219" s="1"/>
      <c r="FXM219" s="1"/>
      <c r="FXN219" s="1"/>
      <c r="FXO219" s="1"/>
      <c r="FXP219" s="1"/>
      <c r="FXQ219" s="1"/>
      <c r="FXR219" s="1"/>
      <c r="FXS219" s="1"/>
      <c r="FXT219" s="1"/>
      <c r="FXU219" s="1"/>
      <c r="FXV219" s="1"/>
      <c r="FXW219" s="1"/>
      <c r="FXX219" s="1"/>
      <c r="FXY219" s="1"/>
      <c r="FXZ219" s="1"/>
      <c r="FYA219" s="1"/>
      <c r="FYB219" s="1"/>
      <c r="FYC219" s="1"/>
      <c r="FYD219" s="1"/>
      <c r="FYE219" s="1"/>
      <c r="FYF219" s="1"/>
      <c r="FYG219" s="1"/>
      <c r="FYH219" s="1"/>
      <c r="FYI219" s="1"/>
      <c r="FYJ219" s="1"/>
      <c r="FYK219" s="1"/>
      <c r="FYL219" s="1"/>
      <c r="FYM219" s="1"/>
      <c r="FYN219" s="1"/>
      <c r="FYO219" s="1"/>
      <c r="FYP219" s="1"/>
      <c r="FYQ219" s="1"/>
      <c r="FYR219" s="1"/>
      <c r="FYS219" s="1"/>
      <c r="FYT219" s="1"/>
      <c r="FYU219" s="1"/>
      <c r="FYV219" s="1"/>
      <c r="FYW219" s="1"/>
      <c r="FYX219" s="1"/>
      <c r="FYY219" s="1"/>
      <c r="FYZ219" s="1"/>
      <c r="FZA219" s="1"/>
      <c r="FZB219" s="1"/>
      <c r="FZC219" s="1"/>
      <c r="FZD219" s="1"/>
      <c r="FZE219" s="1"/>
      <c r="FZF219" s="1"/>
      <c r="FZG219" s="1"/>
      <c r="FZH219" s="1"/>
      <c r="FZI219" s="1"/>
      <c r="FZJ219" s="1"/>
      <c r="FZK219" s="1"/>
      <c r="FZL219" s="1"/>
      <c r="FZM219" s="1"/>
      <c r="FZN219" s="1"/>
      <c r="FZO219" s="1"/>
      <c r="FZP219" s="1"/>
      <c r="FZQ219" s="1"/>
      <c r="FZR219" s="1"/>
      <c r="FZS219" s="1"/>
      <c r="FZT219" s="1"/>
      <c r="FZU219" s="1"/>
      <c r="FZV219" s="1"/>
      <c r="FZW219" s="1"/>
      <c r="FZX219" s="1"/>
      <c r="FZY219" s="1"/>
      <c r="FZZ219" s="1"/>
      <c r="GAA219" s="1"/>
      <c r="GAB219" s="1"/>
      <c r="GAC219" s="1"/>
      <c r="GAD219" s="1"/>
      <c r="GAE219" s="1"/>
      <c r="GAF219" s="1"/>
      <c r="GAG219" s="1"/>
      <c r="GAH219" s="1"/>
      <c r="GAI219" s="1"/>
      <c r="GAJ219" s="1"/>
      <c r="GAK219" s="1"/>
      <c r="GAL219" s="1"/>
      <c r="GAM219" s="1"/>
      <c r="GAN219" s="1"/>
      <c r="GAO219" s="1"/>
      <c r="GAP219" s="1"/>
      <c r="GAQ219" s="1"/>
      <c r="GAR219" s="1"/>
      <c r="GAS219" s="1"/>
      <c r="GAT219" s="1"/>
      <c r="GAU219" s="1"/>
      <c r="GAV219" s="1"/>
      <c r="GAW219" s="1"/>
      <c r="GAX219" s="1"/>
      <c r="GAY219" s="1"/>
      <c r="GAZ219" s="1"/>
      <c r="GBA219" s="1"/>
      <c r="GBB219" s="1"/>
      <c r="GBC219" s="1"/>
      <c r="GBD219" s="1"/>
      <c r="GBE219" s="1"/>
      <c r="GBF219" s="1"/>
      <c r="GBG219" s="1"/>
      <c r="GBH219" s="1"/>
      <c r="GBI219" s="1"/>
      <c r="GBJ219" s="1"/>
      <c r="GBK219" s="1"/>
      <c r="GBL219" s="1"/>
      <c r="GBM219" s="1"/>
      <c r="GBN219" s="1"/>
      <c r="GBO219" s="1"/>
      <c r="GBP219" s="1"/>
      <c r="GBQ219" s="1"/>
      <c r="GBR219" s="1"/>
      <c r="GBS219" s="1"/>
      <c r="GBT219" s="1"/>
      <c r="GBU219" s="1"/>
      <c r="GBV219" s="1"/>
      <c r="GBW219" s="1"/>
      <c r="GBX219" s="1"/>
      <c r="GBY219" s="1"/>
      <c r="GBZ219" s="1"/>
      <c r="GCA219" s="1"/>
      <c r="GCB219" s="1"/>
      <c r="GCC219" s="1"/>
      <c r="GCD219" s="1"/>
      <c r="GCE219" s="1"/>
      <c r="GCF219" s="1"/>
      <c r="GCG219" s="1"/>
      <c r="GCH219" s="1"/>
      <c r="GCI219" s="1"/>
      <c r="GCJ219" s="1"/>
      <c r="GCK219" s="1"/>
      <c r="GCL219" s="1"/>
      <c r="GCM219" s="1"/>
      <c r="GCN219" s="1"/>
      <c r="GCO219" s="1"/>
      <c r="GCP219" s="1"/>
      <c r="GCQ219" s="1"/>
      <c r="GCR219" s="1"/>
      <c r="GCS219" s="1"/>
      <c r="GCT219" s="1"/>
      <c r="GCU219" s="1"/>
      <c r="GCV219" s="1"/>
      <c r="GCW219" s="1"/>
      <c r="GCX219" s="1"/>
      <c r="GCY219" s="1"/>
      <c r="GCZ219" s="1"/>
      <c r="GDA219" s="1"/>
      <c r="GDB219" s="1"/>
      <c r="GDC219" s="1"/>
      <c r="GDD219" s="1"/>
      <c r="GDE219" s="1"/>
      <c r="GDF219" s="1"/>
      <c r="GDG219" s="1"/>
      <c r="GDH219" s="1"/>
      <c r="GDI219" s="1"/>
      <c r="GDJ219" s="1"/>
      <c r="GDK219" s="1"/>
      <c r="GDL219" s="1"/>
      <c r="GDM219" s="1"/>
      <c r="GDN219" s="1"/>
      <c r="GDO219" s="1"/>
      <c r="GDP219" s="1"/>
      <c r="GDQ219" s="1"/>
      <c r="GDR219" s="1"/>
      <c r="GDS219" s="1"/>
      <c r="GDT219" s="1"/>
      <c r="GDU219" s="1"/>
      <c r="GDV219" s="1"/>
      <c r="GDW219" s="1"/>
      <c r="GDX219" s="1"/>
      <c r="GDY219" s="1"/>
      <c r="GDZ219" s="1"/>
      <c r="GEA219" s="1"/>
      <c r="GEB219" s="1"/>
      <c r="GEC219" s="1"/>
      <c r="GED219" s="1"/>
      <c r="GEE219" s="1"/>
      <c r="GEF219" s="1"/>
      <c r="GEG219" s="1"/>
      <c r="GEH219" s="1"/>
      <c r="GEI219" s="1"/>
      <c r="GEJ219" s="1"/>
      <c r="GEK219" s="1"/>
      <c r="GEL219" s="1"/>
      <c r="GEM219" s="1"/>
      <c r="GEN219" s="1"/>
      <c r="GEO219" s="1"/>
      <c r="GEP219" s="1"/>
      <c r="GEQ219" s="1"/>
      <c r="GER219" s="1"/>
      <c r="GES219" s="1"/>
      <c r="GET219" s="1"/>
      <c r="GEU219" s="1"/>
      <c r="GEV219" s="1"/>
      <c r="GEW219" s="1"/>
      <c r="GEX219" s="1"/>
      <c r="GEY219" s="1"/>
      <c r="GEZ219" s="1"/>
      <c r="GFA219" s="1"/>
      <c r="GFB219" s="1"/>
      <c r="GFC219" s="1"/>
      <c r="GFD219" s="1"/>
      <c r="GFE219" s="1"/>
      <c r="GFF219" s="1"/>
      <c r="GFG219" s="1"/>
      <c r="GFH219" s="1"/>
      <c r="GFI219" s="1"/>
      <c r="GFJ219" s="1"/>
      <c r="GFK219" s="1"/>
      <c r="GFL219" s="1"/>
      <c r="GFM219" s="1"/>
      <c r="GFN219" s="1"/>
      <c r="GFO219" s="1"/>
      <c r="GFP219" s="1"/>
      <c r="GFQ219" s="1"/>
      <c r="GFR219" s="1"/>
      <c r="GFS219" s="1"/>
      <c r="GFT219" s="1"/>
      <c r="GFU219" s="1"/>
      <c r="GFV219" s="1"/>
      <c r="GFW219" s="1"/>
      <c r="GFX219" s="1"/>
      <c r="GFY219" s="1"/>
      <c r="GFZ219" s="1"/>
      <c r="GGA219" s="1"/>
      <c r="GGB219" s="1"/>
      <c r="GGC219" s="1"/>
      <c r="GGD219" s="1"/>
      <c r="GGE219" s="1"/>
      <c r="GGF219" s="1"/>
      <c r="GGG219" s="1"/>
      <c r="GGH219" s="1"/>
      <c r="GGI219" s="1"/>
      <c r="GGJ219" s="1"/>
      <c r="GGK219" s="1"/>
      <c r="GGL219" s="1"/>
      <c r="GGM219" s="1"/>
      <c r="GGN219" s="1"/>
      <c r="GGO219" s="1"/>
      <c r="GGP219" s="1"/>
      <c r="GGQ219" s="1"/>
      <c r="GGR219" s="1"/>
      <c r="GGS219" s="1"/>
      <c r="GGT219" s="1"/>
      <c r="GGU219" s="1"/>
      <c r="GGV219" s="1"/>
      <c r="GGW219" s="1"/>
      <c r="GGX219" s="1"/>
      <c r="GGY219" s="1"/>
      <c r="GGZ219" s="1"/>
      <c r="GHA219" s="1"/>
      <c r="GHB219" s="1"/>
      <c r="GHC219" s="1"/>
      <c r="GHD219" s="1"/>
      <c r="GHE219" s="1"/>
      <c r="GHF219" s="1"/>
      <c r="GHG219" s="1"/>
      <c r="GHH219" s="1"/>
      <c r="GHI219" s="1"/>
      <c r="GHJ219" s="1"/>
      <c r="GHK219" s="1"/>
      <c r="GHL219" s="1"/>
      <c r="GHM219" s="1"/>
      <c r="GHN219" s="1"/>
      <c r="GHO219" s="1"/>
      <c r="GHP219" s="1"/>
      <c r="GHQ219" s="1"/>
      <c r="GHR219" s="1"/>
      <c r="GHS219" s="1"/>
      <c r="GHT219" s="1"/>
      <c r="GHU219" s="1"/>
      <c r="GHV219" s="1"/>
      <c r="GHW219" s="1"/>
      <c r="GHX219" s="1"/>
      <c r="GHY219" s="1"/>
      <c r="GHZ219" s="1"/>
      <c r="GIA219" s="1"/>
      <c r="GIB219" s="1"/>
      <c r="GIC219" s="1"/>
      <c r="GID219" s="1"/>
      <c r="GIE219" s="1"/>
      <c r="GIF219" s="1"/>
      <c r="GIG219" s="1"/>
      <c r="GIH219" s="1"/>
      <c r="GII219" s="1"/>
      <c r="GIJ219" s="1"/>
      <c r="GIK219" s="1"/>
      <c r="GIL219" s="1"/>
      <c r="GIM219" s="1"/>
      <c r="GIN219" s="1"/>
      <c r="GIO219" s="1"/>
      <c r="GIP219" s="1"/>
      <c r="GIQ219" s="1"/>
      <c r="GIR219" s="1"/>
      <c r="GIS219" s="1"/>
      <c r="GIT219" s="1"/>
      <c r="GIU219" s="1"/>
      <c r="GIV219" s="1"/>
      <c r="GIW219" s="1"/>
      <c r="GIX219" s="1"/>
      <c r="GIY219" s="1"/>
      <c r="GIZ219" s="1"/>
      <c r="GJA219" s="1"/>
      <c r="GJB219" s="1"/>
      <c r="GJC219" s="1"/>
      <c r="GJD219" s="1"/>
      <c r="GJE219" s="1"/>
      <c r="GJF219" s="1"/>
      <c r="GJG219" s="1"/>
      <c r="GJH219" s="1"/>
      <c r="GJI219" s="1"/>
      <c r="GJJ219" s="1"/>
      <c r="GJK219" s="1"/>
      <c r="GJL219" s="1"/>
      <c r="GJM219" s="1"/>
      <c r="GJN219" s="1"/>
      <c r="GJO219" s="1"/>
      <c r="GJP219" s="1"/>
      <c r="GJQ219" s="1"/>
      <c r="GJR219" s="1"/>
      <c r="GJS219" s="1"/>
      <c r="GJT219" s="1"/>
      <c r="GJU219" s="1"/>
      <c r="GJV219" s="1"/>
      <c r="GJW219" s="1"/>
      <c r="GJX219" s="1"/>
      <c r="GJY219" s="1"/>
      <c r="GJZ219" s="1"/>
      <c r="GKA219" s="1"/>
      <c r="GKB219" s="1"/>
      <c r="GKC219" s="1"/>
      <c r="GKD219" s="1"/>
      <c r="GKE219" s="1"/>
      <c r="GKF219" s="1"/>
      <c r="GKG219" s="1"/>
      <c r="GKH219" s="1"/>
      <c r="GKI219" s="1"/>
      <c r="GKJ219" s="1"/>
      <c r="GKK219" s="1"/>
      <c r="GKL219" s="1"/>
      <c r="GKM219" s="1"/>
      <c r="GKN219" s="1"/>
      <c r="GKO219" s="1"/>
      <c r="GKP219" s="1"/>
      <c r="GKQ219" s="1"/>
      <c r="GKR219" s="1"/>
      <c r="GKS219" s="1"/>
      <c r="GKT219" s="1"/>
      <c r="GKU219" s="1"/>
      <c r="GKV219" s="1"/>
      <c r="GKW219" s="1"/>
      <c r="GKX219" s="1"/>
      <c r="GKY219" s="1"/>
      <c r="GKZ219" s="1"/>
      <c r="GLA219" s="1"/>
      <c r="GLB219" s="1"/>
      <c r="GLC219" s="1"/>
      <c r="GLD219" s="1"/>
      <c r="GLE219" s="1"/>
      <c r="GLF219" s="1"/>
      <c r="GLG219" s="1"/>
      <c r="GLH219" s="1"/>
      <c r="GLI219" s="1"/>
      <c r="GLJ219" s="1"/>
      <c r="GLK219" s="1"/>
      <c r="GLL219" s="1"/>
      <c r="GLM219" s="1"/>
      <c r="GLN219" s="1"/>
      <c r="GLO219" s="1"/>
      <c r="GLP219" s="1"/>
      <c r="GLQ219" s="1"/>
      <c r="GLR219" s="1"/>
      <c r="GLS219" s="1"/>
      <c r="GLT219" s="1"/>
      <c r="GLU219" s="1"/>
      <c r="GLV219" s="1"/>
      <c r="GLW219" s="1"/>
      <c r="GLX219" s="1"/>
      <c r="GLY219" s="1"/>
      <c r="GLZ219" s="1"/>
      <c r="GMA219" s="1"/>
      <c r="GMB219" s="1"/>
      <c r="GMC219" s="1"/>
      <c r="GMD219" s="1"/>
      <c r="GME219" s="1"/>
      <c r="GMF219" s="1"/>
      <c r="GMG219" s="1"/>
      <c r="GMH219" s="1"/>
      <c r="GMI219" s="1"/>
      <c r="GMJ219" s="1"/>
      <c r="GMK219" s="1"/>
      <c r="GML219" s="1"/>
      <c r="GMM219" s="1"/>
      <c r="GMN219" s="1"/>
      <c r="GMO219" s="1"/>
      <c r="GMP219" s="1"/>
      <c r="GMQ219" s="1"/>
      <c r="GMR219" s="1"/>
      <c r="GMS219" s="1"/>
      <c r="GMT219" s="1"/>
      <c r="GMU219" s="1"/>
      <c r="GMV219" s="1"/>
      <c r="GMW219" s="1"/>
      <c r="GMX219" s="1"/>
      <c r="GMY219" s="1"/>
      <c r="GMZ219" s="1"/>
      <c r="GNA219" s="1"/>
      <c r="GNB219" s="1"/>
      <c r="GNC219" s="1"/>
      <c r="GND219" s="1"/>
      <c r="GNE219" s="1"/>
      <c r="GNF219" s="1"/>
      <c r="GNG219" s="1"/>
      <c r="GNH219" s="1"/>
      <c r="GNI219" s="1"/>
      <c r="GNJ219" s="1"/>
      <c r="GNK219" s="1"/>
      <c r="GNL219" s="1"/>
      <c r="GNM219" s="1"/>
      <c r="GNN219" s="1"/>
      <c r="GNO219" s="1"/>
      <c r="GNP219" s="1"/>
      <c r="GNQ219" s="1"/>
      <c r="GNR219" s="1"/>
      <c r="GNS219" s="1"/>
      <c r="GNT219" s="1"/>
      <c r="GNU219" s="1"/>
      <c r="GNV219" s="1"/>
      <c r="GNW219" s="1"/>
      <c r="GNX219" s="1"/>
      <c r="GNY219" s="1"/>
      <c r="GNZ219" s="1"/>
      <c r="GOA219" s="1"/>
      <c r="GOB219" s="1"/>
      <c r="GOC219" s="1"/>
      <c r="GOD219" s="1"/>
      <c r="GOE219" s="1"/>
      <c r="GOF219" s="1"/>
      <c r="GOG219" s="1"/>
      <c r="GOH219" s="1"/>
      <c r="GOI219" s="1"/>
      <c r="GOJ219" s="1"/>
      <c r="GOK219" s="1"/>
      <c r="GOL219" s="1"/>
      <c r="GOM219" s="1"/>
      <c r="GON219" s="1"/>
      <c r="GOO219" s="1"/>
      <c r="GOP219" s="1"/>
      <c r="GOQ219" s="1"/>
      <c r="GOR219" s="1"/>
      <c r="GOS219" s="1"/>
      <c r="GOT219" s="1"/>
      <c r="GOU219" s="1"/>
      <c r="GOV219" s="1"/>
      <c r="GOW219" s="1"/>
      <c r="GOX219" s="1"/>
      <c r="GOY219" s="1"/>
      <c r="GOZ219" s="1"/>
      <c r="GPA219" s="1"/>
      <c r="GPB219" s="1"/>
      <c r="GPC219" s="1"/>
      <c r="GPD219" s="1"/>
      <c r="GPE219" s="1"/>
      <c r="GPF219" s="1"/>
      <c r="GPG219" s="1"/>
      <c r="GPH219" s="1"/>
      <c r="GPI219" s="1"/>
      <c r="GPJ219" s="1"/>
      <c r="GPK219" s="1"/>
      <c r="GPL219" s="1"/>
      <c r="GPM219" s="1"/>
      <c r="GPN219" s="1"/>
      <c r="GPO219" s="1"/>
      <c r="GPP219" s="1"/>
      <c r="GPQ219" s="1"/>
      <c r="GPR219" s="1"/>
      <c r="GPS219" s="1"/>
      <c r="GPT219" s="1"/>
      <c r="GPU219" s="1"/>
      <c r="GPV219" s="1"/>
      <c r="GPW219" s="1"/>
      <c r="GPX219" s="1"/>
      <c r="GPY219" s="1"/>
      <c r="GPZ219" s="1"/>
      <c r="GQA219" s="1"/>
      <c r="GQB219" s="1"/>
      <c r="GQC219" s="1"/>
      <c r="GQD219" s="1"/>
      <c r="GQE219" s="1"/>
      <c r="GQF219" s="1"/>
      <c r="GQG219" s="1"/>
      <c r="GQH219" s="1"/>
      <c r="GQI219" s="1"/>
      <c r="GQJ219" s="1"/>
      <c r="GQK219" s="1"/>
      <c r="GQL219" s="1"/>
      <c r="GQM219" s="1"/>
      <c r="GQN219" s="1"/>
      <c r="GQO219" s="1"/>
      <c r="GQP219" s="1"/>
      <c r="GQQ219" s="1"/>
      <c r="GQR219" s="1"/>
      <c r="GQS219" s="1"/>
      <c r="GQT219" s="1"/>
      <c r="GQU219" s="1"/>
      <c r="GQV219" s="1"/>
      <c r="GQW219" s="1"/>
      <c r="GQX219" s="1"/>
      <c r="GQY219" s="1"/>
      <c r="GQZ219" s="1"/>
      <c r="GRA219" s="1"/>
      <c r="GRB219" s="1"/>
      <c r="GRC219" s="1"/>
      <c r="GRD219" s="1"/>
      <c r="GRE219" s="1"/>
      <c r="GRF219" s="1"/>
      <c r="GRG219" s="1"/>
      <c r="GRH219" s="1"/>
      <c r="GRI219" s="1"/>
      <c r="GRJ219" s="1"/>
      <c r="GRK219" s="1"/>
      <c r="GRL219" s="1"/>
      <c r="GRM219" s="1"/>
      <c r="GRN219" s="1"/>
      <c r="GRO219" s="1"/>
      <c r="GRP219" s="1"/>
      <c r="GRQ219" s="1"/>
      <c r="GRR219" s="1"/>
      <c r="GRS219" s="1"/>
      <c r="GRT219" s="1"/>
      <c r="GRU219" s="1"/>
      <c r="GRV219" s="1"/>
      <c r="GRW219" s="1"/>
      <c r="GRX219" s="1"/>
      <c r="GRY219" s="1"/>
      <c r="GRZ219" s="1"/>
      <c r="GSA219" s="1"/>
      <c r="GSB219" s="1"/>
      <c r="GSC219" s="1"/>
      <c r="GSD219" s="1"/>
      <c r="GSE219" s="1"/>
      <c r="GSF219" s="1"/>
      <c r="GSG219" s="1"/>
      <c r="GSH219" s="1"/>
      <c r="GSI219" s="1"/>
      <c r="GSJ219" s="1"/>
      <c r="GSK219" s="1"/>
      <c r="GSL219" s="1"/>
      <c r="GSM219" s="1"/>
      <c r="GSN219" s="1"/>
      <c r="GSO219" s="1"/>
      <c r="GSP219" s="1"/>
      <c r="GSQ219" s="1"/>
      <c r="GSR219" s="1"/>
      <c r="GSS219" s="1"/>
      <c r="GST219" s="1"/>
      <c r="GSU219" s="1"/>
      <c r="GSV219" s="1"/>
      <c r="GSW219" s="1"/>
      <c r="GSX219" s="1"/>
      <c r="GSY219" s="1"/>
      <c r="GSZ219" s="1"/>
      <c r="GTA219" s="1"/>
      <c r="GTB219" s="1"/>
      <c r="GTC219" s="1"/>
      <c r="GTD219" s="1"/>
      <c r="GTE219" s="1"/>
      <c r="GTF219" s="1"/>
      <c r="GTG219" s="1"/>
      <c r="GTH219" s="1"/>
      <c r="GTI219" s="1"/>
      <c r="GTJ219" s="1"/>
      <c r="GTK219" s="1"/>
      <c r="GTL219" s="1"/>
      <c r="GTM219" s="1"/>
      <c r="GTN219" s="1"/>
      <c r="GTO219" s="1"/>
      <c r="GTP219" s="1"/>
      <c r="GTQ219" s="1"/>
      <c r="GTR219" s="1"/>
      <c r="GTS219" s="1"/>
      <c r="GTT219" s="1"/>
      <c r="GTU219" s="1"/>
      <c r="GTV219" s="1"/>
      <c r="GTW219" s="1"/>
      <c r="GTX219" s="1"/>
      <c r="GTY219" s="1"/>
      <c r="GTZ219" s="1"/>
      <c r="GUA219" s="1"/>
      <c r="GUB219" s="1"/>
      <c r="GUC219" s="1"/>
      <c r="GUD219" s="1"/>
      <c r="GUE219" s="1"/>
      <c r="GUF219" s="1"/>
      <c r="GUG219" s="1"/>
      <c r="GUH219" s="1"/>
      <c r="GUI219" s="1"/>
      <c r="GUJ219" s="1"/>
      <c r="GUK219" s="1"/>
      <c r="GUL219" s="1"/>
      <c r="GUM219" s="1"/>
      <c r="GUN219" s="1"/>
      <c r="GUO219" s="1"/>
      <c r="GUP219" s="1"/>
      <c r="GUQ219" s="1"/>
      <c r="GUR219" s="1"/>
      <c r="GUS219" s="1"/>
      <c r="GUT219" s="1"/>
      <c r="GUU219" s="1"/>
      <c r="GUV219" s="1"/>
      <c r="GUW219" s="1"/>
      <c r="GUX219" s="1"/>
      <c r="GUY219" s="1"/>
      <c r="GUZ219" s="1"/>
      <c r="GVA219" s="1"/>
      <c r="GVB219" s="1"/>
      <c r="GVC219" s="1"/>
      <c r="GVD219" s="1"/>
      <c r="GVE219" s="1"/>
      <c r="GVF219" s="1"/>
      <c r="GVG219" s="1"/>
      <c r="GVH219" s="1"/>
      <c r="GVI219" s="1"/>
      <c r="GVJ219" s="1"/>
      <c r="GVK219" s="1"/>
      <c r="GVL219" s="1"/>
      <c r="GVM219" s="1"/>
      <c r="GVN219" s="1"/>
      <c r="GVO219" s="1"/>
      <c r="GVP219" s="1"/>
      <c r="GVQ219" s="1"/>
      <c r="GVR219" s="1"/>
      <c r="GVS219" s="1"/>
      <c r="GVT219" s="1"/>
      <c r="GVU219" s="1"/>
      <c r="GVV219" s="1"/>
      <c r="GVW219" s="1"/>
      <c r="GVX219" s="1"/>
      <c r="GVY219" s="1"/>
      <c r="GVZ219" s="1"/>
      <c r="GWA219" s="1"/>
      <c r="GWB219" s="1"/>
      <c r="GWC219" s="1"/>
      <c r="GWD219" s="1"/>
      <c r="GWE219" s="1"/>
      <c r="GWF219" s="1"/>
      <c r="GWG219" s="1"/>
      <c r="GWH219" s="1"/>
      <c r="GWI219" s="1"/>
      <c r="GWJ219" s="1"/>
      <c r="GWK219" s="1"/>
      <c r="GWL219" s="1"/>
      <c r="GWM219" s="1"/>
      <c r="GWN219" s="1"/>
      <c r="GWO219" s="1"/>
      <c r="GWP219" s="1"/>
      <c r="GWQ219" s="1"/>
      <c r="GWR219" s="1"/>
      <c r="GWS219" s="1"/>
      <c r="GWT219" s="1"/>
      <c r="GWU219" s="1"/>
      <c r="GWV219" s="1"/>
      <c r="GWW219" s="1"/>
      <c r="GWX219" s="1"/>
      <c r="GWY219" s="1"/>
      <c r="GWZ219" s="1"/>
      <c r="GXA219" s="1"/>
      <c r="GXB219" s="1"/>
      <c r="GXC219" s="1"/>
      <c r="GXD219" s="1"/>
      <c r="GXE219" s="1"/>
      <c r="GXF219" s="1"/>
      <c r="GXG219" s="1"/>
      <c r="GXH219" s="1"/>
      <c r="GXI219" s="1"/>
      <c r="GXJ219" s="1"/>
      <c r="GXK219" s="1"/>
      <c r="GXL219" s="1"/>
      <c r="GXM219" s="1"/>
      <c r="GXN219" s="1"/>
      <c r="GXO219" s="1"/>
      <c r="GXP219" s="1"/>
      <c r="GXQ219" s="1"/>
      <c r="GXR219" s="1"/>
      <c r="GXS219" s="1"/>
      <c r="GXT219" s="1"/>
      <c r="GXU219" s="1"/>
      <c r="GXV219" s="1"/>
      <c r="GXW219" s="1"/>
      <c r="GXX219" s="1"/>
      <c r="GXY219" s="1"/>
      <c r="GXZ219" s="1"/>
      <c r="GYA219" s="1"/>
      <c r="GYB219" s="1"/>
      <c r="GYC219" s="1"/>
      <c r="GYD219" s="1"/>
      <c r="GYE219" s="1"/>
      <c r="GYF219" s="1"/>
      <c r="GYG219" s="1"/>
      <c r="GYH219" s="1"/>
      <c r="GYI219" s="1"/>
      <c r="GYJ219" s="1"/>
      <c r="GYK219" s="1"/>
      <c r="GYL219" s="1"/>
      <c r="GYM219" s="1"/>
      <c r="GYN219" s="1"/>
      <c r="GYO219" s="1"/>
      <c r="GYP219" s="1"/>
      <c r="GYQ219" s="1"/>
      <c r="GYR219" s="1"/>
      <c r="GYS219" s="1"/>
      <c r="GYT219" s="1"/>
      <c r="GYU219" s="1"/>
      <c r="GYV219" s="1"/>
      <c r="GYW219" s="1"/>
      <c r="GYX219" s="1"/>
      <c r="GYY219" s="1"/>
      <c r="GYZ219" s="1"/>
      <c r="GZA219" s="1"/>
      <c r="GZB219" s="1"/>
      <c r="GZC219" s="1"/>
      <c r="GZD219" s="1"/>
      <c r="GZE219" s="1"/>
      <c r="GZF219" s="1"/>
      <c r="GZG219" s="1"/>
      <c r="GZH219" s="1"/>
      <c r="GZI219" s="1"/>
      <c r="GZJ219" s="1"/>
      <c r="GZK219" s="1"/>
      <c r="GZL219" s="1"/>
      <c r="GZM219" s="1"/>
      <c r="GZN219" s="1"/>
      <c r="GZO219" s="1"/>
      <c r="GZP219" s="1"/>
      <c r="GZQ219" s="1"/>
      <c r="GZR219" s="1"/>
      <c r="GZS219" s="1"/>
      <c r="GZT219" s="1"/>
      <c r="GZU219" s="1"/>
      <c r="GZV219" s="1"/>
      <c r="GZW219" s="1"/>
      <c r="GZX219" s="1"/>
      <c r="GZY219" s="1"/>
      <c r="GZZ219" s="1"/>
      <c r="HAA219" s="1"/>
      <c r="HAB219" s="1"/>
      <c r="HAC219" s="1"/>
      <c r="HAD219" s="1"/>
      <c r="HAE219" s="1"/>
      <c r="HAF219" s="1"/>
      <c r="HAG219" s="1"/>
      <c r="HAH219" s="1"/>
      <c r="HAI219" s="1"/>
      <c r="HAJ219" s="1"/>
      <c r="HAK219" s="1"/>
      <c r="HAL219" s="1"/>
      <c r="HAM219" s="1"/>
      <c r="HAN219" s="1"/>
      <c r="HAO219" s="1"/>
      <c r="HAP219" s="1"/>
      <c r="HAQ219" s="1"/>
      <c r="HAR219" s="1"/>
      <c r="HAS219" s="1"/>
      <c r="HAT219" s="1"/>
      <c r="HAU219" s="1"/>
      <c r="HAV219" s="1"/>
      <c r="HAW219" s="1"/>
      <c r="HAX219" s="1"/>
      <c r="HAY219" s="1"/>
      <c r="HAZ219" s="1"/>
      <c r="HBA219" s="1"/>
      <c r="HBB219" s="1"/>
      <c r="HBC219" s="1"/>
      <c r="HBD219" s="1"/>
      <c r="HBE219" s="1"/>
      <c r="HBF219" s="1"/>
      <c r="HBG219" s="1"/>
      <c r="HBH219" s="1"/>
      <c r="HBI219" s="1"/>
      <c r="HBJ219" s="1"/>
      <c r="HBK219" s="1"/>
      <c r="HBL219" s="1"/>
      <c r="HBM219" s="1"/>
      <c r="HBN219" s="1"/>
      <c r="HBO219" s="1"/>
      <c r="HBP219" s="1"/>
      <c r="HBQ219" s="1"/>
      <c r="HBR219" s="1"/>
      <c r="HBS219" s="1"/>
      <c r="HBT219" s="1"/>
      <c r="HBU219" s="1"/>
      <c r="HBV219" s="1"/>
      <c r="HBW219" s="1"/>
      <c r="HBX219" s="1"/>
      <c r="HBY219" s="1"/>
      <c r="HBZ219" s="1"/>
      <c r="HCA219" s="1"/>
      <c r="HCB219" s="1"/>
      <c r="HCC219" s="1"/>
      <c r="HCD219" s="1"/>
      <c r="HCE219" s="1"/>
      <c r="HCF219" s="1"/>
      <c r="HCG219" s="1"/>
      <c r="HCH219" s="1"/>
      <c r="HCI219" s="1"/>
      <c r="HCJ219" s="1"/>
      <c r="HCK219" s="1"/>
      <c r="HCL219" s="1"/>
      <c r="HCM219" s="1"/>
      <c r="HCN219" s="1"/>
      <c r="HCO219" s="1"/>
      <c r="HCP219" s="1"/>
      <c r="HCQ219" s="1"/>
      <c r="HCR219" s="1"/>
      <c r="HCS219" s="1"/>
      <c r="HCT219" s="1"/>
      <c r="HCU219" s="1"/>
      <c r="HCV219" s="1"/>
      <c r="HCW219" s="1"/>
      <c r="HCX219" s="1"/>
      <c r="HCY219" s="1"/>
      <c r="HCZ219" s="1"/>
      <c r="HDA219" s="1"/>
      <c r="HDB219" s="1"/>
      <c r="HDC219" s="1"/>
      <c r="HDD219" s="1"/>
      <c r="HDE219" s="1"/>
      <c r="HDF219" s="1"/>
      <c r="HDG219" s="1"/>
      <c r="HDH219" s="1"/>
      <c r="HDI219" s="1"/>
      <c r="HDJ219" s="1"/>
      <c r="HDK219" s="1"/>
      <c r="HDL219" s="1"/>
      <c r="HDM219" s="1"/>
      <c r="HDN219" s="1"/>
      <c r="HDO219" s="1"/>
      <c r="HDP219" s="1"/>
      <c r="HDQ219" s="1"/>
      <c r="HDR219" s="1"/>
      <c r="HDS219" s="1"/>
      <c r="HDT219" s="1"/>
      <c r="HDU219" s="1"/>
      <c r="HDV219" s="1"/>
      <c r="HDW219" s="1"/>
      <c r="HDX219" s="1"/>
      <c r="HDY219" s="1"/>
      <c r="HDZ219" s="1"/>
      <c r="HEA219" s="1"/>
      <c r="HEB219" s="1"/>
      <c r="HEC219" s="1"/>
      <c r="HED219" s="1"/>
      <c r="HEE219" s="1"/>
      <c r="HEF219" s="1"/>
      <c r="HEG219" s="1"/>
      <c r="HEH219" s="1"/>
      <c r="HEI219" s="1"/>
      <c r="HEJ219" s="1"/>
      <c r="HEK219" s="1"/>
      <c r="HEL219" s="1"/>
      <c r="HEM219" s="1"/>
      <c r="HEN219" s="1"/>
      <c r="HEO219" s="1"/>
      <c r="HEP219" s="1"/>
      <c r="HEQ219" s="1"/>
      <c r="HER219" s="1"/>
      <c r="HES219" s="1"/>
      <c r="HET219" s="1"/>
      <c r="HEU219" s="1"/>
      <c r="HEV219" s="1"/>
      <c r="HEW219" s="1"/>
      <c r="HEX219" s="1"/>
      <c r="HEY219" s="1"/>
      <c r="HEZ219" s="1"/>
      <c r="HFA219" s="1"/>
      <c r="HFB219" s="1"/>
      <c r="HFC219" s="1"/>
      <c r="HFD219" s="1"/>
      <c r="HFE219" s="1"/>
      <c r="HFF219" s="1"/>
      <c r="HFG219" s="1"/>
      <c r="HFH219" s="1"/>
      <c r="HFI219" s="1"/>
      <c r="HFJ219" s="1"/>
      <c r="HFK219" s="1"/>
      <c r="HFL219" s="1"/>
      <c r="HFM219" s="1"/>
      <c r="HFN219" s="1"/>
      <c r="HFO219" s="1"/>
      <c r="HFP219" s="1"/>
      <c r="HFQ219" s="1"/>
      <c r="HFR219" s="1"/>
      <c r="HFS219" s="1"/>
      <c r="HFT219" s="1"/>
      <c r="HFU219" s="1"/>
      <c r="HFV219" s="1"/>
      <c r="HFW219" s="1"/>
      <c r="HFX219" s="1"/>
      <c r="HFY219" s="1"/>
      <c r="HFZ219" s="1"/>
      <c r="HGA219" s="1"/>
      <c r="HGB219" s="1"/>
      <c r="HGC219" s="1"/>
      <c r="HGD219" s="1"/>
      <c r="HGE219" s="1"/>
      <c r="HGF219" s="1"/>
      <c r="HGG219" s="1"/>
      <c r="HGH219" s="1"/>
      <c r="HGI219" s="1"/>
      <c r="HGJ219" s="1"/>
      <c r="HGK219" s="1"/>
      <c r="HGL219" s="1"/>
      <c r="HGM219" s="1"/>
      <c r="HGN219" s="1"/>
      <c r="HGO219" s="1"/>
      <c r="HGP219" s="1"/>
      <c r="HGQ219" s="1"/>
      <c r="HGR219" s="1"/>
      <c r="HGS219" s="1"/>
      <c r="HGT219" s="1"/>
      <c r="HGU219" s="1"/>
      <c r="HGV219" s="1"/>
      <c r="HGW219" s="1"/>
      <c r="HGX219" s="1"/>
      <c r="HGY219" s="1"/>
      <c r="HGZ219" s="1"/>
      <c r="HHA219" s="1"/>
      <c r="HHB219" s="1"/>
      <c r="HHC219" s="1"/>
      <c r="HHD219" s="1"/>
      <c r="HHE219" s="1"/>
      <c r="HHF219" s="1"/>
      <c r="HHG219" s="1"/>
      <c r="HHH219" s="1"/>
      <c r="HHI219" s="1"/>
      <c r="HHJ219" s="1"/>
      <c r="HHK219" s="1"/>
      <c r="HHL219" s="1"/>
      <c r="HHM219" s="1"/>
      <c r="HHN219" s="1"/>
      <c r="HHO219" s="1"/>
      <c r="HHP219" s="1"/>
      <c r="HHQ219" s="1"/>
      <c r="HHR219" s="1"/>
      <c r="HHS219" s="1"/>
      <c r="HHT219" s="1"/>
      <c r="HHU219" s="1"/>
      <c r="HHV219" s="1"/>
      <c r="HHW219" s="1"/>
      <c r="HHX219" s="1"/>
      <c r="HHY219" s="1"/>
      <c r="HHZ219" s="1"/>
      <c r="HIA219" s="1"/>
      <c r="HIB219" s="1"/>
      <c r="HIC219" s="1"/>
      <c r="HID219" s="1"/>
      <c r="HIE219" s="1"/>
      <c r="HIF219" s="1"/>
      <c r="HIG219" s="1"/>
      <c r="HIH219" s="1"/>
      <c r="HII219" s="1"/>
      <c r="HIJ219" s="1"/>
      <c r="HIK219" s="1"/>
      <c r="HIL219" s="1"/>
      <c r="HIM219" s="1"/>
      <c r="HIN219" s="1"/>
      <c r="HIO219" s="1"/>
      <c r="HIP219" s="1"/>
      <c r="HIQ219" s="1"/>
      <c r="HIR219" s="1"/>
      <c r="HIS219" s="1"/>
      <c r="HIT219" s="1"/>
      <c r="HIU219" s="1"/>
      <c r="HIV219" s="1"/>
      <c r="HIW219" s="1"/>
      <c r="HIX219" s="1"/>
      <c r="HIY219" s="1"/>
      <c r="HIZ219" s="1"/>
      <c r="HJA219" s="1"/>
      <c r="HJB219" s="1"/>
      <c r="HJC219" s="1"/>
      <c r="HJD219" s="1"/>
      <c r="HJE219" s="1"/>
      <c r="HJF219" s="1"/>
      <c r="HJG219" s="1"/>
      <c r="HJH219" s="1"/>
      <c r="HJI219" s="1"/>
      <c r="HJJ219" s="1"/>
      <c r="HJK219" s="1"/>
      <c r="HJL219" s="1"/>
      <c r="HJM219" s="1"/>
      <c r="HJN219" s="1"/>
      <c r="HJO219" s="1"/>
      <c r="HJP219" s="1"/>
      <c r="HJQ219" s="1"/>
      <c r="HJR219" s="1"/>
      <c r="HJS219" s="1"/>
      <c r="HJT219" s="1"/>
      <c r="HJU219" s="1"/>
      <c r="HJV219" s="1"/>
      <c r="HJW219" s="1"/>
      <c r="HJX219" s="1"/>
      <c r="HJY219" s="1"/>
      <c r="HJZ219" s="1"/>
      <c r="HKA219" s="1"/>
      <c r="HKB219" s="1"/>
      <c r="HKC219" s="1"/>
      <c r="HKD219" s="1"/>
      <c r="HKE219" s="1"/>
      <c r="HKF219" s="1"/>
      <c r="HKG219" s="1"/>
      <c r="HKH219" s="1"/>
      <c r="HKI219" s="1"/>
      <c r="HKJ219" s="1"/>
      <c r="HKK219" s="1"/>
      <c r="HKL219" s="1"/>
      <c r="HKM219" s="1"/>
      <c r="HKN219" s="1"/>
      <c r="HKO219" s="1"/>
      <c r="HKP219" s="1"/>
      <c r="HKQ219" s="1"/>
      <c r="HKR219" s="1"/>
      <c r="HKS219" s="1"/>
      <c r="HKT219" s="1"/>
      <c r="HKU219" s="1"/>
      <c r="HKV219" s="1"/>
      <c r="HKW219" s="1"/>
      <c r="HKX219" s="1"/>
      <c r="HKY219" s="1"/>
      <c r="HKZ219" s="1"/>
      <c r="HLA219" s="1"/>
      <c r="HLB219" s="1"/>
      <c r="HLC219" s="1"/>
      <c r="HLD219" s="1"/>
      <c r="HLE219" s="1"/>
      <c r="HLF219" s="1"/>
      <c r="HLG219" s="1"/>
      <c r="HLH219" s="1"/>
      <c r="HLI219" s="1"/>
      <c r="HLJ219" s="1"/>
      <c r="HLK219" s="1"/>
      <c r="HLL219" s="1"/>
      <c r="HLM219" s="1"/>
      <c r="HLN219" s="1"/>
      <c r="HLO219" s="1"/>
      <c r="HLP219" s="1"/>
      <c r="HLQ219" s="1"/>
      <c r="HLR219" s="1"/>
      <c r="HLS219" s="1"/>
      <c r="HLT219" s="1"/>
      <c r="HLU219" s="1"/>
      <c r="HLV219" s="1"/>
      <c r="HLW219" s="1"/>
      <c r="HLX219" s="1"/>
      <c r="HLY219" s="1"/>
      <c r="HLZ219" s="1"/>
      <c r="HMA219" s="1"/>
      <c r="HMB219" s="1"/>
      <c r="HMC219" s="1"/>
      <c r="HMD219" s="1"/>
      <c r="HME219" s="1"/>
      <c r="HMF219" s="1"/>
      <c r="HMG219" s="1"/>
      <c r="HMH219" s="1"/>
      <c r="HMI219" s="1"/>
      <c r="HMJ219" s="1"/>
      <c r="HMK219" s="1"/>
      <c r="HML219" s="1"/>
      <c r="HMM219" s="1"/>
      <c r="HMN219" s="1"/>
      <c r="HMO219" s="1"/>
      <c r="HMP219" s="1"/>
      <c r="HMQ219" s="1"/>
      <c r="HMR219" s="1"/>
      <c r="HMS219" s="1"/>
      <c r="HMT219" s="1"/>
      <c r="HMU219" s="1"/>
      <c r="HMV219" s="1"/>
      <c r="HMW219" s="1"/>
      <c r="HMX219" s="1"/>
      <c r="HMY219" s="1"/>
      <c r="HMZ219" s="1"/>
      <c r="HNA219" s="1"/>
      <c r="HNB219" s="1"/>
      <c r="HNC219" s="1"/>
      <c r="HND219" s="1"/>
      <c r="HNE219" s="1"/>
      <c r="HNF219" s="1"/>
      <c r="HNG219" s="1"/>
      <c r="HNH219" s="1"/>
      <c r="HNI219" s="1"/>
      <c r="HNJ219" s="1"/>
      <c r="HNK219" s="1"/>
      <c r="HNL219" s="1"/>
      <c r="HNM219" s="1"/>
      <c r="HNN219" s="1"/>
      <c r="HNO219" s="1"/>
      <c r="HNP219" s="1"/>
      <c r="HNQ219" s="1"/>
      <c r="HNR219" s="1"/>
      <c r="HNS219" s="1"/>
      <c r="HNT219" s="1"/>
      <c r="HNU219" s="1"/>
      <c r="HNV219" s="1"/>
      <c r="HNW219" s="1"/>
      <c r="HNX219" s="1"/>
      <c r="HNY219" s="1"/>
      <c r="HNZ219" s="1"/>
      <c r="HOA219" s="1"/>
      <c r="HOB219" s="1"/>
      <c r="HOC219" s="1"/>
      <c r="HOD219" s="1"/>
      <c r="HOE219" s="1"/>
      <c r="HOF219" s="1"/>
      <c r="HOG219" s="1"/>
      <c r="HOH219" s="1"/>
      <c r="HOI219" s="1"/>
      <c r="HOJ219" s="1"/>
      <c r="HOK219" s="1"/>
      <c r="HOL219" s="1"/>
      <c r="HOM219" s="1"/>
      <c r="HON219" s="1"/>
      <c r="HOO219" s="1"/>
      <c r="HOP219" s="1"/>
      <c r="HOQ219" s="1"/>
      <c r="HOR219" s="1"/>
      <c r="HOS219" s="1"/>
      <c r="HOT219" s="1"/>
      <c r="HOU219" s="1"/>
      <c r="HOV219" s="1"/>
      <c r="HOW219" s="1"/>
      <c r="HOX219" s="1"/>
      <c r="HOY219" s="1"/>
      <c r="HOZ219" s="1"/>
      <c r="HPA219" s="1"/>
      <c r="HPB219" s="1"/>
      <c r="HPC219" s="1"/>
      <c r="HPD219" s="1"/>
      <c r="HPE219" s="1"/>
      <c r="HPF219" s="1"/>
      <c r="HPG219" s="1"/>
      <c r="HPH219" s="1"/>
      <c r="HPI219" s="1"/>
      <c r="HPJ219" s="1"/>
      <c r="HPK219" s="1"/>
      <c r="HPL219" s="1"/>
      <c r="HPM219" s="1"/>
      <c r="HPN219" s="1"/>
      <c r="HPO219" s="1"/>
      <c r="HPP219" s="1"/>
      <c r="HPQ219" s="1"/>
      <c r="HPR219" s="1"/>
      <c r="HPS219" s="1"/>
      <c r="HPT219" s="1"/>
      <c r="HPU219" s="1"/>
      <c r="HPV219" s="1"/>
      <c r="HPW219" s="1"/>
      <c r="HPX219" s="1"/>
      <c r="HPY219" s="1"/>
      <c r="HPZ219" s="1"/>
      <c r="HQA219" s="1"/>
      <c r="HQB219" s="1"/>
      <c r="HQC219" s="1"/>
      <c r="HQD219" s="1"/>
      <c r="HQE219" s="1"/>
      <c r="HQF219" s="1"/>
      <c r="HQG219" s="1"/>
      <c r="HQH219" s="1"/>
      <c r="HQI219" s="1"/>
      <c r="HQJ219" s="1"/>
      <c r="HQK219" s="1"/>
      <c r="HQL219" s="1"/>
      <c r="HQM219" s="1"/>
      <c r="HQN219" s="1"/>
      <c r="HQO219" s="1"/>
      <c r="HQP219" s="1"/>
      <c r="HQQ219" s="1"/>
      <c r="HQR219" s="1"/>
      <c r="HQS219" s="1"/>
      <c r="HQT219" s="1"/>
      <c r="HQU219" s="1"/>
      <c r="HQV219" s="1"/>
      <c r="HQW219" s="1"/>
      <c r="HQX219" s="1"/>
      <c r="HQY219" s="1"/>
      <c r="HQZ219" s="1"/>
      <c r="HRA219" s="1"/>
      <c r="HRB219" s="1"/>
      <c r="HRC219" s="1"/>
      <c r="HRD219" s="1"/>
      <c r="HRE219" s="1"/>
      <c r="HRF219" s="1"/>
      <c r="HRG219" s="1"/>
      <c r="HRH219" s="1"/>
      <c r="HRI219" s="1"/>
      <c r="HRJ219" s="1"/>
      <c r="HRK219" s="1"/>
      <c r="HRL219" s="1"/>
      <c r="HRM219" s="1"/>
      <c r="HRN219" s="1"/>
      <c r="HRO219" s="1"/>
      <c r="HRP219" s="1"/>
      <c r="HRQ219" s="1"/>
      <c r="HRR219" s="1"/>
      <c r="HRS219" s="1"/>
      <c r="HRT219" s="1"/>
      <c r="HRU219" s="1"/>
      <c r="HRV219" s="1"/>
      <c r="HRW219" s="1"/>
      <c r="HRX219" s="1"/>
      <c r="HRY219" s="1"/>
      <c r="HRZ219" s="1"/>
      <c r="HSA219" s="1"/>
      <c r="HSB219" s="1"/>
      <c r="HSC219" s="1"/>
      <c r="HSD219" s="1"/>
      <c r="HSE219" s="1"/>
      <c r="HSF219" s="1"/>
      <c r="HSG219" s="1"/>
      <c r="HSH219" s="1"/>
      <c r="HSI219" s="1"/>
      <c r="HSJ219" s="1"/>
      <c r="HSK219" s="1"/>
      <c r="HSL219" s="1"/>
      <c r="HSM219" s="1"/>
      <c r="HSN219" s="1"/>
      <c r="HSO219" s="1"/>
      <c r="HSP219" s="1"/>
      <c r="HSQ219" s="1"/>
      <c r="HSR219" s="1"/>
      <c r="HSS219" s="1"/>
      <c r="HST219" s="1"/>
      <c r="HSU219" s="1"/>
      <c r="HSV219" s="1"/>
      <c r="HSW219" s="1"/>
      <c r="HSX219" s="1"/>
      <c r="HSY219" s="1"/>
      <c r="HSZ219" s="1"/>
      <c r="HTA219" s="1"/>
      <c r="HTB219" s="1"/>
      <c r="HTC219" s="1"/>
      <c r="HTD219" s="1"/>
      <c r="HTE219" s="1"/>
      <c r="HTF219" s="1"/>
      <c r="HTG219" s="1"/>
      <c r="HTH219" s="1"/>
      <c r="HTI219" s="1"/>
      <c r="HTJ219" s="1"/>
      <c r="HTK219" s="1"/>
      <c r="HTL219" s="1"/>
      <c r="HTM219" s="1"/>
      <c r="HTN219" s="1"/>
      <c r="HTO219" s="1"/>
      <c r="HTP219" s="1"/>
      <c r="HTQ219" s="1"/>
      <c r="HTR219" s="1"/>
      <c r="HTS219" s="1"/>
      <c r="HTT219" s="1"/>
      <c r="HTU219" s="1"/>
      <c r="HTV219" s="1"/>
      <c r="HTW219" s="1"/>
      <c r="HTX219" s="1"/>
      <c r="HTY219" s="1"/>
      <c r="HTZ219" s="1"/>
      <c r="HUA219" s="1"/>
      <c r="HUB219" s="1"/>
      <c r="HUC219" s="1"/>
      <c r="HUD219" s="1"/>
      <c r="HUE219" s="1"/>
      <c r="HUF219" s="1"/>
      <c r="HUG219" s="1"/>
      <c r="HUH219" s="1"/>
      <c r="HUI219" s="1"/>
      <c r="HUJ219" s="1"/>
      <c r="HUK219" s="1"/>
      <c r="HUL219" s="1"/>
      <c r="HUM219" s="1"/>
      <c r="HUN219" s="1"/>
      <c r="HUO219" s="1"/>
      <c r="HUP219" s="1"/>
      <c r="HUQ219" s="1"/>
      <c r="HUR219" s="1"/>
      <c r="HUS219" s="1"/>
      <c r="HUT219" s="1"/>
      <c r="HUU219" s="1"/>
      <c r="HUV219" s="1"/>
      <c r="HUW219" s="1"/>
      <c r="HUX219" s="1"/>
      <c r="HUY219" s="1"/>
      <c r="HUZ219" s="1"/>
      <c r="HVA219" s="1"/>
      <c r="HVB219" s="1"/>
      <c r="HVC219" s="1"/>
      <c r="HVD219" s="1"/>
      <c r="HVE219" s="1"/>
      <c r="HVF219" s="1"/>
      <c r="HVG219" s="1"/>
      <c r="HVH219" s="1"/>
      <c r="HVI219" s="1"/>
      <c r="HVJ219" s="1"/>
      <c r="HVK219" s="1"/>
      <c r="HVL219" s="1"/>
      <c r="HVM219" s="1"/>
      <c r="HVN219" s="1"/>
      <c r="HVO219" s="1"/>
      <c r="HVP219" s="1"/>
      <c r="HVQ219" s="1"/>
      <c r="HVR219" s="1"/>
      <c r="HVS219" s="1"/>
      <c r="HVT219" s="1"/>
      <c r="HVU219" s="1"/>
      <c r="HVV219" s="1"/>
      <c r="HVW219" s="1"/>
      <c r="HVX219" s="1"/>
      <c r="HVY219" s="1"/>
      <c r="HVZ219" s="1"/>
      <c r="HWA219" s="1"/>
      <c r="HWB219" s="1"/>
      <c r="HWC219" s="1"/>
      <c r="HWD219" s="1"/>
      <c r="HWE219" s="1"/>
      <c r="HWF219" s="1"/>
      <c r="HWG219" s="1"/>
      <c r="HWH219" s="1"/>
      <c r="HWI219" s="1"/>
      <c r="HWJ219" s="1"/>
      <c r="HWK219" s="1"/>
      <c r="HWL219" s="1"/>
      <c r="HWM219" s="1"/>
      <c r="HWN219" s="1"/>
      <c r="HWO219" s="1"/>
      <c r="HWP219" s="1"/>
      <c r="HWQ219" s="1"/>
      <c r="HWR219" s="1"/>
      <c r="HWS219" s="1"/>
      <c r="HWT219" s="1"/>
      <c r="HWU219" s="1"/>
      <c r="HWV219" s="1"/>
      <c r="HWW219" s="1"/>
      <c r="HWX219" s="1"/>
      <c r="HWY219" s="1"/>
      <c r="HWZ219" s="1"/>
      <c r="HXA219" s="1"/>
      <c r="HXB219" s="1"/>
      <c r="HXC219" s="1"/>
      <c r="HXD219" s="1"/>
      <c r="HXE219" s="1"/>
      <c r="HXF219" s="1"/>
      <c r="HXG219" s="1"/>
      <c r="HXH219" s="1"/>
      <c r="HXI219" s="1"/>
      <c r="HXJ219" s="1"/>
      <c r="HXK219" s="1"/>
      <c r="HXL219" s="1"/>
      <c r="HXM219" s="1"/>
      <c r="HXN219" s="1"/>
      <c r="HXO219" s="1"/>
      <c r="HXP219" s="1"/>
      <c r="HXQ219" s="1"/>
      <c r="HXR219" s="1"/>
      <c r="HXS219" s="1"/>
      <c r="HXT219" s="1"/>
      <c r="HXU219" s="1"/>
      <c r="HXV219" s="1"/>
      <c r="HXW219" s="1"/>
      <c r="HXX219" s="1"/>
      <c r="HXY219" s="1"/>
      <c r="HXZ219" s="1"/>
      <c r="HYA219" s="1"/>
      <c r="HYB219" s="1"/>
      <c r="HYC219" s="1"/>
      <c r="HYD219" s="1"/>
      <c r="HYE219" s="1"/>
      <c r="HYF219" s="1"/>
      <c r="HYG219" s="1"/>
      <c r="HYH219" s="1"/>
      <c r="HYI219" s="1"/>
      <c r="HYJ219" s="1"/>
      <c r="HYK219" s="1"/>
      <c r="HYL219" s="1"/>
      <c r="HYM219" s="1"/>
      <c r="HYN219" s="1"/>
      <c r="HYO219" s="1"/>
      <c r="HYP219" s="1"/>
      <c r="HYQ219" s="1"/>
      <c r="HYR219" s="1"/>
      <c r="HYS219" s="1"/>
      <c r="HYT219" s="1"/>
      <c r="HYU219" s="1"/>
      <c r="HYV219" s="1"/>
      <c r="HYW219" s="1"/>
      <c r="HYX219" s="1"/>
      <c r="HYY219" s="1"/>
      <c r="HYZ219" s="1"/>
      <c r="HZA219" s="1"/>
      <c r="HZB219" s="1"/>
      <c r="HZC219" s="1"/>
      <c r="HZD219" s="1"/>
      <c r="HZE219" s="1"/>
      <c r="HZF219" s="1"/>
      <c r="HZG219" s="1"/>
      <c r="HZH219" s="1"/>
      <c r="HZI219" s="1"/>
      <c r="HZJ219" s="1"/>
      <c r="HZK219" s="1"/>
      <c r="HZL219" s="1"/>
      <c r="HZM219" s="1"/>
      <c r="HZN219" s="1"/>
      <c r="HZO219" s="1"/>
      <c r="HZP219" s="1"/>
      <c r="HZQ219" s="1"/>
      <c r="HZR219" s="1"/>
      <c r="HZS219" s="1"/>
      <c r="HZT219" s="1"/>
      <c r="HZU219" s="1"/>
      <c r="HZV219" s="1"/>
      <c r="HZW219" s="1"/>
      <c r="HZX219" s="1"/>
      <c r="HZY219" s="1"/>
      <c r="HZZ219" s="1"/>
      <c r="IAA219" s="1"/>
      <c r="IAB219" s="1"/>
      <c r="IAC219" s="1"/>
      <c r="IAD219" s="1"/>
      <c r="IAE219" s="1"/>
      <c r="IAF219" s="1"/>
      <c r="IAG219" s="1"/>
      <c r="IAH219" s="1"/>
      <c r="IAI219" s="1"/>
      <c r="IAJ219" s="1"/>
      <c r="IAK219" s="1"/>
      <c r="IAL219" s="1"/>
      <c r="IAM219" s="1"/>
      <c r="IAN219" s="1"/>
      <c r="IAO219" s="1"/>
      <c r="IAP219" s="1"/>
      <c r="IAQ219" s="1"/>
      <c r="IAR219" s="1"/>
      <c r="IAS219" s="1"/>
      <c r="IAT219" s="1"/>
      <c r="IAU219" s="1"/>
      <c r="IAV219" s="1"/>
      <c r="IAW219" s="1"/>
      <c r="IAX219" s="1"/>
      <c r="IAY219" s="1"/>
      <c r="IAZ219" s="1"/>
      <c r="IBA219" s="1"/>
      <c r="IBB219" s="1"/>
      <c r="IBC219" s="1"/>
      <c r="IBD219" s="1"/>
      <c r="IBE219" s="1"/>
      <c r="IBF219" s="1"/>
      <c r="IBG219" s="1"/>
      <c r="IBH219" s="1"/>
      <c r="IBI219" s="1"/>
      <c r="IBJ219" s="1"/>
      <c r="IBK219" s="1"/>
      <c r="IBL219" s="1"/>
      <c r="IBM219" s="1"/>
      <c r="IBN219" s="1"/>
      <c r="IBO219" s="1"/>
      <c r="IBP219" s="1"/>
      <c r="IBQ219" s="1"/>
      <c r="IBR219" s="1"/>
      <c r="IBS219" s="1"/>
      <c r="IBT219" s="1"/>
      <c r="IBU219" s="1"/>
      <c r="IBV219" s="1"/>
      <c r="IBW219" s="1"/>
      <c r="IBX219" s="1"/>
      <c r="IBY219" s="1"/>
      <c r="IBZ219" s="1"/>
      <c r="ICA219" s="1"/>
      <c r="ICB219" s="1"/>
      <c r="ICC219" s="1"/>
      <c r="ICD219" s="1"/>
      <c r="ICE219" s="1"/>
      <c r="ICF219" s="1"/>
      <c r="ICG219" s="1"/>
      <c r="ICH219" s="1"/>
      <c r="ICI219" s="1"/>
      <c r="ICJ219" s="1"/>
      <c r="ICK219" s="1"/>
      <c r="ICL219" s="1"/>
      <c r="ICM219" s="1"/>
      <c r="ICN219" s="1"/>
      <c r="ICO219" s="1"/>
      <c r="ICP219" s="1"/>
      <c r="ICQ219" s="1"/>
      <c r="ICR219" s="1"/>
      <c r="ICS219" s="1"/>
      <c r="ICT219" s="1"/>
      <c r="ICU219" s="1"/>
      <c r="ICV219" s="1"/>
      <c r="ICW219" s="1"/>
      <c r="ICX219" s="1"/>
      <c r="ICY219" s="1"/>
      <c r="ICZ219" s="1"/>
      <c r="IDA219" s="1"/>
      <c r="IDB219" s="1"/>
      <c r="IDC219" s="1"/>
      <c r="IDD219" s="1"/>
      <c r="IDE219" s="1"/>
      <c r="IDF219" s="1"/>
      <c r="IDG219" s="1"/>
      <c r="IDH219" s="1"/>
      <c r="IDI219" s="1"/>
      <c r="IDJ219" s="1"/>
      <c r="IDK219" s="1"/>
      <c r="IDL219" s="1"/>
      <c r="IDM219" s="1"/>
      <c r="IDN219" s="1"/>
      <c r="IDO219" s="1"/>
      <c r="IDP219" s="1"/>
      <c r="IDQ219" s="1"/>
      <c r="IDR219" s="1"/>
      <c r="IDS219" s="1"/>
      <c r="IDT219" s="1"/>
      <c r="IDU219" s="1"/>
      <c r="IDV219" s="1"/>
      <c r="IDW219" s="1"/>
      <c r="IDX219" s="1"/>
      <c r="IDY219" s="1"/>
      <c r="IDZ219" s="1"/>
      <c r="IEA219" s="1"/>
      <c r="IEB219" s="1"/>
      <c r="IEC219" s="1"/>
      <c r="IED219" s="1"/>
      <c r="IEE219" s="1"/>
      <c r="IEF219" s="1"/>
      <c r="IEG219" s="1"/>
      <c r="IEH219" s="1"/>
      <c r="IEI219" s="1"/>
      <c r="IEJ219" s="1"/>
      <c r="IEK219" s="1"/>
      <c r="IEL219" s="1"/>
      <c r="IEM219" s="1"/>
      <c r="IEN219" s="1"/>
      <c r="IEO219" s="1"/>
      <c r="IEP219" s="1"/>
      <c r="IEQ219" s="1"/>
      <c r="IER219" s="1"/>
      <c r="IES219" s="1"/>
      <c r="IET219" s="1"/>
      <c r="IEU219" s="1"/>
      <c r="IEV219" s="1"/>
      <c r="IEW219" s="1"/>
      <c r="IEX219" s="1"/>
      <c r="IEY219" s="1"/>
      <c r="IEZ219" s="1"/>
      <c r="IFA219" s="1"/>
      <c r="IFB219" s="1"/>
      <c r="IFC219" s="1"/>
      <c r="IFD219" s="1"/>
      <c r="IFE219" s="1"/>
      <c r="IFF219" s="1"/>
      <c r="IFG219" s="1"/>
      <c r="IFH219" s="1"/>
      <c r="IFI219" s="1"/>
      <c r="IFJ219" s="1"/>
      <c r="IFK219" s="1"/>
      <c r="IFL219" s="1"/>
      <c r="IFM219" s="1"/>
      <c r="IFN219" s="1"/>
      <c r="IFO219" s="1"/>
      <c r="IFP219" s="1"/>
      <c r="IFQ219" s="1"/>
      <c r="IFR219" s="1"/>
      <c r="IFS219" s="1"/>
      <c r="IFT219" s="1"/>
      <c r="IFU219" s="1"/>
      <c r="IFV219" s="1"/>
      <c r="IFW219" s="1"/>
      <c r="IFX219" s="1"/>
      <c r="IFY219" s="1"/>
      <c r="IFZ219" s="1"/>
      <c r="IGA219" s="1"/>
      <c r="IGB219" s="1"/>
      <c r="IGC219" s="1"/>
      <c r="IGD219" s="1"/>
      <c r="IGE219" s="1"/>
      <c r="IGF219" s="1"/>
      <c r="IGG219" s="1"/>
      <c r="IGH219" s="1"/>
      <c r="IGI219" s="1"/>
      <c r="IGJ219" s="1"/>
      <c r="IGK219" s="1"/>
      <c r="IGL219" s="1"/>
      <c r="IGM219" s="1"/>
      <c r="IGN219" s="1"/>
      <c r="IGO219" s="1"/>
      <c r="IGP219" s="1"/>
      <c r="IGQ219" s="1"/>
      <c r="IGR219" s="1"/>
      <c r="IGS219" s="1"/>
      <c r="IGT219" s="1"/>
      <c r="IGU219" s="1"/>
      <c r="IGV219" s="1"/>
      <c r="IGW219" s="1"/>
      <c r="IGX219" s="1"/>
      <c r="IGY219" s="1"/>
      <c r="IGZ219" s="1"/>
      <c r="IHA219" s="1"/>
      <c r="IHB219" s="1"/>
      <c r="IHC219" s="1"/>
      <c r="IHD219" s="1"/>
      <c r="IHE219" s="1"/>
      <c r="IHF219" s="1"/>
      <c r="IHG219" s="1"/>
      <c r="IHH219" s="1"/>
      <c r="IHI219" s="1"/>
      <c r="IHJ219" s="1"/>
      <c r="IHK219" s="1"/>
      <c r="IHL219" s="1"/>
      <c r="IHM219" s="1"/>
      <c r="IHN219" s="1"/>
      <c r="IHO219" s="1"/>
      <c r="IHP219" s="1"/>
      <c r="IHQ219" s="1"/>
      <c r="IHR219" s="1"/>
      <c r="IHS219" s="1"/>
      <c r="IHT219" s="1"/>
      <c r="IHU219" s="1"/>
      <c r="IHV219" s="1"/>
      <c r="IHW219" s="1"/>
      <c r="IHX219" s="1"/>
      <c r="IHY219" s="1"/>
      <c r="IHZ219" s="1"/>
      <c r="IIA219" s="1"/>
      <c r="IIB219" s="1"/>
      <c r="IIC219" s="1"/>
      <c r="IID219" s="1"/>
      <c r="IIE219" s="1"/>
      <c r="IIF219" s="1"/>
      <c r="IIG219" s="1"/>
      <c r="IIH219" s="1"/>
      <c r="III219" s="1"/>
      <c r="IIJ219" s="1"/>
      <c r="IIK219" s="1"/>
      <c r="IIL219" s="1"/>
      <c r="IIM219" s="1"/>
      <c r="IIN219" s="1"/>
      <c r="IIO219" s="1"/>
      <c r="IIP219" s="1"/>
      <c r="IIQ219" s="1"/>
      <c r="IIR219" s="1"/>
      <c r="IIS219" s="1"/>
      <c r="IIT219" s="1"/>
      <c r="IIU219" s="1"/>
      <c r="IIV219" s="1"/>
      <c r="IIW219" s="1"/>
      <c r="IIX219" s="1"/>
      <c r="IIY219" s="1"/>
      <c r="IIZ219" s="1"/>
      <c r="IJA219" s="1"/>
      <c r="IJB219" s="1"/>
      <c r="IJC219" s="1"/>
      <c r="IJD219" s="1"/>
      <c r="IJE219" s="1"/>
      <c r="IJF219" s="1"/>
      <c r="IJG219" s="1"/>
      <c r="IJH219" s="1"/>
      <c r="IJI219" s="1"/>
      <c r="IJJ219" s="1"/>
      <c r="IJK219" s="1"/>
      <c r="IJL219" s="1"/>
      <c r="IJM219" s="1"/>
      <c r="IJN219" s="1"/>
      <c r="IJO219" s="1"/>
      <c r="IJP219" s="1"/>
      <c r="IJQ219" s="1"/>
      <c r="IJR219" s="1"/>
      <c r="IJS219" s="1"/>
      <c r="IJT219" s="1"/>
      <c r="IJU219" s="1"/>
      <c r="IJV219" s="1"/>
      <c r="IJW219" s="1"/>
      <c r="IJX219" s="1"/>
      <c r="IJY219" s="1"/>
      <c r="IJZ219" s="1"/>
      <c r="IKA219" s="1"/>
      <c r="IKB219" s="1"/>
      <c r="IKC219" s="1"/>
      <c r="IKD219" s="1"/>
      <c r="IKE219" s="1"/>
      <c r="IKF219" s="1"/>
      <c r="IKG219" s="1"/>
      <c r="IKH219" s="1"/>
      <c r="IKI219" s="1"/>
      <c r="IKJ219" s="1"/>
      <c r="IKK219" s="1"/>
      <c r="IKL219" s="1"/>
      <c r="IKM219" s="1"/>
      <c r="IKN219" s="1"/>
      <c r="IKO219" s="1"/>
      <c r="IKP219" s="1"/>
      <c r="IKQ219" s="1"/>
      <c r="IKR219" s="1"/>
      <c r="IKS219" s="1"/>
      <c r="IKT219" s="1"/>
      <c r="IKU219" s="1"/>
      <c r="IKV219" s="1"/>
      <c r="IKW219" s="1"/>
      <c r="IKX219" s="1"/>
      <c r="IKY219" s="1"/>
      <c r="IKZ219" s="1"/>
      <c r="ILA219" s="1"/>
      <c r="ILB219" s="1"/>
      <c r="ILC219" s="1"/>
      <c r="ILD219" s="1"/>
      <c r="ILE219" s="1"/>
      <c r="ILF219" s="1"/>
      <c r="ILG219" s="1"/>
      <c r="ILH219" s="1"/>
      <c r="ILI219" s="1"/>
      <c r="ILJ219" s="1"/>
      <c r="ILK219" s="1"/>
      <c r="ILL219" s="1"/>
      <c r="ILM219" s="1"/>
      <c r="ILN219" s="1"/>
      <c r="ILO219" s="1"/>
      <c r="ILP219" s="1"/>
      <c r="ILQ219" s="1"/>
      <c r="ILR219" s="1"/>
      <c r="ILS219" s="1"/>
      <c r="ILT219" s="1"/>
      <c r="ILU219" s="1"/>
      <c r="ILV219" s="1"/>
      <c r="ILW219" s="1"/>
      <c r="ILX219" s="1"/>
      <c r="ILY219" s="1"/>
      <c r="ILZ219" s="1"/>
      <c r="IMA219" s="1"/>
      <c r="IMB219" s="1"/>
      <c r="IMC219" s="1"/>
      <c r="IMD219" s="1"/>
      <c r="IME219" s="1"/>
      <c r="IMF219" s="1"/>
      <c r="IMG219" s="1"/>
      <c r="IMH219" s="1"/>
      <c r="IMI219" s="1"/>
      <c r="IMJ219" s="1"/>
      <c r="IMK219" s="1"/>
      <c r="IML219" s="1"/>
      <c r="IMM219" s="1"/>
      <c r="IMN219" s="1"/>
      <c r="IMO219" s="1"/>
      <c r="IMP219" s="1"/>
      <c r="IMQ219" s="1"/>
      <c r="IMR219" s="1"/>
      <c r="IMS219" s="1"/>
      <c r="IMT219" s="1"/>
      <c r="IMU219" s="1"/>
      <c r="IMV219" s="1"/>
      <c r="IMW219" s="1"/>
      <c r="IMX219" s="1"/>
      <c r="IMY219" s="1"/>
      <c r="IMZ219" s="1"/>
      <c r="INA219" s="1"/>
      <c r="INB219" s="1"/>
      <c r="INC219" s="1"/>
      <c r="IND219" s="1"/>
      <c r="INE219" s="1"/>
      <c r="INF219" s="1"/>
      <c r="ING219" s="1"/>
      <c r="INH219" s="1"/>
      <c r="INI219" s="1"/>
      <c r="INJ219" s="1"/>
      <c r="INK219" s="1"/>
      <c r="INL219" s="1"/>
      <c r="INM219" s="1"/>
      <c r="INN219" s="1"/>
      <c r="INO219" s="1"/>
      <c r="INP219" s="1"/>
      <c r="INQ219" s="1"/>
      <c r="INR219" s="1"/>
      <c r="INS219" s="1"/>
      <c r="INT219" s="1"/>
      <c r="INU219" s="1"/>
      <c r="INV219" s="1"/>
      <c r="INW219" s="1"/>
      <c r="INX219" s="1"/>
      <c r="INY219" s="1"/>
      <c r="INZ219" s="1"/>
      <c r="IOA219" s="1"/>
      <c r="IOB219" s="1"/>
      <c r="IOC219" s="1"/>
      <c r="IOD219" s="1"/>
      <c r="IOE219" s="1"/>
      <c r="IOF219" s="1"/>
      <c r="IOG219" s="1"/>
      <c r="IOH219" s="1"/>
      <c r="IOI219" s="1"/>
      <c r="IOJ219" s="1"/>
      <c r="IOK219" s="1"/>
      <c r="IOL219" s="1"/>
      <c r="IOM219" s="1"/>
      <c r="ION219" s="1"/>
      <c r="IOO219" s="1"/>
      <c r="IOP219" s="1"/>
      <c r="IOQ219" s="1"/>
      <c r="IOR219" s="1"/>
      <c r="IOS219" s="1"/>
      <c r="IOT219" s="1"/>
      <c r="IOU219" s="1"/>
      <c r="IOV219" s="1"/>
      <c r="IOW219" s="1"/>
      <c r="IOX219" s="1"/>
      <c r="IOY219" s="1"/>
      <c r="IOZ219" s="1"/>
      <c r="IPA219" s="1"/>
      <c r="IPB219" s="1"/>
      <c r="IPC219" s="1"/>
      <c r="IPD219" s="1"/>
      <c r="IPE219" s="1"/>
      <c r="IPF219" s="1"/>
      <c r="IPG219" s="1"/>
      <c r="IPH219" s="1"/>
      <c r="IPI219" s="1"/>
      <c r="IPJ219" s="1"/>
      <c r="IPK219" s="1"/>
      <c r="IPL219" s="1"/>
      <c r="IPM219" s="1"/>
      <c r="IPN219" s="1"/>
      <c r="IPO219" s="1"/>
      <c r="IPP219" s="1"/>
      <c r="IPQ219" s="1"/>
      <c r="IPR219" s="1"/>
      <c r="IPS219" s="1"/>
      <c r="IPT219" s="1"/>
      <c r="IPU219" s="1"/>
      <c r="IPV219" s="1"/>
      <c r="IPW219" s="1"/>
      <c r="IPX219" s="1"/>
      <c r="IPY219" s="1"/>
      <c r="IPZ219" s="1"/>
      <c r="IQA219" s="1"/>
      <c r="IQB219" s="1"/>
      <c r="IQC219" s="1"/>
      <c r="IQD219" s="1"/>
      <c r="IQE219" s="1"/>
      <c r="IQF219" s="1"/>
      <c r="IQG219" s="1"/>
      <c r="IQH219" s="1"/>
      <c r="IQI219" s="1"/>
      <c r="IQJ219" s="1"/>
      <c r="IQK219" s="1"/>
      <c r="IQL219" s="1"/>
      <c r="IQM219" s="1"/>
      <c r="IQN219" s="1"/>
      <c r="IQO219" s="1"/>
      <c r="IQP219" s="1"/>
      <c r="IQQ219" s="1"/>
      <c r="IQR219" s="1"/>
      <c r="IQS219" s="1"/>
      <c r="IQT219" s="1"/>
      <c r="IQU219" s="1"/>
      <c r="IQV219" s="1"/>
      <c r="IQW219" s="1"/>
      <c r="IQX219" s="1"/>
      <c r="IQY219" s="1"/>
      <c r="IQZ219" s="1"/>
      <c r="IRA219" s="1"/>
      <c r="IRB219" s="1"/>
      <c r="IRC219" s="1"/>
      <c r="IRD219" s="1"/>
      <c r="IRE219" s="1"/>
      <c r="IRF219" s="1"/>
      <c r="IRG219" s="1"/>
      <c r="IRH219" s="1"/>
      <c r="IRI219" s="1"/>
      <c r="IRJ219" s="1"/>
      <c r="IRK219" s="1"/>
      <c r="IRL219" s="1"/>
      <c r="IRM219" s="1"/>
      <c r="IRN219" s="1"/>
      <c r="IRO219" s="1"/>
      <c r="IRP219" s="1"/>
      <c r="IRQ219" s="1"/>
      <c r="IRR219" s="1"/>
      <c r="IRS219" s="1"/>
      <c r="IRT219" s="1"/>
      <c r="IRU219" s="1"/>
      <c r="IRV219" s="1"/>
      <c r="IRW219" s="1"/>
      <c r="IRX219" s="1"/>
      <c r="IRY219" s="1"/>
      <c r="IRZ219" s="1"/>
      <c r="ISA219" s="1"/>
      <c r="ISB219" s="1"/>
      <c r="ISC219" s="1"/>
      <c r="ISD219" s="1"/>
      <c r="ISE219" s="1"/>
      <c r="ISF219" s="1"/>
      <c r="ISG219" s="1"/>
      <c r="ISH219" s="1"/>
      <c r="ISI219" s="1"/>
      <c r="ISJ219" s="1"/>
      <c r="ISK219" s="1"/>
      <c r="ISL219" s="1"/>
      <c r="ISM219" s="1"/>
      <c r="ISN219" s="1"/>
      <c r="ISO219" s="1"/>
      <c r="ISP219" s="1"/>
      <c r="ISQ219" s="1"/>
      <c r="ISR219" s="1"/>
      <c r="ISS219" s="1"/>
      <c r="IST219" s="1"/>
      <c r="ISU219" s="1"/>
      <c r="ISV219" s="1"/>
      <c r="ISW219" s="1"/>
      <c r="ISX219" s="1"/>
      <c r="ISY219" s="1"/>
      <c r="ISZ219" s="1"/>
      <c r="ITA219" s="1"/>
      <c r="ITB219" s="1"/>
      <c r="ITC219" s="1"/>
      <c r="ITD219" s="1"/>
      <c r="ITE219" s="1"/>
      <c r="ITF219" s="1"/>
      <c r="ITG219" s="1"/>
      <c r="ITH219" s="1"/>
      <c r="ITI219" s="1"/>
      <c r="ITJ219" s="1"/>
      <c r="ITK219" s="1"/>
      <c r="ITL219" s="1"/>
      <c r="ITM219" s="1"/>
      <c r="ITN219" s="1"/>
      <c r="ITO219" s="1"/>
      <c r="ITP219" s="1"/>
      <c r="ITQ219" s="1"/>
      <c r="ITR219" s="1"/>
      <c r="ITS219" s="1"/>
      <c r="ITT219" s="1"/>
      <c r="ITU219" s="1"/>
      <c r="ITV219" s="1"/>
      <c r="ITW219" s="1"/>
      <c r="ITX219" s="1"/>
      <c r="ITY219" s="1"/>
      <c r="ITZ219" s="1"/>
      <c r="IUA219" s="1"/>
      <c r="IUB219" s="1"/>
      <c r="IUC219" s="1"/>
      <c r="IUD219" s="1"/>
      <c r="IUE219" s="1"/>
      <c r="IUF219" s="1"/>
      <c r="IUG219" s="1"/>
      <c r="IUH219" s="1"/>
      <c r="IUI219" s="1"/>
      <c r="IUJ219" s="1"/>
      <c r="IUK219" s="1"/>
      <c r="IUL219" s="1"/>
      <c r="IUM219" s="1"/>
      <c r="IUN219" s="1"/>
      <c r="IUO219" s="1"/>
      <c r="IUP219" s="1"/>
      <c r="IUQ219" s="1"/>
      <c r="IUR219" s="1"/>
      <c r="IUS219" s="1"/>
      <c r="IUT219" s="1"/>
      <c r="IUU219" s="1"/>
      <c r="IUV219" s="1"/>
      <c r="IUW219" s="1"/>
      <c r="IUX219" s="1"/>
      <c r="IUY219" s="1"/>
      <c r="IUZ219" s="1"/>
      <c r="IVA219" s="1"/>
      <c r="IVB219" s="1"/>
      <c r="IVC219" s="1"/>
      <c r="IVD219" s="1"/>
      <c r="IVE219" s="1"/>
      <c r="IVF219" s="1"/>
      <c r="IVG219" s="1"/>
      <c r="IVH219" s="1"/>
      <c r="IVI219" s="1"/>
      <c r="IVJ219" s="1"/>
      <c r="IVK219" s="1"/>
      <c r="IVL219" s="1"/>
      <c r="IVM219" s="1"/>
      <c r="IVN219" s="1"/>
      <c r="IVO219" s="1"/>
      <c r="IVP219" s="1"/>
      <c r="IVQ219" s="1"/>
      <c r="IVR219" s="1"/>
      <c r="IVS219" s="1"/>
      <c r="IVT219" s="1"/>
      <c r="IVU219" s="1"/>
      <c r="IVV219" s="1"/>
      <c r="IVW219" s="1"/>
      <c r="IVX219" s="1"/>
      <c r="IVY219" s="1"/>
      <c r="IVZ219" s="1"/>
      <c r="IWA219" s="1"/>
      <c r="IWB219" s="1"/>
      <c r="IWC219" s="1"/>
      <c r="IWD219" s="1"/>
      <c r="IWE219" s="1"/>
      <c r="IWF219" s="1"/>
      <c r="IWG219" s="1"/>
      <c r="IWH219" s="1"/>
      <c r="IWI219" s="1"/>
      <c r="IWJ219" s="1"/>
      <c r="IWK219" s="1"/>
      <c r="IWL219" s="1"/>
      <c r="IWM219" s="1"/>
      <c r="IWN219" s="1"/>
      <c r="IWO219" s="1"/>
      <c r="IWP219" s="1"/>
      <c r="IWQ219" s="1"/>
      <c r="IWR219" s="1"/>
      <c r="IWS219" s="1"/>
      <c r="IWT219" s="1"/>
      <c r="IWU219" s="1"/>
      <c r="IWV219" s="1"/>
      <c r="IWW219" s="1"/>
      <c r="IWX219" s="1"/>
      <c r="IWY219" s="1"/>
      <c r="IWZ219" s="1"/>
      <c r="IXA219" s="1"/>
      <c r="IXB219" s="1"/>
      <c r="IXC219" s="1"/>
      <c r="IXD219" s="1"/>
      <c r="IXE219" s="1"/>
      <c r="IXF219" s="1"/>
      <c r="IXG219" s="1"/>
      <c r="IXH219" s="1"/>
      <c r="IXI219" s="1"/>
      <c r="IXJ219" s="1"/>
      <c r="IXK219" s="1"/>
      <c r="IXL219" s="1"/>
      <c r="IXM219" s="1"/>
      <c r="IXN219" s="1"/>
      <c r="IXO219" s="1"/>
      <c r="IXP219" s="1"/>
      <c r="IXQ219" s="1"/>
      <c r="IXR219" s="1"/>
      <c r="IXS219" s="1"/>
      <c r="IXT219" s="1"/>
      <c r="IXU219" s="1"/>
      <c r="IXV219" s="1"/>
      <c r="IXW219" s="1"/>
      <c r="IXX219" s="1"/>
      <c r="IXY219" s="1"/>
      <c r="IXZ219" s="1"/>
      <c r="IYA219" s="1"/>
      <c r="IYB219" s="1"/>
      <c r="IYC219" s="1"/>
      <c r="IYD219" s="1"/>
      <c r="IYE219" s="1"/>
      <c r="IYF219" s="1"/>
      <c r="IYG219" s="1"/>
      <c r="IYH219" s="1"/>
      <c r="IYI219" s="1"/>
      <c r="IYJ219" s="1"/>
      <c r="IYK219" s="1"/>
      <c r="IYL219" s="1"/>
      <c r="IYM219" s="1"/>
      <c r="IYN219" s="1"/>
      <c r="IYO219" s="1"/>
      <c r="IYP219" s="1"/>
      <c r="IYQ219" s="1"/>
      <c r="IYR219" s="1"/>
      <c r="IYS219" s="1"/>
      <c r="IYT219" s="1"/>
      <c r="IYU219" s="1"/>
      <c r="IYV219" s="1"/>
      <c r="IYW219" s="1"/>
      <c r="IYX219" s="1"/>
      <c r="IYY219" s="1"/>
      <c r="IYZ219" s="1"/>
      <c r="IZA219" s="1"/>
      <c r="IZB219" s="1"/>
      <c r="IZC219" s="1"/>
      <c r="IZD219" s="1"/>
      <c r="IZE219" s="1"/>
      <c r="IZF219" s="1"/>
      <c r="IZG219" s="1"/>
      <c r="IZH219" s="1"/>
      <c r="IZI219" s="1"/>
      <c r="IZJ219" s="1"/>
      <c r="IZK219" s="1"/>
      <c r="IZL219" s="1"/>
      <c r="IZM219" s="1"/>
      <c r="IZN219" s="1"/>
      <c r="IZO219" s="1"/>
      <c r="IZP219" s="1"/>
      <c r="IZQ219" s="1"/>
      <c r="IZR219" s="1"/>
      <c r="IZS219" s="1"/>
      <c r="IZT219" s="1"/>
      <c r="IZU219" s="1"/>
      <c r="IZV219" s="1"/>
      <c r="IZW219" s="1"/>
      <c r="IZX219" s="1"/>
      <c r="IZY219" s="1"/>
      <c r="IZZ219" s="1"/>
      <c r="JAA219" s="1"/>
      <c r="JAB219" s="1"/>
      <c r="JAC219" s="1"/>
      <c r="JAD219" s="1"/>
      <c r="JAE219" s="1"/>
      <c r="JAF219" s="1"/>
      <c r="JAG219" s="1"/>
      <c r="JAH219" s="1"/>
      <c r="JAI219" s="1"/>
      <c r="JAJ219" s="1"/>
      <c r="JAK219" s="1"/>
      <c r="JAL219" s="1"/>
      <c r="JAM219" s="1"/>
      <c r="JAN219" s="1"/>
      <c r="JAO219" s="1"/>
      <c r="JAP219" s="1"/>
      <c r="JAQ219" s="1"/>
      <c r="JAR219" s="1"/>
      <c r="JAS219" s="1"/>
      <c r="JAT219" s="1"/>
      <c r="JAU219" s="1"/>
      <c r="JAV219" s="1"/>
      <c r="JAW219" s="1"/>
      <c r="JAX219" s="1"/>
      <c r="JAY219" s="1"/>
      <c r="JAZ219" s="1"/>
      <c r="JBA219" s="1"/>
      <c r="JBB219" s="1"/>
      <c r="JBC219" s="1"/>
      <c r="JBD219" s="1"/>
      <c r="JBE219" s="1"/>
      <c r="JBF219" s="1"/>
      <c r="JBG219" s="1"/>
      <c r="JBH219" s="1"/>
      <c r="JBI219" s="1"/>
      <c r="JBJ219" s="1"/>
      <c r="JBK219" s="1"/>
      <c r="JBL219" s="1"/>
      <c r="JBM219" s="1"/>
      <c r="JBN219" s="1"/>
      <c r="JBO219" s="1"/>
      <c r="JBP219" s="1"/>
      <c r="JBQ219" s="1"/>
      <c r="JBR219" s="1"/>
      <c r="JBS219" s="1"/>
      <c r="JBT219" s="1"/>
      <c r="JBU219" s="1"/>
      <c r="JBV219" s="1"/>
      <c r="JBW219" s="1"/>
      <c r="JBX219" s="1"/>
      <c r="JBY219" s="1"/>
      <c r="JBZ219" s="1"/>
      <c r="JCA219" s="1"/>
      <c r="JCB219" s="1"/>
      <c r="JCC219" s="1"/>
      <c r="JCD219" s="1"/>
      <c r="JCE219" s="1"/>
      <c r="JCF219" s="1"/>
      <c r="JCG219" s="1"/>
      <c r="JCH219" s="1"/>
      <c r="JCI219" s="1"/>
      <c r="JCJ219" s="1"/>
      <c r="JCK219" s="1"/>
      <c r="JCL219" s="1"/>
      <c r="JCM219" s="1"/>
      <c r="JCN219" s="1"/>
      <c r="JCO219" s="1"/>
      <c r="JCP219" s="1"/>
      <c r="JCQ219" s="1"/>
      <c r="JCR219" s="1"/>
      <c r="JCS219" s="1"/>
      <c r="JCT219" s="1"/>
      <c r="JCU219" s="1"/>
      <c r="JCV219" s="1"/>
      <c r="JCW219" s="1"/>
      <c r="JCX219" s="1"/>
      <c r="JCY219" s="1"/>
      <c r="JCZ219" s="1"/>
      <c r="JDA219" s="1"/>
      <c r="JDB219" s="1"/>
      <c r="JDC219" s="1"/>
      <c r="JDD219" s="1"/>
      <c r="JDE219" s="1"/>
      <c r="JDF219" s="1"/>
      <c r="JDG219" s="1"/>
      <c r="JDH219" s="1"/>
      <c r="JDI219" s="1"/>
      <c r="JDJ219" s="1"/>
      <c r="JDK219" s="1"/>
      <c r="JDL219" s="1"/>
      <c r="JDM219" s="1"/>
      <c r="JDN219" s="1"/>
      <c r="JDO219" s="1"/>
      <c r="JDP219" s="1"/>
      <c r="JDQ219" s="1"/>
      <c r="JDR219" s="1"/>
      <c r="JDS219" s="1"/>
      <c r="JDT219" s="1"/>
      <c r="JDU219" s="1"/>
      <c r="JDV219" s="1"/>
      <c r="JDW219" s="1"/>
      <c r="JDX219" s="1"/>
      <c r="JDY219" s="1"/>
      <c r="JDZ219" s="1"/>
      <c r="JEA219" s="1"/>
      <c r="JEB219" s="1"/>
      <c r="JEC219" s="1"/>
      <c r="JED219" s="1"/>
      <c r="JEE219" s="1"/>
      <c r="JEF219" s="1"/>
      <c r="JEG219" s="1"/>
      <c r="JEH219" s="1"/>
      <c r="JEI219" s="1"/>
      <c r="JEJ219" s="1"/>
      <c r="JEK219" s="1"/>
      <c r="JEL219" s="1"/>
      <c r="JEM219" s="1"/>
      <c r="JEN219" s="1"/>
      <c r="JEO219" s="1"/>
      <c r="JEP219" s="1"/>
      <c r="JEQ219" s="1"/>
      <c r="JER219" s="1"/>
      <c r="JES219" s="1"/>
      <c r="JET219" s="1"/>
      <c r="JEU219" s="1"/>
      <c r="JEV219" s="1"/>
      <c r="JEW219" s="1"/>
      <c r="JEX219" s="1"/>
      <c r="JEY219" s="1"/>
      <c r="JEZ219" s="1"/>
      <c r="JFA219" s="1"/>
      <c r="JFB219" s="1"/>
      <c r="JFC219" s="1"/>
      <c r="JFD219" s="1"/>
      <c r="JFE219" s="1"/>
      <c r="JFF219" s="1"/>
      <c r="JFG219" s="1"/>
      <c r="JFH219" s="1"/>
      <c r="JFI219" s="1"/>
      <c r="JFJ219" s="1"/>
      <c r="JFK219" s="1"/>
      <c r="JFL219" s="1"/>
      <c r="JFM219" s="1"/>
      <c r="JFN219" s="1"/>
      <c r="JFO219" s="1"/>
      <c r="JFP219" s="1"/>
      <c r="JFQ219" s="1"/>
      <c r="JFR219" s="1"/>
      <c r="JFS219" s="1"/>
      <c r="JFT219" s="1"/>
      <c r="JFU219" s="1"/>
      <c r="JFV219" s="1"/>
      <c r="JFW219" s="1"/>
      <c r="JFX219" s="1"/>
      <c r="JFY219" s="1"/>
      <c r="JFZ219" s="1"/>
      <c r="JGA219" s="1"/>
      <c r="JGB219" s="1"/>
      <c r="JGC219" s="1"/>
      <c r="JGD219" s="1"/>
      <c r="JGE219" s="1"/>
      <c r="JGF219" s="1"/>
      <c r="JGG219" s="1"/>
      <c r="JGH219" s="1"/>
      <c r="JGI219" s="1"/>
      <c r="JGJ219" s="1"/>
      <c r="JGK219" s="1"/>
      <c r="JGL219" s="1"/>
      <c r="JGM219" s="1"/>
      <c r="JGN219" s="1"/>
      <c r="JGO219" s="1"/>
      <c r="JGP219" s="1"/>
      <c r="JGQ219" s="1"/>
      <c r="JGR219" s="1"/>
      <c r="JGS219" s="1"/>
      <c r="JGT219" s="1"/>
      <c r="JGU219" s="1"/>
      <c r="JGV219" s="1"/>
      <c r="JGW219" s="1"/>
      <c r="JGX219" s="1"/>
      <c r="JGY219" s="1"/>
      <c r="JGZ219" s="1"/>
      <c r="JHA219" s="1"/>
      <c r="JHB219" s="1"/>
      <c r="JHC219" s="1"/>
      <c r="JHD219" s="1"/>
      <c r="JHE219" s="1"/>
      <c r="JHF219" s="1"/>
      <c r="JHG219" s="1"/>
      <c r="JHH219" s="1"/>
      <c r="JHI219" s="1"/>
      <c r="JHJ219" s="1"/>
      <c r="JHK219" s="1"/>
      <c r="JHL219" s="1"/>
      <c r="JHM219" s="1"/>
      <c r="JHN219" s="1"/>
      <c r="JHO219" s="1"/>
      <c r="JHP219" s="1"/>
      <c r="JHQ219" s="1"/>
      <c r="JHR219" s="1"/>
      <c r="JHS219" s="1"/>
      <c r="JHT219" s="1"/>
      <c r="JHU219" s="1"/>
      <c r="JHV219" s="1"/>
      <c r="JHW219" s="1"/>
      <c r="JHX219" s="1"/>
      <c r="JHY219" s="1"/>
      <c r="JHZ219" s="1"/>
      <c r="JIA219" s="1"/>
      <c r="JIB219" s="1"/>
      <c r="JIC219" s="1"/>
      <c r="JID219" s="1"/>
      <c r="JIE219" s="1"/>
      <c r="JIF219" s="1"/>
      <c r="JIG219" s="1"/>
      <c r="JIH219" s="1"/>
      <c r="JII219" s="1"/>
      <c r="JIJ219" s="1"/>
      <c r="JIK219" s="1"/>
      <c r="JIL219" s="1"/>
      <c r="JIM219" s="1"/>
      <c r="JIN219" s="1"/>
      <c r="JIO219" s="1"/>
      <c r="JIP219" s="1"/>
      <c r="JIQ219" s="1"/>
      <c r="JIR219" s="1"/>
      <c r="JIS219" s="1"/>
      <c r="JIT219" s="1"/>
      <c r="JIU219" s="1"/>
      <c r="JIV219" s="1"/>
      <c r="JIW219" s="1"/>
      <c r="JIX219" s="1"/>
      <c r="JIY219" s="1"/>
      <c r="JIZ219" s="1"/>
      <c r="JJA219" s="1"/>
      <c r="JJB219" s="1"/>
      <c r="JJC219" s="1"/>
      <c r="JJD219" s="1"/>
      <c r="JJE219" s="1"/>
      <c r="JJF219" s="1"/>
      <c r="JJG219" s="1"/>
      <c r="JJH219" s="1"/>
      <c r="JJI219" s="1"/>
      <c r="JJJ219" s="1"/>
      <c r="JJK219" s="1"/>
      <c r="JJL219" s="1"/>
      <c r="JJM219" s="1"/>
      <c r="JJN219" s="1"/>
      <c r="JJO219" s="1"/>
      <c r="JJP219" s="1"/>
      <c r="JJQ219" s="1"/>
      <c r="JJR219" s="1"/>
      <c r="JJS219" s="1"/>
      <c r="JJT219" s="1"/>
      <c r="JJU219" s="1"/>
      <c r="JJV219" s="1"/>
      <c r="JJW219" s="1"/>
      <c r="JJX219" s="1"/>
      <c r="JJY219" s="1"/>
      <c r="JJZ219" s="1"/>
      <c r="JKA219" s="1"/>
      <c r="JKB219" s="1"/>
      <c r="JKC219" s="1"/>
      <c r="JKD219" s="1"/>
      <c r="JKE219" s="1"/>
      <c r="JKF219" s="1"/>
      <c r="JKG219" s="1"/>
      <c r="JKH219" s="1"/>
      <c r="JKI219" s="1"/>
      <c r="JKJ219" s="1"/>
      <c r="JKK219" s="1"/>
      <c r="JKL219" s="1"/>
      <c r="JKM219" s="1"/>
      <c r="JKN219" s="1"/>
      <c r="JKO219" s="1"/>
      <c r="JKP219" s="1"/>
      <c r="JKQ219" s="1"/>
      <c r="JKR219" s="1"/>
      <c r="JKS219" s="1"/>
      <c r="JKT219" s="1"/>
      <c r="JKU219" s="1"/>
      <c r="JKV219" s="1"/>
      <c r="JKW219" s="1"/>
      <c r="JKX219" s="1"/>
      <c r="JKY219" s="1"/>
      <c r="JKZ219" s="1"/>
      <c r="JLA219" s="1"/>
      <c r="JLB219" s="1"/>
      <c r="JLC219" s="1"/>
      <c r="JLD219" s="1"/>
      <c r="JLE219" s="1"/>
      <c r="JLF219" s="1"/>
      <c r="JLG219" s="1"/>
      <c r="JLH219" s="1"/>
      <c r="JLI219" s="1"/>
      <c r="JLJ219" s="1"/>
      <c r="JLK219" s="1"/>
      <c r="JLL219" s="1"/>
      <c r="JLM219" s="1"/>
      <c r="JLN219" s="1"/>
      <c r="JLO219" s="1"/>
      <c r="JLP219" s="1"/>
      <c r="JLQ219" s="1"/>
      <c r="JLR219" s="1"/>
      <c r="JLS219" s="1"/>
      <c r="JLT219" s="1"/>
      <c r="JLU219" s="1"/>
      <c r="JLV219" s="1"/>
      <c r="JLW219" s="1"/>
      <c r="JLX219" s="1"/>
      <c r="JLY219" s="1"/>
      <c r="JLZ219" s="1"/>
      <c r="JMA219" s="1"/>
      <c r="JMB219" s="1"/>
      <c r="JMC219" s="1"/>
      <c r="JMD219" s="1"/>
      <c r="JME219" s="1"/>
      <c r="JMF219" s="1"/>
      <c r="JMG219" s="1"/>
      <c r="JMH219" s="1"/>
      <c r="JMI219" s="1"/>
      <c r="JMJ219" s="1"/>
      <c r="JMK219" s="1"/>
      <c r="JML219" s="1"/>
      <c r="JMM219" s="1"/>
      <c r="JMN219" s="1"/>
      <c r="JMO219" s="1"/>
      <c r="JMP219" s="1"/>
      <c r="JMQ219" s="1"/>
      <c r="JMR219" s="1"/>
      <c r="JMS219" s="1"/>
      <c r="JMT219" s="1"/>
      <c r="JMU219" s="1"/>
      <c r="JMV219" s="1"/>
      <c r="JMW219" s="1"/>
      <c r="JMX219" s="1"/>
      <c r="JMY219" s="1"/>
      <c r="JMZ219" s="1"/>
      <c r="JNA219" s="1"/>
      <c r="JNB219" s="1"/>
      <c r="JNC219" s="1"/>
      <c r="JND219" s="1"/>
      <c r="JNE219" s="1"/>
      <c r="JNF219" s="1"/>
      <c r="JNG219" s="1"/>
      <c r="JNH219" s="1"/>
      <c r="JNI219" s="1"/>
      <c r="JNJ219" s="1"/>
      <c r="JNK219" s="1"/>
      <c r="JNL219" s="1"/>
      <c r="JNM219" s="1"/>
      <c r="JNN219" s="1"/>
      <c r="JNO219" s="1"/>
      <c r="JNP219" s="1"/>
      <c r="JNQ219" s="1"/>
      <c r="JNR219" s="1"/>
      <c r="JNS219" s="1"/>
      <c r="JNT219" s="1"/>
      <c r="JNU219" s="1"/>
      <c r="JNV219" s="1"/>
      <c r="JNW219" s="1"/>
      <c r="JNX219" s="1"/>
      <c r="JNY219" s="1"/>
      <c r="JNZ219" s="1"/>
      <c r="JOA219" s="1"/>
      <c r="JOB219" s="1"/>
      <c r="JOC219" s="1"/>
      <c r="JOD219" s="1"/>
      <c r="JOE219" s="1"/>
      <c r="JOF219" s="1"/>
      <c r="JOG219" s="1"/>
      <c r="JOH219" s="1"/>
      <c r="JOI219" s="1"/>
      <c r="JOJ219" s="1"/>
      <c r="JOK219" s="1"/>
      <c r="JOL219" s="1"/>
      <c r="JOM219" s="1"/>
      <c r="JON219" s="1"/>
      <c r="JOO219" s="1"/>
      <c r="JOP219" s="1"/>
      <c r="JOQ219" s="1"/>
      <c r="JOR219" s="1"/>
      <c r="JOS219" s="1"/>
      <c r="JOT219" s="1"/>
      <c r="JOU219" s="1"/>
      <c r="JOV219" s="1"/>
      <c r="JOW219" s="1"/>
      <c r="JOX219" s="1"/>
      <c r="JOY219" s="1"/>
      <c r="JOZ219" s="1"/>
      <c r="JPA219" s="1"/>
      <c r="JPB219" s="1"/>
      <c r="JPC219" s="1"/>
      <c r="JPD219" s="1"/>
      <c r="JPE219" s="1"/>
      <c r="JPF219" s="1"/>
      <c r="JPG219" s="1"/>
      <c r="JPH219" s="1"/>
      <c r="JPI219" s="1"/>
      <c r="JPJ219" s="1"/>
      <c r="JPK219" s="1"/>
      <c r="JPL219" s="1"/>
      <c r="JPM219" s="1"/>
      <c r="JPN219" s="1"/>
      <c r="JPO219" s="1"/>
      <c r="JPP219" s="1"/>
      <c r="JPQ219" s="1"/>
      <c r="JPR219" s="1"/>
      <c r="JPS219" s="1"/>
      <c r="JPT219" s="1"/>
      <c r="JPU219" s="1"/>
      <c r="JPV219" s="1"/>
      <c r="JPW219" s="1"/>
      <c r="JPX219" s="1"/>
      <c r="JPY219" s="1"/>
      <c r="JPZ219" s="1"/>
      <c r="JQA219" s="1"/>
      <c r="JQB219" s="1"/>
      <c r="JQC219" s="1"/>
      <c r="JQD219" s="1"/>
      <c r="JQE219" s="1"/>
      <c r="JQF219" s="1"/>
      <c r="JQG219" s="1"/>
      <c r="JQH219" s="1"/>
      <c r="JQI219" s="1"/>
      <c r="JQJ219" s="1"/>
      <c r="JQK219" s="1"/>
      <c r="JQL219" s="1"/>
      <c r="JQM219" s="1"/>
      <c r="JQN219" s="1"/>
      <c r="JQO219" s="1"/>
      <c r="JQP219" s="1"/>
      <c r="JQQ219" s="1"/>
      <c r="JQR219" s="1"/>
      <c r="JQS219" s="1"/>
      <c r="JQT219" s="1"/>
      <c r="JQU219" s="1"/>
      <c r="JQV219" s="1"/>
      <c r="JQW219" s="1"/>
      <c r="JQX219" s="1"/>
      <c r="JQY219" s="1"/>
      <c r="JQZ219" s="1"/>
      <c r="JRA219" s="1"/>
      <c r="JRB219" s="1"/>
      <c r="JRC219" s="1"/>
      <c r="JRD219" s="1"/>
      <c r="JRE219" s="1"/>
      <c r="JRF219" s="1"/>
      <c r="JRG219" s="1"/>
      <c r="JRH219" s="1"/>
      <c r="JRI219" s="1"/>
      <c r="JRJ219" s="1"/>
      <c r="JRK219" s="1"/>
      <c r="JRL219" s="1"/>
      <c r="JRM219" s="1"/>
      <c r="JRN219" s="1"/>
      <c r="JRO219" s="1"/>
      <c r="JRP219" s="1"/>
      <c r="JRQ219" s="1"/>
      <c r="JRR219" s="1"/>
      <c r="JRS219" s="1"/>
      <c r="JRT219" s="1"/>
      <c r="JRU219" s="1"/>
      <c r="JRV219" s="1"/>
      <c r="JRW219" s="1"/>
      <c r="JRX219" s="1"/>
      <c r="JRY219" s="1"/>
      <c r="JRZ219" s="1"/>
      <c r="JSA219" s="1"/>
      <c r="JSB219" s="1"/>
      <c r="JSC219" s="1"/>
      <c r="JSD219" s="1"/>
      <c r="JSE219" s="1"/>
      <c r="JSF219" s="1"/>
      <c r="JSG219" s="1"/>
      <c r="JSH219" s="1"/>
      <c r="JSI219" s="1"/>
      <c r="JSJ219" s="1"/>
      <c r="JSK219" s="1"/>
      <c r="JSL219" s="1"/>
      <c r="JSM219" s="1"/>
      <c r="JSN219" s="1"/>
      <c r="JSO219" s="1"/>
      <c r="JSP219" s="1"/>
      <c r="JSQ219" s="1"/>
      <c r="JSR219" s="1"/>
      <c r="JSS219" s="1"/>
      <c r="JST219" s="1"/>
      <c r="JSU219" s="1"/>
      <c r="JSV219" s="1"/>
      <c r="JSW219" s="1"/>
      <c r="JSX219" s="1"/>
      <c r="JSY219" s="1"/>
      <c r="JSZ219" s="1"/>
      <c r="JTA219" s="1"/>
      <c r="JTB219" s="1"/>
      <c r="JTC219" s="1"/>
      <c r="JTD219" s="1"/>
      <c r="JTE219" s="1"/>
      <c r="JTF219" s="1"/>
      <c r="JTG219" s="1"/>
      <c r="JTH219" s="1"/>
      <c r="JTI219" s="1"/>
      <c r="JTJ219" s="1"/>
      <c r="JTK219" s="1"/>
      <c r="JTL219" s="1"/>
      <c r="JTM219" s="1"/>
      <c r="JTN219" s="1"/>
      <c r="JTO219" s="1"/>
      <c r="JTP219" s="1"/>
      <c r="JTQ219" s="1"/>
      <c r="JTR219" s="1"/>
      <c r="JTS219" s="1"/>
      <c r="JTT219" s="1"/>
      <c r="JTU219" s="1"/>
      <c r="JTV219" s="1"/>
      <c r="JTW219" s="1"/>
      <c r="JTX219" s="1"/>
      <c r="JTY219" s="1"/>
      <c r="JTZ219" s="1"/>
      <c r="JUA219" s="1"/>
      <c r="JUB219" s="1"/>
      <c r="JUC219" s="1"/>
      <c r="JUD219" s="1"/>
      <c r="JUE219" s="1"/>
      <c r="JUF219" s="1"/>
      <c r="JUG219" s="1"/>
      <c r="JUH219" s="1"/>
      <c r="JUI219" s="1"/>
      <c r="JUJ219" s="1"/>
      <c r="JUK219" s="1"/>
      <c r="JUL219" s="1"/>
      <c r="JUM219" s="1"/>
      <c r="JUN219" s="1"/>
      <c r="JUO219" s="1"/>
      <c r="JUP219" s="1"/>
      <c r="JUQ219" s="1"/>
      <c r="JUR219" s="1"/>
      <c r="JUS219" s="1"/>
      <c r="JUT219" s="1"/>
      <c r="JUU219" s="1"/>
      <c r="JUV219" s="1"/>
      <c r="JUW219" s="1"/>
      <c r="JUX219" s="1"/>
      <c r="JUY219" s="1"/>
      <c r="JUZ219" s="1"/>
      <c r="JVA219" s="1"/>
      <c r="JVB219" s="1"/>
      <c r="JVC219" s="1"/>
      <c r="JVD219" s="1"/>
      <c r="JVE219" s="1"/>
      <c r="JVF219" s="1"/>
      <c r="JVG219" s="1"/>
      <c r="JVH219" s="1"/>
      <c r="JVI219" s="1"/>
      <c r="JVJ219" s="1"/>
      <c r="JVK219" s="1"/>
      <c r="JVL219" s="1"/>
      <c r="JVM219" s="1"/>
      <c r="JVN219" s="1"/>
      <c r="JVO219" s="1"/>
      <c r="JVP219" s="1"/>
      <c r="JVQ219" s="1"/>
      <c r="JVR219" s="1"/>
      <c r="JVS219" s="1"/>
      <c r="JVT219" s="1"/>
      <c r="JVU219" s="1"/>
      <c r="JVV219" s="1"/>
      <c r="JVW219" s="1"/>
      <c r="JVX219" s="1"/>
      <c r="JVY219" s="1"/>
      <c r="JVZ219" s="1"/>
      <c r="JWA219" s="1"/>
      <c r="JWB219" s="1"/>
      <c r="JWC219" s="1"/>
      <c r="JWD219" s="1"/>
      <c r="JWE219" s="1"/>
      <c r="JWF219" s="1"/>
      <c r="JWG219" s="1"/>
      <c r="JWH219" s="1"/>
      <c r="JWI219" s="1"/>
      <c r="JWJ219" s="1"/>
      <c r="JWK219" s="1"/>
      <c r="JWL219" s="1"/>
      <c r="JWM219" s="1"/>
      <c r="JWN219" s="1"/>
      <c r="JWO219" s="1"/>
      <c r="JWP219" s="1"/>
      <c r="JWQ219" s="1"/>
      <c r="JWR219" s="1"/>
      <c r="JWS219" s="1"/>
      <c r="JWT219" s="1"/>
      <c r="JWU219" s="1"/>
      <c r="JWV219" s="1"/>
      <c r="JWW219" s="1"/>
      <c r="JWX219" s="1"/>
      <c r="JWY219" s="1"/>
      <c r="JWZ219" s="1"/>
      <c r="JXA219" s="1"/>
      <c r="JXB219" s="1"/>
      <c r="JXC219" s="1"/>
      <c r="JXD219" s="1"/>
      <c r="JXE219" s="1"/>
      <c r="JXF219" s="1"/>
      <c r="JXG219" s="1"/>
      <c r="JXH219" s="1"/>
      <c r="JXI219" s="1"/>
      <c r="JXJ219" s="1"/>
      <c r="JXK219" s="1"/>
      <c r="JXL219" s="1"/>
      <c r="JXM219" s="1"/>
      <c r="JXN219" s="1"/>
      <c r="JXO219" s="1"/>
      <c r="JXP219" s="1"/>
      <c r="JXQ219" s="1"/>
      <c r="JXR219" s="1"/>
      <c r="JXS219" s="1"/>
      <c r="JXT219" s="1"/>
      <c r="JXU219" s="1"/>
      <c r="JXV219" s="1"/>
      <c r="JXW219" s="1"/>
      <c r="JXX219" s="1"/>
      <c r="JXY219" s="1"/>
      <c r="JXZ219" s="1"/>
      <c r="JYA219" s="1"/>
      <c r="JYB219" s="1"/>
      <c r="JYC219" s="1"/>
      <c r="JYD219" s="1"/>
      <c r="JYE219" s="1"/>
      <c r="JYF219" s="1"/>
      <c r="JYG219" s="1"/>
      <c r="JYH219" s="1"/>
      <c r="JYI219" s="1"/>
      <c r="JYJ219" s="1"/>
      <c r="JYK219" s="1"/>
      <c r="JYL219" s="1"/>
      <c r="JYM219" s="1"/>
      <c r="JYN219" s="1"/>
      <c r="JYO219" s="1"/>
      <c r="JYP219" s="1"/>
      <c r="JYQ219" s="1"/>
      <c r="JYR219" s="1"/>
      <c r="JYS219" s="1"/>
      <c r="JYT219" s="1"/>
      <c r="JYU219" s="1"/>
      <c r="JYV219" s="1"/>
      <c r="JYW219" s="1"/>
      <c r="JYX219" s="1"/>
      <c r="JYY219" s="1"/>
      <c r="JYZ219" s="1"/>
      <c r="JZA219" s="1"/>
      <c r="JZB219" s="1"/>
      <c r="JZC219" s="1"/>
      <c r="JZD219" s="1"/>
      <c r="JZE219" s="1"/>
      <c r="JZF219" s="1"/>
      <c r="JZG219" s="1"/>
      <c r="JZH219" s="1"/>
      <c r="JZI219" s="1"/>
      <c r="JZJ219" s="1"/>
      <c r="JZK219" s="1"/>
      <c r="JZL219" s="1"/>
      <c r="JZM219" s="1"/>
      <c r="JZN219" s="1"/>
      <c r="JZO219" s="1"/>
      <c r="JZP219" s="1"/>
      <c r="JZQ219" s="1"/>
      <c r="JZR219" s="1"/>
      <c r="JZS219" s="1"/>
      <c r="JZT219" s="1"/>
      <c r="JZU219" s="1"/>
      <c r="JZV219" s="1"/>
      <c r="JZW219" s="1"/>
      <c r="JZX219" s="1"/>
      <c r="JZY219" s="1"/>
      <c r="JZZ219" s="1"/>
      <c r="KAA219" s="1"/>
      <c r="KAB219" s="1"/>
      <c r="KAC219" s="1"/>
      <c r="KAD219" s="1"/>
      <c r="KAE219" s="1"/>
      <c r="KAF219" s="1"/>
      <c r="KAG219" s="1"/>
      <c r="KAH219" s="1"/>
      <c r="KAI219" s="1"/>
      <c r="KAJ219" s="1"/>
      <c r="KAK219" s="1"/>
      <c r="KAL219" s="1"/>
      <c r="KAM219" s="1"/>
      <c r="KAN219" s="1"/>
      <c r="KAO219" s="1"/>
      <c r="KAP219" s="1"/>
      <c r="KAQ219" s="1"/>
      <c r="KAR219" s="1"/>
      <c r="KAS219" s="1"/>
      <c r="KAT219" s="1"/>
      <c r="KAU219" s="1"/>
      <c r="KAV219" s="1"/>
      <c r="KAW219" s="1"/>
      <c r="KAX219" s="1"/>
      <c r="KAY219" s="1"/>
      <c r="KAZ219" s="1"/>
      <c r="KBA219" s="1"/>
      <c r="KBB219" s="1"/>
      <c r="KBC219" s="1"/>
      <c r="KBD219" s="1"/>
      <c r="KBE219" s="1"/>
      <c r="KBF219" s="1"/>
      <c r="KBG219" s="1"/>
      <c r="KBH219" s="1"/>
      <c r="KBI219" s="1"/>
      <c r="KBJ219" s="1"/>
      <c r="KBK219" s="1"/>
      <c r="KBL219" s="1"/>
      <c r="KBM219" s="1"/>
      <c r="KBN219" s="1"/>
      <c r="KBO219" s="1"/>
      <c r="KBP219" s="1"/>
      <c r="KBQ219" s="1"/>
      <c r="KBR219" s="1"/>
      <c r="KBS219" s="1"/>
      <c r="KBT219" s="1"/>
      <c r="KBU219" s="1"/>
      <c r="KBV219" s="1"/>
      <c r="KBW219" s="1"/>
      <c r="KBX219" s="1"/>
      <c r="KBY219" s="1"/>
      <c r="KBZ219" s="1"/>
      <c r="KCA219" s="1"/>
      <c r="KCB219" s="1"/>
      <c r="KCC219" s="1"/>
      <c r="KCD219" s="1"/>
      <c r="KCE219" s="1"/>
      <c r="KCF219" s="1"/>
      <c r="KCG219" s="1"/>
      <c r="KCH219" s="1"/>
      <c r="KCI219" s="1"/>
      <c r="KCJ219" s="1"/>
      <c r="KCK219" s="1"/>
      <c r="KCL219" s="1"/>
      <c r="KCM219" s="1"/>
      <c r="KCN219" s="1"/>
      <c r="KCO219" s="1"/>
      <c r="KCP219" s="1"/>
      <c r="KCQ219" s="1"/>
      <c r="KCR219" s="1"/>
      <c r="KCS219" s="1"/>
      <c r="KCT219" s="1"/>
      <c r="KCU219" s="1"/>
      <c r="KCV219" s="1"/>
      <c r="KCW219" s="1"/>
      <c r="KCX219" s="1"/>
      <c r="KCY219" s="1"/>
      <c r="KCZ219" s="1"/>
      <c r="KDA219" s="1"/>
      <c r="KDB219" s="1"/>
      <c r="KDC219" s="1"/>
      <c r="KDD219" s="1"/>
      <c r="KDE219" s="1"/>
      <c r="KDF219" s="1"/>
      <c r="KDG219" s="1"/>
      <c r="KDH219" s="1"/>
      <c r="KDI219" s="1"/>
      <c r="KDJ219" s="1"/>
      <c r="KDK219" s="1"/>
      <c r="KDL219" s="1"/>
      <c r="KDM219" s="1"/>
      <c r="KDN219" s="1"/>
      <c r="KDO219" s="1"/>
      <c r="KDP219" s="1"/>
      <c r="KDQ219" s="1"/>
      <c r="KDR219" s="1"/>
      <c r="KDS219" s="1"/>
      <c r="KDT219" s="1"/>
      <c r="KDU219" s="1"/>
      <c r="KDV219" s="1"/>
      <c r="KDW219" s="1"/>
      <c r="KDX219" s="1"/>
      <c r="KDY219" s="1"/>
      <c r="KDZ219" s="1"/>
      <c r="KEA219" s="1"/>
      <c r="KEB219" s="1"/>
      <c r="KEC219" s="1"/>
      <c r="KED219" s="1"/>
      <c r="KEE219" s="1"/>
      <c r="KEF219" s="1"/>
      <c r="KEG219" s="1"/>
      <c r="KEH219" s="1"/>
      <c r="KEI219" s="1"/>
      <c r="KEJ219" s="1"/>
      <c r="KEK219" s="1"/>
      <c r="KEL219" s="1"/>
      <c r="KEM219" s="1"/>
      <c r="KEN219" s="1"/>
      <c r="KEO219" s="1"/>
      <c r="KEP219" s="1"/>
      <c r="KEQ219" s="1"/>
      <c r="KER219" s="1"/>
      <c r="KES219" s="1"/>
      <c r="KET219" s="1"/>
      <c r="KEU219" s="1"/>
      <c r="KEV219" s="1"/>
      <c r="KEW219" s="1"/>
      <c r="KEX219" s="1"/>
      <c r="KEY219" s="1"/>
      <c r="KEZ219" s="1"/>
      <c r="KFA219" s="1"/>
      <c r="KFB219" s="1"/>
      <c r="KFC219" s="1"/>
      <c r="KFD219" s="1"/>
      <c r="KFE219" s="1"/>
      <c r="KFF219" s="1"/>
      <c r="KFG219" s="1"/>
      <c r="KFH219" s="1"/>
      <c r="KFI219" s="1"/>
      <c r="KFJ219" s="1"/>
      <c r="KFK219" s="1"/>
      <c r="KFL219" s="1"/>
      <c r="KFM219" s="1"/>
      <c r="KFN219" s="1"/>
      <c r="KFO219" s="1"/>
      <c r="KFP219" s="1"/>
      <c r="KFQ219" s="1"/>
      <c r="KFR219" s="1"/>
      <c r="KFS219" s="1"/>
      <c r="KFT219" s="1"/>
      <c r="KFU219" s="1"/>
      <c r="KFV219" s="1"/>
      <c r="KFW219" s="1"/>
      <c r="KFX219" s="1"/>
      <c r="KFY219" s="1"/>
      <c r="KFZ219" s="1"/>
      <c r="KGA219" s="1"/>
      <c r="KGB219" s="1"/>
      <c r="KGC219" s="1"/>
      <c r="KGD219" s="1"/>
      <c r="KGE219" s="1"/>
      <c r="KGF219" s="1"/>
      <c r="KGG219" s="1"/>
      <c r="KGH219" s="1"/>
      <c r="KGI219" s="1"/>
      <c r="KGJ219" s="1"/>
      <c r="KGK219" s="1"/>
      <c r="KGL219" s="1"/>
      <c r="KGM219" s="1"/>
      <c r="KGN219" s="1"/>
      <c r="KGO219" s="1"/>
      <c r="KGP219" s="1"/>
      <c r="KGQ219" s="1"/>
      <c r="KGR219" s="1"/>
      <c r="KGS219" s="1"/>
      <c r="KGT219" s="1"/>
      <c r="KGU219" s="1"/>
      <c r="KGV219" s="1"/>
      <c r="KGW219" s="1"/>
      <c r="KGX219" s="1"/>
      <c r="KGY219" s="1"/>
      <c r="KGZ219" s="1"/>
      <c r="KHA219" s="1"/>
      <c r="KHB219" s="1"/>
      <c r="KHC219" s="1"/>
      <c r="KHD219" s="1"/>
      <c r="KHE219" s="1"/>
      <c r="KHF219" s="1"/>
      <c r="KHG219" s="1"/>
      <c r="KHH219" s="1"/>
      <c r="KHI219" s="1"/>
      <c r="KHJ219" s="1"/>
      <c r="KHK219" s="1"/>
      <c r="KHL219" s="1"/>
      <c r="KHM219" s="1"/>
      <c r="KHN219" s="1"/>
      <c r="KHO219" s="1"/>
      <c r="KHP219" s="1"/>
      <c r="KHQ219" s="1"/>
      <c r="KHR219" s="1"/>
      <c r="KHS219" s="1"/>
      <c r="KHT219" s="1"/>
      <c r="KHU219" s="1"/>
      <c r="KHV219" s="1"/>
      <c r="KHW219" s="1"/>
      <c r="KHX219" s="1"/>
      <c r="KHY219" s="1"/>
      <c r="KHZ219" s="1"/>
      <c r="KIA219" s="1"/>
      <c r="KIB219" s="1"/>
      <c r="KIC219" s="1"/>
      <c r="KID219" s="1"/>
      <c r="KIE219" s="1"/>
      <c r="KIF219" s="1"/>
      <c r="KIG219" s="1"/>
      <c r="KIH219" s="1"/>
      <c r="KII219" s="1"/>
      <c r="KIJ219" s="1"/>
      <c r="KIK219" s="1"/>
      <c r="KIL219" s="1"/>
      <c r="KIM219" s="1"/>
      <c r="KIN219" s="1"/>
      <c r="KIO219" s="1"/>
      <c r="KIP219" s="1"/>
      <c r="KIQ219" s="1"/>
      <c r="KIR219" s="1"/>
      <c r="KIS219" s="1"/>
      <c r="KIT219" s="1"/>
      <c r="KIU219" s="1"/>
      <c r="KIV219" s="1"/>
      <c r="KIW219" s="1"/>
      <c r="KIX219" s="1"/>
      <c r="KIY219" s="1"/>
      <c r="KIZ219" s="1"/>
      <c r="KJA219" s="1"/>
      <c r="KJB219" s="1"/>
      <c r="KJC219" s="1"/>
      <c r="KJD219" s="1"/>
      <c r="KJE219" s="1"/>
      <c r="KJF219" s="1"/>
      <c r="KJG219" s="1"/>
      <c r="KJH219" s="1"/>
      <c r="KJI219" s="1"/>
      <c r="KJJ219" s="1"/>
      <c r="KJK219" s="1"/>
      <c r="KJL219" s="1"/>
      <c r="KJM219" s="1"/>
      <c r="KJN219" s="1"/>
      <c r="KJO219" s="1"/>
      <c r="KJP219" s="1"/>
      <c r="KJQ219" s="1"/>
      <c r="KJR219" s="1"/>
      <c r="KJS219" s="1"/>
      <c r="KJT219" s="1"/>
      <c r="KJU219" s="1"/>
      <c r="KJV219" s="1"/>
      <c r="KJW219" s="1"/>
      <c r="KJX219" s="1"/>
      <c r="KJY219" s="1"/>
      <c r="KJZ219" s="1"/>
      <c r="KKA219" s="1"/>
      <c r="KKB219" s="1"/>
      <c r="KKC219" s="1"/>
      <c r="KKD219" s="1"/>
      <c r="KKE219" s="1"/>
      <c r="KKF219" s="1"/>
      <c r="KKG219" s="1"/>
      <c r="KKH219" s="1"/>
      <c r="KKI219" s="1"/>
      <c r="KKJ219" s="1"/>
      <c r="KKK219" s="1"/>
      <c r="KKL219" s="1"/>
      <c r="KKM219" s="1"/>
      <c r="KKN219" s="1"/>
      <c r="KKO219" s="1"/>
      <c r="KKP219" s="1"/>
      <c r="KKQ219" s="1"/>
      <c r="KKR219" s="1"/>
      <c r="KKS219" s="1"/>
      <c r="KKT219" s="1"/>
      <c r="KKU219" s="1"/>
      <c r="KKV219" s="1"/>
      <c r="KKW219" s="1"/>
      <c r="KKX219" s="1"/>
      <c r="KKY219" s="1"/>
      <c r="KKZ219" s="1"/>
      <c r="KLA219" s="1"/>
      <c r="KLB219" s="1"/>
      <c r="KLC219" s="1"/>
      <c r="KLD219" s="1"/>
      <c r="KLE219" s="1"/>
      <c r="KLF219" s="1"/>
      <c r="KLG219" s="1"/>
      <c r="KLH219" s="1"/>
      <c r="KLI219" s="1"/>
      <c r="KLJ219" s="1"/>
      <c r="KLK219" s="1"/>
      <c r="KLL219" s="1"/>
      <c r="KLM219" s="1"/>
      <c r="KLN219" s="1"/>
      <c r="KLO219" s="1"/>
      <c r="KLP219" s="1"/>
      <c r="KLQ219" s="1"/>
      <c r="KLR219" s="1"/>
      <c r="KLS219" s="1"/>
      <c r="KLT219" s="1"/>
      <c r="KLU219" s="1"/>
      <c r="KLV219" s="1"/>
      <c r="KLW219" s="1"/>
      <c r="KLX219" s="1"/>
      <c r="KLY219" s="1"/>
      <c r="KLZ219" s="1"/>
      <c r="KMA219" s="1"/>
      <c r="KMB219" s="1"/>
      <c r="KMC219" s="1"/>
      <c r="KMD219" s="1"/>
      <c r="KME219" s="1"/>
      <c r="KMF219" s="1"/>
      <c r="KMG219" s="1"/>
      <c r="KMH219" s="1"/>
      <c r="KMI219" s="1"/>
      <c r="KMJ219" s="1"/>
      <c r="KMK219" s="1"/>
      <c r="KML219" s="1"/>
      <c r="KMM219" s="1"/>
      <c r="KMN219" s="1"/>
      <c r="KMO219" s="1"/>
      <c r="KMP219" s="1"/>
      <c r="KMQ219" s="1"/>
      <c r="KMR219" s="1"/>
      <c r="KMS219" s="1"/>
      <c r="KMT219" s="1"/>
      <c r="KMU219" s="1"/>
      <c r="KMV219" s="1"/>
      <c r="KMW219" s="1"/>
      <c r="KMX219" s="1"/>
      <c r="KMY219" s="1"/>
      <c r="KMZ219" s="1"/>
      <c r="KNA219" s="1"/>
      <c r="KNB219" s="1"/>
      <c r="KNC219" s="1"/>
      <c r="KND219" s="1"/>
      <c r="KNE219" s="1"/>
      <c r="KNF219" s="1"/>
      <c r="KNG219" s="1"/>
      <c r="KNH219" s="1"/>
      <c r="KNI219" s="1"/>
      <c r="KNJ219" s="1"/>
      <c r="KNK219" s="1"/>
      <c r="KNL219" s="1"/>
      <c r="KNM219" s="1"/>
      <c r="KNN219" s="1"/>
      <c r="KNO219" s="1"/>
      <c r="KNP219" s="1"/>
      <c r="KNQ219" s="1"/>
      <c r="KNR219" s="1"/>
      <c r="KNS219" s="1"/>
      <c r="KNT219" s="1"/>
      <c r="KNU219" s="1"/>
      <c r="KNV219" s="1"/>
      <c r="KNW219" s="1"/>
      <c r="KNX219" s="1"/>
      <c r="KNY219" s="1"/>
      <c r="KNZ219" s="1"/>
      <c r="KOA219" s="1"/>
      <c r="KOB219" s="1"/>
      <c r="KOC219" s="1"/>
      <c r="KOD219" s="1"/>
      <c r="KOE219" s="1"/>
      <c r="KOF219" s="1"/>
      <c r="KOG219" s="1"/>
      <c r="KOH219" s="1"/>
      <c r="KOI219" s="1"/>
      <c r="KOJ219" s="1"/>
      <c r="KOK219" s="1"/>
      <c r="KOL219" s="1"/>
      <c r="KOM219" s="1"/>
      <c r="KON219" s="1"/>
      <c r="KOO219" s="1"/>
      <c r="KOP219" s="1"/>
      <c r="KOQ219" s="1"/>
      <c r="KOR219" s="1"/>
      <c r="KOS219" s="1"/>
      <c r="KOT219" s="1"/>
      <c r="KOU219" s="1"/>
      <c r="KOV219" s="1"/>
      <c r="KOW219" s="1"/>
      <c r="KOX219" s="1"/>
      <c r="KOY219" s="1"/>
      <c r="KOZ219" s="1"/>
      <c r="KPA219" s="1"/>
      <c r="KPB219" s="1"/>
      <c r="KPC219" s="1"/>
      <c r="KPD219" s="1"/>
      <c r="KPE219" s="1"/>
      <c r="KPF219" s="1"/>
      <c r="KPG219" s="1"/>
      <c r="KPH219" s="1"/>
      <c r="KPI219" s="1"/>
      <c r="KPJ219" s="1"/>
      <c r="KPK219" s="1"/>
      <c r="KPL219" s="1"/>
      <c r="KPM219" s="1"/>
      <c r="KPN219" s="1"/>
      <c r="KPO219" s="1"/>
      <c r="KPP219" s="1"/>
      <c r="KPQ219" s="1"/>
      <c r="KPR219" s="1"/>
      <c r="KPS219" s="1"/>
      <c r="KPT219" s="1"/>
      <c r="KPU219" s="1"/>
      <c r="KPV219" s="1"/>
      <c r="KPW219" s="1"/>
      <c r="KPX219" s="1"/>
      <c r="KPY219" s="1"/>
      <c r="KPZ219" s="1"/>
      <c r="KQA219" s="1"/>
      <c r="KQB219" s="1"/>
      <c r="KQC219" s="1"/>
      <c r="KQD219" s="1"/>
      <c r="KQE219" s="1"/>
      <c r="KQF219" s="1"/>
      <c r="KQG219" s="1"/>
      <c r="KQH219" s="1"/>
      <c r="KQI219" s="1"/>
      <c r="KQJ219" s="1"/>
      <c r="KQK219" s="1"/>
      <c r="KQL219" s="1"/>
      <c r="KQM219" s="1"/>
      <c r="KQN219" s="1"/>
      <c r="KQO219" s="1"/>
      <c r="KQP219" s="1"/>
      <c r="KQQ219" s="1"/>
      <c r="KQR219" s="1"/>
      <c r="KQS219" s="1"/>
      <c r="KQT219" s="1"/>
      <c r="KQU219" s="1"/>
      <c r="KQV219" s="1"/>
      <c r="KQW219" s="1"/>
      <c r="KQX219" s="1"/>
      <c r="KQY219" s="1"/>
      <c r="KQZ219" s="1"/>
      <c r="KRA219" s="1"/>
      <c r="KRB219" s="1"/>
      <c r="KRC219" s="1"/>
      <c r="KRD219" s="1"/>
      <c r="KRE219" s="1"/>
      <c r="KRF219" s="1"/>
      <c r="KRG219" s="1"/>
      <c r="KRH219" s="1"/>
      <c r="KRI219" s="1"/>
      <c r="KRJ219" s="1"/>
      <c r="KRK219" s="1"/>
      <c r="KRL219" s="1"/>
      <c r="KRM219" s="1"/>
      <c r="KRN219" s="1"/>
      <c r="KRO219" s="1"/>
      <c r="KRP219" s="1"/>
      <c r="KRQ219" s="1"/>
      <c r="KRR219" s="1"/>
      <c r="KRS219" s="1"/>
      <c r="KRT219" s="1"/>
      <c r="KRU219" s="1"/>
      <c r="KRV219" s="1"/>
      <c r="KRW219" s="1"/>
      <c r="KRX219" s="1"/>
      <c r="KRY219" s="1"/>
      <c r="KRZ219" s="1"/>
      <c r="KSA219" s="1"/>
      <c r="KSB219" s="1"/>
      <c r="KSC219" s="1"/>
      <c r="KSD219" s="1"/>
      <c r="KSE219" s="1"/>
      <c r="KSF219" s="1"/>
      <c r="KSG219" s="1"/>
      <c r="KSH219" s="1"/>
      <c r="KSI219" s="1"/>
      <c r="KSJ219" s="1"/>
      <c r="KSK219" s="1"/>
      <c r="KSL219" s="1"/>
      <c r="KSM219" s="1"/>
      <c r="KSN219" s="1"/>
      <c r="KSO219" s="1"/>
      <c r="KSP219" s="1"/>
      <c r="KSQ219" s="1"/>
      <c r="KSR219" s="1"/>
      <c r="KSS219" s="1"/>
      <c r="KST219" s="1"/>
      <c r="KSU219" s="1"/>
      <c r="KSV219" s="1"/>
      <c r="KSW219" s="1"/>
      <c r="KSX219" s="1"/>
      <c r="KSY219" s="1"/>
      <c r="KSZ219" s="1"/>
      <c r="KTA219" s="1"/>
      <c r="KTB219" s="1"/>
      <c r="KTC219" s="1"/>
      <c r="KTD219" s="1"/>
      <c r="KTE219" s="1"/>
      <c r="KTF219" s="1"/>
      <c r="KTG219" s="1"/>
      <c r="KTH219" s="1"/>
      <c r="KTI219" s="1"/>
      <c r="KTJ219" s="1"/>
      <c r="KTK219" s="1"/>
      <c r="KTL219" s="1"/>
      <c r="KTM219" s="1"/>
      <c r="KTN219" s="1"/>
      <c r="KTO219" s="1"/>
      <c r="KTP219" s="1"/>
      <c r="KTQ219" s="1"/>
      <c r="KTR219" s="1"/>
      <c r="KTS219" s="1"/>
      <c r="KTT219" s="1"/>
      <c r="KTU219" s="1"/>
      <c r="KTV219" s="1"/>
      <c r="KTW219" s="1"/>
      <c r="KTX219" s="1"/>
      <c r="KTY219" s="1"/>
      <c r="KTZ219" s="1"/>
      <c r="KUA219" s="1"/>
      <c r="KUB219" s="1"/>
      <c r="KUC219" s="1"/>
      <c r="KUD219" s="1"/>
      <c r="KUE219" s="1"/>
      <c r="KUF219" s="1"/>
      <c r="KUG219" s="1"/>
      <c r="KUH219" s="1"/>
      <c r="KUI219" s="1"/>
      <c r="KUJ219" s="1"/>
      <c r="KUK219" s="1"/>
      <c r="KUL219" s="1"/>
      <c r="KUM219" s="1"/>
      <c r="KUN219" s="1"/>
      <c r="KUO219" s="1"/>
      <c r="KUP219" s="1"/>
      <c r="KUQ219" s="1"/>
      <c r="KUR219" s="1"/>
      <c r="KUS219" s="1"/>
      <c r="KUT219" s="1"/>
      <c r="KUU219" s="1"/>
      <c r="KUV219" s="1"/>
      <c r="KUW219" s="1"/>
      <c r="KUX219" s="1"/>
      <c r="KUY219" s="1"/>
      <c r="KUZ219" s="1"/>
      <c r="KVA219" s="1"/>
      <c r="KVB219" s="1"/>
      <c r="KVC219" s="1"/>
      <c r="KVD219" s="1"/>
      <c r="KVE219" s="1"/>
      <c r="KVF219" s="1"/>
      <c r="KVG219" s="1"/>
      <c r="KVH219" s="1"/>
      <c r="KVI219" s="1"/>
      <c r="KVJ219" s="1"/>
      <c r="KVK219" s="1"/>
      <c r="KVL219" s="1"/>
      <c r="KVM219" s="1"/>
      <c r="KVN219" s="1"/>
      <c r="KVO219" s="1"/>
      <c r="KVP219" s="1"/>
      <c r="KVQ219" s="1"/>
      <c r="KVR219" s="1"/>
      <c r="KVS219" s="1"/>
      <c r="KVT219" s="1"/>
      <c r="KVU219" s="1"/>
      <c r="KVV219" s="1"/>
      <c r="KVW219" s="1"/>
      <c r="KVX219" s="1"/>
      <c r="KVY219" s="1"/>
      <c r="KVZ219" s="1"/>
      <c r="KWA219" s="1"/>
      <c r="KWB219" s="1"/>
      <c r="KWC219" s="1"/>
      <c r="KWD219" s="1"/>
      <c r="KWE219" s="1"/>
      <c r="KWF219" s="1"/>
      <c r="KWG219" s="1"/>
      <c r="KWH219" s="1"/>
      <c r="KWI219" s="1"/>
      <c r="KWJ219" s="1"/>
      <c r="KWK219" s="1"/>
      <c r="KWL219" s="1"/>
      <c r="KWM219" s="1"/>
      <c r="KWN219" s="1"/>
      <c r="KWO219" s="1"/>
      <c r="KWP219" s="1"/>
      <c r="KWQ219" s="1"/>
      <c r="KWR219" s="1"/>
      <c r="KWS219" s="1"/>
      <c r="KWT219" s="1"/>
      <c r="KWU219" s="1"/>
      <c r="KWV219" s="1"/>
      <c r="KWW219" s="1"/>
      <c r="KWX219" s="1"/>
      <c r="KWY219" s="1"/>
      <c r="KWZ219" s="1"/>
      <c r="KXA219" s="1"/>
      <c r="KXB219" s="1"/>
      <c r="KXC219" s="1"/>
      <c r="KXD219" s="1"/>
      <c r="KXE219" s="1"/>
      <c r="KXF219" s="1"/>
      <c r="KXG219" s="1"/>
      <c r="KXH219" s="1"/>
      <c r="KXI219" s="1"/>
      <c r="KXJ219" s="1"/>
      <c r="KXK219" s="1"/>
      <c r="KXL219" s="1"/>
      <c r="KXM219" s="1"/>
      <c r="KXN219" s="1"/>
      <c r="KXO219" s="1"/>
      <c r="KXP219" s="1"/>
      <c r="KXQ219" s="1"/>
      <c r="KXR219" s="1"/>
      <c r="KXS219" s="1"/>
      <c r="KXT219" s="1"/>
      <c r="KXU219" s="1"/>
      <c r="KXV219" s="1"/>
      <c r="KXW219" s="1"/>
      <c r="KXX219" s="1"/>
      <c r="KXY219" s="1"/>
      <c r="KXZ219" s="1"/>
      <c r="KYA219" s="1"/>
      <c r="KYB219" s="1"/>
      <c r="KYC219" s="1"/>
      <c r="KYD219" s="1"/>
      <c r="KYE219" s="1"/>
      <c r="KYF219" s="1"/>
      <c r="KYG219" s="1"/>
      <c r="KYH219" s="1"/>
      <c r="KYI219" s="1"/>
      <c r="KYJ219" s="1"/>
      <c r="KYK219" s="1"/>
      <c r="KYL219" s="1"/>
      <c r="KYM219" s="1"/>
      <c r="KYN219" s="1"/>
      <c r="KYO219" s="1"/>
      <c r="KYP219" s="1"/>
      <c r="KYQ219" s="1"/>
      <c r="KYR219" s="1"/>
      <c r="KYS219" s="1"/>
      <c r="KYT219" s="1"/>
      <c r="KYU219" s="1"/>
      <c r="KYV219" s="1"/>
      <c r="KYW219" s="1"/>
      <c r="KYX219" s="1"/>
      <c r="KYY219" s="1"/>
      <c r="KYZ219" s="1"/>
      <c r="KZA219" s="1"/>
      <c r="KZB219" s="1"/>
      <c r="KZC219" s="1"/>
      <c r="KZD219" s="1"/>
      <c r="KZE219" s="1"/>
      <c r="KZF219" s="1"/>
      <c r="KZG219" s="1"/>
      <c r="KZH219" s="1"/>
      <c r="KZI219" s="1"/>
      <c r="KZJ219" s="1"/>
      <c r="KZK219" s="1"/>
      <c r="KZL219" s="1"/>
      <c r="KZM219" s="1"/>
      <c r="KZN219" s="1"/>
      <c r="KZO219" s="1"/>
      <c r="KZP219" s="1"/>
      <c r="KZQ219" s="1"/>
      <c r="KZR219" s="1"/>
      <c r="KZS219" s="1"/>
      <c r="KZT219" s="1"/>
      <c r="KZU219" s="1"/>
      <c r="KZV219" s="1"/>
      <c r="KZW219" s="1"/>
      <c r="KZX219" s="1"/>
      <c r="KZY219" s="1"/>
      <c r="KZZ219" s="1"/>
      <c r="LAA219" s="1"/>
      <c r="LAB219" s="1"/>
      <c r="LAC219" s="1"/>
      <c r="LAD219" s="1"/>
      <c r="LAE219" s="1"/>
      <c r="LAF219" s="1"/>
      <c r="LAG219" s="1"/>
      <c r="LAH219" s="1"/>
      <c r="LAI219" s="1"/>
      <c r="LAJ219" s="1"/>
      <c r="LAK219" s="1"/>
      <c r="LAL219" s="1"/>
      <c r="LAM219" s="1"/>
      <c r="LAN219" s="1"/>
      <c r="LAO219" s="1"/>
      <c r="LAP219" s="1"/>
      <c r="LAQ219" s="1"/>
      <c r="LAR219" s="1"/>
      <c r="LAS219" s="1"/>
      <c r="LAT219" s="1"/>
      <c r="LAU219" s="1"/>
      <c r="LAV219" s="1"/>
      <c r="LAW219" s="1"/>
      <c r="LAX219" s="1"/>
      <c r="LAY219" s="1"/>
      <c r="LAZ219" s="1"/>
      <c r="LBA219" s="1"/>
      <c r="LBB219" s="1"/>
      <c r="LBC219" s="1"/>
      <c r="LBD219" s="1"/>
      <c r="LBE219" s="1"/>
      <c r="LBF219" s="1"/>
      <c r="LBG219" s="1"/>
      <c r="LBH219" s="1"/>
      <c r="LBI219" s="1"/>
      <c r="LBJ219" s="1"/>
      <c r="LBK219" s="1"/>
      <c r="LBL219" s="1"/>
      <c r="LBM219" s="1"/>
      <c r="LBN219" s="1"/>
      <c r="LBO219" s="1"/>
      <c r="LBP219" s="1"/>
      <c r="LBQ219" s="1"/>
      <c r="LBR219" s="1"/>
      <c r="LBS219" s="1"/>
      <c r="LBT219" s="1"/>
      <c r="LBU219" s="1"/>
      <c r="LBV219" s="1"/>
      <c r="LBW219" s="1"/>
      <c r="LBX219" s="1"/>
      <c r="LBY219" s="1"/>
      <c r="LBZ219" s="1"/>
      <c r="LCA219" s="1"/>
      <c r="LCB219" s="1"/>
      <c r="LCC219" s="1"/>
      <c r="LCD219" s="1"/>
      <c r="LCE219" s="1"/>
      <c r="LCF219" s="1"/>
      <c r="LCG219" s="1"/>
      <c r="LCH219" s="1"/>
      <c r="LCI219" s="1"/>
      <c r="LCJ219" s="1"/>
      <c r="LCK219" s="1"/>
      <c r="LCL219" s="1"/>
      <c r="LCM219" s="1"/>
      <c r="LCN219" s="1"/>
      <c r="LCO219" s="1"/>
      <c r="LCP219" s="1"/>
      <c r="LCQ219" s="1"/>
      <c r="LCR219" s="1"/>
      <c r="LCS219" s="1"/>
      <c r="LCT219" s="1"/>
      <c r="LCU219" s="1"/>
      <c r="LCV219" s="1"/>
      <c r="LCW219" s="1"/>
      <c r="LCX219" s="1"/>
      <c r="LCY219" s="1"/>
      <c r="LCZ219" s="1"/>
      <c r="LDA219" s="1"/>
      <c r="LDB219" s="1"/>
      <c r="LDC219" s="1"/>
      <c r="LDD219" s="1"/>
      <c r="LDE219" s="1"/>
      <c r="LDF219" s="1"/>
      <c r="LDG219" s="1"/>
      <c r="LDH219" s="1"/>
      <c r="LDI219" s="1"/>
      <c r="LDJ219" s="1"/>
      <c r="LDK219" s="1"/>
      <c r="LDL219" s="1"/>
      <c r="LDM219" s="1"/>
      <c r="LDN219" s="1"/>
      <c r="LDO219" s="1"/>
      <c r="LDP219" s="1"/>
      <c r="LDQ219" s="1"/>
      <c r="LDR219" s="1"/>
      <c r="LDS219" s="1"/>
      <c r="LDT219" s="1"/>
      <c r="LDU219" s="1"/>
      <c r="LDV219" s="1"/>
      <c r="LDW219" s="1"/>
      <c r="LDX219" s="1"/>
      <c r="LDY219" s="1"/>
      <c r="LDZ219" s="1"/>
      <c r="LEA219" s="1"/>
      <c r="LEB219" s="1"/>
      <c r="LEC219" s="1"/>
      <c r="LED219" s="1"/>
      <c r="LEE219" s="1"/>
      <c r="LEF219" s="1"/>
      <c r="LEG219" s="1"/>
      <c r="LEH219" s="1"/>
      <c r="LEI219" s="1"/>
      <c r="LEJ219" s="1"/>
      <c r="LEK219" s="1"/>
      <c r="LEL219" s="1"/>
      <c r="LEM219" s="1"/>
      <c r="LEN219" s="1"/>
      <c r="LEO219" s="1"/>
      <c r="LEP219" s="1"/>
      <c r="LEQ219" s="1"/>
      <c r="LER219" s="1"/>
      <c r="LES219" s="1"/>
      <c r="LET219" s="1"/>
      <c r="LEU219" s="1"/>
      <c r="LEV219" s="1"/>
      <c r="LEW219" s="1"/>
      <c r="LEX219" s="1"/>
      <c r="LEY219" s="1"/>
      <c r="LEZ219" s="1"/>
      <c r="LFA219" s="1"/>
      <c r="LFB219" s="1"/>
      <c r="LFC219" s="1"/>
      <c r="LFD219" s="1"/>
      <c r="LFE219" s="1"/>
      <c r="LFF219" s="1"/>
      <c r="LFG219" s="1"/>
      <c r="LFH219" s="1"/>
      <c r="LFI219" s="1"/>
      <c r="LFJ219" s="1"/>
      <c r="LFK219" s="1"/>
      <c r="LFL219" s="1"/>
      <c r="LFM219" s="1"/>
      <c r="LFN219" s="1"/>
      <c r="LFO219" s="1"/>
      <c r="LFP219" s="1"/>
      <c r="LFQ219" s="1"/>
      <c r="LFR219" s="1"/>
      <c r="LFS219" s="1"/>
      <c r="LFT219" s="1"/>
      <c r="LFU219" s="1"/>
      <c r="LFV219" s="1"/>
      <c r="LFW219" s="1"/>
      <c r="LFX219" s="1"/>
      <c r="LFY219" s="1"/>
      <c r="LFZ219" s="1"/>
      <c r="LGA219" s="1"/>
      <c r="LGB219" s="1"/>
      <c r="LGC219" s="1"/>
      <c r="LGD219" s="1"/>
      <c r="LGE219" s="1"/>
      <c r="LGF219" s="1"/>
      <c r="LGG219" s="1"/>
      <c r="LGH219" s="1"/>
      <c r="LGI219" s="1"/>
      <c r="LGJ219" s="1"/>
      <c r="LGK219" s="1"/>
      <c r="LGL219" s="1"/>
      <c r="LGM219" s="1"/>
      <c r="LGN219" s="1"/>
      <c r="LGO219" s="1"/>
      <c r="LGP219" s="1"/>
      <c r="LGQ219" s="1"/>
      <c r="LGR219" s="1"/>
      <c r="LGS219" s="1"/>
      <c r="LGT219" s="1"/>
      <c r="LGU219" s="1"/>
      <c r="LGV219" s="1"/>
      <c r="LGW219" s="1"/>
      <c r="LGX219" s="1"/>
      <c r="LGY219" s="1"/>
      <c r="LGZ219" s="1"/>
      <c r="LHA219" s="1"/>
      <c r="LHB219" s="1"/>
      <c r="LHC219" s="1"/>
      <c r="LHD219" s="1"/>
      <c r="LHE219" s="1"/>
      <c r="LHF219" s="1"/>
      <c r="LHG219" s="1"/>
      <c r="LHH219" s="1"/>
      <c r="LHI219" s="1"/>
      <c r="LHJ219" s="1"/>
      <c r="LHK219" s="1"/>
      <c r="LHL219" s="1"/>
      <c r="LHM219" s="1"/>
      <c r="LHN219" s="1"/>
      <c r="LHO219" s="1"/>
      <c r="LHP219" s="1"/>
      <c r="LHQ219" s="1"/>
      <c r="LHR219" s="1"/>
      <c r="LHS219" s="1"/>
      <c r="LHT219" s="1"/>
      <c r="LHU219" s="1"/>
      <c r="LHV219" s="1"/>
      <c r="LHW219" s="1"/>
      <c r="LHX219" s="1"/>
      <c r="LHY219" s="1"/>
      <c r="LHZ219" s="1"/>
      <c r="LIA219" s="1"/>
      <c r="LIB219" s="1"/>
      <c r="LIC219" s="1"/>
      <c r="LID219" s="1"/>
      <c r="LIE219" s="1"/>
      <c r="LIF219" s="1"/>
      <c r="LIG219" s="1"/>
      <c r="LIH219" s="1"/>
      <c r="LII219" s="1"/>
      <c r="LIJ219" s="1"/>
      <c r="LIK219" s="1"/>
      <c r="LIL219" s="1"/>
      <c r="LIM219" s="1"/>
      <c r="LIN219" s="1"/>
      <c r="LIO219" s="1"/>
      <c r="LIP219" s="1"/>
      <c r="LIQ219" s="1"/>
      <c r="LIR219" s="1"/>
      <c r="LIS219" s="1"/>
      <c r="LIT219" s="1"/>
      <c r="LIU219" s="1"/>
      <c r="LIV219" s="1"/>
      <c r="LIW219" s="1"/>
      <c r="LIX219" s="1"/>
      <c r="LIY219" s="1"/>
      <c r="LIZ219" s="1"/>
      <c r="LJA219" s="1"/>
      <c r="LJB219" s="1"/>
      <c r="LJC219" s="1"/>
      <c r="LJD219" s="1"/>
      <c r="LJE219" s="1"/>
      <c r="LJF219" s="1"/>
      <c r="LJG219" s="1"/>
      <c r="LJH219" s="1"/>
      <c r="LJI219" s="1"/>
      <c r="LJJ219" s="1"/>
      <c r="LJK219" s="1"/>
      <c r="LJL219" s="1"/>
      <c r="LJM219" s="1"/>
      <c r="LJN219" s="1"/>
      <c r="LJO219" s="1"/>
      <c r="LJP219" s="1"/>
      <c r="LJQ219" s="1"/>
      <c r="LJR219" s="1"/>
      <c r="LJS219" s="1"/>
      <c r="LJT219" s="1"/>
      <c r="LJU219" s="1"/>
      <c r="LJV219" s="1"/>
      <c r="LJW219" s="1"/>
      <c r="LJX219" s="1"/>
      <c r="LJY219" s="1"/>
      <c r="LJZ219" s="1"/>
      <c r="LKA219" s="1"/>
      <c r="LKB219" s="1"/>
      <c r="LKC219" s="1"/>
      <c r="LKD219" s="1"/>
      <c r="LKE219" s="1"/>
      <c r="LKF219" s="1"/>
      <c r="LKG219" s="1"/>
      <c r="LKH219" s="1"/>
      <c r="LKI219" s="1"/>
      <c r="LKJ219" s="1"/>
      <c r="LKK219" s="1"/>
      <c r="LKL219" s="1"/>
      <c r="LKM219" s="1"/>
      <c r="LKN219" s="1"/>
      <c r="LKO219" s="1"/>
      <c r="LKP219" s="1"/>
      <c r="LKQ219" s="1"/>
      <c r="LKR219" s="1"/>
      <c r="LKS219" s="1"/>
      <c r="LKT219" s="1"/>
      <c r="LKU219" s="1"/>
      <c r="LKV219" s="1"/>
      <c r="LKW219" s="1"/>
      <c r="LKX219" s="1"/>
      <c r="LKY219" s="1"/>
      <c r="LKZ219" s="1"/>
      <c r="LLA219" s="1"/>
      <c r="LLB219" s="1"/>
      <c r="LLC219" s="1"/>
      <c r="LLD219" s="1"/>
      <c r="LLE219" s="1"/>
      <c r="LLF219" s="1"/>
      <c r="LLG219" s="1"/>
      <c r="LLH219" s="1"/>
      <c r="LLI219" s="1"/>
      <c r="LLJ219" s="1"/>
      <c r="LLK219" s="1"/>
      <c r="LLL219" s="1"/>
      <c r="LLM219" s="1"/>
      <c r="LLN219" s="1"/>
      <c r="LLO219" s="1"/>
      <c r="LLP219" s="1"/>
      <c r="LLQ219" s="1"/>
      <c r="LLR219" s="1"/>
      <c r="LLS219" s="1"/>
      <c r="LLT219" s="1"/>
      <c r="LLU219" s="1"/>
      <c r="LLV219" s="1"/>
      <c r="LLW219" s="1"/>
      <c r="LLX219" s="1"/>
      <c r="LLY219" s="1"/>
      <c r="LLZ219" s="1"/>
      <c r="LMA219" s="1"/>
      <c r="LMB219" s="1"/>
      <c r="LMC219" s="1"/>
      <c r="LMD219" s="1"/>
      <c r="LME219" s="1"/>
      <c r="LMF219" s="1"/>
      <c r="LMG219" s="1"/>
      <c r="LMH219" s="1"/>
      <c r="LMI219" s="1"/>
      <c r="LMJ219" s="1"/>
      <c r="LMK219" s="1"/>
      <c r="LML219" s="1"/>
      <c r="LMM219" s="1"/>
      <c r="LMN219" s="1"/>
      <c r="LMO219" s="1"/>
      <c r="LMP219" s="1"/>
      <c r="LMQ219" s="1"/>
      <c r="LMR219" s="1"/>
      <c r="LMS219" s="1"/>
      <c r="LMT219" s="1"/>
      <c r="LMU219" s="1"/>
      <c r="LMV219" s="1"/>
      <c r="LMW219" s="1"/>
      <c r="LMX219" s="1"/>
      <c r="LMY219" s="1"/>
      <c r="LMZ219" s="1"/>
      <c r="LNA219" s="1"/>
      <c r="LNB219" s="1"/>
      <c r="LNC219" s="1"/>
      <c r="LND219" s="1"/>
      <c r="LNE219" s="1"/>
      <c r="LNF219" s="1"/>
      <c r="LNG219" s="1"/>
      <c r="LNH219" s="1"/>
      <c r="LNI219" s="1"/>
      <c r="LNJ219" s="1"/>
      <c r="LNK219" s="1"/>
      <c r="LNL219" s="1"/>
      <c r="LNM219" s="1"/>
      <c r="LNN219" s="1"/>
      <c r="LNO219" s="1"/>
      <c r="LNP219" s="1"/>
      <c r="LNQ219" s="1"/>
      <c r="LNR219" s="1"/>
      <c r="LNS219" s="1"/>
      <c r="LNT219" s="1"/>
      <c r="LNU219" s="1"/>
      <c r="LNV219" s="1"/>
      <c r="LNW219" s="1"/>
      <c r="LNX219" s="1"/>
      <c r="LNY219" s="1"/>
      <c r="LNZ219" s="1"/>
      <c r="LOA219" s="1"/>
      <c r="LOB219" s="1"/>
      <c r="LOC219" s="1"/>
      <c r="LOD219" s="1"/>
      <c r="LOE219" s="1"/>
      <c r="LOF219" s="1"/>
      <c r="LOG219" s="1"/>
      <c r="LOH219" s="1"/>
      <c r="LOI219" s="1"/>
      <c r="LOJ219" s="1"/>
      <c r="LOK219" s="1"/>
      <c r="LOL219" s="1"/>
      <c r="LOM219" s="1"/>
      <c r="LON219" s="1"/>
      <c r="LOO219" s="1"/>
      <c r="LOP219" s="1"/>
      <c r="LOQ219" s="1"/>
      <c r="LOR219" s="1"/>
      <c r="LOS219" s="1"/>
      <c r="LOT219" s="1"/>
      <c r="LOU219" s="1"/>
      <c r="LOV219" s="1"/>
      <c r="LOW219" s="1"/>
      <c r="LOX219" s="1"/>
      <c r="LOY219" s="1"/>
      <c r="LOZ219" s="1"/>
      <c r="LPA219" s="1"/>
      <c r="LPB219" s="1"/>
      <c r="LPC219" s="1"/>
      <c r="LPD219" s="1"/>
      <c r="LPE219" s="1"/>
      <c r="LPF219" s="1"/>
      <c r="LPG219" s="1"/>
      <c r="LPH219" s="1"/>
      <c r="LPI219" s="1"/>
      <c r="LPJ219" s="1"/>
      <c r="LPK219" s="1"/>
      <c r="LPL219" s="1"/>
      <c r="LPM219" s="1"/>
      <c r="LPN219" s="1"/>
      <c r="LPO219" s="1"/>
      <c r="LPP219" s="1"/>
      <c r="LPQ219" s="1"/>
      <c r="LPR219" s="1"/>
      <c r="LPS219" s="1"/>
      <c r="LPT219" s="1"/>
      <c r="LPU219" s="1"/>
      <c r="LPV219" s="1"/>
      <c r="LPW219" s="1"/>
      <c r="LPX219" s="1"/>
      <c r="LPY219" s="1"/>
      <c r="LPZ219" s="1"/>
      <c r="LQA219" s="1"/>
      <c r="LQB219" s="1"/>
      <c r="LQC219" s="1"/>
      <c r="LQD219" s="1"/>
      <c r="LQE219" s="1"/>
      <c r="LQF219" s="1"/>
      <c r="LQG219" s="1"/>
      <c r="LQH219" s="1"/>
      <c r="LQI219" s="1"/>
      <c r="LQJ219" s="1"/>
      <c r="LQK219" s="1"/>
      <c r="LQL219" s="1"/>
      <c r="LQM219" s="1"/>
      <c r="LQN219" s="1"/>
      <c r="LQO219" s="1"/>
      <c r="LQP219" s="1"/>
      <c r="LQQ219" s="1"/>
      <c r="LQR219" s="1"/>
      <c r="LQS219" s="1"/>
      <c r="LQT219" s="1"/>
      <c r="LQU219" s="1"/>
      <c r="LQV219" s="1"/>
      <c r="LQW219" s="1"/>
      <c r="LQX219" s="1"/>
      <c r="LQY219" s="1"/>
      <c r="LQZ219" s="1"/>
      <c r="LRA219" s="1"/>
      <c r="LRB219" s="1"/>
      <c r="LRC219" s="1"/>
      <c r="LRD219" s="1"/>
      <c r="LRE219" s="1"/>
      <c r="LRF219" s="1"/>
      <c r="LRG219" s="1"/>
      <c r="LRH219" s="1"/>
      <c r="LRI219" s="1"/>
      <c r="LRJ219" s="1"/>
      <c r="LRK219" s="1"/>
      <c r="LRL219" s="1"/>
      <c r="LRM219" s="1"/>
      <c r="LRN219" s="1"/>
      <c r="LRO219" s="1"/>
      <c r="LRP219" s="1"/>
      <c r="LRQ219" s="1"/>
      <c r="LRR219" s="1"/>
      <c r="LRS219" s="1"/>
      <c r="LRT219" s="1"/>
      <c r="LRU219" s="1"/>
      <c r="LRV219" s="1"/>
      <c r="LRW219" s="1"/>
      <c r="LRX219" s="1"/>
      <c r="LRY219" s="1"/>
      <c r="LRZ219" s="1"/>
      <c r="LSA219" s="1"/>
      <c r="LSB219" s="1"/>
      <c r="LSC219" s="1"/>
      <c r="LSD219" s="1"/>
      <c r="LSE219" s="1"/>
      <c r="LSF219" s="1"/>
      <c r="LSG219" s="1"/>
      <c r="LSH219" s="1"/>
      <c r="LSI219" s="1"/>
      <c r="LSJ219" s="1"/>
      <c r="LSK219" s="1"/>
      <c r="LSL219" s="1"/>
      <c r="LSM219" s="1"/>
      <c r="LSN219" s="1"/>
      <c r="LSO219" s="1"/>
      <c r="LSP219" s="1"/>
      <c r="LSQ219" s="1"/>
      <c r="LSR219" s="1"/>
      <c r="LSS219" s="1"/>
      <c r="LST219" s="1"/>
      <c r="LSU219" s="1"/>
      <c r="LSV219" s="1"/>
      <c r="LSW219" s="1"/>
      <c r="LSX219" s="1"/>
      <c r="LSY219" s="1"/>
      <c r="LSZ219" s="1"/>
      <c r="LTA219" s="1"/>
      <c r="LTB219" s="1"/>
      <c r="LTC219" s="1"/>
      <c r="LTD219" s="1"/>
      <c r="LTE219" s="1"/>
      <c r="LTF219" s="1"/>
      <c r="LTG219" s="1"/>
      <c r="LTH219" s="1"/>
      <c r="LTI219" s="1"/>
      <c r="LTJ219" s="1"/>
      <c r="LTK219" s="1"/>
      <c r="LTL219" s="1"/>
      <c r="LTM219" s="1"/>
      <c r="LTN219" s="1"/>
      <c r="LTO219" s="1"/>
      <c r="LTP219" s="1"/>
      <c r="LTQ219" s="1"/>
      <c r="LTR219" s="1"/>
      <c r="LTS219" s="1"/>
      <c r="LTT219" s="1"/>
      <c r="LTU219" s="1"/>
      <c r="LTV219" s="1"/>
      <c r="LTW219" s="1"/>
      <c r="LTX219" s="1"/>
      <c r="LTY219" s="1"/>
      <c r="LTZ219" s="1"/>
      <c r="LUA219" s="1"/>
      <c r="LUB219" s="1"/>
      <c r="LUC219" s="1"/>
      <c r="LUD219" s="1"/>
      <c r="LUE219" s="1"/>
      <c r="LUF219" s="1"/>
      <c r="LUG219" s="1"/>
      <c r="LUH219" s="1"/>
      <c r="LUI219" s="1"/>
      <c r="LUJ219" s="1"/>
      <c r="LUK219" s="1"/>
      <c r="LUL219" s="1"/>
      <c r="LUM219" s="1"/>
      <c r="LUN219" s="1"/>
      <c r="LUO219" s="1"/>
      <c r="LUP219" s="1"/>
      <c r="LUQ219" s="1"/>
      <c r="LUR219" s="1"/>
      <c r="LUS219" s="1"/>
      <c r="LUT219" s="1"/>
      <c r="LUU219" s="1"/>
      <c r="LUV219" s="1"/>
      <c r="LUW219" s="1"/>
      <c r="LUX219" s="1"/>
      <c r="LUY219" s="1"/>
      <c r="LUZ219" s="1"/>
      <c r="LVA219" s="1"/>
      <c r="LVB219" s="1"/>
      <c r="LVC219" s="1"/>
      <c r="LVD219" s="1"/>
      <c r="LVE219" s="1"/>
      <c r="LVF219" s="1"/>
      <c r="LVG219" s="1"/>
      <c r="LVH219" s="1"/>
      <c r="LVI219" s="1"/>
      <c r="LVJ219" s="1"/>
      <c r="LVK219" s="1"/>
      <c r="LVL219" s="1"/>
      <c r="LVM219" s="1"/>
      <c r="LVN219" s="1"/>
      <c r="LVO219" s="1"/>
      <c r="LVP219" s="1"/>
      <c r="LVQ219" s="1"/>
      <c r="LVR219" s="1"/>
      <c r="LVS219" s="1"/>
      <c r="LVT219" s="1"/>
      <c r="LVU219" s="1"/>
      <c r="LVV219" s="1"/>
      <c r="LVW219" s="1"/>
      <c r="LVX219" s="1"/>
      <c r="LVY219" s="1"/>
      <c r="LVZ219" s="1"/>
      <c r="LWA219" s="1"/>
      <c r="LWB219" s="1"/>
      <c r="LWC219" s="1"/>
      <c r="LWD219" s="1"/>
      <c r="LWE219" s="1"/>
      <c r="LWF219" s="1"/>
      <c r="LWG219" s="1"/>
      <c r="LWH219" s="1"/>
      <c r="LWI219" s="1"/>
      <c r="LWJ219" s="1"/>
      <c r="LWK219" s="1"/>
      <c r="LWL219" s="1"/>
      <c r="LWM219" s="1"/>
      <c r="LWN219" s="1"/>
      <c r="LWO219" s="1"/>
      <c r="LWP219" s="1"/>
      <c r="LWQ219" s="1"/>
      <c r="LWR219" s="1"/>
      <c r="LWS219" s="1"/>
      <c r="LWT219" s="1"/>
      <c r="LWU219" s="1"/>
      <c r="LWV219" s="1"/>
      <c r="LWW219" s="1"/>
      <c r="LWX219" s="1"/>
      <c r="LWY219" s="1"/>
      <c r="LWZ219" s="1"/>
      <c r="LXA219" s="1"/>
      <c r="LXB219" s="1"/>
      <c r="LXC219" s="1"/>
      <c r="LXD219" s="1"/>
      <c r="LXE219" s="1"/>
      <c r="LXF219" s="1"/>
      <c r="LXG219" s="1"/>
      <c r="LXH219" s="1"/>
      <c r="LXI219" s="1"/>
      <c r="LXJ219" s="1"/>
      <c r="LXK219" s="1"/>
      <c r="LXL219" s="1"/>
      <c r="LXM219" s="1"/>
      <c r="LXN219" s="1"/>
      <c r="LXO219" s="1"/>
      <c r="LXP219" s="1"/>
      <c r="LXQ219" s="1"/>
      <c r="LXR219" s="1"/>
      <c r="LXS219" s="1"/>
      <c r="LXT219" s="1"/>
      <c r="LXU219" s="1"/>
      <c r="LXV219" s="1"/>
      <c r="LXW219" s="1"/>
      <c r="LXX219" s="1"/>
      <c r="LXY219" s="1"/>
      <c r="LXZ219" s="1"/>
      <c r="LYA219" s="1"/>
      <c r="LYB219" s="1"/>
      <c r="LYC219" s="1"/>
      <c r="LYD219" s="1"/>
      <c r="LYE219" s="1"/>
      <c r="LYF219" s="1"/>
      <c r="LYG219" s="1"/>
      <c r="LYH219" s="1"/>
      <c r="LYI219" s="1"/>
      <c r="LYJ219" s="1"/>
      <c r="LYK219" s="1"/>
      <c r="LYL219" s="1"/>
      <c r="LYM219" s="1"/>
      <c r="LYN219" s="1"/>
      <c r="LYO219" s="1"/>
      <c r="LYP219" s="1"/>
      <c r="LYQ219" s="1"/>
      <c r="LYR219" s="1"/>
      <c r="LYS219" s="1"/>
      <c r="LYT219" s="1"/>
      <c r="LYU219" s="1"/>
      <c r="LYV219" s="1"/>
      <c r="LYW219" s="1"/>
      <c r="LYX219" s="1"/>
      <c r="LYY219" s="1"/>
      <c r="LYZ219" s="1"/>
      <c r="LZA219" s="1"/>
      <c r="LZB219" s="1"/>
      <c r="LZC219" s="1"/>
      <c r="LZD219" s="1"/>
      <c r="LZE219" s="1"/>
      <c r="LZF219" s="1"/>
      <c r="LZG219" s="1"/>
      <c r="LZH219" s="1"/>
      <c r="LZI219" s="1"/>
      <c r="LZJ219" s="1"/>
      <c r="LZK219" s="1"/>
      <c r="LZL219" s="1"/>
      <c r="LZM219" s="1"/>
      <c r="LZN219" s="1"/>
      <c r="LZO219" s="1"/>
      <c r="LZP219" s="1"/>
      <c r="LZQ219" s="1"/>
      <c r="LZR219" s="1"/>
      <c r="LZS219" s="1"/>
      <c r="LZT219" s="1"/>
      <c r="LZU219" s="1"/>
      <c r="LZV219" s="1"/>
      <c r="LZW219" s="1"/>
      <c r="LZX219" s="1"/>
      <c r="LZY219" s="1"/>
      <c r="LZZ219" s="1"/>
      <c r="MAA219" s="1"/>
      <c r="MAB219" s="1"/>
      <c r="MAC219" s="1"/>
      <c r="MAD219" s="1"/>
      <c r="MAE219" s="1"/>
      <c r="MAF219" s="1"/>
      <c r="MAG219" s="1"/>
      <c r="MAH219" s="1"/>
      <c r="MAI219" s="1"/>
      <c r="MAJ219" s="1"/>
      <c r="MAK219" s="1"/>
      <c r="MAL219" s="1"/>
      <c r="MAM219" s="1"/>
      <c r="MAN219" s="1"/>
      <c r="MAO219" s="1"/>
      <c r="MAP219" s="1"/>
      <c r="MAQ219" s="1"/>
      <c r="MAR219" s="1"/>
      <c r="MAS219" s="1"/>
      <c r="MAT219" s="1"/>
      <c r="MAU219" s="1"/>
      <c r="MAV219" s="1"/>
      <c r="MAW219" s="1"/>
      <c r="MAX219" s="1"/>
      <c r="MAY219" s="1"/>
      <c r="MAZ219" s="1"/>
      <c r="MBA219" s="1"/>
      <c r="MBB219" s="1"/>
      <c r="MBC219" s="1"/>
      <c r="MBD219" s="1"/>
      <c r="MBE219" s="1"/>
      <c r="MBF219" s="1"/>
      <c r="MBG219" s="1"/>
      <c r="MBH219" s="1"/>
      <c r="MBI219" s="1"/>
      <c r="MBJ219" s="1"/>
      <c r="MBK219" s="1"/>
      <c r="MBL219" s="1"/>
      <c r="MBM219" s="1"/>
      <c r="MBN219" s="1"/>
      <c r="MBO219" s="1"/>
      <c r="MBP219" s="1"/>
      <c r="MBQ219" s="1"/>
      <c r="MBR219" s="1"/>
      <c r="MBS219" s="1"/>
      <c r="MBT219" s="1"/>
      <c r="MBU219" s="1"/>
      <c r="MBV219" s="1"/>
      <c r="MBW219" s="1"/>
      <c r="MBX219" s="1"/>
      <c r="MBY219" s="1"/>
      <c r="MBZ219" s="1"/>
      <c r="MCA219" s="1"/>
      <c r="MCB219" s="1"/>
      <c r="MCC219" s="1"/>
      <c r="MCD219" s="1"/>
      <c r="MCE219" s="1"/>
      <c r="MCF219" s="1"/>
      <c r="MCG219" s="1"/>
      <c r="MCH219" s="1"/>
      <c r="MCI219" s="1"/>
      <c r="MCJ219" s="1"/>
      <c r="MCK219" s="1"/>
      <c r="MCL219" s="1"/>
      <c r="MCM219" s="1"/>
      <c r="MCN219" s="1"/>
      <c r="MCO219" s="1"/>
      <c r="MCP219" s="1"/>
      <c r="MCQ219" s="1"/>
      <c r="MCR219" s="1"/>
      <c r="MCS219" s="1"/>
      <c r="MCT219" s="1"/>
      <c r="MCU219" s="1"/>
      <c r="MCV219" s="1"/>
      <c r="MCW219" s="1"/>
      <c r="MCX219" s="1"/>
      <c r="MCY219" s="1"/>
      <c r="MCZ219" s="1"/>
      <c r="MDA219" s="1"/>
      <c r="MDB219" s="1"/>
      <c r="MDC219" s="1"/>
      <c r="MDD219" s="1"/>
      <c r="MDE219" s="1"/>
      <c r="MDF219" s="1"/>
      <c r="MDG219" s="1"/>
      <c r="MDH219" s="1"/>
      <c r="MDI219" s="1"/>
      <c r="MDJ219" s="1"/>
      <c r="MDK219" s="1"/>
      <c r="MDL219" s="1"/>
      <c r="MDM219" s="1"/>
      <c r="MDN219" s="1"/>
      <c r="MDO219" s="1"/>
      <c r="MDP219" s="1"/>
      <c r="MDQ219" s="1"/>
      <c r="MDR219" s="1"/>
      <c r="MDS219" s="1"/>
      <c r="MDT219" s="1"/>
      <c r="MDU219" s="1"/>
      <c r="MDV219" s="1"/>
      <c r="MDW219" s="1"/>
      <c r="MDX219" s="1"/>
      <c r="MDY219" s="1"/>
      <c r="MDZ219" s="1"/>
      <c r="MEA219" s="1"/>
      <c r="MEB219" s="1"/>
      <c r="MEC219" s="1"/>
      <c r="MED219" s="1"/>
      <c r="MEE219" s="1"/>
      <c r="MEF219" s="1"/>
      <c r="MEG219" s="1"/>
      <c r="MEH219" s="1"/>
      <c r="MEI219" s="1"/>
      <c r="MEJ219" s="1"/>
      <c r="MEK219" s="1"/>
      <c r="MEL219" s="1"/>
      <c r="MEM219" s="1"/>
      <c r="MEN219" s="1"/>
      <c r="MEO219" s="1"/>
      <c r="MEP219" s="1"/>
      <c r="MEQ219" s="1"/>
      <c r="MER219" s="1"/>
      <c r="MES219" s="1"/>
      <c r="MET219" s="1"/>
      <c r="MEU219" s="1"/>
      <c r="MEV219" s="1"/>
      <c r="MEW219" s="1"/>
      <c r="MEX219" s="1"/>
      <c r="MEY219" s="1"/>
      <c r="MEZ219" s="1"/>
      <c r="MFA219" s="1"/>
      <c r="MFB219" s="1"/>
      <c r="MFC219" s="1"/>
      <c r="MFD219" s="1"/>
      <c r="MFE219" s="1"/>
      <c r="MFF219" s="1"/>
      <c r="MFG219" s="1"/>
      <c r="MFH219" s="1"/>
      <c r="MFI219" s="1"/>
      <c r="MFJ219" s="1"/>
      <c r="MFK219" s="1"/>
      <c r="MFL219" s="1"/>
      <c r="MFM219" s="1"/>
      <c r="MFN219" s="1"/>
      <c r="MFO219" s="1"/>
      <c r="MFP219" s="1"/>
      <c r="MFQ219" s="1"/>
      <c r="MFR219" s="1"/>
      <c r="MFS219" s="1"/>
      <c r="MFT219" s="1"/>
      <c r="MFU219" s="1"/>
      <c r="MFV219" s="1"/>
      <c r="MFW219" s="1"/>
      <c r="MFX219" s="1"/>
      <c r="MFY219" s="1"/>
      <c r="MFZ219" s="1"/>
      <c r="MGA219" s="1"/>
      <c r="MGB219" s="1"/>
      <c r="MGC219" s="1"/>
      <c r="MGD219" s="1"/>
      <c r="MGE219" s="1"/>
      <c r="MGF219" s="1"/>
      <c r="MGG219" s="1"/>
      <c r="MGH219" s="1"/>
      <c r="MGI219" s="1"/>
      <c r="MGJ219" s="1"/>
      <c r="MGK219" s="1"/>
      <c r="MGL219" s="1"/>
      <c r="MGM219" s="1"/>
      <c r="MGN219" s="1"/>
      <c r="MGO219" s="1"/>
      <c r="MGP219" s="1"/>
      <c r="MGQ219" s="1"/>
      <c r="MGR219" s="1"/>
      <c r="MGS219" s="1"/>
      <c r="MGT219" s="1"/>
      <c r="MGU219" s="1"/>
      <c r="MGV219" s="1"/>
      <c r="MGW219" s="1"/>
      <c r="MGX219" s="1"/>
      <c r="MGY219" s="1"/>
      <c r="MGZ219" s="1"/>
      <c r="MHA219" s="1"/>
      <c r="MHB219" s="1"/>
      <c r="MHC219" s="1"/>
      <c r="MHD219" s="1"/>
      <c r="MHE219" s="1"/>
      <c r="MHF219" s="1"/>
      <c r="MHG219" s="1"/>
      <c r="MHH219" s="1"/>
      <c r="MHI219" s="1"/>
      <c r="MHJ219" s="1"/>
      <c r="MHK219" s="1"/>
      <c r="MHL219" s="1"/>
      <c r="MHM219" s="1"/>
      <c r="MHN219" s="1"/>
      <c r="MHO219" s="1"/>
      <c r="MHP219" s="1"/>
      <c r="MHQ219" s="1"/>
      <c r="MHR219" s="1"/>
      <c r="MHS219" s="1"/>
      <c r="MHT219" s="1"/>
      <c r="MHU219" s="1"/>
      <c r="MHV219" s="1"/>
      <c r="MHW219" s="1"/>
      <c r="MHX219" s="1"/>
      <c r="MHY219" s="1"/>
      <c r="MHZ219" s="1"/>
      <c r="MIA219" s="1"/>
      <c r="MIB219" s="1"/>
      <c r="MIC219" s="1"/>
      <c r="MID219" s="1"/>
      <c r="MIE219" s="1"/>
      <c r="MIF219" s="1"/>
      <c r="MIG219" s="1"/>
      <c r="MIH219" s="1"/>
      <c r="MII219" s="1"/>
      <c r="MIJ219" s="1"/>
      <c r="MIK219" s="1"/>
      <c r="MIL219" s="1"/>
      <c r="MIM219" s="1"/>
      <c r="MIN219" s="1"/>
      <c r="MIO219" s="1"/>
      <c r="MIP219" s="1"/>
      <c r="MIQ219" s="1"/>
      <c r="MIR219" s="1"/>
      <c r="MIS219" s="1"/>
      <c r="MIT219" s="1"/>
      <c r="MIU219" s="1"/>
      <c r="MIV219" s="1"/>
      <c r="MIW219" s="1"/>
      <c r="MIX219" s="1"/>
      <c r="MIY219" s="1"/>
      <c r="MIZ219" s="1"/>
      <c r="MJA219" s="1"/>
      <c r="MJB219" s="1"/>
      <c r="MJC219" s="1"/>
      <c r="MJD219" s="1"/>
      <c r="MJE219" s="1"/>
      <c r="MJF219" s="1"/>
      <c r="MJG219" s="1"/>
      <c r="MJH219" s="1"/>
      <c r="MJI219" s="1"/>
      <c r="MJJ219" s="1"/>
      <c r="MJK219" s="1"/>
      <c r="MJL219" s="1"/>
      <c r="MJM219" s="1"/>
      <c r="MJN219" s="1"/>
      <c r="MJO219" s="1"/>
      <c r="MJP219" s="1"/>
      <c r="MJQ219" s="1"/>
      <c r="MJR219" s="1"/>
      <c r="MJS219" s="1"/>
      <c r="MJT219" s="1"/>
      <c r="MJU219" s="1"/>
      <c r="MJV219" s="1"/>
      <c r="MJW219" s="1"/>
      <c r="MJX219" s="1"/>
      <c r="MJY219" s="1"/>
      <c r="MJZ219" s="1"/>
      <c r="MKA219" s="1"/>
      <c r="MKB219" s="1"/>
      <c r="MKC219" s="1"/>
      <c r="MKD219" s="1"/>
      <c r="MKE219" s="1"/>
      <c r="MKF219" s="1"/>
      <c r="MKG219" s="1"/>
      <c r="MKH219" s="1"/>
      <c r="MKI219" s="1"/>
      <c r="MKJ219" s="1"/>
      <c r="MKK219" s="1"/>
      <c r="MKL219" s="1"/>
      <c r="MKM219" s="1"/>
      <c r="MKN219" s="1"/>
      <c r="MKO219" s="1"/>
      <c r="MKP219" s="1"/>
      <c r="MKQ219" s="1"/>
      <c r="MKR219" s="1"/>
      <c r="MKS219" s="1"/>
      <c r="MKT219" s="1"/>
      <c r="MKU219" s="1"/>
      <c r="MKV219" s="1"/>
      <c r="MKW219" s="1"/>
      <c r="MKX219" s="1"/>
      <c r="MKY219" s="1"/>
      <c r="MKZ219" s="1"/>
      <c r="MLA219" s="1"/>
      <c r="MLB219" s="1"/>
      <c r="MLC219" s="1"/>
      <c r="MLD219" s="1"/>
      <c r="MLE219" s="1"/>
      <c r="MLF219" s="1"/>
      <c r="MLG219" s="1"/>
      <c r="MLH219" s="1"/>
      <c r="MLI219" s="1"/>
      <c r="MLJ219" s="1"/>
      <c r="MLK219" s="1"/>
      <c r="MLL219" s="1"/>
      <c r="MLM219" s="1"/>
      <c r="MLN219" s="1"/>
      <c r="MLO219" s="1"/>
      <c r="MLP219" s="1"/>
      <c r="MLQ219" s="1"/>
      <c r="MLR219" s="1"/>
      <c r="MLS219" s="1"/>
      <c r="MLT219" s="1"/>
      <c r="MLU219" s="1"/>
      <c r="MLV219" s="1"/>
      <c r="MLW219" s="1"/>
      <c r="MLX219" s="1"/>
      <c r="MLY219" s="1"/>
      <c r="MLZ219" s="1"/>
      <c r="MMA219" s="1"/>
      <c r="MMB219" s="1"/>
      <c r="MMC219" s="1"/>
      <c r="MMD219" s="1"/>
      <c r="MME219" s="1"/>
      <c r="MMF219" s="1"/>
      <c r="MMG219" s="1"/>
      <c r="MMH219" s="1"/>
      <c r="MMI219" s="1"/>
      <c r="MMJ219" s="1"/>
      <c r="MMK219" s="1"/>
      <c r="MML219" s="1"/>
      <c r="MMM219" s="1"/>
      <c r="MMN219" s="1"/>
      <c r="MMO219" s="1"/>
      <c r="MMP219" s="1"/>
      <c r="MMQ219" s="1"/>
      <c r="MMR219" s="1"/>
      <c r="MMS219" s="1"/>
      <c r="MMT219" s="1"/>
      <c r="MMU219" s="1"/>
      <c r="MMV219" s="1"/>
      <c r="MMW219" s="1"/>
      <c r="MMX219" s="1"/>
      <c r="MMY219" s="1"/>
      <c r="MMZ219" s="1"/>
      <c r="MNA219" s="1"/>
      <c r="MNB219" s="1"/>
      <c r="MNC219" s="1"/>
      <c r="MND219" s="1"/>
      <c r="MNE219" s="1"/>
      <c r="MNF219" s="1"/>
      <c r="MNG219" s="1"/>
      <c r="MNH219" s="1"/>
      <c r="MNI219" s="1"/>
      <c r="MNJ219" s="1"/>
      <c r="MNK219" s="1"/>
      <c r="MNL219" s="1"/>
      <c r="MNM219" s="1"/>
      <c r="MNN219" s="1"/>
      <c r="MNO219" s="1"/>
      <c r="MNP219" s="1"/>
      <c r="MNQ219" s="1"/>
      <c r="MNR219" s="1"/>
      <c r="MNS219" s="1"/>
      <c r="MNT219" s="1"/>
      <c r="MNU219" s="1"/>
      <c r="MNV219" s="1"/>
      <c r="MNW219" s="1"/>
      <c r="MNX219" s="1"/>
      <c r="MNY219" s="1"/>
      <c r="MNZ219" s="1"/>
      <c r="MOA219" s="1"/>
      <c r="MOB219" s="1"/>
      <c r="MOC219" s="1"/>
      <c r="MOD219" s="1"/>
      <c r="MOE219" s="1"/>
      <c r="MOF219" s="1"/>
      <c r="MOG219" s="1"/>
      <c r="MOH219" s="1"/>
      <c r="MOI219" s="1"/>
      <c r="MOJ219" s="1"/>
      <c r="MOK219" s="1"/>
      <c r="MOL219" s="1"/>
      <c r="MOM219" s="1"/>
      <c r="MON219" s="1"/>
      <c r="MOO219" s="1"/>
      <c r="MOP219" s="1"/>
      <c r="MOQ219" s="1"/>
      <c r="MOR219" s="1"/>
      <c r="MOS219" s="1"/>
      <c r="MOT219" s="1"/>
      <c r="MOU219" s="1"/>
      <c r="MOV219" s="1"/>
      <c r="MOW219" s="1"/>
      <c r="MOX219" s="1"/>
      <c r="MOY219" s="1"/>
      <c r="MOZ219" s="1"/>
      <c r="MPA219" s="1"/>
      <c r="MPB219" s="1"/>
      <c r="MPC219" s="1"/>
      <c r="MPD219" s="1"/>
      <c r="MPE219" s="1"/>
      <c r="MPF219" s="1"/>
      <c r="MPG219" s="1"/>
      <c r="MPH219" s="1"/>
      <c r="MPI219" s="1"/>
      <c r="MPJ219" s="1"/>
      <c r="MPK219" s="1"/>
      <c r="MPL219" s="1"/>
      <c r="MPM219" s="1"/>
      <c r="MPN219" s="1"/>
      <c r="MPO219" s="1"/>
      <c r="MPP219" s="1"/>
      <c r="MPQ219" s="1"/>
      <c r="MPR219" s="1"/>
      <c r="MPS219" s="1"/>
      <c r="MPT219" s="1"/>
      <c r="MPU219" s="1"/>
      <c r="MPV219" s="1"/>
      <c r="MPW219" s="1"/>
      <c r="MPX219" s="1"/>
      <c r="MPY219" s="1"/>
      <c r="MPZ219" s="1"/>
      <c r="MQA219" s="1"/>
      <c r="MQB219" s="1"/>
      <c r="MQC219" s="1"/>
      <c r="MQD219" s="1"/>
      <c r="MQE219" s="1"/>
      <c r="MQF219" s="1"/>
      <c r="MQG219" s="1"/>
      <c r="MQH219" s="1"/>
      <c r="MQI219" s="1"/>
      <c r="MQJ219" s="1"/>
      <c r="MQK219" s="1"/>
      <c r="MQL219" s="1"/>
      <c r="MQM219" s="1"/>
      <c r="MQN219" s="1"/>
      <c r="MQO219" s="1"/>
      <c r="MQP219" s="1"/>
      <c r="MQQ219" s="1"/>
      <c r="MQR219" s="1"/>
      <c r="MQS219" s="1"/>
      <c r="MQT219" s="1"/>
      <c r="MQU219" s="1"/>
      <c r="MQV219" s="1"/>
      <c r="MQW219" s="1"/>
      <c r="MQX219" s="1"/>
      <c r="MQY219" s="1"/>
      <c r="MQZ219" s="1"/>
      <c r="MRA219" s="1"/>
      <c r="MRB219" s="1"/>
      <c r="MRC219" s="1"/>
      <c r="MRD219" s="1"/>
      <c r="MRE219" s="1"/>
      <c r="MRF219" s="1"/>
      <c r="MRG219" s="1"/>
      <c r="MRH219" s="1"/>
      <c r="MRI219" s="1"/>
      <c r="MRJ219" s="1"/>
      <c r="MRK219" s="1"/>
      <c r="MRL219" s="1"/>
      <c r="MRM219" s="1"/>
      <c r="MRN219" s="1"/>
      <c r="MRO219" s="1"/>
      <c r="MRP219" s="1"/>
      <c r="MRQ219" s="1"/>
      <c r="MRR219" s="1"/>
      <c r="MRS219" s="1"/>
      <c r="MRT219" s="1"/>
      <c r="MRU219" s="1"/>
      <c r="MRV219" s="1"/>
      <c r="MRW219" s="1"/>
      <c r="MRX219" s="1"/>
      <c r="MRY219" s="1"/>
      <c r="MRZ219" s="1"/>
      <c r="MSA219" s="1"/>
      <c r="MSB219" s="1"/>
      <c r="MSC219" s="1"/>
      <c r="MSD219" s="1"/>
      <c r="MSE219" s="1"/>
      <c r="MSF219" s="1"/>
      <c r="MSG219" s="1"/>
      <c r="MSH219" s="1"/>
      <c r="MSI219" s="1"/>
      <c r="MSJ219" s="1"/>
      <c r="MSK219" s="1"/>
      <c r="MSL219" s="1"/>
      <c r="MSM219" s="1"/>
      <c r="MSN219" s="1"/>
      <c r="MSO219" s="1"/>
      <c r="MSP219" s="1"/>
      <c r="MSQ219" s="1"/>
      <c r="MSR219" s="1"/>
      <c r="MSS219" s="1"/>
      <c r="MST219" s="1"/>
      <c r="MSU219" s="1"/>
      <c r="MSV219" s="1"/>
      <c r="MSW219" s="1"/>
      <c r="MSX219" s="1"/>
      <c r="MSY219" s="1"/>
      <c r="MSZ219" s="1"/>
      <c r="MTA219" s="1"/>
      <c r="MTB219" s="1"/>
      <c r="MTC219" s="1"/>
      <c r="MTD219" s="1"/>
      <c r="MTE219" s="1"/>
      <c r="MTF219" s="1"/>
      <c r="MTG219" s="1"/>
      <c r="MTH219" s="1"/>
      <c r="MTI219" s="1"/>
      <c r="MTJ219" s="1"/>
      <c r="MTK219" s="1"/>
      <c r="MTL219" s="1"/>
      <c r="MTM219" s="1"/>
      <c r="MTN219" s="1"/>
      <c r="MTO219" s="1"/>
      <c r="MTP219" s="1"/>
      <c r="MTQ219" s="1"/>
      <c r="MTR219" s="1"/>
      <c r="MTS219" s="1"/>
      <c r="MTT219" s="1"/>
      <c r="MTU219" s="1"/>
      <c r="MTV219" s="1"/>
      <c r="MTW219" s="1"/>
      <c r="MTX219" s="1"/>
      <c r="MTY219" s="1"/>
      <c r="MTZ219" s="1"/>
      <c r="MUA219" s="1"/>
      <c r="MUB219" s="1"/>
      <c r="MUC219" s="1"/>
      <c r="MUD219" s="1"/>
      <c r="MUE219" s="1"/>
      <c r="MUF219" s="1"/>
      <c r="MUG219" s="1"/>
      <c r="MUH219" s="1"/>
      <c r="MUI219" s="1"/>
      <c r="MUJ219" s="1"/>
      <c r="MUK219" s="1"/>
      <c r="MUL219" s="1"/>
      <c r="MUM219" s="1"/>
      <c r="MUN219" s="1"/>
      <c r="MUO219" s="1"/>
      <c r="MUP219" s="1"/>
      <c r="MUQ219" s="1"/>
      <c r="MUR219" s="1"/>
      <c r="MUS219" s="1"/>
      <c r="MUT219" s="1"/>
      <c r="MUU219" s="1"/>
      <c r="MUV219" s="1"/>
      <c r="MUW219" s="1"/>
      <c r="MUX219" s="1"/>
      <c r="MUY219" s="1"/>
      <c r="MUZ219" s="1"/>
      <c r="MVA219" s="1"/>
      <c r="MVB219" s="1"/>
      <c r="MVC219" s="1"/>
      <c r="MVD219" s="1"/>
      <c r="MVE219" s="1"/>
      <c r="MVF219" s="1"/>
      <c r="MVG219" s="1"/>
      <c r="MVH219" s="1"/>
      <c r="MVI219" s="1"/>
      <c r="MVJ219" s="1"/>
      <c r="MVK219" s="1"/>
      <c r="MVL219" s="1"/>
      <c r="MVM219" s="1"/>
      <c r="MVN219" s="1"/>
      <c r="MVO219" s="1"/>
      <c r="MVP219" s="1"/>
      <c r="MVQ219" s="1"/>
      <c r="MVR219" s="1"/>
      <c r="MVS219" s="1"/>
      <c r="MVT219" s="1"/>
      <c r="MVU219" s="1"/>
      <c r="MVV219" s="1"/>
      <c r="MVW219" s="1"/>
      <c r="MVX219" s="1"/>
      <c r="MVY219" s="1"/>
      <c r="MVZ219" s="1"/>
      <c r="MWA219" s="1"/>
      <c r="MWB219" s="1"/>
      <c r="MWC219" s="1"/>
      <c r="MWD219" s="1"/>
      <c r="MWE219" s="1"/>
      <c r="MWF219" s="1"/>
      <c r="MWG219" s="1"/>
      <c r="MWH219" s="1"/>
      <c r="MWI219" s="1"/>
      <c r="MWJ219" s="1"/>
      <c r="MWK219" s="1"/>
      <c r="MWL219" s="1"/>
      <c r="MWM219" s="1"/>
      <c r="MWN219" s="1"/>
      <c r="MWO219" s="1"/>
      <c r="MWP219" s="1"/>
      <c r="MWQ219" s="1"/>
      <c r="MWR219" s="1"/>
      <c r="MWS219" s="1"/>
      <c r="MWT219" s="1"/>
      <c r="MWU219" s="1"/>
      <c r="MWV219" s="1"/>
      <c r="MWW219" s="1"/>
      <c r="MWX219" s="1"/>
      <c r="MWY219" s="1"/>
      <c r="MWZ219" s="1"/>
      <c r="MXA219" s="1"/>
      <c r="MXB219" s="1"/>
      <c r="MXC219" s="1"/>
      <c r="MXD219" s="1"/>
      <c r="MXE219" s="1"/>
      <c r="MXF219" s="1"/>
      <c r="MXG219" s="1"/>
      <c r="MXH219" s="1"/>
      <c r="MXI219" s="1"/>
      <c r="MXJ219" s="1"/>
      <c r="MXK219" s="1"/>
      <c r="MXL219" s="1"/>
      <c r="MXM219" s="1"/>
      <c r="MXN219" s="1"/>
      <c r="MXO219" s="1"/>
      <c r="MXP219" s="1"/>
      <c r="MXQ219" s="1"/>
      <c r="MXR219" s="1"/>
      <c r="MXS219" s="1"/>
      <c r="MXT219" s="1"/>
      <c r="MXU219" s="1"/>
      <c r="MXV219" s="1"/>
      <c r="MXW219" s="1"/>
      <c r="MXX219" s="1"/>
      <c r="MXY219" s="1"/>
      <c r="MXZ219" s="1"/>
      <c r="MYA219" s="1"/>
      <c r="MYB219" s="1"/>
      <c r="MYC219" s="1"/>
      <c r="MYD219" s="1"/>
      <c r="MYE219" s="1"/>
      <c r="MYF219" s="1"/>
      <c r="MYG219" s="1"/>
      <c r="MYH219" s="1"/>
      <c r="MYI219" s="1"/>
      <c r="MYJ219" s="1"/>
      <c r="MYK219" s="1"/>
      <c r="MYL219" s="1"/>
      <c r="MYM219" s="1"/>
      <c r="MYN219" s="1"/>
      <c r="MYO219" s="1"/>
      <c r="MYP219" s="1"/>
      <c r="MYQ219" s="1"/>
      <c r="MYR219" s="1"/>
      <c r="MYS219" s="1"/>
      <c r="MYT219" s="1"/>
      <c r="MYU219" s="1"/>
      <c r="MYV219" s="1"/>
      <c r="MYW219" s="1"/>
      <c r="MYX219" s="1"/>
      <c r="MYY219" s="1"/>
      <c r="MYZ219" s="1"/>
      <c r="MZA219" s="1"/>
      <c r="MZB219" s="1"/>
      <c r="MZC219" s="1"/>
      <c r="MZD219" s="1"/>
      <c r="MZE219" s="1"/>
      <c r="MZF219" s="1"/>
      <c r="MZG219" s="1"/>
      <c r="MZH219" s="1"/>
      <c r="MZI219" s="1"/>
      <c r="MZJ219" s="1"/>
      <c r="MZK219" s="1"/>
      <c r="MZL219" s="1"/>
      <c r="MZM219" s="1"/>
      <c r="MZN219" s="1"/>
      <c r="MZO219" s="1"/>
      <c r="MZP219" s="1"/>
      <c r="MZQ219" s="1"/>
      <c r="MZR219" s="1"/>
      <c r="MZS219" s="1"/>
      <c r="MZT219" s="1"/>
      <c r="MZU219" s="1"/>
      <c r="MZV219" s="1"/>
      <c r="MZW219" s="1"/>
      <c r="MZX219" s="1"/>
      <c r="MZY219" s="1"/>
      <c r="MZZ219" s="1"/>
      <c r="NAA219" s="1"/>
      <c r="NAB219" s="1"/>
      <c r="NAC219" s="1"/>
      <c r="NAD219" s="1"/>
      <c r="NAE219" s="1"/>
      <c r="NAF219" s="1"/>
      <c r="NAG219" s="1"/>
      <c r="NAH219" s="1"/>
      <c r="NAI219" s="1"/>
      <c r="NAJ219" s="1"/>
      <c r="NAK219" s="1"/>
      <c r="NAL219" s="1"/>
      <c r="NAM219" s="1"/>
      <c r="NAN219" s="1"/>
      <c r="NAO219" s="1"/>
      <c r="NAP219" s="1"/>
      <c r="NAQ219" s="1"/>
      <c r="NAR219" s="1"/>
      <c r="NAS219" s="1"/>
      <c r="NAT219" s="1"/>
      <c r="NAU219" s="1"/>
      <c r="NAV219" s="1"/>
      <c r="NAW219" s="1"/>
      <c r="NAX219" s="1"/>
      <c r="NAY219" s="1"/>
      <c r="NAZ219" s="1"/>
      <c r="NBA219" s="1"/>
      <c r="NBB219" s="1"/>
      <c r="NBC219" s="1"/>
      <c r="NBD219" s="1"/>
      <c r="NBE219" s="1"/>
      <c r="NBF219" s="1"/>
      <c r="NBG219" s="1"/>
      <c r="NBH219" s="1"/>
      <c r="NBI219" s="1"/>
      <c r="NBJ219" s="1"/>
      <c r="NBK219" s="1"/>
      <c r="NBL219" s="1"/>
      <c r="NBM219" s="1"/>
      <c r="NBN219" s="1"/>
      <c r="NBO219" s="1"/>
      <c r="NBP219" s="1"/>
      <c r="NBQ219" s="1"/>
      <c r="NBR219" s="1"/>
      <c r="NBS219" s="1"/>
      <c r="NBT219" s="1"/>
      <c r="NBU219" s="1"/>
      <c r="NBV219" s="1"/>
      <c r="NBW219" s="1"/>
      <c r="NBX219" s="1"/>
      <c r="NBY219" s="1"/>
      <c r="NBZ219" s="1"/>
      <c r="NCA219" s="1"/>
      <c r="NCB219" s="1"/>
      <c r="NCC219" s="1"/>
      <c r="NCD219" s="1"/>
      <c r="NCE219" s="1"/>
      <c r="NCF219" s="1"/>
      <c r="NCG219" s="1"/>
      <c r="NCH219" s="1"/>
      <c r="NCI219" s="1"/>
      <c r="NCJ219" s="1"/>
      <c r="NCK219" s="1"/>
      <c r="NCL219" s="1"/>
      <c r="NCM219" s="1"/>
      <c r="NCN219" s="1"/>
      <c r="NCO219" s="1"/>
      <c r="NCP219" s="1"/>
      <c r="NCQ219" s="1"/>
      <c r="NCR219" s="1"/>
      <c r="NCS219" s="1"/>
      <c r="NCT219" s="1"/>
      <c r="NCU219" s="1"/>
      <c r="NCV219" s="1"/>
      <c r="NCW219" s="1"/>
      <c r="NCX219" s="1"/>
      <c r="NCY219" s="1"/>
      <c r="NCZ219" s="1"/>
      <c r="NDA219" s="1"/>
      <c r="NDB219" s="1"/>
      <c r="NDC219" s="1"/>
      <c r="NDD219" s="1"/>
      <c r="NDE219" s="1"/>
      <c r="NDF219" s="1"/>
      <c r="NDG219" s="1"/>
      <c r="NDH219" s="1"/>
      <c r="NDI219" s="1"/>
      <c r="NDJ219" s="1"/>
      <c r="NDK219" s="1"/>
      <c r="NDL219" s="1"/>
      <c r="NDM219" s="1"/>
      <c r="NDN219" s="1"/>
      <c r="NDO219" s="1"/>
      <c r="NDP219" s="1"/>
      <c r="NDQ219" s="1"/>
      <c r="NDR219" s="1"/>
      <c r="NDS219" s="1"/>
      <c r="NDT219" s="1"/>
      <c r="NDU219" s="1"/>
      <c r="NDV219" s="1"/>
      <c r="NDW219" s="1"/>
      <c r="NDX219" s="1"/>
      <c r="NDY219" s="1"/>
      <c r="NDZ219" s="1"/>
      <c r="NEA219" s="1"/>
      <c r="NEB219" s="1"/>
      <c r="NEC219" s="1"/>
      <c r="NED219" s="1"/>
      <c r="NEE219" s="1"/>
      <c r="NEF219" s="1"/>
      <c r="NEG219" s="1"/>
      <c r="NEH219" s="1"/>
      <c r="NEI219" s="1"/>
      <c r="NEJ219" s="1"/>
      <c r="NEK219" s="1"/>
      <c r="NEL219" s="1"/>
      <c r="NEM219" s="1"/>
      <c r="NEN219" s="1"/>
      <c r="NEO219" s="1"/>
      <c r="NEP219" s="1"/>
      <c r="NEQ219" s="1"/>
      <c r="NER219" s="1"/>
      <c r="NES219" s="1"/>
      <c r="NET219" s="1"/>
      <c r="NEU219" s="1"/>
      <c r="NEV219" s="1"/>
      <c r="NEW219" s="1"/>
      <c r="NEX219" s="1"/>
      <c r="NEY219" s="1"/>
      <c r="NEZ219" s="1"/>
      <c r="NFA219" s="1"/>
      <c r="NFB219" s="1"/>
      <c r="NFC219" s="1"/>
      <c r="NFD219" s="1"/>
      <c r="NFE219" s="1"/>
      <c r="NFF219" s="1"/>
      <c r="NFG219" s="1"/>
      <c r="NFH219" s="1"/>
      <c r="NFI219" s="1"/>
      <c r="NFJ219" s="1"/>
      <c r="NFK219" s="1"/>
      <c r="NFL219" s="1"/>
      <c r="NFM219" s="1"/>
      <c r="NFN219" s="1"/>
      <c r="NFO219" s="1"/>
      <c r="NFP219" s="1"/>
      <c r="NFQ219" s="1"/>
      <c r="NFR219" s="1"/>
      <c r="NFS219" s="1"/>
      <c r="NFT219" s="1"/>
      <c r="NFU219" s="1"/>
      <c r="NFV219" s="1"/>
      <c r="NFW219" s="1"/>
      <c r="NFX219" s="1"/>
      <c r="NFY219" s="1"/>
      <c r="NFZ219" s="1"/>
      <c r="NGA219" s="1"/>
      <c r="NGB219" s="1"/>
      <c r="NGC219" s="1"/>
      <c r="NGD219" s="1"/>
      <c r="NGE219" s="1"/>
      <c r="NGF219" s="1"/>
      <c r="NGG219" s="1"/>
      <c r="NGH219" s="1"/>
      <c r="NGI219" s="1"/>
      <c r="NGJ219" s="1"/>
      <c r="NGK219" s="1"/>
      <c r="NGL219" s="1"/>
      <c r="NGM219" s="1"/>
      <c r="NGN219" s="1"/>
      <c r="NGO219" s="1"/>
      <c r="NGP219" s="1"/>
      <c r="NGQ219" s="1"/>
      <c r="NGR219" s="1"/>
      <c r="NGS219" s="1"/>
      <c r="NGT219" s="1"/>
      <c r="NGU219" s="1"/>
      <c r="NGV219" s="1"/>
      <c r="NGW219" s="1"/>
      <c r="NGX219" s="1"/>
      <c r="NGY219" s="1"/>
      <c r="NGZ219" s="1"/>
      <c r="NHA219" s="1"/>
      <c r="NHB219" s="1"/>
      <c r="NHC219" s="1"/>
      <c r="NHD219" s="1"/>
      <c r="NHE219" s="1"/>
      <c r="NHF219" s="1"/>
      <c r="NHG219" s="1"/>
      <c r="NHH219" s="1"/>
      <c r="NHI219" s="1"/>
      <c r="NHJ219" s="1"/>
      <c r="NHK219" s="1"/>
      <c r="NHL219" s="1"/>
      <c r="NHM219" s="1"/>
      <c r="NHN219" s="1"/>
      <c r="NHO219" s="1"/>
      <c r="NHP219" s="1"/>
      <c r="NHQ219" s="1"/>
      <c r="NHR219" s="1"/>
      <c r="NHS219" s="1"/>
      <c r="NHT219" s="1"/>
      <c r="NHU219" s="1"/>
      <c r="NHV219" s="1"/>
      <c r="NHW219" s="1"/>
      <c r="NHX219" s="1"/>
      <c r="NHY219" s="1"/>
      <c r="NHZ219" s="1"/>
      <c r="NIA219" s="1"/>
      <c r="NIB219" s="1"/>
      <c r="NIC219" s="1"/>
      <c r="NID219" s="1"/>
      <c r="NIE219" s="1"/>
      <c r="NIF219" s="1"/>
      <c r="NIG219" s="1"/>
      <c r="NIH219" s="1"/>
      <c r="NII219" s="1"/>
      <c r="NIJ219" s="1"/>
      <c r="NIK219" s="1"/>
      <c r="NIL219" s="1"/>
      <c r="NIM219" s="1"/>
      <c r="NIN219" s="1"/>
      <c r="NIO219" s="1"/>
      <c r="NIP219" s="1"/>
      <c r="NIQ219" s="1"/>
      <c r="NIR219" s="1"/>
      <c r="NIS219" s="1"/>
      <c r="NIT219" s="1"/>
      <c r="NIU219" s="1"/>
      <c r="NIV219" s="1"/>
      <c r="NIW219" s="1"/>
      <c r="NIX219" s="1"/>
      <c r="NIY219" s="1"/>
      <c r="NIZ219" s="1"/>
      <c r="NJA219" s="1"/>
      <c r="NJB219" s="1"/>
      <c r="NJC219" s="1"/>
      <c r="NJD219" s="1"/>
      <c r="NJE219" s="1"/>
      <c r="NJF219" s="1"/>
      <c r="NJG219" s="1"/>
      <c r="NJH219" s="1"/>
      <c r="NJI219" s="1"/>
      <c r="NJJ219" s="1"/>
      <c r="NJK219" s="1"/>
      <c r="NJL219" s="1"/>
      <c r="NJM219" s="1"/>
      <c r="NJN219" s="1"/>
      <c r="NJO219" s="1"/>
      <c r="NJP219" s="1"/>
      <c r="NJQ219" s="1"/>
      <c r="NJR219" s="1"/>
      <c r="NJS219" s="1"/>
      <c r="NJT219" s="1"/>
      <c r="NJU219" s="1"/>
      <c r="NJV219" s="1"/>
      <c r="NJW219" s="1"/>
      <c r="NJX219" s="1"/>
      <c r="NJY219" s="1"/>
      <c r="NJZ219" s="1"/>
      <c r="NKA219" s="1"/>
      <c r="NKB219" s="1"/>
      <c r="NKC219" s="1"/>
      <c r="NKD219" s="1"/>
      <c r="NKE219" s="1"/>
      <c r="NKF219" s="1"/>
      <c r="NKG219" s="1"/>
      <c r="NKH219" s="1"/>
      <c r="NKI219" s="1"/>
      <c r="NKJ219" s="1"/>
      <c r="NKK219" s="1"/>
      <c r="NKL219" s="1"/>
      <c r="NKM219" s="1"/>
      <c r="NKN219" s="1"/>
      <c r="NKO219" s="1"/>
      <c r="NKP219" s="1"/>
      <c r="NKQ219" s="1"/>
      <c r="NKR219" s="1"/>
      <c r="NKS219" s="1"/>
      <c r="NKT219" s="1"/>
      <c r="NKU219" s="1"/>
      <c r="NKV219" s="1"/>
      <c r="NKW219" s="1"/>
      <c r="NKX219" s="1"/>
      <c r="NKY219" s="1"/>
      <c r="NKZ219" s="1"/>
      <c r="NLA219" s="1"/>
      <c r="NLB219" s="1"/>
      <c r="NLC219" s="1"/>
      <c r="NLD219" s="1"/>
      <c r="NLE219" s="1"/>
      <c r="NLF219" s="1"/>
      <c r="NLG219" s="1"/>
      <c r="NLH219" s="1"/>
      <c r="NLI219" s="1"/>
      <c r="NLJ219" s="1"/>
      <c r="NLK219" s="1"/>
      <c r="NLL219" s="1"/>
      <c r="NLM219" s="1"/>
      <c r="NLN219" s="1"/>
      <c r="NLO219" s="1"/>
      <c r="NLP219" s="1"/>
      <c r="NLQ219" s="1"/>
      <c r="NLR219" s="1"/>
      <c r="NLS219" s="1"/>
      <c r="NLT219" s="1"/>
      <c r="NLU219" s="1"/>
      <c r="NLV219" s="1"/>
      <c r="NLW219" s="1"/>
      <c r="NLX219" s="1"/>
      <c r="NLY219" s="1"/>
      <c r="NLZ219" s="1"/>
      <c r="NMA219" s="1"/>
      <c r="NMB219" s="1"/>
      <c r="NMC219" s="1"/>
      <c r="NMD219" s="1"/>
      <c r="NME219" s="1"/>
      <c r="NMF219" s="1"/>
      <c r="NMG219" s="1"/>
      <c r="NMH219" s="1"/>
      <c r="NMI219" s="1"/>
      <c r="NMJ219" s="1"/>
      <c r="NMK219" s="1"/>
      <c r="NML219" s="1"/>
      <c r="NMM219" s="1"/>
      <c r="NMN219" s="1"/>
      <c r="NMO219" s="1"/>
      <c r="NMP219" s="1"/>
      <c r="NMQ219" s="1"/>
      <c r="NMR219" s="1"/>
      <c r="NMS219" s="1"/>
      <c r="NMT219" s="1"/>
      <c r="NMU219" s="1"/>
      <c r="NMV219" s="1"/>
      <c r="NMW219" s="1"/>
      <c r="NMX219" s="1"/>
      <c r="NMY219" s="1"/>
      <c r="NMZ219" s="1"/>
      <c r="NNA219" s="1"/>
      <c r="NNB219" s="1"/>
      <c r="NNC219" s="1"/>
      <c r="NND219" s="1"/>
      <c r="NNE219" s="1"/>
      <c r="NNF219" s="1"/>
      <c r="NNG219" s="1"/>
      <c r="NNH219" s="1"/>
      <c r="NNI219" s="1"/>
      <c r="NNJ219" s="1"/>
      <c r="NNK219" s="1"/>
      <c r="NNL219" s="1"/>
      <c r="NNM219" s="1"/>
      <c r="NNN219" s="1"/>
      <c r="NNO219" s="1"/>
      <c r="NNP219" s="1"/>
      <c r="NNQ219" s="1"/>
      <c r="NNR219" s="1"/>
      <c r="NNS219" s="1"/>
      <c r="NNT219" s="1"/>
      <c r="NNU219" s="1"/>
      <c r="NNV219" s="1"/>
      <c r="NNW219" s="1"/>
      <c r="NNX219" s="1"/>
      <c r="NNY219" s="1"/>
      <c r="NNZ219" s="1"/>
      <c r="NOA219" s="1"/>
      <c r="NOB219" s="1"/>
      <c r="NOC219" s="1"/>
      <c r="NOD219" s="1"/>
      <c r="NOE219" s="1"/>
      <c r="NOF219" s="1"/>
      <c r="NOG219" s="1"/>
      <c r="NOH219" s="1"/>
      <c r="NOI219" s="1"/>
      <c r="NOJ219" s="1"/>
      <c r="NOK219" s="1"/>
      <c r="NOL219" s="1"/>
      <c r="NOM219" s="1"/>
      <c r="NON219" s="1"/>
      <c r="NOO219" s="1"/>
      <c r="NOP219" s="1"/>
      <c r="NOQ219" s="1"/>
      <c r="NOR219" s="1"/>
      <c r="NOS219" s="1"/>
      <c r="NOT219" s="1"/>
      <c r="NOU219" s="1"/>
      <c r="NOV219" s="1"/>
      <c r="NOW219" s="1"/>
      <c r="NOX219" s="1"/>
      <c r="NOY219" s="1"/>
      <c r="NOZ219" s="1"/>
      <c r="NPA219" s="1"/>
      <c r="NPB219" s="1"/>
      <c r="NPC219" s="1"/>
      <c r="NPD219" s="1"/>
      <c r="NPE219" s="1"/>
      <c r="NPF219" s="1"/>
      <c r="NPG219" s="1"/>
      <c r="NPH219" s="1"/>
      <c r="NPI219" s="1"/>
      <c r="NPJ219" s="1"/>
      <c r="NPK219" s="1"/>
      <c r="NPL219" s="1"/>
      <c r="NPM219" s="1"/>
      <c r="NPN219" s="1"/>
      <c r="NPO219" s="1"/>
      <c r="NPP219" s="1"/>
      <c r="NPQ219" s="1"/>
      <c r="NPR219" s="1"/>
      <c r="NPS219" s="1"/>
      <c r="NPT219" s="1"/>
      <c r="NPU219" s="1"/>
      <c r="NPV219" s="1"/>
      <c r="NPW219" s="1"/>
      <c r="NPX219" s="1"/>
      <c r="NPY219" s="1"/>
      <c r="NPZ219" s="1"/>
      <c r="NQA219" s="1"/>
      <c r="NQB219" s="1"/>
      <c r="NQC219" s="1"/>
      <c r="NQD219" s="1"/>
      <c r="NQE219" s="1"/>
      <c r="NQF219" s="1"/>
      <c r="NQG219" s="1"/>
      <c r="NQH219" s="1"/>
      <c r="NQI219" s="1"/>
      <c r="NQJ219" s="1"/>
      <c r="NQK219" s="1"/>
      <c r="NQL219" s="1"/>
      <c r="NQM219" s="1"/>
      <c r="NQN219" s="1"/>
      <c r="NQO219" s="1"/>
      <c r="NQP219" s="1"/>
      <c r="NQQ219" s="1"/>
      <c r="NQR219" s="1"/>
      <c r="NQS219" s="1"/>
      <c r="NQT219" s="1"/>
      <c r="NQU219" s="1"/>
      <c r="NQV219" s="1"/>
      <c r="NQW219" s="1"/>
      <c r="NQX219" s="1"/>
      <c r="NQY219" s="1"/>
      <c r="NQZ219" s="1"/>
      <c r="NRA219" s="1"/>
      <c r="NRB219" s="1"/>
      <c r="NRC219" s="1"/>
      <c r="NRD219" s="1"/>
      <c r="NRE219" s="1"/>
      <c r="NRF219" s="1"/>
      <c r="NRG219" s="1"/>
      <c r="NRH219" s="1"/>
      <c r="NRI219" s="1"/>
      <c r="NRJ219" s="1"/>
      <c r="NRK219" s="1"/>
      <c r="NRL219" s="1"/>
      <c r="NRM219" s="1"/>
      <c r="NRN219" s="1"/>
      <c r="NRO219" s="1"/>
      <c r="NRP219" s="1"/>
      <c r="NRQ219" s="1"/>
      <c r="NRR219" s="1"/>
      <c r="NRS219" s="1"/>
      <c r="NRT219" s="1"/>
      <c r="NRU219" s="1"/>
      <c r="NRV219" s="1"/>
      <c r="NRW219" s="1"/>
      <c r="NRX219" s="1"/>
      <c r="NRY219" s="1"/>
      <c r="NRZ219" s="1"/>
      <c r="NSA219" s="1"/>
      <c r="NSB219" s="1"/>
      <c r="NSC219" s="1"/>
      <c r="NSD219" s="1"/>
      <c r="NSE219" s="1"/>
      <c r="NSF219" s="1"/>
      <c r="NSG219" s="1"/>
      <c r="NSH219" s="1"/>
      <c r="NSI219" s="1"/>
      <c r="NSJ219" s="1"/>
      <c r="NSK219" s="1"/>
      <c r="NSL219" s="1"/>
      <c r="NSM219" s="1"/>
      <c r="NSN219" s="1"/>
      <c r="NSO219" s="1"/>
      <c r="NSP219" s="1"/>
      <c r="NSQ219" s="1"/>
      <c r="NSR219" s="1"/>
      <c r="NSS219" s="1"/>
      <c r="NST219" s="1"/>
      <c r="NSU219" s="1"/>
      <c r="NSV219" s="1"/>
      <c r="NSW219" s="1"/>
      <c r="NSX219" s="1"/>
      <c r="NSY219" s="1"/>
      <c r="NSZ219" s="1"/>
      <c r="NTA219" s="1"/>
      <c r="NTB219" s="1"/>
      <c r="NTC219" s="1"/>
      <c r="NTD219" s="1"/>
      <c r="NTE219" s="1"/>
      <c r="NTF219" s="1"/>
      <c r="NTG219" s="1"/>
      <c r="NTH219" s="1"/>
      <c r="NTI219" s="1"/>
      <c r="NTJ219" s="1"/>
      <c r="NTK219" s="1"/>
      <c r="NTL219" s="1"/>
      <c r="NTM219" s="1"/>
      <c r="NTN219" s="1"/>
      <c r="NTO219" s="1"/>
      <c r="NTP219" s="1"/>
      <c r="NTQ219" s="1"/>
      <c r="NTR219" s="1"/>
      <c r="NTS219" s="1"/>
      <c r="NTT219" s="1"/>
      <c r="NTU219" s="1"/>
      <c r="NTV219" s="1"/>
      <c r="NTW219" s="1"/>
      <c r="NTX219" s="1"/>
      <c r="NTY219" s="1"/>
      <c r="NTZ219" s="1"/>
      <c r="NUA219" s="1"/>
      <c r="NUB219" s="1"/>
      <c r="NUC219" s="1"/>
      <c r="NUD219" s="1"/>
      <c r="NUE219" s="1"/>
      <c r="NUF219" s="1"/>
      <c r="NUG219" s="1"/>
      <c r="NUH219" s="1"/>
      <c r="NUI219" s="1"/>
      <c r="NUJ219" s="1"/>
      <c r="NUK219" s="1"/>
      <c r="NUL219" s="1"/>
      <c r="NUM219" s="1"/>
      <c r="NUN219" s="1"/>
      <c r="NUO219" s="1"/>
      <c r="NUP219" s="1"/>
      <c r="NUQ219" s="1"/>
      <c r="NUR219" s="1"/>
      <c r="NUS219" s="1"/>
      <c r="NUT219" s="1"/>
      <c r="NUU219" s="1"/>
      <c r="NUV219" s="1"/>
      <c r="NUW219" s="1"/>
      <c r="NUX219" s="1"/>
      <c r="NUY219" s="1"/>
      <c r="NUZ219" s="1"/>
      <c r="NVA219" s="1"/>
      <c r="NVB219" s="1"/>
      <c r="NVC219" s="1"/>
      <c r="NVD219" s="1"/>
      <c r="NVE219" s="1"/>
      <c r="NVF219" s="1"/>
      <c r="NVG219" s="1"/>
      <c r="NVH219" s="1"/>
      <c r="NVI219" s="1"/>
      <c r="NVJ219" s="1"/>
      <c r="NVK219" s="1"/>
      <c r="NVL219" s="1"/>
      <c r="NVM219" s="1"/>
      <c r="NVN219" s="1"/>
      <c r="NVO219" s="1"/>
      <c r="NVP219" s="1"/>
      <c r="NVQ219" s="1"/>
      <c r="NVR219" s="1"/>
      <c r="NVS219" s="1"/>
      <c r="NVT219" s="1"/>
      <c r="NVU219" s="1"/>
      <c r="NVV219" s="1"/>
      <c r="NVW219" s="1"/>
      <c r="NVX219" s="1"/>
      <c r="NVY219" s="1"/>
      <c r="NVZ219" s="1"/>
      <c r="NWA219" s="1"/>
      <c r="NWB219" s="1"/>
      <c r="NWC219" s="1"/>
      <c r="NWD219" s="1"/>
      <c r="NWE219" s="1"/>
      <c r="NWF219" s="1"/>
      <c r="NWG219" s="1"/>
      <c r="NWH219" s="1"/>
      <c r="NWI219" s="1"/>
      <c r="NWJ219" s="1"/>
      <c r="NWK219" s="1"/>
      <c r="NWL219" s="1"/>
      <c r="NWM219" s="1"/>
      <c r="NWN219" s="1"/>
      <c r="NWO219" s="1"/>
      <c r="NWP219" s="1"/>
      <c r="NWQ219" s="1"/>
      <c r="NWR219" s="1"/>
      <c r="NWS219" s="1"/>
      <c r="NWT219" s="1"/>
      <c r="NWU219" s="1"/>
      <c r="NWV219" s="1"/>
      <c r="NWW219" s="1"/>
      <c r="NWX219" s="1"/>
      <c r="NWY219" s="1"/>
      <c r="NWZ219" s="1"/>
      <c r="NXA219" s="1"/>
      <c r="NXB219" s="1"/>
      <c r="NXC219" s="1"/>
      <c r="NXD219" s="1"/>
      <c r="NXE219" s="1"/>
      <c r="NXF219" s="1"/>
      <c r="NXG219" s="1"/>
      <c r="NXH219" s="1"/>
      <c r="NXI219" s="1"/>
      <c r="NXJ219" s="1"/>
      <c r="NXK219" s="1"/>
      <c r="NXL219" s="1"/>
      <c r="NXM219" s="1"/>
      <c r="NXN219" s="1"/>
      <c r="NXO219" s="1"/>
      <c r="NXP219" s="1"/>
      <c r="NXQ219" s="1"/>
      <c r="NXR219" s="1"/>
      <c r="NXS219" s="1"/>
      <c r="NXT219" s="1"/>
      <c r="NXU219" s="1"/>
      <c r="NXV219" s="1"/>
      <c r="NXW219" s="1"/>
      <c r="NXX219" s="1"/>
      <c r="NXY219" s="1"/>
      <c r="NXZ219" s="1"/>
      <c r="NYA219" s="1"/>
      <c r="NYB219" s="1"/>
      <c r="NYC219" s="1"/>
      <c r="NYD219" s="1"/>
      <c r="NYE219" s="1"/>
      <c r="NYF219" s="1"/>
      <c r="NYG219" s="1"/>
      <c r="NYH219" s="1"/>
      <c r="NYI219" s="1"/>
      <c r="NYJ219" s="1"/>
      <c r="NYK219" s="1"/>
      <c r="NYL219" s="1"/>
      <c r="NYM219" s="1"/>
      <c r="NYN219" s="1"/>
      <c r="NYO219" s="1"/>
      <c r="NYP219" s="1"/>
      <c r="NYQ219" s="1"/>
      <c r="NYR219" s="1"/>
      <c r="NYS219" s="1"/>
      <c r="NYT219" s="1"/>
      <c r="NYU219" s="1"/>
      <c r="NYV219" s="1"/>
      <c r="NYW219" s="1"/>
      <c r="NYX219" s="1"/>
      <c r="NYY219" s="1"/>
      <c r="NYZ219" s="1"/>
      <c r="NZA219" s="1"/>
      <c r="NZB219" s="1"/>
      <c r="NZC219" s="1"/>
      <c r="NZD219" s="1"/>
      <c r="NZE219" s="1"/>
      <c r="NZF219" s="1"/>
      <c r="NZG219" s="1"/>
      <c r="NZH219" s="1"/>
      <c r="NZI219" s="1"/>
      <c r="NZJ219" s="1"/>
      <c r="NZK219" s="1"/>
      <c r="NZL219" s="1"/>
      <c r="NZM219" s="1"/>
      <c r="NZN219" s="1"/>
      <c r="NZO219" s="1"/>
      <c r="NZP219" s="1"/>
      <c r="NZQ219" s="1"/>
      <c r="NZR219" s="1"/>
      <c r="NZS219" s="1"/>
      <c r="NZT219" s="1"/>
      <c r="NZU219" s="1"/>
      <c r="NZV219" s="1"/>
      <c r="NZW219" s="1"/>
      <c r="NZX219" s="1"/>
      <c r="NZY219" s="1"/>
      <c r="NZZ219" s="1"/>
      <c r="OAA219" s="1"/>
      <c r="OAB219" s="1"/>
      <c r="OAC219" s="1"/>
      <c r="OAD219" s="1"/>
      <c r="OAE219" s="1"/>
      <c r="OAF219" s="1"/>
      <c r="OAG219" s="1"/>
      <c r="OAH219" s="1"/>
      <c r="OAI219" s="1"/>
      <c r="OAJ219" s="1"/>
      <c r="OAK219" s="1"/>
      <c r="OAL219" s="1"/>
      <c r="OAM219" s="1"/>
      <c r="OAN219" s="1"/>
      <c r="OAO219" s="1"/>
      <c r="OAP219" s="1"/>
      <c r="OAQ219" s="1"/>
      <c r="OAR219" s="1"/>
      <c r="OAS219" s="1"/>
      <c r="OAT219" s="1"/>
      <c r="OAU219" s="1"/>
      <c r="OAV219" s="1"/>
      <c r="OAW219" s="1"/>
      <c r="OAX219" s="1"/>
      <c r="OAY219" s="1"/>
      <c r="OAZ219" s="1"/>
      <c r="OBA219" s="1"/>
      <c r="OBB219" s="1"/>
      <c r="OBC219" s="1"/>
      <c r="OBD219" s="1"/>
      <c r="OBE219" s="1"/>
      <c r="OBF219" s="1"/>
      <c r="OBG219" s="1"/>
      <c r="OBH219" s="1"/>
      <c r="OBI219" s="1"/>
      <c r="OBJ219" s="1"/>
      <c r="OBK219" s="1"/>
      <c r="OBL219" s="1"/>
      <c r="OBM219" s="1"/>
      <c r="OBN219" s="1"/>
      <c r="OBO219" s="1"/>
      <c r="OBP219" s="1"/>
      <c r="OBQ219" s="1"/>
      <c r="OBR219" s="1"/>
      <c r="OBS219" s="1"/>
      <c r="OBT219" s="1"/>
      <c r="OBU219" s="1"/>
      <c r="OBV219" s="1"/>
      <c r="OBW219" s="1"/>
      <c r="OBX219" s="1"/>
      <c r="OBY219" s="1"/>
      <c r="OBZ219" s="1"/>
      <c r="OCA219" s="1"/>
      <c r="OCB219" s="1"/>
      <c r="OCC219" s="1"/>
      <c r="OCD219" s="1"/>
      <c r="OCE219" s="1"/>
      <c r="OCF219" s="1"/>
      <c r="OCG219" s="1"/>
      <c r="OCH219" s="1"/>
      <c r="OCI219" s="1"/>
      <c r="OCJ219" s="1"/>
      <c r="OCK219" s="1"/>
      <c r="OCL219" s="1"/>
      <c r="OCM219" s="1"/>
      <c r="OCN219" s="1"/>
      <c r="OCO219" s="1"/>
      <c r="OCP219" s="1"/>
      <c r="OCQ219" s="1"/>
      <c r="OCR219" s="1"/>
      <c r="OCS219" s="1"/>
      <c r="OCT219" s="1"/>
      <c r="OCU219" s="1"/>
      <c r="OCV219" s="1"/>
      <c r="OCW219" s="1"/>
      <c r="OCX219" s="1"/>
      <c r="OCY219" s="1"/>
      <c r="OCZ219" s="1"/>
      <c r="ODA219" s="1"/>
      <c r="ODB219" s="1"/>
      <c r="ODC219" s="1"/>
      <c r="ODD219" s="1"/>
      <c r="ODE219" s="1"/>
      <c r="ODF219" s="1"/>
      <c r="ODG219" s="1"/>
      <c r="ODH219" s="1"/>
      <c r="ODI219" s="1"/>
      <c r="ODJ219" s="1"/>
      <c r="ODK219" s="1"/>
      <c r="ODL219" s="1"/>
      <c r="ODM219" s="1"/>
      <c r="ODN219" s="1"/>
      <c r="ODO219" s="1"/>
      <c r="ODP219" s="1"/>
      <c r="ODQ219" s="1"/>
      <c r="ODR219" s="1"/>
      <c r="ODS219" s="1"/>
      <c r="ODT219" s="1"/>
      <c r="ODU219" s="1"/>
      <c r="ODV219" s="1"/>
      <c r="ODW219" s="1"/>
      <c r="ODX219" s="1"/>
      <c r="ODY219" s="1"/>
      <c r="ODZ219" s="1"/>
      <c r="OEA219" s="1"/>
      <c r="OEB219" s="1"/>
      <c r="OEC219" s="1"/>
      <c r="OED219" s="1"/>
      <c r="OEE219" s="1"/>
      <c r="OEF219" s="1"/>
      <c r="OEG219" s="1"/>
      <c r="OEH219" s="1"/>
      <c r="OEI219" s="1"/>
      <c r="OEJ219" s="1"/>
      <c r="OEK219" s="1"/>
      <c r="OEL219" s="1"/>
      <c r="OEM219" s="1"/>
      <c r="OEN219" s="1"/>
      <c r="OEO219" s="1"/>
      <c r="OEP219" s="1"/>
      <c r="OEQ219" s="1"/>
      <c r="OER219" s="1"/>
      <c r="OES219" s="1"/>
      <c r="OET219" s="1"/>
      <c r="OEU219" s="1"/>
      <c r="OEV219" s="1"/>
      <c r="OEW219" s="1"/>
      <c r="OEX219" s="1"/>
      <c r="OEY219" s="1"/>
      <c r="OEZ219" s="1"/>
      <c r="OFA219" s="1"/>
      <c r="OFB219" s="1"/>
      <c r="OFC219" s="1"/>
      <c r="OFD219" s="1"/>
      <c r="OFE219" s="1"/>
      <c r="OFF219" s="1"/>
      <c r="OFG219" s="1"/>
      <c r="OFH219" s="1"/>
      <c r="OFI219" s="1"/>
      <c r="OFJ219" s="1"/>
      <c r="OFK219" s="1"/>
      <c r="OFL219" s="1"/>
      <c r="OFM219" s="1"/>
      <c r="OFN219" s="1"/>
      <c r="OFO219" s="1"/>
      <c r="OFP219" s="1"/>
      <c r="OFQ219" s="1"/>
      <c r="OFR219" s="1"/>
      <c r="OFS219" s="1"/>
      <c r="OFT219" s="1"/>
      <c r="OFU219" s="1"/>
      <c r="OFV219" s="1"/>
      <c r="OFW219" s="1"/>
      <c r="OFX219" s="1"/>
      <c r="OFY219" s="1"/>
      <c r="OFZ219" s="1"/>
      <c r="OGA219" s="1"/>
      <c r="OGB219" s="1"/>
      <c r="OGC219" s="1"/>
      <c r="OGD219" s="1"/>
      <c r="OGE219" s="1"/>
      <c r="OGF219" s="1"/>
      <c r="OGG219" s="1"/>
      <c r="OGH219" s="1"/>
      <c r="OGI219" s="1"/>
      <c r="OGJ219" s="1"/>
      <c r="OGK219" s="1"/>
      <c r="OGL219" s="1"/>
      <c r="OGM219" s="1"/>
      <c r="OGN219" s="1"/>
      <c r="OGO219" s="1"/>
      <c r="OGP219" s="1"/>
      <c r="OGQ219" s="1"/>
      <c r="OGR219" s="1"/>
      <c r="OGS219" s="1"/>
      <c r="OGT219" s="1"/>
      <c r="OGU219" s="1"/>
      <c r="OGV219" s="1"/>
      <c r="OGW219" s="1"/>
      <c r="OGX219" s="1"/>
      <c r="OGY219" s="1"/>
      <c r="OGZ219" s="1"/>
      <c r="OHA219" s="1"/>
      <c r="OHB219" s="1"/>
      <c r="OHC219" s="1"/>
      <c r="OHD219" s="1"/>
      <c r="OHE219" s="1"/>
      <c r="OHF219" s="1"/>
      <c r="OHG219" s="1"/>
      <c r="OHH219" s="1"/>
      <c r="OHI219" s="1"/>
      <c r="OHJ219" s="1"/>
      <c r="OHK219" s="1"/>
      <c r="OHL219" s="1"/>
      <c r="OHM219" s="1"/>
      <c r="OHN219" s="1"/>
      <c r="OHO219" s="1"/>
      <c r="OHP219" s="1"/>
      <c r="OHQ219" s="1"/>
      <c r="OHR219" s="1"/>
      <c r="OHS219" s="1"/>
      <c r="OHT219" s="1"/>
      <c r="OHU219" s="1"/>
      <c r="OHV219" s="1"/>
      <c r="OHW219" s="1"/>
      <c r="OHX219" s="1"/>
      <c r="OHY219" s="1"/>
      <c r="OHZ219" s="1"/>
      <c r="OIA219" s="1"/>
      <c r="OIB219" s="1"/>
      <c r="OIC219" s="1"/>
      <c r="OID219" s="1"/>
      <c r="OIE219" s="1"/>
      <c r="OIF219" s="1"/>
      <c r="OIG219" s="1"/>
      <c r="OIH219" s="1"/>
      <c r="OII219" s="1"/>
      <c r="OIJ219" s="1"/>
      <c r="OIK219" s="1"/>
      <c r="OIL219" s="1"/>
      <c r="OIM219" s="1"/>
      <c r="OIN219" s="1"/>
      <c r="OIO219" s="1"/>
      <c r="OIP219" s="1"/>
      <c r="OIQ219" s="1"/>
      <c r="OIR219" s="1"/>
      <c r="OIS219" s="1"/>
      <c r="OIT219" s="1"/>
      <c r="OIU219" s="1"/>
      <c r="OIV219" s="1"/>
      <c r="OIW219" s="1"/>
      <c r="OIX219" s="1"/>
      <c r="OIY219" s="1"/>
      <c r="OIZ219" s="1"/>
      <c r="OJA219" s="1"/>
      <c r="OJB219" s="1"/>
      <c r="OJC219" s="1"/>
      <c r="OJD219" s="1"/>
      <c r="OJE219" s="1"/>
      <c r="OJF219" s="1"/>
      <c r="OJG219" s="1"/>
      <c r="OJH219" s="1"/>
      <c r="OJI219" s="1"/>
      <c r="OJJ219" s="1"/>
      <c r="OJK219" s="1"/>
      <c r="OJL219" s="1"/>
      <c r="OJM219" s="1"/>
      <c r="OJN219" s="1"/>
      <c r="OJO219" s="1"/>
      <c r="OJP219" s="1"/>
      <c r="OJQ219" s="1"/>
      <c r="OJR219" s="1"/>
      <c r="OJS219" s="1"/>
      <c r="OJT219" s="1"/>
      <c r="OJU219" s="1"/>
      <c r="OJV219" s="1"/>
      <c r="OJW219" s="1"/>
      <c r="OJX219" s="1"/>
      <c r="OJY219" s="1"/>
      <c r="OJZ219" s="1"/>
      <c r="OKA219" s="1"/>
      <c r="OKB219" s="1"/>
      <c r="OKC219" s="1"/>
      <c r="OKD219" s="1"/>
      <c r="OKE219" s="1"/>
      <c r="OKF219" s="1"/>
      <c r="OKG219" s="1"/>
      <c r="OKH219" s="1"/>
      <c r="OKI219" s="1"/>
      <c r="OKJ219" s="1"/>
      <c r="OKK219" s="1"/>
      <c r="OKL219" s="1"/>
      <c r="OKM219" s="1"/>
      <c r="OKN219" s="1"/>
      <c r="OKO219" s="1"/>
      <c r="OKP219" s="1"/>
      <c r="OKQ219" s="1"/>
      <c r="OKR219" s="1"/>
      <c r="OKS219" s="1"/>
      <c r="OKT219" s="1"/>
      <c r="OKU219" s="1"/>
      <c r="OKV219" s="1"/>
      <c r="OKW219" s="1"/>
      <c r="OKX219" s="1"/>
      <c r="OKY219" s="1"/>
      <c r="OKZ219" s="1"/>
      <c r="OLA219" s="1"/>
      <c r="OLB219" s="1"/>
      <c r="OLC219" s="1"/>
      <c r="OLD219" s="1"/>
      <c r="OLE219" s="1"/>
      <c r="OLF219" s="1"/>
      <c r="OLG219" s="1"/>
      <c r="OLH219" s="1"/>
      <c r="OLI219" s="1"/>
      <c r="OLJ219" s="1"/>
      <c r="OLK219" s="1"/>
      <c r="OLL219" s="1"/>
      <c r="OLM219" s="1"/>
      <c r="OLN219" s="1"/>
      <c r="OLO219" s="1"/>
      <c r="OLP219" s="1"/>
      <c r="OLQ219" s="1"/>
      <c r="OLR219" s="1"/>
      <c r="OLS219" s="1"/>
      <c r="OLT219" s="1"/>
      <c r="OLU219" s="1"/>
      <c r="OLV219" s="1"/>
      <c r="OLW219" s="1"/>
      <c r="OLX219" s="1"/>
      <c r="OLY219" s="1"/>
      <c r="OLZ219" s="1"/>
      <c r="OMA219" s="1"/>
      <c r="OMB219" s="1"/>
      <c r="OMC219" s="1"/>
      <c r="OMD219" s="1"/>
      <c r="OME219" s="1"/>
      <c r="OMF219" s="1"/>
      <c r="OMG219" s="1"/>
      <c r="OMH219" s="1"/>
      <c r="OMI219" s="1"/>
      <c r="OMJ219" s="1"/>
      <c r="OMK219" s="1"/>
      <c r="OML219" s="1"/>
      <c r="OMM219" s="1"/>
      <c r="OMN219" s="1"/>
      <c r="OMO219" s="1"/>
      <c r="OMP219" s="1"/>
      <c r="OMQ219" s="1"/>
      <c r="OMR219" s="1"/>
      <c r="OMS219" s="1"/>
      <c r="OMT219" s="1"/>
      <c r="OMU219" s="1"/>
      <c r="OMV219" s="1"/>
      <c r="OMW219" s="1"/>
      <c r="OMX219" s="1"/>
      <c r="OMY219" s="1"/>
      <c r="OMZ219" s="1"/>
      <c r="ONA219" s="1"/>
      <c r="ONB219" s="1"/>
      <c r="ONC219" s="1"/>
      <c r="OND219" s="1"/>
      <c r="ONE219" s="1"/>
      <c r="ONF219" s="1"/>
      <c r="ONG219" s="1"/>
      <c r="ONH219" s="1"/>
      <c r="ONI219" s="1"/>
      <c r="ONJ219" s="1"/>
      <c r="ONK219" s="1"/>
      <c r="ONL219" s="1"/>
      <c r="ONM219" s="1"/>
      <c r="ONN219" s="1"/>
      <c r="ONO219" s="1"/>
      <c r="ONP219" s="1"/>
      <c r="ONQ219" s="1"/>
      <c r="ONR219" s="1"/>
      <c r="ONS219" s="1"/>
      <c r="ONT219" s="1"/>
      <c r="ONU219" s="1"/>
      <c r="ONV219" s="1"/>
      <c r="ONW219" s="1"/>
      <c r="ONX219" s="1"/>
      <c r="ONY219" s="1"/>
      <c r="ONZ219" s="1"/>
      <c r="OOA219" s="1"/>
      <c r="OOB219" s="1"/>
      <c r="OOC219" s="1"/>
      <c r="OOD219" s="1"/>
      <c r="OOE219" s="1"/>
      <c r="OOF219" s="1"/>
      <c r="OOG219" s="1"/>
      <c r="OOH219" s="1"/>
      <c r="OOI219" s="1"/>
      <c r="OOJ219" s="1"/>
      <c r="OOK219" s="1"/>
      <c r="OOL219" s="1"/>
      <c r="OOM219" s="1"/>
      <c r="OON219" s="1"/>
      <c r="OOO219" s="1"/>
      <c r="OOP219" s="1"/>
      <c r="OOQ219" s="1"/>
      <c r="OOR219" s="1"/>
      <c r="OOS219" s="1"/>
      <c r="OOT219" s="1"/>
      <c r="OOU219" s="1"/>
      <c r="OOV219" s="1"/>
      <c r="OOW219" s="1"/>
      <c r="OOX219" s="1"/>
      <c r="OOY219" s="1"/>
      <c r="OOZ219" s="1"/>
      <c r="OPA219" s="1"/>
      <c r="OPB219" s="1"/>
      <c r="OPC219" s="1"/>
      <c r="OPD219" s="1"/>
      <c r="OPE219" s="1"/>
      <c r="OPF219" s="1"/>
      <c r="OPG219" s="1"/>
      <c r="OPH219" s="1"/>
      <c r="OPI219" s="1"/>
      <c r="OPJ219" s="1"/>
      <c r="OPK219" s="1"/>
      <c r="OPL219" s="1"/>
      <c r="OPM219" s="1"/>
      <c r="OPN219" s="1"/>
      <c r="OPO219" s="1"/>
      <c r="OPP219" s="1"/>
      <c r="OPQ219" s="1"/>
      <c r="OPR219" s="1"/>
      <c r="OPS219" s="1"/>
      <c r="OPT219" s="1"/>
      <c r="OPU219" s="1"/>
      <c r="OPV219" s="1"/>
      <c r="OPW219" s="1"/>
      <c r="OPX219" s="1"/>
      <c r="OPY219" s="1"/>
      <c r="OPZ219" s="1"/>
      <c r="OQA219" s="1"/>
      <c r="OQB219" s="1"/>
      <c r="OQC219" s="1"/>
      <c r="OQD219" s="1"/>
      <c r="OQE219" s="1"/>
      <c r="OQF219" s="1"/>
      <c r="OQG219" s="1"/>
      <c r="OQH219" s="1"/>
      <c r="OQI219" s="1"/>
      <c r="OQJ219" s="1"/>
      <c r="OQK219" s="1"/>
      <c r="OQL219" s="1"/>
      <c r="OQM219" s="1"/>
      <c r="OQN219" s="1"/>
      <c r="OQO219" s="1"/>
      <c r="OQP219" s="1"/>
      <c r="OQQ219" s="1"/>
      <c r="OQR219" s="1"/>
      <c r="OQS219" s="1"/>
      <c r="OQT219" s="1"/>
      <c r="OQU219" s="1"/>
      <c r="OQV219" s="1"/>
      <c r="OQW219" s="1"/>
      <c r="OQX219" s="1"/>
      <c r="OQY219" s="1"/>
      <c r="OQZ219" s="1"/>
      <c r="ORA219" s="1"/>
      <c r="ORB219" s="1"/>
      <c r="ORC219" s="1"/>
      <c r="ORD219" s="1"/>
      <c r="ORE219" s="1"/>
      <c r="ORF219" s="1"/>
      <c r="ORG219" s="1"/>
      <c r="ORH219" s="1"/>
      <c r="ORI219" s="1"/>
      <c r="ORJ219" s="1"/>
      <c r="ORK219" s="1"/>
      <c r="ORL219" s="1"/>
      <c r="ORM219" s="1"/>
      <c r="ORN219" s="1"/>
      <c r="ORO219" s="1"/>
      <c r="ORP219" s="1"/>
      <c r="ORQ219" s="1"/>
      <c r="ORR219" s="1"/>
      <c r="ORS219" s="1"/>
      <c r="ORT219" s="1"/>
      <c r="ORU219" s="1"/>
      <c r="ORV219" s="1"/>
      <c r="ORW219" s="1"/>
      <c r="ORX219" s="1"/>
      <c r="ORY219" s="1"/>
      <c r="ORZ219" s="1"/>
      <c r="OSA219" s="1"/>
      <c r="OSB219" s="1"/>
      <c r="OSC219" s="1"/>
      <c r="OSD219" s="1"/>
      <c r="OSE219" s="1"/>
      <c r="OSF219" s="1"/>
      <c r="OSG219" s="1"/>
      <c r="OSH219" s="1"/>
      <c r="OSI219" s="1"/>
      <c r="OSJ219" s="1"/>
      <c r="OSK219" s="1"/>
      <c r="OSL219" s="1"/>
      <c r="OSM219" s="1"/>
      <c r="OSN219" s="1"/>
      <c r="OSO219" s="1"/>
      <c r="OSP219" s="1"/>
      <c r="OSQ219" s="1"/>
      <c r="OSR219" s="1"/>
      <c r="OSS219" s="1"/>
      <c r="OST219" s="1"/>
      <c r="OSU219" s="1"/>
      <c r="OSV219" s="1"/>
      <c r="OSW219" s="1"/>
      <c r="OSX219" s="1"/>
      <c r="OSY219" s="1"/>
      <c r="OSZ219" s="1"/>
      <c r="OTA219" s="1"/>
      <c r="OTB219" s="1"/>
      <c r="OTC219" s="1"/>
      <c r="OTD219" s="1"/>
      <c r="OTE219" s="1"/>
      <c r="OTF219" s="1"/>
      <c r="OTG219" s="1"/>
      <c r="OTH219" s="1"/>
      <c r="OTI219" s="1"/>
      <c r="OTJ219" s="1"/>
      <c r="OTK219" s="1"/>
      <c r="OTL219" s="1"/>
      <c r="OTM219" s="1"/>
      <c r="OTN219" s="1"/>
      <c r="OTO219" s="1"/>
      <c r="OTP219" s="1"/>
      <c r="OTQ219" s="1"/>
      <c r="OTR219" s="1"/>
      <c r="OTS219" s="1"/>
      <c r="OTT219" s="1"/>
      <c r="OTU219" s="1"/>
      <c r="OTV219" s="1"/>
      <c r="OTW219" s="1"/>
      <c r="OTX219" s="1"/>
      <c r="OTY219" s="1"/>
      <c r="OTZ219" s="1"/>
      <c r="OUA219" s="1"/>
      <c r="OUB219" s="1"/>
      <c r="OUC219" s="1"/>
      <c r="OUD219" s="1"/>
      <c r="OUE219" s="1"/>
      <c r="OUF219" s="1"/>
      <c r="OUG219" s="1"/>
      <c r="OUH219" s="1"/>
      <c r="OUI219" s="1"/>
      <c r="OUJ219" s="1"/>
      <c r="OUK219" s="1"/>
      <c r="OUL219" s="1"/>
      <c r="OUM219" s="1"/>
      <c r="OUN219" s="1"/>
      <c r="OUO219" s="1"/>
      <c r="OUP219" s="1"/>
      <c r="OUQ219" s="1"/>
      <c r="OUR219" s="1"/>
      <c r="OUS219" s="1"/>
      <c r="OUT219" s="1"/>
      <c r="OUU219" s="1"/>
      <c r="OUV219" s="1"/>
      <c r="OUW219" s="1"/>
      <c r="OUX219" s="1"/>
      <c r="OUY219" s="1"/>
      <c r="OUZ219" s="1"/>
      <c r="OVA219" s="1"/>
      <c r="OVB219" s="1"/>
      <c r="OVC219" s="1"/>
      <c r="OVD219" s="1"/>
      <c r="OVE219" s="1"/>
      <c r="OVF219" s="1"/>
      <c r="OVG219" s="1"/>
      <c r="OVH219" s="1"/>
      <c r="OVI219" s="1"/>
      <c r="OVJ219" s="1"/>
      <c r="OVK219" s="1"/>
      <c r="OVL219" s="1"/>
      <c r="OVM219" s="1"/>
      <c r="OVN219" s="1"/>
      <c r="OVO219" s="1"/>
      <c r="OVP219" s="1"/>
      <c r="OVQ219" s="1"/>
      <c r="OVR219" s="1"/>
      <c r="OVS219" s="1"/>
      <c r="OVT219" s="1"/>
      <c r="OVU219" s="1"/>
      <c r="OVV219" s="1"/>
      <c r="OVW219" s="1"/>
      <c r="OVX219" s="1"/>
      <c r="OVY219" s="1"/>
      <c r="OVZ219" s="1"/>
      <c r="OWA219" s="1"/>
      <c r="OWB219" s="1"/>
      <c r="OWC219" s="1"/>
      <c r="OWD219" s="1"/>
      <c r="OWE219" s="1"/>
      <c r="OWF219" s="1"/>
      <c r="OWG219" s="1"/>
      <c r="OWH219" s="1"/>
      <c r="OWI219" s="1"/>
      <c r="OWJ219" s="1"/>
      <c r="OWK219" s="1"/>
      <c r="OWL219" s="1"/>
      <c r="OWM219" s="1"/>
      <c r="OWN219" s="1"/>
      <c r="OWO219" s="1"/>
      <c r="OWP219" s="1"/>
      <c r="OWQ219" s="1"/>
      <c r="OWR219" s="1"/>
      <c r="OWS219" s="1"/>
      <c r="OWT219" s="1"/>
      <c r="OWU219" s="1"/>
      <c r="OWV219" s="1"/>
      <c r="OWW219" s="1"/>
      <c r="OWX219" s="1"/>
      <c r="OWY219" s="1"/>
      <c r="OWZ219" s="1"/>
      <c r="OXA219" s="1"/>
      <c r="OXB219" s="1"/>
      <c r="OXC219" s="1"/>
      <c r="OXD219" s="1"/>
      <c r="OXE219" s="1"/>
      <c r="OXF219" s="1"/>
      <c r="OXG219" s="1"/>
      <c r="OXH219" s="1"/>
      <c r="OXI219" s="1"/>
      <c r="OXJ219" s="1"/>
      <c r="OXK219" s="1"/>
      <c r="OXL219" s="1"/>
      <c r="OXM219" s="1"/>
      <c r="OXN219" s="1"/>
      <c r="OXO219" s="1"/>
      <c r="OXP219" s="1"/>
      <c r="OXQ219" s="1"/>
      <c r="OXR219" s="1"/>
      <c r="OXS219" s="1"/>
      <c r="OXT219" s="1"/>
      <c r="OXU219" s="1"/>
      <c r="OXV219" s="1"/>
      <c r="OXW219" s="1"/>
      <c r="OXX219" s="1"/>
      <c r="OXY219" s="1"/>
      <c r="OXZ219" s="1"/>
      <c r="OYA219" s="1"/>
      <c r="OYB219" s="1"/>
      <c r="OYC219" s="1"/>
      <c r="OYD219" s="1"/>
      <c r="OYE219" s="1"/>
      <c r="OYF219" s="1"/>
      <c r="OYG219" s="1"/>
      <c r="OYH219" s="1"/>
      <c r="OYI219" s="1"/>
      <c r="OYJ219" s="1"/>
      <c r="OYK219" s="1"/>
      <c r="OYL219" s="1"/>
      <c r="OYM219" s="1"/>
      <c r="OYN219" s="1"/>
      <c r="OYO219" s="1"/>
      <c r="OYP219" s="1"/>
      <c r="OYQ219" s="1"/>
      <c r="OYR219" s="1"/>
      <c r="OYS219" s="1"/>
      <c r="OYT219" s="1"/>
      <c r="OYU219" s="1"/>
      <c r="OYV219" s="1"/>
      <c r="OYW219" s="1"/>
      <c r="OYX219" s="1"/>
      <c r="OYY219" s="1"/>
      <c r="OYZ219" s="1"/>
      <c r="OZA219" s="1"/>
      <c r="OZB219" s="1"/>
      <c r="OZC219" s="1"/>
      <c r="OZD219" s="1"/>
      <c r="OZE219" s="1"/>
      <c r="OZF219" s="1"/>
      <c r="OZG219" s="1"/>
      <c r="OZH219" s="1"/>
      <c r="OZI219" s="1"/>
      <c r="OZJ219" s="1"/>
      <c r="OZK219" s="1"/>
      <c r="OZL219" s="1"/>
      <c r="OZM219" s="1"/>
      <c r="OZN219" s="1"/>
      <c r="OZO219" s="1"/>
      <c r="OZP219" s="1"/>
      <c r="OZQ219" s="1"/>
      <c r="OZR219" s="1"/>
      <c r="OZS219" s="1"/>
      <c r="OZT219" s="1"/>
      <c r="OZU219" s="1"/>
      <c r="OZV219" s="1"/>
      <c r="OZW219" s="1"/>
      <c r="OZX219" s="1"/>
      <c r="OZY219" s="1"/>
      <c r="OZZ219" s="1"/>
      <c r="PAA219" s="1"/>
      <c r="PAB219" s="1"/>
      <c r="PAC219" s="1"/>
      <c r="PAD219" s="1"/>
      <c r="PAE219" s="1"/>
      <c r="PAF219" s="1"/>
      <c r="PAG219" s="1"/>
      <c r="PAH219" s="1"/>
      <c r="PAI219" s="1"/>
      <c r="PAJ219" s="1"/>
      <c r="PAK219" s="1"/>
      <c r="PAL219" s="1"/>
      <c r="PAM219" s="1"/>
      <c r="PAN219" s="1"/>
      <c r="PAO219" s="1"/>
      <c r="PAP219" s="1"/>
      <c r="PAQ219" s="1"/>
      <c r="PAR219" s="1"/>
      <c r="PAS219" s="1"/>
      <c r="PAT219" s="1"/>
      <c r="PAU219" s="1"/>
      <c r="PAV219" s="1"/>
      <c r="PAW219" s="1"/>
      <c r="PAX219" s="1"/>
      <c r="PAY219" s="1"/>
      <c r="PAZ219" s="1"/>
      <c r="PBA219" s="1"/>
      <c r="PBB219" s="1"/>
      <c r="PBC219" s="1"/>
      <c r="PBD219" s="1"/>
      <c r="PBE219" s="1"/>
      <c r="PBF219" s="1"/>
      <c r="PBG219" s="1"/>
      <c r="PBH219" s="1"/>
      <c r="PBI219" s="1"/>
      <c r="PBJ219" s="1"/>
      <c r="PBK219" s="1"/>
      <c r="PBL219" s="1"/>
      <c r="PBM219" s="1"/>
      <c r="PBN219" s="1"/>
      <c r="PBO219" s="1"/>
      <c r="PBP219" s="1"/>
      <c r="PBQ219" s="1"/>
      <c r="PBR219" s="1"/>
      <c r="PBS219" s="1"/>
      <c r="PBT219" s="1"/>
      <c r="PBU219" s="1"/>
      <c r="PBV219" s="1"/>
      <c r="PBW219" s="1"/>
      <c r="PBX219" s="1"/>
      <c r="PBY219" s="1"/>
      <c r="PBZ219" s="1"/>
      <c r="PCA219" s="1"/>
      <c r="PCB219" s="1"/>
      <c r="PCC219" s="1"/>
      <c r="PCD219" s="1"/>
      <c r="PCE219" s="1"/>
      <c r="PCF219" s="1"/>
      <c r="PCG219" s="1"/>
      <c r="PCH219" s="1"/>
      <c r="PCI219" s="1"/>
      <c r="PCJ219" s="1"/>
      <c r="PCK219" s="1"/>
      <c r="PCL219" s="1"/>
      <c r="PCM219" s="1"/>
      <c r="PCN219" s="1"/>
      <c r="PCO219" s="1"/>
      <c r="PCP219" s="1"/>
      <c r="PCQ219" s="1"/>
      <c r="PCR219" s="1"/>
      <c r="PCS219" s="1"/>
      <c r="PCT219" s="1"/>
      <c r="PCU219" s="1"/>
      <c r="PCV219" s="1"/>
      <c r="PCW219" s="1"/>
      <c r="PCX219" s="1"/>
      <c r="PCY219" s="1"/>
      <c r="PCZ219" s="1"/>
      <c r="PDA219" s="1"/>
      <c r="PDB219" s="1"/>
      <c r="PDC219" s="1"/>
      <c r="PDD219" s="1"/>
      <c r="PDE219" s="1"/>
      <c r="PDF219" s="1"/>
      <c r="PDG219" s="1"/>
      <c r="PDH219" s="1"/>
      <c r="PDI219" s="1"/>
      <c r="PDJ219" s="1"/>
      <c r="PDK219" s="1"/>
      <c r="PDL219" s="1"/>
      <c r="PDM219" s="1"/>
      <c r="PDN219" s="1"/>
      <c r="PDO219" s="1"/>
      <c r="PDP219" s="1"/>
      <c r="PDQ219" s="1"/>
      <c r="PDR219" s="1"/>
      <c r="PDS219" s="1"/>
      <c r="PDT219" s="1"/>
      <c r="PDU219" s="1"/>
      <c r="PDV219" s="1"/>
      <c r="PDW219" s="1"/>
      <c r="PDX219" s="1"/>
      <c r="PDY219" s="1"/>
      <c r="PDZ219" s="1"/>
      <c r="PEA219" s="1"/>
      <c r="PEB219" s="1"/>
      <c r="PEC219" s="1"/>
      <c r="PED219" s="1"/>
      <c r="PEE219" s="1"/>
      <c r="PEF219" s="1"/>
      <c r="PEG219" s="1"/>
      <c r="PEH219" s="1"/>
      <c r="PEI219" s="1"/>
      <c r="PEJ219" s="1"/>
      <c r="PEK219" s="1"/>
      <c r="PEL219" s="1"/>
      <c r="PEM219" s="1"/>
      <c r="PEN219" s="1"/>
      <c r="PEO219" s="1"/>
      <c r="PEP219" s="1"/>
      <c r="PEQ219" s="1"/>
      <c r="PER219" s="1"/>
      <c r="PES219" s="1"/>
      <c r="PET219" s="1"/>
      <c r="PEU219" s="1"/>
      <c r="PEV219" s="1"/>
      <c r="PEW219" s="1"/>
      <c r="PEX219" s="1"/>
      <c r="PEY219" s="1"/>
      <c r="PEZ219" s="1"/>
      <c r="PFA219" s="1"/>
      <c r="PFB219" s="1"/>
      <c r="PFC219" s="1"/>
      <c r="PFD219" s="1"/>
      <c r="PFE219" s="1"/>
      <c r="PFF219" s="1"/>
      <c r="PFG219" s="1"/>
      <c r="PFH219" s="1"/>
      <c r="PFI219" s="1"/>
      <c r="PFJ219" s="1"/>
      <c r="PFK219" s="1"/>
      <c r="PFL219" s="1"/>
      <c r="PFM219" s="1"/>
      <c r="PFN219" s="1"/>
      <c r="PFO219" s="1"/>
      <c r="PFP219" s="1"/>
      <c r="PFQ219" s="1"/>
      <c r="PFR219" s="1"/>
      <c r="PFS219" s="1"/>
      <c r="PFT219" s="1"/>
      <c r="PFU219" s="1"/>
      <c r="PFV219" s="1"/>
      <c r="PFW219" s="1"/>
      <c r="PFX219" s="1"/>
      <c r="PFY219" s="1"/>
      <c r="PFZ219" s="1"/>
      <c r="PGA219" s="1"/>
      <c r="PGB219" s="1"/>
      <c r="PGC219" s="1"/>
      <c r="PGD219" s="1"/>
      <c r="PGE219" s="1"/>
      <c r="PGF219" s="1"/>
      <c r="PGG219" s="1"/>
      <c r="PGH219" s="1"/>
      <c r="PGI219" s="1"/>
      <c r="PGJ219" s="1"/>
      <c r="PGK219" s="1"/>
      <c r="PGL219" s="1"/>
      <c r="PGM219" s="1"/>
      <c r="PGN219" s="1"/>
      <c r="PGO219" s="1"/>
      <c r="PGP219" s="1"/>
      <c r="PGQ219" s="1"/>
      <c r="PGR219" s="1"/>
      <c r="PGS219" s="1"/>
      <c r="PGT219" s="1"/>
      <c r="PGU219" s="1"/>
      <c r="PGV219" s="1"/>
      <c r="PGW219" s="1"/>
      <c r="PGX219" s="1"/>
      <c r="PGY219" s="1"/>
      <c r="PGZ219" s="1"/>
      <c r="PHA219" s="1"/>
      <c r="PHB219" s="1"/>
      <c r="PHC219" s="1"/>
      <c r="PHD219" s="1"/>
      <c r="PHE219" s="1"/>
      <c r="PHF219" s="1"/>
      <c r="PHG219" s="1"/>
      <c r="PHH219" s="1"/>
      <c r="PHI219" s="1"/>
      <c r="PHJ219" s="1"/>
      <c r="PHK219" s="1"/>
      <c r="PHL219" s="1"/>
      <c r="PHM219" s="1"/>
      <c r="PHN219" s="1"/>
      <c r="PHO219" s="1"/>
      <c r="PHP219" s="1"/>
      <c r="PHQ219" s="1"/>
      <c r="PHR219" s="1"/>
      <c r="PHS219" s="1"/>
      <c r="PHT219" s="1"/>
      <c r="PHU219" s="1"/>
      <c r="PHV219" s="1"/>
      <c r="PHW219" s="1"/>
      <c r="PHX219" s="1"/>
      <c r="PHY219" s="1"/>
      <c r="PHZ219" s="1"/>
      <c r="PIA219" s="1"/>
      <c r="PIB219" s="1"/>
      <c r="PIC219" s="1"/>
      <c r="PID219" s="1"/>
      <c r="PIE219" s="1"/>
      <c r="PIF219" s="1"/>
      <c r="PIG219" s="1"/>
      <c r="PIH219" s="1"/>
      <c r="PII219" s="1"/>
      <c r="PIJ219" s="1"/>
      <c r="PIK219" s="1"/>
      <c r="PIL219" s="1"/>
      <c r="PIM219" s="1"/>
      <c r="PIN219" s="1"/>
      <c r="PIO219" s="1"/>
      <c r="PIP219" s="1"/>
      <c r="PIQ219" s="1"/>
      <c r="PIR219" s="1"/>
      <c r="PIS219" s="1"/>
      <c r="PIT219" s="1"/>
      <c r="PIU219" s="1"/>
      <c r="PIV219" s="1"/>
      <c r="PIW219" s="1"/>
      <c r="PIX219" s="1"/>
      <c r="PIY219" s="1"/>
      <c r="PIZ219" s="1"/>
      <c r="PJA219" s="1"/>
      <c r="PJB219" s="1"/>
      <c r="PJC219" s="1"/>
      <c r="PJD219" s="1"/>
      <c r="PJE219" s="1"/>
      <c r="PJF219" s="1"/>
      <c r="PJG219" s="1"/>
      <c r="PJH219" s="1"/>
      <c r="PJI219" s="1"/>
      <c r="PJJ219" s="1"/>
      <c r="PJK219" s="1"/>
      <c r="PJL219" s="1"/>
      <c r="PJM219" s="1"/>
      <c r="PJN219" s="1"/>
      <c r="PJO219" s="1"/>
      <c r="PJP219" s="1"/>
      <c r="PJQ219" s="1"/>
      <c r="PJR219" s="1"/>
      <c r="PJS219" s="1"/>
      <c r="PJT219" s="1"/>
      <c r="PJU219" s="1"/>
      <c r="PJV219" s="1"/>
      <c r="PJW219" s="1"/>
      <c r="PJX219" s="1"/>
      <c r="PJY219" s="1"/>
      <c r="PJZ219" s="1"/>
      <c r="PKA219" s="1"/>
      <c r="PKB219" s="1"/>
      <c r="PKC219" s="1"/>
      <c r="PKD219" s="1"/>
      <c r="PKE219" s="1"/>
      <c r="PKF219" s="1"/>
      <c r="PKG219" s="1"/>
      <c r="PKH219" s="1"/>
      <c r="PKI219" s="1"/>
      <c r="PKJ219" s="1"/>
      <c r="PKK219" s="1"/>
      <c r="PKL219" s="1"/>
      <c r="PKM219" s="1"/>
      <c r="PKN219" s="1"/>
      <c r="PKO219" s="1"/>
      <c r="PKP219" s="1"/>
      <c r="PKQ219" s="1"/>
      <c r="PKR219" s="1"/>
      <c r="PKS219" s="1"/>
      <c r="PKT219" s="1"/>
      <c r="PKU219" s="1"/>
      <c r="PKV219" s="1"/>
      <c r="PKW219" s="1"/>
      <c r="PKX219" s="1"/>
      <c r="PKY219" s="1"/>
      <c r="PKZ219" s="1"/>
      <c r="PLA219" s="1"/>
      <c r="PLB219" s="1"/>
      <c r="PLC219" s="1"/>
      <c r="PLD219" s="1"/>
      <c r="PLE219" s="1"/>
      <c r="PLF219" s="1"/>
      <c r="PLG219" s="1"/>
      <c r="PLH219" s="1"/>
      <c r="PLI219" s="1"/>
      <c r="PLJ219" s="1"/>
      <c r="PLK219" s="1"/>
      <c r="PLL219" s="1"/>
      <c r="PLM219" s="1"/>
      <c r="PLN219" s="1"/>
      <c r="PLO219" s="1"/>
      <c r="PLP219" s="1"/>
      <c r="PLQ219" s="1"/>
      <c r="PLR219" s="1"/>
      <c r="PLS219" s="1"/>
      <c r="PLT219" s="1"/>
      <c r="PLU219" s="1"/>
      <c r="PLV219" s="1"/>
      <c r="PLW219" s="1"/>
      <c r="PLX219" s="1"/>
      <c r="PLY219" s="1"/>
      <c r="PLZ219" s="1"/>
      <c r="PMA219" s="1"/>
      <c r="PMB219" s="1"/>
      <c r="PMC219" s="1"/>
      <c r="PMD219" s="1"/>
      <c r="PME219" s="1"/>
      <c r="PMF219" s="1"/>
      <c r="PMG219" s="1"/>
      <c r="PMH219" s="1"/>
      <c r="PMI219" s="1"/>
      <c r="PMJ219" s="1"/>
      <c r="PMK219" s="1"/>
      <c r="PML219" s="1"/>
      <c r="PMM219" s="1"/>
      <c r="PMN219" s="1"/>
      <c r="PMO219" s="1"/>
      <c r="PMP219" s="1"/>
      <c r="PMQ219" s="1"/>
      <c r="PMR219" s="1"/>
      <c r="PMS219" s="1"/>
      <c r="PMT219" s="1"/>
      <c r="PMU219" s="1"/>
      <c r="PMV219" s="1"/>
      <c r="PMW219" s="1"/>
      <c r="PMX219" s="1"/>
      <c r="PMY219" s="1"/>
      <c r="PMZ219" s="1"/>
      <c r="PNA219" s="1"/>
      <c r="PNB219" s="1"/>
      <c r="PNC219" s="1"/>
      <c r="PND219" s="1"/>
      <c r="PNE219" s="1"/>
      <c r="PNF219" s="1"/>
      <c r="PNG219" s="1"/>
      <c r="PNH219" s="1"/>
      <c r="PNI219" s="1"/>
      <c r="PNJ219" s="1"/>
      <c r="PNK219" s="1"/>
      <c r="PNL219" s="1"/>
      <c r="PNM219" s="1"/>
      <c r="PNN219" s="1"/>
      <c r="PNO219" s="1"/>
      <c r="PNP219" s="1"/>
      <c r="PNQ219" s="1"/>
      <c r="PNR219" s="1"/>
      <c r="PNS219" s="1"/>
      <c r="PNT219" s="1"/>
      <c r="PNU219" s="1"/>
      <c r="PNV219" s="1"/>
      <c r="PNW219" s="1"/>
      <c r="PNX219" s="1"/>
      <c r="PNY219" s="1"/>
      <c r="PNZ219" s="1"/>
      <c r="POA219" s="1"/>
      <c r="POB219" s="1"/>
      <c r="POC219" s="1"/>
      <c r="POD219" s="1"/>
      <c r="POE219" s="1"/>
      <c r="POF219" s="1"/>
      <c r="POG219" s="1"/>
      <c r="POH219" s="1"/>
      <c r="POI219" s="1"/>
      <c r="POJ219" s="1"/>
      <c r="POK219" s="1"/>
      <c r="POL219" s="1"/>
      <c r="POM219" s="1"/>
      <c r="PON219" s="1"/>
      <c r="POO219" s="1"/>
      <c r="POP219" s="1"/>
      <c r="POQ219" s="1"/>
      <c r="POR219" s="1"/>
      <c r="POS219" s="1"/>
      <c r="POT219" s="1"/>
      <c r="POU219" s="1"/>
      <c r="POV219" s="1"/>
      <c r="POW219" s="1"/>
      <c r="POX219" s="1"/>
      <c r="POY219" s="1"/>
      <c r="POZ219" s="1"/>
      <c r="PPA219" s="1"/>
      <c r="PPB219" s="1"/>
      <c r="PPC219" s="1"/>
      <c r="PPD219" s="1"/>
      <c r="PPE219" s="1"/>
      <c r="PPF219" s="1"/>
      <c r="PPG219" s="1"/>
      <c r="PPH219" s="1"/>
      <c r="PPI219" s="1"/>
      <c r="PPJ219" s="1"/>
      <c r="PPK219" s="1"/>
      <c r="PPL219" s="1"/>
      <c r="PPM219" s="1"/>
      <c r="PPN219" s="1"/>
      <c r="PPO219" s="1"/>
      <c r="PPP219" s="1"/>
      <c r="PPQ219" s="1"/>
      <c r="PPR219" s="1"/>
      <c r="PPS219" s="1"/>
      <c r="PPT219" s="1"/>
      <c r="PPU219" s="1"/>
      <c r="PPV219" s="1"/>
      <c r="PPW219" s="1"/>
      <c r="PPX219" s="1"/>
      <c r="PPY219" s="1"/>
      <c r="PPZ219" s="1"/>
      <c r="PQA219" s="1"/>
      <c r="PQB219" s="1"/>
      <c r="PQC219" s="1"/>
      <c r="PQD219" s="1"/>
      <c r="PQE219" s="1"/>
      <c r="PQF219" s="1"/>
      <c r="PQG219" s="1"/>
      <c r="PQH219" s="1"/>
      <c r="PQI219" s="1"/>
      <c r="PQJ219" s="1"/>
      <c r="PQK219" s="1"/>
      <c r="PQL219" s="1"/>
      <c r="PQM219" s="1"/>
      <c r="PQN219" s="1"/>
      <c r="PQO219" s="1"/>
      <c r="PQP219" s="1"/>
      <c r="PQQ219" s="1"/>
      <c r="PQR219" s="1"/>
      <c r="PQS219" s="1"/>
      <c r="PQT219" s="1"/>
      <c r="PQU219" s="1"/>
      <c r="PQV219" s="1"/>
      <c r="PQW219" s="1"/>
      <c r="PQX219" s="1"/>
      <c r="PQY219" s="1"/>
      <c r="PQZ219" s="1"/>
      <c r="PRA219" s="1"/>
      <c r="PRB219" s="1"/>
      <c r="PRC219" s="1"/>
      <c r="PRD219" s="1"/>
      <c r="PRE219" s="1"/>
      <c r="PRF219" s="1"/>
      <c r="PRG219" s="1"/>
      <c r="PRH219" s="1"/>
      <c r="PRI219" s="1"/>
      <c r="PRJ219" s="1"/>
      <c r="PRK219" s="1"/>
      <c r="PRL219" s="1"/>
      <c r="PRM219" s="1"/>
      <c r="PRN219" s="1"/>
      <c r="PRO219" s="1"/>
      <c r="PRP219" s="1"/>
      <c r="PRQ219" s="1"/>
      <c r="PRR219" s="1"/>
      <c r="PRS219" s="1"/>
      <c r="PRT219" s="1"/>
      <c r="PRU219" s="1"/>
      <c r="PRV219" s="1"/>
      <c r="PRW219" s="1"/>
      <c r="PRX219" s="1"/>
      <c r="PRY219" s="1"/>
      <c r="PRZ219" s="1"/>
      <c r="PSA219" s="1"/>
      <c r="PSB219" s="1"/>
      <c r="PSC219" s="1"/>
      <c r="PSD219" s="1"/>
      <c r="PSE219" s="1"/>
      <c r="PSF219" s="1"/>
      <c r="PSG219" s="1"/>
      <c r="PSH219" s="1"/>
      <c r="PSI219" s="1"/>
      <c r="PSJ219" s="1"/>
      <c r="PSK219" s="1"/>
      <c r="PSL219" s="1"/>
      <c r="PSM219" s="1"/>
      <c r="PSN219" s="1"/>
      <c r="PSO219" s="1"/>
      <c r="PSP219" s="1"/>
      <c r="PSQ219" s="1"/>
      <c r="PSR219" s="1"/>
      <c r="PSS219" s="1"/>
      <c r="PST219" s="1"/>
      <c r="PSU219" s="1"/>
      <c r="PSV219" s="1"/>
      <c r="PSW219" s="1"/>
      <c r="PSX219" s="1"/>
      <c r="PSY219" s="1"/>
      <c r="PSZ219" s="1"/>
      <c r="PTA219" s="1"/>
      <c r="PTB219" s="1"/>
      <c r="PTC219" s="1"/>
      <c r="PTD219" s="1"/>
      <c r="PTE219" s="1"/>
      <c r="PTF219" s="1"/>
      <c r="PTG219" s="1"/>
      <c r="PTH219" s="1"/>
      <c r="PTI219" s="1"/>
      <c r="PTJ219" s="1"/>
      <c r="PTK219" s="1"/>
      <c r="PTL219" s="1"/>
      <c r="PTM219" s="1"/>
      <c r="PTN219" s="1"/>
      <c r="PTO219" s="1"/>
      <c r="PTP219" s="1"/>
      <c r="PTQ219" s="1"/>
      <c r="PTR219" s="1"/>
      <c r="PTS219" s="1"/>
      <c r="PTT219" s="1"/>
      <c r="PTU219" s="1"/>
      <c r="PTV219" s="1"/>
      <c r="PTW219" s="1"/>
      <c r="PTX219" s="1"/>
      <c r="PTY219" s="1"/>
      <c r="PTZ219" s="1"/>
      <c r="PUA219" s="1"/>
      <c r="PUB219" s="1"/>
      <c r="PUC219" s="1"/>
      <c r="PUD219" s="1"/>
      <c r="PUE219" s="1"/>
      <c r="PUF219" s="1"/>
      <c r="PUG219" s="1"/>
      <c r="PUH219" s="1"/>
      <c r="PUI219" s="1"/>
      <c r="PUJ219" s="1"/>
      <c r="PUK219" s="1"/>
      <c r="PUL219" s="1"/>
      <c r="PUM219" s="1"/>
      <c r="PUN219" s="1"/>
      <c r="PUO219" s="1"/>
      <c r="PUP219" s="1"/>
      <c r="PUQ219" s="1"/>
      <c r="PUR219" s="1"/>
      <c r="PUS219" s="1"/>
      <c r="PUT219" s="1"/>
      <c r="PUU219" s="1"/>
      <c r="PUV219" s="1"/>
      <c r="PUW219" s="1"/>
      <c r="PUX219" s="1"/>
      <c r="PUY219" s="1"/>
      <c r="PUZ219" s="1"/>
      <c r="PVA219" s="1"/>
      <c r="PVB219" s="1"/>
      <c r="PVC219" s="1"/>
      <c r="PVD219" s="1"/>
      <c r="PVE219" s="1"/>
      <c r="PVF219" s="1"/>
      <c r="PVG219" s="1"/>
      <c r="PVH219" s="1"/>
      <c r="PVI219" s="1"/>
      <c r="PVJ219" s="1"/>
      <c r="PVK219" s="1"/>
      <c r="PVL219" s="1"/>
      <c r="PVM219" s="1"/>
      <c r="PVN219" s="1"/>
      <c r="PVO219" s="1"/>
      <c r="PVP219" s="1"/>
      <c r="PVQ219" s="1"/>
      <c r="PVR219" s="1"/>
      <c r="PVS219" s="1"/>
      <c r="PVT219" s="1"/>
      <c r="PVU219" s="1"/>
      <c r="PVV219" s="1"/>
      <c r="PVW219" s="1"/>
      <c r="PVX219" s="1"/>
      <c r="PVY219" s="1"/>
      <c r="PVZ219" s="1"/>
      <c r="PWA219" s="1"/>
      <c r="PWB219" s="1"/>
      <c r="PWC219" s="1"/>
      <c r="PWD219" s="1"/>
      <c r="PWE219" s="1"/>
      <c r="PWF219" s="1"/>
      <c r="PWG219" s="1"/>
      <c r="PWH219" s="1"/>
      <c r="PWI219" s="1"/>
      <c r="PWJ219" s="1"/>
      <c r="PWK219" s="1"/>
      <c r="PWL219" s="1"/>
      <c r="PWM219" s="1"/>
      <c r="PWN219" s="1"/>
      <c r="PWO219" s="1"/>
      <c r="PWP219" s="1"/>
      <c r="PWQ219" s="1"/>
      <c r="PWR219" s="1"/>
      <c r="PWS219" s="1"/>
      <c r="PWT219" s="1"/>
      <c r="PWU219" s="1"/>
      <c r="PWV219" s="1"/>
      <c r="PWW219" s="1"/>
      <c r="PWX219" s="1"/>
      <c r="PWY219" s="1"/>
      <c r="PWZ219" s="1"/>
      <c r="PXA219" s="1"/>
      <c r="PXB219" s="1"/>
      <c r="PXC219" s="1"/>
      <c r="PXD219" s="1"/>
      <c r="PXE219" s="1"/>
      <c r="PXF219" s="1"/>
      <c r="PXG219" s="1"/>
      <c r="PXH219" s="1"/>
      <c r="PXI219" s="1"/>
      <c r="PXJ219" s="1"/>
      <c r="PXK219" s="1"/>
      <c r="PXL219" s="1"/>
      <c r="PXM219" s="1"/>
      <c r="PXN219" s="1"/>
      <c r="PXO219" s="1"/>
      <c r="PXP219" s="1"/>
      <c r="PXQ219" s="1"/>
      <c r="PXR219" s="1"/>
      <c r="PXS219" s="1"/>
      <c r="PXT219" s="1"/>
      <c r="PXU219" s="1"/>
      <c r="PXV219" s="1"/>
      <c r="PXW219" s="1"/>
      <c r="PXX219" s="1"/>
      <c r="PXY219" s="1"/>
      <c r="PXZ219" s="1"/>
      <c r="PYA219" s="1"/>
      <c r="PYB219" s="1"/>
      <c r="PYC219" s="1"/>
      <c r="PYD219" s="1"/>
      <c r="PYE219" s="1"/>
      <c r="PYF219" s="1"/>
      <c r="PYG219" s="1"/>
      <c r="PYH219" s="1"/>
      <c r="PYI219" s="1"/>
      <c r="PYJ219" s="1"/>
      <c r="PYK219" s="1"/>
      <c r="PYL219" s="1"/>
      <c r="PYM219" s="1"/>
      <c r="PYN219" s="1"/>
      <c r="PYO219" s="1"/>
      <c r="PYP219" s="1"/>
      <c r="PYQ219" s="1"/>
      <c r="PYR219" s="1"/>
      <c r="PYS219" s="1"/>
      <c r="PYT219" s="1"/>
      <c r="PYU219" s="1"/>
      <c r="PYV219" s="1"/>
      <c r="PYW219" s="1"/>
      <c r="PYX219" s="1"/>
      <c r="PYY219" s="1"/>
      <c r="PYZ219" s="1"/>
      <c r="PZA219" s="1"/>
      <c r="PZB219" s="1"/>
      <c r="PZC219" s="1"/>
      <c r="PZD219" s="1"/>
      <c r="PZE219" s="1"/>
      <c r="PZF219" s="1"/>
      <c r="PZG219" s="1"/>
      <c r="PZH219" s="1"/>
      <c r="PZI219" s="1"/>
      <c r="PZJ219" s="1"/>
      <c r="PZK219" s="1"/>
      <c r="PZL219" s="1"/>
      <c r="PZM219" s="1"/>
      <c r="PZN219" s="1"/>
      <c r="PZO219" s="1"/>
      <c r="PZP219" s="1"/>
      <c r="PZQ219" s="1"/>
      <c r="PZR219" s="1"/>
      <c r="PZS219" s="1"/>
      <c r="PZT219" s="1"/>
      <c r="PZU219" s="1"/>
      <c r="PZV219" s="1"/>
      <c r="PZW219" s="1"/>
      <c r="PZX219" s="1"/>
      <c r="PZY219" s="1"/>
      <c r="PZZ219" s="1"/>
      <c r="QAA219" s="1"/>
      <c r="QAB219" s="1"/>
      <c r="QAC219" s="1"/>
      <c r="QAD219" s="1"/>
      <c r="QAE219" s="1"/>
      <c r="QAF219" s="1"/>
      <c r="QAG219" s="1"/>
      <c r="QAH219" s="1"/>
      <c r="QAI219" s="1"/>
      <c r="QAJ219" s="1"/>
      <c r="QAK219" s="1"/>
      <c r="QAL219" s="1"/>
      <c r="QAM219" s="1"/>
      <c r="QAN219" s="1"/>
      <c r="QAO219" s="1"/>
      <c r="QAP219" s="1"/>
      <c r="QAQ219" s="1"/>
      <c r="QAR219" s="1"/>
      <c r="QAS219" s="1"/>
      <c r="QAT219" s="1"/>
      <c r="QAU219" s="1"/>
      <c r="QAV219" s="1"/>
      <c r="QAW219" s="1"/>
      <c r="QAX219" s="1"/>
      <c r="QAY219" s="1"/>
      <c r="QAZ219" s="1"/>
      <c r="QBA219" s="1"/>
      <c r="QBB219" s="1"/>
      <c r="QBC219" s="1"/>
      <c r="QBD219" s="1"/>
      <c r="QBE219" s="1"/>
      <c r="QBF219" s="1"/>
      <c r="QBG219" s="1"/>
      <c r="QBH219" s="1"/>
      <c r="QBI219" s="1"/>
      <c r="QBJ219" s="1"/>
      <c r="QBK219" s="1"/>
      <c r="QBL219" s="1"/>
      <c r="QBM219" s="1"/>
      <c r="QBN219" s="1"/>
      <c r="QBO219" s="1"/>
      <c r="QBP219" s="1"/>
      <c r="QBQ219" s="1"/>
      <c r="QBR219" s="1"/>
      <c r="QBS219" s="1"/>
      <c r="QBT219" s="1"/>
      <c r="QBU219" s="1"/>
      <c r="QBV219" s="1"/>
      <c r="QBW219" s="1"/>
      <c r="QBX219" s="1"/>
      <c r="QBY219" s="1"/>
      <c r="QBZ219" s="1"/>
      <c r="QCA219" s="1"/>
      <c r="QCB219" s="1"/>
      <c r="QCC219" s="1"/>
      <c r="QCD219" s="1"/>
      <c r="QCE219" s="1"/>
      <c r="QCF219" s="1"/>
      <c r="QCG219" s="1"/>
      <c r="QCH219" s="1"/>
      <c r="QCI219" s="1"/>
      <c r="QCJ219" s="1"/>
      <c r="QCK219" s="1"/>
      <c r="QCL219" s="1"/>
      <c r="QCM219" s="1"/>
      <c r="QCN219" s="1"/>
      <c r="QCO219" s="1"/>
      <c r="QCP219" s="1"/>
      <c r="QCQ219" s="1"/>
      <c r="QCR219" s="1"/>
      <c r="QCS219" s="1"/>
      <c r="QCT219" s="1"/>
      <c r="QCU219" s="1"/>
      <c r="QCV219" s="1"/>
      <c r="QCW219" s="1"/>
      <c r="QCX219" s="1"/>
      <c r="QCY219" s="1"/>
      <c r="QCZ219" s="1"/>
      <c r="QDA219" s="1"/>
      <c r="QDB219" s="1"/>
      <c r="QDC219" s="1"/>
      <c r="QDD219" s="1"/>
      <c r="QDE219" s="1"/>
      <c r="QDF219" s="1"/>
      <c r="QDG219" s="1"/>
      <c r="QDH219" s="1"/>
      <c r="QDI219" s="1"/>
      <c r="QDJ219" s="1"/>
      <c r="QDK219" s="1"/>
      <c r="QDL219" s="1"/>
      <c r="QDM219" s="1"/>
      <c r="QDN219" s="1"/>
      <c r="QDO219" s="1"/>
      <c r="QDP219" s="1"/>
      <c r="QDQ219" s="1"/>
      <c r="QDR219" s="1"/>
      <c r="QDS219" s="1"/>
      <c r="QDT219" s="1"/>
      <c r="QDU219" s="1"/>
      <c r="QDV219" s="1"/>
      <c r="QDW219" s="1"/>
      <c r="QDX219" s="1"/>
      <c r="QDY219" s="1"/>
      <c r="QDZ219" s="1"/>
      <c r="QEA219" s="1"/>
      <c r="QEB219" s="1"/>
      <c r="QEC219" s="1"/>
      <c r="QED219" s="1"/>
      <c r="QEE219" s="1"/>
      <c r="QEF219" s="1"/>
      <c r="QEG219" s="1"/>
      <c r="QEH219" s="1"/>
      <c r="QEI219" s="1"/>
      <c r="QEJ219" s="1"/>
      <c r="QEK219" s="1"/>
      <c r="QEL219" s="1"/>
      <c r="QEM219" s="1"/>
      <c r="QEN219" s="1"/>
      <c r="QEO219" s="1"/>
      <c r="QEP219" s="1"/>
      <c r="QEQ219" s="1"/>
      <c r="QER219" s="1"/>
      <c r="QES219" s="1"/>
      <c r="QET219" s="1"/>
      <c r="QEU219" s="1"/>
      <c r="QEV219" s="1"/>
      <c r="QEW219" s="1"/>
      <c r="QEX219" s="1"/>
      <c r="QEY219" s="1"/>
      <c r="QEZ219" s="1"/>
      <c r="QFA219" s="1"/>
      <c r="QFB219" s="1"/>
      <c r="QFC219" s="1"/>
      <c r="QFD219" s="1"/>
      <c r="QFE219" s="1"/>
      <c r="QFF219" s="1"/>
      <c r="QFG219" s="1"/>
      <c r="QFH219" s="1"/>
      <c r="QFI219" s="1"/>
      <c r="QFJ219" s="1"/>
      <c r="QFK219" s="1"/>
      <c r="QFL219" s="1"/>
      <c r="QFM219" s="1"/>
      <c r="QFN219" s="1"/>
      <c r="QFO219" s="1"/>
      <c r="QFP219" s="1"/>
      <c r="QFQ219" s="1"/>
      <c r="QFR219" s="1"/>
      <c r="QFS219" s="1"/>
      <c r="QFT219" s="1"/>
      <c r="QFU219" s="1"/>
      <c r="QFV219" s="1"/>
      <c r="QFW219" s="1"/>
      <c r="QFX219" s="1"/>
      <c r="QFY219" s="1"/>
      <c r="QFZ219" s="1"/>
      <c r="QGA219" s="1"/>
      <c r="QGB219" s="1"/>
      <c r="QGC219" s="1"/>
      <c r="QGD219" s="1"/>
      <c r="QGE219" s="1"/>
      <c r="QGF219" s="1"/>
      <c r="QGG219" s="1"/>
      <c r="QGH219" s="1"/>
      <c r="QGI219" s="1"/>
      <c r="QGJ219" s="1"/>
      <c r="QGK219" s="1"/>
      <c r="QGL219" s="1"/>
      <c r="QGM219" s="1"/>
      <c r="QGN219" s="1"/>
      <c r="QGO219" s="1"/>
      <c r="QGP219" s="1"/>
      <c r="QGQ219" s="1"/>
      <c r="QGR219" s="1"/>
      <c r="QGS219" s="1"/>
      <c r="QGT219" s="1"/>
      <c r="QGU219" s="1"/>
      <c r="QGV219" s="1"/>
      <c r="QGW219" s="1"/>
      <c r="QGX219" s="1"/>
      <c r="QGY219" s="1"/>
      <c r="QGZ219" s="1"/>
      <c r="QHA219" s="1"/>
      <c r="QHB219" s="1"/>
      <c r="QHC219" s="1"/>
      <c r="QHD219" s="1"/>
      <c r="QHE219" s="1"/>
      <c r="QHF219" s="1"/>
      <c r="QHG219" s="1"/>
      <c r="QHH219" s="1"/>
      <c r="QHI219" s="1"/>
      <c r="QHJ219" s="1"/>
      <c r="QHK219" s="1"/>
      <c r="QHL219" s="1"/>
      <c r="QHM219" s="1"/>
      <c r="QHN219" s="1"/>
      <c r="QHO219" s="1"/>
      <c r="QHP219" s="1"/>
      <c r="QHQ219" s="1"/>
      <c r="QHR219" s="1"/>
      <c r="QHS219" s="1"/>
      <c r="QHT219" s="1"/>
      <c r="QHU219" s="1"/>
      <c r="QHV219" s="1"/>
      <c r="QHW219" s="1"/>
      <c r="QHX219" s="1"/>
      <c r="QHY219" s="1"/>
      <c r="QHZ219" s="1"/>
      <c r="QIA219" s="1"/>
      <c r="QIB219" s="1"/>
      <c r="QIC219" s="1"/>
      <c r="QID219" s="1"/>
      <c r="QIE219" s="1"/>
      <c r="QIF219" s="1"/>
      <c r="QIG219" s="1"/>
      <c r="QIH219" s="1"/>
      <c r="QII219" s="1"/>
      <c r="QIJ219" s="1"/>
      <c r="QIK219" s="1"/>
      <c r="QIL219" s="1"/>
      <c r="QIM219" s="1"/>
      <c r="QIN219" s="1"/>
      <c r="QIO219" s="1"/>
      <c r="QIP219" s="1"/>
      <c r="QIQ219" s="1"/>
      <c r="QIR219" s="1"/>
      <c r="QIS219" s="1"/>
      <c r="QIT219" s="1"/>
      <c r="QIU219" s="1"/>
      <c r="QIV219" s="1"/>
      <c r="QIW219" s="1"/>
      <c r="QIX219" s="1"/>
      <c r="QIY219" s="1"/>
      <c r="QIZ219" s="1"/>
      <c r="QJA219" s="1"/>
      <c r="QJB219" s="1"/>
      <c r="QJC219" s="1"/>
      <c r="QJD219" s="1"/>
      <c r="QJE219" s="1"/>
      <c r="QJF219" s="1"/>
      <c r="QJG219" s="1"/>
      <c r="QJH219" s="1"/>
      <c r="QJI219" s="1"/>
      <c r="QJJ219" s="1"/>
      <c r="QJK219" s="1"/>
      <c r="QJL219" s="1"/>
      <c r="QJM219" s="1"/>
      <c r="QJN219" s="1"/>
      <c r="QJO219" s="1"/>
      <c r="QJP219" s="1"/>
      <c r="QJQ219" s="1"/>
      <c r="QJR219" s="1"/>
      <c r="QJS219" s="1"/>
      <c r="QJT219" s="1"/>
      <c r="QJU219" s="1"/>
      <c r="QJV219" s="1"/>
      <c r="QJW219" s="1"/>
      <c r="QJX219" s="1"/>
      <c r="QJY219" s="1"/>
      <c r="QJZ219" s="1"/>
      <c r="QKA219" s="1"/>
      <c r="QKB219" s="1"/>
      <c r="QKC219" s="1"/>
      <c r="QKD219" s="1"/>
      <c r="QKE219" s="1"/>
      <c r="QKF219" s="1"/>
      <c r="QKG219" s="1"/>
      <c r="QKH219" s="1"/>
      <c r="QKI219" s="1"/>
      <c r="QKJ219" s="1"/>
      <c r="QKK219" s="1"/>
      <c r="QKL219" s="1"/>
      <c r="QKM219" s="1"/>
      <c r="QKN219" s="1"/>
      <c r="QKO219" s="1"/>
      <c r="QKP219" s="1"/>
      <c r="QKQ219" s="1"/>
      <c r="QKR219" s="1"/>
      <c r="QKS219" s="1"/>
      <c r="QKT219" s="1"/>
      <c r="QKU219" s="1"/>
      <c r="QKV219" s="1"/>
      <c r="QKW219" s="1"/>
      <c r="QKX219" s="1"/>
      <c r="QKY219" s="1"/>
      <c r="QKZ219" s="1"/>
      <c r="QLA219" s="1"/>
      <c r="QLB219" s="1"/>
      <c r="QLC219" s="1"/>
      <c r="QLD219" s="1"/>
      <c r="QLE219" s="1"/>
      <c r="QLF219" s="1"/>
      <c r="QLG219" s="1"/>
      <c r="QLH219" s="1"/>
      <c r="QLI219" s="1"/>
      <c r="QLJ219" s="1"/>
      <c r="QLK219" s="1"/>
      <c r="QLL219" s="1"/>
      <c r="QLM219" s="1"/>
      <c r="QLN219" s="1"/>
      <c r="QLO219" s="1"/>
      <c r="QLP219" s="1"/>
      <c r="QLQ219" s="1"/>
      <c r="QLR219" s="1"/>
      <c r="QLS219" s="1"/>
      <c r="QLT219" s="1"/>
      <c r="QLU219" s="1"/>
      <c r="QLV219" s="1"/>
      <c r="QLW219" s="1"/>
      <c r="QLX219" s="1"/>
      <c r="QLY219" s="1"/>
      <c r="QLZ219" s="1"/>
      <c r="QMA219" s="1"/>
      <c r="QMB219" s="1"/>
      <c r="QMC219" s="1"/>
      <c r="QMD219" s="1"/>
      <c r="QME219" s="1"/>
      <c r="QMF219" s="1"/>
      <c r="QMG219" s="1"/>
      <c r="QMH219" s="1"/>
      <c r="QMI219" s="1"/>
      <c r="QMJ219" s="1"/>
      <c r="QMK219" s="1"/>
      <c r="QML219" s="1"/>
      <c r="QMM219" s="1"/>
      <c r="QMN219" s="1"/>
      <c r="QMO219" s="1"/>
      <c r="QMP219" s="1"/>
      <c r="QMQ219" s="1"/>
      <c r="QMR219" s="1"/>
      <c r="QMS219" s="1"/>
      <c r="QMT219" s="1"/>
      <c r="QMU219" s="1"/>
      <c r="QMV219" s="1"/>
      <c r="QMW219" s="1"/>
      <c r="QMX219" s="1"/>
      <c r="QMY219" s="1"/>
      <c r="QMZ219" s="1"/>
      <c r="QNA219" s="1"/>
      <c r="QNB219" s="1"/>
      <c r="QNC219" s="1"/>
      <c r="QND219" s="1"/>
      <c r="QNE219" s="1"/>
      <c r="QNF219" s="1"/>
      <c r="QNG219" s="1"/>
      <c r="QNH219" s="1"/>
      <c r="QNI219" s="1"/>
      <c r="QNJ219" s="1"/>
      <c r="QNK219" s="1"/>
      <c r="QNL219" s="1"/>
      <c r="QNM219" s="1"/>
      <c r="QNN219" s="1"/>
      <c r="QNO219" s="1"/>
      <c r="QNP219" s="1"/>
      <c r="QNQ219" s="1"/>
      <c r="QNR219" s="1"/>
      <c r="QNS219" s="1"/>
      <c r="QNT219" s="1"/>
      <c r="QNU219" s="1"/>
      <c r="QNV219" s="1"/>
      <c r="QNW219" s="1"/>
      <c r="QNX219" s="1"/>
      <c r="QNY219" s="1"/>
      <c r="QNZ219" s="1"/>
      <c r="QOA219" s="1"/>
      <c r="QOB219" s="1"/>
      <c r="QOC219" s="1"/>
      <c r="QOD219" s="1"/>
      <c r="QOE219" s="1"/>
      <c r="QOF219" s="1"/>
      <c r="QOG219" s="1"/>
      <c r="QOH219" s="1"/>
      <c r="QOI219" s="1"/>
      <c r="QOJ219" s="1"/>
      <c r="QOK219" s="1"/>
      <c r="QOL219" s="1"/>
      <c r="QOM219" s="1"/>
      <c r="QON219" s="1"/>
      <c r="QOO219" s="1"/>
      <c r="QOP219" s="1"/>
      <c r="QOQ219" s="1"/>
      <c r="QOR219" s="1"/>
      <c r="QOS219" s="1"/>
      <c r="QOT219" s="1"/>
      <c r="QOU219" s="1"/>
      <c r="QOV219" s="1"/>
      <c r="QOW219" s="1"/>
      <c r="QOX219" s="1"/>
      <c r="QOY219" s="1"/>
      <c r="QOZ219" s="1"/>
      <c r="QPA219" s="1"/>
      <c r="QPB219" s="1"/>
      <c r="QPC219" s="1"/>
      <c r="QPD219" s="1"/>
      <c r="QPE219" s="1"/>
      <c r="QPF219" s="1"/>
      <c r="QPG219" s="1"/>
      <c r="QPH219" s="1"/>
      <c r="QPI219" s="1"/>
      <c r="QPJ219" s="1"/>
      <c r="QPK219" s="1"/>
      <c r="QPL219" s="1"/>
      <c r="QPM219" s="1"/>
      <c r="QPN219" s="1"/>
      <c r="QPO219" s="1"/>
      <c r="QPP219" s="1"/>
      <c r="QPQ219" s="1"/>
      <c r="QPR219" s="1"/>
      <c r="QPS219" s="1"/>
      <c r="QPT219" s="1"/>
      <c r="QPU219" s="1"/>
      <c r="QPV219" s="1"/>
      <c r="QPW219" s="1"/>
      <c r="QPX219" s="1"/>
      <c r="QPY219" s="1"/>
      <c r="QPZ219" s="1"/>
      <c r="QQA219" s="1"/>
      <c r="QQB219" s="1"/>
      <c r="QQC219" s="1"/>
      <c r="QQD219" s="1"/>
      <c r="QQE219" s="1"/>
      <c r="QQF219" s="1"/>
      <c r="QQG219" s="1"/>
      <c r="QQH219" s="1"/>
      <c r="QQI219" s="1"/>
      <c r="QQJ219" s="1"/>
      <c r="QQK219" s="1"/>
      <c r="QQL219" s="1"/>
      <c r="QQM219" s="1"/>
      <c r="QQN219" s="1"/>
      <c r="QQO219" s="1"/>
      <c r="QQP219" s="1"/>
      <c r="QQQ219" s="1"/>
      <c r="QQR219" s="1"/>
      <c r="QQS219" s="1"/>
      <c r="QQT219" s="1"/>
      <c r="QQU219" s="1"/>
      <c r="QQV219" s="1"/>
      <c r="QQW219" s="1"/>
      <c r="QQX219" s="1"/>
      <c r="QQY219" s="1"/>
      <c r="QQZ219" s="1"/>
      <c r="QRA219" s="1"/>
      <c r="QRB219" s="1"/>
      <c r="QRC219" s="1"/>
      <c r="QRD219" s="1"/>
      <c r="QRE219" s="1"/>
      <c r="QRF219" s="1"/>
      <c r="QRG219" s="1"/>
      <c r="QRH219" s="1"/>
      <c r="QRI219" s="1"/>
      <c r="QRJ219" s="1"/>
      <c r="QRK219" s="1"/>
      <c r="QRL219" s="1"/>
      <c r="QRM219" s="1"/>
      <c r="QRN219" s="1"/>
      <c r="QRO219" s="1"/>
      <c r="QRP219" s="1"/>
      <c r="QRQ219" s="1"/>
      <c r="QRR219" s="1"/>
      <c r="QRS219" s="1"/>
      <c r="QRT219" s="1"/>
      <c r="QRU219" s="1"/>
      <c r="QRV219" s="1"/>
      <c r="QRW219" s="1"/>
      <c r="QRX219" s="1"/>
      <c r="QRY219" s="1"/>
      <c r="QRZ219" s="1"/>
      <c r="QSA219" s="1"/>
      <c r="QSB219" s="1"/>
      <c r="QSC219" s="1"/>
      <c r="QSD219" s="1"/>
      <c r="QSE219" s="1"/>
      <c r="QSF219" s="1"/>
      <c r="QSG219" s="1"/>
      <c r="QSH219" s="1"/>
      <c r="QSI219" s="1"/>
      <c r="QSJ219" s="1"/>
      <c r="QSK219" s="1"/>
      <c r="QSL219" s="1"/>
      <c r="QSM219" s="1"/>
      <c r="QSN219" s="1"/>
      <c r="QSO219" s="1"/>
      <c r="QSP219" s="1"/>
      <c r="QSQ219" s="1"/>
      <c r="QSR219" s="1"/>
      <c r="QSS219" s="1"/>
      <c r="QST219" s="1"/>
      <c r="QSU219" s="1"/>
      <c r="QSV219" s="1"/>
      <c r="QSW219" s="1"/>
      <c r="QSX219" s="1"/>
      <c r="QSY219" s="1"/>
      <c r="QSZ219" s="1"/>
      <c r="QTA219" s="1"/>
      <c r="QTB219" s="1"/>
      <c r="QTC219" s="1"/>
      <c r="QTD219" s="1"/>
      <c r="QTE219" s="1"/>
      <c r="QTF219" s="1"/>
      <c r="QTG219" s="1"/>
      <c r="QTH219" s="1"/>
      <c r="QTI219" s="1"/>
      <c r="QTJ219" s="1"/>
      <c r="QTK219" s="1"/>
      <c r="QTL219" s="1"/>
      <c r="QTM219" s="1"/>
      <c r="QTN219" s="1"/>
      <c r="QTO219" s="1"/>
      <c r="QTP219" s="1"/>
      <c r="QTQ219" s="1"/>
      <c r="QTR219" s="1"/>
      <c r="QTS219" s="1"/>
      <c r="QTT219" s="1"/>
      <c r="QTU219" s="1"/>
      <c r="QTV219" s="1"/>
      <c r="QTW219" s="1"/>
      <c r="QTX219" s="1"/>
      <c r="QTY219" s="1"/>
      <c r="QTZ219" s="1"/>
      <c r="QUA219" s="1"/>
      <c r="QUB219" s="1"/>
      <c r="QUC219" s="1"/>
      <c r="QUD219" s="1"/>
      <c r="QUE219" s="1"/>
      <c r="QUF219" s="1"/>
      <c r="QUG219" s="1"/>
      <c r="QUH219" s="1"/>
      <c r="QUI219" s="1"/>
      <c r="QUJ219" s="1"/>
      <c r="QUK219" s="1"/>
      <c r="QUL219" s="1"/>
      <c r="QUM219" s="1"/>
      <c r="QUN219" s="1"/>
      <c r="QUO219" s="1"/>
      <c r="QUP219" s="1"/>
      <c r="QUQ219" s="1"/>
      <c r="QUR219" s="1"/>
      <c r="QUS219" s="1"/>
      <c r="QUT219" s="1"/>
      <c r="QUU219" s="1"/>
      <c r="QUV219" s="1"/>
      <c r="QUW219" s="1"/>
      <c r="QUX219" s="1"/>
      <c r="QUY219" s="1"/>
      <c r="QUZ219" s="1"/>
      <c r="QVA219" s="1"/>
      <c r="QVB219" s="1"/>
      <c r="QVC219" s="1"/>
      <c r="QVD219" s="1"/>
      <c r="QVE219" s="1"/>
      <c r="QVF219" s="1"/>
      <c r="QVG219" s="1"/>
      <c r="QVH219" s="1"/>
      <c r="QVI219" s="1"/>
      <c r="QVJ219" s="1"/>
      <c r="QVK219" s="1"/>
      <c r="QVL219" s="1"/>
      <c r="QVM219" s="1"/>
      <c r="QVN219" s="1"/>
      <c r="QVO219" s="1"/>
      <c r="QVP219" s="1"/>
      <c r="QVQ219" s="1"/>
      <c r="QVR219" s="1"/>
      <c r="QVS219" s="1"/>
      <c r="QVT219" s="1"/>
      <c r="QVU219" s="1"/>
      <c r="QVV219" s="1"/>
      <c r="QVW219" s="1"/>
      <c r="QVX219" s="1"/>
      <c r="QVY219" s="1"/>
      <c r="QVZ219" s="1"/>
      <c r="QWA219" s="1"/>
      <c r="QWB219" s="1"/>
      <c r="QWC219" s="1"/>
      <c r="QWD219" s="1"/>
      <c r="QWE219" s="1"/>
      <c r="QWF219" s="1"/>
      <c r="QWG219" s="1"/>
      <c r="QWH219" s="1"/>
      <c r="QWI219" s="1"/>
      <c r="QWJ219" s="1"/>
      <c r="QWK219" s="1"/>
      <c r="QWL219" s="1"/>
      <c r="QWM219" s="1"/>
      <c r="QWN219" s="1"/>
      <c r="QWO219" s="1"/>
      <c r="QWP219" s="1"/>
      <c r="QWQ219" s="1"/>
      <c r="QWR219" s="1"/>
      <c r="QWS219" s="1"/>
      <c r="QWT219" s="1"/>
      <c r="QWU219" s="1"/>
      <c r="QWV219" s="1"/>
      <c r="QWW219" s="1"/>
      <c r="QWX219" s="1"/>
      <c r="QWY219" s="1"/>
      <c r="QWZ219" s="1"/>
      <c r="QXA219" s="1"/>
      <c r="QXB219" s="1"/>
      <c r="QXC219" s="1"/>
      <c r="QXD219" s="1"/>
      <c r="QXE219" s="1"/>
      <c r="QXF219" s="1"/>
      <c r="QXG219" s="1"/>
      <c r="QXH219" s="1"/>
      <c r="QXI219" s="1"/>
      <c r="QXJ219" s="1"/>
      <c r="QXK219" s="1"/>
      <c r="QXL219" s="1"/>
      <c r="QXM219" s="1"/>
      <c r="QXN219" s="1"/>
      <c r="QXO219" s="1"/>
      <c r="QXP219" s="1"/>
      <c r="QXQ219" s="1"/>
      <c r="QXR219" s="1"/>
      <c r="QXS219" s="1"/>
      <c r="QXT219" s="1"/>
      <c r="QXU219" s="1"/>
      <c r="QXV219" s="1"/>
      <c r="QXW219" s="1"/>
      <c r="QXX219" s="1"/>
      <c r="QXY219" s="1"/>
      <c r="QXZ219" s="1"/>
      <c r="QYA219" s="1"/>
      <c r="QYB219" s="1"/>
      <c r="QYC219" s="1"/>
      <c r="QYD219" s="1"/>
      <c r="QYE219" s="1"/>
      <c r="QYF219" s="1"/>
      <c r="QYG219" s="1"/>
      <c r="QYH219" s="1"/>
      <c r="QYI219" s="1"/>
      <c r="QYJ219" s="1"/>
      <c r="QYK219" s="1"/>
      <c r="QYL219" s="1"/>
      <c r="QYM219" s="1"/>
      <c r="QYN219" s="1"/>
      <c r="QYO219" s="1"/>
      <c r="QYP219" s="1"/>
      <c r="QYQ219" s="1"/>
      <c r="QYR219" s="1"/>
      <c r="QYS219" s="1"/>
      <c r="QYT219" s="1"/>
      <c r="QYU219" s="1"/>
      <c r="QYV219" s="1"/>
      <c r="QYW219" s="1"/>
      <c r="QYX219" s="1"/>
      <c r="QYY219" s="1"/>
      <c r="QYZ219" s="1"/>
      <c r="QZA219" s="1"/>
      <c r="QZB219" s="1"/>
      <c r="QZC219" s="1"/>
      <c r="QZD219" s="1"/>
      <c r="QZE219" s="1"/>
      <c r="QZF219" s="1"/>
      <c r="QZG219" s="1"/>
      <c r="QZH219" s="1"/>
      <c r="QZI219" s="1"/>
      <c r="QZJ219" s="1"/>
      <c r="QZK219" s="1"/>
      <c r="QZL219" s="1"/>
      <c r="QZM219" s="1"/>
      <c r="QZN219" s="1"/>
      <c r="QZO219" s="1"/>
      <c r="QZP219" s="1"/>
      <c r="QZQ219" s="1"/>
      <c r="QZR219" s="1"/>
      <c r="QZS219" s="1"/>
      <c r="QZT219" s="1"/>
      <c r="QZU219" s="1"/>
      <c r="QZV219" s="1"/>
      <c r="QZW219" s="1"/>
      <c r="QZX219" s="1"/>
      <c r="QZY219" s="1"/>
      <c r="QZZ219" s="1"/>
      <c r="RAA219" s="1"/>
      <c r="RAB219" s="1"/>
      <c r="RAC219" s="1"/>
      <c r="RAD219" s="1"/>
      <c r="RAE219" s="1"/>
      <c r="RAF219" s="1"/>
      <c r="RAG219" s="1"/>
      <c r="RAH219" s="1"/>
      <c r="RAI219" s="1"/>
      <c r="RAJ219" s="1"/>
      <c r="RAK219" s="1"/>
      <c r="RAL219" s="1"/>
      <c r="RAM219" s="1"/>
      <c r="RAN219" s="1"/>
      <c r="RAO219" s="1"/>
      <c r="RAP219" s="1"/>
      <c r="RAQ219" s="1"/>
      <c r="RAR219" s="1"/>
      <c r="RAS219" s="1"/>
      <c r="RAT219" s="1"/>
      <c r="RAU219" s="1"/>
      <c r="RAV219" s="1"/>
      <c r="RAW219" s="1"/>
      <c r="RAX219" s="1"/>
      <c r="RAY219" s="1"/>
      <c r="RAZ219" s="1"/>
      <c r="RBA219" s="1"/>
      <c r="RBB219" s="1"/>
      <c r="RBC219" s="1"/>
      <c r="RBD219" s="1"/>
      <c r="RBE219" s="1"/>
      <c r="RBF219" s="1"/>
      <c r="RBG219" s="1"/>
      <c r="RBH219" s="1"/>
      <c r="RBI219" s="1"/>
      <c r="RBJ219" s="1"/>
      <c r="RBK219" s="1"/>
      <c r="RBL219" s="1"/>
      <c r="RBM219" s="1"/>
      <c r="RBN219" s="1"/>
      <c r="RBO219" s="1"/>
      <c r="RBP219" s="1"/>
      <c r="RBQ219" s="1"/>
      <c r="RBR219" s="1"/>
      <c r="RBS219" s="1"/>
      <c r="RBT219" s="1"/>
      <c r="RBU219" s="1"/>
      <c r="RBV219" s="1"/>
      <c r="RBW219" s="1"/>
      <c r="RBX219" s="1"/>
      <c r="RBY219" s="1"/>
      <c r="RBZ219" s="1"/>
      <c r="RCA219" s="1"/>
      <c r="RCB219" s="1"/>
      <c r="RCC219" s="1"/>
      <c r="RCD219" s="1"/>
      <c r="RCE219" s="1"/>
      <c r="RCF219" s="1"/>
      <c r="RCG219" s="1"/>
      <c r="RCH219" s="1"/>
      <c r="RCI219" s="1"/>
      <c r="RCJ219" s="1"/>
      <c r="RCK219" s="1"/>
      <c r="RCL219" s="1"/>
      <c r="RCM219" s="1"/>
      <c r="RCN219" s="1"/>
      <c r="RCO219" s="1"/>
      <c r="RCP219" s="1"/>
      <c r="RCQ219" s="1"/>
      <c r="RCR219" s="1"/>
      <c r="RCS219" s="1"/>
      <c r="RCT219" s="1"/>
      <c r="RCU219" s="1"/>
      <c r="RCV219" s="1"/>
      <c r="RCW219" s="1"/>
      <c r="RCX219" s="1"/>
      <c r="RCY219" s="1"/>
      <c r="RCZ219" s="1"/>
      <c r="RDA219" s="1"/>
      <c r="RDB219" s="1"/>
      <c r="RDC219" s="1"/>
      <c r="RDD219" s="1"/>
      <c r="RDE219" s="1"/>
      <c r="RDF219" s="1"/>
      <c r="RDG219" s="1"/>
      <c r="RDH219" s="1"/>
      <c r="RDI219" s="1"/>
      <c r="RDJ219" s="1"/>
      <c r="RDK219" s="1"/>
      <c r="RDL219" s="1"/>
      <c r="RDM219" s="1"/>
      <c r="RDN219" s="1"/>
      <c r="RDO219" s="1"/>
      <c r="RDP219" s="1"/>
      <c r="RDQ219" s="1"/>
      <c r="RDR219" s="1"/>
      <c r="RDS219" s="1"/>
      <c r="RDT219" s="1"/>
      <c r="RDU219" s="1"/>
      <c r="RDV219" s="1"/>
      <c r="RDW219" s="1"/>
      <c r="RDX219" s="1"/>
      <c r="RDY219" s="1"/>
      <c r="RDZ219" s="1"/>
      <c r="REA219" s="1"/>
      <c r="REB219" s="1"/>
      <c r="REC219" s="1"/>
      <c r="RED219" s="1"/>
      <c r="REE219" s="1"/>
      <c r="REF219" s="1"/>
      <c r="REG219" s="1"/>
      <c r="REH219" s="1"/>
      <c r="REI219" s="1"/>
      <c r="REJ219" s="1"/>
      <c r="REK219" s="1"/>
      <c r="REL219" s="1"/>
      <c r="REM219" s="1"/>
      <c r="REN219" s="1"/>
      <c r="REO219" s="1"/>
      <c r="REP219" s="1"/>
      <c r="REQ219" s="1"/>
      <c r="RER219" s="1"/>
      <c r="RES219" s="1"/>
      <c r="RET219" s="1"/>
      <c r="REU219" s="1"/>
      <c r="REV219" s="1"/>
      <c r="REW219" s="1"/>
      <c r="REX219" s="1"/>
      <c r="REY219" s="1"/>
      <c r="REZ219" s="1"/>
      <c r="RFA219" s="1"/>
      <c r="RFB219" s="1"/>
      <c r="RFC219" s="1"/>
      <c r="RFD219" s="1"/>
      <c r="RFE219" s="1"/>
      <c r="RFF219" s="1"/>
      <c r="RFG219" s="1"/>
      <c r="RFH219" s="1"/>
      <c r="RFI219" s="1"/>
      <c r="RFJ219" s="1"/>
      <c r="RFK219" s="1"/>
      <c r="RFL219" s="1"/>
      <c r="RFM219" s="1"/>
      <c r="RFN219" s="1"/>
      <c r="RFO219" s="1"/>
      <c r="RFP219" s="1"/>
      <c r="RFQ219" s="1"/>
      <c r="RFR219" s="1"/>
      <c r="RFS219" s="1"/>
      <c r="RFT219" s="1"/>
      <c r="RFU219" s="1"/>
      <c r="RFV219" s="1"/>
      <c r="RFW219" s="1"/>
      <c r="RFX219" s="1"/>
      <c r="RFY219" s="1"/>
      <c r="RFZ219" s="1"/>
      <c r="RGA219" s="1"/>
      <c r="RGB219" s="1"/>
      <c r="RGC219" s="1"/>
      <c r="RGD219" s="1"/>
      <c r="RGE219" s="1"/>
      <c r="RGF219" s="1"/>
      <c r="RGG219" s="1"/>
      <c r="RGH219" s="1"/>
      <c r="RGI219" s="1"/>
      <c r="RGJ219" s="1"/>
      <c r="RGK219" s="1"/>
      <c r="RGL219" s="1"/>
      <c r="RGM219" s="1"/>
      <c r="RGN219" s="1"/>
      <c r="RGO219" s="1"/>
      <c r="RGP219" s="1"/>
      <c r="RGQ219" s="1"/>
      <c r="RGR219" s="1"/>
      <c r="RGS219" s="1"/>
      <c r="RGT219" s="1"/>
      <c r="RGU219" s="1"/>
      <c r="RGV219" s="1"/>
      <c r="RGW219" s="1"/>
      <c r="RGX219" s="1"/>
      <c r="RGY219" s="1"/>
      <c r="RGZ219" s="1"/>
      <c r="RHA219" s="1"/>
      <c r="RHB219" s="1"/>
      <c r="RHC219" s="1"/>
      <c r="RHD219" s="1"/>
      <c r="RHE219" s="1"/>
      <c r="RHF219" s="1"/>
      <c r="RHG219" s="1"/>
      <c r="RHH219" s="1"/>
      <c r="RHI219" s="1"/>
      <c r="RHJ219" s="1"/>
      <c r="RHK219" s="1"/>
      <c r="RHL219" s="1"/>
      <c r="RHM219" s="1"/>
      <c r="RHN219" s="1"/>
      <c r="RHO219" s="1"/>
      <c r="RHP219" s="1"/>
      <c r="RHQ219" s="1"/>
      <c r="RHR219" s="1"/>
      <c r="RHS219" s="1"/>
      <c r="RHT219" s="1"/>
      <c r="RHU219" s="1"/>
      <c r="RHV219" s="1"/>
      <c r="RHW219" s="1"/>
      <c r="RHX219" s="1"/>
      <c r="RHY219" s="1"/>
      <c r="RHZ219" s="1"/>
      <c r="RIA219" s="1"/>
      <c r="RIB219" s="1"/>
      <c r="RIC219" s="1"/>
      <c r="RID219" s="1"/>
      <c r="RIE219" s="1"/>
      <c r="RIF219" s="1"/>
      <c r="RIG219" s="1"/>
      <c r="RIH219" s="1"/>
      <c r="RII219" s="1"/>
      <c r="RIJ219" s="1"/>
      <c r="RIK219" s="1"/>
      <c r="RIL219" s="1"/>
      <c r="RIM219" s="1"/>
      <c r="RIN219" s="1"/>
      <c r="RIO219" s="1"/>
      <c r="RIP219" s="1"/>
      <c r="RIQ219" s="1"/>
      <c r="RIR219" s="1"/>
      <c r="RIS219" s="1"/>
      <c r="RIT219" s="1"/>
      <c r="RIU219" s="1"/>
      <c r="RIV219" s="1"/>
      <c r="RIW219" s="1"/>
      <c r="RIX219" s="1"/>
      <c r="RIY219" s="1"/>
      <c r="RIZ219" s="1"/>
      <c r="RJA219" s="1"/>
      <c r="RJB219" s="1"/>
      <c r="RJC219" s="1"/>
      <c r="RJD219" s="1"/>
      <c r="RJE219" s="1"/>
      <c r="RJF219" s="1"/>
      <c r="RJG219" s="1"/>
      <c r="RJH219" s="1"/>
      <c r="RJI219" s="1"/>
      <c r="RJJ219" s="1"/>
      <c r="RJK219" s="1"/>
      <c r="RJL219" s="1"/>
      <c r="RJM219" s="1"/>
      <c r="RJN219" s="1"/>
      <c r="RJO219" s="1"/>
      <c r="RJP219" s="1"/>
      <c r="RJQ219" s="1"/>
      <c r="RJR219" s="1"/>
      <c r="RJS219" s="1"/>
      <c r="RJT219" s="1"/>
      <c r="RJU219" s="1"/>
      <c r="RJV219" s="1"/>
      <c r="RJW219" s="1"/>
      <c r="RJX219" s="1"/>
      <c r="RJY219" s="1"/>
      <c r="RJZ219" s="1"/>
      <c r="RKA219" s="1"/>
      <c r="RKB219" s="1"/>
      <c r="RKC219" s="1"/>
      <c r="RKD219" s="1"/>
      <c r="RKE219" s="1"/>
      <c r="RKF219" s="1"/>
      <c r="RKG219" s="1"/>
      <c r="RKH219" s="1"/>
      <c r="RKI219" s="1"/>
      <c r="RKJ219" s="1"/>
      <c r="RKK219" s="1"/>
      <c r="RKL219" s="1"/>
      <c r="RKM219" s="1"/>
      <c r="RKN219" s="1"/>
      <c r="RKO219" s="1"/>
      <c r="RKP219" s="1"/>
      <c r="RKQ219" s="1"/>
      <c r="RKR219" s="1"/>
      <c r="RKS219" s="1"/>
      <c r="RKT219" s="1"/>
      <c r="RKU219" s="1"/>
      <c r="RKV219" s="1"/>
      <c r="RKW219" s="1"/>
      <c r="RKX219" s="1"/>
      <c r="RKY219" s="1"/>
      <c r="RKZ219" s="1"/>
      <c r="RLA219" s="1"/>
      <c r="RLB219" s="1"/>
      <c r="RLC219" s="1"/>
      <c r="RLD219" s="1"/>
      <c r="RLE219" s="1"/>
      <c r="RLF219" s="1"/>
      <c r="RLG219" s="1"/>
      <c r="RLH219" s="1"/>
      <c r="RLI219" s="1"/>
      <c r="RLJ219" s="1"/>
      <c r="RLK219" s="1"/>
      <c r="RLL219" s="1"/>
      <c r="RLM219" s="1"/>
      <c r="RLN219" s="1"/>
      <c r="RLO219" s="1"/>
      <c r="RLP219" s="1"/>
      <c r="RLQ219" s="1"/>
      <c r="RLR219" s="1"/>
      <c r="RLS219" s="1"/>
      <c r="RLT219" s="1"/>
      <c r="RLU219" s="1"/>
      <c r="RLV219" s="1"/>
      <c r="RLW219" s="1"/>
      <c r="RLX219" s="1"/>
      <c r="RLY219" s="1"/>
      <c r="RLZ219" s="1"/>
      <c r="RMA219" s="1"/>
      <c r="RMB219" s="1"/>
      <c r="RMC219" s="1"/>
      <c r="RMD219" s="1"/>
      <c r="RME219" s="1"/>
      <c r="RMF219" s="1"/>
      <c r="RMG219" s="1"/>
      <c r="RMH219" s="1"/>
      <c r="RMI219" s="1"/>
      <c r="RMJ219" s="1"/>
      <c r="RMK219" s="1"/>
      <c r="RML219" s="1"/>
      <c r="RMM219" s="1"/>
      <c r="RMN219" s="1"/>
      <c r="RMO219" s="1"/>
      <c r="RMP219" s="1"/>
      <c r="RMQ219" s="1"/>
      <c r="RMR219" s="1"/>
      <c r="RMS219" s="1"/>
      <c r="RMT219" s="1"/>
      <c r="RMU219" s="1"/>
      <c r="RMV219" s="1"/>
      <c r="RMW219" s="1"/>
      <c r="RMX219" s="1"/>
      <c r="RMY219" s="1"/>
      <c r="RMZ219" s="1"/>
      <c r="RNA219" s="1"/>
      <c r="RNB219" s="1"/>
      <c r="RNC219" s="1"/>
      <c r="RND219" s="1"/>
      <c r="RNE219" s="1"/>
      <c r="RNF219" s="1"/>
      <c r="RNG219" s="1"/>
      <c r="RNH219" s="1"/>
      <c r="RNI219" s="1"/>
      <c r="RNJ219" s="1"/>
      <c r="RNK219" s="1"/>
      <c r="RNL219" s="1"/>
      <c r="RNM219" s="1"/>
      <c r="RNN219" s="1"/>
      <c r="RNO219" s="1"/>
      <c r="RNP219" s="1"/>
      <c r="RNQ219" s="1"/>
      <c r="RNR219" s="1"/>
      <c r="RNS219" s="1"/>
      <c r="RNT219" s="1"/>
      <c r="RNU219" s="1"/>
      <c r="RNV219" s="1"/>
      <c r="RNW219" s="1"/>
      <c r="RNX219" s="1"/>
      <c r="RNY219" s="1"/>
      <c r="RNZ219" s="1"/>
      <c r="ROA219" s="1"/>
      <c r="ROB219" s="1"/>
      <c r="ROC219" s="1"/>
      <c r="ROD219" s="1"/>
      <c r="ROE219" s="1"/>
      <c r="ROF219" s="1"/>
      <c r="ROG219" s="1"/>
      <c r="ROH219" s="1"/>
      <c r="ROI219" s="1"/>
      <c r="ROJ219" s="1"/>
      <c r="ROK219" s="1"/>
      <c r="ROL219" s="1"/>
      <c r="ROM219" s="1"/>
      <c r="RON219" s="1"/>
      <c r="ROO219" s="1"/>
      <c r="ROP219" s="1"/>
      <c r="ROQ219" s="1"/>
      <c r="ROR219" s="1"/>
      <c r="ROS219" s="1"/>
      <c r="ROT219" s="1"/>
      <c r="ROU219" s="1"/>
      <c r="ROV219" s="1"/>
      <c r="ROW219" s="1"/>
      <c r="ROX219" s="1"/>
      <c r="ROY219" s="1"/>
      <c r="ROZ219" s="1"/>
      <c r="RPA219" s="1"/>
      <c r="RPB219" s="1"/>
      <c r="RPC219" s="1"/>
      <c r="RPD219" s="1"/>
      <c r="RPE219" s="1"/>
      <c r="RPF219" s="1"/>
      <c r="RPG219" s="1"/>
      <c r="RPH219" s="1"/>
      <c r="RPI219" s="1"/>
      <c r="RPJ219" s="1"/>
      <c r="RPK219" s="1"/>
      <c r="RPL219" s="1"/>
      <c r="RPM219" s="1"/>
      <c r="RPN219" s="1"/>
      <c r="RPO219" s="1"/>
      <c r="RPP219" s="1"/>
      <c r="RPQ219" s="1"/>
      <c r="RPR219" s="1"/>
      <c r="RPS219" s="1"/>
      <c r="RPT219" s="1"/>
      <c r="RPU219" s="1"/>
      <c r="RPV219" s="1"/>
      <c r="RPW219" s="1"/>
      <c r="RPX219" s="1"/>
      <c r="RPY219" s="1"/>
      <c r="RPZ219" s="1"/>
      <c r="RQA219" s="1"/>
      <c r="RQB219" s="1"/>
      <c r="RQC219" s="1"/>
      <c r="RQD219" s="1"/>
      <c r="RQE219" s="1"/>
      <c r="RQF219" s="1"/>
      <c r="RQG219" s="1"/>
      <c r="RQH219" s="1"/>
      <c r="RQI219" s="1"/>
      <c r="RQJ219" s="1"/>
      <c r="RQK219" s="1"/>
      <c r="RQL219" s="1"/>
      <c r="RQM219" s="1"/>
      <c r="RQN219" s="1"/>
      <c r="RQO219" s="1"/>
      <c r="RQP219" s="1"/>
      <c r="RQQ219" s="1"/>
      <c r="RQR219" s="1"/>
      <c r="RQS219" s="1"/>
      <c r="RQT219" s="1"/>
      <c r="RQU219" s="1"/>
      <c r="RQV219" s="1"/>
      <c r="RQW219" s="1"/>
      <c r="RQX219" s="1"/>
      <c r="RQY219" s="1"/>
      <c r="RQZ219" s="1"/>
      <c r="RRA219" s="1"/>
      <c r="RRB219" s="1"/>
      <c r="RRC219" s="1"/>
      <c r="RRD219" s="1"/>
      <c r="RRE219" s="1"/>
      <c r="RRF219" s="1"/>
      <c r="RRG219" s="1"/>
      <c r="RRH219" s="1"/>
      <c r="RRI219" s="1"/>
      <c r="RRJ219" s="1"/>
      <c r="RRK219" s="1"/>
      <c r="RRL219" s="1"/>
      <c r="RRM219" s="1"/>
      <c r="RRN219" s="1"/>
      <c r="RRO219" s="1"/>
      <c r="RRP219" s="1"/>
      <c r="RRQ219" s="1"/>
      <c r="RRR219" s="1"/>
      <c r="RRS219" s="1"/>
      <c r="RRT219" s="1"/>
      <c r="RRU219" s="1"/>
      <c r="RRV219" s="1"/>
      <c r="RRW219" s="1"/>
      <c r="RRX219" s="1"/>
      <c r="RRY219" s="1"/>
      <c r="RRZ219" s="1"/>
      <c r="RSA219" s="1"/>
      <c r="RSB219" s="1"/>
      <c r="RSC219" s="1"/>
      <c r="RSD219" s="1"/>
      <c r="RSE219" s="1"/>
      <c r="RSF219" s="1"/>
      <c r="RSG219" s="1"/>
      <c r="RSH219" s="1"/>
      <c r="RSI219" s="1"/>
      <c r="RSJ219" s="1"/>
      <c r="RSK219" s="1"/>
      <c r="RSL219" s="1"/>
      <c r="RSM219" s="1"/>
      <c r="RSN219" s="1"/>
      <c r="RSO219" s="1"/>
      <c r="RSP219" s="1"/>
      <c r="RSQ219" s="1"/>
      <c r="RSR219" s="1"/>
      <c r="RSS219" s="1"/>
      <c r="RST219" s="1"/>
      <c r="RSU219" s="1"/>
      <c r="RSV219" s="1"/>
      <c r="RSW219" s="1"/>
      <c r="RSX219" s="1"/>
      <c r="RSY219" s="1"/>
      <c r="RSZ219" s="1"/>
      <c r="RTA219" s="1"/>
      <c r="RTB219" s="1"/>
      <c r="RTC219" s="1"/>
      <c r="RTD219" s="1"/>
      <c r="RTE219" s="1"/>
      <c r="RTF219" s="1"/>
      <c r="RTG219" s="1"/>
      <c r="RTH219" s="1"/>
      <c r="RTI219" s="1"/>
      <c r="RTJ219" s="1"/>
      <c r="RTK219" s="1"/>
      <c r="RTL219" s="1"/>
      <c r="RTM219" s="1"/>
      <c r="RTN219" s="1"/>
      <c r="RTO219" s="1"/>
      <c r="RTP219" s="1"/>
      <c r="RTQ219" s="1"/>
      <c r="RTR219" s="1"/>
      <c r="RTS219" s="1"/>
      <c r="RTT219" s="1"/>
      <c r="RTU219" s="1"/>
      <c r="RTV219" s="1"/>
      <c r="RTW219" s="1"/>
      <c r="RTX219" s="1"/>
      <c r="RTY219" s="1"/>
      <c r="RTZ219" s="1"/>
      <c r="RUA219" s="1"/>
      <c r="RUB219" s="1"/>
      <c r="RUC219" s="1"/>
      <c r="RUD219" s="1"/>
      <c r="RUE219" s="1"/>
      <c r="RUF219" s="1"/>
      <c r="RUG219" s="1"/>
      <c r="RUH219" s="1"/>
      <c r="RUI219" s="1"/>
      <c r="RUJ219" s="1"/>
      <c r="RUK219" s="1"/>
      <c r="RUL219" s="1"/>
      <c r="RUM219" s="1"/>
      <c r="RUN219" s="1"/>
      <c r="RUO219" s="1"/>
      <c r="RUP219" s="1"/>
      <c r="RUQ219" s="1"/>
      <c r="RUR219" s="1"/>
      <c r="RUS219" s="1"/>
      <c r="RUT219" s="1"/>
      <c r="RUU219" s="1"/>
      <c r="RUV219" s="1"/>
      <c r="RUW219" s="1"/>
      <c r="RUX219" s="1"/>
      <c r="RUY219" s="1"/>
      <c r="RUZ219" s="1"/>
      <c r="RVA219" s="1"/>
      <c r="RVB219" s="1"/>
      <c r="RVC219" s="1"/>
      <c r="RVD219" s="1"/>
      <c r="RVE219" s="1"/>
      <c r="RVF219" s="1"/>
      <c r="RVG219" s="1"/>
      <c r="RVH219" s="1"/>
      <c r="RVI219" s="1"/>
      <c r="RVJ219" s="1"/>
      <c r="RVK219" s="1"/>
      <c r="RVL219" s="1"/>
      <c r="RVM219" s="1"/>
      <c r="RVN219" s="1"/>
      <c r="RVO219" s="1"/>
      <c r="RVP219" s="1"/>
      <c r="RVQ219" s="1"/>
      <c r="RVR219" s="1"/>
      <c r="RVS219" s="1"/>
      <c r="RVT219" s="1"/>
      <c r="RVU219" s="1"/>
      <c r="RVV219" s="1"/>
      <c r="RVW219" s="1"/>
      <c r="RVX219" s="1"/>
      <c r="RVY219" s="1"/>
      <c r="RVZ219" s="1"/>
      <c r="RWA219" s="1"/>
      <c r="RWB219" s="1"/>
      <c r="RWC219" s="1"/>
      <c r="RWD219" s="1"/>
      <c r="RWE219" s="1"/>
      <c r="RWF219" s="1"/>
      <c r="RWG219" s="1"/>
      <c r="RWH219" s="1"/>
      <c r="RWI219" s="1"/>
      <c r="RWJ219" s="1"/>
      <c r="RWK219" s="1"/>
      <c r="RWL219" s="1"/>
      <c r="RWM219" s="1"/>
      <c r="RWN219" s="1"/>
      <c r="RWO219" s="1"/>
      <c r="RWP219" s="1"/>
      <c r="RWQ219" s="1"/>
      <c r="RWR219" s="1"/>
      <c r="RWS219" s="1"/>
      <c r="RWT219" s="1"/>
      <c r="RWU219" s="1"/>
      <c r="RWV219" s="1"/>
      <c r="RWW219" s="1"/>
      <c r="RWX219" s="1"/>
      <c r="RWY219" s="1"/>
      <c r="RWZ219" s="1"/>
      <c r="RXA219" s="1"/>
      <c r="RXB219" s="1"/>
      <c r="RXC219" s="1"/>
      <c r="RXD219" s="1"/>
      <c r="RXE219" s="1"/>
      <c r="RXF219" s="1"/>
      <c r="RXG219" s="1"/>
      <c r="RXH219" s="1"/>
      <c r="RXI219" s="1"/>
      <c r="RXJ219" s="1"/>
      <c r="RXK219" s="1"/>
      <c r="RXL219" s="1"/>
      <c r="RXM219" s="1"/>
      <c r="RXN219" s="1"/>
      <c r="RXO219" s="1"/>
      <c r="RXP219" s="1"/>
      <c r="RXQ219" s="1"/>
      <c r="RXR219" s="1"/>
      <c r="RXS219" s="1"/>
      <c r="RXT219" s="1"/>
      <c r="RXU219" s="1"/>
      <c r="RXV219" s="1"/>
      <c r="RXW219" s="1"/>
      <c r="RXX219" s="1"/>
      <c r="RXY219" s="1"/>
      <c r="RXZ219" s="1"/>
      <c r="RYA219" s="1"/>
      <c r="RYB219" s="1"/>
      <c r="RYC219" s="1"/>
      <c r="RYD219" s="1"/>
      <c r="RYE219" s="1"/>
      <c r="RYF219" s="1"/>
      <c r="RYG219" s="1"/>
      <c r="RYH219" s="1"/>
      <c r="RYI219" s="1"/>
      <c r="RYJ219" s="1"/>
      <c r="RYK219" s="1"/>
      <c r="RYL219" s="1"/>
      <c r="RYM219" s="1"/>
      <c r="RYN219" s="1"/>
      <c r="RYO219" s="1"/>
      <c r="RYP219" s="1"/>
      <c r="RYQ219" s="1"/>
      <c r="RYR219" s="1"/>
      <c r="RYS219" s="1"/>
      <c r="RYT219" s="1"/>
      <c r="RYU219" s="1"/>
      <c r="RYV219" s="1"/>
      <c r="RYW219" s="1"/>
      <c r="RYX219" s="1"/>
      <c r="RYY219" s="1"/>
      <c r="RYZ219" s="1"/>
      <c r="RZA219" s="1"/>
      <c r="RZB219" s="1"/>
      <c r="RZC219" s="1"/>
      <c r="RZD219" s="1"/>
      <c r="RZE219" s="1"/>
      <c r="RZF219" s="1"/>
      <c r="RZG219" s="1"/>
      <c r="RZH219" s="1"/>
      <c r="RZI219" s="1"/>
      <c r="RZJ219" s="1"/>
      <c r="RZK219" s="1"/>
      <c r="RZL219" s="1"/>
      <c r="RZM219" s="1"/>
      <c r="RZN219" s="1"/>
      <c r="RZO219" s="1"/>
      <c r="RZP219" s="1"/>
      <c r="RZQ219" s="1"/>
      <c r="RZR219" s="1"/>
      <c r="RZS219" s="1"/>
      <c r="RZT219" s="1"/>
      <c r="RZU219" s="1"/>
      <c r="RZV219" s="1"/>
      <c r="RZW219" s="1"/>
      <c r="RZX219" s="1"/>
      <c r="RZY219" s="1"/>
      <c r="RZZ219" s="1"/>
      <c r="SAA219" s="1"/>
      <c r="SAB219" s="1"/>
      <c r="SAC219" s="1"/>
      <c r="SAD219" s="1"/>
      <c r="SAE219" s="1"/>
      <c r="SAF219" s="1"/>
      <c r="SAG219" s="1"/>
      <c r="SAH219" s="1"/>
      <c r="SAI219" s="1"/>
      <c r="SAJ219" s="1"/>
      <c r="SAK219" s="1"/>
      <c r="SAL219" s="1"/>
      <c r="SAM219" s="1"/>
      <c r="SAN219" s="1"/>
      <c r="SAO219" s="1"/>
      <c r="SAP219" s="1"/>
      <c r="SAQ219" s="1"/>
      <c r="SAR219" s="1"/>
      <c r="SAS219" s="1"/>
      <c r="SAT219" s="1"/>
      <c r="SAU219" s="1"/>
      <c r="SAV219" s="1"/>
      <c r="SAW219" s="1"/>
      <c r="SAX219" s="1"/>
      <c r="SAY219" s="1"/>
      <c r="SAZ219" s="1"/>
      <c r="SBA219" s="1"/>
      <c r="SBB219" s="1"/>
      <c r="SBC219" s="1"/>
      <c r="SBD219" s="1"/>
      <c r="SBE219" s="1"/>
      <c r="SBF219" s="1"/>
      <c r="SBG219" s="1"/>
      <c r="SBH219" s="1"/>
      <c r="SBI219" s="1"/>
      <c r="SBJ219" s="1"/>
      <c r="SBK219" s="1"/>
      <c r="SBL219" s="1"/>
      <c r="SBM219" s="1"/>
      <c r="SBN219" s="1"/>
      <c r="SBO219" s="1"/>
      <c r="SBP219" s="1"/>
      <c r="SBQ219" s="1"/>
      <c r="SBR219" s="1"/>
      <c r="SBS219" s="1"/>
      <c r="SBT219" s="1"/>
      <c r="SBU219" s="1"/>
      <c r="SBV219" s="1"/>
      <c r="SBW219" s="1"/>
      <c r="SBX219" s="1"/>
      <c r="SBY219" s="1"/>
      <c r="SBZ219" s="1"/>
      <c r="SCA219" s="1"/>
      <c r="SCB219" s="1"/>
      <c r="SCC219" s="1"/>
      <c r="SCD219" s="1"/>
      <c r="SCE219" s="1"/>
      <c r="SCF219" s="1"/>
      <c r="SCG219" s="1"/>
      <c r="SCH219" s="1"/>
      <c r="SCI219" s="1"/>
      <c r="SCJ219" s="1"/>
      <c r="SCK219" s="1"/>
      <c r="SCL219" s="1"/>
      <c r="SCM219" s="1"/>
      <c r="SCN219" s="1"/>
      <c r="SCO219" s="1"/>
      <c r="SCP219" s="1"/>
      <c r="SCQ219" s="1"/>
      <c r="SCR219" s="1"/>
      <c r="SCS219" s="1"/>
      <c r="SCT219" s="1"/>
      <c r="SCU219" s="1"/>
      <c r="SCV219" s="1"/>
      <c r="SCW219" s="1"/>
      <c r="SCX219" s="1"/>
      <c r="SCY219" s="1"/>
      <c r="SCZ219" s="1"/>
      <c r="SDA219" s="1"/>
      <c r="SDB219" s="1"/>
      <c r="SDC219" s="1"/>
      <c r="SDD219" s="1"/>
      <c r="SDE219" s="1"/>
      <c r="SDF219" s="1"/>
      <c r="SDG219" s="1"/>
      <c r="SDH219" s="1"/>
      <c r="SDI219" s="1"/>
      <c r="SDJ219" s="1"/>
      <c r="SDK219" s="1"/>
      <c r="SDL219" s="1"/>
      <c r="SDM219" s="1"/>
      <c r="SDN219" s="1"/>
      <c r="SDO219" s="1"/>
      <c r="SDP219" s="1"/>
      <c r="SDQ219" s="1"/>
      <c r="SDR219" s="1"/>
      <c r="SDS219" s="1"/>
      <c r="SDT219" s="1"/>
      <c r="SDU219" s="1"/>
      <c r="SDV219" s="1"/>
      <c r="SDW219" s="1"/>
      <c r="SDX219" s="1"/>
      <c r="SDY219" s="1"/>
      <c r="SDZ219" s="1"/>
      <c r="SEA219" s="1"/>
      <c r="SEB219" s="1"/>
      <c r="SEC219" s="1"/>
      <c r="SED219" s="1"/>
      <c r="SEE219" s="1"/>
      <c r="SEF219" s="1"/>
      <c r="SEG219" s="1"/>
      <c r="SEH219" s="1"/>
      <c r="SEI219" s="1"/>
      <c r="SEJ219" s="1"/>
      <c r="SEK219" s="1"/>
      <c r="SEL219" s="1"/>
      <c r="SEM219" s="1"/>
      <c r="SEN219" s="1"/>
      <c r="SEO219" s="1"/>
      <c r="SEP219" s="1"/>
      <c r="SEQ219" s="1"/>
      <c r="SER219" s="1"/>
      <c r="SES219" s="1"/>
      <c r="SET219" s="1"/>
      <c r="SEU219" s="1"/>
      <c r="SEV219" s="1"/>
      <c r="SEW219" s="1"/>
      <c r="SEX219" s="1"/>
      <c r="SEY219" s="1"/>
      <c r="SEZ219" s="1"/>
      <c r="SFA219" s="1"/>
      <c r="SFB219" s="1"/>
      <c r="SFC219" s="1"/>
      <c r="SFD219" s="1"/>
      <c r="SFE219" s="1"/>
      <c r="SFF219" s="1"/>
      <c r="SFG219" s="1"/>
      <c r="SFH219" s="1"/>
      <c r="SFI219" s="1"/>
      <c r="SFJ219" s="1"/>
      <c r="SFK219" s="1"/>
      <c r="SFL219" s="1"/>
      <c r="SFM219" s="1"/>
      <c r="SFN219" s="1"/>
      <c r="SFO219" s="1"/>
      <c r="SFP219" s="1"/>
      <c r="SFQ219" s="1"/>
      <c r="SFR219" s="1"/>
      <c r="SFS219" s="1"/>
      <c r="SFT219" s="1"/>
      <c r="SFU219" s="1"/>
      <c r="SFV219" s="1"/>
      <c r="SFW219" s="1"/>
      <c r="SFX219" s="1"/>
      <c r="SFY219" s="1"/>
      <c r="SFZ219" s="1"/>
      <c r="SGA219" s="1"/>
      <c r="SGB219" s="1"/>
      <c r="SGC219" s="1"/>
      <c r="SGD219" s="1"/>
      <c r="SGE219" s="1"/>
      <c r="SGF219" s="1"/>
      <c r="SGG219" s="1"/>
      <c r="SGH219" s="1"/>
      <c r="SGI219" s="1"/>
      <c r="SGJ219" s="1"/>
      <c r="SGK219" s="1"/>
      <c r="SGL219" s="1"/>
      <c r="SGM219" s="1"/>
      <c r="SGN219" s="1"/>
      <c r="SGO219" s="1"/>
      <c r="SGP219" s="1"/>
      <c r="SGQ219" s="1"/>
      <c r="SGR219" s="1"/>
      <c r="SGS219" s="1"/>
      <c r="SGT219" s="1"/>
      <c r="SGU219" s="1"/>
      <c r="SGV219" s="1"/>
      <c r="SGW219" s="1"/>
      <c r="SGX219" s="1"/>
      <c r="SGY219" s="1"/>
      <c r="SGZ219" s="1"/>
      <c r="SHA219" s="1"/>
      <c r="SHB219" s="1"/>
      <c r="SHC219" s="1"/>
      <c r="SHD219" s="1"/>
      <c r="SHE219" s="1"/>
      <c r="SHF219" s="1"/>
      <c r="SHG219" s="1"/>
      <c r="SHH219" s="1"/>
      <c r="SHI219" s="1"/>
      <c r="SHJ219" s="1"/>
      <c r="SHK219" s="1"/>
      <c r="SHL219" s="1"/>
      <c r="SHM219" s="1"/>
      <c r="SHN219" s="1"/>
      <c r="SHO219" s="1"/>
      <c r="SHP219" s="1"/>
      <c r="SHQ219" s="1"/>
      <c r="SHR219" s="1"/>
      <c r="SHS219" s="1"/>
      <c r="SHT219" s="1"/>
      <c r="SHU219" s="1"/>
      <c r="SHV219" s="1"/>
      <c r="SHW219" s="1"/>
      <c r="SHX219" s="1"/>
      <c r="SHY219" s="1"/>
      <c r="SHZ219" s="1"/>
      <c r="SIA219" s="1"/>
      <c r="SIB219" s="1"/>
      <c r="SIC219" s="1"/>
      <c r="SID219" s="1"/>
      <c r="SIE219" s="1"/>
      <c r="SIF219" s="1"/>
      <c r="SIG219" s="1"/>
      <c r="SIH219" s="1"/>
      <c r="SII219" s="1"/>
      <c r="SIJ219" s="1"/>
      <c r="SIK219" s="1"/>
      <c r="SIL219" s="1"/>
      <c r="SIM219" s="1"/>
      <c r="SIN219" s="1"/>
      <c r="SIO219" s="1"/>
      <c r="SIP219" s="1"/>
      <c r="SIQ219" s="1"/>
      <c r="SIR219" s="1"/>
      <c r="SIS219" s="1"/>
      <c r="SIT219" s="1"/>
      <c r="SIU219" s="1"/>
      <c r="SIV219" s="1"/>
      <c r="SIW219" s="1"/>
      <c r="SIX219" s="1"/>
      <c r="SIY219" s="1"/>
      <c r="SIZ219" s="1"/>
      <c r="SJA219" s="1"/>
      <c r="SJB219" s="1"/>
      <c r="SJC219" s="1"/>
      <c r="SJD219" s="1"/>
      <c r="SJE219" s="1"/>
      <c r="SJF219" s="1"/>
      <c r="SJG219" s="1"/>
      <c r="SJH219" s="1"/>
      <c r="SJI219" s="1"/>
      <c r="SJJ219" s="1"/>
      <c r="SJK219" s="1"/>
      <c r="SJL219" s="1"/>
      <c r="SJM219" s="1"/>
      <c r="SJN219" s="1"/>
      <c r="SJO219" s="1"/>
      <c r="SJP219" s="1"/>
      <c r="SJQ219" s="1"/>
      <c r="SJR219" s="1"/>
      <c r="SJS219" s="1"/>
      <c r="SJT219" s="1"/>
      <c r="SJU219" s="1"/>
      <c r="SJV219" s="1"/>
      <c r="SJW219" s="1"/>
      <c r="SJX219" s="1"/>
      <c r="SJY219" s="1"/>
      <c r="SJZ219" s="1"/>
      <c r="SKA219" s="1"/>
      <c r="SKB219" s="1"/>
      <c r="SKC219" s="1"/>
      <c r="SKD219" s="1"/>
      <c r="SKE219" s="1"/>
      <c r="SKF219" s="1"/>
      <c r="SKG219" s="1"/>
      <c r="SKH219" s="1"/>
      <c r="SKI219" s="1"/>
      <c r="SKJ219" s="1"/>
      <c r="SKK219" s="1"/>
      <c r="SKL219" s="1"/>
      <c r="SKM219" s="1"/>
      <c r="SKN219" s="1"/>
      <c r="SKO219" s="1"/>
      <c r="SKP219" s="1"/>
      <c r="SKQ219" s="1"/>
      <c r="SKR219" s="1"/>
      <c r="SKS219" s="1"/>
      <c r="SKT219" s="1"/>
      <c r="SKU219" s="1"/>
      <c r="SKV219" s="1"/>
      <c r="SKW219" s="1"/>
      <c r="SKX219" s="1"/>
      <c r="SKY219" s="1"/>
      <c r="SKZ219" s="1"/>
      <c r="SLA219" s="1"/>
      <c r="SLB219" s="1"/>
      <c r="SLC219" s="1"/>
      <c r="SLD219" s="1"/>
      <c r="SLE219" s="1"/>
      <c r="SLF219" s="1"/>
      <c r="SLG219" s="1"/>
      <c r="SLH219" s="1"/>
      <c r="SLI219" s="1"/>
      <c r="SLJ219" s="1"/>
      <c r="SLK219" s="1"/>
      <c r="SLL219" s="1"/>
      <c r="SLM219" s="1"/>
      <c r="SLN219" s="1"/>
      <c r="SLO219" s="1"/>
      <c r="SLP219" s="1"/>
      <c r="SLQ219" s="1"/>
      <c r="SLR219" s="1"/>
      <c r="SLS219" s="1"/>
      <c r="SLT219" s="1"/>
      <c r="SLU219" s="1"/>
      <c r="SLV219" s="1"/>
      <c r="SLW219" s="1"/>
      <c r="SLX219" s="1"/>
      <c r="SLY219" s="1"/>
      <c r="SLZ219" s="1"/>
      <c r="SMA219" s="1"/>
      <c r="SMB219" s="1"/>
      <c r="SMC219" s="1"/>
      <c r="SMD219" s="1"/>
      <c r="SME219" s="1"/>
      <c r="SMF219" s="1"/>
      <c r="SMG219" s="1"/>
      <c r="SMH219" s="1"/>
      <c r="SMI219" s="1"/>
      <c r="SMJ219" s="1"/>
      <c r="SMK219" s="1"/>
      <c r="SML219" s="1"/>
      <c r="SMM219" s="1"/>
      <c r="SMN219" s="1"/>
      <c r="SMO219" s="1"/>
      <c r="SMP219" s="1"/>
      <c r="SMQ219" s="1"/>
      <c r="SMR219" s="1"/>
      <c r="SMS219" s="1"/>
      <c r="SMT219" s="1"/>
      <c r="SMU219" s="1"/>
      <c r="SMV219" s="1"/>
      <c r="SMW219" s="1"/>
      <c r="SMX219" s="1"/>
      <c r="SMY219" s="1"/>
      <c r="SMZ219" s="1"/>
      <c r="SNA219" s="1"/>
      <c r="SNB219" s="1"/>
      <c r="SNC219" s="1"/>
      <c r="SND219" s="1"/>
      <c r="SNE219" s="1"/>
      <c r="SNF219" s="1"/>
      <c r="SNG219" s="1"/>
      <c r="SNH219" s="1"/>
      <c r="SNI219" s="1"/>
      <c r="SNJ219" s="1"/>
      <c r="SNK219" s="1"/>
      <c r="SNL219" s="1"/>
      <c r="SNM219" s="1"/>
      <c r="SNN219" s="1"/>
      <c r="SNO219" s="1"/>
      <c r="SNP219" s="1"/>
      <c r="SNQ219" s="1"/>
      <c r="SNR219" s="1"/>
      <c r="SNS219" s="1"/>
      <c r="SNT219" s="1"/>
      <c r="SNU219" s="1"/>
      <c r="SNV219" s="1"/>
      <c r="SNW219" s="1"/>
      <c r="SNX219" s="1"/>
      <c r="SNY219" s="1"/>
      <c r="SNZ219" s="1"/>
      <c r="SOA219" s="1"/>
      <c r="SOB219" s="1"/>
      <c r="SOC219" s="1"/>
      <c r="SOD219" s="1"/>
      <c r="SOE219" s="1"/>
      <c r="SOF219" s="1"/>
      <c r="SOG219" s="1"/>
      <c r="SOH219" s="1"/>
      <c r="SOI219" s="1"/>
      <c r="SOJ219" s="1"/>
      <c r="SOK219" s="1"/>
      <c r="SOL219" s="1"/>
      <c r="SOM219" s="1"/>
      <c r="SON219" s="1"/>
      <c r="SOO219" s="1"/>
      <c r="SOP219" s="1"/>
      <c r="SOQ219" s="1"/>
      <c r="SOR219" s="1"/>
      <c r="SOS219" s="1"/>
      <c r="SOT219" s="1"/>
      <c r="SOU219" s="1"/>
      <c r="SOV219" s="1"/>
      <c r="SOW219" s="1"/>
      <c r="SOX219" s="1"/>
      <c r="SOY219" s="1"/>
      <c r="SOZ219" s="1"/>
      <c r="SPA219" s="1"/>
      <c r="SPB219" s="1"/>
      <c r="SPC219" s="1"/>
      <c r="SPD219" s="1"/>
      <c r="SPE219" s="1"/>
      <c r="SPF219" s="1"/>
      <c r="SPG219" s="1"/>
      <c r="SPH219" s="1"/>
      <c r="SPI219" s="1"/>
      <c r="SPJ219" s="1"/>
      <c r="SPK219" s="1"/>
      <c r="SPL219" s="1"/>
      <c r="SPM219" s="1"/>
      <c r="SPN219" s="1"/>
      <c r="SPO219" s="1"/>
      <c r="SPP219" s="1"/>
      <c r="SPQ219" s="1"/>
      <c r="SPR219" s="1"/>
      <c r="SPS219" s="1"/>
      <c r="SPT219" s="1"/>
      <c r="SPU219" s="1"/>
      <c r="SPV219" s="1"/>
      <c r="SPW219" s="1"/>
      <c r="SPX219" s="1"/>
      <c r="SPY219" s="1"/>
      <c r="SPZ219" s="1"/>
      <c r="SQA219" s="1"/>
      <c r="SQB219" s="1"/>
      <c r="SQC219" s="1"/>
      <c r="SQD219" s="1"/>
      <c r="SQE219" s="1"/>
      <c r="SQF219" s="1"/>
      <c r="SQG219" s="1"/>
      <c r="SQH219" s="1"/>
      <c r="SQI219" s="1"/>
      <c r="SQJ219" s="1"/>
      <c r="SQK219" s="1"/>
      <c r="SQL219" s="1"/>
      <c r="SQM219" s="1"/>
      <c r="SQN219" s="1"/>
      <c r="SQO219" s="1"/>
      <c r="SQP219" s="1"/>
      <c r="SQQ219" s="1"/>
      <c r="SQR219" s="1"/>
      <c r="SQS219" s="1"/>
      <c r="SQT219" s="1"/>
      <c r="SQU219" s="1"/>
      <c r="SQV219" s="1"/>
      <c r="SQW219" s="1"/>
      <c r="SQX219" s="1"/>
      <c r="SQY219" s="1"/>
      <c r="SQZ219" s="1"/>
      <c r="SRA219" s="1"/>
      <c r="SRB219" s="1"/>
      <c r="SRC219" s="1"/>
      <c r="SRD219" s="1"/>
      <c r="SRE219" s="1"/>
      <c r="SRF219" s="1"/>
      <c r="SRG219" s="1"/>
      <c r="SRH219" s="1"/>
      <c r="SRI219" s="1"/>
      <c r="SRJ219" s="1"/>
      <c r="SRK219" s="1"/>
      <c r="SRL219" s="1"/>
      <c r="SRM219" s="1"/>
      <c r="SRN219" s="1"/>
      <c r="SRO219" s="1"/>
      <c r="SRP219" s="1"/>
      <c r="SRQ219" s="1"/>
      <c r="SRR219" s="1"/>
      <c r="SRS219" s="1"/>
      <c r="SRT219" s="1"/>
      <c r="SRU219" s="1"/>
      <c r="SRV219" s="1"/>
      <c r="SRW219" s="1"/>
      <c r="SRX219" s="1"/>
      <c r="SRY219" s="1"/>
      <c r="SRZ219" s="1"/>
      <c r="SSA219" s="1"/>
      <c r="SSB219" s="1"/>
      <c r="SSC219" s="1"/>
      <c r="SSD219" s="1"/>
      <c r="SSE219" s="1"/>
      <c r="SSF219" s="1"/>
      <c r="SSG219" s="1"/>
      <c r="SSH219" s="1"/>
      <c r="SSI219" s="1"/>
      <c r="SSJ219" s="1"/>
      <c r="SSK219" s="1"/>
      <c r="SSL219" s="1"/>
      <c r="SSM219" s="1"/>
      <c r="SSN219" s="1"/>
      <c r="SSO219" s="1"/>
      <c r="SSP219" s="1"/>
      <c r="SSQ219" s="1"/>
      <c r="SSR219" s="1"/>
      <c r="SSS219" s="1"/>
      <c r="SST219" s="1"/>
      <c r="SSU219" s="1"/>
      <c r="SSV219" s="1"/>
      <c r="SSW219" s="1"/>
      <c r="SSX219" s="1"/>
      <c r="SSY219" s="1"/>
      <c r="SSZ219" s="1"/>
      <c r="STA219" s="1"/>
      <c r="STB219" s="1"/>
      <c r="STC219" s="1"/>
      <c r="STD219" s="1"/>
      <c r="STE219" s="1"/>
      <c r="STF219" s="1"/>
      <c r="STG219" s="1"/>
      <c r="STH219" s="1"/>
      <c r="STI219" s="1"/>
      <c r="STJ219" s="1"/>
      <c r="STK219" s="1"/>
      <c r="STL219" s="1"/>
      <c r="STM219" s="1"/>
      <c r="STN219" s="1"/>
      <c r="STO219" s="1"/>
      <c r="STP219" s="1"/>
      <c r="STQ219" s="1"/>
      <c r="STR219" s="1"/>
      <c r="STS219" s="1"/>
      <c r="STT219" s="1"/>
      <c r="STU219" s="1"/>
      <c r="STV219" s="1"/>
      <c r="STW219" s="1"/>
      <c r="STX219" s="1"/>
      <c r="STY219" s="1"/>
      <c r="STZ219" s="1"/>
      <c r="SUA219" s="1"/>
      <c r="SUB219" s="1"/>
      <c r="SUC219" s="1"/>
      <c r="SUD219" s="1"/>
      <c r="SUE219" s="1"/>
      <c r="SUF219" s="1"/>
      <c r="SUG219" s="1"/>
      <c r="SUH219" s="1"/>
      <c r="SUI219" s="1"/>
      <c r="SUJ219" s="1"/>
      <c r="SUK219" s="1"/>
      <c r="SUL219" s="1"/>
      <c r="SUM219" s="1"/>
      <c r="SUN219" s="1"/>
      <c r="SUO219" s="1"/>
      <c r="SUP219" s="1"/>
      <c r="SUQ219" s="1"/>
      <c r="SUR219" s="1"/>
      <c r="SUS219" s="1"/>
      <c r="SUT219" s="1"/>
      <c r="SUU219" s="1"/>
      <c r="SUV219" s="1"/>
      <c r="SUW219" s="1"/>
      <c r="SUX219" s="1"/>
      <c r="SUY219" s="1"/>
      <c r="SUZ219" s="1"/>
      <c r="SVA219" s="1"/>
      <c r="SVB219" s="1"/>
      <c r="SVC219" s="1"/>
      <c r="SVD219" s="1"/>
      <c r="SVE219" s="1"/>
      <c r="SVF219" s="1"/>
      <c r="SVG219" s="1"/>
      <c r="SVH219" s="1"/>
      <c r="SVI219" s="1"/>
      <c r="SVJ219" s="1"/>
      <c r="SVK219" s="1"/>
      <c r="SVL219" s="1"/>
      <c r="SVM219" s="1"/>
      <c r="SVN219" s="1"/>
      <c r="SVO219" s="1"/>
      <c r="SVP219" s="1"/>
      <c r="SVQ219" s="1"/>
      <c r="SVR219" s="1"/>
      <c r="SVS219" s="1"/>
      <c r="SVT219" s="1"/>
      <c r="SVU219" s="1"/>
      <c r="SVV219" s="1"/>
      <c r="SVW219" s="1"/>
      <c r="SVX219" s="1"/>
      <c r="SVY219" s="1"/>
      <c r="SVZ219" s="1"/>
      <c r="SWA219" s="1"/>
      <c r="SWB219" s="1"/>
      <c r="SWC219" s="1"/>
      <c r="SWD219" s="1"/>
      <c r="SWE219" s="1"/>
      <c r="SWF219" s="1"/>
      <c r="SWG219" s="1"/>
      <c r="SWH219" s="1"/>
      <c r="SWI219" s="1"/>
      <c r="SWJ219" s="1"/>
      <c r="SWK219" s="1"/>
      <c r="SWL219" s="1"/>
      <c r="SWM219" s="1"/>
      <c r="SWN219" s="1"/>
      <c r="SWO219" s="1"/>
      <c r="SWP219" s="1"/>
      <c r="SWQ219" s="1"/>
      <c r="SWR219" s="1"/>
      <c r="SWS219" s="1"/>
      <c r="SWT219" s="1"/>
      <c r="SWU219" s="1"/>
      <c r="SWV219" s="1"/>
      <c r="SWW219" s="1"/>
      <c r="SWX219" s="1"/>
      <c r="SWY219" s="1"/>
      <c r="SWZ219" s="1"/>
      <c r="SXA219" s="1"/>
      <c r="SXB219" s="1"/>
      <c r="SXC219" s="1"/>
      <c r="SXD219" s="1"/>
      <c r="SXE219" s="1"/>
      <c r="SXF219" s="1"/>
      <c r="SXG219" s="1"/>
      <c r="SXH219" s="1"/>
      <c r="SXI219" s="1"/>
      <c r="SXJ219" s="1"/>
      <c r="SXK219" s="1"/>
      <c r="SXL219" s="1"/>
      <c r="SXM219" s="1"/>
      <c r="SXN219" s="1"/>
      <c r="SXO219" s="1"/>
      <c r="SXP219" s="1"/>
      <c r="SXQ219" s="1"/>
      <c r="SXR219" s="1"/>
      <c r="SXS219" s="1"/>
      <c r="SXT219" s="1"/>
      <c r="SXU219" s="1"/>
      <c r="SXV219" s="1"/>
      <c r="SXW219" s="1"/>
      <c r="SXX219" s="1"/>
      <c r="SXY219" s="1"/>
      <c r="SXZ219" s="1"/>
      <c r="SYA219" s="1"/>
      <c r="SYB219" s="1"/>
      <c r="SYC219" s="1"/>
      <c r="SYD219" s="1"/>
      <c r="SYE219" s="1"/>
      <c r="SYF219" s="1"/>
      <c r="SYG219" s="1"/>
      <c r="SYH219" s="1"/>
      <c r="SYI219" s="1"/>
      <c r="SYJ219" s="1"/>
      <c r="SYK219" s="1"/>
      <c r="SYL219" s="1"/>
      <c r="SYM219" s="1"/>
      <c r="SYN219" s="1"/>
      <c r="SYO219" s="1"/>
      <c r="SYP219" s="1"/>
      <c r="SYQ219" s="1"/>
      <c r="SYR219" s="1"/>
      <c r="SYS219" s="1"/>
      <c r="SYT219" s="1"/>
      <c r="SYU219" s="1"/>
      <c r="SYV219" s="1"/>
      <c r="SYW219" s="1"/>
      <c r="SYX219" s="1"/>
      <c r="SYY219" s="1"/>
      <c r="SYZ219" s="1"/>
      <c r="SZA219" s="1"/>
      <c r="SZB219" s="1"/>
      <c r="SZC219" s="1"/>
      <c r="SZD219" s="1"/>
      <c r="SZE219" s="1"/>
      <c r="SZF219" s="1"/>
      <c r="SZG219" s="1"/>
      <c r="SZH219" s="1"/>
      <c r="SZI219" s="1"/>
      <c r="SZJ219" s="1"/>
      <c r="SZK219" s="1"/>
      <c r="SZL219" s="1"/>
      <c r="SZM219" s="1"/>
      <c r="SZN219" s="1"/>
      <c r="SZO219" s="1"/>
      <c r="SZP219" s="1"/>
      <c r="SZQ219" s="1"/>
      <c r="SZR219" s="1"/>
      <c r="SZS219" s="1"/>
      <c r="SZT219" s="1"/>
      <c r="SZU219" s="1"/>
      <c r="SZV219" s="1"/>
      <c r="SZW219" s="1"/>
      <c r="SZX219" s="1"/>
      <c r="SZY219" s="1"/>
      <c r="SZZ219" s="1"/>
      <c r="TAA219" s="1"/>
      <c r="TAB219" s="1"/>
      <c r="TAC219" s="1"/>
      <c r="TAD219" s="1"/>
      <c r="TAE219" s="1"/>
      <c r="TAF219" s="1"/>
      <c r="TAG219" s="1"/>
      <c r="TAH219" s="1"/>
      <c r="TAI219" s="1"/>
      <c r="TAJ219" s="1"/>
      <c r="TAK219" s="1"/>
      <c r="TAL219" s="1"/>
      <c r="TAM219" s="1"/>
      <c r="TAN219" s="1"/>
      <c r="TAO219" s="1"/>
      <c r="TAP219" s="1"/>
      <c r="TAQ219" s="1"/>
      <c r="TAR219" s="1"/>
      <c r="TAS219" s="1"/>
      <c r="TAT219" s="1"/>
      <c r="TAU219" s="1"/>
      <c r="TAV219" s="1"/>
      <c r="TAW219" s="1"/>
      <c r="TAX219" s="1"/>
      <c r="TAY219" s="1"/>
      <c r="TAZ219" s="1"/>
      <c r="TBA219" s="1"/>
      <c r="TBB219" s="1"/>
      <c r="TBC219" s="1"/>
      <c r="TBD219" s="1"/>
      <c r="TBE219" s="1"/>
      <c r="TBF219" s="1"/>
      <c r="TBG219" s="1"/>
      <c r="TBH219" s="1"/>
      <c r="TBI219" s="1"/>
      <c r="TBJ219" s="1"/>
      <c r="TBK219" s="1"/>
      <c r="TBL219" s="1"/>
      <c r="TBM219" s="1"/>
      <c r="TBN219" s="1"/>
      <c r="TBO219" s="1"/>
      <c r="TBP219" s="1"/>
      <c r="TBQ219" s="1"/>
      <c r="TBR219" s="1"/>
      <c r="TBS219" s="1"/>
      <c r="TBT219" s="1"/>
      <c r="TBU219" s="1"/>
      <c r="TBV219" s="1"/>
      <c r="TBW219" s="1"/>
      <c r="TBX219" s="1"/>
      <c r="TBY219" s="1"/>
      <c r="TBZ219" s="1"/>
      <c r="TCA219" s="1"/>
      <c r="TCB219" s="1"/>
      <c r="TCC219" s="1"/>
      <c r="TCD219" s="1"/>
      <c r="TCE219" s="1"/>
      <c r="TCF219" s="1"/>
      <c r="TCG219" s="1"/>
      <c r="TCH219" s="1"/>
      <c r="TCI219" s="1"/>
      <c r="TCJ219" s="1"/>
      <c r="TCK219" s="1"/>
      <c r="TCL219" s="1"/>
      <c r="TCM219" s="1"/>
      <c r="TCN219" s="1"/>
      <c r="TCO219" s="1"/>
      <c r="TCP219" s="1"/>
      <c r="TCQ219" s="1"/>
      <c r="TCR219" s="1"/>
      <c r="TCS219" s="1"/>
      <c r="TCT219" s="1"/>
      <c r="TCU219" s="1"/>
      <c r="TCV219" s="1"/>
      <c r="TCW219" s="1"/>
      <c r="TCX219" s="1"/>
      <c r="TCY219" s="1"/>
      <c r="TCZ219" s="1"/>
      <c r="TDA219" s="1"/>
      <c r="TDB219" s="1"/>
      <c r="TDC219" s="1"/>
      <c r="TDD219" s="1"/>
      <c r="TDE219" s="1"/>
      <c r="TDF219" s="1"/>
      <c r="TDG219" s="1"/>
      <c r="TDH219" s="1"/>
      <c r="TDI219" s="1"/>
      <c r="TDJ219" s="1"/>
      <c r="TDK219" s="1"/>
      <c r="TDL219" s="1"/>
      <c r="TDM219" s="1"/>
      <c r="TDN219" s="1"/>
      <c r="TDO219" s="1"/>
      <c r="TDP219" s="1"/>
      <c r="TDQ219" s="1"/>
      <c r="TDR219" s="1"/>
      <c r="TDS219" s="1"/>
      <c r="TDT219" s="1"/>
      <c r="TDU219" s="1"/>
      <c r="TDV219" s="1"/>
      <c r="TDW219" s="1"/>
      <c r="TDX219" s="1"/>
      <c r="TDY219" s="1"/>
      <c r="TDZ219" s="1"/>
      <c r="TEA219" s="1"/>
      <c r="TEB219" s="1"/>
      <c r="TEC219" s="1"/>
      <c r="TED219" s="1"/>
      <c r="TEE219" s="1"/>
      <c r="TEF219" s="1"/>
      <c r="TEG219" s="1"/>
      <c r="TEH219" s="1"/>
      <c r="TEI219" s="1"/>
      <c r="TEJ219" s="1"/>
      <c r="TEK219" s="1"/>
      <c r="TEL219" s="1"/>
      <c r="TEM219" s="1"/>
      <c r="TEN219" s="1"/>
      <c r="TEO219" s="1"/>
      <c r="TEP219" s="1"/>
      <c r="TEQ219" s="1"/>
      <c r="TER219" s="1"/>
      <c r="TES219" s="1"/>
      <c r="TET219" s="1"/>
      <c r="TEU219" s="1"/>
      <c r="TEV219" s="1"/>
      <c r="TEW219" s="1"/>
      <c r="TEX219" s="1"/>
      <c r="TEY219" s="1"/>
      <c r="TEZ219" s="1"/>
      <c r="TFA219" s="1"/>
      <c r="TFB219" s="1"/>
      <c r="TFC219" s="1"/>
      <c r="TFD219" s="1"/>
      <c r="TFE219" s="1"/>
      <c r="TFF219" s="1"/>
      <c r="TFG219" s="1"/>
      <c r="TFH219" s="1"/>
      <c r="TFI219" s="1"/>
      <c r="TFJ219" s="1"/>
      <c r="TFK219" s="1"/>
      <c r="TFL219" s="1"/>
      <c r="TFM219" s="1"/>
      <c r="TFN219" s="1"/>
      <c r="TFO219" s="1"/>
      <c r="TFP219" s="1"/>
      <c r="TFQ219" s="1"/>
      <c r="TFR219" s="1"/>
      <c r="TFS219" s="1"/>
      <c r="TFT219" s="1"/>
      <c r="TFU219" s="1"/>
      <c r="TFV219" s="1"/>
      <c r="TFW219" s="1"/>
      <c r="TFX219" s="1"/>
      <c r="TFY219" s="1"/>
      <c r="TFZ219" s="1"/>
      <c r="TGA219" s="1"/>
      <c r="TGB219" s="1"/>
      <c r="TGC219" s="1"/>
      <c r="TGD219" s="1"/>
      <c r="TGE219" s="1"/>
      <c r="TGF219" s="1"/>
      <c r="TGG219" s="1"/>
      <c r="TGH219" s="1"/>
      <c r="TGI219" s="1"/>
      <c r="TGJ219" s="1"/>
      <c r="TGK219" s="1"/>
      <c r="TGL219" s="1"/>
      <c r="TGM219" s="1"/>
      <c r="TGN219" s="1"/>
      <c r="TGO219" s="1"/>
      <c r="TGP219" s="1"/>
      <c r="TGQ219" s="1"/>
      <c r="TGR219" s="1"/>
      <c r="TGS219" s="1"/>
      <c r="TGT219" s="1"/>
      <c r="TGU219" s="1"/>
      <c r="TGV219" s="1"/>
      <c r="TGW219" s="1"/>
      <c r="TGX219" s="1"/>
      <c r="TGY219" s="1"/>
      <c r="TGZ219" s="1"/>
      <c r="THA219" s="1"/>
      <c r="THB219" s="1"/>
      <c r="THC219" s="1"/>
      <c r="THD219" s="1"/>
      <c r="THE219" s="1"/>
      <c r="THF219" s="1"/>
      <c r="THG219" s="1"/>
      <c r="THH219" s="1"/>
      <c r="THI219" s="1"/>
      <c r="THJ219" s="1"/>
      <c r="THK219" s="1"/>
      <c r="THL219" s="1"/>
      <c r="THM219" s="1"/>
      <c r="THN219" s="1"/>
      <c r="THO219" s="1"/>
      <c r="THP219" s="1"/>
      <c r="THQ219" s="1"/>
      <c r="THR219" s="1"/>
      <c r="THS219" s="1"/>
      <c r="THT219" s="1"/>
      <c r="THU219" s="1"/>
      <c r="THV219" s="1"/>
      <c r="THW219" s="1"/>
      <c r="THX219" s="1"/>
      <c r="THY219" s="1"/>
      <c r="THZ219" s="1"/>
      <c r="TIA219" s="1"/>
      <c r="TIB219" s="1"/>
      <c r="TIC219" s="1"/>
      <c r="TID219" s="1"/>
      <c r="TIE219" s="1"/>
      <c r="TIF219" s="1"/>
      <c r="TIG219" s="1"/>
      <c r="TIH219" s="1"/>
      <c r="TII219" s="1"/>
      <c r="TIJ219" s="1"/>
      <c r="TIK219" s="1"/>
      <c r="TIL219" s="1"/>
      <c r="TIM219" s="1"/>
      <c r="TIN219" s="1"/>
      <c r="TIO219" s="1"/>
      <c r="TIP219" s="1"/>
      <c r="TIQ219" s="1"/>
      <c r="TIR219" s="1"/>
      <c r="TIS219" s="1"/>
      <c r="TIT219" s="1"/>
      <c r="TIU219" s="1"/>
      <c r="TIV219" s="1"/>
      <c r="TIW219" s="1"/>
      <c r="TIX219" s="1"/>
      <c r="TIY219" s="1"/>
      <c r="TIZ219" s="1"/>
      <c r="TJA219" s="1"/>
      <c r="TJB219" s="1"/>
      <c r="TJC219" s="1"/>
      <c r="TJD219" s="1"/>
      <c r="TJE219" s="1"/>
      <c r="TJF219" s="1"/>
      <c r="TJG219" s="1"/>
      <c r="TJH219" s="1"/>
      <c r="TJI219" s="1"/>
      <c r="TJJ219" s="1"/>
      <c r="TJK219" s="1"/>
      <c r="TJL219" s="1"/>
      <c r="TJM219" s="1"/>
      <c r="TJN219" s="1"/>
      <c r="TJO219" s="1"/>
      <c r="TJP219" s="1"/>
      <c r="TJQ219" s="1"/>
      <c r="TJR219" s="1"/>
      <c r="TJS219" s="1"/>
      <c r="TJT219" s="1"/>
      <c r="TJU219" s="1"/>
      <c r="TJV219" s="1"/>
      <c r="TJW219" s="1"/>
      <c r="TJX219" s="1"/>
      <c r="TJY219" s="1"/>
      <c r="TJZ219" s="1"/>
      <c r="TKA219" s="1"/>
      <c r="TKB219" s="1"/>
      <c r="TKC219" s="1"/>
      <c r="TKD219" s="1"/>
      <c r="TKE219" s="1"/>
      <c r="TKF219" s="1"/>
      <c r="TKG219" s="1"/>
      <c r="TKH219" s="1"/>
      <c r="TKI219" s="1"/>
      <c r="TKJ219" s="1"/>
      <c r="TKK219" s="1"/>
      <c r="TKL219" s="1"/>
      <c r="TKM219" s="1"/>
      <c r="TKN219" s="1"/>
      <c r="TKO219" s="1"/>
      <c r="TKP219" s="1"/>
      <c r="TKQ219" s="1"/>
      <c r="TKR219" s="1"/>
      <c r="TKS219" s="1"/>
      <c r="TKT219" s="1"/>
      <c r="TKU219" s="1"/>
      <c r="TKV219" s="1"/>
      <c r="TKW219" s="1"/>
      <c r="TKX219" s="1"/>
      <c r="TKY219" s="1"/>
      <c r="TKZ219" s="1"/>
      <c r="TLA219" s="1"/>
      <c r="TLB219" s="1"/>
      <c r="TLC219" s="1"/>
      <c r="TLD219" s="1"/>
      <c r="TLE219" s="1"/>
      <c r="TLF219" s="1"/>
      <c r="TLG219" s="1"/>
      <c r="TLH219" s="1"/>
      <c r="TLI219" s="1"/>
      <c r="TLJ219" s="1"/>
      <c r="TLK219" s="1"/>
      <c r="TLL219" s="1"/>
      <c r="TLM219" s="1"/>
      <c r="TLN219" s="1"/>
      <c r="TLO219" s="1"/>
      <c r="TLP219" s="1"/>
      <c r="TLQ219" s="1"/>
      <c r="TLR219" s="1"/>
      <c r="TLS219" s="1"/>
      <c r="TLT219" s="1"/>
      <c r="TLU219" s="1"/>
      <c r="TLV219" s="1"/>
      <c r="TLW219" s="1"/>
      <c r="TLX219" s="1"/>
      <c r="TLY219" s="1"/>
      <c r="TLZ219" s="1"/>
      <c r="TMA219" s="1"/>
      <c r="TMB219" s="1"/>
      <c r="TMC219" s="1"/>
      <c r="TMD219" s="1"/>
      <c r="TME219" s="1"/>
      <c r="TMF219" s="1"/>
      <c r="TMG219" s="1"/>
      <c r="TMH219" s="1"/>
      <c r="TMI219" s="1"/>
      <c r="TMJ219" s="1"/>
      <c r="TMK219" s="1"/>
      <c r="TML219" s="1"/>
      <c r="TMM219" s="1"/>
      <c r="TMN219" s="1"/>
      <c r="TMO219" s="1"/>
      <c r="TMP219" s="1"/>
      <c r="TMQ219" s="1"/>
      <c r="TMR219" s="1"/>
      <c r="TMS219" s="1"/>
      <c r="TMT219" s="1"/>
      <c r="TMU219" s="1"/>
      <c r="TMV219" s="1"/>
      <c r="TMW219" s="1"/>
      <c r="TMX219" s="1"/>
      <c r="TMY219" s="1"/>
      <c r="TMZ219" s="1"/>
      <c r="TNA219" s="1"/>
      <c r="TNB219" s="1"/>
      <c r="TNC219" s="1"/>
      <c r="TND219" s="1"/>
      <c r="TNE219" s="1"/>
      <c r="TNF219" s="1"/>
      <c r="TNG219" s="1"/>
      <c r="TNH219" s="1"/>
      <c r="TNI219" s="1"/>
      <c r="TNJ219" s="1"/>
      <c r="TNK219" s="1"/>
      <c r="TNL219" s="1"/>
      <c r="TNM219" s="1"/>
      <c r="TNN219" s="1"/>
      <c r="TNO219" s="1"/>
      <c r="TNP219" s="1"/>
      <c r="TNQ219" s="1"/>
      <c r="TNR219" s="1"/>
      <c r="TNS219" s="1"/>
      <c r="TNT219" s="1"/>
      <c r="TNU219" s="1"/>
      <c r="TNV219" s="1"/>
      <c r="TNW219" s="1"/>
      <c r="TNX219" s="1"/>
      <c r="TNY219" s="1"/>
      <c r="TNZ219" s="1"/>
      <c r="TOA219" s="1"/>
      <c r="TOB219" s="1"/>
      <c r="TOC219" s="1"/>
      <c r="TOD219" s="1"/>
      <c r="TOE219" s="1"/>
      <c r="TOF219" s="1"/>
      <c r="TOG219" s="1"/>
      <c r="TOH219" s="1"/>
      <c r="TOI219" s="1"/>
      <c r="TOJ219" s="1"/>
      <c r="TOK219" s="1"/>
      <c r="TOL219" s="1"/>
      <c r="TOM219" s="1"/>
      <c r="TON219" s="1"/>
      <c r="TOO219" s="1"/>
      <c r="TOP219" s="1"/>
      <c r="TOQ219" s="1"/>
      <c r="TOR219" s="1"/>
      <c r="TOS219" s="1"/>
      <c r="TOT219" s="1"/>
      <c r="TOU219" s="1"/>
      <c r="TOV219" s="1"/>
      <c r="TOW219" s="1"/>
      <c r="TOX219" s="1"/>
      <c r="TOY219" s="1"/>
      <c r="TOZ219" s="1"/>
      <c r="TPA219" s="1"/>
      <c r="TPB219" s="1"/>
      <c r="TPC219" s="1"/>
      <c r="TPD219" s="1"/>
      <c r="TPE219" s="1"/>
      <c r="TPF219" s="1"/>
      <c r="TPG219" s="1"/>
      <c r="TPH219" s="1"/>
      <c r="TPI219" s="1"/>
      <c r="TPJ219" s="1"/>
      <c r="TPK219" s="1"/>
      <c r="TPL219" s="1"/>
      <c r="TPM219" s="1"/>
      <c r="TPN219" s="1"/>
      <c r="TPO219" s="1"/>
      <c r="TPP219" s="1"/>
      <c r="TPQ219" s="1"/>
      <c r="TPR219" s="1"/>
      <c r="TPS219" s="1"/>
      <c r="TPT219" s="1"/>
      <c r="TPU219" s="1"/>
      <c r="TPV219" s="1"/>
      <c r="TPW219" s="1"/>
      <c r="TPX219" s="1"/>
      <c r="TPY219" s="1"/>
      <c r="TPZ219" s="1"/>
      <c r="TQA219" s="1"/>
      <c r="TQB219" s="1"/>
      <c r="TQC219" s="1"/>
      <c r="TQD219" s="1"/>
      <c r="TQE219" s="1"/>
      <c r="TQF219" s="1"/>
      <c r="TQG219" s="1"/>
      <c r="TQH219" s="1"/>
      <c r="TQI219" s="1"/>
      <c r="TQJ219" s="1"/>
      <c r="TQK219" s="1"/>
      <c r="TQL219" s="1"/>
      <c r="TQM219" s="1"/>
      <c r="TQN219" s="1"/>
      <c r="TQO219" s="1"/>
      <c r="TQP219" s="1"/>
      <c r="TQQ219" s="1"/>
      <c r="TQR219" s="1"/>
      <c r="TQS219" s="1"/>
      <c r="TQT219" s="1"/>
      <c r="TQU219" s="1"/>
      <c r="TQV219" s="1"/>
      <c r="TQW219" s="1"/>
      <c r="TQX219" s="1"/>
      <c r="TQY219" s="1"/>
      <c r="TQZ219" s="1"/>
      <c r="TRA219" s="1"/>
      <c r="TRB219" s="1"/>
      <c r="TRC219" s="1"/>
      <c r="TRD219" s="1"/>
      <c r="TRE219" s="1"/>
      <c r="TRF219" s="1"/>
      <c r="TRG219" s="1"/>
      <c r="TRH219" s="1"/>
      <c r="TRI219" s="1"/>
      <c r="TRJ219" s="1"/>
      <c r="TRK219" s="1"/>
      <c r="TRL219" s="1"/>
      <c r="TRM219" s="1"/>
      <c r="TRN219" s="1"/>
      <c r="TRO219" s="1"/>
      <c r="TRP219" s="1"/>
      <c r="TRQ219" s="1"/>
      <c r="TRR219" s="1"/>
      <c r="TRS219" s="1"/>
      <c r="TRT219" s="1"/>
      <c r="TRU219" s="1"/>
      <c r="TRV219" s="1"/>
      <c r="TRW219" s="1"/>
      <c r="TRX219" s="1"/>
      <c r="TRY219" s="1"/>
      <c r="TRZ219" s="1"/>
      <c r="TSA219" s="1"/>
      <c r="TSB219" s="1"/>
      <c r="TSC219" s="1"/>
      <c r="TSD219" s="1"/>
      <c r="TSE219" s="1"/>
      <c r="TSF219" s="1"/>
      <c r="TSG219" s="1"/>
      <c r="TSH219" s="1"/>
      <c r="TSI219" s="1"/>
      <c r="TSJ219" s="1"/>
      <c r="TSK219" s="1"/>
      <c r="TSL219" s="1"/>
      <c r="TSM219" s="1"/>
      <c r="TSN219" s="1"/>
      <c r="TSO219" s="1"/>
      <c r="TSP219" s="1"/>
      <c r="TSQ219" s="1"/>
      <c r="TSR219" s="1"/>
      <c r="TSS219" s="1"/>
      <c r="TST219" s="1"/>
      <c r="TSU219" s="1"/>
      <c r="TSV219" s="1"/>
      <c r="TSW219" s="1"/>
      <c r="TSX219" s="1"/>
      <c r="TSY219" s="1"/>
      <c r="TSZ219" s="1"/>
      <c r="TTA219" s="1"/>
      <c r="TTB219" s="1"/>
      <c r="TTC219" s="1"/>
      <c r="TTD219" s="1"/>
      <c r="TTE219" s="1"/>
      <c r="TTF219" s="1"/>
      <c r="TTG219" s="1"/>
      <c r="TTH219" s="1"/>
      <c r="TTI219" s="1"/>
      <c r="TTJ219" s="1"/>
      <c r="TTK219" s="1"/>
      <c r="TTL219" s="1"/>
      <c r="TTM219" s="1"/>
      <c r="TTN219" s="1"/>
      <c r="TTO219" s="1"/>
      <c r="TTP219" s="1"/>
      <c r="TTQ219" s="1"/>
      <c r="TTR219" s="1"/>
      <c r="TTS219" s="1"/>
      <c r="TTT219" s="1"/>
      <c r="TTU219" s="1"/>
      <c r="TTV219" s="1"/>
      <c r="TTW219" s="1"/>
      <c r="TTX219" s="1"/>
      <c r="TTY219" s="1"/>
      <c r="TTZ219" s="1"/>
      <c r="TUA219" s="1"/>
      <c r="TUB219" s="1"/>
      <c r="TUC219" s="1"/>
      <c r="TUD219" s="1"/>
      <c r="TUE219" s="1"/>
      <c r="TUF219" s="1"/>
      <c r="TUG219" s="1"/>
      <c r="TUH219" s="1"/>
      <c r="TUI219" s="1"/>
      <c r="TUJ219" s="1"/>
      <c r="TUK219" s="1"/>
      <c r="TUL219" s="1"/>
      <c r="TUM219" s="1"/>
      <c r="TUN219" s="1"/>
      <c r="TUO219" s="1"/>
      <c r="TUP219" s="1"/>
      <c r="TUQ219" s="1"/>
      <c r="TUR219" s="1"/>
      <c r="TUS219" s="1"/>
      <c r="TUT219" s="1"/>
      <c r="TUU219" s="1"/>
      <c r="TUV219" s="1"/>
      <c r="TUW219" s="1"/>
      <c r="TUX219" s="1"/>
      <c r="TUY219" s="1"/>
      <c r="TUZ219" s="1"/>
      <c r="TVA219" s="1"/>
      <c r="TVB219" s="1"/>
      <c r="TVC219" s="1"/>
      <c r="TVD219" s="1"/>
      <c r="TVE219" s="1"/>
      <c r="TVF219" s="1"/>
      <c r="TVG219" s="1"/>
      <c r="TVH219" s="1"/>
      <c r="TVI219" s="1"/>
      <c r="TVJ219" s="1"/>
      <c r="TVK219" s="1"/>
      <c r="TVL219" s="1"/>
      <c r="TVM219" s="1"/>
      <c r="TVN219" s="1"/>
      <c r="TVO219" s="1"/>
      <c r="TVP219" s="1"/>
      <c r="TVQ219" s="1"/>
      <c r="TVR219" s="1"/>
      <c r="TVS219" s="1"/>
      <c r="TVT219" s="1"/>
      <c r="TVU219" s="1"/>
      <c r="TVV219" s="1"/>
      <c r="TVW219" s="1"/>
      <c r="TVX219" s="1"/>
      <c r="TVY219" s="1"/>
      <c r="TVZ219" s="1"/>
      <c r="TWA219" s="1"/>
      <c r="TWB219" s="1"/>
      <c r="TWC219" s="1"/>
      <c r="TWD219" s="1"/>
      <c r="TWE219" s="1"/>
      <c r="TWF219" s="1"/>
      <c r="TWG219" s="1"/>
      <c r="TWH219" s="1"/>
      <c r="TWI219" s="1"/>
      <c r="TWJ219" s="1"/>
      <c r="TWK219" s="1"/>
      <c r="TWL219" s="1"/>
      <c r="TWM219" s="1"/>
      <c r="TWN219" s="1"/>
      <c r="TWO219" s="1"/>
      <c r="TWP219" s="1"/>
      <c r="TWQ219" s="1"/>
      <c r="TWR219" s="1"/>
      <c r="TWS219" s="1"/>
      <c r="TWT219" s="1"/>
      <c r="TWU219" s="1"/>
      <c r="TWV219" s="1"/>
      <c r="TWW219" s="1"/>
      <c r="TWX219" s="1"/>
      <c r="TWY219" s="1"/>
      <c r="TWZ219" s="1"/>
      <c r="TXA219" s="1"/>
      <c r="TXB219" s="1"/>
      <c r="TXC219" s="1"/>
      <c r="TXD219" s="1"/>
      <c r="TXE219" s="1"/>
      <c r="TXF219" s="1"/>
      <c r="TXG219" s="1"/>
      <c r="TXH219" s="1"/>
      <c r="TXI219" s="1"/>
      <c r="TXJ219" s="1"/>
      <c r="TXK219" s="1"/>
      <c r="TXL219" s="1"/>
      <c r="TXM219" s="1"/>
      <c r="TXN219" s="1"/>
      <c r="TXO219" s="1"/>
      <c r="TXP219" s="1"/>
      <c r="TXQ219" s="1"/>
      <c r="TXR219" s="1"/>
      <c r="TXS219" s="1"/>
      <c r="TXT219" s="1"/>
      <c r="TXU219" s="1"/>
      <c r="TXV219" s="1"/>
      <c r="TXW219" s="1"/>
      <c r="TXX219" s="1"/>
      <c r="TXY219" s="1"/>
      <c r="TXZ219" s="1"/>
      <c r="TYA219" s="1"/>
      <c r="TYB219" s="1"/>
      <c r="TYC219" s="1"/>
      <c r="TYD219" s="1"/>
      <c r="TYE219" s="1"/>
      <c r="TYF219" s="1"/>
      <c r="TYG219" s="1"/>
      <c r="TYH219" s="1"/>
      <c r="TYI219" s="1"/>
      <c r="TYJ219" s="1"/>
      <c r="TYK219" s="1"/>
      <c r="TYL219" s="1"/>
      <c r="TYM219" s="1"/>
      <c r="TYN219" s="1"/>
      <c r="TYO219" s="1"/>
      <c r="TYP219" s="1"/>
      <c r="TYQ219" s="1"/>
      <c r="TYR219" s="1"/>
      <c r="TYS219" s="1"/>
      <c r="TYT219" s="1"/>
      <c r="TYU219" s="1"/>
      <c r="TYV219" s="1"/>
      <c r="TYW219" s="1"/>
      <c r="TYX219" s="1"/>
      <c r="TYY219" s="1"/>
      <c r="TYZ219" s="1"/>
      <c r="TZA219" s="1"/>
      <c r="TZB219" s="1"/>
      <c r="TZC219" s="1"/>
      <c r="TZD219" s="1"/>
      <c r="TZE219" s="1"/>
      <c r="TZF219" s="1"/>
      <c r="TZG219" s="1"/>
      <c r="TZH219" s="1"/>
      <c r="TZI219" s="1"/>
      <c r="TZJ219" s="1"/>
      <c r="TZK219" s="1"/>
      <c r="TZL219" s="1"/>
      <c r="TZM219" s="1"/>
      <c r="TZN219" s="1"/>
      <c r="TZO219" s="1"/>
      <c r="TZP219" s="1"/>
      <c r="TZQ219" s="1"/>
      <c r="TZR219" s="1"/>
      <c r="TZS219" s="1"/>
      <c r="TZT219" s="1"/>
      <c r="TZU219" s="1"/>
      <c r="TZV219" s="1"/>
      <c r="TZW219" s="1"/>
      <c r="TZX219" s="1"/>
      <c r="TZY219" s="1"/>
      <c r="TZZ219" s="1"/>
      <c r="UAA219" s="1"/>
      <c r="UAB219" s="1"/>
      <c r="UAC219" s="1"/>
      <c r="UAD219" s="1"/>
      <c r="UAE219" s="1"/>
      <c r="UAF219" s="1"/>
      <c r="UAG219" s="1"/>
      <c r="UAH219" s="1"/>
      <c r="UAI219" s="1"/>
      <c r="UAJ219" s="1"/>
      <c r="UAK219" s="1"/>
      <c r="UAL219" s="1"/>
      <c r="UAM219" s="1"/>
      <c r="UAN219" s="1"/>
      <c r="UAO219" s="1"/>
      <c r="UAP219" s="1"/>
      <c r="UAQ219" s="1"/>
      <c r="UAR219" s="1"/>
      <c r="UAS219" s="1"/>
      <c r="UAT219" s="1"/>
      <c r="UAU219" s="1"/>
      <c r="UAV219" s="1"/>
      <c r="UAW219" s="1"/>
      <c r="UAX219" s="1"/>
      <c r="UAY219" s="1"/>
      <c r="UAZ219" s="1"/>
      <c r="UBA219" s="1"/>
      <c r="UBB219" s="1"/>
      <c r="UBC219" s="1"/>
      <c r="UBD219" s="1"/>
      <c r="UBE219" s="1"/>
      <c r="UBF219" s="1"/>
      <c r="UBG219" s="1"/>
      <c r="UBH219" s="1"/>
      <c r="UBI219" s="1"/>
      <c r="UBJ219" s="1"/>
      <c r="UBK219" s="1"/>
      <c r="UBL219" s="1"/>
      <c r="UBM219" s="1"/>
      <c r="UBN219" s="1"/>
      <c r="UBO219" s="1"/>
      <c r="UBP219" s="1"/>
      <c r="UBQ219" s="1"/>
      <c r="UBR219" s="1"/>
      <c r="UBS219" s="1"/>
      <c r="UBT219" s="1"/>
      <c r="UBU219" s="1"/>
      <c r="UBV219" s="1"/>
      <c r="UBW219" s="1"/>
      <c r="UBX219" s="1"/>
      <c r="UBY219" s="1"/>
      <c r="UBZ219" s="1"/>
      <c r="UCA219" s="1"/>
      <c r="UCB219" s="1"/>
      <c r="UCC219" s="1"/>
      <c r="UCD219" s="1"/>
      <c r="UCE219" s="1"/>
      <c r="UCF219" s="1"/>
      <c r="UCG219" s="1"/>
      <c r="UCH219" s="1"/>
      <c r="UCI219" s="1"/>
      <c r="UCJ219" s="1"/>
      <c r="UCK219" s="1"/>
      <c r="UCL219" s="1"/>
      <c r="UCM219" s="1"/>
      <c r="UCN219" s="1"/>
      <c r="UCO219" s="1"/>
      <c r="UCP219" s="1"/>
      <c r="UCQ219" s="1"/>
      <c r="UCR219" s="1"/>
      <c r="UCS219" s="1"/>
      <c r="UCT219" s="1"/>
      <c r="UCU219" s="1"/>
      <c r="UCV219" s="1"/>
      <c r="UCW219" s="1"/>
      <c r="UCX219" s="1"/>
      <c r="UCY219" s="1"/>
      <c r="UCZ219" s="1"/>
      <c r="UDA219" s="1"/>
      <c r="UDB219" s="1"/>
      <c r="UDC219" s="1"/>
      <c r="UDD219" s="1"/>
      <c r="UDE219" s="1"/>
      <c r="UDF219" s="1"/>
      <c r="UDG219" s="1"/>
      <c r="UDH219" s="1"/>
      <c r="UDI219" s="1"/>
      <c r="UDJ219" s="1"/>
      <c r="UDK219" s="1"/>
      <c r="UDL219" s="1"/>
      <c r="UDM219" s="1"/>
      <c r="UDN219" s="1"/>
      <c r="UDO219" s="1"/>
      <c r="UDP219" s="1"/>
      <c r="UDQ219" s="1"/>
      <c r="UDR219" s="1"/>
      <c r="UDS219" s="1"/>
      <c r="UDT219" s="1"/>
      <c r="UDU219" s="1"/>
      <c r="UDV219" s="1"/>
      <c r="UDW219" s="1"/>
      <c r="UDX219" s="1"/>
      <c r="UDY219" s="1"/>
      <c r="UDZ219" s="1"/>
      <c r="UEA219" s="1"/>
      <c r="UEB219" s="1"/>
      <c r="UEC219" s="1"/>
      <c r="UED219" s="1"/>
      <c r="UEE219" s="1"/>
      <c r="UEF219" s="1"/>
      <c r="UEG219" s="1"/>
      <c r="UEH219" s="1"/>
      <c r="UEI219" s="1"/>
      <c r="UEJ219" s="1"/>
      <c r="UEK219" s="1"/>
      <c r="UEL219" s="1"/>
      <c r="UEM219" s="1"/>
      <c r="UEN219" s="1"/>
      <c r="UEO219" s="1"/>
      <c r="UEP219" s="1"/>
      <c r="UEQ219" s="1"/>
      <c r="UER219" s="1"/>
      <c r="UES219" s="1"/>
      <c r="UET219" s="1"/>
      <c r="UEU219" s="1"/>
      <c r="UEV219" s="1"/>
      <c r="UEW219" s="1"/>
      <c r="UEX219" s="1"/>
      <c r="UEY219" s="1"/>
      <c r="UEZ219" s="1"/>
      <c r="UFA219" s="1"/>
      <c r="UFB219" s="1"/>
      <c r="UFC219" s="1"/>
      <c r="UFD219" s="1"/>
      <c r="UFE219" s="1"/>
      <c r="UFF219" s="1"/>
      <c r="UFG219" s="1"/>
      <c r="UFH219" s="1"/>
      <c r="UFI219" s="1"/>
      <c r="UFJ219" s="1"/>
      <c r="UFK219" s="1"/>
      <c r="UFL219" s="1"/>
      <c r="UFM219" s="1"/>
      <c r="UFN219" s="1"/>
      <c r="UFO219" s="1"/>
      <c r="UFP219" s="1"/>
      <c r="UFQ219" s="1"/>
      <c r="UFR219" s="1"/>
      <c r="UFS219" s="1"/>
      <c r="UFT219" s="1"/>
      <c r="UFU219" s="1"/>
      <c r="UFV219" s="1"/>
      <c r="UFW219" s="1"/>
      <c r="UFX219" s="1"/>
      <c r="UFY219" s="1"/>
      <c r="UFZ219" s="1"/>
      <c r="UGA219" s="1"/>
      <c r="UGB219" s="1"/>
      <c r="UGC219" s="1"/>
      <c r="UGD219" s="1"/>
      <c r="UGE219" s="1"/>
      <c r="UGF219" s="1"/>
      <c r="UGG219" s="1"/>
      <c r="UGH219" s="1"/>
      <c r="UGI219" s="1"/>
      <c r="UGJ219" s="1"/>
      <c r="UGK219" s="1"/>
      <c r="UGL219" s="1"/>
      <c r="UGM219" s="1"/>
      <c r="UGN219" s="1"/>
      <c r="UGO219" s="1"/>
      <c r="UGP219" s="1"/>
      <c r="UGQ219" s="1"/>
      <c r="UGR219" s="1"/>
      <c r="UGS219" s="1"/>
      <c r="UGT219" s="1"/>
      <c r="UGU219" s="1"/>
      <c r="UGV219" s="1"/>
      <c r="UGW219" s="1"/>
      <c r="UGX219" s="1"/>
      <c r="UGY219" s="1"/>
      <c r="UGZ219" s="1"/>
      <c r="UHA219" s="1"/>
      <c r="UHB219" s="1"/>
      <c r="UHC219" s="1"/>
      <c r="UHD219" s="1"/>
      <c r="UHE219" s="1"/>
      <c r="UHF219" s="1"/>
      <c r="UHG219" s="1"/>
      <c r="UHH219" s="1"/>
      <c r="UHI219" s="1"/>
      <c r="UHJ219" s="1"/>
      <c r="UHK219" s="1"/>
      <c r="UHL219" s="1"/>
      <c r="UHM219" s="1"/>
      <c r="UHN219" s="1"/>
      <c r="UHO219" s="1"/>
      <c r="UHP219" s="1"/>
      <c r="UHQ219" s="1"/>
      <c r="UHR219" s="1"/>
      <c r="UHS219" s="1"/>
      <c r="UHT219" s="1"/>
      <c r="UHU219" s="1"/>
      <c r="UHV219" s="1"/>
      <c r="UHW219" s="1"/>
      <c r="UHX219" s="1"/>
      <c r="UHY219" s="1"/>
      <c r="UHZ219" s="1"/>
      <c r="UIA219" s="1"/>
      <c r="UIB219" s="1"/>
      <c r="UIC219" s="1"/>
      <c r="UID219" s="1"/>
      <c r="UIE219" s="1"/>
      <c r="UIF219" s="1"/>
      <c r="UIG219" s="1"/>
      <c r="UIH219" s="1"/>
      <c r="UII219" s="1"/>
      <c r="UIJ219" s="1"/>
      <c r="UIK219" s="1"/>
      <c r="UIL219" s="1"/>
      <c r="UIM219" s="1"/>
      <c r="UIN219" s="1"/>
      <c r="UIO219" s="1"/>
      <c r="UIP219" s="1"/>
      <c r="UIQ219" s="1"/>
      <c r="UIR219" s="1"/>
      <c r="UIS219" s="1"/>
      <c r="UIT219" s="1"/>
      <c r="UIU219" s="1"/>
      <c r="UIV219" s="1"/>
      <c r="UIW219" s="1"/>
      <c r="UIX219" s="1"/>
      <c r="UIY219" s="1"/>
      <c r="UIZ219" s="1"/>
      <c r="UJA219" s="1"/>
      <c r="UJB219" s="1"/>
      <c r="UJC219" s="1"/>
      <c r="UJD219" s="1"/>
      <c r="UJE219" s="1"/>
      <c r="UJF219" s="1"/>
      <c r="UJG219" s="1"/>
      <c r="UJH219" s="1"/>
      <c r="UJI219" s="1"/>
      <c r="UJJ219" s="1"/>
      <c r="UJK219" s="1"/>
      <c r="UJL219" s="1"/>
      <c r="UJM219" s="1"/>
      <c r="UJN219" s="1"/>
      <c r="UJO219" s="1"/>
      <c r="UJP219" s="1"/>
      <c r="UJQ219" s="1"/>
      <c r="UJR219" s="1"/>
      <c r="UJS219" s="1"/>
      <c r="UJT219" s="1"/>
      <c r="UJU219" s="1"/>
      <c r="UJV219" s="1"/>
      <c r="UJW219" s="1"/>
      <c r="UJX219" s="1"/>
      <c r="UJY219" s="1"/>
      <c r="UJZ219" s="1"/>
      <c r="UKA219" s="1"/>
      <c r="UKB219" s="1"/>
      <c r="UKC219" s="1"/>
      <c r="UKD219" s="1"/>
      <c r="UKE219" s="1"/>
      <c r="UKF219" s="1"/>
      <c r="UKG219" s="1"/>
      <c r="UKH219" s="1"/>
      <c r="UKI219" s="1"/>
      <c r="UKJ219" s="1"/>
      <c r="UKK219" s="1"/>
      <c r="UKL219" s="1"/>
      <c r="UKM219" s="1"/>
      <c r="UKN219" s="1"/>
      <c r="UKO219" s="1"/>
      <c r="UKP219" s="1"/>
      <c r="UKQ219" s="1"/>
      <c r="UKR219" s="1"/>
      <c r="UKS219" s="1"/>
      <c r="UKT219" s="1"/>
      <c r="UKU219" s="1"/>
      <c r="UKV219" s="1"/>
      <c r="UKW219" s="1"/>
      <c r="UKX219" s="1"/>
      <c r="UKY219" s="1"/>
      <c r="UKZ219" s="1"/>
      <c r="ULA219" s="1"/>
      <c r="ULB219" s="1"/>
      <c r="ULC219" s="1"/>
      <c r="ULD219" s="1"/>
      <c r="ULE219" s="1"/>
      <c r="ULF219" s="1"/>
      <c r="ULG219" s="1"/>
      <c r="ULH219" s="1"/>
      <c r="ULI219" s="1"/>
      <c r="ULJ219" s="1"/>
      <c r="ULK219" s="1"/>
      <c r="ULL219" s="1"/>
      <c r="ULM219" s="1"/>
      <c r="ULN219" s="1"/>
      <c r="ULO219" s="1"/>
      <c r="ULP219" s="1"/>
      <c r="ULQ219" s="1"/>
      <c r="ULR219" s="1"/>
      <c r="ULS219" s="1"/>
      <c r="ULT219" s="1"/>
      <c r="ULU219" s="1"/>
      <c r="ULV219" s="1"/>
      <c r="ULW219" s="1"/>
      <c r="ULX219" s="1"/>
      <c r="ULY219" s="1"/>
      <c r="ULZ219" s="1"/>
      <c r="UMA219" s="1"/>
      <c r="UMB219" s="1"/>
      <c r="UMC219" s="1"/>
      <c r="UMD219" s="1"/>
      <c r="UME219" s="1"/>
      <c r="UMF219" s="1"/>
      <c r="UMG219" s="1"/>
      <c r="UMH219" s="1"/>
      <c r="UMI219" s="1"/>
      <c r="UMJ219" s="1"/>
      <c r="UMK219" s="1"/>
      <c r="UML219" s="1"/>
      <c r="UMM219" s="1"/>
      <c r="UMN219" s="1"/>
      <c r="UMO219" s="1"/>
      <c r="UMP219" s="1"/>
      <c r="UMQ219" s="1"/>
      <c r="UMR219" s="1"/>
      <c r="UMS219" s="1"/>
      <c r="UMT219" s="1"/>
      <c r="UMU219" s="1"/>
      <c r="UMV219" s="1"/>
      <c r="UMW219" s="1"/>
      <c r="UMX219" s="1"/>
      <c r="UMY219" s="1"/>
      <c r="UMZ219" s="1"/>
      <c r="UNA219" s="1"/>
      <c r="UNB219" s="1"/>
      <c r="UNC219" s="1"/>
      <c r="UND219" s="1"/>
      <c r="UNE219" s="1"/>
      <c r="UNF219" s="1"/>
      <c r="UNG219" s="1"/>
      <c r="UNH219" s="1"/>
      <c r="UNI219" s="1"/>
      <c r="UNJ219" s="1"/>
      <c r="UNK219" s="1"/>
      <c r="UNL219" s="1"/>
      <c r="UNM219" s="1"/>
      <c r="UNN219" s="1"/>
      <c r="UNO219" s="1"/>
      <c r="UNP219" s="1"/>
      <c r="UNQ219" s="1"/>
      <c r="UNR219" s="1"/>
      <c r="UNS219" s="1"/>
      <c r="UNT219" s="1"/>
      <c r="UNU219" s="1"/>
      <c r="UNV219" s="1"/>
      <c r="UNW219" s="1"/>
      <c r="UNX219" s="1"/>
      <c r="UNY219" s="1"/>
      <c r="UNZ219" s="1"/>
      <c r="UOA219" s="1"/>
      <c r="UOB219" s="1"/>
      <c r="UOC219" s="1"/>
      <c r="UOD219" s="1"/>
      <c r="UOE219" s="1"/>
      <c r="UOF219" s="1"/>
      <c r="UOG219" s="1"/>
      <c r="UOH219" s="1"/>
      <c r="UOI219" s="1"/>
      <c r="UOJ219" s="1"/>
      <c r="UOK219" s="1"/>
      <c r="UOL219" s="1"/>
      <c r="UOM219" s="1"/>
      <c r="UON219" s="1"/>
      <c r="UOO219" s="1"/>
      <c r="UOP219" s="1"/>
      <c r="UOQ219" s="1"/>
      <c r="UOR219" s="1"/>
      <c r="UOS219" s="1"/>
      <c r="UOT219" s="1"/>
      <c r="UOU219" s="1"/>
      <c r="UOV219" s="1"/>
      <c r="UOW219" s="1"/>
      <c r="UOX219" s="1"/>
      <c r="UOY219" s="1"/>
      <c r="UOZ219" s="1"/>
      <c r="UPA219" s="1"/>
      <c r="UPB219" s="1"/>
      <c r="UPC219" s="1"/>
      <c r="UPD219" s="1"/>
      <c r="UPE219" s="1"/>
      <c r="UPF219" s="1"/>
      <c r="UPG219" s="1"/>
      <c r="UPH219" s="1"/>
      <c r="UPI219" s="1"/>
      <c r="UPJ219" s="1"/>
      <c r="UPK219" s="1"/>
      <c r="UPL219" s="1"/>
      <c r="UPM219" s="1"/>
      <c r="UPN219" s="1"/>
      <c r="UPO219" s="1"/>
      <c r="UPP219" s="1"/>
      <c r="UPQ219" s="1"/>
      <c r="UPR219" s="1"/>
      <c r="UPS219" s="1"/>
      <c r="UPT219" s="1"/>
      <c r="UPU219" s="1"/>
      <c r="UPV219" s="1"/>
      <c r="UPW219" s="1"/>
      <c r="UPX219" s="1"/>
      <c r="UPY219" s="1"/>
      <c r="UPZ219" s="1"/>
      <c r="UQA219" s="1"/>
      <c r="UQB219" s="1"/>
      <c r="UQC219" s="1"/>
      <c r="UQD219" s="1"/>
      <c r="UQE219" s="1"/>
      <c r="UQF219" s="1"/>
      <c r="UQG219" s="1"/>
      <c r="UQH219" s="1"/>
      <c r="UQI219" s="1"/>
      <c r="UQJ219" s="1"/>
      <c r="UQK219" s="1"/>
      <c r="UQL219" s="1"/>
      <c r="UQM219" s="1"/>
      <c r="UQN219" s="1"/>
      <c r="UQO219" s="1"/>
      <c r="UQP219" s="1"/>
      <c r="UQQ219" s="1"/>
      <c r="UQR219" s="1"/>
      <c r="UQS219" s="1"/>
      <c r="UQT219" s="1"/>
      <c r="UQU219" s="1"/>
      <c r="UQV219" s="1"/>
      <c r="UQW219" s="1"/>
      <c r="UQX219" s="1"/>
      <c r="UQY219" s="1"/>
      <c r="UQZ219" s="1"/>
      <c r="URA219" s="1"/>
      <c r="URB219" s="1"/>
      <c r="URC219" s="1"/>
      <c r="URD219" s="1"/>
      <c r="URE219" s="1"/>
      <c r="URF219" s="1"/>
      <c r="URG219" s="1"/>
      <c r="URH219" s="1"/>
      <c r="URI219" s="1"/>
      <c r="URJ219" s="1"/>
      <c r="URK219" s="1"/>
      <c r="URL219" s="1"/>
      <c r="URM219" s="1"/>
      <c r="URN219" s="1"/>
      <c r="URO219" s="1"/>
      <c r="URP219" s="1"/>
      <c r="URQ219" s="1"/>
      <c r="URR219" s="1"/>
      <c r="URS219" s="1"/>
      <c r="URT219" s="1"/>
      <c r="URU219" s="1"/>
      <c r="URV219" s="1"/>
      <c r="URW219" s="1"/>
      <c r="URX219" s="1"/>
      <c r="URY219" s="1"/>
      <c r="URZ219" s="1"/>
      <c r="USA219" s="1"/>
      <c r="USB219" s="1"/>
      <c r="USC219" s="1"/>
      <c r="USD219" s="1"/>
      <c r="USE219" s="1"/>
      <c r="USF219" s="1"/>
      <c r="USG219" s="1"/>
      <c r="USH219" s="1"/>
      <c r="USI219" s="1"/>
      <c r="USJ219" s="1"/>
      <c r="USK219" s="1"/>
      <c r="USL219" s="1"/>
      <c r="USM219" s="1"/>
      <c r="USN219" s="1"/>
      <c r="USO219" s="1"/>
      <c r="USP219" s="1"/>
      <c r="USQ219" s="1"/>
      <c r="USR219" s="1"/>
      <c r="USS219" s="1"/>
      <c r="UST219" s="1"/>
      <c r="USU219" s="1"/>
      <c r="USV219" s="1"/>
      <c r="USW219" s="1"/>
      <c r="USX219" s="1"/>
      <c r="USY219" s="1"/>
      <c r="USZ219" s="1"/>
      <c r="UTA219" s="1"/>
      <c r="UTB219" s="1"/>
      <c r="UTC219" s="1"/>
      <c r="UTD219" s="1"/>
      <c r="UTE219" s="1"/>
      <c r="UTF219" s="1"/>
      <c r="UTG219" s="1"/>
      <c r="UTH219" s="1"/>
      <c r="UTI219" s="1"/>
      <c r="UTJ219" s="1"/>
      <c r="UTK219" s="1"/>
      <c r="UTL219" s="1"/>
      <c r="UTM219" s="1"/>
      <c r="UTN219" s="1"/>
      <c r="UTO219" s="1"/>
      <c r="UTP219" s="1"/>
      <c r="UTQ219" s="1"/>
      <c r="UTR219" s="1"/>
      <c r="UTS219" s="1"/>
      <c r="UTT219" s="1"/>
      <c r="UTU219" s="1"/>
      <c r="UTV219" s="1"/>
      <c r="UTW219" s="1"/>
      <c r="UTX219" s="1"/>
      <c r="UTY219" s="1"/>
      <c r="UTZ219" s="1"/>
      <c r="UUA219" s="1"/>
      <c r="UUB219" s="1"/>
      <c r="UUC219" s="1"/>
      <c r="UUD219" s="1"/>
      <c r="UUE219" s="1"/>
      <c r="UUF219" s="1"/>
      <c r="UUG219" s="1"/>
      <c r="UUH219" s="1"/>
      <c r="UUI219" s="1"/>
      <c r="UUJ219" s="1"/>
      <c r="UUK219" s="1"/>
      <c r="UUL219" s="1"/>
      <c r="UUM219" s="1"/>
      <c r="UUN219" s="1"/>
      <c r="UUO219" s="1"/>
      <c r="UUP219" s="1"/>
      <c r="UUQ219" s="1"/>
      <c r="UUR219" s="1"/>
      <c r="UUS219" s="1"/>
      <c r="UUT219" s="1"/>
      <c r="UUU219" s="1"/>
      <c r="UUV219" s="1"/>
      <c r="UUW219" s="1"/>
      <c r="UUX219" s="1"/>
      <c r="UUY219" s="1"/>
      <c r="UUZ219" s="1"/>
      <c r="UVA219" s="1"/>
      <c r="UVB219" s="1"/>
      <c r="UVC219" s="1"/>
      <c r="UVD219" s="1"/>
      <c r="UVE219" s="1"/>
      <c r="UVF219" s="1"/>
      <c r="UVG219" s="1"/>
      <c r="UVH219" s="1"/>
      <c r="UVI219" s="1"/>
      <c r="UVJ219" s="1"/>
      <c r="UVK219" s="1"/>
      <c r="UVL219" s="1"/>
      <c r="UVM219" s="1"/>
      <c r="UVN219" s="1"/>
      <c r="UVO219" s="1"/>
      <c r="UVP219" s="1"/>
      <c r="UVQ219" s="1"/>
      <c r="UVR219" s="1"/>
      <c r="UVS219" s="1"/>
      <c r="UVT219" s="1"/>
      <c r="UVU219" s="1"/>
      <c r="UVV219" s="1"/>
      <c r="UVW219" s="1"/>
      <c r="UVX219" s="1"/>
      <c r="UVY219" s="1"/>
      <c r="UVZ219" s="1"/>
      <c r="UWA219" s="1"/>
      <c r="UWB219" s="1"/>
      <c r="UWC219" s="1"/>
      <c r="UWD219" s="1"/>
      <c r="UWE219" s="1"/>
      <c r="UWF219" s="1"/>
      <c r="UWG219" s="1"/>
      <c r="UWH219" s="1"/>
      <c r="UWI219" s="1"/>
      <c r="UWJ219" s="1"/>
      <c r="UWK219" s="1"/>
      <c r="UWL219" s="1"/>
      <c r="UWM219" s="1"/>
      <c r="UWN219" s="1"/>
      <c r="UWO219" s="1"/>
      <c r="UWP219" s="1"/>
      <c r="UWQ219" s="1"/>
      <c r="UWR219" s="1"/>
      <c r="UWS219" s="1"/>
      <c r="UWT219" s="1"/>
      <c r="UWU219" s="1"/>
      <c r="UWV219" s="1"/>
      <c r="UWW219" s="1"/>
      <c r="UWX219" s="1"/>
      <c r="UWY219" s="1"/>
      <c r="UWZ219" s="1"/>
      <c r="UXA219" s="1"/>
      <c r="UXB219" s="1"/>
      <c r="UXC219" s="1"/>
      <c r="UXD219" s="1"/>
      <c r="UXE219" s="1"/>
      <c r="UXF219" s="1"/>
      <c r="UXG219" s="1"/>
      <c r="UXH219" s="1"/>
      <c r="UXI219" s="1"/>
      <c r="UXJ219" s="1"/>
      <c r="UXK219" s="1"/>
      <c r="UXL219" s="1"/>
      <c r="UXM219" s="1"/>
      <c r="UXN219" s="1"/>
      <c r="UXO219" s="1"/>
      <c r="UXP219" s="1"/>
      <c r="UXQ219" s="1"/>
      <c r="UXR219" s="1"/>
      <c r="UXS219" s="1"/>
      <c r="UXT219" s="1"/>
      <c r="UXU219" s="1"/>
      <c r="UXV219" s="1"/>
      <c r="UXW219" s="1"/>
      <c r="UXX219" s="1"/>
      <c r="UXY219" s="1"/>
      <c r="UXZ219" s="1"/>
      <c r="UYA219" s="1"/>
      <c r="UYB219" s="1"/>
      <c r="UYC219" s="1"/>
      <c r="UYD219" s="1"/>
      <c r="UYE219" s="1"/>
      <c r="UYF219" s="1"/>
      <c r="UYG219" s="1"/>
      <c r="UYH219" s="1"/>
      <c r="UYI219" s="1"/>
      <c r="UYJ219" s="1"/>
      <c r="UYK219" s="1"/>
      <c r="UYL219" s="1"/>
      <c r="UYM219" s="1"/>
      <c r="UYN219" s="1"/>
      <c r="UYO219" s="1"/>
      <c r="UYP219" s="1"/>
      <c r="UYQ219" s="1"/>
      <c r="UYR219" s="1"/>
      <c r="UYS219" s="1"/>
      <c r="UYT219" s="1"/>
      <c r="UYU219" s="1"/>
      <c r="UYV219" s="1"/>
      <c r="UYW219" s="1"/>
      <c r="UYX219" s="1"/>
      <c r="UYY219" s="1"/>
      <c r="UYZ219" s="1"/>
      <c r="UZA219" s="1"/>
      <c r="UZB219" s="1"/>
      <c r="UZC219" s="1"/>
      <c r="UZD219" s="1"/>
      <c r="UZE219" s="1"/>
      <c r="UZF219" s="1"/>
      <c r="UZG219" s="1"/>
      <c r="UZH219" s="1"/>
      <c r="UZI219" s="1"/>
      <c r="UZJ219" s="1"/>
      <c r="UZK219" s="1"/>
      <c r="UZL219" s="1"/>
      <c r="UZM219" s="1"/>
      <c r="UZN219" s="1"/>
      <c r="UZO219" s="1"/>
      <c r="UZP219" s="1"/>
      <c r="UZQ219" s="1"/>
      <c r="UZR219" s="1"/>
      <c r="UZS219" s="1"/>
      <c r="UZT219" s="1"/>
      <c r="UZU219" s="1"/>
      <c r="UZV219" s="1"/>
      <c r="UZW219" s="1"/>
      <c r="UZX219" s="1"/>
      <c r="UZY219" s="1"/>
      <c r="UZZ219" s="1"/>
      <c r="VAA219" s="1"/>
      <c r="VAB219" s="1"/>
      <c r="VAC219" s="1"/>
      <c r="VAD219" s="1"/>
      <c r="VAE219" s="1"/>
      <c r="VAF219" s="1"/>
      <c r="VAG219" s="1"/>
      <c r="VAH219" s="1"/>
      <c r="VAI219" s="1"/>
      <c r="VAJ219" s="1"/>
      <c r="VAK219" s="1"/>
      <c r="VAL219" s="1"/>
      <c r="VAM219" s="1"/>
      <c r="VAN219" s="1"/>
      <c r="VAO219" s="1"/>
      <c r="VAP219" s="1"/>
      <c r="VAQ219" s="1"/>
      <c r="VAR219" s="1"/>
      <c r="VAS219" s="1"/>
      <c r="VAT219" s="1"/>
      <c r="VAU219" s="1"/>
      <c r="VAV219" s="1"/>
      <c r="VAW219" s="1"/>
      <c r="VAX219" s="1"/>
      <c r="VAY219" s="1"/>
      <c r="VAZ219" s="1"/>
      <c r="VBA219" s="1"/>
      <c r="VBB219" s="1"/>
      <c r="VBC219" s="1"/>
      <c r="VBD219" s="1"/>
      <c r="VBE219" s="1"/>
      <c r="VBF219" s="1"/>
      <c r="VBG219" s="1"/>
      <c r="VBH219" s="1"/>
      <c r="VBI219" s="1"/>
      <c r="VBJ219" s="1"/>
      <c r="VBK219" s="1"/>
      <c r="VBL219" s="1"/>
      <c r="VBM219" s="1"/>
      <c r="VBN219" s="1"/>
      <c r="VBO219" s="1"/>
      <c r="VBP219" s="1"/>
      <c r="VBQ219" s="1"/>
      <c r="VBR219" s="1"/>
      <c r="VBS219" s="1"/>
      <c r="VBT219" s="1"/>
      <c r="VBU219" s="1"/>
      <c r="VBV219" s="1"/>
      <c r="VBW219" s="1"/>
      <c r="VBX219" s="1"/>
      <c r="VBY219" s="1"/>
      <c r="VBZ219" s="1"/>
      <c r="VCA219" s="1"/>
      <c r="VCB219" s="1"/>
      <c r="VCC219" s="1"/>
      <c r="VCD219" s="1"/>
      <c r="VCE219" s="1"/>
      <c r="VCF219" s="1"/>
      <c r="VCG219" s="1"/>
      <c r="VCH219" s="1"/>
      <c r="VCI219" s="1"/>
      <c r="VCJ219" s="1"/>
      <c r="VCK219" s="1"/>
      <c r="VCL219" s="1"/>
      <c r="VCM219" s="1"/>
      <c r="VCN219" s="1"/>
      <c r="VCO219" s="1"/>
      <c r="VCP219" s="1"/>
      <c r="VCQ219" s="1"/>
      <c r="VCR219" s="1"/>
      <c r="VCS219" s="1"/>
      <c r="VCT219" s="1"/>
      <c r="VCU219" s="1"/>
      <c r="VCV219" s="1"/>
      <c r="VCW219" s="1"/>
    </row>
    <row r="226" spans="5:14973" s="2" customFormat="1" x14ac:dyDescent="0.3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343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5"/>
      <c r="AO226" s="5"/>
      <c r="AP226" s="1"/>
      <c r="AQ226" s="1"/>
      <c r="AR226" s="1"/>
      <c r="AT226" s="3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1"/>
      <c r="AEC226" s="1"/>
      <c r="AED226" s="1"/>
      <c r="AEE226" s="1"/>
      <c r="AEF226" s="1"/>
      <c r="AEG226" s="1"/>
      <c r="AEH226" s="1"/>
      <c r="AEI226" s="1"/>
      <c r="AEJ226" s="1"/>
      <c r="AEK226" s="1"/>
      <c r="AEL226" s="1"/>
      <c r="AEM226" s="1"/>
      <c r="AEN226" s="1"/>
      <c r="AEO226" s="1"/>
      <c r="AEP226" s="1"/>
      <c r="AEQ226" s="1"/>
      <c r="AER226" s="1"/>
      <c r="AES226" s="1"/>
      <c r="AET226" s="1"/>
      <c r="AEU226" s="1"/>
      <c r="AEV226" s="1"/>
      <c r="AEW226" s="1"/>
      <c r="AEX226" s="1"/>
      <c r="AEY226" s="1"/>
      <c r="AEZ226" s="1"/>
      <c r="AFA226" s="1"/>
      <c r="AFB226" s="1"/>
      <c r="AFC226" s="1"/>
      <c r="AFD226" s="1"/>
      <c r="AFE226" s="1"/>
      <c r="AFF226" s="1"/>
      <c r="AFG226" s="1"/>
      <c r="AFH226" s="1"/>
      <c r="AFI226" s="1"/>
      <c r="AFJ226" s="1"/>
      <c r="AFK226" s="1"/>
      <c r="AFL226" s="1"/>
      <c r="AFM226" s="1"/>
      <c r="AFN226" s="1"/>
      <c r="AFO226" s="1"/>
      <c r="AFP226" s="1"/>
      <c r="AFQ226" s="1"/>
      <c r="AFR226" s="1"/>
      <c r="AFS226" s="1"/>
      <c r="AFT226" s="1"/>
      <c r="AFU226" s="1"/>
      <c r="AFV226" s="1"/>
      <c r="AFW226" s="1"/>
      <c r="AFX226" s="1"/>
      <c r="AFY226" s="1"/>
      <c r="AFZ226" s="1"/>
      <c r="AGA226" s="1"/>
      <c r="AGB226" s="1"/>
      <c r="AGC226" s="1"/>
      <c r="AGD226" s="1"/>
      <c r="AGE226" s="1"/>
      <c r="AGF226" s="1"/>
      <c r="AGG226" s="1"/>
      <c r="AGH226" s="1"/>
      <c r="AGI226" s="1"/>
      <c r="AGJ226" s="1"/>
      <c r="AGK226" s="1"/>
      <c r="AGL226" s="1"/>
      <c r="AGM226" s="1"/>
      <c r="AGN226" s="1"/>
      <c r="AGO226" s="1"/>
      <c r="AGP226" s="1"/>
      <c r="AGQ226" s="1"/>
      <c r="AGR226" s="1"/>
      <c r="AGS226" s="1"/>
      <c r="AGT226" s="1"/>
      <c r="AGU226" s="1"/>
      <c r="AGV226" s="1"/>
      <c r="AGW226" s="1"/>
      <c r="AGX226" s="1"/>
      <c r="AGY226" s="1"/>
      <c r="AGZ226" s="1"/>
      <c r="AHA226" s="1"/>
      <c r="AHB226" s="1"/>
      <c r="AHC226" s="1"/>
      <c r="AHD226" s="1"/>
      <c r="AHE226" s="1"/>
      <c r="AHF226" s="1"/>
      <c r="AHG226" s="1"/>
      <c r="AHH226" s="1"/>
      <c r="AHI226" s="1"/>
      <c r="AHJ226" s="1"/>
      <c r="AHK226" s="1"/>
      <c r="AHL226" s="1"/>
      <c r="AHM226" s="1"/>
      <c r="AHN226" s="1"/>
      <c r="AHO226" s="1"/>
      <c r="AHP226" s="1"/>
      <c r="AHQ226" s="1"/>
      <c r="AHR226" s="1"/>
      <c r="AHS226" s="1"/>
      <c r="AHT226" s="1"/>
      <c r="AHU226" s="1"/>
      <c r="AHV226" s="1"/>
      <c r="AHW226" s="1"/>
      <c r="AHX226" s="1"/>
      <c r="AHY226" s="1"/>
      <c r="AHZ226" s="1"/>
      <c r="AIA226" s="1"/>
      <c r="AIB226" s="1"/>
      <c r="AIC226" s="1"/>
      <c r="AID226" s="1"/>
      <c r="AIE226" s="1"/>
      <c r="AIF226" s="1"/>
      <c r="AIG226" s="1"/>
      <c r="AIH226" s="1"/>
      <c r="AII226" s="1"/>
      <c r="AIJ226" s="1"/>
      <c r="AIK226" s="1"/>
      <c r="AIL226" s="1"/>
      <c r="AIM226" s="1"/>
      <c r="AIN226" s="1"/>
      <c r="AIO226" s="1"/>
      <c r="AIP226" s="1"/>
      <c r="AIQ226" s="1"/>
      <c r="AIR226" s="1"/>
      <c r="AIS226" s="1"/>
      <c r="AIT226" s="1"/>
      <c r="AIU226" s="1"/>
      <c r="AIV226" s="1"/>
      <c r="AIW226" s="1"/>
      <c r="AIX226" s="1"/>
      <c r="AIY226" s="1"/>
      <c r="AIZ226" s="1"/>
      <c r="AJA226" s="1"/>
      <c r="AJB226" s="1"/>
      <c r="AJC226" s="1"/>
      <c r="AJD226" s="1"/>
      <c r="AJE226" s="1"/>
      <c r="AJF226" s="1"/>
      <c r="AJG226" s="1"/>
      <c r="AJH226" s="1"/>
      <c r="AJI226" s="1"/>
      <c r="AJJ226" s="1"/>
      <c r="AJK226" s="1"/>
      <c r="AJL226" s="1"/>
      <c r="AJM226" s="1"/>
      <c r="AJN226" s="1"/>
      <c r="AJO226" s="1"/>
      <c r="AJP226" s="1"/>
      <c r="AJQ226" s="1"/>
      <c r="AJR226" s="1"/>
      <c r="AJS226" s="1"/>
      <c r="AJT226" s="1"/>
      <c r="AJU226" s="1"/>
      <c r="AJV226" s="1"/>
      <c r="AJW226" s="1"/>
      <c r="AJX226" s="1"/>
      <c r="AJY226" s="1"/>
      <c r="AJZ226" s="1"/>
      <c r="AKA226" s="1"/>
      <c r="AKB226" s="1"/>
      <c r="AKC226" s="1"/>
      <c r="AKD226" s="1"/>
      <c r="AKE226" s="1"/>
      <c r="AKF226" s="1"/>
      <c r="AKG226" s="1"/>
      <c r="AKH226" s="1"/>
      <c r="AKI226" s="1"/>
      <c r="AKJ226" s="1"/>
      <c r="AKK226" s="1"/>
      <c r="AKL226" s="1"/>
      <c r="AKM226" s="1"/>
      <c r="AKN226" s="1"/>
      <c r="AKO226" s="1"/>
      <c r="AKP226" s="1"/>
      <c r="AKQ226" s="1"/>
      <c r="AKR226" s="1"/>
      <c r="AKS226" s="1"/>
      <c r="AKT226" s="1"/>
      <c r="AKU226" s="1"/>
      <c r="AKV226" s="1"/>
      <c r="AKW226" s="1"/>
      <c r="AKX226" s="1"/>
      <c r="AKY226" s="1"/>
      <c r="AKZ226" s="1"/>
      <c r="ALA226" s="1"/>
      <c r="ALB226" s="1"/>
      <c r="ALC226" s="1"/>
      <c r="ALD226" s="1"/>
      <c r="ALE226" s="1"/>
      <c r="ALF226" s="1"/>
      <c r="ALG226" s="1"/>
      <c r="ALH226" s="1"/>
      <c r="ALI226" s="1"/>
      <c r="ALJ226" s="1"/>
      <c r="ALK226" s="1"/>
      <c r="ALL226" s="1"/>
      <c r="ALM226" s="1"/>
      <c r="ALN226" s="1"/>
      <c r="ALO226" s="1"/>
      <c r="ALP226" s="1"/>
      <c r="ALQ226" s="1"/>
      <c r="ALR226" s="1"/>
      <c r="ALS226" s="1"/>
      <c r="ALT226" s="1"/>
      <c r="ALU226" s="1"/>
      <c r="ALV226" s="1"/>
      <c r="ALW226" s="1"/>
      <c r="ALX226" s="1"/>
      <c r="ALY226" s="1"/>
      <c r="ALZ226" s="1"/>
      <c r="AMA226" s="1"/>
      <c r="AMB226" s="1"/>
      <c r="AMC226" s="1"/>
      <c r="AMD226" s="1"/>
      <c r="AME226" s="1"/>
      <c r="AMF226" s="1"/>
      <c r="AMG226" s="1"/>
      <c r="AMH226" s="1"/>
      <c r="AMI226" s="1"/>
      <c r="AMJ226" s="1"/>
      <c r="AMK226" s="1"/>
      <c r="AML226" s="1"/>
      <c r="AMM226" s="1"/>
      <c r="AMN226" s="1"/>
      <c r="AMO226" s="1"/>
      <c r="AMP226" s="1"/>
      <c r="AMQ226" s="1"/>
      <c r="AMR226" s="1"/>
      <c r="AMS226" s="1"/>
      <c r="AMT226" s="1"/>
      <c r="AMU226" s="1"/>
      <c r="AMV226" s="1"/>
      <c r="AMW226" s="1"/>
      <c r="AMX226" s="1"/>
      <c r="AMY226" s="1"/>
      <c r="AMZ226" s="1"/>
      <c r="ANA226" s="1"/>
      <c r="ANB226" s="1"/>
      <c r="ANC226" s="1"/>
      <c r="AND226" s="1"/>
      <c r="ANE226" s="1"/>
      <c r="ANF226" s="1"/>
      <c r="ANG226" s="1"/>
      <c r="ANH226" s="1"/>
      <c r="ANI226" s="1"/>
      <c r="ANJ226" s="1"/>
      <c r="ANK226" s="1"/>
      <c r="ANL226" s="1"/>
      <c r="ANM226" s="1"/>
      <c r="ANN226" s="1"/>
      <c r="ANO226" s="1"/>
      <c r="ANP226" s="1"/>
      <c r="ANQ226" s="1"/>
      <c r="ANR226" s="1"/>
      <c r="ANS226" s="1"/>
      <c r="ANT226" s="1"/>
      <c r="ANU226" s="1"/>
      <c r="ANV226" s="1"/>
      <c r="ANW226" s="1"/>
      <c r="ANX226" s="1"/>
      <c r="ANY226" s="1"/>
      <c r="ANZ226" s="1"/>
      <c r="AOA226" s="1"/>
      <c r="AOB226" s="1"/>
      <c r="AOC226" s="1"/>
      <c r="AOD226" s="1"/>
      <c r="AOE226" s="1"/>
      <c r="AOF226" s="1"/>
      <c r="AOG226" s="1"/>
      <c r="AOH226" s="1"/>
      <c r="AOI226" s="1"/>
      <c r="AOJ226" s="1"/>
      <c r="AOK226" s="1"/>
      <c r="AOL226" s="1"/>
      <c r="AOM226" s="1"/>
      <c r="AON226" s="1"/>
      <c r="AOO226" s="1"/>
      <c r="AOP226" s="1"/>
      <c r="AOQ226" s="1"/>
      <c r="AOR226" s="1"/>
      <c r="AOS226" s="1"/>
      <c r="AOT226" s="1"/>
      <c r="AOU226" s="1"/>
      <c r="AOV226" s="1"/>
      <c r="AOW226" s="1"/>
      <c r="AOX226" s="1"/>
      <c r="AOY226" s="1"/>
      <c r="AOZ226" s="1"/>
      <c r="APA226" s="1"/>
      <c r="APB226" s="1"/>
      <c r="APC226" s="1"/>
      <c r="APD226" s="1"/>
      <c r="APE226" s="1"/>
      <c r="APF226" s="1"/>
      <c r="APG226" s="1"/>
      <c r="APH226" s="1"/>
      <c r="API226" s="1"/>
      <c r="APJ226" s="1"/>
      <c r="APK226" s="1"/>
      <c r="APL226" s="1"/>
      <c r="APM226" s="1"/>
      <c r="APN226" s="1"/>
      <c r="APO226" s="1"/>
      <c r="APP226" s="1"/>
      <c r="APQ226" s="1"/>
      <c r="APR226" s="1"/>
      <c r="APS226" s="1"/>
      <c r="APT226" s="1"/>
      <c r="APU226" s="1"/>
      <c r="APV226" s="1"/>
      <c r="APW226" s="1"/>
      <c r="APX226" s="1"/>
      <c r="APY226" s="1"/>
      <c r="APZ226" s="1"/>
      <c r="AQA226" s="1"/>
      <c r="AQB226" s="1"/>
      <c r="AQC226" s="1"/>
      <c r="AQD226" s="1"/>
      <c r="AQE226" s="1"/>
      <c r="AQF226" s="1"/>
      <c r="AQG226" s="1"/>
      <c r="AQH226" s="1"/>
      <c r="AQI226" s="1"/>
      <c r="AQJ226" s="1"/>
      <c r="AQK226" s="1"/>
      <c r="AQL226" s="1"/>
      <c r="AQM226" s="1"/>
      <c r="AQN226" s="1"/>
      <c r="AQO226" s="1"/>
      <c r="AQP226" s="1"/>
      <c r="AQQ226" s="1"/>
      <c r="AQR226" s="1"/>
      <c r="AQS226" s="1"/>
      <c r="AQT226" s="1"/>
      <c r="AQU226" s="1"/>
      <c r="AQV226" s="1"/>
      <c r="AQW226" s="1"/>
      <c r="AQX226" s="1"/>
      <c r="AQY226" s="1"/>
      <c r="AQZ226" s="1"/>
      <c r="ARA226" s="1"/>
      <c r="ARB226" s="1"/>
      <c r="ARC226" s="1"/>
      <c r="ARD226" s="1"/>
      <c r="ARE226" s="1"/>
      <c r="ARF226" s="1"/>
      <c r="ARG226" s="1"/>
      <c r="ARH226" s="1"/>
      <c r="ARI226" s="1"/>
      <c r="ARJ226" s="1"/>
      <c r="ARK226" s="1"/>
      <c r="ARL226" s="1"/>
      <c r="ARM226" s="1"/>
      <c r="ARN226" s="1"/>
      <c r="ARO226" s="1"/>
      <c r="ARP226" s="1"/>
      <c r="ARQ226" s="1"/>
      <c r="ARR226" s="1"/>
      <c r="ARS226" s="1"/>
      <c r="ART226" s="1"/>
      <c r="ARU226" s="1"/>
      <c r="ARV226" s="1"/>
      <c r="ARW226" s="1"/>
      <c r="ARX226" s="1"/>
      <c r="ARY226" s="1"/>
      <c r="ARZ226" s="1"/>
      <c r="ASA226" s="1"/>
      <c r="ASB226" s="1"/>
      <c r="ASC226" s="1"/>
      <c r="ASD226" s="1"/>
      <c r="ASE226" s="1"/>
      <c r="ASF226" s="1"/>
      <c r="ASG226" s="1"/>
      <c r="ASH226" s="1"/>
      <c r="ASI226" s="1"/>
      <c r="ASJ226" s="1"/>
      <c r="ASK226" s="1"/>
      <c r="ASL226" s="1"/>
      <c r="ASM226" s="1"/>
      <c r="ASN226" s="1"/>
      <c r="ASO226" s="1"/>
      <c r="ASP226" s="1"/>
      <c r="ASQ226" s="1"/>
      <c r="ASR226" s="1"/>
      <c r="ASS226" s="1"/>
      <c r="AST226" s="1"/>
      <c r="ASU226" s="1"/>
      <c r="ASV226" s="1"/>
      <c r="ASW226" s="1"/>
      <c r="ASX226" s="1"/>
      <c r="ASY226" s="1"/>
      <c r="ASZ226" s="1"/>
      <c r="ATA226" s="1"/>
      <c r="ATB226" s="1"/>
      <c r="ATC226" s="1"/>
      <c r="ATD226" s="1"/>
      <c r="ATE226" s="1"/>
      <c r="ATF226" s="1"/>
      <c r="ATG226" s="1"/>
      <c r="ATH226" s="1"/>
      <c r="ATI226" s="1"/>
      <c r="ATJ226" s="1"/>
      <c r="ATK226" s="1"/>
      <c r="ATL226" s="1"/>
      <c r="ATM226" s="1"/>
      <c r="ATN226" s="1"/>
      <c r="ATO226" s="1"/>
      <c r="ATP226" s="1"/>
      <c r="ATQ226" s="1"/>
      <c r="ATR226" s="1"/>
      <c r="ATS226" s="1"/>
      <c r="ATT226" s="1"/>
      <c r="ATU226" s="1"/>
      <c r="ATV226" s="1"/>
      <c r="ATW226" s="1"/>
      <c r="ATX226" s="1"/>
      <c r="ATY226" s="1"/>
      <c r="ATZ226" s="1"/>
      <c r="AUA226" s="1"/>
      <c r="AUB226" s="1"/>
      <c r="AUC226" s="1"/>
      <c r="AUD226" s="1"/>
      <c r="AUE226" s="1"/>
      <c r="AUF226" s="1"/>
      <c r="AUG226" s="1"/>
      <c r="AUH226" s="1"/>
      <c r="AUI226" s="1"/>
      <c r="AUJ226" s="1"/>
      <c r="AUK226" s="1"/>
      <c r="AUL226" s="1"/>
      <c r="AUM226" s="1"/>
      <c r="AUN226" s="1"/>
      <c r="AUO226" s="1"/>
      <c r="AUP226" s="1"/>
      <c r="AUQ226" s="1"/>
      <c r="AUR226" s="1"/>
      <c r="AUS226" s="1"/>
      <c r="AUT226" s="1"/>
      <c r="AUU226" s="1"/>
      <c r="AUV226" s="1"/>
      <c r="AUW226" s="1"/>
      <c r="AUX226" s="1"/>
      <c r="AUY226" s="1"/>
      <c r="AUZ226" s="1"/>
      <c r="AVA226" s="1"/>
      <c r="AVB226" s="1"/>
      <c r="AVC226" s="1"/>
      <c r="AVD226" s="1"/>
      <c r="AVE226" s="1"/>
      <c r="AVF226" s="1"/>
      <c r="AVG226" s="1"/>
      <c r="AVH226" s="1"/>
      <c r="AVI226" s="1"/>
      <c r="AVJ226" s="1"/>
      <c r="AVK226" s="1"/>
      <c r="AVL226" s="1"/>
      <c r="AVM226" s="1"/>
      <c r="AVN226" s="1"/>
      <c r="AVO226" s="1"/>
      <c r="AVP226" s="1"/>
      <c r="AVQ226" s="1"/>
      <c r="AVR226" s="1"/>
      <c r="AVS226" s="1"/>
      <c r="AVT226" s="1"/>
      <c r="AVU226" s="1"/>
      <c r="AVV226" s="1"/>
      <c r="AVW226" s="1"/>
      <c r="AVX226" s="1"/>
      <c r="AVY226" s="1"/>
      <c r="AVZ226" s="1"/>
      <c r="AWA226" s="1"/>
      <c r="AWB226" s="1"/>
      <c r="AWC226" s="1"/>
      <c r="AWD226" s="1"/>
      <c r="AWE226" s="1"/>
      <c r="AWF226" s="1"/>
      <c r="AWG226" s="1"/>
      <c r="AWH226" s="1"/>
      <c r="AWI226" s="1"/>
      <c r="AWJ226" s="1"/>
      <c r="AWK226" s="1"/>
      <c r="AWL226" s="1"/>
      <c r="AWM226" s="1"/>
      <c r="AWN226" s="1"/>
      <c r="AWO226" s="1"/>
      <c r="AWP226" s="1"/>
      <c r="AWQ226" s="1"/>
      <c r="AWR226" s="1"/>
      <c r="AWS226" s="1"/>
      <c r="AWT226" s="1"/>
      <c r="AWU226" s="1"/>
      <c r="AWV226" s="1"/>
      <c r="AWW226" s="1"/>
      <c r="AWX226" s="1"/>
      <c r="AWY226" s="1"/>
      <c r="AWZ226" s="1"/>
      <c r="AXA226" s="1"/>
      <c r="AXB226" s="1"/>
      <c r="AXC226" s="1"/>
      <c r="AXD226" s="1"/>
      <c r="AXE226" s="1"/>
      <c r="AXF226" s="1"/>
      <c r="AXG226" s="1"/>
      <c r="AXH226" s="1"/>
      <c r="AXI226" s="1"/>
      <c r="AXJ226" s="1"/>
      <c r="AXK226" s="1"/>
      <c r="AXL226" s="1"/>
      <c r="AXM226" s="1"/>
      <c r="AXN226" s="1"/>
      <c r="AXO226" s="1"/>
      <c r="AXP226" s="1"/>
      <c r="AXQ226" s="1"/>
      <c r="AXR226" s="1"/>
      <c r="AXS226" s="1"/>
      <c r="AXT226" s="1"/>
      <c r="AXU226" s="1"/>
      <c r="AXV226" s="1"/>
      <c r="AXW226" s="1"/>
      <c r="AXX226" s="1"/>
      <c r="AXY226" s="1"/>
      <c r="AXZ226" s="1"/>
      <c r="AYA226" s="1"/>
      <c r="AYB226" s="1"/>
      <c r="AYC226" s="1"/>
      <c r="AYD226" s="1"/>
      <c r="AYE226" s="1"/>
      <c r="AYF226" s="1"/>
      <c r="AYG226" s="1"/>
      <c r="AYH226" s="1"/>
      <c r="AYI226" s="1"/>
      <c r="AYJ226" s="1"/>
      <c r="AYK226" s="1"/>
      <c r="AYL226" s="1"/>
      <c r="AYM226" s="1"/>
      <c r="AYN226" s="1"/>
      <c r="AYO226" s="1"/>
      <c r="AYP226" s="1"/>
      <c r="AYQ226" s="1"/>
      <c r="AYR226" s="1"/>
      <c r="AYS226" s="1"/>
      <c r="AYT226" s="1"/>
      <c r="AYU226" s="1"/>
      <c r="AYV226" s="1"/>
      <c r="AYW226" s="1"/>
      <c r="AYX226" s="1"/>
      <c r="AYY226" s="1"/>
      <c r="AYZ226" s="1"/>
      <c r="AZA226" s="1"/>
      <c r="AZB226" s="1"/>
      <c r="AZC226" s="1"/>
      <c r="AZD226" s="1"/>
      <c r="AZE226" s="1"/>
      <c r="AZF226" s="1"/>
      <c r="AZG226" s="1"/>
      <c r="AZH226" s="1"/>
      <c r="AZI226" s="1"/>
      <c r="AZJ226" s="1"/>
      <c r="AZK226" s="1"/>
      <c r="AZL226" s="1"/>
      <c r="AZM226" s="1"/>
      <c r="AZN226" s="1"/>
      <c r="AZO226" s="1"/>
      <c r="AZP226" s="1"/>
      <c r="AZQ226" s="1"/>
      <c r="AZR226" s="1"/>
      <c r="AZS226" s="1"/>
      <c r="AZT226" s="1"/>
      <c r="AZU226" s="1"/>
      <c r="AZV226" s="1"/>
      <c r="AZW226" s="1"/>
      <c r="AZX226" s="1"/>
      <c r="AZY226" s="1"/>
      <c r="AZZ226" s="1"/>
      <c r="BAA226" s="1"/>
      <c r="BAB226" s="1"/>
      <c r="BAC226" s="1"/>
      <c r="BAD226" s="1"/>
      <c r="BAE226" s="1"/>
      <c r="BAF226" s="1"/>
      <c r="BAG226" s="1"/>
      <c r="BAH226" s="1"/>
      <c r="BAI226" s="1"/>
      <c r="BAJ226" s="1"/>
      <c r="BAK226" s="1"/>
      <c r="BAL226" s="1"/>
      <c r="BAM226" s="1"/>
      <c r="BAN226" s="1"/>
      <c r="BAO226" s="1"/>
      <c r="BAP226" s="1"/>
      <c r="BAQ226" s="1"/>
      <c r="BAR226" s="1"/>
      <c r="BAS226" s="1"/>
      <c r="BAT226" s="1"/>
      <c r="BAU226" s="1"/>
      <c r="BAV226" s="1"/>
      <c r="BAW226" s="1"/>
      <c r="BAX226" s="1"/>
      <c r="BAY226" s="1"/>
      <c r="BAZ226" s="1"/>
      <c r="BBA226" s="1"/>
      <c r="BBB226" s="1"/>
      <c r="BBC226" s="1"/>
      <c r="BBD226" s="1"/>
      <c r="BBE226" s="1"/>
      <c r="BBF226" s="1"/>
      <c r="BBG226" s="1"/>
      <c r="BBH226" s="1"/>
      <c r="BBI226" s="1"/>
      <c r="BBJ226" s="1"/>
      <c r="BBK226" s="1"/>
      <c r="BBL226" s="1"/>
      <c r="BBM226" s="1"/>
      <c r="BBN226" s="1"/>
      <c r="BBO226" s="1"/>
      <c r="BBP226" s="1"/>
      <c r="BBQ226" s="1"/>
      <c r="BBR226" s="1"/>
      <c r="BBS226" s="1"/>
      <c r="BBT226" s="1"/>
      <c r="BBU226" s="1"/>
      <c r="BBV226" s="1"/>
      <c r="BBW226" s="1"/>
      <c r="BBX226" s="1"/>
      <c r="BBY226" s="1"/>
      <c r="BBZ226" s="1"/>
      <c r="BCA226" s="1"/>
      <c r="BCB226" s="1"/>
      <c r="BCC226" s="1"/>
      <c r="BCD226" s="1"/>
      <c r="BCE226" s="1"/>
      <c r="BCF226" s="1"/>
      <c r="BCG226" s="1"/>
      <c r="BCH226" s="1"/>
      <c r="BCI226" s="1"/>
      <c r="BCJ226" s="1"/>
      <c r="BCK226" s="1"/>
      <c r="BCL226" s="1"/>
      <c r="BCM226" s="1"/>
      <c r="BCN226" s="1"/>
      <c r="BCO226" s="1"/>
      <c r="BCP226" s="1"/>
      <c r="BCQ226" s="1"/>
      <c r="BCR226" s="1"/>
      <c r="BCS226" s="1"/>
      <c r="BCT226" s="1"/>
      <c r="BCU226" s="1"/>
      <c r="BCV226" s="1"/>
      <c r="BCW226" s="1"/>
      <c r="BCX226" s="1"/>
      <c r="BCY226" s="1"/>
      <c r="BCZ226" s="1"/>
      <c r="BDA226" s="1"/>
      <c r="BDB226" s="1"/>
      <c r="BDC226" s="1"/>
      <c r="BDD226" s="1"/>
      <c r="BDE226" s="1"/>
      <c r="BDF226" s="1"/>
      <c r="BDG226" s="1"/>
      <c r="BDH226" s="1"/>
      <c r="BDI226" s="1"/>
      <c r="BDJ226" s="1"/>
      <c r="BDK226" s="1"/>
      <c r="BDL226" s="1"/>
      <c r="BDM226" s="1"/>
      <c r="BDN226" s="1"/>
      <c r="BDO226" s="1"/>
      <c r="BDP226" s="1"/>
      <c r="BDQ226" s="1"/>
      <c r="BDR226" s="1"/>
      <c r="BDS226" s="1"/>
      <c r="BDT226" s="1"/>
      <c r="BDU226" s="1"/>
      <c r="BDV226" s="1"/>
      <c r="BDW226" s="1"/>
      <c r="BDX226" s="1"/>
      <c r="BDY226" s="1"/>
      <c r="BDZ226" s="1"/>
      <c r="BEA226" s="1"/>
      <c r="BEB226" s="1"/>
      <c r="BEC226" s="1"/>
      <c r="BED226" s="1"/>
      <c r="BEE226" s="1"/>
      <c r="BEF226" s="1"/>
      <c r="BEG226" s="1"/>
      <c r="BEH226" s="1"/>
      <c r="BEI226" s="1"/>
      <c r="BEJ226" s="1"/>
      <c r="BEK226" s="1"/>
      <c r="BEL226" s="1"/>
      <c r="BEM226" s="1"/>
      <c r="BEN226" s="1"/>
      <c r="BEO226" s="1"/>
      <c r="BEP226" s="1"/>
      <c r="BEQ226" s="1"/>
      <c r="BER226" s="1"/>
      <c r="BES226" s="1"/>
      <c r="BET226" s="1"/>
      <c r="BEU226" s="1"/>
      <c r="BEV226" s="1"/>
      <c r="BEW226" s="1"/>
      <c r="BEX226" s="1"/>
      <c r="BEY226" s="1"/>
      <c r="BEZ226" s="1"/>
      <c r="BFA226" s="1"/>
      <c r="BFB226" s="1"/>
      <c r="BFC226" s="1"/>
      <c r="BFD226" s="1"/>
      <c r="BFE226" s="1"/>
      <c r="BFF226" s="1"/>
      <c r="BFG226" s="1"/>
      <c r="BFH226" s="1"/>
      <c r="BFI226" s="1"/>
      <c r="BFJ226" s="1"/>
      <c r="BFK226" s="1"/>
      <c r="BFL226" s="1"/>
      <c r="BFM226" s="1"/>
      <c r="BFN226" s="1"/>
      <c r="BFO226" s="1"/>
      <c r="BFP226" s="1"/>
      <c r="BFQ226" s="1"/>
      <c r="BFR226" s="1"/>
      <c r="BFS226" s="1"/>
      <c r="BFT226" s="1"/>
      <c r="BFU226" s="1"/>
      <c r="BFV226" s="1"/>
      <c r="BFW226" s="1"/>
      <c r="BFX226" s="1"/>
      <c r="BFY226" s="1"/>
      <c r="BFZ226" s="1"/>
      <c r="BGA226" s="1"/>
      <c r="BGB226" s="1"/>
      <c r="BGC226" s="1"/>
      <c r="BGD226" s="1"/>
      <c r="BGE226" s="1"/>
      <c r="BGF226" s="1"/>
      <c r="BGG226" s="1"/>
      <c r="BGH226" s="1"/>
      <c r="BGI226" s="1"/>
      <c r="BGJ226" s="1"/>
      <c r="BGK226" s="1"/>
      <c r="BGL226" s="1"/>
      <c r="BGM226" s="1"/>
      <c r="BGN226" s="1"/>
      <c r="BGO226" s="1"/>
      <c r="BGP226" s="1"/>
      <c r="BGQ226" s="1"/>
      <c r="BGR226" s="1"/>
      <c r="BGS226" s="1"/>
      <c r="BGT226" s="1"/>
      <c r="BGU226" s="1"/>
      <c r="BGV226" s="1"/>
      <c r="BGW226" s="1"/>
      <c r="BGX226" s="1"/>
      <c r="BGY226" s="1"/>
      <c r="BGZ226" s="1"/>
      <c r="BHA226" s="1"/>
      <c r="BHB226" s="1"/>
      <c r="BHC226" s="1"/>
      <c r="BHD226" s="1"/>
      <c r="BHE226" s="1"/>
      <c r="BHF226" s="1"/>
      <c r="BHG226" s="1"/>
      <c r="BHH226" s="1"/>
      <c r="BHI226" s="1"/>
      <c r="BHJ226" s="1"/>
      <c r="BHK226" s="1"/>
      <c r="BHL226" s="1"/>
      <c r="BHM226" s="1"/>
      <c r="BHN226" s="1"/>
      <c r="BHO226" s="1"/>
      <c r="BHP226" s="1"/>
      <c r="BHQ226" s="1"/>
      <c r="BHR226" s="1"/>
      <c r="BHS226" s="1"/>
      <c r="BHT226" s="1"/>
      <c r="BHU226" s="1"/>
      <c r="BHV226" s="1"/>
      <c r="BHW226" s="1"/>
      <c r="BHX226" s="1"/>
      <c r="BHY226" s="1"/>
      <c r="BHZ226" s="1"/>
      <c r="BIA226" s="1"/>
      <c r="BIB226" s="1"/>
      <c r="BIC226" s="1"/>
      <c r="BID226" s="1"/>
      <c r="BIE226" s="1"/>
      <c r="BIF226" s="1"/>
      <c r="BIG226" s="1"/>
      <c r="BIH226" s="1"/>
      <c r="BII226" s="1"/>
      <c r="BIJ226" s="1"/>
      <c r="BIK226" s="1"/>
      <c r="BIL226" s="1"/>
      <c r="BIM226" s="1"/>
      <c r="BIN226" s="1"/>
      <c r="BIO226" s="1"/>
      <c r="BIP226" s="1"/>
      <c r="BIQ226" s="1"/>
      <c r="BIR226" s="1"/>
      <c r="BIS226" s="1"/>
      <c r="BIT226" s="1"/>
      <c r="BIU226" s="1"/>
      <c r="BIV226" s="1"/>
      <c r="BIW226" s="1"/>
      <c r="BIX226" s="1"/>
      <c r="BIY226" s="1"/>
      <c r="BIZ226" s="1"/>
      <c r="BJA226" s="1"/>
      <c r="BJB226" s="1"/>
      <c r="BJC226" s="1"/>
      <c r="BJD226" s="1"/>
      <c r="BJE226" s="1"/>
      <c r="BJF226" s="1"/>
      <c r="BJG226" s="1"/>
      <c r="BJH226" s="1"/>
      <c r="BJI226" s="1"/>
      <c r="BJJ226" s="1"/>
      <c r="BJK226" s="1"/>
      <c r="BJL226" s="1"/>
      <c r="BJM226" s="1"/>
      <c r="BJN226" s="1"/>
      <c r="BJO226" s="1"/>
      <c r="BJP226" s="1"/>
      <c r="BJQ226" s="1"/>
      <c r="BJR226" s="1"/>
      <c r="BJS226" s="1"/>
      <c r="BJT226" s="1"/>
      <c r="BJU226" s="1"/>
      <c r="BJV226" s="1"/>
      <c r="BJW226" s="1"/>
      <c r="BJX226" s="1"/>
      <c r="BJY226" s="1"/>
      <c r="BJZ226" s="1"/>
      <c r="BKA226" s="1"/>
      <c r="BKB226" s="1"/>
      <c r="BKC226" s="1"/>
      <c r="BKD226" s="1"/>
      <c r="BKE226" s="1"/>
      <c r="BKF226" s="1"/>
      <c r="BKG226" s="1"/>
      <c r="BKH226" s="1"/>
      <c r="BKI226" s="1"/>
      <c r="BKJ226" s="1"/>
      <c r="BKK226" s="1"/>
      <c r="BKL226" s="1"/>
      <c r="BKM226" s="1"/>
      <c r="BKN226" s="1"/>
      <c r="BKO226" s="1"/>
      <c r="BKP226" s="1"/>
      <c r="BKQ226" s="1"/>
      <c r="BKR226" s="1"/>
      <c r="BKS226" s="1"/>
      <c r="BKT226" s="1"/>
      <c r="BKU226" s="1"/>
      <c r="BKV226" s="1"/>
      <c r="BKW226" s="1"/>
      <c r="BKX226" s="1"/>
      <c r="BKY226" s="1"/>
      <c r="BKZ226" s="1"/>
      <c r="BLA226" s="1"/>
      <c r="BLB226" s="1"/>
      <c r="BLC226" s="1"/>
      <c r="BLD226" s="1"/>
      <c r="BLE226" s="1"/>
      <c r="BLF226" s="1"/>
      <c r="BLG226" s="1"/>
      <c r="BLH226" s="1"/>
      <c r="BLI226" s="1"/>
      <c r="BLJ226" s="1"/>
      <c r="BLK226" s="1"/>
      <c r="BLL226" s="1"/>
      <c r="BLM226" s="1"/>
      <c r="BLN226" s="1"/>
      <c r="BLO226" s="1"/>
      <c r="BLP226" s="1"/>
      <c r="BLQ226" s="1"/>
      <c r="BLR226" s="1"/>
      <c r="BLS226" s="1"/>
      <c r="BLT226" s="1"/>
      <c r="BLU226" s="1"/>
      <c r="BLV226" s="1"/>
      <c r="BLW226" s="1"/>
      <c r="BLX226" s="1"/>
      <c r="BLY226" s="1"/>
      <c r="BLZ226" s="1"/>
      <c r="BMA226" s="1"/>
      <c r="BMB226" s="1"/>
      <c r="BMC226" s="1"/>
      <c r="BMD226" s="1"/>
      <c r="BME226" s="1"/>
      <c r="BMF226" s="1"/>
      <c r="BMG226" s="1"/>
      <c r="BMH226" s="1"/>
      <c r="BMI226" s="1"/>
      <c r="BMJ226" s="1"/>
      <c r="BMK226" s="1"/>
      <c r="BML226" s="1"/>
      <c r="BMM226" s="1"/>
      <c r="BMN226" s="1"/>
      <c r="BMO226" s="1"/>
      <c r="BMP226" s="1"/>
      <c r="BMQ226" s="1"/>
      <c r="BMR226" s="1"/>
      <c r="BMS226" s="1"/>
      <c r="BMT226" s="1"/>
      <c r="BMU226" s="1"/>
      <c r="BMV226" s="1"/>
      <c r="BMW226" s="1"/>
      <c r="BMX226" s="1"/>
      <c r="BMY226" s="1"/>
      <c r="BMZ226" s="1"/>
      <c r="BNA226" s="1"/>
      <c r="BNB226" s="1"/>
      <c r="BNC226" s="1"/>
      <c r="BND226" s="1"/>
      <c r="BNE226" s="1"/>
      <c r="BNF226" s="1"/>
      <c r="BNG226" s="1"/>
      <c r="BNH226" s="1"/>
      <c r="BNI226" s="1"/>
      <c r="BNJ226" s="1"/>
      <c r="BNK226" s="1"/>
      <c r="BNL226" s="1"/>
      <c r="BNM226" s="1"/>
      <c r="BNN226" s="1"/>
      <c r="BNO226" s="1"/>
      <c r="BNP226" s="1"/>
      <c r="BNQ226" s="1"/>
      <c r="BNR226" s="1"/>
      <c r="BNS226" s="1"/>
      <c r="BNT226" s="1"/>
      <c r="BNU226" s="1"/>
      <c r="BNV226" s="1"/>
      <c r="BNW226" s="1"/>
      <c r="BNX226" s="1"/>
      <c r="BNY226" s="1"/>
      <c r="BNZ226" s="1"/>
      <c r="BOA226" s="1"/>
      <c r="BOB226" s="1"/>
      <c r="BOC226" s="1"/>
      <c r="BOD226" s="1"/>
      <c r="BOE226" s="1"/>
      <c r="BOF226" s="1"/>
      <c r="BOG226" s="1"/>
      <c r="BOH226" s="1"/>
      <c r="BOI226" s="1"/>
      <c r="BOJ226" s="1"/>
      <c r="BOK226" s="1"/>
      <c r="BOL226" s="1"/>
      <c r="BOM226" s="1"/>
      <c r="BON226" s="1"/>
      <c r="BOO226" s="1"/>
      <c r="BOP226" s="1"/>
      <c r="BOQ226" s="1"/>
      <c r="BOR226" s="1"/>
      <c r="BOS226" s="1"/>
      <c r="BOT226" s="1"/>
      <c r="BOU226" s="1"/>
      <c r="BOV226" s="1"/>
      <c r="BOW226" s="1"/>
      <c r="BOX226" s="1"/>
      <c r="BOY226" s="1"/>
      <c r="BOZ226" s="1"/>
      <c r="BPA226" s="1"/>
      <c r="BPB226" s="1"/>
      <c r="BPC226" s="1"/>
      <c r="BPD226" s="1"/>
      <c r="BPE226" s="1"/>
      <c r="BPF226" s="1"/>
      <c r="BPG226" s="1"/>
      <c r="BPH226" s="1"/>
      <c r="BPI226" s="1"/>
      <c r="BPJ226" s="1"/>
      <c r="BPK226" s="1"/>
      <c r="BPL226" s="1"/>
      <c r="BPM226" s="1"/>
      <c r="BPN226" s="1"/>
      <c r="BPO226" s="1"/>
      <c r="BPP226" s="1"/>
      <c r="BPQ226" s="1"/>
      <c r="BPR226" s="1"/>
      <c r="BPS226" s="1"/>
      <c r="BPT226" s="1"/>
      <c r="BPU226" s="1"/>
      <c r="BPV226" s="1"/>
      <c r="BPW226" s="1"/>
      <c r="BPX226" s="1"/>
      <c r="BPY226" s="1"/>
      <c r="BPZ226" s="1"/>
      <c r="BQA226" s="1"/>
      <c r="BQB226" s="1"/>
      <c r="BQC226" s="1"/>
      <c r="BQD226" s="1"/>
      <c r="BQE226" s="1"/>
      <c r="BQF226" s="1"/>
      <c r="BQG226" s="1"/>
      <c r="BQH226" s="1"/>
      <c r="BQI226" s="1"/>
      <c r="BQJ226" s="1"/>
      <c r="BQK226" s="1"/>
      <c r="BQL226" s="1"/>
      <c r="BQM226" s="1"/>
      <c r="BQN226" s="1"/>
      <c r="BQO226" s="1"/>
      <c r="BQP226" s="1"/>
      <c r="BQQ226" s="1"/>
      <c r="BQR226" s="1"/>
      <c r="BQS226" s="1"/>
      <c r="BQT226" s="1"/>
      <c r="BQU226" s="1"/>
      <c r="BQV226" s="1"/>
      <c r="BQW226" s="1"/>
      <c r="BQX226" s="1"/>
      <c r="BQY226" s="1"/>
      <c r="BQZ226" s="1"/>
      <c r="BRA226" s="1"/>
      <c r="BRB226" s="1"/>
      <c r="BRC226" s="1"/>
      <c r="BRD226" s="1"/>
      <c r="BRE226" s="1"/>
      <c r="BRF226" s="1"/>
      <c r="BRG226" s="1"/>
      <c r="BRH226" s="1"/>
      <c r="BRI226" s="1"/>
      <c r="BRJ226" s="1"/>
      <c r="BRK226" s="1"/>
      <c r="BRL226" s="1"/>
      <c r="BRM226" s="1"/>
      <c r="BRN226" s="1"/>
      <c r="BRO226" s="1"/>
      <c r="BRP226" s="1"/>
      <c r="BRQ226" s="1"/>
      <c r="BRR226" s="1"/>
      <c r="BRS226" s="1"/>
      <c r="BRT226" s="1"/>
      <c r="BRU226" s="1"/>
      <c r="BRV226" s="1"/>
      <c r="BRW226" s="1"/>
      <c r="BRX226" s="1"/>
      <c r="BRY226" s="1"/>
      <c r="BRZ226" s="1"/>
      <c r="BSA226" s="1"/>
      <c r="BSB226" s="1"/>
      <c r="BSC226" s="1"/>
      <c r="BSD226" s="1"/>
      <c r="BSE226" s="1"/>
      <c r="BSF226" s="1"/>
      <c r="BSG226" s="1"/>
      <c r="BSH226" s="1"/>
      <c r="BSI226" s="1"/>
      <c r="BSJ226" s="1"/>
      <c r="BSK226" s="1"/>
      <c r="BSL226" s="1"/>
      <c r="BSM226" s="1"/>
      <c r="BSN226" s="1"/>
      <c r="BSO226" s="1"/>
      <c r="BSP226" s="1"/>
      <c r="BSQ226" s="1"/>
      <c r="BSR226" s="1"/>
      <c r="BSS226" s="1"/>
      <c r="BST226" s="1"/>
      <c r="BSU226" s="1"/>
      <c r="BSV226" s="1"/>
      <c r="BSW226" s="1"/>
      <c r="BSX226" s="1"/>
      <c r="BSY226" s="1"/>
      <c r="BSZ226" s="1"/>
      <c r="BTA226" s="1"/>
      <c r="BTB226" s="1"/>
      <c r="BTC226" s="1"/>
      <c r="BTD226" s="1"/>
      <c r="BTE226" s="1"/>
      <c r="BTF226" s="1"/>
      <c r="BTG226" s="1"/>
      <c r="BTH226" s="1"/>
      <c r="BTI226" s="1"/>
      <c r="BTJ226" s="1"/>
      <c r="BTK226" s="1"/>
      <c r="BTL226" s="1"/>
      <c r="BTM226" s="1"/>
      <c r="BTN226" s="1"/>
      <c r="BTO226" s="1"/>
      <c r="BTP226" s="1"/>
      <c r="BTQ226" s="1"/>
      <c r="BTR226" s="1"/>
      <c r="BTS226" s="1"/>
      <c r="BTT226" s="1"/>
      <c r="BTU226" s="1"/>
      <c r="BTV226" s="1"/>
      <c r="BTW226" s="1"/>
      <c r="BTX226" s="1"/>
      <c r="BTY226" s="1"/>
      <c r="BTZ226" s="1"/>
      <c r="BUA226" s="1"/>
      <c r="BUB226" s="1"/>
      <c r="BUC226" s="1"/>
      <c r="BUD226" s="1"/>
      <c r="BUE226" s="1"/>
      <c r="BUF226" s="1"/>
      <c r="BUG226" s="1"/>
      <c r="BUH226" s="1"/>
      <c r="BUI226" s="1"/>
      <c r="BUJ226" s="1"/>
      <c r="BUK226" s="1"/>
      <c r="BUL226" s="1"/>
      <c r="BUM226" s="1"/>
      <c r="BUN226" s="1"/>
      <c r="BUO226" s="1"/>
      <c r="BUP226" s="1"/>
      <c r="BUQ226" s="1"/>
      <c r="BUR226" s="1"/>
      <c r="BUS226" s="1"/>
      <c r="BUT226" s="1"/>
      <c r="BUU226" s="1"/>
      <c r="BUV226" s="1"/>
      <c r="BUW226" s="1"/>
      <c r="BUX226" s="1"/>
      <c r="BUY226" s="1"/>
      <c r="BUZ226" s="1"/>
      <c r="BVA226" s="1"/>
      <c r="BVB226" s="1"/>
      <c r="BVC226" s="1"/>
      <c r="BVD226" s="1"/>
      <c r="BVE226" s="1"/>
      <c r="BVF226" s="1"/>
      <c r="BVG226" s="1"/>
      <c r="BVH226" s="1"/>
      <c r="BVI226" s="1"/>
      <c r="BVJ226" s="1"/>
      <c r="BVK226" s="1"/>
      <c r="BVL226" s="1"/>
      <c r="BVM226" s="1"/>
      <c r="BVN226" s="1"/>
      <c r="BVO226" s="1"/>
      <c r="BVP226" s="1"/>
      <c r="BVQ226" s="1"/>
      <c r="BVR226" s="1"/>
      <c r="BVS226" s="1"/>
      <c r="BVT226" s="1"/>
      <c r="BVU226" s="1"/>
      <c r="BVV226" s="1"/>
      <c r="BVW226" s="1"/>
      <c r="BVX226" s="1"/>
      <c r="BVY226" s="1"/>
      <c r="BVZ226" s="1"/>
      <c r="BWA226" s="1"/>
      <c r="BWB226" s="1"/>
      <c r="BWC226" s="1"/>
      <c r="BWD226" s="1"/>
      <c r="BWE226" s="1"/>
      <c r="BWF226" s="1"/>
      <c r="BWG226" s="1"/>
      <c r="BWH226" s="1"/>
      <c r="BWI226" s="1"/>
      <c r="BWJ226" s="1"/>
      <c r="BWK226" s="1"/>
      <c r="BWL226" s="1"/>
      <c r="BWM226" s="1"/>
      <c r="BWN226" s="1"/>
      <c r="BWO226" s="1"/>
      <c r="BWP226" s="1"/>
      <c r="BWQ226" s="1"/>
      <c r="BWR226" s="1"/>
      <c r="BWS226" s="1"/>
      <c r="BWT226" s="1"/>
      <c r="BWU226" s="1"/>
      <c r="BWV226" s="1"/>
      <c r="BWW226" s="1"/>
      <c r="BWX226" s="1"/>
      <c r="BWY226" s="1"/>
      <c r="BWZ226" s="1"/>
      <c r="BXA226" s="1"/>
      <c r="BXB226" s="1"/>
      <c r="BXC226" s="1"/>
      <c r="BXD226" s="1"/>
      <c r="BXE226" s="1"/>
      <c r="BXF226" s="1"/>
      <c r="BXG226" s="1"/>
      <c r="BXH226" s="1"/>
      <c r="BXI226" s="1"/>
      <c r="BXJ226" s="1"/>
      <c r="BXK226" s="1"/>
      <c r="BXL226" s="1"/>
      <c r="BXM226" s="1"/>
      <c r="BXN226" s="1"/>
      <c r="BXO226" s="1"/>
      <c r="BXP226" s="1"/>
      <c r="BXQ226" s="1"/>
      <c r="BXR226" s="1"/>
      <c r="BXS226" s="1"/>
      <c r="BXT226" s="1"/>
      <c r="BXU226" s="1"/>
      <c r="BXV226" s="1"/>
      <c r="BXW226" s="1"/>
      <c r="BXX226" s="1"/>
      <c r="BXY226" s="1"/>
      <c r="BXZ226" s="1"/>
      <c r="BYA226" s="1"/>
      <c r="BYB226" s="1"/>
      <c r="BYC226" s="1"/>
      <c r="BYD226" s="1"/>
      <c r="BYE226" s="1"/>
      <c r="BYF226" s="1"/>
      <c r="BYG226" s="1"/>
      <c r="BYH226" s="1"/>
      <c r="BYI226" s="1"/>
      <c r="BYJ226" s="1"/>
      <c r="BYK226" s="1"/>
      <c r="BYL226" s="1"/>
      <c r="BYM226" s="1"/>
      <c r="BYN226" s="1"/>
      <c r="BYO226" s="1"/>
      <c r="BYP226" s="1"/>
      <c r="BYQ226" s="1"/>
      <c r="BYR226" s="1"/>
      <c r="BYS226" s="1"/>
      <c r="BYT226" s="1"/>
      <c r="BYU226" s="1"/>
      <c r="BYV226" s="1"/>
      <c r="BYW226" s="1"/>
      <c r="BYX226" s="1"/>
      <c r="BYY226" s="1"/>
      <c r="BYZ226" s="1"/>
      <c r="BZA226" s="1"/>
      <c r="BZB226" s="1"/>
      <c r="BZC226" s="1"/>
      <c r="BZD226" s="1"/>
      <c r="BZE226" s="1"/>
      <c r="BZF226" s="1"/>
      <c r="BZG226" s="1"/>
      <c r="BZH226" s="1"/>
      <c r="BZI226" s="1"/>
      <c r="BZJ226" s="1"/>
      <c r="BZK226" s="1"/>
      <c r="BZL226" s="1"/>
      <c r="BZM226" s="1"/>
      <c r="BZN226" s="1"/>
      <c r="BZO226" s="1"/>
      <c r="BZP226" s="1"/>
      <c r="BZQ226" s="1"/>
      <c r="BZR226" s="1"/>
      <c r="BZS226" s="1"/>
      <c r="BZT226" s="1"/>
      <c r="BZU226" s="1"/>
      <c r="BZV226" s="1"/>
      <c r="BZW226" s="1"/>
      <c r="BZX226" s="1"/>
      <c r="BZY226" s="1"/>
      <c r="BZZ226" s="1"/>
      <c r="CAA226" s="1"/>
      <c r="CAB226" s="1"/>
      <c r="CAC226" s="1"/>
      <c r="CAD226" s="1"/>
      <c r="CAE226" s="1"/>
      <c r="CAF226" s="1"/>
      <c r="CAG226" s="1"/>
      <c r="CAH226" s="1"/>
      <c r="CAI226" s="1"/>
      <c r="CAJ226" s="1"/>
      <c r="CAK226" s="1"/>
      <c r="CAL226" s="1"/>
      <c r="CAM226" s="1"/>
      <c r="CAN226" s="1"/>
      <c r="CAO226" s="1"/>
      <c r="CAP226" s="1"/>
      <c r="CAQ226" s="1"/>
      <c r="CAR226" s="1"/>
      <c r="CAS226" s="1"/>
      <c r="CAT226" s="1"/>
      <c r="CAU226" s="1"/>
      <c r="CAV226" s="1"/>
      <c r="CAW226" s="1"/>
      <c r="CAX226" s="1"/>
      <c r="CAY226" s="1"/>
      <c r="CAZ226" s="1"/>
      <c r="CBA226" s="1"/>
      <c r="CBB226" s="1"/>
      <c r="CBC226" s="1"/>
      <c r="CBD226" s="1"/>
      <c r="CBE226" s="1"/>
      <c r="CBF226" s="1"/>
      <c r="CBG226" s="1"/>
      <c r="CBH226" s="1"/>
      <c r="CBI226" s="1"/>
      <c r="CBJ226" s="1"/>
      <c r="CBK226" s="1"/>
      <c r="CBL226" s="1"/>
      <c r="CBM226" s="1"/>
      <c r="CBN226" s="1"/>
      <c r="CBO226" s="1"/>
      <c r="CBP226" s="1"/>
      <c r="CBQ226" s="1"/>
      <c r="CBR226" s="1"/>
      <c r="CBS226" s="1"/>
      <c r="CBT226" s="1"/>
      <c r="CBU226" s="1"/>
      <c r="CBV226" s="1"/>
      <c r="CBW226" s="1"/>
      <c r="CBX226" s="1"/>
      <c r="CBY226" s="1"/>
      <c r="CBZ226" s="1"/>
      <c r="CCA226" s="1"/>
      <c r="CCB226" s="1"/>
      <c r="CCC226" s="1"/>
      <c r="CCD226" s="1"/>
      <c r="CCE226" s="1"/>
      <c r="CCF226" s="1"/>
      <c r="CCG226" s="1"/>
      <c r="CCH226" s="1"/>
      <c r="CCI226" s="1"/>
      <c r="CCJ226" s="1"/>
      <c r="CCK226" s="1"/>
      <c r="CCL226" s="1"/>
      <c r="CCM226" s="1"/>
      <c r="CCN226" s="1"/>
      <c r="CCO226" s="1"/>
      <c r="CCP226" s="1"/>
      <c r="CCQ226" s="1"/>
      <c r="CCR226" s="1"/>
      <c r="CCS226" s="1"/>
      <c r="CCT226" s="1"/>
      <c r="CCU226" s="1"/>
      <c r="CCV226" s="1"/>
      <c r="CCW226" s="1"/>
      <c r="CCX226" s="1"/>
      <c r="CCY226" s="1"/>
      <c r="CCZ226" s="1"/>
      <c r="CDA226" s="1"/>
      <c r="CDB226" s="1"/>
      <c r="CDC226" s="1"/>
      <c r="CDD226" s="1"/>
      <c r="CDE226" s="1"/>
      <c r="CDF226" s="1"/>
      <c r="CDG226" s="1"/>
      <c r="CDH226" s="1"/>
      <c r="CDI226" s="1"/>
      <c r="CDJ226" s="1"/>
      <c r="CDK226" s="1"/>
      <c r="CDL226" s="1"/>
      <c r="CDM226" s="1"/>
      <c r="CDN226" s="1"/>
      <c r="CDO226" s="1"/>
      <c r="CDP226" s="1"/>
      <c r="CDQ226" s="1"/>
      <c r="CDR226" s="1"/>
      <c r="CDS226" s="1"/>
      <c r="CDT226" s="1"/>
      <c r="CDU226" s="1"/>
      <c r="CDV226" s="1"/>
      <c r="CDW226" s="1"/>
      <c r="CDX226" s="1"/>
      <c r="CDY226" s="1"/>
      <c r="CDZ226" s="1"/>
      <c r="CEA226" s="1"/>
      <c r="CEB226" s="1"/>
      <c r="CEC226" s="1"/>
      <c r="CED226" s="1"/>
      <c r="CEE226" s="1"/>
      <c r="CEF226" s="1"/>
      <c r="CEG226" s="1"/>
      <c r="CEH226" s="1"/>
      <c r="CEI226" s="1"/>
      <c r="CEJ226" s="1"/>
      <c r="CEK226" s="1"/>
      <c r="CEL226" s="1"/>
      <c r="CEM226" s="1"/>
      <c r="CEN226" s="1"/>
      <c r="CEO226" s="1"/>
      <c r="CEP226" s="1"/>
      <c r="CEQ226" s="1"/>
      <c r="CER226" s="1"/>
      <c r="CES226" s="1"/>
      <c r="CET226" s="1"/>
      <c r="CEU226" s="1"/>
      <c r="CEV226" s="1"/>
      <c r="CEW226" s="1"/>
      <c r="CEX226" s="1"/>
      <c r="CEY226" s="1"/>
      <c r="CEZ226" s="1"/>
      <c r="CFA226" s="1"/>
      <c r="CFB226" s="1"/>
      <c r="CFC226" s="1"/>
      <c r="CFD226" s="1"/>
      <c r="CFE226" s="1"/>
      <c r="CFF226" s="1"/>
      <c r="CFG226" s="1"/>
      <c r="CFH226" s="1"/>
      <c r="CFI226" s="1"/>
      <c r="CFJ226" s="1"/>
      <c r="CFK226" s="1"/>
      <c r="CFL226" s="1"/>
      <c r="CFM226" s="1"/>
      <c r="CFN226" s="1"/>
      <c r="CFO226" s="1"/>
      <c r="CFP226" s="1"/>
      <c r="CFQ226" s="1"/>
      <c r="CFR226" s="1"/>
      <c r="CFS226" s="1"/>
      <c r="CFT226" s="1"/>
      <c r="CFU226" s="1"/>
      <c r="CFV226" s="1"/>
      <c r="CFW226" s="1"/>
      <c r="CFX226" s="1"/>
      <c r="CFY226" s="1"/>
      <c r="CFZ226" s="1"/>
      <c r="CGA226" s="1"/>
      <c r="CGB226" s="1"/>
      <c r="CGC226" s="1"/>
      <c r="CGD226" s="1"/>
      <c r="CGE226" s="1"/>
      <c r="CGF226" s="1"/>
      <c r="CGG226" s="1"/>
      <c r="CGH226" s="1"/>
      <c r="CGI226" s="1"/>
      <c r="CGJ226" s="1"/>
      <c r="CGK226" s="1"/>
      <c r="CGL226" s="1"/>
      <c r="CGM226" s="1"/>
      <c r="CGN226" s="1"/>
      <c r="CGO226" s="1"/>
      <c r="CGP226" s="1"/>
      <c r="CGQ226" s="1"/>
      <c r="CGR226" s="1"/>
      <c r="CGS226" s="1"/>
      <c r="CGT226" s="1"/>
      <c r="CGU226" s="1"/>
      <c r="CGV226" s="1"/>
      <c r="CGW226" s="1"/>
      <c r="CGX226" s="1"/>
      <c r="CGY226" s="1"/>
      <c r="CGZ226" s="1"/>
      <c r="CHA226" s="1"/>
      <c r="CHB226" s="1"/>
      <c r="CHC226" s="1"/>
      <c r="CHD226" s="1"/>
      <c r="CHE226" s="1"/>
      <c r="CHF226" s="1"/>
      <c r="CHG226" s="1"/>
      <c r="CHH226" s="1"/>
      <c r="CHI226" s="1"/>
      <c r="CHJ226" s="1"/>
      <c r="CHK226" s="1"/>
      <c r="CHL226" s="1"/>
      <c r="CHM226" s="1"/>
      <c r="CHN226" s="1"/>
      <c r="CHO226" s="1"/>
      <c r="CHP226" s="1"/>
      <c r="CHQ226" s="1"/>
      <c r="CHR226" s="1"/>
      <c r="CHS226" s="1"/>
      <c r="CHT226" s="1"/>
      <c r="CHU226" s="1"/>
      <c r="CHV226" s="1"/>
      <c r="CHW226" s="1"/>
      <c r="CHX226" s="1"/>
      <c r="CHY226" s="1"/>
      <c r="CHZ226" s="1"/>
      <c r="CIA226" s="1"/>
      <c r="CIB226" s="1"/>
      <c r="CIC226" s="1"/>
      <c r="CID226" s="1"/>
      <c r="CIE226" s="1"/>
      <c r="CIF226" s="1"/>
      <c r="CIG226" s="1"/>
      <c r="CIH226" s="1"/>
      <c r="CII226" s="1"/>
      <c r="CIJ226" s="1"/>
      <c r="CIK226" s="1"/>
      <c r="CIL226" s="1"/>
      <c r="CIM226" s="1"/>
      <c r="CIN226" s="1"/>
      <c r="CIO226" s="1"/>
      <c r="CIP226" s="1"/>
      <c r="CIQ226" s="1"/>
      <c r="CIR226" s="1"/>
      <c r="CIS226" s="1"/>
      <c r="CIT226" s="1"/>
      <c r="CIU226" s="1"/>
      <c r="CIV226" s="1"/>
      <c r="CIW226" s="1"/>
      <c r="CIX226" s="1"/>
      <c r="CIY226" s="1"/>
      <c r="CIZ226" s="1"/>
      <c r="CJA226" s="1"/>
      <c r="CJB226" s="1"/>
      <c r="CJC226" s="1"/>
      <c r="CJD226" s="1"/>
      <c r="CJE226" s="1"/>
      <c r="CJF226" s="1"/>
      <c r="CJG226" s="1"/>
      <c r="CJH226" s="1"/>
      <c r="CJI226" s="1"/>
      <c r="CJJ226" s="1"/>
      <c r="CJK226" s="1"/>
      <c r="CJL226" s="1"/>
      <c r="CJM226" s="1"/>
      <c r="CJN226" s="1"/>
      <c r="CJO226" s="1"/>
      <c r="CJP226" s="1"/>
      <c r="CJQ226" s="1"/>
      <c r="CJR226" s="1"/>
      <c r="CJS226" s="1"/>
      <c r="CJT226" s="1"/>
      <c r="CJU226" s="1"/>
      <c r="CJV226" s="1"/>
      <c r="CJW226" s="1"/>
      <c r="CJX226" s="1"/>
      <c r="CJY226" s="1"/>
      <c r="CJZ226" s="1"/>
      <c r="CKA226" s="1"/>
      <c r="CKB226" s="1"/>
      <c r="CKC226" s="1"/>
      <c r="CKD226" s="1"/>
      <c r="CKE226" s="1"/>
      <c r="CKF226" s="1"/>
      <c r="CKG226" s="1"/>
      <c r="CKH226" s="1"/>
      <c r="CKI226" s="1"/>
      <c r="CKJ226" s="1"/>
      <c r="CKK226" s="1"/>
      <c r="CKL226" s="1"/>
      <c r="CKM226" s="1"/>
      <c r="CKN226" s="1"/>
      <c r="CKO226" s="1"/>
      <c r="CKP226" s="1"/>
      <c r="CKQ226" s="1"/>
      <c r="CKR226" s="1"/>
      <c r="CKS226" s="1"/>
      <c r="CKT226" s="1"/>
      <c r="CKU226" s="1"/>
      <c r="CKV226" s="1"/>
      <c r="CKW226" s="1"/>
      <c r="CKX226" s="1"/>
      <c r="CKY226" s="1"/>
      <c r="CKZ226" s="1"/>
      <c r="CLA226" s="1"/>
      <c r="CLB226" s="1"/>
      <c r="CLC226" s="1"/>
      <c r="CLD226" s="1"/>
      <c r="CLE226" s="1"/>
      <c r="CLF226" s="1"/>
      <c r="CLG226" s="1"/>
      <c r="CLH226" s="1"/>
      <c r="CLI226" s="1"/>
      <c r="CLJ226" s="1"/>
      <c r="CLK226" s="1"/>
      <c r="CLL226" s="1"/>
      <c r="CLM226" s="1"/>
      <c r="CLN226" s="1"/>
      <c r="CLO226" s="1"/>
      <c r="CLP226" s="1"/>
      <c r="CLQ226" s="1"/>
      <c r="CLR226" s="1"/>
      <c r="CLS226" s="1"/>
      <c r="CLT226" s="1"/>
      <c r="CLU226" s="1"/>
      <c r="CLV226" s="1"/>
      <c r="CLW226" s="1"/>
      <c r="CLX226" s="1"/>
      <c r="CLY226" s="1"/>
      <c r="CLZ226" s="1"/>
      <c r="CMA226" s="1"/>
      <c r="CMB226" s="1"/>
      <c r="CMC226" s="1"/>
      <c r="CMD226" s="1"/>
      <c r="CME226" s="1"/>
      <c r="CMF226" s="1"/>
      <c r="CMG226" s="1"/>
      <c r="CMH226" s="1"/>
      <c r="CMI226" s="1"/>
      <c r="CMJ226" s="1"/>
      <c r="CMK226" s="1"/>
      <c r="CML226" s="1"/>
      <c r="CMM226" s="1"/>
      <c r="CMN226" s="1"/>
      <c r="CMO226" s="1"/>
      <c r="CMP226" s="1"/>
      <c r="CMQ226" s="1"/>
      <c r="CMR226" s="1"/>
      <c r="CMS226" s="1"/>
      <c r="CMT226" s="1"/>
      <c r="CMU226" s="1"/>
      <c r="CMV226" s="1"/>
      <c r="CMW226" s="1"/>
      <c r="CMX226" s="1"/>
      <c r="CMY226" s="1"/>
      <c r="CMZ226" s="1"/>
      <c r="CNA226" s="1"/>
      <c r="CNB226" s="1"/>
      <c r="CNC226" s="1"/>
      <c r="CND226" s="1"/>
      <c r="CNE226" s="1"/>
      <c r="CNF226" s="1"/>
      <c r="CNG226" s="1"/>
      <c r="CNH226" s="1"/>
      <c r="CNI226" s="1"/>
      <c r="CNJ226" s="1"/>
      <c r="CNK226" s="1"/>
      <c r="CNL226" s="1"/>
      <c r="CNM226" s="1"/>
      <c r="CNN226" s="1"/>
      <c r="CNO226" s="1"/>
      <c r="CNP226" s="1"/>
      <c r="CNQ226" s="1"/>
      <c r="CNR226" s="1"/>
      <c r="CNS226" s="1"/>
      <c r="CNT226" s="1"/>
      <c r="CNU226" s="1"/>
      <c r="CNV226" s="1"/>
      <c r="CNW226" s="1"/>
      <c r="CNX226" s="1"/>
      <c r="CNY226" s="1"/>
      <c r="CNZ226" s="1"/>
      <c r="COA226" s="1"/>
      <c r="COB226" s="1"/>
      <c r="COC226" s="1"/>
      <c r="COD226" s="1"/>
      <c r="COE226" s="1"/>
      <c r="COF226" s="1"/>
      <c r="COG226" s="1"/>
      <c r="COH226" s="1"/>
      <c r="COI226" s="1"/>
      <c r="COJ226" s="1"/>
      <c r="COK226" s="1"/>
      <c r="COL226" s="1"/>
      <c r="COM226" s="1"/>
      <c r="CON226" s="1"/>
      <c r="COO226" s="1"/>
      <c r="COP226" s="1"/>
      <c r="COQ226" s="1"/>
      <c r="COR226" s="1"/>
      <c r="COS226" s="1"/>
      <c r="COT226" s="1"/>
      <c r="COU226" s="1"/>
      <c r="COV226" s="1"/>
      <c r="COW226" s="1"/>
      <c r="COX226" s="1"/>
      <c r="COY226" s="1"/>
      <c r="COZ226" s="1"/>
      <c r="CPA226" s="1"/>
      <c r="CPB226" s="1"/>
      <c r="CPC226" s="1"/>
      <c r="CPD226" s="1"/>
      <c r="CPE226" s="1"/>
      <c r="CPF226" s="1"/>
      <c r="CPG226" s="1"/>
      <c r="CPH226" s="1"/>
      <c r="CPI226" s="1"/>
      <c r="CPJ226" s="1"/>
      <c r="CPK226" s="1"/>
      <c r="CPL226" s="1"/>
      <c r="CPM226" s="1"/>
      <c r="CPN226" s="1"/>
      <c r="CPO226" s="1"/>
      <c r="CPP226" s="1"/>
      <c r="CPQ226" s="1"/>
      <c r="CPR226" s="1"/>
      <c r="CPS226" s="1"/>
      <c r="CPT226" s="1"/>
      <c r="CPU226" s="1"/>
      <c r="CPV226" s="1"/>
      <c r="CPW226" s="1"/>
      <c r="CPX226" s="1"/>
      <c r="CPY226" s="1"/>
      <c r="CPZ226" s="1"/>
      <c r="CQA226" s="1"/>
      <c r="CQB226" s="1"/>
      <c r="CQC226" s="1"/>
      <c r="CQD226" s="1"/>
      <c r="CQE226" s="1"/>
      <c r="CQF226" s="1"/>
      <c r="CQG226" s="1"/>
      <c r="CQH226" s="1"/>
      <c r="CQI226" s="1"/>
      <c r="CQJ226" s="1"/>
      <c r="CQK226" s="1"/>
      <c r="CQL226" s="1"/>
      <c r="CQM226" s="1"/>
      <c r="CQN226" s="1"/>
      <c r="CQO226" s="1"/>
      <c r="CQP226" s="1"/>
      <c r="CQQ226" s="1"/>
      <c r="CQR226" s="1"/>
      <c r="CQS226" s="1"/>
      <c r="CQT226" s="1"/>
      <c r="CQU226" s="1"/>
      <c r="CQV226" s="1"/>
      <c r="CQW226" s="1"/>
      <c r="CQX226" s="1"/>
      <c r="CQY226" s="1"/>
      <c r="CQZ226" s="1"/>
      <c r="CRA226" s="1"/>
      <c r="CRB226" s="1"/>
      <c r="CRC226" s="1"/>
      <c r="CRD226" s="1"/>
      <c r="CRE226" s="1"/>
      <c r="CRF226" s="1"/>
      <c r="CRG226" s="1"/>
      <c r="CRH226" s="1"/>
      <c r="CRI226" s="1"/>
      <c r="CRJ226" s="1"/>
      <c r="CRK226" s="1"/>
      <c r="CRL226" s="1"/>
      <c r="CRM226" s="1"/>
      <c r="CRN226" s="1"/>
      <c r="CRO226" s="1"/>
      <c r="CRP226" s="1"/>
      <c r="CRQ226" s="1"/>
      <c r="CRR226" s="1"/>
      <c r="CRS226" s="1"/>
      <c r="CRT226" s="1"/>
      <c r="CRU226" s="1"/>
      <c r="CRV226" s="1"/>
      <c r="CRW226" s="1"/>
      <c r="CRX226" s="1"/>
      <c r="CRY226" s="1"/>
      <c r="CRZ226" s="1"/>
      <c r="CSA226" s="1"/>
      <c r="CSB226" s="1"/>
      <c r="CSC226" s="1"/>
      <c r="CSD226" s="1"/>
      <c r="CSE226" s="1"/>
      <c r="CSF226" s="1"/>
      <c r="CSG226" s="1"/>
      <c r="CSH226" s="1"/>
      <c r="CSI226" s="1"/>
      <c r="CSJ226" s="1"/>
      <c r="CSK226" s="1"/>
      <c r="CSL226" s="1"/>
      <c r="CSM226" s="1"/>
      <c r="CSN226" s="1"/>
      <c r="CSO226" s="1"/>
      <c r="CSP226" s="1"/>
      <c r="CSQ226" s="1"/>
      <c r="CSR226" s="1"/>
      <c r="CSS226" s="1"/>
      <c r="CST226" s="1"/>
      <c r="CSU226" s="1"/>
      <c r="CSV226" s="1"/>
      <c r="CSW226" s="1"/>
      <c r="CSX226" s="1"/>
      <c r="CSY226" s="1"/>
      <c r="CSZ226" s="1"/>
      <c r="CTA226" s="1"/>
      <c r="CTB226" s="1"/>
      <c r="CTC226" s="1"/>
      <c r="CTD226" s="1"/>
      <c r="CTE226" s="1"/>
      <c r="CTF226" s="1"/>
      <c r="CTG226" s="1"/>
      <c r="CTH226" s="1"/>
      <c r="CTI226" s="1"/>
      <c r="CTJ226" s="1"/>
      <c r="CTK226" s="1"/>
      <c r="CTL226" s="1"/>
      <c r="CTM226" s="1"/>
      <c r="CTN226" s="1"/>
      <c r="CTO226" s="1"/>
      <c r="CTP226" s="1"/>
      <c r="CTQ226" s="1"/>
      <c r="CTR226" s="1"/>
      <c r="CTS226" s="1"/>
      <c r="CTT226" s="1"/>
      <c r="CTU226" s="1"/>
      <c r="CTV226" s="1"/>
      <c r="CTW226" s="1"/>
      <c r="CTX226" s="1"/>
      <c r="CTY226" s="1"/>
      <c r="CTZ226" s="1"/>
      <c r="CUA226" s="1"/>
      <c r="CUB226" s="1"/>
      <c r="CUC226" s="1"/>
      <c r="CUD226" s="1"/>
      <c r="CUE226" s="1"/>
      <c r="CUF226" s="1"/>
      <c r="CUG226" s="1"/>
      <c r="CUH226" s="1"/>
      <c r="CUI226" s="1"/>
      <c r="CUJ226" s="1"/>
      <c r="CUK226" s="1"/>
      <c r="CUL226" s="1"/>
      <c r="CUM226" s="1"/>
      <c r="CUN226" s="1"/>
      <c r="CUO226" s="1"/>
      <c r="CUP226" s="1"/>
      <c r="CUQ226" s="1"/>
      <c r="CUR226" s="1"/>
      <c r="CUS226" s="1"/>
      <c r="CUT226" s="1"/>
      <c r="CUU226" s="1"/>
      <c r="CUV226" s="1"/>
      <c r="CUW226" s="1"/>
      <c r="CUX226" s="1"/>
      <c r="CUY226" s="1"/>
      <c r="CUZ226" s="1"/>
      <c r="CVA226" s="1"/>
      <c r="CVB226" s="1"/>
      <c r="CVC226" s="1"/>
      <c r="CVD226" s="1"/>
      <c r="CVE226" s="1"/>
      <c r="CVF226" s="1"/>
      <c r="CVG226" s="1"/>
      <c r="CVH226" s="1"/>
      <c r="CVI226" s="1"/>
      <c r="CVJ226" s="1"/>
      <c r="CVK226" s="1"/>
      <c r="CVL226" s="1"/>
      <c r="CVM226" s="1"/>
      <c r="CVN226" s="1"/>
      <c r="CVO226" s="1"/>
      <c r="CVP226" s="1"/>
      <c r="CVQ226" s="1"/>
      <c r="CVR226" s="1"/>
      <c r="CVS226" s="1"/>
      <c r="CVT226" s="1"/>
      <c r="CVU226" s="1"/>
      <c r="CVV226" s="1"/>
      <c r="CVW226" s="1"/>
      <c r="CVX226" s="1"/>
      <c r="CVY226" s="1"/>
      <c r="CVZ226" s="1"/>
      <c r="CWA226" s="1"/>
      <c r="CWB226" s="1"/>
      <c r="CWC226" s="1"/>
      <c r="CWD226" s="1"/>
      <c r="CWE226" s="1"/>
      <c r="CWF226" s="1"/>
      <c r="CWG226" s="1"/>
      <c r="CWH226" s="1"/>
      <c r="CWI226" s="1"/>
      <c r="CWJ226" s="1"/>
      <c r="CWK226" s="1"/>
      <c r="CWL226" s="1"/>
      <c r="CWM226" s="1"/>
      <c r="CWN226" s="1"/>
      <c r="CWO226" s="1"/>
      <c r="CWP226" s="1"/>
      <c r="CWQ226" s="1"/>
      <c r="CWR226" s="1"/>
      <c r="CWS226" s="1"/>
      <c r="CWT226" s="1"/>
      <c r="CWU226" s="1"/>
      <c r="CWV226" s="1"/>
      <c r="CWW226" s="1"/>
      <c r="CWX226" s="1"/>
      <c r="CWY226" s="1"/>
      <c r="CWZ226" s="1"/>
      <c r="CXA226" s="1"/>
      <c r="CXB226" s="1"/>
      <c r="CXC226" s="1"/>
      <c r="CXD226" s="1"/>
      <c r="CXE226" s="1"/>
      <c r="CXF226" s="1"/>
      <c r="CXG226" s="1"/>
      <c r="CXH226" s="1"/>
      <c r="CXI226" s="1"/>
      <c r="CXJ226" s="1"/>
      <c r="CXK226" s="1"/>
      <c r="CXL226" s="1"/>
      <c r="CXM226" s="1"/>
      <c r="CXN226" s="1"/>
      <c r="CXO226" s="1"/>
      <c r="CXP226" s="1"/>
      <c r="CXQ226" s="1"/>
      <c r="CXR226" s="1"/>
      <c r="CXS226" s="1"/>
      <c r="CXT226" s="1"/>
      <c r="CXU226" s="1"/>
      <c r="CXV226" s="1"/>
      <c r="CXW226" s="1"/>
      <c r="CXX226" s="1"/>
      <c r="CXY226" s="1"/>
      <c r="CXZ226" s="1"/>
      <c r="CYA226" s="1"/>
      <c r="CYB226" s="1"/>
      <c r="CYC226" s="1"/>
      <c r="CYD226" s="1"/>
      <c r="CYE226" s="1"/>
      <c r="CYF226" s="1"/>
      <c r="CYG226" s="1"/>
      <c r="CYH226" s="1"/>
      <c r="CYI226" s="1"/>
      <c r="CYJ226" s="1"/>
      <c r="CYK226" s="1"/>
      <c r="CYL226" s="1"/>
      <c r="CYM226" s="1"/>
      <c r="CYN226" s="1"/>
      <c r="CYO226" s="1"/>
      <c r="CYP226" s="1"/>
      <c r="CYQ226" s="1"/>
      <c r="CYR226" s="1"/>
      <c r="CYS226" s="1"/>
      <c r="CYT226" s="1"/>
      <c r="CYU226" s="1"/>
      <c r="CYV226" s="1"/>
      <c r="CYW226" s="1"/>
      <c r="CYX226" s="1"/>
      <c r="CYY226" s="1"/>
      <c r="CYZ226" s="1"/>
      <c r="CZA226" s="1"/>
      <c r="CZB226" s="1"/>
      <c r="CZC226" s="1"/>
      <c r="CZD226" s="1"/>
      <c r="CZE226" s="1"/>
      <c r="CZF226" s="1"/>
      <c r="CZG226" s="1"/>
      <c r="CZH226" s="1"/>
      <c r="CZI226" s="1"/>
      <c r="CZJ226" s="1"/>
      <c r="CZK226" s="1"/>
      <c r="CZL226" s="1"/>
      <c r="CZM226" s="1"/>
      <c r="CZN226" s="1"/>
      <c r="CZO226" s="1"/>
      <c r="CZP226" s="1"/>
      <c r="CZQ226" s="1"/>
      <c r="CZR226" s="1"/>
      <c r="CZS226" s="1"/>
      <c r="CZT226" s="1"/>
      <c r="CZU226" s="1"/>
      <c r="CZV226" s="1"/>
      <c r="CZW226" s="1"/>
      <c r="CZX226" s="1"/>
      <c r="CZY226" s="1"/>
      <c r="CZZ226" s="1"/>
      <c r="DAA226" s="1"/>
      <c r="DAB226" s="1"/>
      <c r="DAC226" s="1"/>
      <c r="DAD226" s="1"/>
      <c r="DAE226" s="1"/>
      <c r="DAF226" s="1"/>
      <c r="DAG226" s="1"/>
      <c r="DAH226" s="1"/>
      <c r="DAI226" s="1"/>
      <c r="DAJ226" s="1"/>
      <c r="DAK226" s="1"/>
      <c r="DAL226" s="1"/>
      <c r="DAM226" s="1"/>
      <c r="DAN226" s="1"/>
      <c r="DAO226" s="1"/>
      <c r="DAP226" s="1"/>
      <c r="DAQ226" s="1"/>
      <c r="DAR226" s="1"/>
      <c r="DAS226" s="1"/>
      <c r="DAT226" s="1"/>
      <c r="DAU226" s="1"/>
      <c r="DAV226" s="1"/>
      <c r="DAW226" s="1"/>
      <c r="DAX226" s="1"/>
      <c r="DAY226" s="1"/>
      <c r="DAZ226" s="1"/>
      <c r="DBA226" s="1"/>
      <c r="DBB226" s="1"/>
      <c r="DBC226" s="1"/>
      <c r="DBD226" s="1"/>
      <c r="DBE226" s="1"/>
      <c r="DBF226" s="1"/>
      <c r="DBG226" s="1"/>
      <c r="DBH226" s="1"/>
      <c r="DBI226" s="1"/>
      <c r="DBJ226" s="1"/>
      <c r="DBK226" s="1"/>
      <c r="DBL226" s="1"/>
      <c r="DBM226" s="1"/>
      <c r="DBN226" s="1"/>
      <c r="DBO226" s="1"/>
      <c r="DBP226" s="1"/>
      <c r="DBQ226" s="1"/>
      <c r="DBR226" s="1"/>
      <c r="DBS226" s="1"/>
      <c r="DBT226" s="1"/>
      <c r="DBU226" s="1"/>
      <c r="DBV226" s="1"/>
      <c r="DBW226" s="1"/>
      <c r="DBX226" s="1"/>
      <c r="DBY226" s="1"/>
      <c r="DBZ226" s="1"/>
      <c r="DCA226" s="1"/>
      <c r="DCB226" s="1"/>
      <c r="DCC226" s="1"/>
      <c r="DCD226" s="1"/>
      <c r="DCE226" s="1"/>
      <c r="DCF226" s="1"/>
      <c r="DCG226" s="1"/>
      <c r="DCH226" s="1"/>
      <c r="DCI226" s="1"/>
      <c r="DCJ226" s="1"/>
      <c r="DCK226" s="1"/>
      <c r="DCL226" s="1"/>
      <c r="DCM226" s="1"/>
      <c r="DCN226" s="1"/>
      <c r="DCO226" s="1"/>
      <c r="DCP226" s="1"/>
      <c r="DCQ226" s="1"/>
      <c r="DCR226" s="1"/>
      <c r="DCS226" s="1"/>
      <c r="DCT226" s="1"/>
      <c r="DCU226" s="1"/>
      <c r="DCV226" s="1"/>
      <c r="DCW226" s="1"/>
      <c r="DCX226" s="1"/>
      <c r="DCY226" s="1"/>
      <c r="DCZ226" s="1"/>
      <c r="DDA226" s="1"/>
      <c r="DDB226" s="1"/>
      <c r="DDC226" s="1"/>
      <c r="DDD226" s="1"/>
      <c r="DDE226" s="1"/>
      <c r="DDF226" s="1"/>
      <c r="DDG226" s="1"/>
      <c r="DDH226" s="1"/>
      <c r="DDI226" s="1"/>
      <c r="DDJ226" s="1"/>
      <c r="DDK226" s="1"/>
      <c r="DDL226" s="1"/>
      <c r="DDM226" s="1"/>
      <c r="DDN226" s="1"/>
      <c r="DDO226" s="1"/>
      <c r="DDP226" s="1"/>
      <c r="DDQ226" s="1"/>
      <c r="DDR226" s="1"/>
      <c r="DDS226" s="1"/>
      <c r="DDT226" s="1"/>
      <c r="DDU226" s="1"/>
      <c r="DDV226" s="1"/>
      <c r="DDW226" s="1"/>
      <c r="DDX226" s="1"/>
      <c r="DDY226" s="1"/>
      <c r="DDZ226" s="1"/>
      <c r="DEA226" s="1"/>
      <c r="DEB226" s="1"/>
      <c r="DEC226" s="1"/>
      <c r="DED226" s="1"/>
      <c r="DEE226" s="1"/>
      <c r="DEF226" s="1"/>
      <c r="DEG226" s="1"/>
      <c r="DEH226" s="1"/>
      <c r="DEI226" s="1"/>
      <c r="DEJ226" s="1"/>
      <c r="DEK226" s="1"/>
      <c r="DEL226" s="1"/>
      <c r="DEM226" s="1"/>
      <c r="DEN226" s="1"/>
      <c r="DEO226" s="1"/>
      <c r="DEP226" s="1"/>
      <c r="DEQ226" s="1"/>
      <c r="DER226" s="1"/>
      <c r="DES226" s="1"/>
      <c r="DET226" s="1"/>
      <c r="DEU226" s="1"/>
      <c r="DEV226" s="1"/>
      <c r="DEW226" s="1"/>
      <c r="DEX226" s="1"/>
      <c r="DEY226" s="1"/>
      <c r="DEZ226" s="1"/>
      <c r="DFA226" s="1"/>
      <c r="DFB226" s="1"/>
      <c r="DFC226" s="1"/>
      <c r="DFD226" s="1"/>
      <c r="DFE226" s="1"/>
      <c r="DFF226" s="1"/>
      <c r="DFG226" s="1"/>
      <c r="DFH226" s="1"/>
      <c r="DFI226" s="1"/>
      <c r="DFJ226" s="1"/>
      <c r="DFK226" s="1"/>
      <c r="DFL226" s="1"/>
      <c r="DFM226" s="1"/>
      <c r="DFN226" s="1"/>
      <c r="DFO226" s="1"/>
      <c r="DFP226" s="1"/>
      <c r="DFQ226" s="1"/>
      <c r="DFR226" s="1"/>
      <c r="DFS226" s="1"/>
      <c r="DFT226" s="1"/>
      <c r="DFU226" s="1"/>
      <c r="DFV226" s="1"/>
      <c r="DFW226" s="1"/>
      <c r="DFX226" s="1"/>
      <c r="DFY226" s="1"/>
      <c r="DFZ226" s="1"/>
      <c r="DGA226" s="1"/>
      <c r="DGB226" s="1"/>
      <c r="DGC226" s="1"/>
      <c r="DGD226" s="1"/>
      <c r="DGE226" s="1"/>
      <c r="DGF226" s="1"/>
      <c r="DGG226" s="1"/>
      <c r="DGH226" s="1"/>
      <c r="DGI226" s="1"/>
      <c r="DGJ226" s="1"/>
      <c r="DGK226" s="1"/>
      <c r="DGL226" s="1"/>
      <c r="DGM226" s="1"/>
      <c r="DGN226" s="1"/>
      <c r="DGO226" s="1"/>
      <c r="DGP226" s="1"/>
      <c r="DGQ226" s="1"/>
      <c r="DGR226" s="1"/>
      <c r="DGS226" s="1"/>
      <c r="DGT226" s="1"/>
      <c r="DGU226" s="1"/>
      <c r="DGV226" s="1"/>
      <c r="DGW226" s="1"/>
      <c r="DGX226" s="1"/>
      <c r="DGY226" s="1"/>
      <c r="DGZ226" s="1"/>
      <c r="DHA226" s="1"/>
      <c r="DHB226" s="1"/>
      <c r="DHC226" s="1"/>
      <c r="DHD226" s="1"/>
      <c r="DHE226" s="1"/>
      <c r="DHF226" s="1"/>
      <c r="DHG226" s="1"/>
      <c r="DHH226" s="1"/>
      <c r="DHI226" s="1"/>
      <c r="DHJ226" s="1"/>
      <c r="DHK226" s="1"/>
      <c r="DHL226" s="1"/>
      <c r="DHM226" s="1"/>
      <c r="DHN226" s="1"/>
      <c r="DHO226" s="1"/>
      <c r="DHP226" s="1"/>
      <c r="DHQ226" s="1"/>
      <c r="DHR226" s="1"/>
      <c r="DHS226" s="1"/>
      <c r="DHT226" s="1"/>
      <c r="DHU226" s="1"/>
      <c r="DHV226" s="1"/>
      <c r="DHW226" s="1"/>
      <c r="DHX226" s="1"/>
      <c r="DHY226" s="1"/>
      <c r="DHZ226" s="1"/>
      <c r="DIA226" s="1"/>
      <c r="DIB226" s="1"/>
      <c r="DIC226" s="1"/>
      <c r="DID226" s="1"/>
      <c r="DIE226" s="1"/>
      <c r="DIF226" s="1"/>
      <c r="DIG226" s="1"/>
      <c r="DIH226" s="1"/>
      <c r="DII226" s="1"/>
      <c r="DIJ226" s="1"/>
      <c r="DIK226" s="1"/>
      <c r="DIL226" s="1"/>
      <c r="DIM226" s="1"/>
      <c r="DIN226" s="1"/>
      <c r="DIO226" s="1"/>
      <c r="DIP226" s="1"/>
      <c r="DIQ226" s="1"/>
      <c r="DIR226" s="1"/>
      <c r="DIS226" s="1"/>
      <c r="DIT226" s="1"/>
      <c r="DIU226" s="1"/>
      <c r="DIV226" s="1"/>
      <c r="DIW226" s="1"/>
      <c r="DIX226" s="1"/>
      <c r="DIY226" s="1"/>
      <c r="DIZ226" s="1"/>
      <c r="DJA226" s="1"/>
      <c r="DJB226" s="1"/>
      <c r="DJC226" s="1"/>
      <c r="DJD226" s="1"/>
      <c r="DJE226" s="1"/>
      <c r="DJF226" s="1"/>
      <c r="DJG226" s="1"/>
      <c r="DJH226" s="1"/>
      <c r="DJI226" s="1"/>
      <c r="DJJ226" s="1"/>
      <c r="DJK226" s="1"/>
      <c r="DJL226" s="1"/>
      <c r="DJM226" s="1"/>
      <c r="DJN226" s="1"/>
      <c r="DJO226" s="1"/>
      <c r="DJP226" s="1"/>
      <c r="DJQ226" s="1"/>
      <c r="DJR226" s="1"/>
      <c r="DJS226" s="1"/>
      <c r="DJT226" s="1"/>
      <c r="DJU226" s="1"/>
      <c r="DJV226" s="1"/>
      <c r="DJW226" s="1"/>
      <c r="DJX226" s="1"/>
      <c r="DJY226" s="1"/>
      <c r="DJZ226" s="1"/>
      <c r="DKA226" s="1"/>
      <c r="DKB226" s="1"/>
      <c r="DKC226" s="1"/>
      <c r="DKD226" s="1"/>
      <c r="DKE226" s="1"/>
      <c r="DKF226" s="1"/>
      <c r="DKG226" s="1"/>
      <c r="DKH226" s="1"/>
      <c r="DKI226" s="1"/>
      <c r="DKJ226" s="1"/>
      <c r="DKK226" s="1"/>
      <c r="DKL226" s="1"/>
      <c r="DKM226" s="1"/>
      <c r="DKN226" s="1"/>
      <c r="DKO226" s="1"/>
      <c r="DKP226" s="1"/>
      <c r="DKQ226" s="1"/>
      <c r="DKR226" s="1"/>
      <c r="DKS226" s="1"/>
      <c r="DKT226" s="1"/>
      <c r="DKU226" s="1"/>
      <c r="DKV226" s="1"/>
      <c r="DKW226" s="1"/>
      <c r="DKX226" s="1"/>
      <c r="DKY226" s="1"/>
      <c r="DKZ226" s="1"/>
      <c r="DLA226" s="1"/>
      <c r="DLB226" s="1"/>
      <c r="DLC226" s="1"/>
      <c r="DLD226" s="1"/>
      <c r="DLE226" s="1"/>
      <c r="DLF226" s="1"/>
      <c r="DLG226" s="1"/>
      <c r="DLH226" s="1"/>
      <c r="DLI226" s="1"/>
      <c r="DLJ226" s="1"/>
      <c r="DLK226" s="1"/>
      <c r="DLL226" s="1"/>
      <c r="DLM226" s="1"/>
      <c r="DLN226" s="1"/>
      <c r="DLO226" s="1"/>
      <c r="DLP226" s="1"/>
      <c r="DLQ226" s="1"/>
      <c r="DLR226" s="1"/>
      <c r="DLS226" s="1"/>
      <c r="DLT226" s="1"/>
      <c r="DLU226" s="1"/>
      <c r="DLV226" s="1"/>
      <c r="DLW226" s="1"/>
      <c r="DLX226" s="1"/>
      <c r="DLY226" s="1"/>
      <c r="DLZ226" s="1"/>
      <c r="DMA226" s="1"/>
      <c r="DMB226" s="1"/>
      <c r="DMC226" s="1"/>
      <c r="DMD226" s="1"/>
      <c r="DME226" s="1"/>
      <c r="DMF226" s="1"/>
      <c r="DMG226" s="1"/>
      <c r="DMH226" s="1"/>
      <c r="DMI226" s="1"/>
      <c r="DMJ226" s="1"/>
      <c r="DMK226" s="1"/>
      <c r="DML226" s="1"/>
      <c r="DMM226" s="1"/>
      <c r="DMN226" s="1"/>
      <c r="DMO226" s="1"/>
      <c r="DMP226" s="1"/>
      <c r="DMQ226" s="1"/>
      <c r="DMR226" s="1"/>
      <c r="DMS226" s="1"/>
      <c r="DMT226" s="1"/>
      <c r="DMU226" s="1"/>
      <c r="DMV226" s="1"/>
      <c r="DMW226" s="1"/>
      <c r="DMX226" s="1"/>
      <c r="DMY226" s="1"/>
      <c r="DMZ226" s="1"/>
      <c r="DNA226" s="1"/>
      <c r="DNB226" s="1"/>
      <c r="DNC226" s="1"/>
      <c r="DND226" s="1"/>
      <c r="DNE226" s="1"/>
      <c r="DNF226" s="1"/>
      <c r="DNG226" s="1"/>
      <c r="DNH226" s="1"/>
      <c r="DNI226" s="1"/>
      <c r="DNJ226" s="1"/>
      <c r="DNK226" s="1"/>
      <c r="DNL226" s="1"/>
      <c r="DNM226" s="1"/>
      <c r="DNN226" s="1"/>
      <c r="DNO226" s="1"/>
      <c r="DNP226" s="1"/>
      <c r="DNQ226" s="1"/>
      <c r="DNR226" s="1"/>
      <c r="DNS226" s="1"/>
      <c r="DNT226" s="1"/>
      <c r="DNU226" s="1"/>
      <c r="DNV226" s="1"/>
      <c r="DNW226" s="1"/>
      <c r="DNX226" s="1"/>
      <c r="DNY226" s="1"/>
      <c r="DNZ226" s="1"/>
      <c r="DOA226" s="1"/>
      <c r="DOB226" s="1"/>
      <c r="DOC226" s="1"/>
      <c r="DOD226" s="1"/>
      <c r="DOE226" s="1"/>
      <c r="DOF226" s="1"/>
      <c r="DOG226" s="1"/>
      <c r="DOH226" s="1"/>
      <c r="DOI226" s="1"/>
      <c r="DOJ226" s="1"/>
      <c r="DOK226" s="1"/>
      <c r="DOL226" s="1"/>
      <c r="DOM226" s="1"/>
      <c r="DON226" s="1"/>
      <c r="DOO226" s="1"/>
      <c r="DOP226" s="1"/>
      <c r="DOQ226" s="1"/>
      <c r="DOR226" s="1"/>
      <c r="DOS226" s="1"/>
      <c r="DOT226" s="1"/>
      <c r="DOU226" s="1"/>
      <c r="DOV226" s="1"/>
      <c r="DOW226" s="1"/>
      <c r="DOX226" s="1"/>
      <c r="DOY226" s="1"/>
      <c r="DOZ226" s="1"/>
      <c r="DPA226" s="1"/>
      <c r="DPB226" s="1"/>
      <c r="DPC226" s="1"/>
      <c r="DPD226" s="1"/>
      <c r="DPE226" s="1"/>
      <c r="DPF226" s="1"/>
      <c r="DPG226" s="1"/>
      <c r="DPH226" s="1"/>
      <c r="DPI226" s="1"/>
      <c r="DPJ226" s="1"/>
      <c r="DPK226" s="1"/>
      <c r="DPL226" s="1"/>
      <c r="DPM226" s="1"/>
      <c r="DPN226" s="1"/>
      <c r="DPO226" s="1"/>
      <c r="DPP226" s="1"/>
      <c r="DPQ226" s="1"/>
      <c r="DPR226" s="1"/>
      <c r="DPS226" s="1"/>
      <c r="DPT226" s="1"/>
      <c r="DPU226" s="1"/>
      <c r="DPV226" s="1"/>
      <c r="DPW226" s="1"/>
      <c r="DPX226" s="1"/>
      <c r="DPY226" s="1"/>
      <c r="DPZ226" s="1"/>
      <c r="DQA226" s="1"/>
      <c r="DQB226" s="1"/>
      <c r="DQC226" s="1"/>
      <c r="DQD226" s="1"/>
      <c r="DQE226" s="1"/>
      <c r="DQF226" s="1"/>
      <c r="DQG226" s="1"/>
      <c r="DQH226" s="1"/>
      <c r="DQI226" s="1"/>
      <c r="DQJ226" s="1"/>
      <c r="DQK226" s="1"/>
      <c r="DQL226" s="1"/>
      <c r="DQM226" s="1"/>
      <c r="DQN226" s="1"/>
      <c r="DQO226" s="1"/>
      <c r="DQP226" s="1"/>
      <c r="DQQ226" s="1"/>
      <c r="DQR226" s="1"/>
      <c r="DQS226" s="1"/>
      <c r="DQT226" s="1"/>
      <c r="DQU226" s="1"/>
      <c r="DQV226" s="1"/>
      <c r="DQW226" s="1"/>
      <c r="DQX226" s="1"/>
      <c r="DQY226" s="1"/>
      <c r="DQZ226" s="1"/>
      <c r="DRA226" s="1"/>
      <c r="DRB226" s="1"/>
      <c r="DRC226" s="1"/>
      <c r="DRD226" s="1"/>
      <c r="DRE226" s="1"/>
      <c r="DRF226" s="1"/>
      <c r="DRG226" s="1"/>
      <c r="DRH226" s="1"/>
      <c r="DRI226" s="1"/>
      <c r="DRJ226" s="1"/>
      <c r="DRK226" s="1"/>
      <c r="DRL226" s="1"/>
      <c r="DRM226" s="1"/>
      <c r="DRN226" s="1"/>
      <c r="DRO226" s="1"/>
      <c r="DRP226" s="1"/>
      <c r="DRQ226" s="1"/>
      <c r="DRR226" s="1"/>
      <c r="DRS226" s="1"/>
      <c r="DRT226" s="1"/>
      <c r="DRU226" s="1"/>
      <c r="DRV226" s="1"/>
      <c r="DRW226" s="1"/>
      <c r="DRX226" s="1"/>
      <c r="DRY226" s="1"/>
      <c r="DRZ226" s="1"/>
      <c r="DSA226" s="1"/>
      <c r="DSB226" s="1"/>
      <c r="DSC226" s="1"/>
      <c r="DSD226" s="1"/>
      <c r="DSE226" s="1"/>
      <c r="DSF226" s="1"/>
      <c r="DSG226" s="1"/>
      <c r="DSH226" s="1"/>
      <c r="DSI226" s="1"/>
      <c r="DSJ226" s="1"/>
      <c r="DSK226" s="1"/>
      <c r="DSL226" s="1"/>
      <c r="DSM226" s="1"/>
      <c r="DSN226" s="1"/>
      <c r="DSO226" s="1"/>
      <c r="DSP226" s="1"/>
      <c r="DSQ226" s="1"/>
      <c r="DSR226" s="1"/>
      <c r="DSS226" s="1"/>
      <c r="DST226" s="1"/>
      <c r="DSU226" s="1"/>
      <c r="DSV226" s="1"/>
      <c r="DSW226" s="1"/>
      <c r="DSX226" s="1"/>
      <c r="DSY226" s="1"/>
      <c r="DSZ226" s="1"/>
      <c r="DTA226" s="1"/>
      <c r="DTB226" s="1"/>
      <c r="DTC226" s="1"/>
      <c r="DTD226" s="1"/>
      <c r="DTE226" s="1"/>
      <c r="DTF226" s="1"/>
      <c r="DTG226" s="1"/>
      <c r="DTH226" s="1"/>
      <c r="DTI226" s="1"/>
      <c r="DTJ226" s="1"/>
      <c r="DTK226" s="1"/>
      <c r="DTL226" s="1"/>
      <c r="DTM226" s="1"/>
      <c r="DTN226" s="1"/>
      <c r="DTO226" s="1"/>
      <c r="DTP226" s="1"/>
      <c r="DTQ226" s="1"/>
      <c r="DTR226" s="1"/>
      <c r="DTS226" s="1"/>
      <c r="DTT226" s="1"/>
      <c r="DTU226" s="1"/>
      <c r="DTV226" s="1"/>
      <c r="DTW226" s="1"/>
      <c r="DTX226" s="1"/>
      <c r="DTY226" s="1"/>
      <c r="DTZ226" s="1"/>
      <c r="DUA226" s="1"/>
      <c r="DUB226" s="1"/>
      <c r="DUC226" s="1"/>
      <c r="DUD226" s="1"/>
      <c r="DUE226" s="1"/>
      <c r="DUF226" s="1"/>
      <c r="DUG226" s="1"/>
      <c r="DUH226" s="1"/>
      <c r="DUI226" s="1"/>
      <c r="DUJ226" s="1"/>
      <c r="DUK226" s="1"/>
      <c r="DUL226" s="1"/>
      <c r="DUM226" s="1"/>
      <c r="DUN226" s="1"/>
      <c r="DUO226" s="1"/>
      <c r="DUP226" s="1"/>
      <c r="DUQ226" s="1"/>
      <c r="DUR226" s="1"/>
      <c r="DUS226" s="1"/>
      <c r="DUT226" s="1"/>
      <c r="DUU226" s="1"/>
      <c r="DUV226" s="1"/>
      <c r="DUW226" s="1"/>
      <c r="DUX226" s="1"/>
      <c r="DUY226" s="1"/>
      <c r="DUZ226" s="1"/>
      <c r="DVA226" s="1"/>
      <c r="DVB226" s="1"/>
      <c r="DVC226" s="1"/>
      <c r="DVD226" s="1"/>
      <c r="DVE226" s="1"/>
      <c r="DVF226" s="1"/>
      <c r="DVG226" s="1"/>
      <c r="DVH226" s="1"/>
      <c r="DVI226" s="1"/>
      <c r="DVJ226" s="1"/>
      <c r="DVK226" s="1"/>
      <c r="DVL226" s="1"/>
      <c r="DVM226" s="1"/>
      <c r="DVN226" s="1"/>
      <c r="DVO226" s="1"/>
      <c r="DVP226" s="1"/>
      <c r="DVQ226" s="1"/>
      <c r="DVR226" s="1"/>
      <c r="DVS226" s="1"/>
      <c r="DVT226" s="1"/>
      <c r="DVU226" s="1"/>
      <c r="DVV226" s="1"/>
      <c r="DVW226" s="1"/>
      <c r="DVX226" s="1"/>
      <c r="DVY226" s="1"/>
      <c r="DVZ226" s="1"/>
      <c r="DWA226" s="1"/>
      <c r="DWB226" s="1"/>
      <c r="DWC226" s="1"/>
      <c r="DWD226" s="1"/>
      <c r="DWE226" s="1"/>
      <c r="DWF226" s="1"/>
      <c r="DWG226" s="1"/>
      <c r="DWH226" s="1"/>
      <c r="DWI226" s="1"/>
      <c r="DWJ226" s="1"/>
      <c r="DWK226" s="1"/>
      <c r="DWL226" s="1"/>
      <c r="DWM226" s="1"/>
      <c r="DWN226" s="1"/>
      <c r="DWO226" s="1"/>
      <c r="DWP226" s="1"/>
      <c r="DWQ226" s="1"/>
      <c r="DWR226" s="1"/>
      <c r="DWS226" s="1"/>
      <c r="DWT226" s="1"/>
      <c r="DWU226" s="1"/>
      <c r="DWV226" s="1"/>
      <c r="DWW226" s="1"/>
      <c r="DWX226" s="1"/>
      <c r="DWY226" s="1"/>
      <c r="DWZ226" s="1"/>
      <c r="DXA226" s="1"/>
      <c r="DXB226" s="1"/>
      <c r="DXC226" s="1"/>
      <c r="DXD226" s="1"/>
      <c r="DXE226" s="1"/>
      <c r="DXF226" s="1"/>
      <c r="DXG226" s="1"/>
      <c r="DXH226" s="1"/>
      <c r="DXI226" s="1"/>
      <c r="DXJ226" s="1"/>
      <c r="DXK226" s="1"/>
      <c r="DXL226" s="1"/>
      <c r="DXM226" s="1"/>
      <c r="DXN226" s="1"/>
      <c r="DXO226" s="1"/>
      <c r="DXP226" s="1"/>
      <c r="DXQ226" s="1"/>
      <c r="DXR226" s="1"/>
      <c r="DXS226" s="1"/>
      <c r="DXT226" s="1"/>
      <c r="DXU226" s="1"/>
      <c r="DXV226" s="1"/>
      <c r="DXW226" s="1"/>
      <c r="DXX226" s="1"/>
      <c r="DXY226" s="1"/>
      <c r="DXZ226" s="1"/>
      <c r="DYA226" s="1"/>
      <c r="DYB226" s="1"/>
      <c r="DYC226" s="1"/>
      <c r="DYD226" s="1"/>
      <c r="DYE226" s="1"/>
      <c r="DYF226" s="1"/>
      <c r="DYG226" s="1"/>
      <c r="DYH226" s="1"/>
      <c r="DYI226" s="1"/>
      <c r="DYJ226" s="1"/>
      <c r="DYK226" s="1"/>
      <c r="DYL226" s="1"/>
      <c r="DYM226" s="1"/>
      <c r="DYN226" s="1"/>
      <c r="DYO226" s="1"/>
      <c r="DYP226" s="1"/>
      <c r="DYQ226" s="1"/>
      <c r="DYR226" s="1"/>
      <c r="DYS226" s="1"/>
      <c r="DYT226" s="1"/>
      <c r="DYU226" s="1"/>
      <c r="DYV226" s="1"/>
      <c r="DYW226" s="1"/>
      <c r="DYX226" s="1"/>
      <c r="DYY226" s="1"/>
      <c r="DYZ226" s="1"/>
      <c r="DZA226" s="1"/>
      <c r="DZB226" s="1"/>
      <c r="DZC226" s="1"/>
      <c r="DZD226" s="1"/>
      <c r="DZE226" s="1"/>
      <c r="DZF226" s="1"/>
      <c r="DZG226" s="1"/>
      <c r="DZH226" s="1"/>
      <c r="DZI226" s="1"/>
      <c r="DZJ226" s="1"/>
      <c r="DZK226" s="1"/>
      <c r="DZL226" s="1"/>
      <c r="DZM226" s="1"/>
      <c r="DZN226" s="1"/>
      <c r="DZO226" s="1"/>
      <c r="DZP226" s="1"/>
      <c r="DZQ226" s="1"/>
      <c r="DZR226" s="1"/>
      <c r="DZS226" s="1"/>
      <c r="DZT226" s="1"/>
      <c r="DZU226" s="1"/>
      <c r="DZV226" s="1"/>
      <c r="DZW226" s="1"/>
      <c r="DZX226" s="1"/>
      <c r="DZY226" s="1"/>
      <c r="DZZ226" s="1"/>
      <c r="EAA226" s="1"/>
      <c r="EAB226" s="1"/>
      <c r="EAC226" s="1"/>
      <c r="EAD226" s="1"/>
      <c r="EAE226" s="1"/>
      <c r="EAF226" s="1"/>
      <c r="EAG226" s="1"/>
      <c r="EAH226" s="1"/>
      <c r="EAI226" s="1"/>
      <c r="EAJ226" s="1"/>
      <c r="EAK226" s="1"/>
      <c r="EAL226" s="1"/>
      <c r="EAM226" s="1"/>
      <c r="EAN226" s="1"/>
      <c r="EAO226" s="1"/>
      <c r="EAP226" s="1"/>
      <c r="EAQ226" s="1"/>
      <c r="EAR226" s="1"/>
      <c r="EAS226" s="1"/>
      <c r="EAT226" s="1"/>
      <c r="EAU226" s="1"/>
      <c r="EAV226" s="1"/>
      <c r="EAW226" s="1"/>
      <c r="EAX226" s="1"/>
      <c r="EAY226" s="1"/>
      <c r="EAZ226" s="1"/>
      <c r="EBA226" s="1"/>
      <c r="EBB226" s="1"/>
      <c r="EBC226" s="1"/>
      <c r="EBD226" s="1"/>
      <c r="EBE226" s="1"/>
      <c r="EBF226" s="1"/>
      <c r="EBG226" s="1"/>
      <c r="EBH226" s="1"/>
      <c r="EBI226" s="1"/>
      <c r="EBJ226" s="1"/>
      <c r="EBK226" s="1"/>
      <c r="EBL226" s="1"/>
      <c r="EBM226" s="1"/>
      <c r="EBN226" s="1"/>
      <c r="EBO226" s="1"/>
      <c r="EBP226" s="1"/>
      <c r="EBQ226" s="1"/>
      <c r="EBR226" s="1"/>
      <c r="EBS226" s="1"/>
      <c r="EBT226" s="1"/>
      <c r="EBU226" s="1"/>
      <c r="EBV226" s="1"/>
      <c r="EBW226" s="1"/>
      <c r="EBX226" s="1"/>
      <c r="EBY226" s="1"/>
      <c r="EBZ226" s="1"/>
      <c r="ECA226" s="1"/>
      <c r="ECB226" s="1"/>
      <c r="ECC226" s="1"/>
      <c r="ECD226" s="1"/>
      <c r="ECE226" s="1"/>
      <c r="ECF226" s="1"/>
      <c r="ECG226" s="1"/>
      <c r="ECH226" s="1"/>
      <c r="ECI226" s="1"/>
      <c r="ECJ226" s="1"/>
      <c r="ECK226" s="1"/>
      <c r="ECL226" s="1"/>
      <c r="ECM226" s="1"/>
      <c r="ECN226" s="1"/>
      <c r="ECO226" s="1"/>
      <c r="ECP226" s="1"/>
      <c r="ECQ226" s="1"/>
      <c r="ECR226" s="1"/>
      <c r="ECS226" s="1"/>
      <c r="ECT226" s="1"/>
      <c r="ECU226" s="1"/>
      <c r="ECV226" s="1"/>
      <c r="ECW226" s="1"/>
      <c r="ECX226" s="1"/>
      <c r="ECY226" s="1"/>
      <c r="ECZ226" s="1"/>
      <c r="EDA226" s="1"/>
      <c r="EDB226" s="1"/>
      <c r="EDC226" s="1"/>
      <c r="EDD226" s="1"/>
      <c r="EDE226" s="1"/>
      <c r="EDF226" s="1"/>
      <c r="EDG226" s="1"/>
      <c r="EDH226" s="1"/>
      <c r="EDI226" s="1"/>
      <c r="EDJ226" s="1"/>
      <c r="EDK226" s="1"/>
      <c r="EDL226" s="1"/>
      <c r="EDM226" s="1"/>
      <c r="EDN226" s="1"/>
      <c r="EDO226" s="1"/>
      <c r="EDP226" s="1"/>
      <c r="EDQ226" s="1"/>
      <c r="EDR226" s="1"/>
      <c r="EDS226" s="1"/>
      <c r="EDT226" s="1"/>
      <c r="EDU226" s="1"/>
      <c r="EDV226" s="1"/>
      <c r="EDW226" s="1"/>
      <c r="EDX226" s="1"/>
      <c r="EDY226" s="1"/>
      <c r="EDZ226" s="1"/>
      <c r="EEA226" s="1"/>
      <c r="EEB226" s="1"/>
      <c r="EEC226" s="1"/>
      <c r="EED226" s="1"/>
      <c r="EEE226" s="1"/>
      <c r="EEF226" s="1"/>
      <c r="EEG226" s="1"/>
      <c r="EEH226" s="1"/>
      <c r="EEI226" s="1"/>
      <c r="EEJ226" s="1"/>
      <c r="EEK226" s="1"/>
      <c r="EEL226" s="1"/>
      <c r="EEM226" s="1"/>
      <c r="EEN226" s="1"/>
      <c r="EEO226" s="1"/>
      <c r="EEP226" s="1"/>
      <c r="EEQ226" s="1"/>
      <c r="EER226" s="1"/>
      <c r="EES226" s="1"/>
      <c r="EET226" s="1"/>
      <c r="EEU226" s="1"/>
      <c r="EEV226" s="1"/>
      <c r="EEW226" s="1"/>
      <c r="EEX226" s="1"/>
      <c r="EEY226" s="1"/>
      <c r="EEZ226" s="1"/>
      <c r="EFA226" s="1"/>
      <c r="EFB226" s="1"/>
      <c r="EFC226" s="1"/>
      <c r="EFD226" s="1"/>
      <c r="EFE226" s="1"/>
      <c r="EFF226" s="1"/>
      <c r="EFG226" s="1"/>
      <c r="EFH226" s="1"/>
      <c r="EFI226" s="1"/>
      <c r="EFJ226" s="1"/>
      <c r="EFK226" s="1"/>
      <c r="EFL226" s="1"/>
      <c r="EFM226" s="1"/>
      <c r="EFN226" s="1"/>
      <c r="EFO226" s="1"/>
      <c r="EFP226" s="1"/>
      <c r="EFQ226" s="1"/>
      <c r="EFR226" s="1"/>
      <c r="EFS226" s="1"/>
      <c r="EFT226" s="1"/>
      <c r="EFU226" s="1"/>
      <c r="EFV226" s="1"/>
      <c r="EFW226" s="1"/>
      <c r="EFX226" s="1"/>
      <c r="EFY226" s="1"/>
      <c r="EFZ226" s="1"/>
      <c r="EGA226" s="1"/>
      <c r="EGB226" s="1"/>
      <c r="EGC226" s="1"/>
      <c r="EGD226" s="1"/>
      <c r="EGE226" s="1"/>
      <c r="EGF226" s="1"/>
      <c r="EGG226" s="1"/>
      <c r="EGH226" s="1"/>
      <c r="EGI226" s="1"/>
      <c r="EGJ226" s="1"/>
      <c r="EGK226" s="1"/>
      <c r="EGL226" s="1"/>
      <c r="EGM226" s="1"/>
      <c r="EGN226" s="1"/>
      <c r="EGO226" s="1"/>
      <c r="EGP226" s="1"/>
      <c r="EGQ226" s="1"/>
      <c r="EGR226" s="1"/>
      <c r="EGS226" s="1"/>
      <c r="EGT226" s="1"/>
      <c r="EGU226" s="1"/>
      <c r="EGV226" s="1"/>
      <c r="EGW226" s="1"/>
      <c r="EGX226" s="1"/>
      <c r="EGY226" s="1"/>
      <c r="EGZ226" s="1"/>
      <c r="EHA226" s="1"/>
      <c r="EHB226" s="1"/>
      <c r="EHC226" s="1"/>
      <c r="EHD226" s="1"/>
      <c r="EHE226" s="1"/>
      <c r="EHF226" s="1"/>
      <c r="EHG226" s="1"/>
      <c r="EHH226" s="1"/>
      <c r="EHI226" s="1"/>
      <c r="EHJ226" s="1"/>
      <c r="EHK226" s="1"/>
      <c r="EHL226" s="1"/>
      <c r="EHM226" s="1"/>
      <c r="EHN226" s="1"/>
      <c r="EHO226" s="1"/>
      <c r="EHP226" s="1"/>
      <c r="EHQ226" s="1"/>
      <c r="EHR226" s="1"/>
      <c r="EHS226" s="1"/>
      <c r="EHT226" s="1"/>
      <c r="EHU226" s="1"/>
      <c r="EHV226" s="1"/>
      <c r="EHW226" s="1"/>
      <c r="EHX226" s="1"/>
      <c r="EHY226" s="1"/>
      <c r="EHZ226" s="1"/>
      <c r="EIA226" s="1"/>
      <c r="EIB226" s="1"/>
      <c r="EIC226" s="1"/>
      <c r="EID226" s="1"/>
      <c r="EIE226" s="1"/>
      <c r="EIF226" s="1"/>
      <c r="EIG226" s="1"/>
      <c r="EIH226" s="1"/>
      <c r="EII226" s="1"/>
      <c r="EIJ226" s="1"/>
      <c r="EIK226" s="1"/>
      <c r="EIL226" s="1"/>
      <c r="EIM226" s="1"/>
      <c r="EIN226" s="1"/>
      <c r="EIO226" s="1"/>
      <c r="EIP226" s="1"/>
      <c r="EIQ226" s="1"/>
      <c r="EIR226" s="1"/>
      <c r="EIS226" s="1"/>
      <c r="EIT226" s="1"/>
      <c r="EIU226" s="1"/>
      <c r="EIV226" s="1"/>
      <c r="EIW226" s="1"/>
      <c r="EIX226" s="1"/>
      <c r="EIY226" s="1"/>
      <c r="EIZ226" s="1"/>
      <c r="EJA226" s="1"/>
      <c r="EJB226" s="1"/>
      <c r="EJC226" s="1"/>
      <c r="EJD226" s="1"/>
      <c r="EJE226" s="1"/>
      <c r="EJF226" s="1"/>
      <c r="EJG226" s="1"/>
      <c r="EJH226" s="1"/>
      <c r="EJI226" s="1"/>
      <c r="EJJ226" s="1"/>
      <c r="EJK226" s="1"/>
      <c r="EJL226" s="1"/>
      <c r="EJM226" s="1"/>
      <c r="EJN226" s="1"/>
      <c r="EJO226" s="1"/>
      <c r="EJP226" s="1"/>
      <c r="EJQ226" s="1"/>
      <c r="EJR226" s="1"/>
      <c r="EJS226" s="1"/>
      <c r="EJT226" s="1"/>
      <c r="EJU226" s="1"/>
      <c r="EJV226" s="1"/>
      <c r="EJW226" s="1"/>
      <c r="EJX226" s="1"/>
      <c r="EJY226" s="1"/>
      <c r="EJZ226" s="1"/>
      <c r="EKA226" s="1"/>
      <c r="EKB226" s="1"/>
      <c r="EKC226" s="1"/>
      <c r="EKD226" s="1"/>
      <c r="EKE226" s="1"/>
      <c r="EKF226" s="1"/>
      <c r="EKG226" s="1"/>
      <c r="EKH226" s="1"/>
      <c r="EKI226" s="1"/>
      <c r="EKJ226" s="1"/>
      <c r="EKK226" s="1"/>
      <c r="EKL226" s="1"/>
      <c r="EKM226" s="1"/>
      <c r="EKN226" s="1"/>
      <c r="EKO226" s="1"/>
      <c r="EKP226" s="1"/>
      <c r="EKQ226" s="1"/>
      <c r="EKR226" s="1"/>
      <c r="EKS226" s="1"/>
      <c r="EKT226" s="1"/>
      <c r="EKU226" s="1"/>
      <c r="EKV226" s="1"/>
      <c r="EKW226" s="1"/>
      <c r="EKX226" s="1"/>
      <c r="EKY226" s="1"/>
      <c r="EKZ226" s="1"/>
      <c r="ELA226" s="1"/>
      <c r="ELB226" s="1"/>
      <c r="ELC226" s="1"/>
      <c r="ELD226" s="1"/>
      <c r="ELE226" s="1"/>
      <c r="ELF226" s="1"/>
      <c r="ELG226" s="1"/>
      <c r="ELH226" s="1"/>
      <c r="ELI226" s="1"/>
      <c r="ELJ226" s="1"/>
      <c r="ELK226" s="1"/>
      <c r="ELL226" s="1"/>
      <c r="ELM226" s="1"/>
      <c r="ELN226" s="1"/>
      <c r="ELO226" s="1"/>
      <c r="ELP226" s="1"/>
      <c r="ELQ226" s="1"/>
      <c r="ELR226" s="1"/>
      <c r="ELS226" s="1"/>
      <c r="ELT226" s="1"/>
      <c r="ELU226" s="1"/>
      <c r="ELV226" s="1"/>
      <c r="ELW226" s="1"/>
      <c r="ELX226" s="1"/>
      <c r="ELY226" s="1"/>
      <c r="ELZ226" s="1"/>
      <c r="EMA226" s="1"/>
      <c r="EMB226" s="1"/>
      <c r="EMC226" s="1"/>
      <c r="EMD226" s="1"/>
      <c r="EME226" s="1"/>
      <c r="EMF226" s="1"/>
      <c r="EMG226" s="1"/>
      <c r="EMH226" s="1"/>
      <c r="EMI226" s="1"/>
      <c r="EMJ226" s="1"/>
      <c r="EMK226" s="1"/>
      <c r="EML226" s="1"/>
      <c r="EMM226" s="1"/>
      <c r="EMN226" s="1"/>
      <c r="EMO226" s="1"/>
      <c r="EMP226" s="1"/>
      <c r="EMQ226" s="1"/>
      <c r="EMR226" s="1"/>
      <c r="EMS226" s="1"/>
      <c r="EMT226" s="1"/>
      <c r="EMU226" s="1"/>
      <c r="EMV226" s="1"/>
      <c r="EMW226" s="1"/>
      <c r="EMX226" s="1"/>
      <c r="EMY226" s="1"/>
      <c r="EMZ226" s="1"/>
      <c r="ENA226" s="1"/>
      <c r="ENB226" s="1"/>
      <c r="ENC226" s="1"/>
      <c r="END226" s="1"/>
      <c r="ENE226" s="1"/>
      <c r="ENF226" s="1"/>
      <c r="ENG226" s="1"/>
      <c r="ENH226" s="1"/>
      <c r="ENI226" s="1"/>
      <c r="ENJ226" s="1"/>
      <c r="ENK226" s="1"/>
      <c r="ENL226" s="1"/>
      <c r="ENM226" s="1"/>
      <c r="ENN226" s="1"/>
      <c r="ENO226" s="1"/>
      <c r="ENP226" s="1"/>
      <c r="ENQ226" s="1"/>
      <c r="ENR226" s="1"/>
      <c r="ENS226" s="1"/>
      <c r="ENT226" s="1"/>
      <c r="ENU226" s="1"/>
      <c r="ENV226" s="1"/>
      <c r="ENW226" s="1"/>
      <c r="ENX226" s="1"/>
      <c r="ENY226" s="1"/>
      <c r="ENZ226" s="1"/>
      <c r="EOA226" s="1"/>
      <c r="EOB226" s="1"/>
      <c r="EOC226" s="1"/>
      <c r="EOD226" s="1"/>
      <c r="EOE226" s="1"/>
      <c r="EOF226" s="1"/>
      <c r="EOG226" s="1"/>
      <c r="EOH226" s="1"/>
      <c r="EOI226" s="1"/>
      <c r="EOJ226" s="1"/>
      <c r="EOK226" s="1"/>
      <c r="EOL226" s="1"/>
      <c r="EOM226" s="1"/>
      <c r="EON226" s="1"/>
      <c r="EOO226" s="1"/>
      <c r="EOP226" s="1"/>
      <c r="EOQ226" s="1"/>
      <c r="EOR226" s="1"/>
      <c r="EOS226" s="1"/>
      <c r="EOT226" s="1"/>
      <c r="EOU226" s="1"/>
      <c r="EOV226" s="1"/>
      <c r="EOW226" s="1"/>
      <c r="EOX226" s="1"/>
      <c r="EOY226" s="1"/>
      <c r="EOZ226" s="1"/>
      <c r="EPA226" s="1"/>
      <c r="EPB226" s="1"/>
      <c r="EPC226" s="1"/>
      <c r="EPD226" s="1"/>
      <c r="EPE226" s="1"/>
      <c r="EPF226" s="1"/>
      <c r="EPG226" s="1"/>
      <c r="EPH226" s="1"/>
      <c r="EPI226" s="1"/>
      <c r="EPJ226" s="1"/>
      <c r="EPK226" s="1"/>
      <c r="EPL226" s="1"/>
      <c r="EPM226" s="1"/>
      <c r="EPN226" s="1"/>
      <c r="EPO226" s="1"/>
      <c r="EPP226" s="1"/>
      <c r="EPQ226" s="1"/>
      <c r="EPR226" s="1"/>
      <c r="EPS226" s="1"/>
      <c r="EPT226" s="1"/>
      <c r="EPU226" s="1"/>
      <c r="EPV226" s="1"/>
      <c r="EPW226" s="1"/>
      <c r="EPX226" s="1"/>
      <c r="EPY226" s="1"/>
      <c r="EPZ226" s="1"/>
      <c r="EQA226" s="1"/>
      <c r="EQB226" s="1"/>
      <c r="EQC226" s="1"/>
      <c r="EQD226" s="1"/>
      <c r="EQE226" s="1"/>
      <c r="EQF226" s="1"/>
      <c r="EQG226" s="1"/>
      <c r="EQH226" s="1"/>
      <c r="EQI226" s="1"/>
      <c r="EQJ226" s="1"/>
      <c r="EQK226" s="1"/>
      <c r="EQL226" s="1"/>
      <c r="EQM226" s="1"/>
      <c r="EQN226" s="1"/>
      <c r="EQO226" s="1"/>
      <c r="EQP226" s="1"/>
      <c r="EQQ226" s="1"/>
      <c r="EQR226" s="1"/>
      <c r="EQS226" s="1"/>
      <c r="EQT226" s="1"/>
      <c r="EQU226" s="1"/>
      <c r="EQV226" s="1"/>
      <c r="EQW226" s="1"/>
      <c r="EQX226" s="1"/>
      <c r="EQY226" s="1"/>
      <c r="EQZ226" s="1"/>
      <c r="ERA226" s="1"/>
      <c r="ERB226" s="1"/>
      <c r="ERC226" s="1"/>
      <c r="ERD226" s="1"/>
      <c r="ERE226" s="1"/>
      <c r="ERF226" s="1"/>
      <c r="ERG226" s="1"/>
      <c r="ERH226" s="1"/>
      <c r="ERI226" s="1"/>
      <c r="ERJ226" s="1"/>
      <c r="ERK226" s="1"/>
      <c r="ERL226" s="1"/>
      <c r="ERM226" s="1"/>
      <c r="ERN226" s="1"/>
      <c r="ERO226" s="1"/>
      <c r="ERP226" s="1"/>
      <c r="ERQ226" s="1"/>
      <c r="ERR226" s="1"/>
      <c r="ERS226" s="1"/>
      <c r="ERT226" s="1"/>
      <c r="ERU226" s="1"/>
      <c r="ERV226" s="1"/>
      <c r="ERW226" s="1"/>
      <c r="ERX226" s="1"/>
      <c r="ERY226" s="1"/>
      <c r="ERZ226" s="1"/>
      <c r="ESA226" s="1"/>
      <c r="ESB226" s="1"/>
      <c r="ESC226" s="1"/>
      <c r="ESD226" s="1"/>
      <c r="ESE226" s="1"/>
      <c r="ESF226" s="1"/>
      <c r="ESG226" s="1"/>
      <c r="ESH226" s="1"/>
      <c r="ESI226" s="1"/>
      <c r="ESJ226" s="1"/>
      <c r="ESK226" s="1"/>
      <c r="ESL226" s="1"/>
      <c r="ESM226" s="1"/>
      <c r="ESN226" s="1"/>
      <c r="ESO226" s="1"/>
      <c r="ESP226" s="1"/>
      <c r="ESQ226" s="1"/>
      <c r="ESR226" s="1"/>
      <c r="ESS226" s="1"/>
      <c r="EST226" s="1"/>
      <c r="ESU226" s="1"/>
      <c r="ESV226" s="1"/>
      <c r="ESW226" s="1"/>
      <c r="ESX226" s="1"/>
      <c r="ESY226" s="1"/>
      <c r="ESZ226" s="1"/>
      <c r="ETA226" s="1"/>
      <c r="ETB226" s="1"/>
      <c r="ETC226" s="1"/>
      <c r="ETD226" s="1"/>
      <c r="ETE226" s="1"/>
      <c r="ETF226" s="1"/>
      <c r="ETG226" s="1"/>
      <c r="ETH226" s="1"/>
      <c r="ETI226" s="1"/>
      <c r="ETJ226" s="1"/>
      <c r="ETK226" s="1"/>
      <c r="ETL226" s="1"/>
      <c r="ETM226" s="1"/>
      <c r="ETN226" s="1"/>
      <c r="ETO226" s="1"/>
      <c r="ETP226" s="1"/>
      <c r="ETQ226" s="1"/>
      <c r="ETR226" s="1"/>
      <c r="ETS226" s="1"/>
      <c r="ETT226" s="1"/>
      <c r="ETU226" s="1"/>
      <c r="ETV226" s="1"/>
      <c r="ETW226" s="1"/>
      <c r="ETX226" s="1"/>
      <c r="ETY226" s="1"/>
      <c r="ETZ226" s="1"/>
      <c r="EUA226" s="1"/>
      <c r="EUB226" s="1"/>
      <c r="EUC226" s="1"/>
      <c r="EUD226" s="1"/>
      <c r="EUE226" s="1"/>
      <c r="EUF226" s="1"/>
      <c r="EUG226" s="1"/>
      <c r="EUH226" s="1"/>
      <c r="EUI226" s="1"/>
      <c r="EUJ226" s="1"/>
      <c r="EUK226" s="1"/>
      <c r="EUL226" s="1"/>
      <c r="EUM226" s="1"/>
      <c r="EUN226" s="1"/>
      <c r="EUO226" s="1"/>
      <c r="EUP226" s="1"/>
      <c r="EUQ226" s="1"/>
      <c r="EUR226" s="1"/>
      <c r="EUS226" s="1"/>
      <c r="EUT226" s="1"/>
      <c r="EUU226" s="1"/>
      <c r="EUV226" s="1"/>
      <c r="EUW226" s="1"/>
      <c r="EUX226" s="1"/>
      <c r="EUY226" s="1"/>
      <c r="EUZ226" s="1"/>
      <c r="EVA226" s="1"/>
      <c r="EVB226" s="1"/>
      <c r="EVC226" s="1"/>
      <c r="EVD226" s="1"/>
      <c r="EVE226" s="1"/>
      <c r="EVF226" s="1"/>
      <c r="EVG226" s="1"/>
      <c r="EVH226" s="1"/>
      <c r="EVI226" s="1"/>
      <c r="EVJ226" s="1"/>
      <c r="EVK226" s="1"/>
      <c r="EVL226" s="1"/>
      <c r="EVM226" s="1"/>
      <c r="EVN226" s="1"/>
      <c r="EVO226" s="1"/>
      <c r="EVP226" s="1"/>
      <c r="EVQ226" s="1"/>
      <c r="EVR226" s="1"/>
      <c r="EVS226" s="1"/>
      <c r="EVT226" s="1"/>
      <c r="EVU226" s="1"/>
      <c r="EVV226" s="1"/>
      <c r="EVW226" s="1"/>
      <c r="EVX226" s="1"/>
      <c r="EVY226" s="1"/>
      <c r="EVZ226" s="1"/>
      <c r="EWA226" s="1"/>
      <c r="EWB226" s="1"/>
      <c r="EWC226" s="1"/>
      <c r="EWD226" s="1"/>
      <c r="EWE226" s="1"/>
      <c r="EWF226" s="1"/>
      <c r="EWG226" s="1"/>
      <c r="EWH226" s="1"/>
      <c r="EWI226" s="1"/>
      <c r="EWJ226" s="1"/>
      <c r="EWK226" s="1"/>
      <c r="EWL226" s="1"/>
      <c r="EWM226" s="1"/>
      <c r="EWN226" s="1"/>
      <c r="EWO226" s="1"/>
      <c r="EWP226" s="1"/>
      <c r="EWQ226" s="1"/>
      <c r="EWR226" s="1"/>
      <c r="EWS226" s="1"/>
      <c r="EWT226" s="1"/>
      <c r="EWU226" s="1"/>
      <c r="EWV226" s="1"/>
      <c r="EWW226" s="1"/>
      <c r="EWX226" s="1"/>
      <c r="EWY226" s="1"/>
      <c r="EWZ226" s="1"/>
      <c r="EXA226" s="1"/>
      <c r="EXB226" s="1"/>
      <c r="EXC226" s="1"/>
      <c r="EXD226" s="1"/>
      <c r="EXE226" s="1"/>
      <c r="EXF226" s="1"/>
      <c r="EXG226" s="1"/>
      <c r="EXH226" s="1"/>
      <c r="EXI226" s="1"/>
      <c r="EXJ226" s="1"/>
      <c r="EXK226" s="1"/>
      <c r="EXL226" s="1"/>
      <c r="EXM226" s="1"/>
      <c r="EXN226" s="1"/>
      <c r="EXO226" s="1"/>
      <c r="EXP226" s="1"/>
      <c r="EXQ226" s="1"/>
      <c r="EXR226" s="1"/>
      <c r="EXS226" s="1"/>
      <c r="EXT226" s="1"/>
      <c r="EXU226" s="1"/>
      <c r="EXV226" s="1"/>
      <c r="EXW226" s="1"/>
      <c r="EXX226" s="1"/>
      <c r="EXY226" s="1"/>
      <c r="EXZ226" s="1"/>
      <c r="EYA226" s="1"/>
      <c r="EYB226" s="1"/>
      <c r="EYC226" s="1"/>
      <c r="EYD226" s="1"/>
      <c r="EYE226" s="1"/>
      <c r="EYF226" s="1"/>
      <c r="EYG226" s="1"/>
      <c r="EYH226" s="1"/>
      <c r="EYI226" s="1"/>
      <c r="EYJ226" s="1"/>
      <c r="EYK226" s="1"/>
      <c r="EYL226" s="1"/>
      <c r="EYM226" s="1"/>
      <c r="EYN226" s="1"/>
      <c r="EYO226" s="1"/>
      <c r="EYP226" s="1"/>
      <c r="EYQ226" s="1"/>
      <c r="EYR226" s="1"/>
      <c r="EYS226" s="1"/>
      <c r="EYT226" s="1"/>
      <c r="EYU226" s="1"/>
      <c r="EYV226" s="1"/>
      <c r="EYW226" s="1"/>
      <c r="EYX226" s="1"/>
      <c r="EYY226" s="1"/>
      <c r="EYZ226" s="1"/>
      <c r="EZA226" s="1"/>
      <c r="EZB226" s="1"/>
      <c r="EZC226" s="1"/>
      <c r="EZD226" s="1"/>
      <c r="EZE226" s="1"/>
      <c r="EZF226" s="1"/>
      <c r="EZG226" s="1"/>
      <c r="EZH226" s="1"/>
      <c r="EZI226" s="1"/>
      <c r="EZJ226" s="1"/>
      <c r="EZK226" s="1"/>
      <c r="EZL226" s="1"/>
      <c r="EZM226" s="1"/>
      <c r="EZN226" s="1"/>
      <c r="EZO226" s="1"/>
      <c r="EZP226" s="1"/>
      <c r="EZQ226" s="1"/>
      <c r="EZR226" s="1"/>
      <c r="EZS226" s="1"/>
      <c r="EZT226" s="1"/>
      <c r="EZU226" s="1"/>
      <c r="EZV226" s="1"/>
      <c r="EZW226" s="1"/>
      <c r="EZX226" s="1"/>
      <c r="EZY226" s="1"/>
      <c r="EZZ226" s="1"/>
      <c r="FAA226" s="1"/>
      <c r="FAB226" s="1"/>
      <c r="FAC226" s="1"/>
      <c r="FAD226" s="1"/>
      <c r="FAE226" s="1"/>
      <c r="FAF226" s="1"/>
      <c r="FAG226" s="1"/>
      <c r="FAH226" s="1"/>
      <c r="FAI226" s="1"/>
      <c r="FAJ226" s="1"/>
      <c r="FAK226" s="1"/>
      <c r="FAL226" s="1"/>
      <c r="FAM226" s="1"/>
      <c r="FAN226" s="1"/>
      <c r="FAO226" s="1"/>
      <c r="FAP226" s="1"/>
      <c r="FAQ226" s="1"/>
      <c r="FAR226" s="1"/>
      <c r="FAS226" s="1"/>
      <c r="FAT226" s="1"/>
      <c r="FAU226" s="1"/>
      <c r="FAV226" s="1"/>
      <c r="FAW226" s="1"/>
      <c r="FAX226" s="1"/>
      <c r="FAY226" s="1"/>
      <c r="FAZ226" s="1"/>
      <c r="FBA226" s="1"/>
      <c r="FBB226" s="1"/>
      <c r="FBC226" s="1"/>
      <c r="FBD226" s="1"/>
      <c r="FBE226" s="1"/>
      <c r="FBF226" s="1"/>
      <c r="FBG226" s="1"/>
      <c r="FBH226" s="1"/>
      <c r="FBI226" s="1"/>
      <c r="FBJ226" s="1"/>
      <c r="FBK226" s="1"/>
      <c r="FBL226" s="1"/>
      <c r="FBM226" s="1"/>
      <c r="FBN226" s="1"/>
      <c r="FBO226" s="1"/>
      <c r="FBP226" s="1"/>
      <c r="FBQ226" s="1"/>
      <c r="FBR226" s="1"/>
      <c r="FBS226" s="1"/>
      <c r="FBT226" s="1"/>
      <c r="FBU226" s="1"/>
      <c r="FBV226" s="1"/>
      <c r="FBW226" s="1"/>
      <c r="FBX226" s="1"/>
      <c r="FBY226" s="1"/>
      <c r="FBZ226" s="1"/>
      <c r="FCA226" s="1"/>
      <c r="FCB226" s="1"/>
      <c r="FCC226" s="1"/>
      <c r="FCD226" s="1"/>
      <c r="FCE226" s="1"/>
      <c r="FCF226" s="1"/>
      <c r="FCG226" s="1"/>
      <c r="FCH226" s="1"/>
      <c r="FCI226" s="1"/>
      <c r="FCJ226" s="1"/>
      <c r="FCK226" s="1"/>
      <c r="FCL226" s="1"/>
      <c r="FCM226" s="1"/>
      <c r="FCN226" s="1"/>
      <c r="FCO226" s="1"/>
      <c r="FCP226" s="1"/>
      <c r="FCQ226" s="1"/>
      <c r="FCR226" s="1"/>
      <c r="FCS226" s="1"/>
      <c r="FCT226" s="1"/>
      <c r="FCU226" s="1"/>
      <c r="FCV226" s="1"/>
      <c r="FCW226" s="1"/>
      <c r="FCX226" s="1"/>
      <c r="FCY226" s="1"/>
      <c r="FCZ226" s="1"/>
      <c r="FDA226" s="1"/>
      <c r="FDB226" s="1"/>
      <c r="FDC226" s="1"/>
      <c r="FDD226" s="1"/>
      <c r="FDE226" s="1"/>
      <c r="FDF226" s="1"/>
      <c r="FDG226" s="1"/>
      <c r="FDH226" s="1"/>
      <c r="FDI226" s="1"/>
      <c r="FDJ226" s="1"/>
      <c r="FDK226" s="1"/>
      <c r="FDL226" s="1"/>
      <c r="FDM226" s="1"/>
      <c r="FDN226" s="1"/>
      <c r="FDO226" s="1"/>
      <c r="FDP226" s="1"/>
      <c r="FDQ226" s="1"/>
      <c r="FDR226" s="1"/>
      <c r="FDS226" s="1"/>
      <c r="FDT226" s="1"/>
      <c r="FDU226" s="1"/>
      <c r="FDV226" s="1"/>
      <c r="FDW226" s="1"/>
      <c r="FDX226" s="1"/>
      <c r="FDY226" s="1"/>
      <c r="FDZ226" s="1"/>
      <c r="FEA226" s="1"/>
      <c r="FEB226" s="1"/>
      <c r="FEC226" s="1"/>
      <c r="FED226" s="1"/>
      <c r="FEE226" s="1"/>
      <c r="FEF226" s="1"/>
      <c r="FEG226" s="1"/>
      <c r="FEH226" s="1"/>
      <c r="FEI226" s="1"/>
      <c r="FEJ226" s="1"/>
      <c r="FEK226" s="1"/>
      <c r="FEL226" s="1"/>
      <c r="FEM226" s="1"/>
      <c r="FEN226" s="1"/>
      <c r="FEO226" s="1"/>
      <c r="FEP226" s="1"/>
      <c r="FEQ226" s="1"/>
      <c r="FER226" s="1"/>
      <c r="FES226" s="1"/>
      <c r="FET226" s="1"/>
      <c r="FEU226" s="1"/>
      <c r="FEV226" s="1"/>
      <c r="FEW226" s="1"/>
      <c r="FEX226" s="1"/>
      <c r="FEY226" s="1"/>
      <c r="FEZ226" s="1"/>
      <c r="FFA226" s="1"/>
      <c r="FFB226" s="1"/>
      <c r="FFC226" s="1"/>
      <c r="FFD226" s="1"/>
      <c r="FFE226" s="1"/>
      <c r="FFF226" s="1"/>
      <c r="FFG226" s="1"/>
      <c r="FFH226" s="1"/>
      <c r="FFI226" s="1"/>
      <c r="FFJ226" s="1"/>
      <c r="FFK226" s="1"/>
      <c r="FFL226" s="1"/>
      <c r="FFM226" s="1"/>
      <c r="FFN226" s="1"/>
      <c r="FFO226" s="1"/>
      <c r="FFP226" s="1"/>
      <c r="FFQ226" s="1"/>
      <c r="FFR226" s="1"/>
      <c r="FFS226" s="1"/>
      <c r="FFT226" s="1"/>
      <c r="FFU226" s="1"/>
      <c r="FFV226" s="1"/>
      <c r="FFW226" s="1"/>
      <c r="FFX226" s="1"/>
      <c r="FFY226" s="1"/>
      <c r="FFZ226" s="1"/>
      <c r="FGA226" s="1"/>
      <c r="FGB226" s="1"/>
      <c r="FGC226" s="1"/>
      <c r="FGD226" s="1"/>
      <c r="FGE226" s="1"/>
      <c r="FGF226" s="1"/>
      <c r="FGG226" s="1"/>
      <c r="FGH226" s="1"/>
      <c r="FGI226" s="1"/>
      <c r="FGJ226" s="1"/>
      <c r="FGK226" s="1"/>
      <c r="FGL226" s="1"/>
      <c r="FGM226" s="1"/>
      <c r="FGN226" s="1"/>
      <c r="FGO226" s="1"/>
      <c r="FGP226" s="1"/>
      <c r="FGQ226" s="1"/>
      <c r="FGR226" s="1"/>
      <c r="FGS226" s="1"/>
      <c r="FGT226" s="1"/>
      <c r="FGU226" s="1"/>
      <c r="FGV226" s="1"/>
      <c r="FGW226" s="1"/>
      <c r="FGX226" s="1"/>
      <c r="FGY226" s="1"/>
      <c r="FGZ226" s="1"/>
      <c r="FHA226" s="1"/>
      <c r="FHB226" s="1"/>
      <c r="FHC226" s="1"/>
      <c r="FHD226" s="1"/>
      <c r="FHE226" s="1"/>
      <c r="FHF226" s="1"/>
      <c r="FHG226" s="1"/>
      <c r="FHH226" s="1"/>
      <c r="FHI226" s="1"/>
      <c r="FHJ226" s="1"/>
      <c r="FHK226" s="1"/>
      <c r="FHL226" s="1"/>
      <c r="FHM226" s="1"/>
      <c r="FHN226" s="1"/>
      <c r="FHO226" s="1"/>
      <c r="FHP226" s="1"/>
      <c r="FHQ226" s="1"/>
      <c r="FHR226" s="1"/>
      <c r="FHS226" s="1"/>
      <c r="FHT226" s="1"/>
      <c r="FHU226" s="1"/>
      <c r="FHV226" s="1"/>
      <c r="FHW226" s="1"/>
      <c r="FHX226" s="1"/>
      <c r="FHY226" s="1"/>
      <c r="FHZ226" s="1"/>
      <c r="FIA226" s="1"/>
      <c r="FIB226" s="1"/>
      <c r="FIC226" s="1"/>
      <c r="FID226" s="1"/>
      <c r="FIE226" s="1"/>
      <c r="FIF226" s="1"/>
      <c r="FIG226" s="1"/>
      <c r="FIH226" s="1"/>
      <c r="FII226" s="1"/>
      <c r="FIJ226" s="1"/>
      <c r="FIK226" s="1"/>
      <c r="FIL226" s="1"/>
      <c r="FIM226" s="1"/>
      <c r="FIN226" s="1"/>
      <c r="FIO226" s="1"/>
      <c r="FIP226" s="1"/>
      <c r="FIQ226" s="1"/>
      <c r="FIR226" s="1"/>
      <c r="FIS226" s="1"/>
      <c r="FIT226" s="1"/>
      <c r="FIU226" s="1"/>
      <c r="FIV226" s="1"/>
      <c r="FIW226" s="1"/>
      <c r="FIX226" s="1"/>
      <c r="FIY226" s="1"/>
      <c r="FIZ226" s="1"/>
      <c r="FJA226" s="1"/>
      <c r="FJB226" s="1"/>
      <c r="FJC226" s="1"/>
      <c r="FJD226" s="1"/>
      <c r="FJE226" s="1"/>
      <c r="FJF226" s="1"/>
      <c r="FJG226" s="1"/>
      <c r="FJH226" s="1"/>
      <c r="FJI226" s="1"/>
      <c r="FJJ226" s="1"/>
      <c r="FJK226" s="1"/>
      <c r="FJL226" s="1"/>
      <c r="FJM226" s="1"/>
      <c r="FJN226" s="1"/>
      <c r="FJO226" s="1"/>
      <c r="FJP226" s="1"/>
      <c r="FJQ226" s="1"/>
      <c r="FJR226" s="1"/>
      <c r="FJS226" s="1"/>
      <c r="FJT226" s="1"/>
      <c r="FJU226" s="1"/>
      <c r="FJV226" s="1"/>
      <c r="FJW226" s="1"/>
      <c r="FJX226" s="1"/>
      <c r="FJY226" s="1"/>
      <c r="FJZ226" s="1"/>
      <c r="FKA226" s="1"/>
      <c r="FKB226" s="1"/>
      <c r="FKC226" s="1"/>
      <c r="FKD226" s="1"/>
      <c r="FKE226" s="1"/>
      <c r="FKF226" s="1"/>
      <c r="FKG226" s="1"/>
      <c r="FKH226" s="1"/>
      <c r="FKI226" s="1"/>
      <c r="FKJ226" s="1"/>
      <c r="FKK226" s="1"/>
      <c r="FKL226" s="1"/>
      <c r="FKM226" s="1"/>
      <c r="FKN226" s="1"/>
      <c r="FKO226" s="1"/>
      <c r="FKP226" s="1"/>
      <c r="FKQ226" s="1"/>
      <c r="FKR226" s="1"/>
      <c r="FKS226" s="1"/>
      <c r="FKT226" s="1"/>
      <c r="FKU226" s="1"/>
      <c r="FKV226" s="1"/>
      <c r="FKW226" s="1"/>
      <c r="FKX226" s="1"/>
      <c r="FKY226" s="1"/>
      <c r="FKZ226" s="1"/>
      <c r="FLA226" s="1"/>
      <c r="FLB226" s="1"/>
      <c r="FLC226" s="1"/>
      <c r="FLD226" s="1"/>
      <c r="FLE226" s="1"/>
      <c r="FLF226" s="1"/>
      <c r="FLG226" s="1"/>
      <c r="FLH226" s="1"/>
      <c r="FLI226" s="1"/>
      <c r="FLJ226" s="1"/>
      <c r="FLK226" s="1"/>
      <c r="FLL226" s="1"/>
      <c r="FLM226" s="1"/>
      <c r="FLN226" s="1"/>
      <c r="FLO226" s="1"/>
      <c r="FLP226" s="1"/>
      <c r="FLQ226" s="1"/>
      <c r="FLR226" s="1"/>
      <c r="FLS226" s="1"/>
      <c r="FLT226" s="1"/>
      <c r="FLU226" s="1"/>
      <c r="FLV226" s="1"/>
      <c r="FLW226" s="1"/>
      <c r="FLX226" s="1"/>
      <c r="FLY226" s="1"/>
      <c r="FLZ226" s="1"/>
      <c r="FMA226" s="1"/>
      <c r="FMB226" s="1"/>
      <c r="FMC226" s="1"/>
      <c r="FMD226" s="1"/>
      <c r="FME226" s="1"/>
      <c r="FMF226" s="1"/>
      <c r="FMG226" s="1"/>
      <c r="FMH226" s="1"/>
      <c r="FMI226" s="1"/>
      <c r="FMJ226" s="1"/>
      <c r="FMK226" s="1"/>
      <c r="FML226" s="1"/>
      <c r="FMM226" s="1"/>
      <c r="FMN226" s="1"/>
      <c r="FMO226" s="1"/>
      <c r="FMP226" s="1"/>
      <c r="FMQ226" s="1"/>
      <c r="FMR226" s="1"/>
      <c r="FMS226" s="1"/>
      <c r="FMT226" s="1"/>
      <c r="FMU226" s="1"/>
      <c r="FMV226" s="1"/>
      <c r="FMW226" s="1"/>
      <c r="FMX226" s="1"/>
      <c r="FMY226" s="1"/>
      <c r="FMZ226" s="1"/>
      <c r="FNA226" s="1"/>
      <c r="FNB226" s="1"/>
      <c r="FNC226" s="1"/>
      <c r="FND226" s="1"/>
      <c r="FNE226" s="1"/>
      <c r="FNF226" s="1"/>
      <c r="FNG226" s="1"/>
      <c r="FNH226" s="1"/>
      <c r="FNI226" s="1"/>
      <c r="FNJ226" s="1"/>
      <c r="FNK226" s="1"/>
      <c r="FNL226" s="1"/>
      <c r="FNM226" s="1"/>
      <c r="FNN226" s="1"/>
      <c r="FNO226" s="1"/>
      <c r="FNP226" s="1"/>
      <c r="FNQ226" s="1"/>
      <c r="FNR226" s="1"/>
      <c r="FNS226" s="1"/>
      <c r="FNT226" s="1"/>
      <c r="FNU226" s="1"/>
      <c r="FNV226" s="1"/>
      <c r="FNW226" s="1"/>
      <c r="FNX226" s="1"/>
      <c r="FNY226" s="1"/>
      <c r="FNZ226" s="1"/>
      <c r="FOA226" s="1"/>
      <c r="FOB226" s="1"/>
      <c r="FOC226" s="1"/>
      <c r="FOD226" s="1"/>
      <c r="FOE226" s="1"/>
      <c r="FOF226" s="1"/>
      <c r="FOG226" s="1"/>
      <c r="FOH226" s="1"/>
      <c r="FOI226" s="1"/>
      <c r="FOJ226" s="1"/>
      <c r="FOK226" s="1"/>
      <c r="FOL226" s="1"/>
      <c r="FOM226" s="1"/>
      <c r="FON226" s="1"/>
      <c r="FOO226" s="1"/>
      <c r="FOP226" s="1"/>
      <c r="FOQ226" s="1"/>
      <c r="FOR226" s="1"/>
      <c r="FOS226" s="1"/>
      <c r="FOT226" s="1"/>
      <c r="FOU226" s="1"/>
      <c r="FOV226" s="1"/>
      <c r="FOW226" s="1"/>
      <c r="FOX226" s="1"/>
      <c r="FOY226" s="1"/>
      <c r="FOZ226" s="1"/>
      <c r="FPA226" s="1"/>
      <c r="FPB226" s="1"/>
      <c r="FPC226" s="1"/>
      <c r="FPD226" s="1"/>
      <c r="FPE226" s="1"/>
      <c r="FPF226" s="1"/>
      <c r="FPG226" s="1"/>
      <c r="FPH226" s="1"/>
      <c r="FPI226" s="1"/>
      <c r="FPJ226" s="1"/>
      <c r="FPK226" s="1"/>
      <c r="FPL226" s="1"/>
      <c r="FPM226" s="1"/>
      <c r="FPN226" s="1"/>
      <c r="FPO226" s="1"/>
      <c r="FPP226" s="1"/>
      <c r="FPQ226" s="1"/>
      <c r="FPR226" s="1"/>
      <c r="FPS226" s="1"/>
      <c r="FPT226" s="1"/>
      <c r="FPU226" s="1"/>
      <c r="FPV226" s="1"/>
      <c r="FPW226" s="1"/>
      <c r="FPX226" s="1"/>
      <c r="FPY226" s="1"/>
      <c r="FPZ226" s="1"/>
      <c r="FQA226" s="1"/>
      <c r="FQB226" s="1"/>
      <c r="FQC226" s="1"/>
      <c r="FQD226" s="1"/>
      <c r="FQE226" s="1"/>
      <c r="FQF226" s="1"/>
      <c r="FQG226" s="1"/>
      <c r="FQH226" s="1"/>
      <c r="FQI226" s="1"/>
      <c r="FQJ226" s="1"/>
      <c r="FQK226" s="1"/>
      <c r="FQL226" s="1"/>
      <c r="FQM226" s="1"/>
      <c r="FQN226" s="1"/>
      <c r="FQO226" s="1"/>
      <c r="FQP226" s="1"/>
      <c r="FQQ226" s="1"/>
      <c r="FQR226" s="1"/>
      <c r="FQS226" s="1"/>
      <c r="FQT226" s="1"/>
      <c r="FQU226" s="1"/>
      <c r="FQV226" s="1"/>
      <c r="FQW226" s="1"/>
      <c r="FQX226" s="1"/>
      <c r="FQY226" s="1"/>
      <c r="FQZ226" s="1"/>
      <c r="FRA226" s="1"/>
      <c r="FRB226" s="1"/>
      <c r="FRC226" s="1"/>
      <c r="FRD226" s="1"/>
      <c r="FRE226" s="1"/>
      <c r="FRF226" s="1"/>
      <c r="FRG226" s="1"/>
      <c r="FRH226" s="1"/>
      <c r="FRI226" s="1"/>
      <c r="FRJ226" s="1"/>
      <c r="FRK226" s="1"/>
      <c r="FRL226" s="1"/>
      <c r="FRM226" s="1"/>
      <c r="FRN226" s="1"/>
      <c r="FRO226" s="1"/>
      <c r="FRP226" s="1"/>
      <c r="FRQ226" s="1"/>
      <c r="FRR226" s="1"/>
      <c r="FRS226" s="1"/>
      <c r="FRT226" s="1"/>
      <c r="FRU226" s="1"/>
      <c r="FRV226" s="1"/>
      <c r="FRW226" s="1"/>
      <c r="FRX226" s="1"/>
      <c r="FRY226" s="1"/>
      <c r="FRZ226" s="1"/>
      <c r="FSA226" s="1"/>
      <c r="FSB226" s="1"/>
      <c r="FSC226" s="1"/>
      <c r="FSD226" s="1"/>
      <c r="FSE226" s="1"/>
      <c r="FSF226" s="1"/>
      <c r="FSG226" s="1"/>
      <c r="FSH226" s="1"/>
      <c r="FSI226" s="1"/>
      <c r="FSJ226" s="1"/>
      <c r="FSK226" s="1"/>
      <c r="FSL226" s="1"/>
      <c r="FSM226" s="1"/>
      <c r="FSN226" s="1"/>
      <c r="FSO226" s="1"/>
      <c r="FSP226" s="1"/>
      <c r="FSQ226" s="1"/>
      <c r="FSR226" s="1"/>
      <c r="FSS226" s="1"/>
      <c r="FST226" s="1"/>
      <c r="FSU226" s="1"/>
      <c r="FSV226" s="1"/>
      <c r="FSW226" s="1"/>
      <c r="FSX226" s="1"/>
      <c r="FSY226" s="1"/>
      <c r="FSZ226" s="1"/>
      <c r="FTA226" s="1"/>
      <c r="FTB226" s="1"/>
      <c r="FTC226" s="1"/>
      <c r="FTD226" s="1"/>
      <c r="FTE226" s="1"/>
      <c r="FTF226" s="1"/>
      <c r="FTG226" s="1"/>
      <c r="FTH226" s="1"/>
      <c r="FTI226" s="1"/>
      <c r="FTJ226" s="1"/>
      <c r="FTK226" s="1"/>
      <c r="FTL226" s="1"/>
      <c r="FTM226" s="1"/>
      <c r="FTN226" s="1"/>
      <c r="FTO226" s="1"/>
      <c r="FTP226" s="1"/>
      <c r="FTQ226" s="1"/>
      <c r="FTR226" s="1"/>
      <c r="FTS226" s="1"/>
      <c r="FTT226" s="1"/>
      <c r="FTU226" s="1"/>
      <c r="FTV226" s="1"/>
      <c r="FTW226" s="1"/>
      <c r="FTX226" s="1"/>
      <c r="FTY226" s="1"/>
      <c r="FTZ226" s="1"/>
      <c r="FUA226" s="1"/>
      <c r="FUB226" s="1"/>
      <c r="FUC226" s="1"/>
      <c r="FUD226" s="1"/>
      <c r="FUE226" s="1"/>
      <c r="FUF226" s="1"/>
      <c r="FUG226" s="1"/>
      <c r="FUH226" s="1"/>
      <c r="FUI226" s="1"/>
      <c r="FUJ226" s="1"/>
      <c r="FUK226" s="1"/>
      <c r="FUL226" s="1"/>
      <c r="FUM226" s="1"/>
      <c r="FUN226" s="1"/>
      <c r="FUO226" s="1"/>
      <c r="FUP226" s="1"/>
      <c r="FUQ226" s="1"/>
      <c r="FUR226" s="1"/>
      <c r="FUS226" s="1"/>
      <c r="FUT226" s="1"/>
      <c r="FUU226" s="1"/>
      <c r="FUV226" s="1"/>
      <c r="FUW226" s="1"/>
      <c r="FUX226" s="1"/>
      <c r="FUY226" s="1"/>
      <c r="FUZ226" s="1"/>
      <c r="FVA226" s="1"/>
      <c r="FVB226" s="1"/>
      <c r="FVC226" s="1"/>
      <c r="FVD226" s="1"/>
      <c r="FVE226" s="1"/>
      <c r="FVF226" s="1"/>
      <c r="FVG226" s="1"/>
      <c r="FVH226" s="1"/>
      <c r="FVI226" s="1"/>
      <c r="FVJ226" s="1"/>
      <c r="FVK226" s="1"/>
      <c r="FVL226" s="1"/>
      <c r="FVM226" s="1"/>
      <c r="FVN226" s="1"/>
      <c r="FVO226" s="1"/>
      <c r="FVP226" s="1"/>
      <c r="FVQ226" s="1"/>
      <c r="FVR226" s="1"/>
      <c r="FVS226" s="1"/>
      <c r="FVT226" s="1"/>
      <c r="FVU226" s="1"/>
      <c r="FVV226" s="1"/>
      <c r="FVW226" s="1"/>
      <c r="FVX226" s="1"/>
      <c r="FVY226" s="1"/>
      <c r="FVZ226" s="1"/>
      <c r="FWA226" s="1"/>
      <c r="FWB226" s="1"/>
      <c r="FWC226" s="1"/>
      <c r="FWD226" s="1"/>
      <c r="FWE226" s="1"/>
      <c r="FWF226" s="1"/>
      <c r="FWG226" s="1"/>
      <c r="FWH226" s="1"/>
      <c r="FWI226" s="1"/>
      <c r="FWJ226" s="1"/>
      <c r="FWK226" s="1"/>
      <c r="FWL226" s="1"/>
      <c r="FWM226" s="1"/>
      <c r="FWN226" s="1"/>
      <c r="FWO226" s="1"/>
      <c r="FWP226" s="1"/>
      <c r="FWQ226" s="1"/>
      <c r="FWR226" s="1"/>
      <c r="FWS226" s="1"/>
      <c r="FWT226" s="1"/>
      <c r="FWU226" s="1"/>
      <c r="FWV226" s="1"/>
      <c r="FWW226" s="1"/>
      <c r="FWX226" s="1"/>
      <c r="FWY226" s="1"/>
      <c r="FWZ226" s="1"/>
      <c r="FXA226" s="1"/>
      <c r="FXB226" s="1"/>
      <c r="FXC226" s="1"/>
      <c r="FXD226" s="1"/>
      <c r="FXE226" s="1"/>
      <c r="FXF226" s="1"/>
      <c r="FXG226" s="1"/>
      <c r="FXH226" s="1"/>
      <c r="FXI226" s="1"/>
      <c r="FXJ226" s="1"/>
      <c r="FXK226" s="1"/>
      <c r="FXL226" s="1"/>
      <c r="FXM226" s="1"/>
      <c r="FXN226" s="1"/>
      <c r="FXO226" s="1"/>
      <c r="FXP226" s="1"/>
      <c r="FXQ226" s="1"/>
      <c r="FXR226" s="1"/>
      <c r="FXS226" s="1"/>
      <c r="FXT226" s="1"/>
      <c r="FXU226" s="1"/>
      <c r="FXV226" s="1"/>
      <c r="FXW226" s="1"/>
      <c r="FXX226" s="1"/>
      <c r="FXY226" s="1"/>
      <c r="FXZ226" s="1"/>
      <c r="FYA226" s="1"/>
      <c r="FYB226" s="1"/>
      <c r="FYC226" s="1"/>
      <c r="FYD226" s="1"/>
      <c r="FYE226" s="1"/>
      <c r="FYF226" s="1"/>
      <c r="FYG226" s="1"/>
      <c r="FYH226" s="1"/>
      <c r="FYI226" s="1"/>
      <c r="FYJ226" s="1"/>
      <c r="FYK226" s="1"/>
      <c r="FYL226" s="1"/>
      <c r="FYM226" s="1"/>
      <c r="FYN226" s="1"/>
      <c r="FYO226" s="1"/>
      <c r="FYP226" s="1"/>
      <c r="FYQ226" s="1"/>
      <c r="FYR226" s="1"/>
      <c r="FYS226" s="1"/>
      <c r="FYT226" s="1"/>
      <c r="FYU226" s="1"/>
      <c r="FYV226" s="1"/>
      <c r="FYW226" s="1"/>
      <c r="FYX226" s="1"/>
      <c r="FYY226" s="1"/>
      <c r="FYZ226" s="1"/>
      <c r="FZA226" s="1"/>
      <c r="FZB226" s="1"/>
      <c r="FZC226" s="1"/>
      <c r="FZD226" s="1"/>
      <c r="FZE226" s="1"/>
      <c r="FZF226" s="1"/>
      <c r="FZG226" s="1"/>
      <c r="FZH226" s="1"/>
      <c r="FZI226" s="1"/>
      <c r="FZJ226" s="1"/>
      <c r="FZK226" s="1"/>
      <c r="FZL226" s="1"/>
      <c r="FZM226" s="1"/>
      <c r="FZN226" s="1"/>
      <c r="FZO226" s="1"/>
      <c r="FZP226" s="1"/>
      <c r="FZQ226" s="1"/>
      <c r="FZR226" s="1"/>
      <c r="FZS226" s="1"/>
      <c r="FZT226" s="1"/>
      <c r="FZU226" s="1"/>
      <c r="FZV226" s="1"/>
      <c r="FZW226" s="1"/>
      <c r="FZX226" s="1"/>
      <c r="FZY226" s="1"/>
      <c r="FZZ226" s="1"/>
      <c r="GAA226" s="1"/>
      <c r="GAB226" s="1"/>
      <c r="GAC226" s="1"/>
      <c r="GAD226" s="1"/>
      <c r="GAE226" s="1"/>
      <c r="GAF226" s="1"/>
      <c r="GAG226" s="1"/>
      <c r="GAH226" s="1"/>
      <c r="GAI226" s="1"/>
      <c r="GAJ226" s="1"/>
      <c r="GAK226" s="1"/>
      <c r="GAL226" s="1"/>
      <c r="GAM226" s="1"/>
      <c r="GAN226" s="1"/>
      <c r="GAO226" s="1"/>
      <c r="GAP226" s="1"/>
      <c r="GAQ226" s="1"/>
      <c r="GAR226" s="1"/>
      <c r="GAS226" s="1"/>
      <c r="GAT226" s="1"/>
      <c r="GAU226" s="1"/>
      <c r="GAV226" s="1"/>
      <c r="GAW226" s="1"/>
      <c r="GAX226" s="1"/>
      <c r="GAY226" s="1"/>
      <c r="GAZ226" s="1"/>
      <c r="GBA226" s="1"/>
      <c r="GBB226" s="1"/>
      <c r="GBC226" s="1"/>
      <c r="GBD226" s="1"/>
      <c r="GBE226" s="1"/>
      <c r="GBF226" s="1"/>
      <c r="GBG226" s="1"/>
      <c r="GBH226" s="1"/>
      <c r="GBI226" s="1"/>
      <c r="GBJ226" s="1"/>
      <c r="GBK226" s="1"/>
      <c r="GBL226" s="1"/>
      <c r="GBM226" s="1"/>
      <c r="GBN226" s="1"/>
      <c r="GBO226" s="1"/>
      <c r="GBP226" s="1"/>
      <c r="GBQ226" s="1"/>
      <c r="GBR226" s="1"/>
      <c r="GBS226" s="1"/>
      <c r="GBT226" s="1"/>
      <c r="GBU226" s="1"/>
      <c r="GBV226" s="1"/>
      <c r="GBW226" s="1"/>
      <c r="GBX226" s="1"/>
      <c r="GBY226" s="1"/>
      <c r="GBZ226" s="1"/>
      <c r="GCA226" s="1"/>
      <c r="GCB226" s="1"/>
      <c r="GCC226" s="1"/>
      <c r="GCD226" s="1"/>
      <c r="GCE226" s="1"/>
      <c r="GCF226" s="1"/>
      <c r="GCG226" s="1"/>
      <c r="GCH226" s="1"/>
      <c r="GCI226" s="1"/>
      <c r="GCJ226" s="1"/>
      <c r="GCK226" s="1"/>
      <c r="GCL226" s="1"/>
      <c r="GCM226" s="1"/>
      <c r="GCN226" s="1"/>
      <c r="GCO226" s="1"/>
      <c r="GCP226" s="1"/>
      <c r="GCQ226" s="1"/>
      <c r="GCR226" s="1"/>
      <c r="GCS226" s="1"/>
      <c r="GCT226" s="1"/>
      <c r="GCU226" s="1"/>
      <c r="GCV226" s="1"/>
      <c r="GCW226" s="1"/>
      <c r="GCX226" s="1"/>
      <c r="GCY226" s="1"/>
      <c r="GCZ226" s="1"/>
      <c r="GDA226" s="1"/>
      <c r="GDB226" s="1"/>
      <c r="GDC226" s="1"/>
      <c r="GDD226" s="1"/>
      <c r="GDE226" s="1"/>
      <c r="GDF226" s="1"/>
      <c r="GDG226" s="1"/>
      <c r="GDH226" s="1"/>
      <c r="GDI226" s="1"/>
      <c r="GDJ226" s="1"/>
      <c r="GDK226" s="1"/>
      <c r="GDL226" s="1"/>
      <c r="GDM226" s="1"/>
      <c r="GDN226" s="1"/>
      <c r="GDO226" s="1"/>
      <c r="GDP226" s="1"/>
      <c r="GDQ226" s="1"/>
      <c r="GDR226" s="1"/>
      <c r="GDS226" s="1"/>
      <c r="GDT226" s="1"/>
      <c r="GDU226" s="1"/>
      <c r="GDV226" s="1"/>
      <c r="GDW226" s="1"/>
      <c r="GDX226" s="1"/>
      <c r="GDY226" s="1"/>
      <c r="GDZ226" s="1"/>
      <c r="GEA226" s="1"/>
      <c r="GEB226" s="1"/>
      <c r="GEC226" s="1"/>
      <c r="GED226" s="1"/>
      <c r="GEE226" s="1"/>
      <c r="GEF226" s="1"/>
      <c r="GEG226" s="1"/>
      <c r="GEH226" s="1"/>
      <c r="GEI226" s="1"/>
      <c r="GEJ226" s="1"/>
      <c r="GEK226" s="1"/>
      <c r="GEL226" s="1"/>
      <c r="GEM226" s="1"/>
      <c r="GEN226" s="1"/>
      <c r="GEO226" s="1"/>
      <c r="GEP226" s="1"/>
      <c r="GEQ226" s="1"/>
      <c r="GER226" s="1"/>
      <c r="GES226" s="1"/>
      <c r="GET226" s="1"/>
      <c r="GEU226" s="1"/>
      <c r="GEV226" s="1"/>
      <c r="GEW226" s="1"/>
      <c r="GEX226" s="1"/>
      <c r="GEY226" s="1"/>
      <c r="GEZ226" s="1"/>
      <c r="GFA226" s="1"/>
      <c r="GFB226" s="1"/>
      <c r="GFC226" s="1"/>
      <c r="GFD226" s="1"/>
      <c r="GFE226" s="1"/>
      <c r="GFF226" s="1"/>
      <c r="GFG226" s="1"/>
      <c r="GFH226" s="1"/>
      <c r="GFI226" s="1"/>
      <c r="GFJ226" s="1"/>
      <c r="GFK226" s="1"/>
      <c r="GFL226" s="1"/>
      <c r="GFM226" s="1"/>
      <c r="GFN226" s="1"/>
      <c r="GFO226" s="1"/>
      <c r="GFP226" s="1"/>
      <c r="GFQ226" s="1"/>
      <c r="GFR226" s="1"/>
      <c r="GFS226" s="1"/>
      <c r="GFT226" s="1"/>
      <c r="GFU226" s="1"/>
      <c r="GFV226" s="1"/>
      <c r="GFW226" s="1"/>
      <c r="GFX226" s="1"/>
      <c r="GFY226" s="1"/>
      <c r="GFZ226" s="1"/>
      <c r="GGA226" s="1"/>
      <c r="GGB226" s="1"/>
      <c r="GGC226" s="1"/>
      <c r="GGD226" s="1"/>
      <c r="GGE226" s="1"/>
      <c r="GGF226" s="1"/>
      <c r="GGG226" s="1"/>
      <c r="GGH226" s="1"/>
      <c r="GGI226" s="1"/>
      <c r="GGJ226" s="1"/>
      <c r="GGK226" s="1"/>
      <c r="GGL226" s="1"/>
      <c r="GGM226" s="1"/>
      <c r="GGN226" s="1"/>
      <c r="GGO226" s="1"/>
      <c r="GGP226" s="1"/>
      <c r="GGQ226" s="1"/>
      <c r="GGR226" s="1"/>
      <c r="GGS226" s="1"/>
      <c r="GGT226" s="1"/>
      <c r="GGU226" s="1"/>
      <c r="GGV226" s="1"/>
      <c r="GGW226" s="1"/>
      <c r="GGX226" s="1"/>
      <c r="GGY226" s="1"/>
      <c r="GGZ226" s="1"/>
      <c r="GHA226" s="1"/>
      <c r="GHB226" s="1"/>
      <c r="GHC226" s="1"/>
      <c r="GHD226" s="1"/>
      <c r="GHE226" s="1"/>
      <c r="GHF226" s="1"/>
      <c r="GHG226" s="1"/>
      <c r="GHH226" s="1"/>
      <c r="GHI226" s="1"/>
      <c r="GHJ226" s="1"/>
      <c r="GHK226" s="1"/>
      <c r="GHL226" s="1"/>
      <c r="GHM226" s="1"/>
      <c r="GHN226" s="1"/>
      <c r="GHO226" s="1"/>
      <c r="GHP226" s="1"/>
      <c r="GHQ226" s="1"/>
      <c r="GHR226" s="1"/>
      <c r="GHS226" s="1"/>
      <c r="GHT226" s="1"/>
      <c r="GHU226" s="1"/>
      <c r="GHV226" s="1"/>
      <c r="GHW226" s="1"/>
      <c r="GHX226" s="1"/>
      <c r="GHY226" s="1"/>
      <c r="GHZ226" s="1"/>
      <c r="GIA226" s="1"/>
      <c r="GIB226" s="1"/>
      <c r="GIC226" s="1"/>
      <c r="GID226" s="1"/>
      <c r="GIE226" s="1"/>
      <c r="GIF226" s="1"/>
      <c r="GIG226" s="1"/>
      <c r="GIH226" s="1"/>
      <c r="GII226" s="1"/>
      <c r="GIJ226" s="1"/>
      <c r="GIK226" s="1"/>
      <c r="GIL226" s="1"/>
      <c r="GIM226" s="1"/>
      <c r="GIN226" s="1"/>
      <c r="GIO226" s="1"/>
      <c r="GIP226" s="1"/>
      <c r="GIQ226" s="1"/>
      <c r="GIR226" s="1"/>
      <c r="GIS226" s="1"/>
      <c r="GIT226" s="1"/>
      <c r="GIU226" s="1"/>
      <c r="GIV226" s="1"/>
      <c r="GIW226" s="1"/>
      <c r="GIX226" s="1"/>
      <c r="GIY226" s="1"/>
      <c r="GIZ226" s="1"/>
      <c r="GJA226" s="1"/>
      <c r="GJB226" s="1"/>
      <c r="GJC226" s="1"/>
      <c r="GJD226" s="1"/>
      <c r="GJE226" s="1"/>
      <c r="GJF226" s="1"/>
      <c r="GJG226" s="1"/>
      <c r="GJH226" s="1"/>
      <c r="GJI226" s="1"/>
      <c r="GJJ226" s="1"/>
      <c r="GJK226" s="1"/>
      <c r="GJL226" s="1"/>
      <c r="GJM226" s="1"/>
      <c r="GJN226" s="1"/>
      <c r="GJO226" s="1"/>
      <c r="GJP226" s="1"/>
      <c r="GJQ226" s="1"/>
      <c r="GJR226" s="1"/>
      <c r="GJS226" s="1"/>
      <c r="GJT226" s="1"/>
      <c r="GJU226" s="1"/>
      <c r="GJV226" s="1"/>
      <c r="GJW226" s="1"/>
      <c r="GJX226" s="1"/>
      <c r="GJY226" s="1"/>
      <c r="GJZ226" s="1"/>
      <c r="GKA226" s="1"/>
      <c r="GKB226" s="1"/>
      <c r="GKC226" s="1"/>
      <c r="GKD226" s="1"/>
      <c r="GKE226" s="1"/>
      <c r="GKF226" s="1"/>
      <c r="GKG226" s="1"/>
      <c r="GKH226" s="1"/>
      <c r="GKI226" s="1"/>
      <c r="GKJ226" s="1"/>
      <c r="GKK226" s="1"/>
      <c r="GKL226" s="1"/>
      <c r="GKM226" s="1"/>
      <c r="GKN226" s="1"/>
      <c r="GKO226" s="1"/>
      <c r="GKP226" s="1"/>
      <c r="GKQ226" s="1"/>
      <c r="GKR226" s="1"/>
      <c r="GKS226" s="1"/>
      <c r="GKT226" s="1"/>
      <c r="GKU226" s="1"/>
      <c r="GKV226" s="1"/>
      <c r="GKW226" s="1"/>
      <c r="GKX226" s="1"/>
      <c r="GKY226" s="1"/>
      <c r="GKZ226" s="1"/>
      <c r="GLA226" s="1"/>
      <c r="GLB226" s="1"/>
      <c r="GLC226" s="1"/>
      <c r="GLD226" s="1"/>
      <c r="GLE226" s="1"/>
      <c r="GLF226" s="1"/>
      <c r="GLG226" s="1"/>
      <c r="GLH226" s="1"/>
      <c r="GLI226" s="1"/>
      <c r="GLJ226" s="1"/>
      <c r="GLK226" s="1"/>
      <c r="GLL226" s="1"/>
      <c r="GLM226" s="1"/>
      <c r="GLN226" s="1"/>
      <c r="GLO226" s="1"/>
      <c r="GLP226" s="1"/>
      <c r="GLQ226" s="1"/>
      <c r="GLR226" s="1"/>
      <c r="GLS226" s="1"/>
      <c r="GLT226" s="1"/>
      <c r="GLU226" s="1"/>
      <c r="GLV226" s="1"/>
      <c r="GLW226" s="1"/>
      <c r="GLX226" s="1"/>
      <c r="GLY226" s="1"/>
      <c r="GLZ226" s="1"/>
      <c r="GMA226" s="1"/>
      <c r="GMB226" s="1"/>
      <c r="GMC226" s="1"/>
      <c r="GMD226" s="1"/>
      <c r="GME226" s="1"/>
      <c r="GMF226" s="1"/>
      <c r="GMG226" s="1"/>
      <c r="GMH226" s="1"/>
      <c r="GMI226" s="1"/>
      <c r="GMJ226" s="1"/>
      <c r="GMK226" s="1"/>
      <c r="GML226" s="1"/>
      <c r="GMM226" s="1"/>
      <c r="GMN226" s="1"/>
      <c r="GMO226" s="1"/>
      <c r="GMP226" s="1"/>
      <c r="GMQ226" s="1"/>
      <c r="GMR226" s="1"/>
      <c r="GMS226" s="1"/>
      <c r="GMT226" s="1"/>
      <c r="GMU226" s="1"/>
      <c r="GMV226" s="1"/>
      <c r="GMW226" s="1"/>
      <c r="GMX226" s="1"/>
      <c r="GMY226" s="1"/>
      <c r="GMZ226" s="1"/>
      <c r="GNA226" s="1"/>
      <c r="GNB226" s="1"/>
      <c r="GNC226" s="1"/>
      <c r="GND226" s="1"/>
      <c r="GNE226" s="1"/>
      <c r="GNF226" s="1"/>
      <c r="GNG226" s="1"/>
      <c r="GNH226" s="1"/>
      <c r="GNI226" s="1"/>
      <c r="GNJ226" s="1"/>
      <c r="GNK226" s="1"/>
      <c r="GNL226" s="1"/>
      <c r="GNM226" s="1"/>
      <c r="GNN226" s="1"/>
      <c r="GNO226" s="1"/>
      <c r="GNP226" s="1"/>
      <c r="GNQ226" s="1"/>
      <c r="GNR226" s="1"/>
      <c r="GNS226" s="1"/>
      <c r="GNT226" s="1"/>
      <c r="GNU226" s="1"/>
      <c r="GNV226" s="1"/>
      <c r="GNW226" s="1"/>
      <c r="GNX226" s="1"/>
      <c r="GNY226" s="1"/>
      <c r="GNZ226" s="1"/>
      <c r="GOA226" s="1"/>
      <c r="GOB226" s="1"/>
      <c r="GOC226" s="1"/>
      <c r="GOD226" s="1"/>
      <c r="GOE226" s="1"/>
      <c r="GOF226" s="1"/>
      <c r="GOG226" s="1"/>
      <c r="GOH226" s="1"/>
      <c r="GOI226" s="1"/>
      <c r="GOJ226" s="1"/>
      <c r="GOK226" s="1"/>
      <c r="GOL226" s="1"/>
      <c r="GOM226" s="1"/>
      <c r="GON226" s="1"/>
      <c r="GOO226" s="1"/>
      <c r="GOP226" s="1"/>
      <c r="GOQ226" s="1"/>
      <c r="GOR226" s="1"/>
      <c r="GOS226" s="1"/>
      <c r="GOT226" s="1"/>
      <c r="GOU226" s="1"/>
      <c r="GOV226" s="1"/>
      <c r="GOW226" s="1"/>
      <c r="GOX226" s="1"/>
      <c r="GOY226" s="1"/>
      <c r="GOZ226" s="1"/>
      <c r="GPA226" s="1"/>
      <c r="GPB226" s="1"/>
      <c r="GPC226" s="1"/>
      <c r="GPD226" s="1"/>
      <c r="GPE226" s="1"/>
      <c r="GPF226" s="1"/>
      <c r="GPG226" s="1"/>
      <c r="GPH226" s="1"/>
      <c r="GPI226" s="1"/>
      <c r="GPJ226" s="1"/>
      <c r="GPK226" s="1"/>
      <c r="GPL226" s="1"/>
      <c r="GPM226" s="1"/>
      <c r="GPN226" s="1"/>
      <c r="GPO226" s="1"/>
      <c r="GPP226" s="1"/>
      <c r="GPQ226" s="1"/>
      <c r="GPR226" s="1"/>
      <c r="GPS226" s="1"/>
      <c r="GPT226" s="1"/>
      <c r="GPU226" s="1"/>
      <c r="GPV226" s="1"/>
      <c r="GPW226" s="1"/>
      <c r="GPX226" s="1"/>
      <c r="GPY226" s="1"/>
      <c r="GPZ226" s="1"/>
      <c r="GQA226" s="1"/>
      <c r="GQB226" s="1"/>
      <c r="GQC226" s="1"/>
      <c r="GQD226" s="1"/>
      <c r="GQE226" s="1"/>
      <c r="GQF226" s="1"/>
      <c r="GQG226" s="1"/>
      <c r="GQH226" s="1"/>
      <c r="GQI226" s="1"/>
      <c r="GQJ226" s="1"/>
      <c r="GQK226" s="1"/>
      <c r="GQL226" s="1"/>
      <c r="GQM226" s="1"/>
      <c r="GQN226" s="1"/>
      <c r="GQO226" s="1"/>
      <c r="GQP226" s="1"/>
      <c r="GQQ226" s="1"/>
      <c r="GQR226" s="1"/>
      <c r="GQS226" s="1"/>
      <c r="GQT226" s="1"/>
      <c r="GQU226" s="1"/>
      <c r="GQV226" s="1"/>
      <c r="GQW226" s="1"/>
      <c r="GQX226" s="1"/>
      <c r="GQY226" s="1"/>
      <c r="GQZ226" s="1"/>
      <c r="GRA226" s="1"/>
      <c r="GRB226" s="1"/>
      <c r="GRC226" s="1"/>
      <c r="GRD226" s="1"/>
      <c r="GRE226" s="1"/>
      <c r="GRF226" s="1"/>
      <c r="GRG226" s="1"/>
      <c r="GRH226" s="1"/>
      <c r="GRI226" s="1"/>
      <c r="GRJ226" s="1"/>
      <c r="GRK226" s="1"/>
      <c r="GRL226" s="1"/>
      <c r="GRM226" s="1"/>
      <c r="GRN226" s="1"/>
      <c r="GRO226" s="1"/>
      <c r="GRP226" s="1"/>
      <c r="GRQ226" s="1"/>
      <c r="GRR226" s="1"/>
      <c r="GRS226" s="1"/>
      <c r="GRT226" s="1"/>
      <c r="GRU226" s="1"/>
      <c r="GRV226" s="1"/>
      <c r="GRW226" s="1"/>
      <c r="GRX226" s="1"/>
      <c r="GRY226" s="1"/>
      <c r="GRZ226" s="1"/>
      <c r="GSA226" s="1"/>
      <c r="GSB226" s="1"/>
      <c r="GSC226" s="1"/>
      <c r="GSD226" s="1"/>
      <c r="GSE226" s="1"/>
      <c r="GSF226" s="1"/>
      <c r="GSG226" s="1"/>
      <c r="GSH226" s="1"/>
      <c r="GSI226" s="1"/>
      <c r="GSJ226" s="1"/>
      <c r="GSK226" s="1"/>
      <c r="GSL226" s="1"/>
      <c r="GSM226" s="1"/>
      <c r="GSN226" s="1"/>
      <c r="GSO226" s="1"/>
      <c r="GSP226" s="1"/>
      <c r="GSQ226" s="1"/>
      <c r="GSR226" s="1"/>
      <c r="GSS226" s="1"/>
      <c r="GST226" s="1"/>
      <c r="GSU226" s="1"/>
      <c r="GSV226" s="1"/>
      <c r="GSW226" s="1"/>
      <c r="GSX226" s="1"/>
      <c r="GSY226" s="1"/>
      <c r="GSZ226" s="1"/>
      <c r="GTA226" s="1"/>
      <c r="GTB226" s="1"/>
      <c r="GTC226" s="1"/>
      <c r="GTD226" s="1"/>
      <c r="GTE226" s="1"/>
      <c r="GTF226" s="1"/>
      <c r="GTG226" s="1"/>
      <c r="GTH226" s="1"/>
      <c r="GTI226" s="1"/>
      <c r="GTJ226" s="1"/>
      <c r="GTK226" s="1"/>
      <c r="GTL226" s="1"/>
      <c r="GTM226" s="1"/>
      <c r="GTN226" s="1"/>
      <c r="GTO226" s="1"/>
      <c r="GTP226" s="1"/>
      <c r="GTQ226" s="1"/>
      <c r="GTR226" s="1"/>
      <c r="GTS226" s="1"/>
      <c r="GTT226" s="1"/>
      <c r="GTU226" s="1"/>
      <c r="GTV226" s="1"/>
      <c r="GTW226" s="1"/>
      <c r="GTX226" s="1"/>
      <c r="GTY226" s="1"/>
      <c r="GTZ226" s="1"/>
      <c r="GUA226" s="1"/>
      <c r="GUB226" s="1"/>
      <c r="GUC226" s="1"/>
      <c r="GUD226" s="1"/>
      <c r="GUE226" s="1"/>
      <c r="GUF226" s="1"/>
      <c r="GUG226" s="1"/>
      <c r="GUH226" s="1"/>
      <c r="GUI226" s="1"/>
      <c r="GUJ226" s="1"/>
      <c r="GUK226" s="1"/>
      <c r="GUL226" s="1"/>
      <c r="GUM226" s="1"/>
      <c r="GUN226" s="1"/>
      <c r="GUO226" s="1"/>
      <c r="GUP226" s="1"/>
      <c r="GUQ226" s="1"/>
      <c r="GUR226" s="1"/>
      <c r="GUS226" s="1"/>
      <c r="GUT226" s="1"/>
      <c r="GUU226" s="1"/>
      <c r="GUV226" s="1"/>
      <c r="GUW226" s="1"/>
      <c r="GUX226" s="1"/>
      <c r="GUY226" s="1"/>
      <c r="GUZ226" s="1"/>
      <c r="GVA226" s="1"/>
      <c r="GVB226" s="1"/>
      <c r="GVC226" s="1"/>
      <c r="GVD226" s="1"/>
      <c r="GVE226" s="1"/>
      <c r="GVF226" s="1"/>
      <c r="GVG226" s="1"/>
      <c r="GVH226" s="1"/>
      <c r="GVI226" s="1"/>
      <c r="GVJ226" s="1"/>
      <c r="GVK226" s="1"/>
      <c r="GVL226" s="1"/>
      <c r="GVM226" s="1"/>
      <c r="GVN226" s="1"/>
      <c r="GVO226" s="1"/>
      <c r="GVP226" s="1"/>
      <c r="GVQ226" s="1"/>
      <c r="GVR226" s="1"/>
      <c r="GVS226" s="1"/>
      <c r="GVT226" s="1"/>
      <c r="GVU226" s="1"/>
      <c r="GVV226" s="1"/>
      <c r="GVW226" s="1"/>
      <c r="GVX226" s="1"/>
      <c r="GVY226" s="1"/>
      <c r="GVZ226" s="1"/>
      <c r="GWA226" s="1"/>
      <c r="GWB226" s="1"/>
      <c r="GWC226" s="1"/>
      <c r="GWD226" s="1"/>
      <c r="GWE226" s="1"/>
      <c r="GWF226" s="1"/>
      <c r="GWG226" s="1"/>
      <c r="GWH226" s="1"/>
      <c r="GWI226" s="1"/>
      <c r="GWJ226" s="1"/>
      <c r="GWK226" s="1"/>
      <c r="GWL226" s="1"/>
      <c r="GWM226" s="1"/>
      <c r="GWN226" s="1"/>
      <c r="GWO226" s="1"/>
      <c r="GWP226" s="1"/>
      <c r="GWQ226" s="1"/>
      <c r="GWR226" s="1"/>
      <c r="GWS226" s="1"/>
      <c r="GWT226" s="1"/>
      <c r="GWU226" s="1"/>
      <c r="GWV226" s="1"/>
      <c r="GWW226" s="1"/>
      <c r="GWX226" s="1"/>
      <c r="GWY226" s="1"/>
      <c r="GWZ226" s="1"/>
      <c r="GXA226" s="1"/>
      <c r="GXB226" s="1"/>
      <c r="GXC226" s="1"/>
      <c r="GXD226" s="1"/>
      <c r="GXE226" s="1"/>
      <c r="GXF226" s="1"/>
      <c r="GXG226" s="1"/>
      <c r="GXH226" s="1"/>
      <c r="GXI226" s="1"/>
      <c r="GXJ226" s="1"/>
      <c r="GXK226" s="1"/>
      <c r="GXL226" s="1"/>
      <c r="GXM226" s="1"/>
      <c r="GXN226" s="1"/>
      <c r="GXO226" s="1"/>
      <c r="GXP226" s="1"/>
      <c r="GXQ226" s="1"/>
      <c r="GXR226" s="1"/>
      <c r="GXS226" s="1"/>
      <c r="GXT226" s="1"/>
      <c r="GXU226" s="1"/>
      <c r="GXV226" s="1"/>
      <c r="GXW226" s="1"/>
      <c r="GXX226" s="1"/>
      <c r="GXY226" s="1"/>
      <c r="GXZ226" s="1"/>
      <c r="GYA226" s="1"/>
      <c r="GYB226" s="1"/>
      <c r="GYC226" s="1"/>
      <c r="GYD226" s="1"/>
      <c r="GYE226" s="1"/>
      <c r="GYF226" s="1"/>
      <c r="GYG226" s="1"/>
      <c r="GYH226" s="1"/>
      <c r="GYI226" s="1"/>
      <c r="GYJ226" s="1"/>
      <c r="GYK226" s="1"/>
      <c r="GYL226" s="1"/>
      <c r="GYM226" s="1"/>
      <c r="GYN226" s="1"/>
      <c r="GYO226" s="1"/>
      <c r="GYP226" s="1"/>
      <c r="GYQ226" s="1"/>
      <c r="GYR226" s="1"/>
      <c r="GYS226" s="1"/>
      <c r="GYT226" s="1"/>
      <c r="GYU226" s="1"/>
      <c r="GYV226" s="1"/>
      <c r="GYW226" s="1"/>
      <c r="GYX226" s="1"/>
      <c r="GYY226" s="1"/>
      <c r="GYZ226" s="1"/>
      <c r="GZA226" s="1"/>
      <c r="GZB226" s="1"/>
      <c r="GZC226" s="1"/>
      <c r="GZD226" s="1"/>
      <c r="GZE226" s="1"/>
      <c r="GZF226" s="1"/>
      <c r="GZG226" s="1"/>
      <c r="GZH226" s="1"/>
      <c r="GZI226" s="1"/>
      <c r="GZJ226" s="1"/>
      <c r="GZK226" s="1"/>
      <c r="GZL226" s="1"/>
      <c r="GZM226" s="1"/>
      <c r="GZN226" s="1"/>
      <c r="GZO226" s="1"/>
      <c r="GZP226" s="1"/>
      <c r="GZQ226" s="1"/>
      <c r="GZR226" s="1"/>
      <c r="GZS226" s="1"/>
      <c r="GZT226" s="1"/>
      <c r="GZU226" s="1"/>
      <c r="GZV226" s="1"/>
      <c r="GZW226" s="1"/>
      <c r="GZX226" s="1"/>
      <c r="GZY226" s="1"/>
      <c r="GZZ226" s="1"/>
      <c r="HAA226" s="1"/>
      <c r="HAB226" s="1"/>
      <c r="HAC226" s="1"/>
      <c r="HAD226" s="1"/>
      <c r="HAE226" s="1"/>
      <c r="HAF226" s="1"/>
      <c r="HAG226" s="1"/>
      <c r="HAH226" s="1"/>
      <c r="HAI226" s="1"/>
      <c r="HAJ226" s="1"/>
      <c r="HAK226" s="1"/>
      <c r="HAL226" s="1"/>
      <c r="HAM226" s="1"/>
      <c r="HAN226" s="1"/>
      <c r="HAO226" s="1"/>
      <c r="HAP226" s="1"/>
      <c r="HAQ226" s="1"/>
      <c r="HAR226" s="1"/>
      <c r="HAS226" s="1"/>
      <c r="HAT226" s="1"/>
      <c r="HAU226" s="1"/>
      <c r="HAV226" s="1"/>
      <c r="HAW226" s="1"/>
      <c r="HAX226" s="1"/>
      <c r="HAY226" s="1"/>
      <c r="HAZ226" s="1"/>
      <c r="HBA226" s="1"/>
      <c r="HBB226" s="1"/>
      <c r="HBC226" s="1"/>
      <c r="HBD226" s="1"/>
      <c r="HBE226" s="1"/>
      <c r="HBF226" s="1"/>
      <c r="HBG226" s="1"/>
      <c r="HBH226" s="1"/>
      <c r="HBI226" s="1"/>
      <c r="HBJ226" s="1"/>
      <c r="HBK226" s="1"/>
      <c r="HBL226" s="1"/>
      <c r="HBM226" s="1"/>
      <c r="HBN226" s="1"/>
      <c r="HBO226" s="1"/>
      <c r="HBP226" s="1"/>
      <c r="HBQ226" s="1"/>
      <c r="HBR226" s="1"/>
      <c r="HBS226" s="1"/>
      <c r="HBT226" s="1"/>
      <c r="HBU226" s="1"/>
      <c r="HBV226" s="1"/>
      <c r="HBW226" s="1"/>
      <c r="HBX226" s="1"/>
      <c r="HBY226" s="1"/>
      <c r="HBZ226" s="1"/>
      <c r="HCA226" s="1"/>
      <c r="HCB226" s="1"/>
      <c r="HCC226" s="1"/>
      <c r="HCD226" s="1"/>
      <c r="HCE226" s="1"/>
      <c r="HCF226" s="1"/>
      <c r="HCG226" s="1"/>
      <c r="HCH226" s="1"/>
      <c r="HCI226" s="1"/>
      <c r="HCJ226" s="1"/>
      <c r="HCK226" s="1"/>
      <c r="HCL226" s="1"/>
      <c r="HCM226" s="1"/>
      <c r="HCN226" s="1"/>
      <c r="HCO226" s="1"/>
      <c r="HCP226" s="1"/>
      <c r="HCQ226" s="1"/>
      <c r="HCR226" s="1"/>
      <c r="HCS226" s="1"/>
      <c r="HCT226" s="1"/>
      <c r="HCU226" s="1"/>
      <c r="HCV226" s="1"/>
      <c r="HCW226" s="1"/>
      <c r="HCX226" s="1"/>
      <c r="HCY226" s="1"/>
      <c r="HCZ226" s="1"/>
      <c r="HDA226" s="1"/>
      <c r="HDB226" s="1"/>
      <c r="HDC226" s="1"/>
      <c r="HDD226" s="1"/>
      <c r="HDE226" s="1"/>
      <c r="HDF226" s="1"/>
      <c r="HDG226" s="1"/>
      <c r="HDH226" s="1"/>
      <c r="HDI226" s="1"/>
      <c r="HDJ226" s="1"/>
      <c r="HDK226" s="1"/>
      <c r="HDL226" s="1"/>
      <c r="HDM226" s="1"/>
      <c r="HDN226" s="1"/>
      <c r="HDO226" s="1"/>
      <c r="HDP226" s="1"/>
      <c r="HDQ226" s="1"/>
      <c r="HDR226" s="1"/>
      <c r="HDS226" s="1"/>
      <c r="HDT226" s="1"/>
      <c r="HDU226" s="1"/>
      <c r="HDV226" s="1"/>
      <c r="HDW226" s="1"/>
      <c r="HDX226" s="1"/>
      <c r="HDY226" s="1"/>
      <c r="HDZ226" s="1"/>
      <c r="HEA226" s="1"/>
      <c r="HEB226" s="1"/>
      <c r="HEC226" s="1"/>
      <c r="HED226" s="1"/>
      <c r="HEE226" s="1"/>
      <c r="HEF226" s="1"/>
      <c r="HEG226" s="1"/>
      <c r="HEH226" s="1"/>
      <c r="HEI226" s="1"/>
      <c r="HEJ226" s="1"/>
      <c r="HEK226" s="1"/>
      <c r="HEL226" s="1"/>
      <c r="HEM226" s="1"/>
      <c r="HEN226" s="1"/>
      <c r="HEO226" s="1"/>
      <c r="HEP226" s="1"/>
      <c r="HEQ226" s="1"/>
      <c r="HER226" s="1"/>
      <c r="HES226" s="1"/>
      <c r="HET226" s="1"/>
      <c r="HEU226" s="1"/>
      <c r="HEV226" s="1"/>
      <c r="HEW226" s="1"/>
      <c r="HEX226" s="1"/>
      <c r="HEY226" s="1"/>
      <c r="HEZ226" s="1"/>
      <c r="HFA226" s="1"/>
      <c r="HFB226" s="1"/>
      <c r="HFC226" s="1"/>
      <c r="HFD226" s="1"/>
      <c r="HFE226" s="1"/>
      <c r="HFF226" s="1"/>
      <c r="HFG226" s="1"/>
      <c r="HFH226" s="1"/>
      <c r="HFI226" s="1"/>
      <c r="HFJ226" s="1"/>
      <c r="HFK226" s="1"/>
      <c r="HFL226" s="1"/>
      <c r="HFM226" s="1"/>
      <c r="HFN226" s="1"/>
      <c r="HFO226" s="1"/>
      <c r="HFP226" s="1"/>
      <c r="HFQ226" s="1"/>
      <c r="HFR226" s="1"/>
      <c r="HFS226" s="1"/>
      <c r="HFT226" s="1"/>
      <c r="HFU226" s="1"/>
      <c r="HFV226" s="1"/>
      <c r="HFW226" s="1"/>
      <c r="HFX226" s="1"/>
      <c r="HFY226" s="1"/>
      <c r="HFZ226" s="1"/>
      <c r="HGA226" s="1"/>
      <c r="HGB226" s="1"/>
      <c r="HGC226" s="1"/>
      <c r="HGD226" s="1"/>
      <c r="HGE226" s="1"/>
      <c r="HGF226" s="1"/>
      <c r="HGG226" s="1"/>
      <c r="HGH226" s="1"/>
      <c r="HGI226" s="1"/>
      <c r="HGJ226" s="1"/>
      <c r="HGK226" s="1"/>
      <c r="HGL226" s="1"/>
      <c r="HGM226" s="1"/>
      <c r="HGN226" s="1"/>
      <c r="HGO226" s="1"/>
      <c r="HGP226" s="1"/>
      <c r="HGQ226" s="1"/>
      <c r="HGR226" s="1"/>
      <c r="HGS226" s="1"/>
      <c r="HGT226" s="1"/>
      <c r="HGU226" s="1"/>
      <c r="HGV226" s="1"/>
      <c r="HGW226" s="1"/>
      <c r="HGX226" s="1"/>
      <c r="HGY226" s="1"/>
      <c r="HGZ226" s="1"/>
      <c r="HHA226" s="1"/>
      <c r="HHB226" s="1"/>
      <c r="HHC226" s="1"/>
      <c r="HHD226" s="1"/>
      <c r="HHE226" s="1"/>
      <c r="HHF226" s="1"/>
      <c r="HHG226" s="1"/>
      <c r="HHH226" s="1"/>
      <c r="HHI226" s="1"/>
      <c r="HHJ226" s="1"/>
      <c r="HHK226" s="1"/>
      <c r="HHL226" s="1"/>
      <c r="HHM226" s="1"/>
      <c r="HHN226" s="1"/>
      <c r="HHO226" s="1"/>
      <c r="HHP226" s="1"/>
      <c r="HHQ226" s="1"/>
      <c r="HHR226" s="1"/>
      <c r="HHS226" s="1"/>
      <c r="HHT226" s="1"/>
      <c r="HHU226" s="1"/>
      <c r="HHV226" s="1"/>
      <c r="HHW226" s="1"/>
      <c r="HHX226" s="1"/>
      <c r="HHY226" s="1"/>
      <c r="HHZ226" s="1"/>
      <c r="HIA226" s="1"/>
      <c r="HIB226" s="1"/>
      <c r="HIC226" s="1"/>
      <c r="HID226" s="1"/>
      <c r="HIE226" s="1"/>
      <c r="HIF226" s="1"/>
      <c r="HIG226" s="1"/>
      <c r="HIH226" s="1"/>
      <c r="HII226" s="1"/>
      <c r="HIJ226" s="1"/>
      <c r="HIK226" s="1"/>
      <c r="HIL226" s="1"/>
      <c r="HIM226" s="1"/>
      <c r="HIN226" s="1"/>
      <c r="HIO226" s="1"/>
      <c r="HIP226" s="1"/>
      <c r="HIQ226" s="1"/>
      <c r="HIR226" s="1"/>
      <c r="HIS226" s="1"/>
      <c r="HIT226" s="1"/>
      <c r="HIU226" s="1"/>
      <c r="HIV226" s="1"/>
      <c r="HIW226" s="1"/>
      <c r="HIX226" s="1"/>
      <c r="HIY226" s="1"/>
      <c r="HIZ226" s="1"/>
      <c r="HJA226" s="1"/>
      <c r="HJB226" s="1"/>
      <c r="HJC226" s="1"/>
      <c r="HJD226" s="1"/>
      <c r="HJE226" s="1"/>
      <c r="HJF226" s="1"/>
      <c r="HJG226" s="1"/>
      <c r="HJH226" s="1"/>
      <c r="HJI226" s="1"/>
      <c r="HJJ226" s="1"/>
      <c r="HJK226" s="1"/>
      <c r="HJL226" s="1"/>
      <c r="HJM226" s="1"/>
      <c r="HJN226" s="1"/>
      <c r="HJO226" s="1"/>
      <c r="HJP226" s="1"/>
      <c r="HJQ226" s="1"/>
      <c r="HJR226" s="1"/>
      <c r="HJS226" s="1"/>
      <c r="HJT226" s="1"/>
      <c r="HJU226" s="1"/>
      <c r="HJV226" s="1"/>
      <c r="HJW226" s="1"/>
      <c r="HJX226" s="1"/>
      <c r="HJY226" s="1"/>
      <c r="HJZ226" s="1"/>
      <c r="HKA226" s="1"/>
      <c r="HKB226" s="1"/>
      <c r="HKC226" s="1"/>
      <c r="HKD226" s="1"/>
      <c r="HKE226" s="1"/>
      <c r="HKF226" s="1"/>
      <c r="HKG226" s="1"/>
      <c r="HKH226" s="1"/>
      <c r="HKI226" s="1"/>
      <c r="HKJ226" s="1"/>
      <c r="HKK226" s="1"/>
      <c r="HKL226" s="1"/>
      <c r="HKM226" s="1"/>
      <c r="HKN226" s="1"/>
      <c r="HKO226" s="1"/>
      <c r="HKP226" s="1"/>
      <c r="HKQ226" s="1"/>
      <c r="HKR226" s="1"/>
      <c r="HKS226" s="1"/>
      <c r="HKT226" s="1"/>
      <c r="HKU226" s="1"/>
      <c r="HKV226" s="1"/>
      <c r="HKW226" s="1"/>
      <c r="HKX226" s="1"/>
      <c r="HKY226" s="1"/>
      <c r="HKZ226" s="1"/>
      <c r="HLA226" s="1"/>
      <c r="HLB226" s="1"/>
      <c r="HLC226" s="1"/>
      <c r="HLD226" s="1"/>
      <c r="HLE226" s="1"/>
      <c r="HLF226" s="1"/>
      <c r="HLG226" s="1"/>
      <c r="HLH226" s="1"/>
      <c r="HLI226" s="1"/>
      <c r="HLJ226" s="1"/>
      <c r="HLK226" s="1"/>
      <c r="HLL226" s="1"/>
      <c r="HLM226" s="1"/>
      <c r="HLN226" s="1"/>
      <c r="HLO226" s="1"/>
      <c r="HLP226" s="1"/>
      <c r="HLQ226" s="1"/>
      <c r="HLR226" s="1"/>
      <c r="HLS226" s="1"/>
      <c r="HLT226" s="1"/>
      <c r="HLU226" s="1"/>
      <c r="HLV226" s="1"/>
      <c r="HLW226" s="1"/>
      <c r="HLX226" s="1"/>
      <c r="HLY226" s="1"/>
      <c r="HLZ226" s="1"/>
      <c r="HMA226" s="1"/>
      <c r="HMB226" s="1"/>
      <c r="HMC226" s="1"/>
      <c r="HMD226" s="1"/>
      <c r="HME226" s="1"/>
      <c r="HMF226" s="1"/>
      <c r="HMG226" s="1"/>
      <c r="HMH226" s="1"/>
      <c r="HMI226" s="1"/>
      <c r="HMJ226" s="1"/>
      <c r="HMK226" s="1"/>
      <c r="HML226" s="1"/>
      <c r="HMM226" s="1"/>
      <c r="HMN226" s="1"/>
      <c r="HMO226" s="1"/>
      <c r="HMP226" s="1"/>
      <c r="HMQ226" s="1"/>
      <c r="HMR226" s="1"/>
      <c r="HMS226" s="1"/>
      <c r="HMT226" s="1"/>
      <c r="HMU226" s="1"/>
      <c r="HMV226" s="1"/>
      <c r="HMW226" s="1"/>
      <c r="HMX226" s="1"/>
      <c r="HMY226" s="1"/>
      <c r="HMZ226" s="1"/>
      <c r="HNA226" s="1"/>
      <c r="HNB226" s="1"/>
      <c r="HNC226" s="1"/>
      <c r="HND226" s="1"/>
      <c r="HNE226" s="1"/>
      <c r="HNF226" s="1"/>
      <c r="HNG226" s="1"/>
      <c r="HNH226" s="1"/>
      <c r="HNI226" s="1"/>
      <c r="HNJ226" s="1"/>
      <c r="HNK226" s="1"/>
      <c r="HNL226" s="1"/>
      <c r="HNM226" s="1"/>
      <c r="HNN226" s="1"/>
      <c r="HNO226" s="1"/>
      <c r="HNP226" s="1"/>
      <c r="HNQ226" s="1"/>
      <c r="HNR226" s="1"/>
      <c r="HNS226" s="1"/>
      <c r="HNT226" s="1"/>
      <c r="HNU226" s="1"/>
      <c r="HNV226" s="1"/>
      <c r="HNW226" s="1"/>
      <c r="HNX226" s="1"/>
      <c r="HNY226" s="1"/>
      <c r="HNZ226" s="1"/>
      <c r="HOA226" s="1"/>
      <c r="HOB226" s="1"/>
      <c r="HOC226" s="1"/>
      <c r="HOD226" s="1"/>
      <c r="HOE226" s="1"/>
      <c r="HOF226" s="1"/>
      <c r="HOG226" s="1"/>
      <c r="HOH226" s="1"/>
      <c r="HOI226" s="1"/>
      <c r="HOJ226" s="1"/>
      <c r="HOK226" s="1"/>
      <c r="HOL226" s="1"/>
      <c r="HOM226" s="1"/>
      <c r="HON226" s="1"/>
      <c r="HOO226" s="1"/>
      <c r="HOP226" s="1"/>
      <c r="HOQ226" s="1"/>
      <c r="HOR226" s="1"/>
      <c r="HOS226" s="1"/>
      <c r="HOT226" s="1"/>
      <c r="HOU226" s="1"/>
      <c r="HOV226" s="1"/>
      <c r="HOW226" s="1"/>
      <c r="HOX226" s="1"/>
      <c r="HOY226" s="1"/>
      <c r="HOZ226" s="1"/>
      <c r="HPA226" s="1"/>
      <c r="HPB226" s="1"/>
      <c r="HPC226" s="1"/>
      <c r="HPD226" s="1"/>
      <c r="HPE226" s="1"/>
      <c r="HPF226" s="1"/>
      <c r="HPG226" s="1"/>
      <c r="HPH226" s="1"/>
      <c r="HPI226" s="1"/>
      <c r="HPJ226" s="1"/>
      <c r="HPK226" s="1"/>
      <c r="HPL226" s="1"/>
      <c r="HPM226" s="1"/>
      <c r="HPN226" s="1"/>
      <c r="HPO226" s="1"/>
      <c r="HPP226" s="1"/>
      <c r="HPQ226" s="1"/>
      <c r="HPR226" s="1"/>
      <c r="HPS226" s="1"/>
      <c r="HPT226" s="1"/>
      <c r="HPU226" s="1"/>
      <c r="HPV226" s="1"/>
      <c r="HPW226" s="1"/>
      <c r="HPX226" s="1"/>
      <c r="HPY226" s="1"/>
      <c r="HPZ226" s="1"/>
      <c r="HQA226" s="1"/>
      <c r="HQB226" s="1"/>
      <c r="HQC226" s="1"/>
      <c r="HQD226" s="1"/>
      <c r="HQE226" s="1"/>
      <c r="HQF226" s="1"/>
      <c r="HQG226" s="1"/>
      <c r="HQH226" s="1"/>
      <c r="HQI226" s="1"/>
      <c r="HQJ226" s="1"/>
      <c r="HQK226" s="1"/>
      <c r="HQL226" s="1"/>
      <c r="HQM226" s="1"/>
      <c r="HQN226" s="1"/>
      <c r="HQO226" s="1"/>
      <c r="HQP226" s="1"/>
      <c r="HQQ226" s="1"/>
      <c r="HQR226" s="1"/>
      <c r="HQS226" s="1"/>
      <c r="HQT226" s="1"/>
      <c r="HQU226" s="1"/>
      <c r="HQV226" s="1"/>
      <c r="HQW226" s="1"/>
      <c r="HQX226" s="1"/>
      <c r="HQY226" s="1"/>
      <c r="HQZ226" s="1"/>
      <c r="HRA226" s="1"/>
      <c r="HRB226" s="1"/>
      <c r="HRC226" s="1"/>
      <c r="HRD226" s="1"/>
      <c r="HRE226" s="1"/>
      <c r="HRF226" s="1"/>
      <c r="HRG226" s="1"/>
      <c r="HRH226" s="1"/>
      <c r="HRI226" s="1"/>
      <c r="HRJ226" s="1"/>
      <c r="HRK226" s="1"/>
      <c r="HRL226" s="1"/>
      <c r="HRM226" s="1"/>
      <c r="HRN226" s="1"/>
      <c r="HRO226" s="1"/>
      <c r="HRP226" s="1"/>
      <c r="HRQ226" s="1"/>
      <c r="HRR226" s="1"/>
      <c r="HRS226" s="1"/>
      <c r="HRT226" s="1"/>
      <c r="HRU226" s="1"/>
      <c r="HRV226" s="1"/>
      <c r="HRW226" s="1"/>
      <c r="HRX226" s="1"/>
      <c r="HRY226" s="1"/>
      <c r="HRZ226" s="1"/>
      <c r="HSA226" s="1"/>
      <c r="HSB226" s="1"/>
      <c r="HSC226" s="1"/>
      <c r="HSD226" s="1"/>
      <c r="HSE226" s="1"/>
      <c r="HSF226" s="1"/>
      <c r="HSG226" s="1"/>
      <c r="HSH226" s="1"/>
      <c r="HSI226" s="1"/>
      <c r="HSJ226" s="1"/>
      <c r="HSK226" s="1"/>
      <c r="HSL226" s="1"/>
      <c r="HSM226" s="1"/>
      <c r="HSN226" s="1"/>
      <c r="HSO226" s="1"/>
      <c r="HSP226" s="1"/>
      <c r="HSQ226" s="1"/>
      <c r="HSR226" s="1"/>
      <c r="HSS226" s="1"/>
      <c r="HST226" s="1"/>
      <c r="HSU226" s="1"/>
      <c r="HSV226" s="1"/>
      <c r="HSW226" s="1"/>
      <c r="HSX226" s="1"/>
      <c r="HSY226" s="1"/>
      <c r="HSZ226" s="1"/>
      <c r="HTA226" s="1"/>
      <c r="HTB226" s="1"/>
      <c r="HTC226" s="1"/>
      <c r="HTD226" s="1"/>
      <c r="HTE226" s="1"/>
      <c r="HTF226" s="1"/>
      <c r="HTG226" s="1"/>
      <c r="HTH226" s="1"/>
      <c r="HTI226" s="1"/>
      <c r="HTJ226" s="1"/>
      <c r="HTK226" s="1"/>
      <c r="HTL226" s="1"/>
      <c r="HTM226" s="1"/>
      <c r="HTN226" s="1"/>
      <c r="HTO226" s="1"/>
      <c r="HTP226" s="1"/>
      <c r="HTQ226" s="1"/>
      <c r="HTR226" s="1"/>
      <c r="HTS226" s="1"/>
      <c r="HTT226" s="1"/>
      <c r="HTU226" s="1"/>
      <c r="HTV226" s="1"/>
      <c r="HTW226" s="1"/>
      <c r="HTX226" s="1"/>
      <c r="HTY226" s="1"/>
      <c r="HTZ226" s="1"/>
      <c r="HUA226" s="1"/>
      <c r="HUB226" s="1"/>
      <c r="HUC226" s="1"/>
      <c r="HUD226" s="1"/>
      <c r="HUE226" s="1"/>
      <c r="HUF226" s="1"/>
      <c r="HUG226" s="1"/>
      <c r="HUH226" s="1"/>
      <c r="HUI226" s="1"/>
      <c r="HUJ226" s="1"/>
      <c r="HUK226" s="1"/>
      <c r="HUL226" s="1"/>
      <c r="HUM226" s="1"/>
      <c r="HUN226" s="1"/>
      <c r="HUO226" s="1"/>
      <c r="HUP226" s="1"/>
      <c r="HUQ226" s="1"/>
      <c r="HUR226" s="1"/>
      <c r="HUS226" s="1"/>
      <c r="HUT226" s="1"/>
      <c r="HUU226" s="1"/>
      <c r="HUV226" s="1"/>
      <c r="HUW226" s="1"/>
      <c r="HUX226" s="1"/>
      <c r="HUY226" s="1"/>
      <c r="HUZ226" s="1"/>
      <c r="HVA226" s="1"/>
      <c r="HVB226" s="1"/>
      <c r="HVC226" s="1"/>
      <c r="HVD226" s="1"/>
      <c r="HVE226" s="1"/>
      <c r="HVF226" s="1"/>
      <c r="HVG226" s="1"/>
      <c r="HVH226" s="1"/>
      <c r="HVI226" s="1"/>
      <c r="HVJ226" s="1"/>
      <c r="HVK226" s="1"/>
      <c r="HVL226" s="1"/>
      <c r="HVM226" s="1"/>
      <c r="HVN226" s="1"/>
      <c r="HVO226" s="1"/>
      <c r="HVP226" s="1"/>
      <c r="HVQ226" s="1"/>
      <c r="HVR226" s="1"/>
      <c r="HVS226" s="1"/>
      <c r="HVT226" s="1"/>
      <c r="HVU226" s="1"/>
      <c r="HVV226" s="1"/>
      <c r="HVW226" s="1"/>
      <c r="HVX226" s="1"/>
      <c r="HVY226" s="1"/>
      <c r="HVZ226" s="1"/>
      <c r="HWA226" s="1"/>
      <c r="HWB226" s="1"/>
      <c r="HWC226" s="1"/>
      <c r="HWD226" s="1"/>
      <c r="HWE226" s="1"/>
      <c r="HWF226" s="1"/>
      <c r="HWG226" s="1"/>
      <c r="HWH226" s="1"/>
      <c r="HWI226" s="1"/>
      <c r="HWJ226" s="1"/>
      <c r="HWK226" s="1"/>
      <c r="HWL226" s="1"/>
      <c r="HWM226" s="1"/>
      <c r="HWN226" s="1"/>
      <c r="HWO226" s="1"/>
      <c r="HWP226" s="1"/>
      <c r="HWQ226" s="1"/>
      <c r="HWR226" s="1"/>
      <c r="HWS226" s="1"/>
      <c r="HWT226" s="1"/>
      <c r="HWU226" s="1"/>
      <c r="HWV226" s="1"/>
      <c r="HWW226" s="1"/>
      <c r="HWX226" s="1"/>
      <c r="HWY226" s="1"/>
      <c r="HWZ226" s="1"/>
      <c r="HXA226" s="1"/>
      <c r="HXB226" s="1"/>
      <c r="HXC226" s="1"/>
      <c r="HXD226" s="1"/>
      <c r="HXE226" s="1"/>
      <c r="HXF226" s="1"/>
      <c r="HXG226" s="1"/>
      <c r="HXH226" s="1"/>
      <c r="HXI226" s="1"/>
      <c r="HXJ226" s="1"/>
      <c r="HXK226" s="1"/>
      <c r="HXL226" s="1"/>
      <c r="HXM226" s="1"/>
      <c r="HXN226" s="1"/>
      <c r="HXO226" s="1"/>
      <c r="HXP226" s="1"/>
      <c r="HXQ226" s="1"/>
      <c r="HXR226" s="1"/>
      <c r="HXS226" s="1"/>
      <c r="HXT226" s="1"/>
      <c r="HXU226" s="1"/>
      <c r="HXV226" s="1"/>
      <c r="HXW226" s="1"/>
      <c r="HXX226" s="1"/>
      <c r="HXY226" s="1"/>
      <c r="HXZ226" s="1"/>
      <c r="HYA226" s="1"/>
      <c r="HYB226" s="1"/>
      <c r="HYC226" s="1"/>
      <c r="HYD226" s="1"/>
      <c r="HYE226" s="1"/>
      <c r="HYF226" s="1"/>
      <c r="HYG226" s="1"/>
      <c r="HYH226" s="1"/>
      <c r="HYI226" s="1"/>
      <c r="HYJ226" s="1"/>
      <c r="HYK226" s="1"/>
      <c r="HYL226" s="1"/>
      <c r="HYM226" s="1"/>
      <c r="HYN226" s="1"/>
      <c r="HYO226" s="1"/>
      <c r="HYP226" s="1"/>
      <c r="HYQ226" s="1"/>
      <c r="HYR226" s="1"/>
      <c r="HYS226" s="1"/>
      <c r="HYT226" s="1"/>
      <c r="HYU226" s="1"/>
      <c r="HYV226" s="1"/>
      <c r="HYW226" s="1"/>
      <c r="HYX226" s="1"/>
      <c r="HYY226" s="1"/>
      <c r="HYZ226" s="1"/>
      <c r="HZA226" s="1"/>
      <c r="HZB226" s="1"/>
      <c r="HZC226" s="1"/>
      <c r="HZD226" s="1"/>
      <c r="HZE226" s="1"/>
      <c r="HZF226" s="1"/>
      <c r="HZG226" s="1"/>
      <c r="HZH226" s="1"/>
      <c r="HZI226" s="1"/>
      <c r="HZJ226" s="1"/>
      <c r="HZK226" s="1"/>
      <c r="HZL226" s="1"/>
      <c r="HZM226" s="1"/>
      <c r="HZN226" s="1"/>
      <c r="HZO226" s="1"/>
      <c r="HZP226" s="1"/>
      <c r="HZQ226" s="1"/>
      <c r="HZR226" s="1"/>
      <c r="HZS226" s="1"/>
      <c r="HZT226" s="1"/>
      <c r="HZU226" s="1"/>
      <c r="HZV226" s="1"/>
      <c r="HZW226" s="1"/>
      <c r="HZX226" s="1"/>
      <c r="HZY226" s="1"/>
      <c r="HZZ226" s="1"/>
      <c r="IAA226" s="1"/>
      <c r="IAB226" s="1"/>
      <c r="IAC226" s="1"/>
      <c r="IAD226" s="1"/>
      <c r="IAE226" s="1"/>
      <c r="IAF226" s="1"/>
      <c r="IAG226" s="1"/>
      <c r="IAH226" s="1"/>
      <c r="IAI226" s="1"/>
      <c r="IAJ226" s="1"/>
      <c r="IAK226" s="1"/>
      <c r="IAL226" s="1"/>
      <c r="IAM226" s="1"/>
      <c r="IAN226" s="1"/>
      <c r="IAO226" s="1"/>
      <c r="IAP226" s="1"/>
      <c r="IAQ226" s="1"/>
      <c r="IAR226" s="1"/>
      <c r="IAS226" s="1"/>
      <c r="IAT226" s="1"/>
      <c r="IAU226" s="1"/>
      <c r="IAV226" s="1"/>
      <c r="IAW226" s="1"/>
      <c r="IAX226" s="1"/>
      <c r="IAY226" s="1"/>
      <c r="IAZ226" s="1"/>
      <c r="IBA226" s="1"/>
      <c r="IBB226" s="1"/>
      <c r="IBC226" s="1"/>
      <c r="IBD226" s="1"/>
      <c r="IBE226" s="1"/>
      <c r="IBF226" s="1"/>
      <c r="IBG226" s="1"/>
      <c r="IBH226" s="1"/>
      <c r="IBI226" s="1"/>
      <c r="IBJ226" s="1"/>
      <c r="IBK226" s="1"/>
      <c r="IBL226" s="1"/>
      <c r="IBM226" s="1"/>
      <c r="IBN226" s="1"/>
      <c r="IBO226" s="1"/>
      <c r="IBP226" s="1"/>
      <c r="IBQ226" s="1"/>
      <c r="IBR226" s="1"/>
      <c r="IBS226" s="1"/>
      <c r="IBT226" s="1"/>
      <c r="IBU226" s="1"/>
      <c r="IBV226" s="1"/>
      <c r="IBW226" s="1"/>
      <c r="IBX226" s="1"/>
      <c r="IBY226" s="1"/>
      <c r="IBZ226" s="1"/>
      <c r="ICA226" s="1"/>
      <c r="ICB226" s="1"/>
      <c r="ICC226" s="1"/>
      <c r="ICD226" s="1"/>
      <c r="ICE226" s="1"/>
      <c r="ICF226" s="1"/>
      <c r="ICG226" s="1"/>
      <c r="ICH226" s="1"/>
      <c r="ICI226" s="1"/>
      <c r="ICJ226" s="1"/>
      <c r="ICK226" s="1"/>
      <c r="ICL226" s="1"/>
      <c r="ICM226" s="1"/>
      <c r="ICN226" s="1"/>
      <c r="ICO226" s="1"/>
      <c r="ICP226" s="1"/>
      <c r="ICQ226" s="1"/>
      <c r="ICR226" s="1"/>
      <c r="ICS226" s="1"/>
      <c r="ICT226" s="1"/>
      <c r="ICU226" s="1"/>
      <c r="ICV226" s="1"/>
      <c r="ICW226" s="1"/>
      <c r="ICX226" s="1"/>
      <c r="ICY226" s="1"/>
      <c r="ICZ226" s="1"/>
      <c r="IDA226" s="1"/>
      <c r="IDB226" s="1"/>
      <c r="IDC226" s="1"/>
      <c r="IDD226" s="1"/>
      <c r="IDE226" s="1"/>
      <c r="IDF226" s="1"/>
      <c r="IDG226" s="1"/>
      <c r="IDH226" s="1"/>
      <c r="IDI226" s="1"/>
      <c r="IDJ226" s="1"/>
      <c r="IDK226" s="1"/>
      <c r="IDL226" s="1"/>
      <c r="IDM226" s="1"/>
      <c r="IDN226" s="1"/>
      <c r="IDO226" s="1"/>
      <c r="IDP226" s="1"/>
      <c r="IDQ226" s="1"/>
      <c r="IDR226" s="1"/>
      <c r="IDS226" s="1"/>
      <c r="IDT226" s="1"/>
      <c r="IDU226" s="1"/>
      <c r="IDV226" s="1"/>
      <c r="IDW226" s="1"/>
      <c r="IDX226" s="1"/>
      <c r="IDY226" s="1"/>
      <c r="IDZ226" s="1"/>
      <c r="IEA226" s="1"/>
      <c r="IEB226" s="1"/>
      <c r="IEC226" s="1"/>
      <c r="IED226" s="1"/>
      <c r="IEE226" s="1"/>
      <c r="IEF226" s="1"/>
      <c r="IEG226" s="1"/>
      <c r="IEH226" s="1"/>
      <c r="IEI226" s="1"/>
      <c r="IEJ226" s="1"/>
      <c r="IEK226" s="1"/>
      <c r="IEL226" s="1"/>
      <c r="IEM226" s="1"/>
      <c r="IEN226" s="1"/>
      <c r="IEO226" s="1"/>
      <c r="IEP226" s="1"/>
      <c r="IEQ226" s="1"/>
      <c r="IER226" s="1"/>
      <c r="IES226" s="1"/>
      <c r="IET226" s="1"/>
      <c r="IEU226" s="1"/>
      <c r="IEV226" s="1"/>
      <c r="IEW226" s="1"/>
      <c r="IEX226" s="1"/>
      <c r="IEY226" s="1"/>
      <c r="IEZ226" s="1"/>
      <c r="IFA226" s="1"/>
      <c r="IFB226" s="1"/>
      <c r="IFC226" s="1"/>
      <c r="IFD226" s="1"/>
      <c r="IFE226" s="1"/>
      <c r="IFF226" s="1"/>
      <c r="IFG226" s="1"/>
      <c r="IFH226" s="1"/>
      <c r="IFI226" s="1"/>
      <c r="IFJ226" s="1"/>
      <c r="IFK226" s="1"/>
      <c r="IFL226" s="1"/>
      <c r="IFM226" s="1"/>
      <c r="IFN226" s="1"/>
      <c r="IFO226" s="1"/>
      <c r="IFP226" s="1"/>
      <c r="IFQ226" s="1"/>
      <c r="IFR226" s="1"/>
      <c r="IFS226" s="1"/>
      <c r="IFT226" s="1"/>
      <c r="IFU226" s="1"/>
      <c r="IFV226" s="1"/>
      <c r="IFW226" s="1"/>
      <c r="IFX226" s="1"/>
      <c r="IFY226" s="1"/>
      <c r="IFZ226" s="1"/>
      <c r="IGA226" s="1"/>
      <c r="IGB226" s="1"/>
      <c r="IGC226" s="1"/>
      <c r="IGD226" s="1"/>
      <c r="IGE226" s="1"/>
      <c r="IGF226" s="1"/>
      <c r="IGG226" s="1"/>
      <c r="IGH226" s="1"/>
      <c r="IGI226" s="1"/>
      <c r="IGJ226" s="1"/>
      <c r="IGK226" s="1"/>
      <c r="IGL226" s="1"/>
      <c r="IGM226" s="1"/>
      <c r="IGN226" s="1"/>
      <c r="IGO226" s="1"/>
      <c r="IGP226" s="1"/>
      <c r="IGQ226" s="1"/>
      <c r="IGR226" s="1"/>
      <c r="IGS226" s="1"/>
      <c r="IGT226" s="1"/>
      <c r="IGU226" s="1"/>
      <c r="IGV226" s="1"/>
      <c r="IGW226" s="1"/>
      <c r="IGX226" s="1"/>
      <c r="IGY226" s="1"/>
      <c r="IGZ226" s="1"/>
      <c r="IHA226" s="1"/>
      <c r="IHB226" s="1"/>
      <c r="IHC226" s="1"/>
      <c r="IHD226" s="1"/>
      <c r="IHE226" s="1"/>
      <c r="IHF226" s="1"/>
      <c r="IHG226" s="1"/>
      <c r="IHH226" s="1"/>
      <c r="IHI226" s="1"/>
      <c r="IHJ226" s="1"/>
      <c r="IHK226" s="1"/>
      <c r="IHL226" s="1"/>
      <c r="IHM226" s="1"/>
      <c r="IHN226" s="1"/>
      <c r="IHO226" s="1"/>
      <c r="IHP226" s="1"/>
      <c r="IHQ226" s="1"/>
      <c r="IHR226" s="1"/>
      <c r="IHS226" s="1"/>
      <c r="IHT226" s="1"/>
      <c r="IHU226" s="1"/>
      <c r="IHV226" s="1"/>
      <c r="IHW226" s="1"/>
      <c r="IHX226" s="1"/>
      <c r="IHY226" s="1"/>
      <c r="IHZ226" s="1"/>
      <c r="IIA226" s="1"/>
      <c r="IIB226" s="1"/>
      <c r="IIC226" s="1"/>
      <c r="IID226" s="1"/>
      <c r="IIE226" s="1"/>
      <c r="IIF226" s="1"/>
      <c r="IIG226" s="1"/>
      <c r="IIH226" s="1"/>
      <c r="III226" s="1"/>
      <c r="IIJ226" s="1"/>
      <c r="IIK226" s="1"/>
      <c r="IIL226" s="1"/>
      <c r="IIM226" s="1"/>
      <c r="IIN226" s="1"/>
      <c r="IIO226" s="1"/>
      <c r="IIP226" s="1"/>
      <c r="IIQ226" s="1"/>
      <c r="IIR226" s="1"/>
      <c r="IIS226" s="1"/>
      <c r="IIT226" s="1"/>
      <c r="IIU226" s="1"/>
      <c r="IIV226" s="1"/>
      <c r="IIW226" s="1"/>
      <c r="IIX226" s="1"/>
      <c r="IIY226" s="1"/>
      <c r="IIZ226" s="1"/>
      <c r="IJA226" s="1"/>
      <c r="IJB226" s="1"/>
      <c r="IJC226" s="1"/>
      <c r="IJD226" s="1"/>
      <c r="IJE226" s="1"/>
      <c r="IJF226" s="1"/>
      <c r="IJG226" s="1"/>
      <c r="IJH226" s="1"/>
      <c r="IJI226" s="1"/>
      <c r="IJJ226" s="1"/>
      <c r="IJK226" s="1"/>
      <c r="IJL226" s="1"/>
      <c r="IJM226" s="1"/>
      <c r="IJN226" s="1"/>
      <c r="IJO226" s="1"/>
      <c r="IJP226" s="1"/>
      <c r="IJQ226" s="1"/>
      <c r="IJR226" s="1"/>
      <c r="IJS226" s="1"/>
      <c r="IJT226" s="1"/>
      <c r="IJU226" s="1"/>
      <c r="IJV226" s="1"/>
      <c r="IJW226" s="1"/>
      <c r="IJX226" s="1"/>
      <c r="IJY226" s="1"/>
      <c r="IJZ226" s="1"/>
      <c r="IKA226" s="1"/>
      <c r="IKB226" s="1"/>
      <c r="IKC226" s="1"/>
      <c r="IKD226" s="1"/>
      <c r="IKE226" s="1"/>
      <c r="IKF226" s="1"/>
      <c r="IKG226" s="1"/>
      <c r="IKH226" s="1"/>
      <c r="IKI226" s="1"/>
      <c r="IKJ226" s="1"/>
      <c r="IKK226" s="1"/>
      <c r="IKL226" s="1"/>
      <c r="IKM226" s="1"/>
      <c r="IKN226" s="1"/>
      <c r="IKO226" s="1"/>
      <c r="IKP226" s="1"/>
      <c r="IKQ226" s="1"/>
      <c r="IKR226" s="1"/>
      <c r="IKS226" s="1"/>
      <c r="IKT226" s="1"/>
      <c r="IKU226" s="1"/>
      <c r="IKV226" s="1"/>
      <c r="IKW226" s="1"/>
      <c r="IKX226" s="1"/>
      <c r="IKY226" s="1"/>
      <c r="IKZ226" s="1"/>
      <c r="ILA226" s="1"/>
      <c r="ILB226" s="1"/>
      <c r="ILC226" s="1"/>
      <c r="ILD226" s="1"/>
      <c r="ILE226" s="1"/>
      <c r="ILF226" s="1"/>
      <c r="ILG226" s="1"/>
      <c r="ILH226" s="1"/>
      <c r="ILI226" s="1"/>
      <c r="ILJ226" s="1"/>
      <c r="ILK226" s="1"/>
      <c r="ILL226" s="1"/>
      <c r="ILM226" s="1"/>
      <c r="ILN226" s="1"/>
      <c r="ILO226" s="1"/>
      <c r="ILP226" s="1"/>
      <c r="ILQ226" s="1"/>
      <c r="ILR226" s="1"/>
      <c r="ILS226" s="1"/>
      <c r="ILT226" s="1"/>
      <c r="ILU226" s="1"/>
      <c r="ILV226" s="1"/>
      <c r="ILW226" s="1"/>
      <c r="ILX226" s="1"/>
      <c r="ILY226" s="1"/>
      <c r="ILZ226" s="1"/>
      <c r="IMA226" s="1"/>
      <c r="IMB226" s="1"/>
      <c r="IMC226" s="1"/>
      <c r="IMD226" s="1"/>
      <c r="IME226" s="1"/>
      <c r="IMF226" s="1"/>
      <c r="IMG226" s="1"/>
      <c r="IMH226" s="1"/>
      <c r="IMI226" s="1"/>
      <c r="IMJ226" s="1"/>
      <c r="IMK226" s="1"/>
      <c r="IML226" s="1"/>
      <c r="IMM226" s="1"/>
      <c r="IMN226" s="1"/>
      <c r="IMO226" s="1"/>
      <c r="IMP226" s="1"/>
      <c r="IMQ226" s="1"/>
      <c r="IMR226" s="1"/>
      <c r="IMS226" s="1"/>
      <c r="IMT226" s="1"/>
      <c r="IMU226" s="1"/>
      <c r="IMV226" s="1"/>
      <c r="IMW226" s="1"/>
      <c r="IMX226" s="1"/>
      <c r="IMY226" s="1"/>
      <c r="IMZ226" s="1"/>
      <c r="INA226" s="1"/>
      <c r="INB226" s="1"/>
      <c r="INC226" s="1"/>
      <c r="IND226" s="1"/>
      <c r="INE226" s="1"/>
      <c r="INF226" s="1"/>
      <c r="ING226" s="1"/>
      <c r="INH226" s="1"/>
      <c r="INI226" s="1"/>
      <c r="INJ226" s="1"/>
      <c r="INK226" s="1"/>
      <c r="INL226" s="1"/>
      <c r="INM226" s="1"/>
      <c r="INN226" s="1"/>
      <c r="INO226" s="1"/>
      <c r="INP226" s="1"/>
      <c r="INQ226" s="1"/>
      <c r="INR226" s="1"/>
      <c r="INS226" s="1"/>
      <c r="INT226" s="1"/>
      <c r="INU226" s="1"/>
      <c r="INV226" s="1"/>
      <c r="INW226" s="1"/>
      <c r="INX226" s="1"/>
      <c r="INY226" s="1"/>
      <c r="INZ226" s="1"/>
      <c r="IOA226" s="1"/>
      <c r="IOB226" s="1"/>
      <c r="IOC226" s="1"/>
      <c r="IOD226" s="1"/>
      <c r="IOE226" s="1"/>
      <c r="IOF226" s="1"/>
      <c r="IOG226" s="1"/>
      <c r="IOH226" s="1"/>
      <c r="IOI226" s="1"/>
      <c r="IOJ226" s="1"/>
      <c r="IOK226" s="1"/>
      <c r="IOL226" s="1"/>
      <c r="IOM226" s="1"/>
      <c r="ION226" s="1"/>
      <c r="IOO226" s="1"/>
      <c r="IOP226" s="1"/>
      <c r="IOQ226" s="1"/>
      <c r="IOR226" s="1"/>
      <c r="IOS226" s="1"/>
      <c r="IOT226" s="1"/>
      <c r="IOU226" s="1"/>
      <c r="IOV226" s="1"/>
      <c r="IOW226" s="1"/>
      <c r="IOX226" s="1"/>
      <c r="IOY226" s="1"/>
      <c r="IOZ226" s="1"/>
      <c r="IPA226" s="1"/>
      <c r="IPB226" s="1"/>
      <c r="IPC226" s="1"/>
      <c r="IPD226" s="1"/>
      <c r="IPE226" s="1"/>
      <c r="IPF226" s="1"/>
      <c r="IPG226" s="1"/>
      <c r="IPH226" s="1"/>
      <c r="IPI226" s="1"/>
      <c r="IPJ226" s="1"/>
      <c r="IPK226" s="1"/>
      <c r="IPL226" s="1"/>
      <c r="IPM226" s="1"/>
      <c r="IPN226" s="1"/>
      <c r="IPO226" s="1"/>
      <c r="IPP226" s="1"/>
      <c r="IPQ226" s="1"/>
      <c r="IPR226" s="1"/>
      <c r="IPS226" s="1"/>
      <c r="IPT226" s="1"/>
      <c r="IPU226" s="1"/>
      <c r="IPV226" s="1"/>
      <c r="IPW226" s="1"/>
      <c r="IPX226" s="1"/>
      <c r="IPY226" s="1"/>
      <c r="IPZ226" s="1"/>
      <c r="IQA226" s="1"/>
      <c r="IQB226" s="1"/>
      <c r="IQC226" s="1"/>
      <c r="IQD226" s="1"/>
      <c r="IQE226" s="1"/>
      <c r="IQF226" s="1"/>
      <c r="IQG226" s="1"/>
      <c r="IQH226" s="1"/>
      <c r="IQI226" s="1"/>
      <c r="IQJ226" s="1"/>
      <c r="IQK226" s="1"/>
      <c r="IQL226" s="1"/>
      <c r="IQM226" s="1"/>
      <c r="IQN226" s="1"/>
      <c r="IQO226" s="1"/>
      <c r="IQP226" s="1"/>
      <c r="IQQ226" s="1"/>
      <c r="IQR226" s="1"/>
      <c r="IQS226" s="1"/>
      <c r="IQT226" s="1"/>
      <c r="IQU226" s="1"/>
      <c r="IQV226" s="1"/>
      <c r="IQW226" s="1"/>
      <c r="IQX226" s="1"/>
      <c r="IQY226" s="1"/>
      <c r="IQZ226" s="1"/>
      <c r="IRA226" s="1"/>
      <c r="IRB226" s="1"/>
      <c r="IRC226" s="1"/>
      <c r="IRD226" s="1"/>
      <c r="IRE226" s="1"/>
      <c r="IRF226" s="1"/>
      <c r="IRG226" s="1"/>
      <c r="IRH226" s="1"/>
      <c r="IRI226" s="1"/>
      <c r="IRJ226" s="1"/>
      <c r="IRK226" s="1"/>
      <c r="IRL226" s="1"/>
      <c r="IRM226" s="1"/>
      <c r="IRN226" s="1"/>
      <c r="IRO226" s="1"/>
      <c r="IRP226" s="1"/>
      <c r="IRQ226" s="1"/>
      <c r="IRR226" s="1"/>
      <c r="IRS226" s="1"/>
      <c r="IRT226" s="1"/>
      <c r="IRU226" s="1"/>
      <c r="IRV226" s="1"/>
      <c r="IRW226" s="1"/>
      <c r="IRX226" s="1"/>
      <c r="IRY226" s="1"/>
      <c r="IRZ226" s="1"/>
      <c r="ISA226" s="1"/>
      <c r="ISB226" s="1"/>
      <c r="ISC226" s="1"/>
      <c r="ISD226" s="1"/>
      <c r="ISE226" s="1"/>
      <c r="ISF226" s="1"/>
      <c r="ISG226" s="1"/>
      <c r="ISH226" s="1"/>
      <c r="ISI226" s="1"/>
      <c r="ISJ226" s="1"/>
      <c r="ISK226" s="1"/>
      <c r="ISL226" s="1"/>
      <c r="ISM226" s="1"/>
      <c r="ISN226" s="1"/>
      <c r="ISO226" s="1"/>
      <c r="ISP226" s="1"/>
      <c r="ISQ226" s="1"/>
      <c r="ISR226" s="1"/>
      <c r="ISS226" s="1"/>
      <c r="IST226" s="1"/>
      <c r="ISU226" s="1"/>
      <c r="ISV226" s="1"/>
      <c r="ISW226" s="1"/>
      <c r="ISX226" s="1"/>
      <c r="ISY226" s="1"/>
      <c r="ISZ226" s="1"/>
      <c r="ITA226" s="1"/>
      <c r="ITB226" s="1"/>
      <c r="ITC226" s="1"/>
      <c r="ITD226" s="1"/>
      <c r="ITE226" s="1"/>
      <c r="ITF226" s="1"/>
      <c r="ITG226" s="1"/>
      <c r="ITH226" s="1"/>
      <c r="ITI226" s="1"/>
      <c r="ITJ226" s="1"/>
      <c r="ITK226" s="1"/>
      <c r="ITL226" s="1"/>
      <c r="ITM226" s="1"/>
      <c r="ITN226" s="1"/>
      <c r="ITO226" s="1"/>
      <c r="ITP226" s="1"/>
      <c r="ITQ226" s="1"/>
      <c r="ITR226" s="1"/>
      <c r="ITS226" s="1"/>
      <c r="ITT226" s="1"/>
      <c r="ITU226" s="1"/>
      <c r="ITV226" s="1"/>
      <c r="ITW226" s="1"/>
      <c r="ITX226" s="1"/>
      <c r="ITY226" s="1"/>
      <c r="ITZ226" s="1"/>
      <c r="IUA226" s="1"/>
      <c r="IUB226" s="1"/>
      <c r="IUC226" s="1"/>
      <c r="IUD226" s="1"/>
      <c r="IUE226" s="1"/>
      <c r="IUF226" s="1"/>
      <c r="IUG226" s="1"/>
      <c r="IUH226" s="1"/>
      <c r="IUI226" s="1"/>
      <c r="IUJ226" s="1"/>
      <c r="IUK226" s="1"/>
      <c r="IUL226" s="1"/>
      <c r="IUM226" s="1"/>
      <c r="IUN226" s="1"/>
      <c r="IUO226" s="1"/>
      <c r="IUP226" s="1"/>
      <c r="IUQ226" s="1"/>
      <c r="IUR226" s="1"/>
      <c r="IUS226" s="1"/>
      <c r="IUT226" s="1"/>
      <c r="IUU226" s="1"/>
      <c r="IUV226" s="1"/>
      <c r="IUW226" s="1"/>
      <c r="IUX226" s="1"/>
      <c r="IUY226" s="1"/>
      <c r="IUZ226" s="1"/>
      <c r="IVA226" s="1"/>
      <c r="IVB226" s="1"/>
      <c r="IVC226" s="1"/>
      <c r="IVD226" s="1"/>
      <c r="IVE226" s="1"/>
      <c r="IVF226" s="1"/>
      <c r="IVG226" s="1"/>
      <c r="IVH226" s="1"/>
      <c r="IVI226" s="1"/>
      <c r="IVJ226" s="1"/>
      <c r="IVK226" s="1"/>
      <c r="IVL226" s="1"/>
      <c r="IVM226" s="1"/>
      <c r="IVN226" s="1"/>
      <c r="IVO226" s="1"/>
      <c r="IVP226" s="1"/>
      <c r="IVQ226" s="1"/>
      <c r="IVR226" s="1"/>
      <c r="IVS226" s="1"/>
      <c r="IVT226" s="1"/>
      <c r="IVU226" s="1"/>
      <c r="IVV226" s="1"/>
      <c r="IVW226" s="1"/>
      <c r="IVX226" s="1"/>
      <c r="IVY226" s="1"/>
      <c r="IVZ226" s="1"/>
      <c r="IWA226" s="1"/>
      <c r="IWB226" s="1"/>
      <c r="IWC226" s="1"/>
      <c r="IWD226" s="1"/>
      <c r="IWE226" s="1"/>
      <c r="IWF226" s="1"/>
      <c r="IWG226" s="1"/>
      <c r="IWH226" s="1"/>
      <c r="IWI226" s="1"/>
      <c r="IWJ226" s="1"/>
      <c r="IWK226" s="1"/>
      <c r="IWL226" s="1"/>
      <c r="IWM226" s="1"/>
      <c r="IWN226" s="1"/>
      <c r="IWO226" s="1"/>
      <c r="IWP226" s="1"/>
      <c r="IWQ226" s="1"/>
      <c r="IWR226" s="1"/>
      <c r="IWS226" s="1"/>
      <c r="IWT226" s="1"/>
      <c r="IWU226" s="1"/>
      <c r="IWV226" s="1"/>
      <c r="IWW226" s="1"/>
      <c r="IWX226" s="1"/>
      <c r="IWY226" s="1"/>
      <c r="IWZ226" s="1"/>
      <c r="IXA226" s="1"/>
      <c r="IXB226" s="1"/>
      <c r="IXC226" s="1"/>
      <c r="IXD226" s="1"/>
      <c r="IXE226" s="1"/>
      <c r="IXF226" s="1"/>
      <c r="IXG226" s="1"/>
      <c r="IXH226" s="1"/>
      <c r="IXI226" s="1"/>
      <c r="IXJ226" s="1"/>
      <c r="IXK226" s="1"/>
      <c r="IXL226" s="1"/>
      <c r="IXM226" s="1"/>
      <c r="IXN226" s="1"/>
      <c r="IXO226" s="1"/>
      <c r="IXP226" s="1"/>
      <c r="IXQ226" s="1"/>
      <c r="IXR226" s="1"/>
      <c r="IXS226" s="1"/>
      <c r="IXT226" s="1"/>
      <c r="IXU226" s="1"/>
      <c r="IXV226" s="1"/>
      <c r="IXW226" s="1"/>
      <c r="IXX226" s="1"/>
      <c r="IXY226" s="1"/>
      <c r="IXZ226" s="1"/>
      <c r="IYA226" s="1"/>
      <c r="IYB226" s="1"/>
      <c r="IYC226" s="1"/>
      <c r="IYD226" s="1"/>
      <c r="IYE226" s="1"/>
      <c r="IYF226" s="1"/>
      <c r="IYG226" s="1"/>
      <c r="IYH226" s="1"/>
      <c r="IYI226" s="1"/>
      <c r="IYJ226" s="1"/>
      <c r="IYK226" s="1"/>
      <c r="IYL226" s="1"/>
      <c r="IYM226" s="1"/>
      <c r="IYN226" s="1"/>
      <c r="IYO226" s="1"/>
      <c r="IYP226" s="1"/>
      <c r="IYQ226" s="1"/>
      <c r="IYR226" s="1"/>
      <c r="IYS226" s="1"/>
      <c r="IYT226" s="1"/>
      <c r="IYU226" s="1"/>
      <c r="IYV226" s="1"/>
      <c r="IYW226" s="1"/>
      <c r="IYX226" s="1"/>
      <c r="IYY226" s="1"/>
      <c r="IYZ226" s="1"/>
      <c r="IZA226" s="1"/>
      <c r="IZB226" s="1"/>
      <c r="IZC226" s="1"/>
      <c r="IZD226" s="1"/>
      <c r="IZE226" s="1"/>
      <c r="IZF226" s="1"/>
      <c r="IZG226" s="1"/>
      <c r="IZH226" s="1"/>
      <c r="IZI226" s="1"/>
      <c r="IZJ226" s="1"/>
      <c r="IZK226" s="1"/>
      <c r="IZL226" s="1"/>
      <c r="IZM226" s="1"/>
      <c r="IZN226" s="1"/>
      <c r="IZO226" s="1"/>
      <c r="IZP226" s="1"/>
      <c r="IZQ226" s="1"/>
      <c r="IZR226" s="1"/>
      <c r="IZS226" s="1"/>
      <c r="IZT226" s="1"/>
      <c r="IZU226" s="1"/>
      <c r="IZV226" s="1"/>
      <c r="IZW226" s="1"/>
      <c r="IZX226" s="1"/>
      <c r="IZY226" s="1"/>
      <c r="IZZ226" s="1"/>
      <c r="JAA226" s="1"/>
      <c r="JAB226" s="1"/>
      <c r="JAC226" s="1"/>
      <c r="JAD226" s="1"/>
      <c r="JAE226" s="1"/>
      <c r="JAF226" s="1"/>
      <c r="JAG226" s="1"/>
      <c r="JAH226" s="1"/>
      <c r="JAI226" s="1"/>
      <c r="JAJ226" s="1"/>
      <c r="JAK226" s="1"/>
      <c r="JAL226" s="1"/>
      <c r="JAM226" s="1"/>
      <c r="JAN226" s="1"/>
      <c r="JAO226" s="1"/>
      <c r="JAP226" s="1"/>
      <c r="JAQ226" s="1"/>
      <c r="JAR226" s="1"/>
      <c r="JAS226" s="1"/>
      <c r="JAT226" s="1"/>
      <c r="JAU226" s="1"/>
      <c r="JAV226" s="1"/>
      <c r="JAW226" s="1"/>
      <c r="JAX226" s="1"/>
      <c r="JAY226" s="1"/>
      <c r="JAZ226" s="1"/>
      <c r="JBA226" s="1"/>
      <c r="JBB226" s="1"/>
      <c r="JBC226" s="1"/>
      <c r="JBD226" s="1"/>
      <c r="JBE226" s="1"/>
      <c r="JBF226" s="1"/>
      <c r="JBG226" s="1"/>
      <c r="JBH226" s="1"/>
      <c r="JBI226" s="1"/>
      <c r="JBJ226" s="1"/>
      <c r="JBK226" s="1"/>
      <c r="JBL226" s="1"/>
      <c r="JBM226" s="1"/>
      <c r="JBN226" s="1"/>
      <c r="JBO226" s="1"/>
      <c r="JBP226" s="1"/>
      <c r="JBQ226" s="1"/>
      <c r="JBR226" s="1"/>
      <c r="JBS226" s="1"/>
      <c r="JBT226" s="1"/>
      <c r="JBU226" s="1"/>
      <c r="JBV226" s="1"/>
      <c r="JBW226" s="1"/>
      <c r="JBX226" s="1"/>
      <c r="JBY226" s="1"/>
      <c r="JBZ226" s="1"/>
      <c r="JCA226" s="1"/>
      <c r="JCB226" s="1"/>
      <c r="JCC226" s="1"/>
      <c r="JCD226" s="1"/>
      <c r="JCE226" s="1"/>
      <c r="JCF226" s="1"/>
      <c r="JCG226" s="1"/>
      <c r="JCH226" s="1"/>
      <c r="JCI226" s="1"/>
      <c r="JCJ226" s="1"/>
      <c r="JCK226" s="1"/>
      <c r="JCL226" s="1"/>
      <c r="JCM226" s="1"/>
      <c r="JCN226" s="1"/>
      <c r="JCO226" s="1"/>
      <c r="JCP226" s="1"/>
      <c r="JCQ226" s="1"/>
      <c r="JCR226" s="1"/>
      <c r="JCS226" s="1"/>
      <c r="JCT226" s="1"/>
      <c r="JCU226" s="1"/>
      <c r="JCV226" s="1"/>
      <c r="JCW226" s="1"/>
      <c r="JCX226" s="1"/>
      <c r="JCY226" s="1"/>
      <c r="JCZ226" s="1"/>
      <c r="JDA226" s="1"/>
      <c r="JDB226" s="1"/>
      <c r="JDC226" s="1"/>
      <c r="JDD226" s="1"/>
      <c r="JDE226" s="1"/>
      <c r="JDF226" s="1"/>
      <c r="JDG226" s="1"/>
      <c r="JDH226" s="1"/>
      <c r="JDI226" s="1"/>
      <c r="JDJ226" s="1"/>
      <c r="JDK226" s="1"/>
      <c r="JDL226" s="1"/>
      <c r="JDM226" s="1"/>
      <c r="JDN226" s="1"/>
      <c r="JDO226" s="1"/>
      <c r="JDP226" s="1"/>
      <c r="JDQ226" s="1"/>
      <c r="JDR226" s="1"/>
      <c r="JDS226" s="1"/>
      <c r="JDT226" s="1"/>
      <c r="JDU226" s="1"/>
      <c r="JDV226" s="1"/>
      <c r="JDW226" s="1"/>
      <c r="JDX226" s="1"/>
      <c r="JDY226" s="1"/>
      <c r="JDZ226" s="1"/>
      <c r="JEA226" s="1"/>
      <c r="JEB226" s="1"/>
      <c r="JEC226" s="1"/>
      <c r="JED226" s="1"/>
      <c r="JEE226" s="1"/>
      <c r="JEF226" s="1"/>
      <c r="JEG226" s="1"/>
      <c r="JEH226" s="1"/>
      <c r="JEI226" s="1"/>
      <c r="JEJ226" s="1"/>
      <c r="JEK226" s="1"/>
      <c r="JEL226" s="1"/>
      <c r="JEM226" s="1"/>
      <c r="JEN226" s="1"/>
      <c r="JEO226" s="1"/>
      <c r="JEP226" s="1"/>
      <c r="JEQ226" s="1"/>
      <c r="JER226" s="1"/>
      <c r="JES226" s="1"/>
      <c r="JET226" s="1"/>
      <c r="JEU226" s="1"/>
      <c r="JEV226" s="1"/>
      <c r="JEW226" s="1"/>
      <c r="JEX226" s="1"/>
      <c r="JEY226" s="1"/>
      <c r="JEZ226" s="1"/>
      <c r="JFA226" s="1"/>
      <c r="JFB226" s="1"/>
      <c r="JFC226" s="1"/>
      <c r="JFD226" s="1"/>
      <c r="JFE226" s="1"/>
      <c r="JFF226" s="1"/>
      <c r="JFG226" s="1"/>
      <c r="JFH226" s="1"/>
      <c r="JFI226" s="1"/>
      <c r="JFJ226" s="1"/>
      <c r="JFK226" s="1"/>
      <c r="JFL226" s="1"/>
      <c r="JFM226" s="1"/>
      <c r="JFN226" s="1"/>
      <c r="JFO226" s="1"/>
      <c r="JFP226" s="1"/>
      <c r="JFQ226" s="1"/>
      <c r="JFR226" s="1"/>
      <c r="JFS226" s="1"/>
      <c r="JFT226" s="1"/>
      <c r="JFU226" s="1"/>
      <c r="JFV226" s="1"/>
      <c r="JFW226" s="1"/>
      <c r="JFX226" s="1"/>
      <c r="JFY226" s="1"/>
      <c r="JFZ226" s="1"/>
      <c r="JGA226" s="1"/>
      <c r="JGB226" s="1"/>
      <c r="JGC226" s="1"/>
      <c r="JGD226" s="1"/>
      <c r="JGE226" s="1"/>
      <c r="JGF226" s="1"/>
      <c r="JGG226" s="1"/>
      <c r="JGH226" s="1"/>
      <c r="JGI226" s="1"/>
      <c r="JGJ226" s="1"/>
      <c r="JGK226" s="1"/>
      <c r="JGL226" s="1"/>
      <c r="JGM226" s="1"/>
      <c r="JGN226" s="1"/>
      <c r="JGO226" s="1"/>
      <c r="JGP226" s="1"/>
      <c r="JGQ226" s="1"/>
      <c r="JGR226" s="1"/>
      <c r="JGS226" s="1"/>
      <c r="JGT226" s="1"/>
      <c r="JGU226" s="1"/>
      <c r="JGV226" s="1"/>
      <c r="JGW226" s="1"/>
      <c r="JGX226" s="1"/>
      <c r="JGY226" s="1"/>
      <c r="JGZ226" s="1"/>
      <c r="JHA226" s="1"/>
      <c r="JHB226" s="1"/>
      <c r="JHC226" s="1"/>
      <c r="JHD226" s="1"/>
      <c r="JHE226" s="1"/>
      <c r="JHF226" s="1"/>
      <c r="JHG226" s="1"/>
      <c r="JHH226" s="1"/>
      <c r="JHI226" s="1"/>
      <c r="JHJ226" s="1"/>
      <c r="JHK226" s="1"/>
      <c r="JHL226" s="1"/>
      <c r="JHM226" s="1"/>
      <c r="JHN226" s="1"/>
      <c r="JHO226" s="1"/>
      <c r="JHP226" s="1"/>
      <c r="JHQ226" s="1"/>
      <c r="JHR226" s="1"/>
      <c r="JHS226" s="1"/>
      <c r="JHT226" s="1"/>
      <c r="JHU226" s="1"/>
      <c r="JHV226" s="1"/>
      <c r="JHW226" s="1"/>
      <c r="JHX226" s="1"/>
      <c r="JHY226" s="1"/>
      <c r="JHZ226" s="1"/>
      <c r="JIA226" s="1"/>
      <c r="JIB226" s="1"/>
      <c r="JIC226" s="1"/>
      <c r="JID226" s="1"/>
      <c r="JIE226" s="1"/>
      <c r="JIF226" s="1"/>
      <c r="JIG226" s="1"/>
      <c r="JIH226" s="1"/>
      <c r="JII226" s="1"/>
      <c r="JIJ226" s="1"/>
      <c r="JIK226" s="1"/>
      <c r="JIL226" s="1"/>
      <c r="JIM226" s="1"/>
      <c r="JIN226" s="1"/>
      <c r="JIO226" s="1"/>
      <c r="JIP226" s="1"/>
      <c r="JIQ226" s="1"/>
      <c r="JIR226" s="1"/>
      <c r="JIS226" s="1"/>
      <c r="JIT226" s="1"/>
      <c r="JIU226" s="1"/>
      <c r="JIV226" s="1"/>
      <c r="JIW226" s="1"/>
      <c r="JIX226" s="1"/>
      <c r="JIY226" s="1"/>
      <c r="JIZ226" s="1"/>
      <c r="JJA226" s="1"/>
      <c r="JJB226" s="1"/>
      <c r="JJC226" s="1"/>
      <c r="JJD226" s="1"/>
      <c r="JJE226" s="1"/>
      <c r="JJF226" s="1"/>
      <c r="JJG226" s="1"/>
      <c r="JJH226" s="1"/>
      <c r="JJI226" s="1"/>
      <c r="JJJ226" s="1"/>
      <c r="JJK226" s="1"/>
      <c r="JJL226" s="1"/>
      <c r="JJM226" s="1"/>
      <c r="JJN226" s="1"/>
      <c r="JJO226" s="1"/>
      <c r="JJP226" s="1"/>
      <c r="JJQ226" s="1"/>
      <c r="JJR226" s="1"/>
      <c r="JJS226" s="1"/>
      <c r="JJT226" s="1"/>
      <c r="JJU226" s="1"/>
      <c r="JJV226" s="1"/>
      <c r="JJW226" s="1"/>
      <c r="JJX226" s="1"/>
      <c r="JJY226" s="1"/>
      <c r="JJZ226" s="1"/>
      <c r="JKA226" s="1"/>
      <c r="JKB226" s="1"/>
      <c r="JKC226" s="1"/>
      <c r="JKD226" s="1"/>
      <c r="JKE226" s="1"/>
      <c r="JKF226" s="1"/>
      <c r="JKG226" s="1"/>
      <c r="JKH226" s="1"/>
      <c r="JKI226" s="1"/>
      <c r="JKJ226" s="1"/>
      <c r="JKK226" s="1"/>
      <c r="JKL226" s="1"/>
      <c r="JKM226" s="1"/>
      <c r="JKN226" s="1"/>
      <c r="JKO226" s="1"/>
      <c r="JKP226" s="1"/>
      <c r="JKQ226" s="1"/>
      <c r="JKR226" s="1"/>
      <c r="JKS226" s="1"/>
      <c r="JKT226" s="1"/>
      <c r="JKU226" s="1"/>
      <c r="JKV226" s="1"/>
      <c r="JKW226" s="1"/>
      <c r="JKX226" s="1"/>
      <c r="JKY226" s="1"/>
      <c r="JKZ226" s="1"/>
      <c r="JLA226" s="1"/>
      <c r="JLB226" s="1"/>
      <c r="JLC226" s="1"/>
      <c r="JLD226" s="1"/>
      <c r="JLE226" s="1"/>
      <c r="JLF226" s="1"/>
      <c r="JLG226" s="1"/>
      <c r="JLH226" s="1"/>
      <c r="JLI226" s="1"/>
      <c r="JLJ226" s="1"/>
      <c r="JLK226" s="1"/>
      <c r="JLL226" s="1"/>
      <c r="JLM226" s="1"/>
      <c r="JLN226" s="1"/>
      <c r="JLO226" s="1"/>
      <c r="JLP226" s="1"/>
      <c r="JLQ226" s="1"/>
      <c r="JLR226" s="1"/>
      <c r="JLS226" s="1"/>
      <c r="JLT226" s="1"/>
      <c r="JLU226" s="1"/>
      <c r="JLV226" s="1"/>
      <c r="JLW226" s="1"/>
      <c r="JLX226" s="1"/>
      <c r="JLY226" s="1"/>
      <c r="JLZ226" s="1"/>
      <c r="JMA226" s="1"/>
      <c r="JMB226" s="1"/>
      <c r="JMC226" s="1"/>
      <c r="JMD226" s="1"/>
      <c r="JME226" s="1"/>
      <c r="JMF226" s="1"/>
      <c r="JMG226" s="1"/>
      <c r="JMH226" s="1"/>
      <c r="JMI226" s="1"/>
      <c r="JMJ226" s="1"/>
      <c r="JMK226" s="1"/>
      <c r="JML226" s="1"/>
      <c r="JMM226" s="1"/>
      <c r="JMN226" s="1"/>
      <c r="JMO226" s="1"/>
      <c r="JMP226" s="1"/>
      <c r="JMQ226" s="1"/>
      <c r="JMR226" s="1"/>
      <c r="JMS226" s="1"/>
      <c r="JMT226" s="1"/>
      <c r="JMU226" s="1"/>
      <c r="JMV226" s="1"/>
      <c r="JMW226" s="1"/>
      <c r="JMX226" s="1"/>
      <c r="JMY226" s="1"/>
      <c r="JMZ226" s="1"/>
      <c r="JNA226" s="1"/>
      <c r="JNB226" s="1"/>
      <c r="JNC226" s="1"/>
      <c r="JND226" s="1"/>
      <c r="JNE226" s="1"/>
      <c r="JNF226" s="1"/>
      <c r="JNG226" s="1"/>
      <c r="JNH226" s="1"/>
      <c r="JNI226" s="1"/>
      <c r="JNJ226" s="1"/>
      <c r="JNK226" s="1"/>
      <c r="JNL226" s="1"/>
      <c r="JNM226" s="1"/>
      <c r="JNN226" s="1"/>
      <c r="JNO226" s="1"/>
      <c r="JNP226" s="1"/>
      <c r="JNQ226" s="1"/>
      <c r="JNR226" s="1"/>
      <c r="JNS226" s="1"/>
      <c r="JNT226" s="1"/>
      <c r="JNU226" s="1"/>
      <c r="JNV226" s="1"/>
      <c r="JNW226" s="1"/>
      <c r="JNX226" s="1"/>
      <c r="JNY226" s="1"/>
      <c r="JNZ226" s="1"/>
      <c r="JOA226" s="1"/>
      <c r="JOB226" s="1"/>
      <c r="JOC226" s="1"/>
      <c r="JOD226" s="1"/>
      <c r="JOE226" s="1"/>
      <c r="JOF226" s="1"/>
      <c r="JOG226" s="1"/>
      <c r="JOH226" s="1"/>
      <c r="JOI226" s="1"/>
      <c r="JOJ226" s="1"/>
      <c r="JOK226" s="1"/>
      <c r="JOL226" s="1"/>
      <c r="JOM226" s="1"/>
      <c r="JON226" s="1"/>
      <c r="JOO226" s="1"/>
      <c r="JOP226" s="1"/>
      <c r="JOQ226" s="1"/>
      <c r="JOR226" s="1"/>
      <c r="JOS226" s="1"/>
      <c r="JOT226" s="1"/>
      <c r="JOU226" s="1"/>
      <c r="JOV226" s="1"/>
      <c r="JOW226" s="1"/>
      <c r="JOX226" s="1"/>
      <c r="JOY226" s="1"/>
      <c r="JOZ226" s="1"/>
      <c r="JPA226" s="1"/>
      <c r="JPB226" s="1"/>
      <c r="JPC226" s="1"/>
      <c r="JPD226" s="1"/>
      <c r="JPE226" s="1"/>
      <c r="JPF226" s="1"/>
      <c r="JPG226" s="1"/>
      <c r="JPH226" s="1"/>
      <c r="JPI226" s="1"/>
      <c r="JPJ226" s="1"/>
      <c r="JPK226" s="1"/>
      <c r="JPL226" s="1"/>
      <c r="JPM226" s="1"/>
      <c r="JPN226" s="1"/>
      <c r="JPO226" s="1"/>
      <c r="JPP226" s="1"/>
      <c r="JPQ226" s="1"/>
      <c r="JPR226" s="1"/>
      <c r="JPS226" s="1"/>
      <c r="JPT226" s="1"/>
      <c r="JPU226" s="1"/>
      <c r="JPV226" s="1"/>
      <c r="JPW226" s="1"/>
      <c r="JPX226" s="1"/>
      <c r="JPY226" s="1"/>
      <c r="JPZ226" s="1"/>
      <c r="JQA226" s="1"/>
      <c r="JQB226" s="1"/>
      <c r="JQC226" s="1"/>
      <c r="JQD226" s="1"/>
      <c r="JQE226" s="1"/>
      <c r="JQF226" s="1"/>
      <c r="JQG226" s="1"/>
      <c r="JQH226" s="1"/>
      <c r="JQI226" s="1"/>
      <c r="JQJ226" s="1"/>
      <c r="JQK226" s="1"/>
      <c r="JQL226" s="1"/>
      <c r="JQM226" s="1"/>
      <c r="JQN226" s="1"/>
      <c r="JQO226" s="1"/>
      <c r="JQP226" s="1"/>
      <c r="JQQ226" s="1"/>
      <c r="JQR226" s="1"/>
      <c r="JQS226" s="1"/>
      <c r="JQT226" s="1"/>
      <c r="JQU226" s="1"/>
      <c r="JQV226" s="1"/>
      <c r="JQW226" s="1"/>
      <c r="JQX226" s="1"/>
      <c r="JQY226" s="1"/>
      <c r="JQZ226" s="1"/>
      <c r="JRA226" s="1"/>
      <c r="JRB226" s="1"/>
      <c r="JRC226" s="1"/>
      <c r="JRD226" s="1"/>
      <c r="JRE226" s="1"/>
      <c r="JRF226" s="1"/>
      <c r="JRG226" s="1"/>
      <c r="JRH226" s="1"/>
      <c r="JRI226" s="1"/>
      <c r="JRJ226" s="1"/>
      <c r="JRK226" s="1"/>
      <c r="JRL226" s="1"/>
      <c r="JRM226" s="1"/>
      <c r="JRN226" s="1"/>
      <c r="JRO226" s="1"/>
      <c r="JRP226" s="1"/>
      <c r="JRQ226" s="1"/>
      <c r="JRR226" s="1"/>
      <c r="JRS226" s="1"/>
      <c r="JRT226" s="1"/>
      <c r="JRU226" s="1"/>
      <c r="JRV226" s="1"/>
      <c r="JRW226" s="1"/>
      <c r="JRX226" s="1"/>
      <c r="JRY226" s="1"/>
      <c r="JRZ226" s="1"/>
      <c r="JSA226" s="1"/>
      <c r="JSB226" s="1"/>
      <c r="JSC226" s="1"/>
      <c r="JSD226" s="1"/>
      <c r="JSE226" s="1"/>
      <c r="JSF226" s="1"/>
      <c r="JSG226" s="1"/>
      <c r="JSH226" s="1"/>
      <c r="JSI226" s="1"/>
      <c r="JSJ226" s="1"/>
      <c r="JSK226" s="1"/>
      <c r="JSL226" s="1"/>
      <c r="JSM226" s="1"/>
      <c r="JSN226" s="1"/>
      <c r="JSO226" s="1"/>
      <c r="JSP226" s="1"/>
      <c r="JSQ226" s="1"/>
      <c r="JSR226" s="1"/>
      <c r="JSS226" s="1"/>
      <c r="JST226" s="1"/>
      <c r="JSU226" s="1"/>
      <c r="JSV226" s="1"/>
      <c r="JSW226" s="1"/>
      <c r="JSX226" s="1"/>
      <c r="JSY226" s="1"/>
      <c r="JSZ226" s="1"/>
      <c r="JTA226" s="1"/>
      <c r="JTB226" s="1"/>
      <c r="JTC226" s="1"/>
      <c r="JTD226" s="1"/>
      <c r="JTE226" s="1"/>
      <c r="JTF226" s="1"/>
      <c r="JTG226" s="1"/>
      <c r="JTH226" s="1"/>
      <c r="JTI226" s="1"/>
      <c r="JTJ226" s="1"/>
      <c r="JTK226" s="1"/>
      <c r="JTL226" s="1"/>
      <c r="JTM226" s="1"/>
      <c r="JTN226" s="1"/>
      <c r="JTO226" s="1"/>
      <c r="JTP226" s="1"/>
      <c r="JTQ226" s="1"/>
      <c r="JTR226" s="1"/>
      <c r="JTS226" s="1"/>
      <c r="JTT226" s="1"/>
      <c r="JTU226" s="1"/>
      <c r="JTV226" s="1"/>
      <c r="JTW226" s="1"/>
      <c r="JTX226" s="1"/>
      <c r="JTY226" s="1"/>
      <c r="JTZ226" s="1"/>
      <c r="JUA226" s="1"/>
      <c r="JUB226" s="1"/>
      <c r="JUC226" s="1"/>
      <c r="JUD226" s="1"/>
      <c r="JUE226" s="1"/>
      <c r="JUF226" s="1"/>
      <c r="JUG226" s="1"/>
      <c r="JUH226" s="1"/>
      <c r="JUI226" s="1"/>
      <c r="JUJ226" s="1"/>
      <c r="JUK226" s="1"/>
      <c r="JUL226" s="1"/>
      <c r="JUM226" s="1"/>
      <c r="JUN226" s="1"/>
      <c r="JUO226" s="1"/>
      <c r="JUP226" s="1"/>
      <c r="JUQ226" s="1"/>
      <c r="JUR226" s="1"/>
      <c r="JUS226" s="1"/>
      <c r="JUT226" s="1"/>
      <c r="JUU226" s="1"/>
      <c r="JUV226" s="1"/>
      <c r="JUW226" s="1"/>
      <c r="JUX226" s="1"/>
      <c r="JUY226" s="1"/>
      <c r="JUZ226" s="1"/>
      <c r="JVA226" s="1"/>
      <c r="JVB226" s="1"/>
      <c r="JVC226" s="1"/>
      <c r="JVD226" s="1"/>
      <c r="JVE226" s="1"/>
      <c r="JVF226" s="1"/>
      <c r="JVG226" s="1"/>
      <c r="JVH226" s="1"/>
      <c r="JVI226" s="1"/>
      <c r="JVJ226" s="1"/>
      <c r="JVK226" s="1"/>
      <c r="JVL226" s="1"/>
      <c r="JVM226" s="1"/>
      <c r="JVN226" s="1"/>
      <c r="JVO226" s="1"/>
      <c r="JVP226" s="1"/>
      <c r="JVQ226" s="1"/>
      <c r="JVR226" s="1"/>
      <c r="JVS226" s="1"/>
      <c r="JVT226" s="1"/>
      <c r="JVU226" s="1"/>
      <c r="JVV226" s="1"/>
      <c r="JVW226" s="1"/>
      <c r="JVX226" s="1"/>
      <c r="JVY226" s="1"/>
      <c r="JVZ226" s="1"/>
      <c r="JWA226" s="1"/>
      <c r="JWB226" s="1"/>
      <c r="JWC226" s="1"/>
      <c r="JWD226" s="1"/>
      <c r="JWE226" s="1"/>
      <c r="JWF226" s="1"/>
      <c r="JWG226" s="1"/>
      <c r="JWH226" s="1"/>
      <c r="JWI226" s="1"/>
      <c r="JWJ226" s="1"/>
      <c r="JWK226" s="1"/>
      <c r="JWL226" s="1"/>
      <c r="JWM226" s="1"/>
      <c r="JWN226" s="1"/>
      <c r="JWO226" s="1"/>
      <c r="JWP226" s="1"/>
      <c r="JWQ226" s="1"/>
      <c r="JWR226" s="1"/>
      <c r="JWS226" s="1"/>
      <c r="JWT226" s="1"/>
      <c r="JWU226" s="1"/>
      <c r="JWV226" s="1"/>
      <c r="JWW226" s="1"/>
      <c r="JWX226" s="1"/>
      <c r="JWY226" s="1"/>
      <c r="JWZ226" s="1"/>
      <c r="JXA226" s="1"/>
      <c r="JXB226" s="1"/>
      <c r="JXC226" s="1"/>
      <c r="JXD226" s="1"/>
      <c r="JXE226" s="1"/>
      <c r="JXF226" s="1"/>
      <c r="JXG226" s="1"/>
      <c r="JXH226" s="1"/>
      <c r="JXI226" s="1"/>
      <c r="JXJ226" s="1"/>
      <c r="JXK226" s="1"/>
      <c r="JXL226" s="1"/>
      <c r="JXM226" s="1"/>
      <c r="JXN226" s="1"/>
      <c r="JXO226" s="1"/>
      <c r="JXP226" s="1"/>
      <c r="JXQ226" s="1"/>
      <c r="JXR226" s="1"/>
      <c r="JXS226" s="1"/>
      <c r="JXT226" s="1"/>
      <c r="JXU226" s="1"/>
      <c r="JXV226" s="1"/>
      <c r="JXW226" s="1"/>
      <c r="JXX226" s="1"/>
      <c r="JXY226" s="1"/>
      <c r="JXZ226" s="1"/>
      <c r="JYA226" s="1"/>
      <c r="JYB226" s="1"/>
      <c r="JYC226" s="1"/>
      <c r="JYD226" s="1"/>
      <c r="JYE226" s="1"/>
      <c r="JYF226" s="1"/>
      <c r="JYG226" s="1"/>
      <c r="JYH226" s="1"/>
      <c r="JYI226" s="1"/>
      <c r="JYJ226" s="1"/>
      <c r="JYK226" s="1"/>
      <c r="JYL226" s="1"/>
      <c r="JYM226" s="1"/>
      <c r="JYN226" s="1"/>
      <c r="JYO226" s="1"/>
      <c r="JYP226" s="1"/>
      <c r="JYQ226" s="1"/>
      <c r="JYR226" s="1"/>
      <c r="JYS226" s="1"/>
      <c r="JYT226" s="1"/>
      <c r="JYU226" s="1"/>
      <c r="JYV226" s="1"/>
      <c r="JYW226" s="1"/>
      <c r="JYX226" s="1"/>
      <c r="JYY226" s="1"/>
      <c r="JYZ226" s="1"/>
      <c r="JZA226" s="1"/>
      <c r="JZB226" s="1"/>
      <c r="JZC226" s="1"/>
      <c r="JZD226" s="1"/>
      <c r="JZE226" s="1"/>
      <c r="JZF226" s="1"/>
      <c r="JZG226" s="1"/>
      <c r="JZH226" s="1"/>
      <c r="JZI226" s="1"/>
      <c r="JZJ226" s="1"/>
      <c r="JZK226" s="1"/>
      <c r="JZL226" s="1"/>
      <c r="JZM226" s="1"/>
      <c r="JZN226" s="1"/>
      <c r="JZO226" s="1"/>
      <c r="JZP226" s="1"/>
      <c r="JZQ226" s="1"/>
      <c r="JZR226" s="1"/>
      <c r="JZS226" s="1"/>
      <c r="JZT226" s="1"/>
      <c r="JZU226" s="1"/>
      <c r="JZV226" s="1"/>
      <c r="JZW226" s="1"/>
      <c r="JZX226" s="1"/>
      <c r="JZY226" s="1"/>
      <c r="JZZ226" s="1"/>
      <c r="KAA226" s="1"/>
      <c r="KAB226" s="1"/>
      <c r="KAC226" s="1"/>
      <c r="KAD226" s="1"/>
      <c r="KAE226" s="1"/>
      <c r="KAF226" s="1"/>
      <c r="KAG226" s="1"/>
      <c r="KAH226" s="1"/>
      <c r="KAI226" s="1"/>
      <c r="KAJ226" s="1"/>
      <c r="KAK226" s="1"/>
      <c r="KAL226" s="1"/>
      <c r="KAM226" s="1"/>
      <c r="KAN226" s="1"/>
      <c r="KAO226" s="1"/>
      <c r="KAP226" s="1"/>
      <c r="KAQ226" s="1"/>
      <c r="KAR226" s="1"/>
      <c r="KAS226" s="1"/>
      <c r="KAT226" s="1"/>
      <c r="KAU226" s="1"/>
      <c r="KAV226" s="1"/>
      <c r="KAW226" s="1"/>
      <c r="KAX226" s="1"/>
      <c r="KAY226" s="1"/>
      <c r="KAZ226" s="1"/>
      <c r="KBA226" s="1"/>
      <c r="KBB226" s="1"/>
      <c r="KBC226" s="1"/>
      <c r="KBD226" s="1"/>
      <c r="KBE226" s="1"/>
      <c r="KBF226" s="1"/>
      <c r="KBG226" s="1"/>
      <c r="KBH226" s="1"/>
      <c r="KBI226" s="1"/>
      <c r="KBJ226" s="1"/>
      <c r="KBK226" s="1"/>
      <c r="KBL226" s="1"/>
      <c r="KBM226" s="1"/>
      <c r="KBN226" s="1"/>
      <c r="KBO226" s="1"/>
      <c r="KBP226" s="1"/>
      <c r="KBQ226" s="1"/>
      <c r="KBR226" s="1"/>
      <c r="KBS226" s="1"/>
      <c r="KBT226" s="1"/>
      <c r="KBU226" s="1"/>
      <c r="KBV226" s="1"/>
      <c r="KBW226" s="1"/>
      <c r="KBX226" s="1"/>
      <c r="KBY226" s="1"/>
      <c r="KBZ226" s="1"/>
      <c r="KCA226" s="1"/>
      <c r="KCB226" s="1"/>
      <c r="KCC226" s="1"/>
      <c r="KCD226" s="1"/>
      <c r="KCE226" s="1"/>
      <c r="KCF226" s="1"/>
      <c r="KCG226" s="1"/>
      <c r="KCH226" s="1"/>
      <c r="KCI226" s="1"/>
      <c r="KCJ226" s="1"/>
      <c r="KCK226" s="1"/>
      <c r="KCL226" s="1"/>
      <c r="KCM226" s="1"/>
      <c r="KCN226" s="1"/>
      <c r="KCO226" s="1"/>
      <c r="KCP226" s="1"/>
      <c r="KCQ226" s="1"/>
      <c r="KCR226" s="1"/>
      <c r="KCS226" s="1"/>
      <c r="KCT226" s="1"/>
      <c r="KCU226" s="1"/>
      <c r="KCV226" s="1"/>
      <c r="KCW226" s="1"/>
      <c r="KCX226" s="1"/>
      <c r="KCY226" s="1"/>
      <c r="KCZ226" s="1"/>
      <c r="KDA226" s="1"/>
      <c r="KDB226" s="1"/>
      <c r="KDC226" s="1"/>
      <c r="KDD226" s="1"/>
      <c r="KDE226" s="1"/>
      <c r="KDF226" s="1"/>
      <c r="KDG226" s="1"/>
      <c r="KDH226" s="1"/>
      <c r="KDI226" s="1"/>
      <c r="KDJ226" s="1"/>
      <c r="KDK226" s="1"/>
      <c r="KDL226" s="1"/>
      <c r="KDM226" s="1"/>
      <c r="KDN226" s="1"/>
      <c r="KDO226" s="1"/>
      <c r="KDP226" s="1"/>
      <c r="KDQ226" s="1"/>
      <c r="KDR226" s="1"/>
      <c r="KDS226" s="1"/>
      <c r="KDT226" s="1"/>
      <c r="KDU226" s="1"/>
      <c r="KDV226" s="1"/>
      <c r="KDW226" s="1"/>
      <c r="KDX226" s="1"/>
      <c r="KDY226" s="1"/>
      <c r="KDZ226" s="1"/>
      <c r="KEA226" s="1"/>
      <c r="KEB226" s="1"/>
      <c r="KEC226" s="1"/>
      <c r="KED226" s="1"/>
      <c r="KEE226" s="1"/>
      <c r="KEF226" s="1"/>
      <c r="KEG226" s="1"/>
      <c r="KEH226" s="1"/>
      <c r="KEI226" s="1"/>
      <c r="KEJ226" s="1"/>
      <c r="KEK226" s="1"/>
      <c r="KEL226" s="1"/>
      <c r="KEM226" s="1"/>
      <c r="KEN226" s="1"/>
      <c r="KEO226" s="1"/>
      <c r="KEP226" s="1"/>
      <c r="KEQ226" s="1"/>
      <c r="KER226" s="1"/>
      <c r="KES226" s="1"/>
      <c r="KET226" s="1"/>
      <c r="KEU226" s="1"/>
      <c r="KEV226" s="1"/>
      <c r="KEW226" s="1"/>
      <c r="KEX226" s="1"/>
      <c r="KEY226" s="1"/>
      <c r="KEZ226" s="1"/>
      <c r="KFA226" s="1"/>
      <c r="KFB226" s="1"/>
      <c r="KFC226" s="1"/>
      <c r="KFD226" s="1"/>
      <c r="KFE226" s="1"/>
      <c r="KFF226" s="1"/>
      <c r="KFG226" s="1"/>
      <c r="KFH226" s="1"/>
      <c r="KFI226" s="1"/>
      <c r="KFJ226" s="1"/>
      <c r="KFK226" s="1"/>
      <c r="KFL226" s="1"/>
      <c r="KFM226" s="1"/>
      <c r="KFN226" s="1"/>
      <c r="KFO226" s="1"/>
      <c r="KFP226" s="1"/>
      <c r="KFQ226" s="1"/>
      <c r="KFR226" s="1"/>
      <c r="KFS226" s="1"/>
      <c r="KFT226" s="1"/>
      <c r="KFU226" s="1"/>
      <c r="KFV226" s="1"/>
      <c r="KFW226" s="1"/>
      <c r="KFX226" s="1"/>
      <c r="KFY226" s="1"/>
      <c r="KFZ226" s="1"/>
      <c r="KGA226" s="1"/>
      <c r="KGB226" s="1"/>
      <c r="KGC226" s="1"/>
      <c r="KGD226" s="1"/>
      <c r="KGE226" s="1"/>
      <c r="KGF226" s="1"/>
      <c r="KGG226" s="1"/>
      <c r="KGH226" s="1"/>
      <c r="KGI226" s="1"/>
      <c r="KGJ226" s="1"/>
      <c r="KGK226" s="1"/>
      <c r="KGL226" s="1"/>
      <c r="KGM226" s="1"/>
      <c r="KGN226" s="1"/>
      <c r="KGO226" s="1"/>
      <c r="KGP226" s="1"/>
      <c r="KGQ226" s="1"/>
      <c r="KGR226" s="1"/>
      <c r="KGS226" s="1"/>
      <c r="KGT226" s="1"/>
      <c r="KGU226" s="1"/>
      <c r="KGV226" s="1"/>
      <c r="KGW226" s="1"/>
      <c r="KGX226" s="1"/>
      <c r="KGY226" s="1"/>
      <c r="KGZ226" s="1"/>
      <c r="KHA226" s="1"/>
      <c r="KHB226" s="1"/>
      <c r="KHC226" s="1"/>
      <c r="KHD226" s="1"/>
      <c r="KHE226" s="1"/>
      <c r="KHF226" s="1"/>
      <c r="KHG226" s="1"/>
      <c r="KHH226" s="1"/>
      <c r="KHI226" s="1"/>
      <c r="KHJ226" s="1"/>
      <c r="KHK226" s="1"/>
      <c r="KHL226" s="1"/>
      <c r="KHM226" s="1"/>
      <c r="KHN226" s="1"/>
      <c r="KHO226" s="1"/>
      <c r="KHP226" s="1"/>
      <c r="KHQ226" s="1"/>
      <c r="KHR226" s="1"/>
      <c r="KHS226" s="1"/>
      <c r="KHT226" s="1"/>
      <c r="KHU226" s="1"/>
      <c r="KHV226" s="1"/>
      <c r="KHW226" s="1"/>
      <c r="KHX226" s="1"/>
      <c r="KHY226" s="1"/>
      <c r="KHZ226" s="1"/>
      <c r="KIA226" s="1"/>
      <c r="KIB226" s="1"/>
      <c r="KIC226" s="1"/>
      <c r="KID226" s="1"/>
      <c r="KIE226" s="1"/>
      <c r="KIF226" s="1"/>
      <c r="KIG226" s="1"/>
      <c r="KIH226" s="1"/>
      <c r="KII226" s="1"/>
      <c r="KIJ226" s="1"/>
      <c r="KIK226" s="1"/>
      <c r="KIL226" s="1"/>
      <c r="KIM226" s="1"/>
      <c r="KIN226" s="1"/>
      <c r="KIO226" s="1"/>
      <c r="KIP226" s="1"/>
      <c r="KIQ226" s="1"/>
      <c r="KIR226" s="1"/>
      <c r="KIS226" s="1"/>
      <c r="KIT226" s="1"/>
      <c r="KIU226" s="1"/>
      <c r="KIV226" s="1"/>
      <c r="KIW226" s="1"/>
      <c r="KIX226" s="1"/>
      <c r="KIY226" s="1"/>
      <c r="KIZ226" s="1"/>
      <c r="KJA226" s="1"/>
      <c r="KJB226" s="1"/>
      <c r="KJC226" s="1"/>
      <c r="KJD226" s="1"/>
      <c r="KJE226" s="1"/>
      <c r="KJF226" s="1"/>
      <c r="KJG226" s="1"/>
      <c r="KJH226" s="1"/>
      <c r="KJI226" s="1"/>
      <c r="KJJ226" s="1"/>
      <c r="KJK226" s="1"/>
      <c r="KJL226" s="1"/>
      <c r="KJM226" s="1"/>
      <c r="KJN226" s="1"/>
      <c r="KJO226" s="1"/>
      <c r="KJP226" s="1"/>
      <c r="KJQ226" s="1"/>
      <c r="KJR226" s="1"/>
      <c r="KJS226" s="1"/>
      <c r="KJT226" s="1"/>
      <c r="KJU226" s="1"/>
      <c r="KJV226" s="1"/>
      <c r="KJW226" s="1"/>
      <c r="KJX226" s="1"/>
      <c r="KJY226" s="1"/>
      <c r="KJZ226" s="1"/>
      <c r="KKA226" s="1"/>
      <c r="KKB226" s="1"/>
      <c r="KKC226" s="1"/>
      <c r="KKD226" s="1"/>
      <c r="KKE226" s="1"/>
      <c r="KKF226" s="1"/>
      <c r="KKG226" s="1"/>
      <c r="KKH226" s="1"/>
      <c r="KKI226" s="1"/>
      <c r="KKJ226" s="1"/>
      <c r="KKK226" s="1"/>
      <c r="KKL226" s="1"/>
      <c r="KKM226" s="1"/>
      <c r="KKN226" s="1"/>
      <c r="KKO226" s="1"/>
      <c r="KKP226" s="1"/>
      <c r="KKQ226" s="1"/>
      <c r="KKR226" s="1"/>
      <c r="KKS226" s="1"/>
      <c r="KKT226" s="1"/>
      <c r="KKU226" s="1"/>
      <c r="KKV226" s="1"/>
      <c r="KKW226" s="1"/>
      <c r="KKX226" s="1"/>
      <c r="KKY226" s="1"/>
      <c r="KKZ226" s="1"/>
      <c r="KLA226" s="1"/>
      <c r="KLB226" s="1"/>
      <c r="KLC226" s="1"/>
      <c r="KLD226" s="1"/>
      <c r="KLE226" s="1"/>
      <c r="KLF226" s="1"/>
      <c r="KLG226" s="1"/>
      <c r="KLH226" s="1"/>
      <c r="KLI226" s="1"/>
      <c r="KLJ226" s="1"/>
      <c r="KLK226" s="1"/>
      <c r="KLL226" s="1"/>
      <c r="KLM226" s="1"/>
      <c r="KLN226" s="1"/>
      <c r="KLO226" s="1"/>
      <c r="KLP226" s="1"/>
      <c r="KLQ226" s="1"/>
      <c r="KLR226" s="1"/>
      <c r="KLS226" s="1"/>
      <c r="KLT226" s="1"/>
      <c r="KLU226" s="1"/>
      <c r="KLV226" s="1"/>
      <c r="KLW226" s="1"/>
      <c r="KLX226" s="1"/>
      <c r="KLY226" s="1"/>
      <c r="KLZ226" s="1"/>
      <c r="KMA226" s="1"/>
      <c r="KMB226" s="1"/>
      <c r="KMC226" s="1"/>
      <c r="KMD226" s="1"/>
      <c r="KME226" s="1"/>
      <c r="KMF226" s="1"/>
      <c r="KMG226" s="1"/>
      <c r="KMH226" s="1"/>
      <c r="KMI226" s="1"/>
      <c r="KMJ226" s="1"/>
      <c r="KMK226" s="1"/>
      <c r="KML226" s="1"/>
      <c r="KMM226" s="1"/>
      <c r="KMN226" s="1"/>
      <c r="KMO226" s="1"/>
      <c r="KMP226" s="1"/>
      <c r="KMQ226" s="1"/>
      <c r="KMR226" s="1"/>
      <c r="KMS226" s="1"/>
      <c r="KMT226" s="1"/>
      <c r="KMU226" s="1"/>
      <c r="KMV226" s="1"/>
      <c r="KMW226" s="1"/>
      <c r="KMX226" s="1"/>
      <c r="KMY226" s="1"/>
      <c r="KMZ226" s="1"/>
      <c r="KNA226" s="1"/>
      <c r="KNB226" s="1"/>
      <c r="KNC226" s="1"/>
      <c r="KND226" s="1"/>
      <c r="KNE226" s="1"/>
      <c r="KNF226" s="1"/>
      <c r="KNG226" s="1"/>
      <c r="KNH226" s="1"/>
      <c r="KNI226" s="1"/>
      <c r="KNJ226" s="1"/>
      <c r="KNK226" s="1"/>
      <c r="KNL226" s="1"/>
      <c r="KNM226" s="1"/>
      <c r="KNN226" s="1"/>
      <c r="KNO226" s="1"/>
      <c r="KNP226" s="1"/>
      <c r="KNQ226" s="1"/>
      <c r="KNR226" s="1"/>
      <c r="KNS226" s="1"/>
      <c r="KNT226" s="1"/>
      <c r="KNU226" s="1"/>
      <c r="KNV226" s="1"/>
      <c r="KNW226" s="1"/>
      <c r="KNX226" s="1"/>
      <c r="KNY226" s="1"/>
      <c r="KNZ226" s="1"/>
      <c r="KOA226" s="1"/>
      <c r="KOB226" s="1"/>
      <c r="KOC226" s="1"/>
      <c r="KOD226" s="1"/>
      <c r="KOE226" s="1"/>
      <c r="KOF226" s="1"/>
      <c r="KOG226" s="1"/>
      <c r="KOH226" s="1"/>
      <c r="KOI226" s="1"/>
      <c r="KOJ226" s="1"/>
      <c r="KOK226" s="1"/>
      <c r="KOL226" s="1"/>
      <c r="KOM226" s="1"/>
      <c r="KON226" s="1"/>
      <c r="KOO226" s="1"/>
      <c r="KOP226" s="1"/>
      <c r="KOQ226" s="1"/>
      <c r="KOR226" s="1"/>
      <c r="KOS226" s="1"/>
      <c r="KOT226" s="1"/>
      <c r="KOU226" s="1"/>
      <c r="KOV226" s="1"/>
      <c r="KOW226" s="1"/>
      <c r="KOX226" s="1"/>
      <c r="KOY226" s="1"/>
      <c r="KOZ226" s="1"/>
      <c r="KPA226" s="1"/>
      <c r="KPB226" s="1"/>
      <c r="KPC226" s="1"/>
      <c r="KPD226" s="1"/>
      <c r="KPE226" s="1"/>
      <c r="KPF226" s="1"/>
      <c r="KPG226" s="1"/>
      <c r="KPH226" s="1"/>
      <c r="KPI226" s="1"/>
      <c r="KPJ226" s="1"/>
      <c r="KPK226" s="1"/>
      <c r="KPL226" s="1"/>
      <c r="KPM226" s="1"/>
      <c r="KPN226" s="1"/>
      <c r="KPO226" s="1"/>
      <c r="KPP226" s="1"/>
      <c r="KPQ226" s="1"/>
      <c r="KPR226" s="1"/>
      <c r="KPS226" s="1"/>
      <c r="KPT226" s="1"/>
      <c r="KPU226" s="1"/>
      <c r="KPV226" s="1"/>
      <c r="KPW226" s="1"/>
      <c r="KPX226" s="1"/>
      <c r="KPY226" s="1"/>
      <c r="KPZ226" s="1"/>
      <c r="KQA226" s="1"/>
      <c r="KQB226" s="1"/>
      <c r="KQC226" s="1"/>
      <c r="KQD226" s="1"/>
      <c r="KQE226" s="1"/>
      <c r="KQF226" s="1"/>
      <c r="KQG226" s="1"/>
      <c r="KQH226" s="1"/>
      <c r="KQI226" s="1"/>
      <c r="KQJ226" s="1"/>
      <c r="KQK226" s="1"/>
      <c r="KQL226" s="1"/>
      <c r="KQM226" s="1"/>
      <c r="KQN226" s="1"/>
      <c r="KQO226" s="1"/>
      <c r="KQP226" s="1"/>
      <c r="KQQ226" s="1"/>
      <c r="KQR226" s="1"/>
      <c r="KQS226" s="1"/>
      <c r="KQT226" s="1"/>
      <c r="KQU226" s="1"/>
      <c r="KQV226" s="1"/>
      <c r="KQW226" s="1"/>
      <c r="KQX226" s="1"/>
      <c r="KQY226" s="1"/>
      <c r="KQZ226" s="1"/>
      <c r="KRA226" s="1"/>
      <c r="KRB226" s="1"/>
      <c r="KRC226" s="1"/>
      <c r="KRD226" s="1"/>
      <c r="KRE226" s="1"/>
      <c r="KRF226" s="1"/>
      <c r="KRG226" s="1"/>
      <c r="KRH226" s="1"/>
      <c r="KRI226" s="1"/>
      <c r="KRJ226" s="1"/>
      <c r="KRK226" s="1"/>
      <c r="KRL226" s="1"/>
      <c r="KRM226" s="1"/>
      <c r="KRN226" s="1"/>
      <c r="KRO226" s="1"/>
      <c r="KRP226" s="1"/>
      <c r="KRQ226" s="1"/>
      <c r="KRR226" s="1"/>
      <c r="KRS226" s="1"/>
      <c r="KRT226" s="1"/>
      <c r="KRU226" s="1"/>
      <c r="KRV226" s="1"/>
      <c r="KRW226" s="1"/>
      <c r="KRX226" s="1"/>
      <c r="KRY226" s="1"/>
      <c r="KRZ226" s="1"/>
      <c r="KSA226" s="1"/>
      <c r="KSB226" s="1"/>
      <c r="KSC226" s="1"/>
      <c r="KSD226" s="1"/>
      <c r="KSE226" s="1"/>
      <c r="KSF226" s="1"/>
      <c r="KSG226" s="1"/>
      <c r="KSH226" s="1"/>
      <c r="KSI226" s="1"/>
      <c r="KSJ226" s="1"/>
      <c r="KSK226" s="1"/>
      <c r="KSL226" s="1"/>
      <c r="KSM226" s="1"/>
      <c r="KSN226" s="1"/>
      <c r="KSO226" s="1"/>
      <c r="KSP226" s="1"/>
      <c r="KSQ226" s="1"/>
      <c r="KSR226" s="1"/>
      <c r="KSS226" s="1"/>
      <c r="KST226" s="1"/>
      <c r="KSU226" s="1"/>
      <c r="KSV226" s="1"/>
      <c r="KSW226" s="1"/>
      <c r="KSX226" s="1"/>
      <c r="KSY226" s="1"/>
      <c r="KSZ226" s="1"/>
      <c r="KTA226" s="1"/>
      <c r="KTB226" s="1"/>
      <c r="KTC226" s="1"/>
      <c r="KTD226" s="1"/>
      <c r="KTE226" s="1"/>
      <c r="KTF226" s="1"/>
      <c r="KTG226" s="1"/>
      <c r="KTH226" s="1"/>
      <c r="KTI226" s="1"/>
      <c r="KTJ226" s="1"/>
      <c r="KTK226" s="1"/>
      <c r="KTL226" s="1"/>
      <c r="KTM226" s="1"/>
      <c r="KTN226" s="1"/>
      <c r="KTO226" s="1"/>
      <c r="KTP226" s="1"/>
      <c r="KTQ226" s="1"/>
      <c r="KTR226" s="1"/>
      <c r="KTS226" s="1"/>
      <c r="KTT226" s="1"/>
      <c r="KTU226" s="1"/>
      <c r="KTV226" s="1"/>
      <c r="KTW226" s="1"/>
      <c r="KTX226" s="1"/>
      <c r="KTY226" s="1"/>
      <c r="KTZ226" s="1"/>
      <c r="KUA226" s="1"/>
      <c r="KUB226" s="1"/>
      <c r="KUC226" s="1"/>
      <c r="KUD226" s="1"/>
      <c r="KUE226" s="1"/>
      <c r="KUF226" s="1"/>
      <c r="KUG226" s="1"/>
      <c r="KUH226" s="1"/>
      <c r="KUI226" s="1"/>
      <c r="KUJ226" s="1"/>
      <c r="KUK226" s="1"/>
      <c r="KUL226" s="1"/>
      <c r="KUM226" s="1"/>
      <c r="KUN226" s="1"/>
      <c r="KUO226" s="1"/>
      <c r="KUP226" s="1"/>
      <c r="KUQ226" s="1"/>
      <c r="KUR226" s="1"/>
      <c r="KUS226" s="1"/>
      <c r="KUT226" s="1"/>
      <c r="KUU226" s="1"/>
      <c r="KUV226" s="1"/>
      <c r="KUW226" s="1"/>
      <c r="KUX226" s="1"/>
      <c r="KUY226" s="1"/>
      <c r="KUZ226" s="1"/>
      <c r="KVA226" s="1"/>
      <c r="KVB226" s="1"/>
      <c r="KVC226" s="1"/>
      <c r="KVD226" s="1"/>
      <c r="KVE226" s="1"/>
      <c r="KVF226" s="1"/>
      <c r="KVG226" s="1"/>
      <c r="KVH226" s="1"/>
      <c r="KVI226" s="1"/>
      <c r="KVJ226" s="1"/>
      <c r="KVK226" s="1"/>
      <c r="KVL226" s="1"/>
      <c r="KVM226" s="1"/>
      <c r="KVN226" s="1"/>
      <c r="KVO226" s="1"/>
      <c r="KVP226" s="1"/>
      <c r="KVQ226" s="1"/>
      <c r="KVR226" s="1"/>
      <c r="KVS226" s="1"/>
      <c r="KVT226" s="1"/>
      <c r="KVU226" s="1"/>
      <c r="KVV226" s="1"/>
      <c r="KVW226" s="1"/>
      <c r="KVX226" s="1"/>
      <c r="KVY226" s="1"/>
      <c r="KVZ226" s="1"/>
      <c r="KWA226" s="1"/>
      <c r="KWB226" s="1"/>
      <c r="KWC226" s="1"/>
      <c r="KWD226" s="1"/>
      <c r="KWE226" s="1"/>
      <c r="KWF226" s="1"/>
      <c r="KWG226" s="1"/>
      <c r="KWH226" s="1"/>
      <c r="KWI226" s="1"/>
      <c r="KWJ226" s="1"/>
      <c r="KWK226" s="1"/>
      <c r="KWL226" s="1"/>
      <c r="KWM226" s="1"/>
      <c r="KWN226" s="1"/>
      <c r="KWO226" s="1"/>
      <c r="KWP226" s="1"/>
      <c r="KWQ226" s="1"/>
      <c r="KWR226" s="1"/>
      <c r="KWS226" s="1"/>
      <c r="KWT226" s="1"/>
      <c r="KWU226" s="1"/>
      <c r="KWV226" s="1"/>
      <c r="KWW226" s="1"/>
      <c r="KWX226" s="1"/>
      <c r="KWY226" s="1"/>
      <c r="KWZ226" s="1"/>
      <c r="KXA226" s="1"/>
      <c r="KXB226" s="1"/>
      <c r="KXC226" s="1"/>
      <c r="KXD226" s="1"/>
      <c r="KXE226" s="1"/>
      <c r="KXF226" s="1"/>
      <c r="KXG226" s="1"/>
      <c r="KXH226" s="1"/>
      <c r="KXI226" s="1"/>
      <c r="KXJ226" s="1"/>
      <c r="KXK226" s="1"/>
      <c r="KXL226" s="1"/>
      <c r="KXM226" s="1"/>
      <c r="KXN226" s="1"/>
      <c r="KXO226" s="1"/>
      <c r="KXP226" s="1"/>
      <c r="KXQ226" s="1"/>
      <c r="KXR226" s="1"/>
      <c r="KXS226" s="1"/>
      <c r="KXT226" s="1"/>
      <c r="KXU226" s="1"/>
      <c r="KXV226" s="1"/>
      <c r="KXW226" s="1"/>
      <c r="KXX226" s="1"/>
      <c r="KXY226" s="1"/>
      <c r="KXZ226" s="1"/>
      <c r="KYA226" s="1"/>
      <c r="KYB226" s="1"/>
      <c r="KYC226" s="1"/>
      <c r="KYD226" s="1"/>
      <c r="KYE226" s="1"/>
      <c r="KYF226" s="1"/>
      <c r="KYG226" s="1"/>
      <c r="KYH226" s="1"/>
      <c r="KYI226" s="1"/>
      <c r="KYJ226" s="1"/>
      <c r="KYK226" s="1"/>
      <c r="KYL226" s="1"/>
      <c r="KYM226" s="1"/>
      <c r="KYN226" s="1"/>
      <c r="KYO226" s="1"/>
      <c r="KYP226" s="1"/>
      <c r="KYQ226" s="1"/>
      <c r="KYR226" s="1"/>
      <c r="KYS226" s="1"/>
      <c r="KYT226" s="1"/>
      <c r="KYU226" s="1"/>
      <c r="KYV226" s="1"/>
      <c r="KYW226" s="1"/>
      <c r="KYX226" s="1"/>
      <c r="KYY226" s="1"/>
      <c r="KYZ226" s="1"/>
      <c r="KZA226" s="1"/>
      <c r="KZB226" s="1"/>
      <c r="KZC226" s="1"/>
      <c r="KZD226" s="1"/>
      <c r="KZE226" s="1"/>
      <c r="KZF226" s="1"/>
      <c r="KZG226" s="1"/>
      <c r="KZH226" s="1"/>
      <c r="KZI226" s="1"/>
      <c r="KZJ226" s="1"/>
      <c r="KZK226" s="1"/>
      <c r="KZL226" s="1"/>
      <c r="KZM226" s="1"/>
      <c r="KZN226" s="1"/>
      <c r="KZO226" s="1"/>
      <c r="KZP226" s="1"/>
      <c r="KZQ226" s="1"/>
      <c r="KZR226" s="1"/>
      <c r="KZS226" s="1"/>
      <c r="KZT226" s="1"/>
      <c r="KZU226" s="1"/>
      <c r="KZV226" s="1"/>
      <c r="KZW226" s="1"/>
      <c r="KZX226" s="1"/>
      <c r="KZY226" s="1"/>
      <c r="KZZ226" s="1"/>
      <c r="LAA226" s="1"/>
      <c r="LAB226" s="1"/>
      <c r="LAC226" s="1"/>
      <c r="LAD226" s="1"/>
      <c r="LAE226" s="1"/>
      <c r="LAF226" s="1"/>
      <c r="LAG226" s="1"/>
      <c r="LAH226" s="1"/>
      <c r="LAI226" s="1"/>
      <c r="LAJ226" s="1"/>
      <c r="LAK226" s="1"/>
      <c r="LAL226" s="1"/>
      <c r="LAM226" s="1"/>
      <c r="LAN226" s="1"/>
      <c r="LAO226" s="1"/>
      <c r="LAP226" s="1"/>
      <c r="LAQ226" s="1"/>
      <c r="LAR226" s="1"/>
      <c r="LAS226" s="1"/>
      <c r="LAT226" s="1"/>
      <c r="LAU226" s="1"/>
      <c r="LAV226" s="1"/>
      <c r="LAW226" s="1"/>
      <c r="LAX226" s="1"/>
      <c r="LAY226" s="1"/>
      <c r="LAZ226" s="1"/>
      <c r="LBA226" s="1"/>
      <c r="LBB226" s="1"/>
      <c r="LBC226" s="1"/>
      <c r="LBD226" s="1"/>
      <c r="LBE226" s="1"/>
      <c r="LBF226" s="1"/>
      <c r="LBG226" s="1"/>
      <c r="LBH226" s="1"/>
      <c r="LBI226" s="1"/>
      <c r="LBJ226" s="1"/>
      <c r="LBK226" s="1"/>
      <c r="LBL226" s="1"/>
      <c r="LBM226" s="1"/>
      <c r="LBN226" s="1"/>
      <c r="LBO226" s="1"/>
      <c r="LBP226" s="1"/>
      <c r="LBQ226" s="1"/>
      <c r="LBR226" s="1"/>
      <c r="LBS226" s="1"/>
      <c r="LBT226" s="1"/>
      <c r="LBU226" s="1"/>
      <c r="LBV226" s="1"/>
      <c r="LBW226" s="1"/>
      <c r="LBX226" s="1"/>
      <c r="LBY226" s="1"/>
      <c r="LBZ226" s="1"/>
      <c r="LCA226" s="1"/>
      <c r="LCB226" s="1"/>
      <c r="LCC226" s="1"/>
      <c r="LCD226" s="1"/>
      <c r="LCE226" s="1"/>
      <c r="LCF226" s="1"/>
      <c r="LCG226" s="1"/>
      <c r="LCH226" s="1"/>
      <c r="LCI226" s="1"/>
      <c r="LCJ226" s="1"/>
      <c r="LCK226" s="1"/>
      <c r="LCL226" s="1"/>
      <c r="LCM226" s="1"/>
      <c r="LCN226" s="1"/>
      <c r="LCO226" s="1"/>
      <c r="LCP226" s="1"/>
      <c r="LCQ226" s="1"/>
      <c r="LCR226" s="1"/>
      <c r="LCS226" s="1"/>
      <c r="LCT226" s="1"/>
      <c r="LCU226" s="1"/>
      <c r="LCV226" s="1"/>
      <c r="LCW226" s="1"/>
      <c r="LCX226" s="1"/>
      <c r="LCY226" s="1"/>
      <c r="LCZ226" s="1"/>
      <c r="LDA226" s="1"/>
      <c r="LDB226" s="1"/>
      <c r="LDC226" s="1"/>
      <c r="LDD226" s="1"/>
      <c r="LDE226" s="1"/>
      <c r="LDF226" s="1"/>
      <c r="LDG226" s="1"/>
      <c r="LDH226" s="1"/>
      <c r="LDI226" s="1"/>
      <c r="LDJ226" s="1"/>
      <c r="LDK226" s="1"/>
      <c r="LDL226" s="1"/>
      <c r="LDM226" s="1"/>
      <c r="LDN226" s="1"/>
      <c r="LDO226" s="1"/>
      <c r="LDP226" s="1"/>
      <c r="LDQ226" s="1"/>
      <c r="LDR226" s="1"/>
      <c r="LDS226" s="1"/>
      <c r="LDT226" s="1"/>
      <c r="LDU226" s="1"/>
      <c r="LDV226" s="1"/>
      <c r="LDW226" s="1"/>
      <c r="LDX226" s="1"/>
      <c r="LDY226" s="1"/>
      <c r="LDZ226" s="1"/>
      <c r="LEA226" s="1"/>
      <c r="LEB226" s="1"/>
      <c r="LEC226" s="1"/>
      <c r="LED226" s="1"/>
      <c r="LEE226" s="1"/>
      <c r="LEF226" s="1"/>
      <c r="LEG226" s="1"/>
      <c r="LEH226" s="1"/>
      <c r="LEI226" s="1"/>
      <c r="LEJ226" s="1"/>
      <c r="LEK226" s="1"/>
      <c r="LEL226" s="1"/>
      <c r="LEM226" s="1"/>
      <c r="LEN226" s="1"/>
      <c r="LEO226" s="1"/>
      <c r="LEP226" s="1"/>
      <c r="LEQ226" s="1"/>
      <c r="LER226" s="1"/>
      <c r="LES226" s="1"/>
      <c r="LET226" s="1"/>
      <c r="LEU226" s="1"/>
      <c r="LEV226" s="1"/>
      <c r="LEW226" s="1"/>
      <c r="LEX226" s="1"/>
      <c r="LEY226" s="1"/>
      <c r="LEZ226" s="1"/>
      <c r="LFA226" s="1"/>
      <c r="LFB226" s="1"/>
      <c r="LFC226" s="1"/>
      <c r="LFD226" s="1"/>
      <c r="LFE226" s="1"/>
      <c r="LFF226" s="1"/>
      <c r="LFG226" s="1"/>
      <c r="LFH226" s="1"/>
      <c r="LFI226" s="1"/>
      <c r="LFJ226" s="1"/>
      <c r="LFK226" s="1"/>
      <c r="LFL226" s="1"/>
      <c r="LFM226" s="1"/>
      <c r="LFN226" s="1"/>
      <c r="LFO226" s="1"/>
      <c r="LFP226" s="1"/>
      <c r="LFQ226" s="1"/>
      <c r="LFR226" s="1"/>
      <c r="LFS226" s="1"/>
      <c r="LFT226" s="1"/>
      <c r="LFU226" s="1"/>
      <c r="LFV226" s="1"/>
      <c r="LFW226" s="1"/>
      <c r="LFX226" s="1"/>
      <c r="LFY226" s="1"/>
      <c r="LFZ226" s="1"/>
      <c r="LGA226" s="1"/>
      <c r="LGB226" s="1"/>
      <c r="LGC226" s="1"/>
      <c r="LGD226" s="1"/>
      <c r="LGE226" s="1"/>
      <c r="LGF226" s="1"/>
      <c r="LGG226" s="1"/>
      <c r="LGH226" s="1"/>
      <c r="LGI226" s="1"/>
      <c r="LGJ226" s="1"/>
      <c r="LGK226" s="1"/>
      <c r="LGL226" s="1"/>
      <c r="LGM226" s="1"/>
      <c r="LGN226" s="1"/>
      <c r="LGO226" s="1"/>
      <c r="LGP226" s="1"/>
      <c r="LGQ226" s="1"/>
      <c r="LGR226" s="1"/>
      <c r="LGS226" s="1"/>
      <c r="LGT226" s="1"/>
      <c r="LGU226" s="1"/>
      <c r="LGV226" s="1"/>
      <c r="LGW226" s="1"/>
      <c r="LGX226" s="1"/>
      <c r="LGY226" s="1"/>
      <c r="LGZ226" s="1"/>
      <c r="LHA226" s="1"/>
      <c r="LHB226" s="1"/>
      <c r="LHC226" s="1"/>
      <c r="LHD226" s="1"/>
      <c r="LHE226" s="1"/>
      <c r="LHF226" s="1"/>
      <c r="LHG226" s="1"/>
      <c r="LHH226" s="1"/>
      <c r="LHI226" s="1"/>
      <c r="LHJ226" s="1"/>
      <c r="LHK226" s="1"/>
      <c r="LHL226" s="1"/>
      <c r="LHM226" s="1"/>
      <c r="LHN226" s="1"/>
      <c r="LHO226" s="1"/>
      <c r="LHP226" s="1"/>
      <c r="LHQ226" s="1"/>
      <c r="LHR226" s="1"/>
      <c r="LHS226" s="1"/>
      <c r="LHT226" s="1"/>
      <c r="LHU226" s="1"/>
      <c r="LHV226" s="1"/>
      <c r="LHW226" s="1"/>
      <c r="LHX226" s="1"/>
      <c r="LHY226" s="1"/>
      <c r="LHZ226" s="1"/>
      <c r="LIA226" s="1"/>
      <c r="LIB226" s="1"/>
      <c r="LIC226" s="1"/>
      <c r="LID226" s="1"/>
      <c r="LIE226" s="1"/>
      <c r="LIF226" s="1"/>
      <c r="LIG226" s="1"/>
      <c r="LIH226" s="1"/>
      <c r="LII226" s="1"/>
      <c r="LIJ226" s="1"/>
      <c r="LIK226" s="1"/>
      <c r="LIL226" s="1"/>
      <c r="LIM226" s="1"/>
      <c r="LIN226" s="1"/>
      <c r="LIO226" s="1"/>
      <c r="LIP226" s="1"/>
      <c r="LIQ226" s="1"/>
      <c r="LIR226" s="1"/>
      <c r="LIS226" s="1"/>
      <c r="LIT226" s="1"/>
      <c r="LIU226" s="1"/>
      <c r="LIV226" s="1"/>
      <c r="LIW226" s="1"/>
      <c r="LIX226" s="1"/>
      <c r="LIY226" s="1"/>
      <c r="LIZ226" s="1"/>
      <c r="LJA226" s="1"/>
      <c r="LJB226" s="1"/>
      <c r="LJC226" s="1"/>
      <c r="LJD226" s="1"/>
      <c r="LJE226" s="1"/>
      <c r="LJF226" s="1"/>
      <c r="LJG226" s="1"/>
      <c r="LJH226" s="1"/>
      <c r="LJI226" s="1"/>
      <c r="LJJ226" s="1"/>
      <c r="LJK226" s="1"/>
      <c r="LJL226" s="1"/>
      <c r="LJM226" s="1"/>
      <c r="LJN226" s="1"/>
      <c r="LJO226" s="1"/>
      <c r="LJP226" s="1"/>
      <c r="LJQ226" s="1"/>
      <c r="LJR226" s="1"/>
      <c r="LJS226" s="1"/>
      <c r="LJT226" s="1"/>
      <c r="LJU226" s="1"/>
      <c r="LJV226" s="1"/>
      <c r="LJW226" s="1"/>
      <c r="LJX226" s="1"/>
      <c r="LJY226" s="1"/>
      <c r="LJZ226" s="1"/>
      <c r="LKA226" s="1"/>
      <c r="LKB226" s="1"/>
      <c r="LKC226" s="1"/>
      <c r="LKD226" s="1"/>
      <c r="LKE226" s="1"/>
      <c r="LKF226" s="1"/>
      <c r="LKG226" s="1"/>
      <c r="LKH226" s="1"/>
      <c r="LKI226" s="1"/>
      <c r="LKJ226" s="1"/>
      <c r="LKK226" s="1"/>
      <c r="LKL226" s="1"/>
      <c r="LKM226" s="1"/>
      <c r="LKN226" s="1"/>
      <c r="LKO226" s="1"/>
      <c r="LKP226" s="1"/>
      <c r="LKQ226" s="1"/>
      <c r="LKR226" s="1"/>
      <c r="LKS226" s="1"/>
      <c r="LKT226" s="1"/>
      <c r="LKU226" s="1"/>
      <c r="LKV226" s="1"/>
      <c r="LKW226" s="1"/>
      <c r="LKX226" s="1"/>
      <c r="LKY226" s="1"/>
      <c r="LKZ226" s="1"/>
      <c r="LLA226" s="1"/>
      <c r="LLB226" s="1"/>
      <c r="LLC226" s="1"/>
      <c r="LLD226" s="1"/>
      <c r="LLE226" s="1"/>
      <c r="LLF226" s="1"/>
      <c r="LLG226" s="1"/>
      <c r="LLH226" s="1"/>
      <c r="LLI226" s="1"/>
      <c r="LLJ226" s="1"/>
      <c r="LLK226" s="1"/>
      <c r="LLL226" s="1"/>
      <c r="LLM226" s="1"/>
      <c r="LLN226" s="1"/>
      <c r="LLO226" s="1"/>
      <c r="LLP226" s="1"/>
      <c r="LLQ226" s="1"/>
      <c r="LLR226" s="1"/>
      <c r="LLS226" s="1"/>
      <c r="LLT226" s="1"/>
      <c r="LLU226" s="1"/>
      <c r="LLV226" s="1"/>
      <c r="LLW226" s="1"/>
      <c r="LLX226" s="1"/>
      <c r="LLY226" s="1"/>
      <c r="LLZ226" s="1"/>
      <c r="LMA226" s="1"/>
      <c r="LMB226" s="1"/>
      <c r="LMC226" s="1"/>
      <c r="LMD226" s="1"/>
      <c r="LME226" s="1"/>
      <c r="LMF226" s="1"/>
      <c r="LMG226" s="1"/>
      <c r="LMH226" s="1"/>
      <c r="LMI226" s="1"/>
      <c r="LMJ226" s="1"/>
      <c r="LMK226" s="1"/>
      <c r="LML226" s="1"/>
      <c r="LMM226" s="1"/>
      <c r="LMN226" s="1"/>
      <c r="LMO226" s="1"/>
      <c r="LMP226" s="1"/>
      <c r="LMQ226" s="1"/>
      <c r="LMR226" s="1"/>
      <c r="LMS226" s="1"/>
      <c r="LMT226" s="1"/>
      <c r="LMU226" s="1"/>
      <c r="LMV226" s="1"/>
      <c r="LMW226" s="1"/>
      <c r="LMX226" s="1"/>
      <c r="LMY226" s="1"/>
      <c r="LMZ226" s="1"/>
      <c r="LNA226" s="1"/>
      <c r="LNB226" s="1"/>
      <c r="LNC226" s="1"/>
      <c r="LND226" s="1"/>
      <c r="LNE226" s="1"/>
      <c r="LNF226" s="1"/>
      <c r="LNG226" s="1"/>
      <c r="LNH226" s="1"/>
      <c r="LNI226" s="1"/>
      <c r="LNJ226" s="1"/>
      <c r="LNK226" s="1"/>
      <c r="LNL226" s="1"/>
      <c r="LNM226" s="1"/>
      <c r="LNN226" s="1"/>
      <c r="LNO226" s="1"/>
      <c r="LNP226" s="1"/>
      <c r="LNQ226" s="1"/>
      <c r="LNR226" s="1"/>
      <c r="LNS226" s="1"/>
      <c r="LNT226" s="1"/>
      <c r="LNU226" s="1"/>
      <c r="LNV226" s="1"/>
      <c r="LNW226" s="1"/>
      <c r="LNX226" s="1"/>
      <c r="LNY226" s="1"/>
      <c r="LNZ226" s="1"/>
      <c r="LOA226" s="1"/>
      <c r="LOB226" s="1"/>
      <c r="LOC226" s="1"/>
      <c r="LOD226" s="1"/>
      <c r="LOE226" s="1"/>
      <c r="LOF226" s="1"/>
      <c r="LOG226" s="1"/>
      <c r="LOH226" s="1"/>
      <c r="LOI226" s="1"/>
      <c r="LOJ226" s="1"/>
      <c r="LOK226" s="1"/>
      <c r="LOL226" s="1"/>
      <c r="LOM226" s="1"/>
      <c r="LON226" s="1"/>
      <c r="LOO226" s="1"/>
      <c r="LOP226" s="1"/>
      <c r="LOQ226" s="1"/>
      <c r="LOR226" s="1"/>
      <c r="LOS226" s="1"/>
      <c r="LOT226" s="1"/>
      <c r="LOU226" s="1"/>
      <c r="LOV226" s="1"/>
      <c r="LOW226" s="1"/>
      <c r="LOX226" s="1"/>
      <c r="LOY226" s="1"/>
      <c r="LOZ226" s="1"/>
      <c r="LPA226" s="1"/>
      <c r="LPB226" s="1"/>
      <c r="LPC226" s="1"/>
      <c r="LPD226" s="1"/>
      <c r="LPE226" s="1"/>
      <c r="LPF226" s="1"/>
      <c r="LPG226" s="1"/>
      <c r="LPH226" s="1"/>
      <c r="LPI226" s="1"/>
      <c r="LPJ226" s="1"/>
      <c r="LPK226" s="1"/>
      <c r="LPL226" s="1"/>
      <c r="LPM226" s="1"/>
      <c r="LPN226" s="1"/>
      <c r="LPO226" s="1"/>
      <c r="LPP226" s="1"/>
      <c r="LPQ226" s="1"/>
      <c r="LPR226" s="1"/>
      <c r="LPS226" s="1"/>
      <c r="LPT226" s="1"/>
      <c r="LPU226" s="1"/>
      <c r="LPV226" s="1"/>
      <c r="LPW226" s="1"/>
      <c r="LPX226" s="1"/>
      <c r="LPY226" s="1"/>
      <c r="LPZ226" s="1"/>
      <c r="LQA226" s="1"/>
      <c r="LQB226" s="1"/>
      <c r="LQC226" s="1"/>
      <c r="LQD226" s="1"/>
      <c r="LQE226" s="1"/>
      <c r="LQF226" s="1"/>
      <c r="LQG226" s="1"/>
      <c r="LQH226" s="1"/>
      <c r="LQI226" s="1"/>
      <c r="LQJ226" s="1"/>
      <c r="LQK226" s="1"/>
      <c r="LQL226" s="1"/>
      <c r="LQM226" s="1"/>
      <c r="LQN226" s="1"/>
      <c r="LQO226" s="1"/>
      <c r="LQP226" s="1"/>
      <c r="LQQ226" s="1"/>
      <c r="LQR226" s="1"/>
      <c r="LQS226" s="1"/>
      <c r="LQT226" s="1"/>
      <c r="LQU226" s="1"/>
      <c r="LQV226" s="1"/>
      <c r="LQW226" s="1"/>
      <c r="LQX226" s="1"/>
      <c r="LQY226" s="1"/>
      <c r="LQZ226" s="1"/>
      <c r="LRA226" s="1"/>
      <c r="LRB226" s="1"/>
      <c r="LRC226" s="1"/>
      <c r="LRD226" s="1"/>
      <c r="LRE226" s="1"/>
      <c r="LRF226" s="1"/>
      <c r="LRG226" s="1"/>
      <c r="LRH226" s="1"/>
      <c r="LRI226" s="1"/>
      <c r="LRJ226" s="1"/>
      <c r="LRK226" s="1"/>
      <c r="LRL226" s="1"/>
      <c r="LRM226" s="1"/>
      <c r="LRN226" s="1"/>
      <c r="LRO226" s="1"/>
      <c r="LRP226" s="1"/>
      <c r="LRQ226" s="1"/>
      <c r="LRR226" s="1"/>
      <c r="LRS226" s="1"/>
      <c r="LRT226" s="1"/>
      <c r="LRU226" s="1"/>
      <c r="LRV226" s="1"/>
      <c r="LRW226" s="1"/>
      <c r="LRX226" s="1"/>
      <c r="LRY226" s="1"/>
      <c r="LRZ226" s="1"/>
      <c r="LSA226" s="1"/>
      <c r="LSB226" s="1"/>
      <c r="LSC226" s="1"/>
      <c r="LSD226" s="1"/>
      <c r="LSE226" s="1"/>
      <c r="LSF226" s="1"/>
      <c r="LSG226" s="1"/>
      <c r="LSH226" s="1"/>
      <c r="LSI226" s="1"/>
      <c r="LSJ226" s="1"/>
      <c r="LSK226" s="1"/>
      <c r="LSL226" s="1"/>
      <c r="LSM226" s="1"/>
      <c r="LSN226" s="1"/>
      <c r="LSO226" s="1"/>
      <c r="LSP226" s="1"/>
      <c r="LSQ226" s="1"/>
      <c r="LSR226" s="1"/>
      <c r="LSS226" s="1"/>
      <c r="LST226" s="1"/>
      <c r="LSU226" s="1"/>
      <c r="LSV226" s="1"/>
      <c r="LSW226" s="1"/>
      <c r="LSX226" s="1"/>
      <c r="LSY226" s="1"/>
      <c r="LSZ226" s="1"/>
      <c r="LTA226" s="1"/>
      <c r="LTB226" s="1"/>
      <c r="LTC226" s="1"/>
      <c r="LTD226" s="1"/>
      <c r="LTE226" s="1"/>
      <c r="LTF226" s="1"/>
      <c r="LTG226" s="1"/>
      <c r="LTH226" s="1"/>
      <c r="LTI226" s="1"/>
      <c r="LTJ226" s="1"/>
      <c r="LTK226" s="1"/>
      <c r="LTL226" s="1"/>
      <c r="LTM226" s="1"/>
      <c r="LTN226" s="1"/>
      <c r="LTO226" s="1"/>
      <c r="LTP226" s="1"/>
      <c r="LTQ226" s="1"/>
      <c r="LTR226" s="1"/>
      <c r="LTS226" s="1"/>
      <c r="LTT226" s="1"/>
      <c r="LTU226" s="1"/>
      <c r="LTV226" s="1"/>
      <c r="LTW226" s="1"/>
      <c r="LTX226" s="1"/>
      <c r="LTY226" s="1"/>
      <c r="LTZ226" s="1"/>
      <c r="LUA226" s="1"/>
      <c r="LUB226" s="1"/>
      <c r="LUC226" s="1"/>
      <c r="LUD226" s="1"/>
      <c r="LUE226" s="1"/>
      <c r="LUF226" s="1"/>
      <c r="LUG226" s="1"/>
      <c r="LUH226" s="1"/>
      <c r="LUI226" s="1"/>
      <c r="LUJ226" s="1"/>
      <c r="LUK226" s="1"/>
      <c r="LUL226" s="1"/>
      <c r="LUM226" s="1"/>
      <c r="LUN226" s="1"/>
      <c r="LUO226" s="1"/>
      <c r="LUP226" s="1"/>
      <c r="LUQ226" s="1"/>
      <c r="LUR226" s="1"/>
      <c r="LUS226" s="1"/>
      <c r="LUT226" s="1"/>
      <c r="LUU226" s="1"/>
      <c r="LUV226" s="1"/>
      <c r="LUW226" s="1"/>
      <c r="LUX226" s="1"/>
      <c r="LUY226" s="1"/>
      <c r="LUZ226" s="1"/>
      <c r="LVA226" s="1"/>
      <c r="LVB226" s="1"/>
      <c r="LVC226" s="1"/>
      <c r="LVD226" s="1"/>
      <c r="LVE226" s="1"/>
      <c r="LVF226" s="1"/>
      <c r="LVG226" s="1"/>
      <c r="LVH226" s="1"/>
      <c r="LVI226" s="1"/>
      <c r="LVJ226" s="1"/>
      <c r="LVK226" s="1"/>
      <c r="LVL226" s="1"/>
      <c r="LVM226" s="1"/>
      <c r="LVN226" s="1"/>
      <c r="LVO226" s="1"/>
      <c r="LVP226" s="1"/>
      <c r="LVQ226" s="1"/>
      <c r="LVR226" s="1"/>
      <c r="LVS226" s="1"/>
      <c r="LVT226" s="1"/>
      <c r="LVU226" s="1"/>
      <c r="LVV226" s="1"/>
      <c r="LVW226" s="1"/>
      <c r="LVX226" s="1"/>
      <c r="LVY226" s="1"/>
      <c r="LVZ226" s="1"/>
      <c r="LWA226" s="1"/>
      <c r="LWB226" s="1"/>
      <c r="LWC226" s="1"/>
      <c r="LWD226" s="1"/>
      <c r="LWE226" s="1"/>
      <c r="LWF226" s="1"/>
      <c r="LWG226" s="1"/>
      <c r="LWH226" s="1"/>
      <c r="LWI226" s="1"/>
      <c r="LWJ226" s="1"/>
      <c r="LWK226" s="1"/>
      <c r="LWL226" s="1"/>
      <c r="LWM226" s="1"/>
      <c r="LWN226" s="1"/>
      <c r="LWO226" s="1"/>
      <c r="LWP226" s="1"/>
      <c r="LWQ226" s="1"/>
      <c r="LWR226" s="1"/>
      <c r="LWS226" s="1"/>
      <c r="LWT226" s="1"/>
      <c r="LWU226" s="1"/>
      <c r="LWV226" s="1"/>
      <c r="LWW226" s="1"/>
      <c r="LWX226" s="1"/>
      <c r="LWY226" s="1"/>
      <c r="LWZ226" s="1"/>
      <c r="LXA226" s="1"/>
      <c r="LXB226" s="1"/>
      <c r="LXC226" s="1"/>
      <c r="LXD226" s="1"/>
      <c r="LXE226" s="1"/>
      <c r="LXF226" s="1"/>
      <c r="LXG226" s="1"/>
      <c r="LXH226" s="1"/>
      <c r="LXI226" s="1"/>
      <c r="LXJ226" s="1"/>
      <c r="LXK226" s="1"/>
      <c r="LXL226" s="1"/>
      <c r="LXM226" s="1"/>
      <c r="LXN226" s="1"/>
      <c r="LXO226" s="1"/>
      <c r="LXP226" s="1"/>
      <c r="LXQ226" s="1"/>
      <c r="LXR226" s="1"/>
      <c r="LXS226" s="1"/>
      <c r="LXT226" s="1"/>
      <c r="LXU226" s="1"/>
      <c r="LXV226" s="1"/>
      <c r="LXW226" s="1"/>
      <c r="LXX226" s="1"/>
      <c r="LXY226" s="1"/>
      <c r="LXZ226" s="1"/>
      <c r="LYA226" s="1"/>
      <c r="LYB226" s="1"/>
      <c r="LYC226" s="1"/>
      <c r="LYD226" s="1"/>
      <c r="LYE226" s="1"/>
      <c r="LYF226" s="1"/>
      <c r="LYG226" s="1"/>
      <c r="LYH226" s="1"/>
      <c r="LYI226" s="1"/>
      <c r="LYJ226" s="1"/>
      <c r="LYK226" s="1"/>
      <c r="LYL226" s="1"/>
      <c r="LYM226" s="1"/>
      <c r="LYN226" s="1"/>
      <c r="LYO226" s="1"/>
      <c r="LYP226" s="1"/>
      <c r="LYQ226" s="1"/>
      <c r="LYR226" s="1"/>
      <c r="LYS226" s="1"/>
      <c r="LYT226" s="1"/>
      <c r="LYU226" s="1"/>
      <c r="LYV226" s="1"/>
      <c r="LYW226" s="1"/>
      <c r="LYX226" s="1"/>
      <c r="LYY226" s="1"/>
      <c r="LYZ226" s="1"/>
      <c r="LZA226" s="1"/>
      <c r="LZB226" s="1"/>
      <c r="LZC226" s="1"/>
      <c r="LZD226" s="1"/>
      <c r="LZE226" s="1"/>
      <c r="LZF226" s="1"/>
      <c r="LZG226" s="1"/>
      <c r="LZH226" s="1"/>
      <c r="LZI226" s="1"/>
      <c r="LZJ226" s="1"/>
      <c r="LZK226" s="1"/>
      <c r="LZL226" s="1"/>
      <c r="LZM226" s="1"/>
      <c r="LZN226" s="1"/>
      <c r="LZO226" s="1"/>
      <c r="LZP226" s="1"/>
      <c r="LZQ226" s="1"/>
      <c r="LZR226" s="1"/>
      <c r="LZS226" s="1"/>
      <c r="LZT226" s="1"/>
      <c r="LZU226" s="1"/>
      <c r="LZV226" s="1"/>
      <c r="LZW226" s="1"/>
      <c r="LZX226" s="1"/>
      <c r="LZY226" s="1"/>
      <c r="LZZ226" s="1"/>
      <c r="MAA226" s="1"/>
      <c r="MAB226" s="1"/>
      <c r="MAC226" s="1"/>
      <c r="MAD226" s="1"/>
      <c r="MAE226" s="1"/>
      <c r="MAF226" s="1"/>
      <c r="MAG226" s="1"/>
      <c r="MAH226" s="1"/>
      <c r="MAI226" s="1"/>
      <c r="MAJ226" s="1"/>
      <c r="MAK226" s="1"/>
      <c r="MAL226" s="1"/>
      <c r="MAM226" s="1"/>
      <c r="MAN226" s="1"/>
      <c r="MAO226" s="1"/>
      <c r="MAP226" s="1"/>
      <c r="MAQ226" s="1"/>
      <c r="MAR226" s="1"/>
      <c r="MAS226" s="1"/>
      <c r="MAT226" s="1"/>
      <c r="MAU226" s="1"/>
      <c r="MAV226" s="1"/>
      <c r="MAW226" s="1"/>
      <c r="MAX226" s="1"/>
      <c r="MAY226" s="1"/>
      <c r="MAZ226" s="1"/>
      <c r="MBA226" s="1"/>
      <c r="MBB226" s="1"/>
      <c r="MBC226" s="1"/>
      <c r="MBD226" s="1"/>
      <c r="MBE226" s="1"/>
      <c r="MBF226" s="1"/>
      <c r="MBG226" s="1"/>
      <c r="MBH226" s="1"/>
      <c r="MBI226" s="1"/>
      <c r="MBJ226" s="1"/>
      <c r="MBK226" s="1"/>
      <c r="MBL226" s="1"/>
      <c r="MBM226" s="1"/>
      <c r="MBN226" s="1"/>
      <c r="MBO226" s="1"/>
      <c r="MBP226" s="1"/>
      <c r="MBQ226" s="1"/>
      <c r="MBR226" s="1"/>
      <c r="MBS226" s="1"/>
      <c r="MBT226" s="1"/>
      <c r="MBU226" s="1"/>
      <c r="MBV226" s="1"/>
      <c r="MBW226" s="1"/>
      <c r="MBX226" s="1"/>
      <c r="MBY226" s="1"/>
      <c r="MBZ226" s="1"/>
      <c r="MCA226" s="1"/>
      <c r="MCB226" s="1"/>
      <c r="MCC226" s="1"/>
      <c r="MCD226" s="1"/>
      <c r="MCE226" s="1"/>
      <c r="MCF226" s="1"/>
      <c r="MCG226" s="1"/>
      <c r="MCH226" s="1"/>
      <c r="MCI226" s="1"/>
      <c r="MCJ226" s="1"/>
      <c r="MCK226" s="1"/>
      <c r="MCL226" s="1"/>
      <c r="MCM226" s="1"/>
      <c r="MCN226" s="1"/>
      <c r="MCO226" s="1"/>
      <c r="MCP226" s="1"/>
      <c r="MCQ226" s="1"/>
      <c r="MCR226" s="1"/>
      <c r="MCS226" s="1"/>
      <c r="MCT226" s="1"/>
      <c r="MCU226" s="1"/>
      <c r="MCV226" s="1"/>
      <c r="MCW226" s="1"/>
      <c r="MCX226" s="1"/>
      <c r="MCY226" s="1"/>
      <c r="MCZ226" s="1"/>
      <c r="MDA226" s="1"/>
      <c r="MDB226" s="1"/>
      <c r="MDC226" s="1"/>
      <c r="MDD226" s="1"/>
      <c r="MDE226" s="1"/>
      <c r="MDF226" s="1"/>
      <c r="MDG226" s="1"/>
      <c r="MDH226" s="1"/>
      <c r="MDI226" s="1"/>
      <c r="MDJ226" s="1"/>
      <c r="MDK226" s="1"/>
      <c r="MDL226" s="1"/>
      <c r="MDM226" s="1"/>
      <c r="MDN226" s="1"/>
      <c r="MDO226" s="1"/>
      <c r="MDP226" s="1"/>
      <c r="MDQ226" s="1"/>
      <c r="MDR226" s="1"/>
      <c r="MDS226" s="1"/>
      <c r="MDT226" s="1"/>
      <c r="MDU226" s="1"/>
      <c r="MDV226" s="1"/>
      <c r="MDW226" s="1"/>
      <c r="MDX226" s="1"/>
      <c r="MDY226" s="1"/>
      <c r="MDZ226" s="1"/>
      <c r="MEA226" s="1"/>
      <c r="MEB226" s="1"/>
      <c r="MEC226" s="1"/>
      <c r="MED226" s="1"/>
      <c r="MEE226" s="1"/>
      <c r="MEF226" s="1"/>
      <c r="MEG226" s="1"/>
      <c r="MEH226" s="1"/>
      <c r="MEI226" s="1"/>
      <c r="MEJ226" s="1"/>
      <c r="MEK226" s="1"/>
      <c r="MEL226" s="1"/>
      <c r="MEM226" s="1"/>
      <c r="MEN226" s="1"/>
      <c r="MEO226" s="1"/>
      <c r="MEP226" s="1"/>
      <c r="MEQ226" s="1"/>
      <c r="MER226" s="1"/>
      <c r="MES226" s="1"/>
      <c r="MET226" s="1"/>
      <c r="MEU226" s="1"/>
      <c r="MEV226" s="1"/>
      <c r="MEW226" s="1"/>
      <c r="MEX226" s="1"/>
      <c r="MEY226" s="1"/>
      <c r="MEZ226" s="1"/>
      <c r="MFA226" s="1"/>
      <c r="MFB226" s="1"/>
      <c r="MFC226" s="1"/>
      <c r="MFD226" s="1"/>
      <c r="MFE226" s="1"/>
      <c r="MFF226" s="1"/>
      <c r="MFG226" s="1"/>
      <c r="MFH226" s="1"/>
      <c r="MFI226" s="1"/>
      <c r="MFJ226" s="1"/>
      <c r="MFK226" s="1"/>
      <c r="MFL226" s="1"/>
      <c r="MFM226" s="1"/>
      <c r="MFN226" s="1"/>
      <c r="MFO226" s="1"/>
      <c r="MFP226" s="1"/>
      <c r="MFQ226" s="1"/>
      <c r="MFR226" s="1"/>
      <c r="MFS226" s="1"/>
      <c r="MFT226" s="1"/>
      <c r="MFU226" s="1"/>
      <c r="MFV226" s="1"/>
      <c r="MFW226" s="1"/>
      <c r="MFX226" s="1"/>
      <c r="MFY226" s="1"/>
      <c r="MFZ226" s="1"/>
      <c r="MGA226" s="1"/>
      <c r="MGB226" s="1"/>
      <c r="MGC226" s="1"/>
      <c r="MGD226" s="1"/>
      <c r="MGE226" s="1"/>
      <c r="MGF226" s="1"/>
      <c r="MGG226" s="1"/>
      <c r="MGH226" s="1"/>
      <c r="MGI226" s="1"/>
      <c r="MGJ226" s="1"/>
      <c r="MGK226" s="1"/>
      <c r="MGL226" s="1"/>
      <c r="MGM226" s="1"/>
      <c r="MGN226" s="1"/>
      <c r="MGO226" s="1"/>
      <c r="MGP226" s="1"/>
      <c r="MGQ226" s="1"/>
      <c r="MGR226" s="1"/>
      <c r="MGS226" s="1"/>
      <c r="MGT226" s="1"/>
      <c r="MGU226" s="1"/>
      <c r="MGV226" s="1"/>
      <c r="MGW226" s="1"/>
      <c r="MGX226" s="1"/>
      <c r="MGY226" s="1"/>
      <c r="MGZ226" s="1"/>
      <c r="MHA226" s="1"/>
      <c r="MHB226" s="1"/>
      <c r="MHC226" s="1"/>
      <c r="MHD226" s="1"/>
      <c r="MHE226" s="1"/>
      <c r="MHF226" s="1"/>
      <c r="MHG226" s="1"/>
      <c r="MHH226" s="1"/>
      <c r="MHI226" s="1"/>
      <c r="MHJ226" s="1"/>
      <c r="MHK226" s="1"/>
      <c r="MHL226" s="1"/>
      <c r="MHM226" s="1"/>
      <c r="MHN226" s="1"/>
      <c r="MHO226" s="1"/>
      <c r="MHP226" s="1"/>
      <c r="MHQ226" s="1"/>
      <c r="MHR226" s="1"/>
      <c r="MHS226" s="1"/>
      <c r="MHT226" s="1"/>
      <c r="MHU226" s="1"/>
      <c r="MHV226" s="1"/>
      <c r="MHW226" s="1"/>
      <c r="MHX226" s="1"/>
      <c r="MHY226" s="1"/>
      <c r="MHZ226" s="1"/>
      <c r="MIA226" s="1"/>
      <c r="MIB226" s="1"/>
      <c r="MIC226" s="1"/>
      <c r="MID226" s="1"/>
      <c r="MIE226" s="1"/>
      <c r="MIF226" s="1"/>
      <c r="MIG226" s="1"/>
      <c r="MIH226" s="1"/>
      <c r="MII226" s="1"/>
      <c r="MIJ226" s="1"/>
      <c r="MIK226" s="1"/>
      <c r="MIL226" s="1"/>
      <c r="MIM226" s="1"/>
      <c r="MIN226" s="1"/>
      <c r="MIO226" s="1"/>
      <c r="MIP226" s="1"/>
      <c r="MIQ226" s="1"/>
      <c r="MIR226" s="1"/>
      <c r="MIS226" s="1"/>
      <c r="MIT226" s="1"/>
      <c r="MIU226" s="1"/>
      <c r="MIV226" s="1"/>
      <c r="MIW226" s="1"/>
      <c r="MIX226" s="1"/>
      <c r="MIY226" s="1"/>
      <c r="MIZ226" s="1"/>
      <c r="MJA226" s="1"/>
      <c r="MJB226" s="1"/>
      <c r="MJC226" s="1"/>
      <c r="MJD226" s="1"/>
      <c r="MJE226" s="1"/>
      <c r="MJF226" s="1"/>
      <c r="MJG226" s="1"/>
      <c r="MJH226" s="1"/>
      <c r="MJI226" s="1"/>
      <c r="MJJ226" s="1"/>
      <c r="MJK226" s="1"/>
      <c r="MJL226" s="1"/>
      <c r="MJM226" s="1"/>
      <c r="MJN226" s="1"/>
      <c r="MJO226" s="1"/>
      <c r="MJP226" s="1"/>
      <c r="MJQ226" s="1"/>
      <c r="MJR226" s="1"/>
      <c r="MJS226" s="1"/>
      <c r="MJT226" s="1"/>
      <c r="MJU226" s="1"/>
      <c r="MJV226" s="1"/>
      <c r="MJW226" s="1"/>
      <c r="MJX226" s="1"/>
      <c r="MJY226" s="1"/>
      <c r="MJZ226" s="1"/>
      <c r="MKA226" s="1"/>
      <c r="MKB226" s="1"/>
      <c r="MKC226" s="1"/>
      <c r="MKD226" s="1"/>
      <c r="MKE226" s="1"/>
      <c r="MKF226" s="1"/>
      <c r="MKG226" s="1"/>
      <c r="MKH226" s="1"/>
      <c r="MKI226" s="1"/>
      <c r="MKJ226" s="1"/>
      <c r="MKK226" s="1"/>
      <c r="MKL226" s="1"/>
      <c r="MKM226" s="1"/>
      <c r="MKN226" s="1"/>
      <c r="MKO226" s="1"/>
      <c r="MKP226" s="1"/>
      <c r="MKQ226" s="1"/>
      <c r="MKR226" s="1"/>
      <c r="MKS226" s="1"/>
      <c r="MKT226" s="1"/>
      <c r="MKU226" s="1"/>
      <c r="MKV226" s="1"/>
      <c r="MKW226" s="1"/>
      <c r="MKX226" s="1"/>
      <c r="MKY226" s="1"/>
      <c r="MKZ226" s="1"/>
      <c r="MLA226" s="1"/>
      <c r="MLB226" s="1"/>
      <c r="MLC226" s="1"/>
      <c r="MLD226" s="1"/>
      <c r="MLE226" s="1"/>
      <c r="MLF226" s="1"/>
      <c r="MLG226" s="1"/>
      <c r="MLH226" s="1"/>
      <c r="MLI226" s="1"/>
      <c r="MLJ226" s="1"/>
      <c r="MLK226" s="1"/>
      <c r="MLL226" s="1"/>
      <c r="MLM226" s="1"/>
      <c r="MLN226" s="1"/>
      <c r="MLO226" s="1"/>
      <c r="MLP226" s="1"/>
      <c r="MLQ226" s="1"/>
      <c r="MLR226" s="1"/>
      <c r="MLS226" s="1"/>
      <c r="MLT226" s="1"/>
      <c r="MLU226" s="1"/>
      <c r="MLV226" s="1"/>
      <c r="MLW226" s="1"/>
      <c r="MLX226" s="1"/>
      <c r="MLY226" s="1"/>
      <c r="MLZ226" s="1"/>
      <c r="MMA226" s="1"/>
      <c r="MMB226" s="1"/>
      <c r="MMC226" s="1"/>
      <c r="MMD226" s="1"/>
      <c r="MME226" s="1"/>
      <c r="MMF226" s="1"/>
      <c r="MMG226" s="1"/>
      <c r="MMH226" s="1"/>
      <c r="MMI226" s="1"/>
      <c r="MMJ226" s="1"/>
      <c r="MMK226" s="1"/>
      <c r="MML226" s="1"/>
      <c r="MMM226" s="1"/>
      <c r="MMN226" s="1"/>
      <c r="MMO226" s="1"/>
      <c r="MMP226" s="1"/>
      <c r="MMQ226" s="1"/>
      <c r="MMR226" s="1"/>
      <c r="MMS226" s="1"/>
      <c r="MMT226" s="1"/>
      <c r="MMU226" s="1"/>
      <c r="MMV226" s="1"/>
      <c r="MMW226" s="1"/>
      <c r="MMX226" s="1"/>
      <c r="MMY226" s="1"/>
      <c r="MMZ226" s="1"/>
      <c r="MNA226" s="1"/>
      <c r="MNB226" s="1"/>
      <c r="MNC226" s="1"/>
      <c r="MND226" s="1"/>
      <c r="MNE226" s="1"/>
      <c r="MNF226" s="1"/>
      <c r="MNG226" s="1"/>
      <c r="MNH226" s="1"/>
      <c r="MNI226" s="1"/>
      <c r="MNJ226" s="1"/>
      <c r="MNK226" s="1"/>
      <c r="MNL226" s="1"/>
      <c r="MNM226" s="1"/>
      <c r="MNN226" s="1"/>
      <c r="MNO226" s="1"/>
      <c r="MNP226" s="1"/>
      <c r="MNQ226" s="1"/>
      <c r="MNR226" s="1"/>
      <c r="MNS226" s="1"/>
      <c r="MNT226" s="1"/>
      <c r="MNU226" s="1"/>
      <c r="MNV226" s="1"/>
      <c r="MNW226" s="1"/>
      <c r="MNX226" s="1"/>
      <c r="MNY226" s="1"/>
      <c r="MNZ226" s="1"/>
      <c r="MOA226" s="1"/>
      <c r="MOB226" s="1"/>
      <c r="MOC226" s="1"/>
      <c r="MOD226" s="1"/>
      <c r="MOE226" s="1"/>
      <c r="MOF226" s="1"/>
      <c r="MOG226" s="1"/>
      <c r="MOH226" s="1"/>
      <c r="MOI226" s="1"/>
      <c r="MOJ226" s="1"/>
      <c r="MOK226" s="1"/>
      <c r="MOL226" s="1"/>
      <c r="MOM226" s="1"/>
      <c r="MON226" s="1"/>
      <c r="MOO226" s="1"/>
      <c r="MOP226" s="1"/>
      <c r="MOQ226" s="1"/>
      <c r="MOR226" s="1"/>
      <c r="MOS226" s="1"/>
      <c r="MOT226" s="1"/>
      <c r="MOU226" s="1"/>
      <c r="MOV226" s="1"/>
      <c r="MOW226" s="1"/>
      <c r="MOX226" s="1"/>
      <c r="MOY226" s="1"/>
      <c r="MOZ226" s="1"/>
      <c r="MPA226" s="1"/>
      <c r="MPB226" s="1"/>
      <c r="MPC226" s="1"/>
      <c r="MPD226" s="1"/>
      <c r="MPE226" s="1"/>
      <c r="MPF226" s="1"/>
      <c r="MPG226" s="1"/>
      <c r="MPH226" s="1"/>
      <c r="MPI226" s="1"/>
      <c r="MPJ226" s="1"/>
      <c r="MPK226" s="1"/>
      <c r="MPL226" s="1"/>
      <c r="MPM226" s="1"/>
      <c r="MPN226" s="1"/>
      <c r="MPO226" s="1"/>
      <c r="MPP226" s="1"/>
      <c r="MPQ226" s="1"/>
      <c r="MPR226" s="1"/>
      <c r="MPS226" s="1"/>
      <c r="MPT226" s="1"/>
      <c r="MPU226" s="1"/>
      <c r="MPV226" s="1"/>
      <c r="MPW226" s="1"/>
      <c r="MPX226" s="1"/>
      <c r="MPY226" s="1"/>
      <c r="MPZ226" s="1"/>
      <c r="MQA226" s="1"/>
      <c r="MQB226" s="1"/>
      <c r="MQC226" s="1"/>
      <c r="MQD226" s="1"/>
      <c r="MQE226" s="1"/>
      <c r="MQF226" s="1"/>
      <c r="MQG226" s="1"/>
      <c r="MQH226" s="1"/>
      <c r="MQI226" s="1"/>
      <c r="MQJ226" s="1"/>
      <c r="MQK226" s="1"/>
      <c r="MQL226" s="1"/>
      <c r="MQM226" s="1"/>
      <c r="MQN226" s="1"/>
      <c r="MQO226" s="1"/>
      <c r="MQP226" s="1"/>
      <c r="MQQ226" s="1"/>
      <c r="MQR226" s="1"/>
      <c r="MQS226" s="1"/>
      <c r="MQT226" s="1"/>
      <c r="MQU226" s="1"/>
      <c r="MQV226" s="1"/>
      <c r="MQW226" s="1"/>
      <c r="MQX226" s="1"/>
      <c r="MQY226" s="1"/>
      <c r="MQZ226" s="1"/>
      <c r="MRA226" s="1"/>
      <c r="MRB226" s="1"/>
      <c r="MRC226" s="1"/>
      <c r="MRD226" s="1"/>
      <c r="MRE226" s="1"/>
      <c r="MRF226" s="1"/>
      <c r="MRG226" s="1"/>
      <c r="MRH226" s="1"/>
      <c r="MRI226" s="1"/>
      <c r="MRJ226" s="1"/>
      <c r="MRK226" s="1"/>
      <c r="MRL226" s="1"/>
      <c r="MRM226" s="1"/>
      <c r="MRN226" s="1"/>
      <c r="MRO226" s="1"/>
      <c r="MRP226" s="1"/>
      <c r="MRQ226" s="1"/>
      <c r="MRR226" s="1"/>
      <c r="MRS226" s="1"/>
      <c r="MRT226" s="1"/>
      <c r="MRU226" s="1"/>
      <c r="MRV226" s="1"/>
      <c r="MRW226" s="1"/>
      <c r="MRX226" s="1"/>
      <c r="MRY226" s="1"/>
      <c r="MRZ226" s="1"/>
      <c r="MSA226" s="1"/>
      <c r="MSB226" s="1"/>
      <c r="MSC226" s="1"/>
      <c r="MSD226" s="1"/>
      <c r="MSE226" s="1"/>
      <c r="MSF226" s="1"/>
      <c r="MSG226" s="1"/>
      <c r="MSH226" s="1"/>
      <c r="MSI226" s="1"/>
      <c r="MSJ226" s="1"/>
      <c r="MSK226" s="1"/>
      <c r="MSL226" s="1"/>
      <c r="MSM226" s="1"/>
      <c r="MSN226" s="1"/>
      <c r="MSO226" s="1"/>
      <c r="MSP226" s="1"/>
      <c r="MSQ226" s="1"/>
      <c r="MSR226" s="1"/>
      <c r="MSS226" s="1"/>
      <c r="MST226" s="1"/>
      <c r="MSU226" s="1"/>
      <c r="MSV226" s="1"/>
      <c r="MSW226" s="1"/>
      <c r="MSX226" s="1"/>
      <c r="MSY226" s="1"/>
      <c r="MSZ226" s="1"/>
      <c r="MTA226" s="1"/>
      <c r="MTB226" s="1"/>
      <c r="MTC226" s="1"/>
      <c r="MTD226" s="1"/>
      <c r="MTE226" s="1"/>
      <c r="MTF226" s="1"/>
      <c r="MTG226" s="1"/>
      <c r="MTH226" s="1"/>
      <c r="MTI226" s="1"/>
      <c r="MTJ226" s="1"/>
      <c r="MTK226" s="1"/>
      <c r="MTL226" s="1"/>
      <c r="MTM226" s="1"/>
      <c r="MTN226" s="1"/>
      <c r="MTO226" s="1"/>
      <c r="MTP226" s="1"/>
      <c r="MTQ226" s="1"/>
      <c r="MTR226" s="1"/>
      <c r="MTS226" s="1"/>
      <c r="MTT226" s="1"/>
      <c r="MTU226" s="1"/>
      <c r="MTV226" s="1"/>
      <c r="MTW226" s="1"/>
      <c r="MTX226" s="1"/>
      <c r="MTY226" s="1"/>
      <c r="MTZ226" s="1"/>
      <c r="MUA226" s="1"/>
      <c r="MUB226" s="1"/>
      <c r="MUC226" s="1"/>
      <c r="MUD226" s="1"/>
      <c r="MUE226" s="1"/>
      <c r="MUF226" s="1"/>
      <c r="MUG226" s="1"/>
      <c r="MUH226" s="1"/>
      <c r="MUI226" s="1"/>
      <c r="MUJ226" s="1"/>
      <c r="MUK226" s="1"/>
      <c r="MUL226" s="1"/>
      <c r="MUM226" s="1"/>
      <c r="MUN226" s="1"/>
      <c r="MUO226" s="1"/>
      <c r="MUP226" s="1"/>
      <c r="MUQ226" s="1"/>
      <c r="MUR226" s="1"/>
      <c r="MUS226" s="1"/>
      <c r="MUT226" s="1"/>
      <c r="MUU226" s="1"/>
      <c r="MUV226" s="1"/>
      <c r="MUW226" s="1"/>
      <c r="MUX226" s="1"/>
      <c r="MUY226" s="1"/>
      <c r="MUZ226" s="1"/>
      <c r="MVA226" s="1"/>
      <c r="MVB226" s="1"/>
      <c r="MVC226" s="1"/>
      <c r="MVD226" s="1"/>
      <c r="MVE226" s="1"/>
      <c r="MVF226" s="1"/>
      <c r="MVG226" s="1"/>
      <c r="MVH226" s="1"/>
      <c r="MVI226" s="1"/>
      <c r="MVJ226" s="1"/>
      <c r="MVK226" s="1"/>
      <c r="MVL226" s="1"/>
      <c r="MVM226" s="1"/>
      <c r="MVN226" s="1"/>
      <c r="MVO226" s="1"/>
      <c r="MVP226" s="1"/>
      <c r="MVQ226" s="1"/>
      <c r="MVR226" s="1"/>
      <c r="MVS226" s="1"/>
      <c r="MVT226" s="1"/>
      <c r="MVU226" s="1"/>
      <c r="MVV226" s="1"/>
      <c r="MVW226" s="1"/>
      <c r="MVX226" s="1"/>
      <c r="MVY226" s="1"/>
      <c r="MVZ226" s="1"/>
      <c r="MWA226" s="1"/>
      <c r="MWB226" s="1"/>
      <c r="MWC226" s="1"/>
      <c r="MWD226" s="1"/>
      <c r="MWE226" s="1"/>
      <c r="MWF226" s="1"/>
      <c r="MWG226" s="1"/>
      <c r="MWH226" s="1"/>
      <c r="MWI226" s="1"/>
      <c r="MWJ226" s="1"/>
      <c r="MWK226" s="1"/>
      <c r="MWL226" s="1"/>
      <c r="MWM226" s="1"/>
      <c r="MWN226" s="1"/>
      <c r="MWO226" s="1"/>
      <c r="MWP226" s="1"/>
      <c r="MWQ226" s="1"/>
      <c r="MWR226" s="1"/>
      <c r="MWS226" s="1"/>
      <c r="MWT226" s="1"/>
      <c r="MWU226" s="1"/>
      <c r="MWV226" s="1"/>
      <c r="MWW226" s="1"/>
      <c r="MWX226" s="1"/>
      <c r="MWY226" s="1"/>
      <c r="MWZ226" s="1"/>
      <c r="MXA226" s="1"/>
      <c r="MXB226" s="1"/>
      <c r="MXC226" s="1"/>
      <c r="MXD226" s="1"/>
      <c r="MXE226" s="1"/>
      <c r="MXF226" s="1"/>
      <c r="MXG226" s="1"/>
      <c r="MXH226" s="1"/>
      <c r="MXI226" s="1"/>
      <c r="MXJ226" s="1"/>
      <c r="MXK226" s="1"/>
      <c r="MXL226" s="1"/>
      <c r="MXM226" s="1"/>
      <c r="MXN226" s="1"/>
      <c r="MXO226" s="1"/>
      <c r="MXP226" s="1"/>
      <c r="MXQ226" s="1"/>
      <c r="MXR226" s="1"/>
      <c r="MXS226" s="1"/>
      <c r="MXT226" s="1"/>
      <c r="MXU226" s="1"/>
      <c r="MXV226" s="1"/>
      <c r="MXW226" s="1"/>
      <c r="MXX226" s="1"/>
      <c r="MXY226" s="1"/>
      <c r="MXZ226" s="1"/>
      <c r="MYA226" s="1"/>
      <c r="MYB226" s="1"/>
      <c r="MYC226" s="1"/>
      <c r="MYD226" s="1"/>
      <c r="MYE226" s="1"/>
      <c r="MYF226" s="1"/>
      <c r="MYG226" s="1"/>
      <c r="MYH226" s="1"/>
      <c r="MYI226" s="1"/>
      <c r="MYJ226" s="1"/>
      <c r="MYK226" s="1"/>
      <c r="MYL226" s="1"/>
      <c r="MYM226" s="1"/>
      <c r="MYN226" s="1"/>
      <c r="MYO226" s="1"/>
      <c r="MYP226" s="1"/>
      <c r="MYQ226" s="1"/>
      <c r="MYR226" s="1"/>
      <c r="MYS226" s="1"/>
      <c r="MYT226" s="1"/>
      <c r="MYU226" s="1"/>
      <c r="MYV226" s="1"/>
      <c r="MYW226" s="1"/>
      <c r="MYX226" s="1"/>
      <c r="MYY226" s="1"/>
      <c r="MYZ226" s="1"/>
      <c r="MZA226" s="1"/>
      <c r="MZB226" s="1"/>
      <c r="MZC226" s="1"/>
      <c r="MZD226" s="1"/>
      <c r="MZE226" s="1"/>
      <c r="MZF226" s="1"/>
      <c r="MZG226" s="1"/>
      <c r="MZH226" s="1"/>
      <c r="MZI226" s="1"/>
      <c r="MZJ226" s="1"/>
      <c r="MZK226" s="1"/>
      <c r="MZL226" s="1"/>
      <c r="MZM226" s="1"/>
      <c r="MZN226" s="1"/>
      <c r="MZO226" s="1"/>
      <c r="MZP226" s="1"/>
      <c r="MZQ226" s="1"/>
      <c r="MZR226" s="1"/>
      <c r="MZS226" s="1"/>
      <c r="MZT226" s="1"/>
      <c r="MZU226" s="1"/>
      <c r="MZV226" s="1"/>
      <c r="MZW226" s="1"/>
      <c r="MZX226" s="1"/>
      <c r="MZY226" s="1"/>
      <c r="MZZ226" s="1"/>
      <c r="NAA226" s="1"/>
      <c r="NAB226" s="1"/>
      <c r="NAC226" s="1"/>
      <c r="NAD226" s="1"/>
      <c r="NAE226" s="1"/>
      <c r="NAF226" s="1"/>
      <c r="NAG226" s="1"/>
      <c r="NAH226" s="1"/>
      <c r="NAI226" s="1"/>
      <c r="NAJ226" s="1"/>
      <c r="NAK226" s="1"/>
      <c r="NAL226" s="1"/>
      <c r="NAM226" s="1"/>
      <c r="NAN226" s="1"/>
      <c r="NAO226" s="1"/>
      <c r="NAP226" s="1"/>
      <c r="NAQ226" s="1"/>
      <c r="NAR226" s="1"/>
      <c r="NAS226" s="1"/>
      <c r="NAT226" s="1"/>
      <c r="NAU226" s="1"/>
      <c r="NAV226" s="1"/>
      <c r="NAW226" s="1"/>
      <c r="NAX226" s="1"/>
      <c r="NAY226" s="1"/>
      <c r="NAZ226" s="1"/>
      <c r="NBA226" s="1"/>
      <c r="NBB226" s="1"/>
      <c r="NBC226" s="1"/>
      <c r="NBD226" s="1"/>
      <c r="NBE226" s="1"/>
      <c r="NBF226" s="1"/>
      <c r="NBG226" s="1"/>
      <c r="NBH226" s="1"/>
      <c r="NBI226" s="1"/>
      <c r="NBJ226" s="1"/>
      <c r="NBK226" s="1"/>
      <c r="NBL226" s="1"/>
      <c r="NBM226" s="1"/>
      <c r="NBN226" s="1"/>
      <c r="NBO226" s="1"/>
      <c r="NBP226" s="1"/>
      <c r="NBQ226" s="1"/>
      <c r="NBR226" s="1"/>
      <c r="NBS226" s="1"/>
      <c r="NBT226" s="1"/>
      <c r="NBU226" s="1"/>
      <c r="NBV226" s="1"/>
      <c r="NBW226" s="1"/>
      <c r="NBX226" s="1"/>
      <c r="NBY226" s="1"/>
      <c r="NBZ226" s="1"/>
      <c r="NCA226" s="1"/>
      <c r="NCB226" s="1"/>
      <c r="NCC226" s="1"/>
      <c r="NCD226" s="1"/>
      <c r="NCE226" s="1"/>
      <c r="NCF226" s="1"/>
      <c r="NCG226" s="1"/>
      <c r="NCH226" s="1"/>
      <c r="NCI226" s="1"/>
      <c r="NCJ226" s="1"/>
      <c r="NCK226" s="1"/>
      <c r="NCL226" s="1"/>
      <c r="NCM226" s="1"/>
      <c r="NCN226" s="1"/>
      <c r="NCO226" s="1"/>
      <c r="NCP226" s="1"/>
      <c r="NCQ226" s="1"/>
      <c r="NCR226" s="1"/>
      <c r="NCS226" s="1"/>
      <c r="NCT226" s="1"/>
      <c r="NCU226" s="1"/>
      <c r="NCV226" s="1"/>
      <c r="NCW226" s="1"/>
      <c r="NCX226" s="1"/>
      <c r="NCY226" s="1"/>
      <c r="NCZ226" s="1"/>
      <c r="NDA226" s="1"/>
      <c r="NDB226" s="1"/>
      <c r="NDC226" s="1"/>
      <c r="NDD226" s="1"/>
      <c r="NDE226" s="1"/>
      <c r="NDF226" s="1"/>
      <c r="NDG226" s="1"/>
      <c r="NDH226" s="1"/>
      <c r="NDI226" s="1"/>
      <c r="NDJ226" s="1"/>
      <c r="NDK226" s="1"/>
      <c r="NDL226" s="1"/>
      <c r="NDM226" s="1"/>
      <c r="NDN226" s="1"/>
      <c r="NDO226" s="1"/>
      <c r="NDP226" s="1"/>
      <c r="NDQ226" s="1"/>
      <c r="NDR226" s="1"/>
      <c r="NDS226" s="1"/>
      <c r="NDT226" s="1"/>
      <c r="NDU226" s="1"/>
      <c r="NDV226" s="1"/>
      <c r="NDW226" s="1"/>
      <c r="NDX226" s="1"/>
      <c r="NDY226" s="1"/>
      <c r="NDZ226" s="1"/>
      <c r="NEA226" s="1"/>
      <c r="NEB226" s="1"/>
      <c r="NEC226" s="1"/>
      <c r="NED226" s="1"/>
      <c r="NEE226" s="1"/>
      <c r="NEF226" s="1"/>
      <c r="NEG226" s="1"/>
      <c r="NEH226" s="1"/>
      <c r="NEI226" s="1"/>
      <c r="NEJ226" s="1"/>
      <c r="NEK226" s="1"/>
      <c r="NEL226" s="1"/>
      <c r="NEM226" s="1"/>
      <c r="NEN226" s="1"/>
      <c r="NEO226" s="1"/>
      <c r="NEP226" s="1"/>
      <c r="NEQ226" s="1"/>
      <c r="NER226" s="1"/>
      <c r="NES226" s="1"/>
      <c r="NET226" s="1"/>
      <c r="NEU226" s="1"/>
      <c r="NEV226" s="1"/>
      <c r="NEW226" s="1"/>
      <c r="NEX226" s="1"/>
      <c r="NEY226" s="1"/>
      <c r="NEZ226" s="1"/>
      <c r="NFA226" s="1"/>
      <c r="NFB226" s="1"/>
      <c r="NFC226" s="1"/>
      <c r="NFD226" s="1"/>
      <c r="NFE226" s="1"/>
      <c r="NFF226" s="1"/>
      <c r="NFG226" s="1"/>
      <c r="NFH226" s="1"/>
      <c r="NFI226" s="1"/>
      <c r="NFJ226" s="1"/>
      <c r="NFK226" s="1"/>
      <c r="NFL226" s="1"/>
      <c r="NFM226" s="1"/>
      <c r="NFN226" s="1"/>
      <c r="NFO226" s="1"/>
      <c r="NFP226" s="1"/>
      <c r="NFQ226" s="1"/>
      <c r="NFR226" s="1"/>
      <c r="NFS226" s="1"/>
      <c r="NFT226" s="1"/>
      <c r="NFU226" s="1"/>
      <c r="NFV226" s="1"/>
      <c r="NFW226" s="1"/>
      <c r="NFX226" s="1"/>
      <c r="NFY226" s="1"/>
      <c r="NFZ226" s="1"/>
      <c r="NGA226" s="1"/>
      <c r="NGB226" s="1"/>
      <c r="NGC226" s="1"/>
      <c r="NGD226" s="1"/>
      <c r="NGE226" s="1"/>
      <c r="NGF226" s="1"/>
      <c r="NGG226" s="1"/>
      <c r="NGH226" s="1"/>
      <c r="NGI226" s="1"/>
      <c r="NGJ226" s="1"/>
      <c r="NGK226" s="1"/>
      <c r="NGL226" s="1"/>
      <c r="NGM226" s="1"/>
      <c r="NGN226" s="1"/>
      <c r="NGO226" s="1"/>
      <c r="NGP226" s="1"/>
      <c r="NGQ226" s="1"/>
      <c r="NGR226" s="1"/>
      <c r="NGS226" s="1"/>
      <c r="NGT226" s="1"/>
      <c r="NGU226" s="1"/>
      <c r="NGV226" s="1"/>
      <c r="NGW226" s="1"/>
      <c r="NGX226" s="1"/>
      <c r="NGY226" s="1"/>
      <c r="NGZ226" s="1"/>
      <c r="NHA226" s="1"/>
      <c r="NHB226" s="1"/>
      <c r="NHC226" s="1"/>
      <c r="NHD226" s="1"/>
      <c r="NHE226" s="1"/>
      <c r="NHF226" s="1"/>
      <c r="NHG226" s="1"/>
      <c r="NHH226" s="1"/>
      <c r="NHI226" s="1"/>
      <c r="NHJ226" s="1"/>
      <c r="NHK226" s="1"/>
      <c r="NHL226" s="1"/>
      <c r="NHM226" s="1"/>
      <c r="NHN226" s="1"/>
      <c r="NHO226" s="1"/>
      <c r="NHP226" s="1"/>
      <c r="NHQ226" s="1"/>
      <c r="NHR226" s="1"/>
      <c r="NHS226" s="1"/>
      <c r="NHT226" s="1"/>
      <c r="NHU226" s="1"/>
      <c r="NHV226" s="1"/>
      <c r="NHW226" s="1"/>
      <c r="NHX226" s="1"/>
      <c r="NHY226" s="1"/>
      <c r="NHZ226" s="1"/>
      <c r="NIA226" s="1"/>
      <c r="NIB226" s="1"/>
      <c r="NIC226" s="1"/>
      <c r="NID226" s="1"/>
      <c r="NIE226" s="1"/>
      <c r="NIF226" s="1"/>
      <c r="NIG226" s="1"/>
      <c r="NIH226" s="1"/>
      <c r="NII226" s="1"/>
      <c r="NIJ226" s="1"/>
      <c r="NIK226" s="1"/>
      <c r="NIL226" s="1"/>
      <c r="NIM226" s="1"/>
      <c r="NIN226" s="1"/>
      <c r="NIO226" s="1"/>
      <c r="NIP226" s="1"/>
      <c r="NIQ226" s="1"/>
      <c r="NIR226" s="1"/>
      <c r="NIS226" s="1"/>
      <c r="NIT226" s="1"/>
      <c r="NIU226" s="1"/>
      <c r="NIV226" s="1"/>
      <c r="NIW226" s="1"/>
      <c r="NIX226" s="1"/>
      <c r="NIY226" s="1"/>
      <c r="NIZ226" s="1"/>
      <c r="NJA226" s="1"/>
      <c r="NJB226" s="1"/>
      <c r="NJC226" s="1"/>
      <c r="NJD226" s="1"/>
      <c r="NJE226" s="1"/>
      <c r="NJF226" s="1"/>
      <c r="NJG226" s="1"/>
      <c r="NJH226" s="1"/>
      <c r="NJI226" s="1"/>
      <c r="NJJ226" s="1"/>
      <c r="NJK226" s="1"/>
      <c r="NJL226" s="1"/>
      <c r="NJM226" s="1"/>
      <c r="NJN226" s="1"/>
      <c r="NJO226" s="1"/>
      <c r="NJP226" s="1"/>
      <c r="NJQ226" s="1"/>
      <c r="NJR226" s="1"/>
      <c r="NJS226" s="1"/>
      <c r="NJT226" s="1"/>
      <c r="NJU226" s="1"/>
      <c r="NJV226" s="1"/>
      <c r="NJW226" s="1"/>
      <c r="NJX226" s="1"/>
      <c r="NJY226" s="1"/>
      <c r="NJZ226" s="1"/>
      <c r="NKA226" s="1"/>
      <c r="NKB226" s="1"/>
      <c r="NKC226" s="1"/>
      <c r="NKD226" s="1"/>
      <c r="NKE226" s="1"/>
      <c r="NKF226" s="1"/>
      <c r="NKG226" s="1"/>
      <c r="NKH226" s="1"/>
      <c r="NKI226" s="1"/>
      <c r="NKJ226" s="1"/>
      <c r="NKK226" s="1"/>
      <c r="NKL226" s="1"/>
      <c r="NKM226" s="1"/>
      <c r="NKN226" s="1"/>
      <c r="NKO226" s="1"/>
      <c r="NKP226" s="1"/>
      <c r="NKQ226" s="1"/>
      <c r="NKR226" s="1"/>
      <c r="NKS226" s="1"/>
      <c r="NKT226" s="1"/>
      <c r="NKU226" s="1"/>
      <c r="NKV226" s="1"/>
      <c r="NKW226" s="1"/>
      <c r="NKX226" s="1"/>
      <c r="NKY226" s="1"/>
      <c r="NKZ226" s="1"/>
      <c r="NLA226" s="1"/>
      <c r="NLB226" s="1"/>
      <c r="NLC226" s="1"/>
      <c r="NLD226" s="1"/>
      <c r="NLE226" s="1"/>
      <c r="NLF226" s="1"/>
      <c r="NLG226" s="1"/>
      <c r="NLH226" s="1"/>
      <c r="NLI226" s="1"/>
      <c r="NLJ226" s="1"/>
      <c r="NLK226" s="1"/>
      <c r="NLL226" s="1"/>
      <c r="NLM226" s="1"/>
      <c r="NLN226" s="1"/>
      <c r="NLO226" s="1"/>
      <c r="NLP226" s="1"/>
      <c r="NLQ226" s="1"/>
      <c r="NLR226" s="1"/>
      <c r="NLS226" s="1"/>
      <c r="NLT226" s="1"/>
      <c r="NLU226" s="1"/>
      <c r="NLV226" s="1"/>
      <c r="NLW226" s="1"/>
      <c r="NLX226" s="1"/>
      <c r="NLY226" s="1"/>
      <c r="NLZ226" s="1"/>
      <c r="NMA226" s="1"/>
      <c r="NMB226" s="1"/>
      <c r="NMC226" s="1"/>
      <c r="NMD226" s="1"/>
      <c r="NME226" s="1"/>
      <c r="NMF226" s="1"/>
      <c r="NMG226" s="1"/>
      <c r="NMH226" s="1"/>
      <c r="NMI226" s="1"/>
      <c r="NMJ226" s="1"/>
      <c r="NMK226" s="1"/>
      <c r="NML226" s="1"/>
      <c r="NMM226" s="1"/>
      <c r="NMN226" s="1"/>
      <c r="NMO226" s="1"/>
      <c r="NMP226" s="1"/>
      <c r="NMQ226" s="1"/>
      <c r="NMR226" s="1"/>
      <c r="NMS226" s="1"/>
      <c r="NMT226" s="1"/>
      <c r="NMU226" s="1"/>
      <c r="NMV226" s="1"/>
      <c r="NMW226" s="1"/>
      <c r="NMX226" s="1"/>
      <c r="NMY226" s="1"/>
      <c r="NMZ226" s="1"/>
      <c r="NNA226" s="1"/>
      <c r="NNB226" s="1"/>
      <c r="NNC226" s="1"/>
      <c r="NND226" s="1"/>
      <c r="NNE226" s="1"/>
      <c r="NNF226" s="1"/>
      <c r="NNG226" s="1"/>
      <c r="NNH226" s="1"/>
      <c r="NNI226" s="1"/>
      <c r="NNJ226" s="1"/>
      <c r="NNK226" s="1"/>
      <c r="NNL226" s="1"/>
      <c r="NNM226" s="1"/>
      <c r="NNN226" s="1"/>
      <c r="NNO226" s="1"/>
      <c r="NNP226" s="1"/>
      <c r="NNQ226" s="1"/>
      <c r="NNR226" s="1"/>
      <c r="NNS226" s="1"/>
      <c r="NNT226" s="1"/>
      <c r="NNU226" s="1"/>
      <c r="NNV226" s="1"/>
      <c r="NNW226" s="1"/>
      <c r="NNX226" s="1"/>
      <c r="NNY226" s="1"/>
      <c r="NNZ226" s="1"/>
      <c r="NOA226" s="1"/>
      <c r="NOB226" s="1"/>
      <c r="NOC226" s="1"/>
      <c r="NOD226" s="1"/>
      <c r="NOE226" s="1"/>
      <c r="NOF226" s="1"/>
      <c r="NOG226" s="1"/>
      <c r="NOH226" s="1"/>
      <c r="NOI226" s="1"/>
      <c r="NOJ226" s="1"/>
      <c r="NOK226" s="1"/>
      <c r="NOL226" s="1"/>
      <c r="NOM226" s="1"/>
      <c r="NON226" s="1"/>
      <c r="NOO226" s="1"/>
      <c r="NOP226" s="1"/>
      <c r="NOQ226" s="1"/>
      <c r="NOR226" s="1"/>
      <c r="NOS226" s="1"/>
      <c r="NOT226" s="1"/>
      <c r="NOU226" s="1"/>
      <c r="NOV226" s="1"/>
      <c r="NOW226" s="1"/>
      <c r="NOX226" s="1"/>
      <c r="NOY226" s="1"/>
      <c r="NOZ226" s="1"/>
      <c r="NPA226" s="1"/>
      <c r="NPB226" s="1"/>
      <c r="NPC226" s="1"/>
      <c r="NPD226" s="1"/>
      <c r="NPE226" s="1"/>
      <c r="NPF226" s="1"/>
      <c r="NPG226" s="1"/>
      <c r="NPH226" s="1"/>
      <c r="NPI226" s="1"/>
      <c r="NPJ226" s="1"/>
      <c r="NPK226" s="1"/>
      <c r="NPL226" s="1"/>
      <c r="NPM226" s="1"/>
      <c r="NPN226" s="1"/>
      <c r="NPO226" s="1"/>
      <c r="NPP226" s="1"/>
      <c r="NPQ226" s="1"/>
      <c r="NPR226" s="1"/>
      <c r="NPS226" s="1"/>
      <c r="NPT226" s="1"/>
      <c r="NPU226" s="1"/>
      <c r="NPV226" s="1"/>
      <c r="NPW226" s="1"/>
      <c r="NPX226" s="1"/>
      <c r="NPY226" s="1"/>
      <c r="NPZ226" s="1"/>
      <c r="NQA226" s="1"/>
      <c r="NQB226" s="1"/>
      <c r="NQC226" s="1"/>
      <c r="NQD226" s="1"/>
      <c r="NQE226" s="1"/>
      <c r="NQF226" s="1"/>
      <c r="NQG226" s="1"/>
      <c r="NQH226" s="1"/>
      <c r="NQI226" s="1"/>
      <c r="NQJ226" s="1"/>
      <c r="NQK226" s="1"/>
      <c r="NQL226" s="1"/>
      <c r="NQM226" s="1"/>
      <c r="NQN226" s="1"/>
      <c r="NQO226" s="1"/>
      <c r="NQP226" s="1"/>
      <c r="NQQ226" s="1"/>
      <c r="NQR226" s="1"/>
      <c r="NQS226" s="1"/>
      <c r="NQT226" s="1"/>
      <c r="NQU226" s="1"/>
      <c r="NQV226" s="1"/>
      <c r="NQW226" s="1"/>
      <c r="NQX226" s="1"/>
      <c r="NQY226" s="1"/>
      <c r="NQZ226" s="1"/>
      <c r="NRA226" s="1"/>
      <c r="NRB226" s="1"/>
      <c r="NRC226" s="1"/>
      <c r="NRD226" s="1"/>
      <c r="NRE226" s="1"/>
      <c r="NRF226" s="1"/>
      <c r="NRG226" s="1"/>
      <c r="NRH226" s="1"/>
      <c r="NRI226" s="1"/>
      <c r="NRJ226" s="1"/>
      <c r="NRK226" s="1"/>
      <c r="NRL226" s="1"/>
      <c r="NRM226" s="1"/>
      <c r="NRN226" s="1"/>
      <c r="NRO226" s="1"/>
      <c r="NRP226" s="1"/>
      <c r="NRQ226" s="1"/>
      <c r="NRR226" s="1"/>
      <c r="NRS226" s="1"/>
      <c r="NRT226" s="1"/>
      <c r="NRU226" s="1"/>
      <c r="NRV226" s="1"/>
      <c r="NRW226" s="1"/>
      <c r="NRX226" s="1"/>
      <c r="NRY226" s="1"/>
      <c r="NRZ226" s="1"/>
      <c r="NSA226" s="1"/>
      <c r="NSB226" s="1"/>
      <c r="NSC226" s="1"/>
      <c r="NSD226" s="1"/>
      <c r="NSE226" s="1"/>
      <c r="NSF226" s="1"/>
      <c r="NSG226" s="1"/>
      <c r="NSH226" s="1"/>
      <c r="NSI226" s="1"/>
      <c r="NSJ226" s="1"/>
      <c r="NSK226" s="1"/>
      <c r="NSL226" s="1"/>
      <c r="NSM226" s="1"/>
      <c r="NSN226" s="1"/>
      <c r="NSO226" s="1"/>
      <c r="NSP226" s="1"/>
      <c r="NSQ226" s="1"/>
      <c r="NSR226" s="1"/>
      <c r="NSS226" s="1"/>
      <c r="NST226" s="1"/>
      <c r="NSU226" s="1"/>
      <c r="NSV226" s="1"/>
      <c r="NSW226" s="1"/>
      <c r="NSX226" s="1"/>
      <c r="NSY226" s="1"/>
      <c r="NSZ226" s="1"/>
      <c r="NTA226" s="1"/>
      <c r="NTB226" s="1"/>
      <c r="NTC226" s="1"/>
      <c r="NTD226" s="1"/>
      <c r="NTE226" s="1"/>
      <c r="NTF226" s="1"/>
      <c r="NTG226" s="1"/>
      <c r="NTH226" s="1"/>
      <c r="NTI226" s="1"/>
      <c r="NTJ226" s="1"/>
      <c r="NTK226" s="1"/>
      <c r="NTL226" s="1"/>
      <c r="NTM226" s="1"/>
      <c r="NTN226" s="1"/>
      <c r="NTO226" s="1"/>
      <c r="NTP226" s="1"/>
      <c r="NTQ226" s="1"/>
      <c r="NTR226" s="1"/>
      <c r="NTS226" s="1"/>
      <c r="NTT226" s="1"/>
      <c r="NTU226" s="1"/>
      <c r="NTV226" s="1"/>
      <c r="NTW226" s="1"/>
      <c r="NTX226" s="1"/>
      <c r="NTY226" s="1"/>
      <c r="NTZ226" s="1"/>
      <c r="NUA226" s="1"/>
      <c r="NUB226" s="1"/>
      <c r="NUC226" s="1"/>
      <c r="NUD226" s="1"/>
      <c r="NUE226" s="1"/>
      <c r="NUF226" s="1"/>
      <c r="NUG226" s="1"/>
      <c r="NUH226" s="1"/>
      <c r="NUI226" s="1"/>
      <c r="NUJ226" s="1"/>
      <c r="NUK226" s="1"/>
      <c r="NUL226" s="1"/>
      <c r="NUM226" s="1"/>
      <c r="NUN226" s="1"/>
      <c r="NUO226" s="1"/>
      <c r="NUP226" s="1"/>
      <c r="NUQ226" s="1"/>
      <c r="NUR226" s="1"/>
      <c r="NUS226" s="1"/>
      <c r="NUT226" s="1"/>
      <c r="NUU226" s="1"/>
      <c r="NUV226" s="1"/>
      <c r="NUW226" s="1"/>
      <c r="NUX226" s="1"/>
      <c r="NUY226" s="1"/>
      <c r="NUZ226" s="1"/>
      <c r="NVA226" s="1"/>
      <c r="NVB226" s="1"/>
      <c r="NVC226" s="1"/>
      <c r="NVD226" s="1"/>
      <c r="NVE226" s="1"/>
      <c r="NVF226" s="1"/>
      <c r="NVG226" s="1"/>
      <c r="NVH226" s="1"/>
      <c r="NVI226" s="1"/>
      <c r="NVJ226" s="1"/>
      <c r="NVK226" s="1"/>
      <c r="NVL226" s="1"/>
      <c r="NVM226" s="1"/>
      <c r="NVN226" s="1"/>
      <c r="NVO226" s="1"/>
      <c r="NVP226" s="1"/>
      <c r="NVQ226" s="1"/>
      <c r="NVR226" s="1"/>
      <c r="NVS226" s="1"/>
      <c r="NVT226" s="1"/>
      <c r="NVU226" s="1"/>
      <c r="NVV226" s="1"/>
      <c r="NVW226" s="1"/>
      <c r="NVX226" s="1"/>
      <c r="NVY226" s="1"/>
      <c r="NVZ226" s="1"/>
      <c r="NWA226" s="1"/>
      <c r="NWB226" s="1"/>
      <c r="NWC226" s="1"/>
      <c r="NWD226" s="1"/>
      <c r="NWE226" s="1"/>
      <c r="NWF226" s="1"/>
      <c r="NWG226" s="1"/>
      <c r="NWH226" s="1"/>
      <c r="NWI226" s="1"/>
      <c r="NWJ226" s="1"/>
      <c r="NWK226" s="1"/>
      <c r="NWL226" s="1"/>
      <c r="NWM226" s="1"/>
      <c r="NWN226" s="1"/>
      <c r="NWO226" s="1"/>
      <c r="NWP226" s="1"/>
      <c r="NWQ226" s="1"/>
      <c r="NWR226" s="1"/>
      <c r="NWS226" s="1"/>
      <c r="NWT226" s="1"/>
      <c r="NWU226" s="1"/>
      <c r="NWV226" s="1"/>
      <c r="NWW226" s="1"/>
      <c r="NWX226" s="1"/>
      <c r="NWY226" s="1"/>
      <c r="NWZ226" s="1"/>
      <c r="NXA226" s="1"/>
      <c r="NXB226" s="1"/>
      <c r="NXC226" s="1"/>
      <c r="NXD226" s="1"/>
      <c r="NXE226" s="1"/>
      <c r="NXF226" s="1"/>
      <c r="NXG226" s="1"/>
      <c r="NXH226" s="1"/>
      <c r="NXI226" s="1"/>
      <c r="NXJ226" s="1"/>
      <c r="NXK226" s="1"/>
      <c r="NXL226" s="1"/>
      <c r="NXM226" s="1"/>
      <c r="NXN226" s="1"/>
      <c r="NXO226" s="1"/>
      <c r="NXP226" s="1"/>
      <c r="NXQ226" s="1"/>
      <c r="NXR226" s="1"/>
      <c r="NXS226" s="1"/>
      <c r="NXT226" s="1"/>
      <c r="NXU226" s="1"/>
      <c r="NXV226" s="1"/>
      <c r="NXW226" s="1"/>
      <c r="NXX226" s="1"/>
      <c r="NXY226" s="1"/>
      <c r="NXZ226" s="1"/>
      <c r="NYA226" s="1"/>
      <c r="NYB226" s="1"/>
      <c r="NYC226" s="1"/>
      <c r="NYD226" s="1"/>
      <c r="NYE226" s="1"/>
      <c r="NYF226" s="1"/>
      <c r="NYG226" s="1"/>
      <c r="NYH226" s="1"/>
      <c r="NYI226" s="1"/>
      <c r="NYJ226" s="1"/>
      <c r="NYK226" s="1"/>
      <c r="NYL226" s="1"/>
      <c r="NYM226" s="1"/>
      <c r="NYN226" s="1"/>
      <c r="NYO226" s="1"/>
      <c r="NYP226" s="1"/>
      <c r="NYQ226" s="1"/>
      <c r="NYR226" s="1"/>
      <c r="NYS226" s="1"/>
      <c r="NYT226" s="1"/>
      <c r="NYU226" s="1"/>
      <c r="NYV226" s="1"/>
      <c r="NYW226" s="1"/>
      <c r="NYX226" s="1"/>
      <c r="NYY226" s="1"/>
      <c r="NYZ226" s="1"/>
      <c r="NZA226" s="1"/>
      <c r="NZB226" s="1"/>
      <c r="NZC226" s="1"/>
      <c r="NZD226" s="1"/>
      <c r="NZE226" s="1"/>
      <c r="NZF226" s="1"/>
      <c r="NZG226" s="1"/>
      <c r="NZH226" s="1"/>
      <c r="NZI226" s="1"/>
      <c r="NZJ226" s="1"/>
      <c r="NZK226" s="1"/>
      <c r="NZL226" s="1"/>
      <c r="NZM226" s="1"/>
      <c r="NZN226" s="1"/>
      <c r="NZO226" s="1"/>
      <c r="NZP226" s="1"/>
      <c r="NZQ226" s="1"/>
      <c r="NZR226" s="1"/>
      <c r="NZS226" s="1"/>
      <c r="NZT226" s="1"/>
      <c r="NZU226" s="1"/>
      <c r="NZV226" s="1"/>
      <c r="NZW226" s="1"/>
      <c r="NZX226" s="1"/>
      <c r="NZY226" s="1"/>
      <c r="NZZ226" s="1"/>
      <c r="OAA226" s="1"/>
      <c r="OAB226" s="1"/>
      <c r="OAC226" s="1"/>
      <c r="OAD226" s="1"/>
      <c r="OAE226" s="1"/>
      <c r="OAF226" s="1"/>
      <c r="OAG226" s="1"/>
      <c r="OAH226" s="1"/>
      <c r="OAI226" s="1"/>
      <c r="OAJ226" s="1"/>
      <c r="OAK226" s="1"/>
      <c r="OAL226" s="1"/>
      <c r="OAM226" s="1"/>
      <c r="OAN226" s="1"/>
      <c r="OAO226" s="1"/>
      <c r="OAP226" s="1"/>
      <c r="OAQ226" s="1"/>
      <c r="OAR226" s="1"/>
      <c r="OAS226" s="1"/>
      <c r="OAT226" s="1"/>
      <c r="OAU226" s="1"/>
      <c r="OAV226" s="1"/>
      <c r="OAW226" s="1"/>
      <c r="OAX226" s="1"/>
      <c r="OAY226" s="1"/>
      <c r="OAZ226" s="1"/>
      <c r="OBA226" s="1"/>
      <c r="OBB226" s="1"/>
      <c r="OBC226" s="1"/>
      <c r="OBD226" s="1"/>
      <c r="OBE226" s="1"/>
      <c r="OBF226" s="1"/>
      <c r="OBG226" s="1"/>
      <c r="OBH226" s="1"/>
      <c r="OBI226" s="1"/>
      <c r="OBJ226" s="1"/>
      <c r="OBK226" s="1"/>
      <c r="OBL226" s="1"/>
      <c r="OBM226" s="1"/>
      <c r="OBN226" s="1"/>
      <c r="OBO226" s="1"/>
      <c r="OBP226" s="1"/>
      <c r="OBQ226" s="1"/>
      <c r="OBR226" s="1"/>
      <c r="OBS226" s="1"/>
      <c r="OBT226" s="1"/>
      <c r="OBU226" s="1"/>
      <c r="OBV226" s="1"/>
      <c r="OBW226" s="1"/>
      <c r="OBX226" s="1"/>
      <c r="OBY226" s="1"/>
      <c r="OBZ226" s="1"/>
      <c r="OCA226" s="1"/>
      <c r="OCB226" s="1"/>
      <c r="OCC226" s="1"/>
      <c r="OCD226" s="1"/>
      <c r="OCE226" s="1"/>
      <c r="OCF226" s="1"/>
      <c r="OCG226" s="1"/>
      <c r="OCH226" s="1"/>
      <c r="OCI226" s="1"/>
      <c r="OCJ226" s="1"/>
      <c r="OCK226" s="1"/>
      <c r="OCL226" s="1"/>
      <c r="OCM226" s="1"/>
      <c r="OCN226" s="1"/>
      <c r="OCO226" s="1"/>
      <c r="OCP226" s="1"/>
      <c r="OCQ226" s="1"/>
      <c r="OCR226" s="1"/>
      <c r="OCS226" s="1"/>
      <c r="OCT226" s="1"/>
      <c r="OCU226" s="1"/>
      <c r="OCV226" s="1"/>
      <c r="OCW226" s="1"/>
      <c r="OCX226" s="1"/>
      <c r="OCY226" s="1"/>
      <c r="OCZ226" s="1"/>
      <c r="ODA226" s="1"/>
      <c r="ODB226" s="1"/>
      <c r="ODC226" s="1"/>
      <c r="ODD226" s="1"/>
      <c r="ODE226" s="1"/>
      <c r="ODF226" s="1"/>
      <c r="ODG226" s="1"/>
      <c r="ODH226" s="1"/>
      <c r="ODI226" s="1"/>
      <c r="ODJ226" s="1"/>
      <c r="ODK226" s="1"/>
      <c r="ODL226" s="1"/>
      <c r="ODM226" s="1"/>
      <c r="ODN226" s="1"/>
      <c r="ODO226" s="1"/>
      <c r="ODP226" s="1"/>
      <c r="ODQ226" s="1"/>
      <c r="ODR226" s="1"/>
      <c r="ODS226" s="1"/>
      <c r="ODT226" s="1"/>
      <c r="ODU226" s="1"/>
      <c r="ODV226" s="1"/>
      <c r="ODW226" s="1"/>
      <c r="ODX226" s="1"/>
      <c r="ODY226" s="1"/>
      <c r="ODZ226" s="1"/>
      <c r="OEA226" s="1"/>
      <c r="OEB226" s="1"/>
      <c r="OEC226" s="1"/>
      <c r="OED226" s="1"/>
      <c r="OEE226" s="1"/>
      <c r="OEF226" s="1"/>
      <c r="OEG226" s="1"/>
      <c r="OEH226" s="1"/>
      <c r="OEI226" s="1"/>
      <c r="OEJ226" s="1"/>
      <c r="OEK226" s="1"/>
      <c r="OEL226" s="1"/>
      <c r="OEM226" s="1"/>
      <c r="OEN226" s="1"/>
      <c r="OEO226" s="1"/>
      <c r="OEP226" s="1"/>
      <c r="OEQ226" s="1"/>
      <c r="OER226" s="1"/>
      <c r="OES226" s="1"/>
      <c r="OET226" s="1"/>
      <c r="OEU226" s="1"/>
      <c r="OEV226" s="1"/>
      <c r="OEW226" s="1"/>
      <c r="OEX226" s="1"/>
      <c r="OEY226" s="1"/>
      <c r="OEZ226" s="1"/>
      <c r="OFA226" s="1"/>
      <c r="OFB226" s="1"/>
      <c r="OFC226" s="1"/>
      <c r="OFD226" s="1"/>
      <c r="OFE226" s="1"/>
      <c r="OFF226" s="1"/>
      <c r="OFG226" s="1"/>
      <c r="OFH226" s="1"/>
      <c r="OFI226" s="1"/>
      <c r="OFJ226" s="1"/>
      <c r="OFK226" s="1"/>
      <c r="OFL226" s="1"/>
      <c r="OFM226" s="1"/>
      <c r="OFN226" s="1"/>
      <c r="OFO226" s="1"/>
      <c r="OFP226" s="1"/>
      <c r="OFQ226" s="1"/>
      <c r="OFR226" s="1"/>
      <c r="OFS226" s="1"/>
      <c r="OFT226" s="1"/>
      <c r="OFU226" s="1"/>
      <c r="OFV226" s="1"/>
      <c r="OFW226" s="1"/>
      <c r="OFX226" s="1"/>
      <c r="OFY226" s="1"/>
      <c r="OFZ226" s="1"/>
      <c r="OGA226" s="1"/>
      <c r="OGB226" s="1"/>
      <c r="OGC226" s="1"/>
      <c r="OGD226" s="1"/>
      <c r="OGE226" s="1"/>
      <c r="OGF226" s="1"/>
      <c r="OGG226" s="1"/>
      <c r="OGH226" s="1"/>
      <c r="OGI226" s="1"/>
      <c r="OGJ226" s="1"/>
      <c r="OGK226" s="1"/>
      <c r="OGL226" s="1"/>
      <c r="OGM226" s="1"/>
      <c r="OGN226" s="1"/>
      <c r="OGO226" s="1"/>
      <c r="OGP226" s="1"/>
      <c r="OGQ226" s="1"/>
      <c r="OGR226" s="1"/>
      <c r="OGS226" s="1"/>
      <c r="OGT226" s="1"/>
      <c r="OGU226" s="1"/>
      <c r="OGV226" s="1"/>
      <c r="OGW226" s="1"/>
      <c r="OGX226" s="1"/>
      <c r="OGY226" s="1"/>
      <c r="OGZ226" s="1"/>
      <c r="OHA226" s="1"/>
      <c r="OHB226" s="1"/>
      <c r="OHC226" s="1"/>
      <c r="OHD226" s="1"/>
      <c r="OHE226" s="1"/>
      <c r="OHF226" s="1"/>
      <c r="OHG226" s="1"/>
      <c r="OHH226" s="1"/>
      <c r="OHI226" s="1"/>
      <c r="OHJ226" s="1"/>
      <c r="OHK226" s="1"/>
      <c r="OHL226" s="1"/>
      <c r="OHM226" s="1"/>
      <c r="OHN226" s="1"/>
      <c r="OHO226" s="1"/>
      <c r="OHP226" s="1"/>
      <c r="OHQ226" s="1"/>
      <c r="OHR226" s="1"/>
      <c r="OHS226" s="1"/>
      <c r="OHT226" s="1"/>
      <c r="OHU226" s="1"/>
      <c r="OHV226" s="1"/>
      <c r="OHW226" s="1"/>
      <c r="OHX226" s="1"/>
      <c r="OHY226" s="1"/>
      <c r="OHZ226" s="1"/>
      <c r="OIA226" s="1"/>
      <c r="OIB226" s="1"/>
      <c r="OIC226" s="1"/>
      <c r="OID226" s="1"/>
      <c r="OIE226" s="1"/>
      <c r="OIF226" s="1"/>
      <c r="OIG226" s="1"/>
      <c r="OIH226" s="1"/>
      <c r="OII226" s="1"/>
      <c r="OIJ226" s="1"/>
      <c r="OIK226" s="1"/>
      <c r="OIL226" s="1"/>
      <c r="OIM226" s="1"/>
      <c r="OIN226" s="1"/>
      <c r="OIO226" s="1"/>
      <c r="OIP226" s="1"/>
      <c r="OIQ226" s="1"/>
      <c r="OIR226" s="1"/>
      <c r="OIS226" s="1"/>
      <c r="OIT226" s="1"/>
      <c r="OIU226" s="1"/>
      <c r="OIV226" s="1"/>
      <c r="OIW226" s="1"/>
      <c r="OIX226" s="1"/>
      <c r="OIY226" s="1"/>
      <c r="OIZ226" s="1"/>
      <c r="OJA226" s="1"/>
      <c r="OJB226" s="1"/>
      <c r="OJC226" s="1"/>
      <c r="OJD226" s="1"/>
      <c r="OJE226" s="1"/>
      <c r="OJF226" s="1"/>
      <c r="OJG226" s="1"/>
      <c r="OJH226" s="1"/>
      <c r="OJI226" s="1"/>
      <c r="OJJ226" s="1"/>
      <c r="OJK226" s="1"/>
      <c r="OJL226" s="1"/>
      <c r="OJM226" s="1"/>
      <c r="OJN226" s="1"/>
      <c r="OJO226" s="1"/>
      <c r="OJP226" s="1"/>
      <c r="OJQ226" s="1"/>
      <c r="OJR226" s="1"/>
      <c r="OJS226" s="1"/>
      <c r="OJT226" s="1"/>
      <c r="OJU226" s="1"/>
      <c r="OJV226" s="1"/>
      <c r="OJW226" s="1"/>
      <c r="OJX226" s="1"/>
      <c r="OJY226" s="1"/>
      <c r="OJZ226" s="1"/>
      <c r="OKA226" s="1"/>
      <c r="OKB226" s="1"/>
      <c r="OKC226" s="1"/>
      <c r="OKD226" s="1"/>
      <c r="OKE226" s="1"/>
      <c r="OKF226" s="1"/>
      <c r="OKG226" s="1"/>
      <c r="OKH226" s="1"/>
      <c r="OKI226" s="1"/>
      <c r="OKJ226" s="1"/>
      <c r="OKK226" s="1"/>
      <c r="OKL226" s="1"/>
      <c r="OKM226" s="1"/>
      <c r="OKN226" s="1"/>
      <c r="OKO226" s="1"/>
      <c r="OKP226" s="1"/>
      <c r="OKQ226" s="1"/>
      <c r="OKR226" s="1"/>
      <c r="OKS226" s="1"/>
      <c r="OKT226" s="1"/>
      <c r="OKU226" s="1"/>
      <c r="OKV226" s="1"/>
      <c r="OKW226" s="1"/>
      <c r="OKX226" s="1"/>
      <c r="OKY226" s="1"/>
      <c r="OKZ226" s="1"/>
      <c r="OLA226" s="1"/>
      <c r="OLB226" s="1"/>
      <c r="OLC226" s="1"/>
      <c r="OLD226" s="1"/>
      <c r="OLE226" s="1"/>
      <c r="OLF226" s="1"/>
      <c r="OLG226" s="1"/>
      <c r="OLH226" s="1"/>
      <c r="OLI226" s="1"/>
      <c r="OLJ226" s="1"/>
      <c r="OLK226" s="1"/>
      <c r="OLL226" s="1"/>
      <c r="OLM226" s="1"/>
      <c r="OLN226" s="1"/>
      <c r="OLO226" s="1"/>
      <c r="OLP226" s="1"/>
      <c r="OLQ226" s="1"/>
      <c r="OLR226" s="1"/>
      <c r="OLS226" s="1"/>
      <c r="OLT226" s="1"/>
      <c r="OLU226" s="1"/>
      <c r="OLV226" s="1"/>
      <c r="OLW226" s="1"/>
      <c r="OLX226" s="1"/>
      <c r="OLY226" s="1"/>
      <c r="OLZ226" s="1"/>
      <c r="OMA226" s="1"/>
      <c r="OMB226" s="1"/>
      <c r="OMC226" s="1"/>
      <c r="OMD226" s="1"/>
      <c r="OME226" s="1"/>
      <c r="OMF226" s="1"/>
      <c r="OMG226" s="1"/>
      <c r="OMH226" s="1"/>
      <c r="OMI226" s="1"/>
      <c r="OMJ226" s="1"/>
      <c r="OMK226" s="1"/>
      <c r="OML226" s="1"/>
      <c r="OMM226" s="1"/>
      <c r="OMN226" s="1"/>
      <c r="OMO226" s="1"/>
      <c r="OMP226" s="1"/>
      <c r="OMQ226" s="1"/>
      <c r="OMR226" s="1"/>
      <c r="OMS226" s="1"/>
      <c r="OMT226" s="1"/>
      <c r="OMU226" s="1"/>
      <c r="OMV226" s="1"/>
      <c r="OMW226" s="1"/>
      <c r="OMX226" s="1"/>
      <c r="OMY226" s="1"/>
      <c r="OMZ226" s="1"/>
      <c r="ONA226" s="1"/>
      <c r="ONB226" s="1"/>
      <c r="ONC226" s="1"/>
      <c r="OND226" s="1"/>
      <c r="ONE226" s="1"/>
      <c r="ONF226" s="1"/>
      <c r="ONG226" s="1"/>
      <c r="ONH226" s="1"/>
      <c r="ONI226" s="1"/>
      <c r="ONJ226" s="1"/>
      <c r="ONK226" s="1"/>
      <c r="ONL226" s="1"/>
      <c r="ONM226" s="1"/>
      <c r="ONN226" s="1"/>
      <c r="ONO226" s="1"/>
      <c r="ONP226" s="1"/>
      <c r="ONQ226" s="1"/>
      <c r="ONR226" s="1"/>
      <c r="ONS226" s="1"/>
      <c r="ONT226" s="1"/>
      <c r="ONU226" s="1"/>
      <c r="ONV226" s="1"/>
      <c r="ONW226" s="1"/>
      <c r="ONX226" s="1"/>
      <c r="ONY226" s="1"/>
      <c r="ONZ226" s="1"/>
      <c r="OOA226" s="1"/>
      <c r="OOB226" s="1"/>
      <c r="OOC226" s="1"/>
      <c r="OOD226" s="1"/>
      <c r="OOE226" s="1"/>
      <c r="OOF226" s="1"/>
      <c r="OOG226" s="1"/>
      <c r="OOH226" s="1"/>
      <c r="OOI226" s="1"/>
      <c r="OOJ226" s="1"/>
      <c r="OOK226" s="1"/>
      <c r="OOL226" s="1"/>
      <c r="OOM226" s="1"/>
      <c r="OON226" s="1"/>
      <c r="OOO226" s="1"/>
      <c r="OOP226" s="1"/>
      <c r="OOQ226" s="1"/>
      <c r="OOR226" s="1"/>
      <c r="OOS226" s="1"/>
      <c r="OOT226" s="1"/>
      <c r="OOU226" s="1"/>
      <c r="OOV226" s="1"/>
      <c r="OOW226" s="1"/>
      <c r="OOX226" s="1"/>
      <c r="OOY226" s="1"/>
      <c r="OOZ226" s="1"/>
      <c r="OPA226" s="1"/>
      <c r="OPB226" s="1"/>
      <c r="OPC226" s="1"/>
      <c r="OPD226" s="1"/>
      <c r="OPE226" s="1"/>
      <c r="OPF226" s="1"/>
      <c r="OPG226" s="1"/>
      <c r="OPH226" s="1"/>
      <c r="OPI226" s="1"/>
      <c r="OPJ226" s="1"/>
      <c r="OPK226" s="1"/>
      <c r="OPL226" s="1"/>
      <c r="OPM226" s="1"/>
      <c r="OPN226" s="1"/>
      <c r="OPO226" s="1"/>
      <c r="OPP226" s="1"/>
      <c r="OPQ226" s="1"/>
      <c r="OPR226" s="1"/>
      <c r="OPS226" s="1"/>
      <c r="OPT226" s="1"/>
      <c r="OPU226" s="1"/>
      <c r="OPV226" s="1"/>
      <c r="OPW226" s="1"/>
      <c r="OPX226" s="1"/>
      <c r="OPY226" s="1"/>
      <c r="OPZ226" s="1"/>
      <c r="OQA226" s="1"/>
      <c r="OQB226" s="1"/>
      <c r="OQC226" s="1"/>
      <c r="OQD226" s="1"/>
      <c r="OQE226" s="1"/>
      <c r="OQF226" s="1"/>
      <c r="OQG226" s="1"/>
      <c r="OQH226" s="1"/>
      <c r="OQI226" s="1"/>
      <c r="OQJ226" s="1"/>
      <c r="OQK226" s="1"/>
      <c r="OQL226" s="1"/>
      <c r="OQM226" s="1"/>
      <c r="OQN226" s="1"/>
      <c r="OQO226" s="1"/>
      <c r="OQP226" s="1"/>
      <c r="OQQ226" s="1"/>
      <c r="OQR226" s="1"/>
      <c r="OQS226" s="1"/>
      <c r="OQT226" s="1"/>
      <c r="OQU226" s="1"/>
      <c r="OQV226" s="1"/>
      <c r="OQW226" s="1"/>
      <c r="OQX226" s="1"/>
      <c r="OQY226" s="1"/>
      <c r="OQZ226" s="1"/>
      <c r="ORA226" s="1"/>
      <c r="ORB226" s="1"/>
      <c r="ORC226" s="1"/>
      <c r="ORD226" s="1"/>
      <c r="ORE226" s="1"/>
      <c r="ORF226" s="1"/>
      <c r="ORG226" s="1"/>
      <c r="ORH226" s="1"/>
      <c r="ORI226" s="1"/>
      <c r="ORJ226" s="1"/>
      <c r="ORK226" s="1"/>
      <c r="ORL226" s="1"/>
      <c r="ORM226" s="1"/>
      <c r="ORN226" s="1"/>
      <c r="ORO226" s="1"/>
      <c r="ORP226" s="1"/>
      <c r="ORQ226" s="1"/>
      <c r="ORR226" s="1"/>
      <c r="ORS226" s="1"/>
      <c r="ORT226" s="1"/>
      <c r="ORU226" s="1"/>
      <c r="ORV226" s="1"/>
      <c r="ORW226" s="1"/>
      <c r="ORX226" s="1"/>
      <c r="ORY226" s="1"/>
      <c r="ORZ226" s="1"/>
      <c r="OSA226" s="1"/>
      <c r="OSB226" s="1"/>
      <c r="OSC226" s="1"/>
      <c r="OSD226" s="1"/>
      <c r="OSE226" s="1"/>
      <c r="OSF226" s="1"/>
      <c r="OSG226" s="1"/>
      <c r="OSH226" s="1"/>
      <c r="OSI226" s="1"/>
      <c r="OSJ226" s="1"/>
      <c r="OSK226" s="1"/>
      <c r="OSL226" s="1"/>
      <c r="OSM226" s="1"/>
      <c r="OSN226" s="1"/>
      <c r="OSO226" s="1"/>
      <c r="OSP226" s="1"/>
      <c r="OSQ226" s="1"/>
      <c r="OSR226" s="1"/>
      <c r="OSS226" s="1"/>
      <c r="OST226" s="1"/>
      <c r="OSU226" s="1"/>
      <c r="OSV226" s="1"/>
      <c r="OSW226" s="1"/>
      <c r="OSX226" s="1"/>
      <c r="OSY226" s="1"/>
      <c r="OSZ226" s="1"/>
      <c r="OTA226" s="1"/>
      <c r="OTB226" s="1"/>
      <c r="OTC226" s="1"/>
      <c r="OTD226" s="1"/>
      <c r="OTE226" s="1"/>
      <c r="OTF226" s="1"/>
      <c r="OTG226" s="1"/>
      <c r="OTH226" s="1"/>
      <c r="OTI226" s="1"/>
      <c r="OTJ226" s="1"/>
      <c r="OTK226" s="1"/>
      <c r="OTL226" s="1"/>
      <c r="OTM226" s="1"/>
      <c r="OTN226" s="1"/>
      <c r="OTO226" s="1"/>
      <c r="OTP226" s="1"/>
      <c r="OTQ226" s="1"/>
      <c r="OTR226" s="1"/>
      <c r="OTS226" s="1"/>
      <c r="OTT226" s="1"/>
      <c r="OTU226" s="1"/>
      <c r="OTV226" s="1"/>
      <c r="OTW226" s="1"/>
      <c r="OTX226" s="1"/>
      <c r="OTY226" s="1"/>
      <c r="OTZ226" s="1"/>
      <c r="OUA226" s="1"/>
      <c r="OUB226" s="1"/>
      <c r="OUC226" s="1"/>
      <c r="OUD226" s="1"/>
      <c r="OUE226" s="1"/>
      <c r="OUF226" s="1"/>
      <c r="OUG226" s="1"/>
      <c r="OUH226" s="1"/>
      <c r="OUI226" s="1"/>
      <c r="OUJ226" s="1"/>
      <c r="OUK226" s="1"/>
      <c r="OUL226" s="1"/>
      <c r="OUM226" s="1"/>
      <c r="OUN226" s="1"/>
      <c r="OUO226" s="1"/>
      <c r="OUP226" s="1"/>
      <c r="OUQ226" s="1"/>
      <c r="OUR226" s="1"/>
      <c r="OUS226" s="1"/>
      <c r="OUT226" s="1"/>
      <c r="OUU226" s="1"/>
      <c r="OUV226" s="1"/>
      <c r="OUW226" s="1"/>
      <c r="OUX226" s="1"/>
      <c r="OUY226" s="1"/>
      <c r="OUZ226" s="1"/>
      <c r="OVA226" s="1"/>
      <c r="OVB226" s="1"/>
      <c r="OVC226" s="1"/>
      <c r="OVD226" s="1"/>
      <c r="OVE226" s="1"/>
      <c r="OVF226" s="1"/>
      <c r="OVG226" s="1"/>
      <c r="OVH226" s="1"/>
      <c r="OVI226" s="1"/>
      <c r="OVJ226" s="1"/>
      <c r="OVK226" s="1"/>
      <c r="OVL226" s="1"/>
      <c r="OVM226" s="1"/>
      <c r="OVN226" s="1"/>
      <c r="OVO226" s="1"/>
      <c r="OVP226" s="1"/>
      <c r="OVQ226" s="1"/>
      <c r="OVR226" s="1"/>
      <c r="OVS226" s="1"/>
      <c r="OVT226" s="1"/>
      <c r="OVU226" s="1"/>
      <c r="OVV226" s="1"/>
      <c r="OVW226" s="1"/>
      <c r="OVX226" s="1"/>
      <c r="OVY226" s="1"/>
      <c r="OVZ226" s="1"/>
      <c r="OWA226" s="1"/>
      <c r="OWB226" s="1"/>
      <c r="OWC226" s="1"/>
      <c r="OWD226" s="1"/>
      <c r="OWE226" s="1"/>
      <c r="OWF226" s="1"/>
      <c r="OWG226" s="1"/>
      <c r="OWH226" s="1"/>
      <c r="OWI226" s="1"/>
      <c r="OWJ226" s="1"/>
      <c r="OWK226" s="1"/>
      <c r="OWL226" s="1"/>
      <c r="OWM226" s="1"/>
      <c r="OWN226" s="1"/>
      <c r="OWO226" s="1"/>
      <c r="OWP226" s="1"/>
      <c r="OWQ226" s="1"/>
      <c r="OWR226" s="1"/>
      <c r="OWS226" s="1"/>
      <c r="OWT226" s="1"/>
      <c r="OWU226" s="1"/>
      <c r="OWV226" s="1"/>
      <c r="OWW226" s="1"/>
      <c r="OWX226" s="1"/>
      <c r="OWY226" s="1"/>
      <c r="OWZ226" s="1"/>
      <c r="OXA226" s="1"/>
      <c r="OXB226" s="1"/>
      <c r="OXC226" s="1"/>
      <c r="OXD226" s="1"/>
      <c r="OXE226" s="1"/>
      <c r="OXF226" s="1"/>
      <c r="OXG226" s="1"/>
      <c r="OXH226" s="1"/>
      <c r="OXI226" s="1"/>
      <c r="OXJ226" s="1"/>
      <c r="OXK226" s="1"/>
      <c r="OXL226" s="1"/>
      <c r="OXM226" s="1"/>
      <c r="OXN226" s="1"/>
      <c r="OXO226" s="1"/>
      <c r="OXP226" s="1"/>
      <c r="OXQ226" s="1"/>
      <c r="OXR226" s="1"/>
      <c r="OXS226" s="1"/>
      <c r="OXT226" s="1"/>
      <c r="OXU226" s="1"/>
      <c r="OXV226" s="1"/>
      <c r="OXW226" s="1"/>
      <c r="OXX226" s="1"/>
      <c r="OXY226" s="1"/>
      <c r="OXZ226" s="1"/>
      <c r="OYA226" s="1"/>
      <c r="OYB226" s="1"/>
      <c r="OYC226" s="1"/>
      <c r="OYD226" s="1"/>
      <c r="OYE226" s="1"/>
      <c r="OYF226" s="1"/>
      <c r="OYG226" s="1"/>
      <c r="OYH226" s="1"/>
      <c r="OYI226" s="1"/>
      <c r="OYJ226" s="1"/>
      <c r="OYK226" s="1"/>
      <c r="OYL226" s="1"/>
      <c r="OYM226" s="1"/>
      <c r="OYN226" s="1"/>
      <c r="OYO226" s="1"/>
      <c r="OYP226" s="1"/>
      <c r="OYQ226" s="1"/>
      <c r="OYR226" s="1"/>
      <c r="OYS226" s="1"/>
      <c r="OYT226" s="1"/>
      <c r="OYU226" s="1"/>
      <c r="OYV226" s="1"/>
      <c r="OYW226" s="1"/>
      <c r="OYX226" s="1"/>
      <c r="OYY226" s="1"/>
      <c r="OYZ226" s="1"/>
      <c r="OZA226" s="1"/>
      <c r="OZB226" s="1"/>
      <c r="OZC226" s="1"/>
      <c r="OZD226" s="1"/>
      <c r="OZE226" s="1"/>
      <c r="OZF226" s="1"/>
      <c r="OZG226" s="1"/>
      <c r="OZH226" s="1"/>
      <c r="OZI226" s="1"/>
      <c r="OZJ226" s="1"/>
      <c r="OZK226" s="1"/>
      <c r="OZL226" s="1"/>
      <c r="OZM226" s="1"/>
      <c r="OZN226" s="1"/>
      <c r="OZO226" s="1"/>
      <c r="OZP226" s="1"/>
      <c r="OZQ226" s="1"/>
      <c r="OZR226" s="1"/>
      <c r="OZS226" s="1"/>
      <c r="OZT226" s="1"/>
      <c r="OZU226" s="1"/>
      <c r="OZV226" s="1"/>
      <c r="OZW226" s="1"/>
      <c r="OZX226" s="1"/>
      <c r="OZY226" s="1"/>
      <c r="OZZ226" s="1"/>
      <c r="PAA226" s="1"/>
      <c r="PAB226" s="1"/>
      <c r="PAC226" s="1"/>
      <c r="PAD226" s="1"/>
      <c r="PAE226" s="1"/>
      <c r="PAF226" s="1"/>
      <c r="PAG226" s="1"/>
      <c r="PAH226" s="1"/>
      <c r="PAI226" s="1"/>
      <c r="PAJ226" s="1"/>
      <c r="PAK226" s="1"/>
      <c r="PAL226" s="1"/>
      <c r="PAM226" s="1"/>
      <c r="PAN226" s="1"/>
      <c r="PAO226" s="1"/>
      <c r="PAP226" s="1"/>
      <c r="PAQ226" s="1"/>
      <c r="PAR226" s="1"/>
      <c r="PAS226" s="1"/>
      <c r="PAT226" s="1"/>
      <c r="PAU226" s="1"/>
      <c r="PAV226" s="1"/>
      <c r="PAW226" s="1"/>
      <c r="PAX226" s="1"/>
      <c r="PAY226" s="1"/>
      <c r="PAZ226" s="1"/>
      <c r="PBA226" s="1"/>
      <c r="PBB226" s="1"/>
      <c r="PBC226" s="1"/>
      <c r="PBD226" s="1"/>
      <c r="PBE226" s="1"/>
      <c r="PBF226" s="1"/>
      <c r="PBG226" s="1"/>
      <c r="PBH226" s="1"/>
      <c r="PBI226" s="1"/>
      <c r="PBJ226" s="1"/>
      <c r="PBK226" s="1"/>
      <c r="PBL226" s="1"/>
      <c r="PBM226" s="1"/>
      <c r="PBN226" s="1"/>
      <c r="PBO226" s="1"/>
      <c r="PBP226" s="1"/>
      <c r="PBQ226" s="1"/>
      <c r="PBR226" s="1"/>
      <c r="PBS226" s="1"/>
      <c r="PBT226" s="1"/>
      <c r="PBU226" s="1"/>
      <c r="PBV226" s="1"/>
      <c r="PBW226" s="1"/>
      <c r="PBX226" s="1"/>
      <c r="PBY226" s="1"/>
      <c r="PBZ226" s="1"/>
      <c r="PCA226" s="1"/>
      <c r="PCB226" s="1"/>
      <c r="PCC226" s="1"/>
      <c r="PCD226" s="1"/>
      <c r="PCE226" s="1"/>
      <c r="PCF226" s="1"/>
      <c r="PCG226" s="1"/>
      <c r="PCH226" s="1"/>
      <c r="PCI226" s="1"/>
      <c r="PCJ226" s="1"/>
      <c r="PCK226" s="1"/>
      <c r="PCL226" s="1"/>
      <c r="PCM226" s="1"/>
      <c r="PCN226" s="1"/>
      <c r="PCO226" s="1"/>
      <c r="PCP226" s="1"/>
      <c r="PCQ226" s="1"/>
      <c r="PCR226" s="1"/>
      <c r="PCS226" s="1"/>
      <c r="PCT226" s="1"/>
      <c r="PCU226" s="1"/>
      <c r="PCV226" s="1"/>
      <c r="PCW226" s="1"/>
      <c r="PCX226" s="1"/>
      <c r="PCY226" s="1"/>
      <c r="PCZ226" s="1"/>
      <c r="PDA226" s="1"/>
      <c r="PDB226" s="1"/>
      <c r="PDC226" s="1"/>
      <c r="PDD226" s="1"/>
      <c r="PDE226" s="1"/>
      <c r="PDF226" s="1"/>
      <c r="PDG226" s="1"/>
      <c r="PDH226" s="1"/>
      <c r="PDI226" s="1"/>
      <c r="PDJ226" s="1"/>
      <c r="PDK226" s="1"/>
      <c r="PDL226" s="1"/>
      <c r="PDM226" s="1"/>
      <c r="PDN226" s="1"/>
      <c r="PDO226" s="1"/>
      <c r="PDP226" s="1"/>
      <c r="PDQ226" s="1"/>
      <c r="PDR226" s="1"/>
      <c r="PDS226" s="1"/>
      <c r="PDT226" s="1"/>
      <c r="PDU226" s="1"/>
      <c r="PDV226" s="1"/>
      <c r="PDW226" s="1"/>
      <c r="PDX226" s="1"/>
      <c r="PDY226" s="1"/>
      <c r="PDZ226" s="1"/>
      <c r="PEA226" s="1"/>
      <c r="PEB226" s="1"/>
      <c r="PEC226" s="1"/>
      <c r="PED226" s="1"/>
      <c r="PEE226" s="1"/>
      <c r="PEF226" s="1"/>
      <c r="PEG226" s="1"/>
      <c r="PEH226" s="1"/>
      <c r="PEI226" s="1"/>
      <c r="PEJ226" s="1"/>
      <c r="PEK226" s="1"/>
      <c r="PEL226" s="1"/>
      <c r="PEM226" s="1"/>
      <c r="PEN226" s="1"/>
      <c r="PEO226" s="1"/>
      <c r="PEP226" s="1"/>
      <c r="PEQ226" s="1"/>
      <c r="PER226" s="1"/>
      <c r="PES226" s="1"/>
      <c r="PET226" s="1"/>
      <c r="PEU226" s="1"/>
      <c r="PEV226" s="1"/>
      <c r="PEW226" s="1"/>
      <c r="PEX226" s="1"/>
      <c r="PEY226" s="1"/>
      <c r="PEZ226" s="1"/>
      <c r="PFA226" s="1"/>
      <c r="PFB226" s="1"/>
      <c r="PFC226" s="1"/>
      <c r="PFD226" s="1"/>
      <c r="PFE226" s="1"/>
      <c r="PFF226" s="1"/>
      <c r="PFG226" s="1"/>
      <c r="PFH226" s="1"/>
      <c r="PFI226" s="1"/>
      <c r="PFJ226" s="1"/>
      <c r="PFK226" s="1"/>
      <c r="PFL226" s="1"/>
      <c r="PFM226" s="1"/>
      <c r="PFN226" s="1"/>
      <c r="PFO226" s="1"/>
      <c r="PFP226" s="1"/>
      <c r="PFQ226" s="1"/>
      <c r="PFR226" s="1"/>
      <c r="PFS226" s="1"/>
      <c r="PFT226" s="1"/>
      <c r="PFU226" s="1"/>
      <c r="PFV226" s="1"/>
      <c r="PFW226" s="1"/>
      <c r="PFX226" s="1"/>
      <c r="PFY226" s="1"/>
      <c r="PFZ226" s="1"/>
      <c r="PGA226" s="1"/>
      <c r="PGB226" s="1"/>
      <c r="PGC226" s="1"/>
      <c r="PGD226" s="1"/>
      <c r="PGE226" s="1"/>
      <c r="PGF226" s="1"/>
      <c r="PGG226" s="1"/>
      <c r="PGH226" s="1"/>
      <c r="PGI226" s="1"/>
      <c r="PGJ226" s="1"/>
      <c r="PGK226" s="1"/>
      <c r="PGL226" s="1"/>
      <c r="PGM226" s="1"/>
      <c r="PGN226" s="1"/>
      <c r="PGO226" s="1"/>
      <c r="PGP226" s="1"/>
      <c r="PGQ226" s="1"/>
      <c r="PGR226" s="1"/>
      <c r="PGS226" s="1"/>
      <c r="PGT226" s="1"/>
      <c r="PGU226" s="1"/>
      <c r="PGV226" s="1"/>
      <c r="PGW226" s="1"/>
      <c r="PGX226" s="1"/>
      <c r="PGY226" s="1"/>
      <c r="PGZ226" s="1"/>
      <c r="PHA226" s="1"/>
      <c r="PHB226" s="1"/>
      <c r="PHC226" s="1"/>
      <c r="PHD226" s="1"/>
      <c r="PHE226" s="1"/>
      <c r="PHF226" s="1"/>
      <c r="PHG226" s="1"/>
      <c r="PHH226" s="1"/>
      <c r="PHI226" s="1"/>
      <c r="PHJ226" s="1"/>
      <c r="PHK226" s="1"/>
      <c r="PHL226" s="1"/>
      <c r="PHM226" s="1"/>
      <c r="PHN226" s="1"/>
      <c r="PHO226" s="1"/>
      <c r="PHP226" s="1"/>
      <c r="PHQ226" s="1"/>
      <c r="PHR226" s="1"/>
      <c r="PHS226" s="1"/>
      <c r="PHT226" s="1"/>
      <c r="PHU226" s="1"/>
      <c r="PHV226" s="1"/>
      <c r="PHW226" s="1"/>
      <c r="PHX226" s="1"/>
      <c r="PHY226" s="1"/>
      <c r="PHZ226" s="1"/>
      <c r="PIA226" s="1"/>
      <c r="PIB226" s="1"/>
      <c r="PIC226" s="1"/>
      <c r="PID226" s="1"/>
      <c r="PIE226" s="1"/>
      <c r="PIF226" s="1"/>
      <c r="PIG226" s="1"/>
      <c r="PIH226" s="1"/>
      <c r="PII226" s="1"/>
      <c r="PIJ226" s="1"/>
      <c r="PIK226" s="1"/>
      <c r="PIL226" s="1"/>
      <c r="PIM226" s="1"/>
      <c r="PIN226" s="1"/>
      <c r="PIO226" s="1"/>
      <c r="PIP226" s="1"/>
      <c r="PIQ226" s="1"/>
      <c r="PIR226" s="1"/>
      <c r="PIS226" s="1"/>
      <c r="PIT226" s="1"/>
      <c r="PIU226" s="1"/>
      <c r="PIV226" s="1"/>
      <c r="PIW226" s="1"/>
      <c r="PIX226" s="1"/>
      <c r="PIY226" s="1"/>
      <c r="PIZ226" s="1"/>
      <c r="PJA226" s="1"/>
      <c r="PJB226" s="1"/>
      <c r="PJC226" s="1"/>
      <c r="PJD226" s="1"/>
      <c r="PJE226" s="1"/>
      <c r="PJF226" s="1"/>
      <c r="PJG226" s="1"/>
      <c r="PJH226" s="1"/>
      <c r="PJI226" s="1"/>
      <c r="PJJ226" s="1"/>
      <c r="PJK226" s="1"/>
      <c r="PJL226" s="1"/>
      <c r="PJM226" s="1"/>
      <c r="PJN226" s="1"/>
      <c r="PJO226" s="1"/>
      <c r="PJP226" s="1"/>
      <c r="PJQ226" s="1"/>
      <c r="PJR226" s="1"/>
      <c r="PJS226" s="1"/>
      <c r="PJT226" s="1"/>
      <c r="PJU226" s="1"/>
      <c r="PJV226" s="1"/>
      <c r="PJW226" s="1"/>
      <c r="PJX226" s="1"/>
      <c r="PJY226" s="1"/>
      <c r="PJZ226" s="1"/>
      <c r="PKA226" s="1"/>
      <c r="PKB226" s="1"/>
      <c r="PKC226" s="1"/>
      <c r="PKD226" s="1"/>
      <c r="PKE226" s="1"/>
      <c r="PKF226" s="1"/>
      <c r="PKG226" s="1"/>
      <c r="PKH226" s="1"/>
      <c r="PKI226" s="1"/>
      <c r="PKJ226" s="1"/>
      <c r="PKK226" s="1"/>
      <c r="PKL226" s="1"/>
      <c r="PKM226" s="1"/>
      <c r="PKN226" s="1"/>
      <c r="PKO226" s="1"/>
      <c r="PKP226" s="1"/>
      <c r="PKQ226" s="1"/>
      <c r="PKR226" s="1"/>
      <c r="PKS226" s="1"/>
      <c r="PKT226" s="1"/>
      <c r="PKU226" s="1"/>
      <c r="PKV226" s="1"/>
      <c r="PKW226" s="1"/>
      <c r="PKX226" s="1"/>
      <c r="PKY226" s="1"/>
      <c r="PKZ226" s="1"/>
      <c r="PLA226" s="1"/>
      <c r="PLB226" s="1"/>
      <c r="PLC226" s="1"/>
      <c r="PLD226" s="1"/>
      <c r="PLE226" s="1"/>
      <c r="PLF226" s="1"/>
      <c r="PLG226" s="1"/>
      <c r="PLH226" s="1"/>
      <c r="PLI226" s="1"/>
      <c r="PLJ226" s="1"/>
      <c r="PLK226" s="1"/>
      <c r="PLL226" s="1"/>
      <c r="PLM226" s="1"/>
      <c r="PLN226" s="1"/>
      <c r="PLO226" s="1"/>
      <c r="PLP226" s="1"/>
      <c r="PLQ226" s="1"/>
      <c r="PLR226" s="1"/>
      <c r="PLS226" s="1"/>
      <c r="PLT226" s="1"/>
      <c r="PLU226" s="1"/>
      <c r="PLV226" s="1"/>
      <c r="PLW226" s="1"/>
      <c r="PLX226" s="1"/>
      <c r="PLY226" s="1"/>
      <c r="PLZ226" s="1"/>
      <c r="PMA226" s="1"/>
      <c r="PMB226" s="1"/>
      <c r="PMC226" s="1"/>
      <c r="PMD226" s="1"/>
      <c r="PME226" s="1"/>
      <c r="PMF226" s="1"/>
      <c r="PMG226" s="1"/>
      <c r="PMH226" s="1"/>
      <c r="PMI226" s="1"/>
      <c r="PMJ226" s="1"/>
      <c r="PMK226" s="1"/>
      <c r="PML226" s="1"/>
      <c r="PMM226" s="1"/>
      <c r="PMN226" s="1"/>
      <c r="PMO226" s="1"/>
      <c r="PMP226" s="1"/>
      <c r="PMQ226" s="1"/>
      <c r="PMR226" s="1"/>
      <c r="PMS226" s="1"/>
      <c r="PMT226" s="1"/>
      <c r="PMU226" s="1"/>
      <c r="PMV226" s="1"/>
      <c r="PMW226" s="1"/>
      <c r="PMX226" s="1"/>
      <c r="PMY226" s="1"/>
      <c r="PMZ226" s="1"/>
      <c r="PNA226" s="1"/>
      <c r="PNB226" s="1"/>
      <c r="PNC226" s="1"/>
      <c r="PND226" s="1"/>
      <c r="PNE226" s="1"/>
      <c r="PNF226" s="1"/>
      <c r="PNG226" s="1"/>
      <c r="PNH226" s="1"/>
      <c r="PNI226" s="1"/>
      <c r="PNJ226" s="1"/>
      <c r="PNK226" s="1"/>
      <c r="PNL226" s="1"/>
      <c r="PNM226" s="1"/>
      <c r="PNN226" s="1"/>
      <c r="PNO226" s="1"/>
      <c r="PNP226" s="1"/>
      <c r="PNQ226" s="1"/>
      <c r="PNR226" s="1"/>
      <c r="PNS226" s="1"/>
      <c r="PNT226" s="1"/>
      <c r="PNU226" s="1"/>
      <c r="PNV226" s="1"/>
      <c r="PNW226" s="1"/>
      <c r="PNX226" s="1"/>
      <c r="PNY226" s="1"/>
      <c r="PNZ226" s="1"/>
      <c r="POA226" s="1"/>
      <c r="POB226" s="1"/>
      <c r="POC226" s="1"/>
      <c r="POD226" s="1"/>
      <c r="POE226" s="1"/>
      <c r="POF226" s="1"/>
      <c r="POG226" s="1"/>
      <c r="POH226" s="1"/>
      <c r="POI226" s="1"/>
      <c r="POJ226" s="1"/>
      <c r="POK226" s="1"/>
      <c r="POL226" s="1"/>
      <c r="POM226" s="1"/>
      <c r="PON226" s="1"/>
      <c r="POO226" s="1"/>
      <c r="POP226" s="1"/>
      <c r="POQ226" s="1"/>
      <c r="POR226" s="1"/>
      <c r="POS226" s="1"/>
      <c r="POT226" s="1"/>
      <c r="POU226" s="1"/>
      <c r="POV226" s="1"/>
      <c r="POW226" s="1"/>
      <c r="POX226" s="1"/>
      <c r="POY226" s="1"/>
      <c r="POZ226" s="1"/>
      <c r="PPA226" s="1"/>
      <c r="PPB226" s="1"/>
      <c r="PPC226" s="1"/>
      <c r="PPD226" s="1"/>
      <c r="PPE226" s="1"/>
      <c r="PPF226" s="1"/>
      <c r="PPG226" s="1"/>
      <c r="PPH226" s="1"/>
      <c r="PPI226" s="1"/>
      <c r="PPJ226" s="1"/>
      <c r="PPK226" s="1"/>
      <c r="PPL226" s="1"/>
      <c r="PPM226" s="1"/>
      <c r="PPN226" s="1"/>
      <c r="PPO226" s="1"/>
      <c r="PPP226" s="1"/>
      <c r="PPQ226" s="1"/>
      <c r="PPR226" s="1"/>
      <c r="PPS226" s="1"/>
      <c r="PPT226" s="1"/>
      <c r="PPU226" s="1"/>
      <c r="PPV226" s="1"/>
      <c r="PPW226" s="1"/>
      <c r="PPX226" s="1"/>
      <c r="PPY226" s="1"/>
      <c r="PPZ226" s="1"/>
      <c r="PQA226" s="1"/>
      <c r="PQB226" s="1"/>
      <c r="PQC226" s="1"/>
      <c r="PQD226" s="1"/>
      <c r="PQE226" s="1"/>
      <c r="PQF226" s="1"/>
      <c r="PQG226" s="1"/>
      <c r="PQH226" s="1"/>
      <c r="PQI226" s="1"/>
      <c r="PQJ226" s="1"/>
      <c r="PQK226" s="1"/>
      <c r="PQL226" s="1"/>
      <c r="PQM226" s="1"/>
      <c r="PQN226" s="1"/>
      <c r="PQO226" s="1"/>
      <c r="PQP226" s="1"/>
      <c r="PQQ226" s="1"/>
      <c r="PQR226" s="1"/>
      <c r="PQS226" s="1"/>
      <c r="PQT226" s="1"/>
      <c r="PQU226" s="1"/>
      <c r="PQV226" s="1"/>
      <c r="PQW226" s="1"/>
      <c r="PQX226" s="1"/>
      <c r="PQY226" s="1"/>
      <c r="PQZ226" s="1"/>
      <c r="PRA226" s="1"/>
      <c r="PRB226" s="1"/>
      <c r="PRC226" s="1"/>
      <c r="PRD226" s="1"/>
      <c r="PRE226" s="1"/>
      <c r="PRF226" s="1"/>
      <c r="PRG226" s="1"/>
      <c r="PRH226" s="1"/>
      <c r="PRI226" s="1"/>
      <c r="PRJ226" s="1"/>
      <c r="PRK226" s="1"/>
      <c r="PRL226" s="1"/>
      <c r="PRM226" s="1"/>
      <c r="PRN226" s="1"/>
      <c r="PRO226" s="1"/>
      <c r="PRP226" s="1"/>
      <c r="PRQ226" s="1"/>
      <c r="PRR226" s="1"/>
      <c r="PRS226" s="1"/>
      <c r="PRT226" s="1"/>
      <c r="PRU226" s="1"/>
      <c r="PRV226" s="1"/>
      <c r="PRW226" s="1"/>
      <c r="PRX226" s="1"/>
      <c r="PRY226" s="1"/>
      <c r="PRZ226" s="1"/>
      <c r="PSA226" s="1"/>
      <c r="PSB226" s="1"/>
      <c r="PSC226" s="1"/>
      <c r="PSD226" s="1"/>
      <c r="PSE226" s="1"/>
      <c r="PSF226" s="1"/>
      <c r="PSG226" s="1"/>
      <c r="PSH226" s="1"/>
      <c r="PSI226" s="1"/>
      <c r="PSJ226" s="1"/>
      <c r="PSK226" s="1"/>
      <c r="PSL226" s="1"/>
      <c r="PSM226" s="1"/>
      <c r="PSN226" s="1"/>
      <c r="PSO226" s="1"/>
      <c r="PSP226" s="1"/>
      <c r="PSQ226" s="1"/>
      <c r="PSR226" s="1"/>
      <c r="PSS226" s="1"/>
      <c r="PST226" s="1"/>
      <c r="PSU226" s="1"/>
      <c r="PSV226" s="1"/>
      <c r="PSW226" s="1"/>
      <c r="PSX226" s="1"/>
      <c r="PSY226" s="1"/>
      <c r="PSZ226" s="1"/>
      <c r="PTA226" s="1"/>
      <c r="PTB226" s="1"/>
      <c r="PTC226" s="1"/>
      <c r="PTD226" s="1"/>
      <c r="PTE226" s="1"/>
      <c r="PTF226" s="1"/>
      <c r="PTG226" s="1"/>
      <c r="PTH226" s="1"/>
      <c r="PTI226" s="1"/>
      <c r="PTJ226" s="1"/>
      <c r="PTK226" s="1"/>
      <c r="PTL226" s="1"/>
      <c r="PTM226" s="1"/>
      <c r="PTN226" s="1"/>
      <c r="PTO226" s="1"/>
      <c r="PTP226" s="1"/>
      <c r="PTQ226" s="1"/>
      <c r="PTR226" s="1"/>
      <c r="PTS226" s="1"/>
      <c r="PTT226" s="1"/>
      <c r="PTU226" s="1"/>
      <c r="PTV226" s="1"/>
      <c r="PTW226" s="1"/>
      <c r="PTX226" s="1"/>
      <c r="PTY226" s="1"/>
      <c r="PTZ226" s="1"/>
      <c r="PUA226" s="1"/>
      <c r="PUB226" s="1"/>
      <c r="PUC226" s="1"/>
      <c r="PUD226" s="1"/>
      <c r="PUE226" s="1"/>
      <c r="PUF226" s="1"/>
      <c r="PUG226" s="1"/>
      <c r="PUH226" s="1"/>
      <c r="PUI226" s="1"/>
      <c r="PUJ226" s="1"/>
      <c r="PUK226" s="1"/>
      <c r="PUL226" s="1"/>
      <c r="PUM226" s="1"/>
      <c r="PUN226" s="1"/>
      <c r="PUO226" s="1"/>
      <c r="PUP226" s="1"/>
      <c r="PUQ226" s="1"/>
      <c r="PUR226" s="1"/>
      <c r="PUS226" s="1"/>
      <c r="PUT226" s="1"/>
      <c r="PUU226" s="1"/>
      <c r="PUV226" s="1"/>
      <c r="PUW226" s="1"/>
      <c r="PUX226" s="1"/>
      <c r="PUY226" s="1"/>
      <c r="PUZ226" s="1"/>
      <c r="PVA226" s="1"/>
      <c r="PVB226" s="1"/>
      <c r="PVC226" s="1"/>
      <c r="PVD226" s="1"/>
      <c r="PVE226" s="1"/>
      <c r="PVF226" s="1"/>
      <c r="PVG226" s="1"/>
      <c r="PVH226" s="1"/>
      <c r="PVI226" s="1"/>
      <c r="PVJ226" s="1"/>
      <c r="PVK226" s="1"/>
      <c r="PVL226" s="1"/>
      <c r="PVM226" s="1"/>
      <c r="PVN226" s="1"/>
      <c r="PVO226" s="1"/>
      <c r="PVP226" s="1"/>
      <c r="PVQ226" s="1"/>
      <c r="PVR226" s="1"/>
      <c r="PVS226" s="1"/>
      <c r="PVT226" s="1"/>
      <c r="PVU226" s="1"/>
      <c r="PVV226" s="1"/>
      <c r="PVW226" s="1"/>
      <c r="PVX226" s="1"/>
      <c r="PVY226" s="1"/>
      <c r="PVZ226" s="1"/>
      <c r="PWA226" s="1"/>
      <c r="PWB226" s="1"/>
      <c r="PWC226" s="1"/>
      <c r="PWD226" s="1"/>
      <c r="PWE226" s="1"/>
      <c r="PWF226" s="1"/>
      <c r="PWG226" s="1"/>
      <c r="PWH226" s="1"/>
      <c r="PWI226" s="1"/>
      <c r="PWJ226" s="1"/>
      <c r="PWK226" s="1"/>
      <c r="PWL226" s="1"/>
      <c r="PWM226" s="1"/>
      <c r="PWN226" s="1"/>
      <c r="PWO226" s="1"/>
      <c r="PWP226" s="1"/>
      <c r="PWQ226" s="1"/>
      <c r="PWR226" s="1"/>
      <c r="PWS226" s="1"/>
      <c r="PWT226" s="1"/>
      <c r="PWU226" s="1"/>
      <c r="PWV226" s="1"/>
      <c r="PWW226" s="1"/>
      <c r="PWX226" s="1"/>
      <c r="PWY226" s="1"/>
      <c r="PWZ226" s="1"/>
      <c r="PXA226" s="1"/>
      <c r="PXB226" s="1"/>
      <c r="PXC226" s="1"/>
      <c r="PXD226" s="1"/>
      <c r="PXE226" s="1"/>
      <c r="PXF226" s="1"/>
      <c r="PXG226" s="1"/>
      <c r="PXH226" s="1"/>
      <c r="PXI226" s="1"/>
      <c r="PXJ226" s="1"/>
      <c r="PXK226" s="1"/>
      <c r="PXL226" s="1"/>
      <c r="PXM226" s="1"/>
      <c r="PXN226" s="1"/>
      <c r="PXO226" s="1"/>
      <c r="PXP226" s="1"/>
      <c r="PXQ226" s="1"/>
      <c r="PXR226" s="1"/>
      <c r="PXS226" s="1"/>
      <c r="PXT226" s="1"/>
      <c r="PXU226" s="1"/>
      <c r="PXV226" s="1"/>
      <c r="PXW226" s="1"/>
      <c r="PXX226" s="1"/>
      <c r="PXY226" s="1"/>
      <c r="PXZ226" s="1"/>
      <c r="PYA226" s="1"/>
      <c r="PYB226" s="1"/>
      <c r="PYC226" s="1"/>
      <c r="PYD226" s="1"/>
      <c r="PYE226" s="1"/>
      <c r="PYF226" s="1"/>
      <c r="PYG226" s="1"/>
      <c r="PYH226" s="1"/>
      <c r="PYI226" s="1"/>
      <c r="PYJ226" s="1"/>
      <c r="PYK226" s="1"/>
      <c r="PYL226" s="1"/>
      <c r="PYM226" s="1"/>
      <c r="PYN226" s="1"/>
      <c r="PYO226" s="1"/>
      <c r="PYP226" s="1"/>
      <c r="PYQ226" s="1"/>
      <c r="PYR226" s="1"/>
      <c r="PYS226" s="1"/>
      <c r="PYT226" s="1"/>
      <c r="PYU226" s="1"/>
      <c r="PYV226" s="1"/>
      <c r="PYW226" s="1"/>
      <c r="PYX226" s="1"/>
      <c r="PYY226" s="1"/>
      <c r="PYZ226" s="1"/>
      <c r="PZA226" s="1"/>
      <c r="PZB226" s="1"/>
      <c r="PZC226" s="1"/>
      <c r="PZD226" s="1"/>
      <c r="PZE226" s="1"/>
      <c r="PZF226" s="1"/>
      <c r="PZG226" s="1"/>
      <c r="PZH226" s="1"/>
      <c r="PZI226" s="1"/>
      <c r="PZJ226" s="1"/>
      <c r="PZK226" s="1"/>
      <c r="PZL226" s="1"/>
      <c r="PZM226" s="1"/>
      <c r="PZN226" s="1"/>
      <c r="PZO226" s="1"/>
      <c r="PZP226" s="1"/>
      <c r="PZQ226" s="1"/>
      <c r="PZR226" s="1"/>
      <c r="PZS226" s="1"/>
      <c r="PZT226" s="1"/>
      <c r="PZU226" s="1"/>
      <c r="PZV226" s="1"/>
      <c r="PZW226" s="1"/>
      <c r="PZX226" s="1"/>
      <c r="PZY226" s="1"/>
      <c r="PZZ226" s="1"/>
      <c r="QAA226" s="1"/>
      <c r="QAB226" s="1"/>
      <c r="QAC226" s="1"/>
      <c r="QAD226" s="1"/>
      <c r="QAE226" s="1"/>
      <c r="QAF226" s="1"/>
      <c r="QAG226" s="1"/>
      <c r="QAH226" s="1"/>
      <c r="QAI226" s="1"/>
      <c r="QAJ226" s="1"/>
      <c r="QAK226" s="1"/>
      <c r="QAL226" s="1"/>
      <c r="QAM226" s="1"/>
      <c r="QAN226" s="1"/>
      <c r="QAO226" s="1"/>
      <c r="QAP226" s="1"/>
      <c r="QAQ226" s="1"/>
      <c r="QAR226" s="1"/>
      <c r="QAS226" s="1"/>
      <c r="QAT226" s="1"/>
      <c r="QAU226" s="1"/>
      <c r="QAV226" s="1"/>
      <c r="QAW226" s="1"/>
      <c r="QAX226" s="1"/>
      <c r="QAY226" s="1"/>
      <c r="QAZ226" s="1"/>
      <c r="QBA226" s="1"/>
      <c r="QBB226" s="1"/>
      <c r="QBC226" s="1"/>
      <c r="QBD226" s="1"/>
      <c r="QBE226" s="1"/>
      <c r="QBF226" s="1"/>
      <c r="QBG226" s="1"/>
      <c r="QBH226" s="1"/>
      <c r="QBI226" s="1"/>
      <c r="QBJ226" s="1"/>
      <c r="QBK226" s="1"/>
      <c r="QBL226" s="1"/>
      <c r="QBM226" s="1"/>
      <c r="QBN226" s="1"/>
      <c r="QBO226" s="1"/>
      <c r="QBP226" s="1"/>
      <c r="QBQ226" s="1"/>
      <c r="QBR226" s="1"/>
      <c r="QBS226" s="1"/>
      <c r="QBT226" s="1"/>
      <c r="QBU226" s="1"/>
      <c r="QBV226" s="1"/>
      <c r="QBW226" s="1"/>
      <c r="QBX226" s="1"/>
      <c r="QBY226" s="1"/>
      <c r="QBZ226" s="1"/>
      <c r="QCA226" s="1"/>
      <c r="QCB226" s="1"/>
      <c r="QCC226" s="1"/>
      <c r="QCD226" s="1"/>
      <c r="QCE226" s="1"/>
      <c r="QCF226" s="1"/>
      <c r="QCG226" s="1"/>
      <c r="QCH226" s="1"/>
      <c r="QCI226" s="1"/>
      <c r="QCJ226" s="1"/>
      <c r="QCK226" s="1"/>
      <c r="QCL226" s="1"/>
      <c r="QCM226" s="1"/>
      <c r="QCN226" s="1"/>
      <c r="QCO226" s="1"/>
      <c r="QCP226" s="1"/>
      <c r="QCQ226" s="1"/>
      <c r="QCR226" s="1"/>
      <c r="QCS226" s="1"/>
      <c r="QCT226" s="1"/>
      <c r="QCU226" s="1"/>
      <c r="QCV226" s="1"/>
      <c r="QCW226" s="1"/>
      <c r="QCX226" s="1"/>
      <c r="QCY226" s="1"/>
      <c r="QCZ226" s="1"/>
      <c r="QDA226" s="1"/>
      <c r="QDB226" s="1"/>
      <c r="QDC226" s="1"/>
      <c r="QDD226" s="1"/>
      <c r="QDE226" s="1"/>
      <c r="QDF226" s="1"/>
      <c r="QDG226" s="1"/>
      <c r="QDH226" s="1"/>
      <c r="QDI226" s="1"/>
      <c r="QDJ226" s="1"/>
      <c r="QDK226" s="1"/>
      <c r="QDL226" s="1"/>
      <c r="QDM226" s="1"/>
      <c r="QDN226" s="1"/>
      <c r="QDO226" s="1"/>
      <c r="QDP226" s="1"/>
      <c r="QDQ226" s="1"/>
      <c r="QDR226" s="1"/>
      <c r="QDS226" s="1"/>
      <c r="QDT226" s="1"/>
      <c r="QDU226" s="1"/>
      <c r="QDV226" s="1"/>
      <c r="QDW226" s="1"/>
      <c r="QDX226" s="1"/>
      <c r="QDY226" s="1"/>
      <c r="QDZ226" s="1"/>
      <c r="QEA226" s="1"/>
      <c r="QEB226" s="1"/>
      <c r="QEC226" s="1"/>
      <c r="QED226" s="1"/>
      <c r="QEE226" s="1"/>
      <c r="QEF226" s="1"/>
      <c r="QEG226" s="1"/>
      <c r="QEH226" s="1"/>
      <c r="QEI226" s="1"/>
      <c r="QEJ226" s="1"/>
      <c r="QEK226" s="1"/>
      <c r="QEL226" s="1"/>
      <c r="QEM226" s="1"/>
      <c r="QEN226" s="1"/>
      <c r="QEO226" s="1"/>
      <c r="QEP226" s="1"/>
      <c r="QEQ226" s="1"/>
      <c r="QER226" s="1"/>
      <c r="QES226" s="1"/>
      <c r="QET226" s="1"/>
      <c r="QEU226" s="1"/>
      <c r="QEV226" s="1"/>
      <c r="QEW226" s="1"/>
      <c r="QEX226" s="1"/>
      <c r="QEY226" s="1"/>
      <c r="QEZ226" s="1"/>
      <c r="QFA226" s="1"/>
      <c r="QFB226" s="1"/>
      <c r="QFC226" s="1"/>
      <c r="QFD226" s="1"/>
      <c r="QFE226" s="1"/>
      <c r="QFF226" s="1"/>
      <c r="QFG226" s="1"/>
      <c r="QFH226" s="1"/>
      <c r="QFI226" s="1"/>
      <c r="QFJ226" s="1"/>
      <c r="QFK226" s="1"/>
      <c r="QFL226" s="1"/>
      <c r="QFM226" s="1"/>
      <c r="QFN226" s="1"/>
      <c r="QFO226" s="1"/>
      <c r="QFP226" s="1"/>
      <c r="QFQ226" s="1"/>
      <c r="QFR226" s="1"/>
      <c r="QFS226" s="1"/>
      <c r="QFT226" s="1"/>
      <c r="QFU226" s="1"/>
      <c r="QFV226" s="1"/>
      <c r="QFW226" s="1"/>
      <c r="QFX226" s="1"/>
      <c r="QFY226" s="1"/>
      <c r="QFZ226" s="1"/>
      <c r="QGA226" s="1"/>
      <c r="QGB226" s="1"/>
      <c r="QGC226" s="1"/>
      <c r="QGD226" s="1"/>
      <c r="QGE226" s="1"/>
      <c r="QGF226" s="1"/>
      <c r="QGG226" s="1"/>
      <c r="QGH226" s="1"/>
      <c r="QGI226" s="1"/>
      <c r="QGJ226" s="1"/>
      <c r="QGK226" s="1"/>
      <c r="QGL226" s="1"/>
      <c r="QGM226" s="1"/>
      <c r="QGN226" s="1"/>
      <c r="QGO226" s="1"/>
      <c r="QGP226" s="1"/>
      <c r="QGQ226" s="1"/>
      <c r="QGR226" s="1"/>
      <c r="QGS226" s="1"/>
      <c r="QGT226" s="1"/>
      <c r="QGU226" s="1"/>
      <c r="QGV226" s="1"/>
      <c r="QGW226" s="1"/>
      <c r="QGX226" s="1"/>
      <c r="QGY226" s="1"/>
      <c r="QGZ226" s="1"/>
      <c r="QHA226" s="1"/>
      <c r="QHB226" s="1"/>
      <c r="QHC226" s="1"/>
      <c r="QHD226" s="1"/>
      <c r="QHE226" s="1"/>
      <c r="QHF226" s="1"/>
      <c r="QHG226" s="1"/>
      <c r="QHH226" s="1"/>
      <c r="QHI226" s="1"/>
      <c r="QHJ226" s="1"/>
      <c r="QHK226" s="1"/>
      <c r="QHL226" s="1"/>
      <c r="QHM226" s="1"/>
      <c r="QHN226" s="1"/>
      <c r="QHO226" s="1"/>
      <c r="QHP226" s="1"/>
      <c r="QHQ226" s="1"/>
      <c r="QHR226" s="1"/>
      <c r="QHS226" s="1"/>
      <c r="QHT226" s="1"/>
      <c r="QHU226" s="1"/>
      <c r="QHV226" s="1"/>
      <c r="QHW226" s="1"/>
      <c r="QHX226" s="1"/>
      <c r="QHY226" s="1"/>
      <c r="QHZ226" s="1"/>
      <c r="QIA226" s="1"/>
      <c r="QIB226" s="1"/>
      <c r="QIC226" s="1"/>
      <c r="QID226" s="1"/>
      <c r="QIE226" s="1"/>
      <c r="QIF226" s="1"/>
      <c r="QIG226" s="1"/>
      <c r="QIH226" s="1"/>
      <c r="QII226" s="1"/>
      <c r="QIJ226" s="1"/>
      <c r="QIK226" s="1"/>
      <c r="QIL226" s="1"/>
      <c r="QIM226" s="1"/>
      <c r="QIN226" s="1"/>
      <c r="QIO226" s="1"/>
      <c r="QIP226" s="1"/>
      <c r="QIQ226" s="1"/>
      <c r="QIR226" s="1"/>
      <c r="QIS226" s="1"/>
      <c r="QIT226" s="1"/>
      <c r="QIU226" s="1"/>
      <c r="QIV226" s="1"/>
      <c r="QIW226" s="1"/>
      <c r="QIX226" s="1"/>
      <c r="QIY226" s="1"/>
      <c r="QIZ226" s="1"/>
      <c r="QJA226" s="1"/>
      <c r="QJB226" s="1"/>
      <c r="QJC226" s="1"/>
      <c r="QJD226" s="1"/>
      <c r="QJE226" s="1"/>
      <c r="QJF226" s="1"/>
      <c r="QJG226" s="1"/>
      <c r="QJH226" s="1"/>
      <c r="QJI226" s="1"/>
      <c r="QJJ226" s="1"/>
      <c r="QJK226" s="1"/>
      <c r="QJL226" s="1"/>
      <c r="QJM226" s="1"/>
      <c r="QJN226" s="1"/>
      <c r="QJO226" s="1"/>
      <c r="QJP226" s="1"/>
      <c r="QJQ226" s="1"/>
      <c r="QJR226" s="1"/>
      <c r="QJS226" s="1"/>
      <c r="QJT226" s="1"/>
      <c r="QJU226" s="1"/>
      <c r="QJV226" s="1"/>
      <c r="QJW226" s="1"/>
      <c r="QJX226" s="1"/>
      <c r="QJY226" s="1"/>
      <c r="QJZ226" s="1"/>
      <c r="QKA226" s="1"/>
      <c r="QKB226" s="1"/>
      <c r="QKC226" s="1"/>
      <c r="QKD226" s="1"/>
      <c r="QKE226" s="1"/>
      <c r="QKF226" s="1"/>
      <c r="QKG226" s="1"/>
      <c r="QKH226" s="1"/>
      <c r="QKI226" s="1"/>
      <c r="QKJ226" s="1"/>
      <c r="QKK226" s="1"/>
      <c r="QKL226" s="1"/>
      <c r="QKM226" s="1"/>
      <c r="QKN226" s="1"/>
      <c r="QKO226" s="1"/>
      <c r="QKP226" s="1"/>
      <c r="QKQ226" s="1"/>
      <c r="QKR226" s="1"/>
      <c r="QKS226" s="1"/>
      <c r="QKT226" s="1"/>
      <c r="QKU226" s="1"/>
      <c r="QKV226" s="1"/>
      <c r="QKW226" s="1"/>
      <c r="QKX226" s="1"/>
      <c r="QKY226" s="1"/>
      <c r="QKZ226" s="1"/>
      <c r="QLA226" s="1"/>
      <c r="QLB226" s="1"/>
      <c r="QLC226" s="1"/>
      <c r="QLD226" s="1"/>
      <c r="QLE226" s="1"/>
      <c r="QLF226" s="1"/>
      <c r="QLG226" s="1"/>
      <c r="QLH226" s="1"/>
      <c r="QLI226" s="1"/>
      <c r="QLJ226" s="1"/>
      <c r="QLK226" s="1"/>
      <c r="QLL226" s="1"/>
      <c r="QLM226" s="1"/>
      <c r="QLN226" s="1"/>
      <c r="QLO226" s="1"/>
      <c r="QLP226" s="1"/>
      <c r="QLQ226" s="1"/>
      <c r="QLR226" s="1"/>
      <c r="QLS226" s="1"/>
      <c r="QLT226" s="1"/>
      <c r="QLU226" s="1"/>
      <c r="QLV226" s="1"/>
      <c r="QLW226" s="1"/>
      <c r="QLX226" s="1"/>
      <c r="QLY226" s="1"/>
      <c r="QLZ226" s="1"/>
      <c r="QMA226" s="1"/>
      <c r="QMB226" s="1"/>
      <c r="QMC226" s="1"/>
      <c r="QMD226" s="1"/>
      <c r="QME226" s="1"/>
      <c r="QMF226" s="1"/>
      <c r="QMG226" s="1"/>
      <c r="QMH226" s="1"/>
      <c r="QMI226" s="1"/>
      <c r="QMJ226" s="1"/>
      <c r="QMK226" s="1"/>
      <c r="QML226" s="1"/>
      <c r="QMM226" s="1"/>
      <c r="QMN226" s="1"/>
      <c r="QMO226" s="1"/>
      <c r="QMP226" s="1"/>
      <c r="QMQ226" s="1"/>
      <c r="QMR226" s="1"/>
      <c r="QMS226" s="1"/>
      <c r="QMT226" s="1"/>
      <c r="QMU226" s="1"/>
      <c r="QMV226" s="1"/>
      <c r="QMW226" s="1"/>
      <c r="QMX226" s="1"/>
      <c r="QMY226" s="1"/>
      <c r="QMZ226" s="1"/>
      <c r="QNA226" s="1"/>
      <c r="QNB226" s="1"/>
      <c r="QNC226" s="1"/>
      <c r="QND226" s="1"/>
      <c r="QNE226" s="1"/>
      <c r="QNF226" s="1"/>
      <c r="QNG226" s="1"/>
      <c r="QNH226" s="1"/>
      <c r="QNI226" s="1"/>
      <c r="QNJ226" s="1"/>
      <c r="QNK226" s="1"/>
      <c r="QNL226" s="1"/>
      <c r="QNM226" s="1"/>
      <c r="QNN226" s="1"/>
      <c r="QNO226" s="1"/>
      <c r="QNP226" s="1"/>
      <c r="QNQ226" s="1"/>
      <c r="QNR226" s="1"/>
      <c r="QNS226" s="1"/>
      <c r="QNT226" s="1"/>
      <c r="QNU226" s="1"/>
      <c r="QNV226" s="1"/>
      <c r="QNW226" s="1"/>
      <c r="QNX226" s="1"/>
      <c r="QNY226" s="1"/>
      <c r="QNZ226" s="1"/>
      <c r="QOA226" s="1"/>
      <c r="QOB226" s="1"/>
      <c r="QOC226" s="1"/>
      <c r="QOD226" s="1"/>
      <c r="QOE226" s="1"/>
      <c r="QOF226" s="1"/>
      <c r="QOG226" s="1"/>
      <c r="QOH226" s="1"/>
      <c r="QOI226" s="1"/>
      <c r="QOJ226" s="1"/>
      <c r="QOK226" s="1"/>
      <c r="QOL226" s="1"/>
      <c r="QOM226" s="1"/>
      <c r="QON226" s="1"/>
      <c r="QOO226" s="1"/>
      <c r="QOP226" s="1"/>
      <c r="QOQ226" s="1"/>
      <c r="QOR226" s="1"/>
      <c r="QOS226" s="1"/>
      <c r="QOT226" s="1"/>
      <c r="QOU226" s="1"/>
      <c r="QOV226" s="1"/>
      <c r="QOW226" s="1"/>
      <c r="QOX226" s="1"/>
      <c r="QOY226" s="1"/>
      <c r="QOZ226" s="1"/>
      <c r="QPA226" s="1"/>
      <c r="QPB226" s="1"/>
      <c r="QPC226" s="1"/>
      <c r="QPD226" s="1"/>
      <c r="QPE226" s="1"/>
      <c r="QPF226" s="1"/>
      <c r="QPG226" s="1"/>
      <c r="QPH226" s="1"/>
      <c r="QPI226" s="1"/>
      <c r="QPJ226" s="1"/>
      <c r="QPK226" s="1"/>
      <c r="QPL226" s="1"/>
      <c r="QPM226" s="1"/>
      <c r="QPN226" s="1"/>
      <c r="QPO226" s="1"/>
      <c r="QPP226" s="1"/>
      <c r="QPQ226" s="1"/>
      <c r="QPR226" s="1"/>
      <c r="QPS226" s="1"/>
      <c r="QPT226" s="1"/>
      <c r="QPU226" s="1"/>
      <c r="QPV226" s="1"/>
      <c r="QPW226" s="1"/>
      <c r="QPX226" s="1"/>
      <c r="QPY226" s="1"/>
      <c r="QPZ226" s="1"/>
      <c r="QQA226" s="1"/>
      <c r="QQB226" s="1"/>
      <c r="QQC226" s="1"/>
      <c r="QQD226" s="1"/>
      <c r="QQE226" s="1"/>
      <c r="QQF226" s="1"/>
      <c r="QQG226" s="1"/>
      <c r="QQH226" s="1"/>
      <c r="QQI226" s="1"/>
      <c r="QQJ226" s="1"/>
      <c r="QQK226" s="1"/>
      <c r="QQL226" s="1"/>
      <c r="QQM226" s="1"/>
      <c r="QQN226" s="1"/>
      <c r="QQO226" s="1"/>
      <c r="QQP226" s="1"/>
      <c r="QQQ226" s="1"/>
      <c r="QQR226" s="1"/>
      <c r="QQS226" s="1"/>
      <c r="QQT226" s="1"/>
      <c r="QQU226" s="1"/>
      <c r="QQV226" s="1"/>
      <c r="QQW226" s="1"/>
      <c r="QQX226" s="1"/>
      <c r="QQY226" s="1"/>
      <c r="QQZ226" s="1"/>
      <c r="QRA226" s="1"/>
      <c r="QRB226" s="1"/>
      <c r="QRC226" s="1"/>
      <c r="QRD226" s="1"/>
      <c r="QRE226" s="1"/>
      <c r="QRF226" s="1"/>
      <c r="QRG226" s="1"/>
      <c r="QRH226" s="1"/>
      <c r="QRI226" s="1"/>
      <c r="QRJ226" s="1"/>
      <c r="QRK226" s="1"/>
      <c r="QRL226" s="1"/>
      <c r="QRM226" s="1"/>
      <c r="QRN226" s="1"/>
      <c r="QRO226" s="1"/>
      <c r="QRP226" s="1"/>
      <c r="QRQ226" s="1"/>
      <c r="QRR226" s="1"/>
      <c r="QRS226" s="1"/>
      <c r="QRT226" s="1"/>
      <c r="QRU226" s="1"/>
      <c r="QRV226" s="1"/>
      <c r="QRW226" s="1"/>
      <c r="QRX226" s="1"/>
      <c r="QRY226" s="1"/>
      <c r="QRZ226" s="1"/>
      <c r="QSA226" s="1"/>
      <c r="QSB226" s="1"/>
      <c r="QSC226" s="1"/>
      <c r="QSD226" s="1"/>
      <c r="QSE226" s="1"/>
      <c r="QSF226" s="1"/>
      <c r="QSG226" s="1"/>
      <c r="QSH226" s="1"/>
      <c r="QSI226" s="1"/>
      <c r="QSJ226" s="1"/>
      <c r="QSK226" s="1"/>
      <c r="QSL226" s="1"/>
      <c r="QSM226" s="1"/>
      <c r="QSN226" s="1"/>
      <c r="QSO226" s="1"/>
      <c r="QSP226" s="1"/>
      <c r="QSQ226" s="1"/>
      <c r="QSR226" s="1"/>
      <c r="QSS226" s="1"/>
      <c r="QST226" s="1"/>
      <c r="QSU226" s="1"/>
      <c r="QSV226" s="1"/>
      <c r="QSW226" s="1"/>
      <c r="QSX226" s="1"/>
      <c r="QSY226" s="1"/>
      <c r="QSZ226" s="1"/>
      <c r="QTA226" s="1"/>
      <c r="QTB226" s="1"/>
      <c r="QTC226" s="1"/>
      <c r="QTD226" s="1"/>
      <c r="QTE226" s="1"/>
      <c r="QTF226" s="1"/>
      <c r="QTG226" s="1"/>
      <c r="QTH226" s="1"/>
      <c r="QTI226" s="1"/>
      <c r="QTJ226" s="1"/>
      <c r="QTK226" s="1"/>
      <c r="QTL226" s="1"/>
      <c r="QTM226" s="1"/>
      <c r="QTN226" s="1"/>
      <c r="QTO226" s="1"/>
      <c r="QTP226" s="1"/>
      <c r="QTQ226" s="1"/>
      <c r="QTR226" s="1"/>
      <c r="QTS226" s="1"/>
      <c r="QTT226" s="1"/>
      <c r="QTU226" s="1"/>
      <c r="QTV226" s="1"/>
      <c r="QTW226" s="1"/>
      <c r="QTX226" s="1"/>
      <c r="QTY226" s="1"/>
      <c r="QTZ226" s="1"/>
      <c r="QUA226" s="1"/>
      <c r="QUB226" s="1"/>
      <c r="QUC226" s="1"/>
      <c r="QUD226" s="1"/>
      <c r="QUE226" s="1"/>
      <c r="QUF226" s="1"/>
      <c r="QUG226" s="1"/>
      <c r="QUH226" s="1"/>
      <c r="QUI226" s="1"/>
      <c r="QUJ226" s="1"/>
      <c r="QUK226" s="1"/>
      <c r="QUL226" s="1"/>
      <c r="QUM226" s="1"/>
      <c r="QUN226" s="1"/>
      <c r="QUO226" s="1"/>
      <c r="QUP226" s="1"/>
      <c r="QUQ226" s="1"/>
      <c r="QUR226" s="1"/>
      <c r="QUS226" s="1"/>
      <c r="QUT226" s="1"/>
      <c r="QUU226" s="1"/>
      <c r="QUV226" s="1"/>
      <c r="QUW226" s="1"/>
      <c r="QUX226" s="1"/>
      <c r="QUY226" s="1"/>
      <c r="QUZ226" s="1"/>
      <c r="QVA226" s="1"/>
      <c r="QVB226" s="1"/>
      <c r="QVC226" s="1"/>
      <c r="QVD226" s="1"/>
      <c r="QVE226" s="1"/>
      <c r="QVF226" s="1"/>
      <c r="QVG226" s="1"/>
      <c r="QVH226" s="1"/>
      <c r="QVI226" s="1"/>
      <c r="QVJ226" s="1"/>
      <c r="QVK226" s="1"/>
      <c r="QVL226" s="1"/>
      <c r="QVM226" s="1"/>
      <c r="QVN226" s="1"/>
      <c r="QVO226" s="1"/>
      <c r="QVP226" s="1"/>
      <c r="QVQ226" s="1"/>
      <c r="QVR226" s="1"/>
      <c r="QVS226" s="1"/>
      <c r="QVT226" s="1"/>
      <c r="QVU226" s="1"/>
      <c r="QVV226" s="1"/>
      <c r="QVW226" s="1"/>
      <c r="QVX226" s="1"/>
      <c r="QVY226" s="1"/>
      <c r="QVZ226" s="1"/>
      <c r="QWA226" s="1"/>
      <c r="QWB226" s="1"/>
      <c r="QWC226" s="1"/>
      <c r="QWD226" s="1"/>
      <c r="QWE226" s="1"/>
      <c r="QWF226" s="1"/>
      <c r="QWG226" s="1"/>
      <c r="QWH226" s="1"/>
      <c r="QWI226" s="1"/>
      <c r="QWJ226" s="1"/>
      <c r="QWK226" s="1"/>
      <c r="QWL226" s="1"/>
      <c r="QWM226" s="1"/>
      <c r="QWN226" s="1"/>
      <c r="QWO226" s="1"/>
      <c r="QWP226" s="1"/>
      <c r="QWQ226" s="1"/>
      <c r="QWR226" s="1"/>
      <c r="QWS226" s="1"/>
      <c r="QWT226" s="1"/>
      <c r="QWU226" s="1"/>
      <c r="QWV226" s="1"/>
      <c r="QWW226" s="1"/>
      <c r="QWX226" s="1"/>
      <c r="QWY226" s="1"/>
      <c r="QWZ226" s="1"/>
      <c r="QXA226" s="1"/>
      <c r="QXB226" s="1"/>
      <c r="QXC226" s="1"/>
      <c r="QXD226" s="1"/>
      <c r="QXE226" s="1"/>
      <c r="QXF226" s="1"/>
      <c r="QXG226" s="1"/>
      <c r="QXH226" s="1"/>
      <c r="QXI226" s="1"/>
      <c r="QXJ226" s="1"/>
      <c r="QXK226" s="1"/>
      <c r="QXL226" s="1"/>
      <c r="QXM226" s="1"/>
      <c r="QXN226" s="1"/>
      <c r="QXO226" s="1"/>
      <c r="QXP226" s="1"/>
      <c r="QXQ226" s="1"/>
      <c r="QXR226" s="1"/>
      <c r="QXS226" s="1"/>
      <c r="QXT226" s="1"/>
      <c r="QXU226" s="1"/>
      <c r="QXV226" s="1"/>
      <c r="QXW226" s="1"/>
      <c r="QXX226" s="1"/>
      <c r="QXY226" s="1"/>
      <c r="QXZ226" s="1"/>
      <c r="QYA226" s="1"/>
      <c r="QYB226" s="1"/>
      <c r="QYC226" s="1"/>
      <c r="QYD226" s="1"/>
      <c r="QYE226" s="1"/>
      <c r="QYF226" s="1"/>
      <c r="QYG226" s="1"/>
      <c r="QYH226" s="1"/>
      <c r="QYI226" s="1"/>
      <c r="QYJ226" s="1"/>
      <c r="QYK226" s="1"/>
      <c r="QYL226" s="1"/>
      <c r="QYM226" s="1"/>
      <c r="QYN226" s="1"/>
      <c r="QYO226" s="1"/>
      <c r="QYP226" s="1"/>
      <c r="QYQ226" s="1"/>
      <c r="QYR226" s="1"/>
      <c r="QYS226" s="1"/>
      <c r="QYT226" s="1"/>
      <c r="QYU226" s="1"/>
      <c r="QYV226" s="1"/>
      <c r="QYW226" s="1"/>
      <c r="QYX226" s="1"/>
      <c r="QYY226" s="1"/>
      <c r="QYZ226" s="1"/>
      <c r="QZA226" s="1"/>
      <c r="QZB226" s="1"/>
      <c r="QZC226" s="1"/>
      <c r="QZD226" s="1"/>
      <c r="QZE226" s="1"/>
      <c r="QZF226" s="1"/>
      <c r="QZG226" s="1"/>
      <c r="QZH226" s="1"/>
      <c r="QZI226" s="1"/>
      <c r="QZJ226" s="1"/>
      <c r="QZK226" s="1"/>
      <c r="QZL226" s="1"/>
      <c r="QZM226" s="1"/>
      <c r="QZN226" s="1"/>
      <c r="QZO226" s="1"/>
      <c r="QZP226" s="1"/>
      <c r="QZQ226" s="1"/>
      <c r="QZR226" s="1"/>
      <c r="QZS226" s="1"/>
      <c r="QZT226" s="1"/>
      <c r="QZU226" s="1"/>
      <c r="QZV226" s="1"/>
      <c r="QZW226" s="1"/>
      <c r="QZX226" s="1"/>
      <c r="QZY226" s="1"/>
      <c r="QZZ226" s="1"/>
      <c r="RAA226" s="1"/>
      <c r="RAB226" s="1"/>
      <c r="RAC226" s="1"/>
      <c r="RAD226" s="1"/>
      <c r="RAE226" s="1"/>
      <c r="RAF226" s="1"/>
      <c r="RAG226" s="1"/>
      <c r="RAH226" s="1"/>
      <c r="RAI226" s="1"/>
      <c r="RAJ226" s="1"/>
      <c r="RAK226" s="1"/>
      <c r="RAL226" s="1"/>
      <c r="RAM226" s="1"/>
      <c r="RAN226" s="1"/>
      <c r="RAO226" s="1"/>
      <c r="RAP226" s="1"/>
      <c r="RAQ226" s="1"/>
      <c r="RAR226" s="1"/>
      <c r="RAS226" s="1"/>
      <c r="RAT226" s="1"/>
      <c r="RAU226" s="1"/>
      <c r="RAV226" s="1"/>
      <c r="RAW226" s="1"/>
      <c r="RAX226" s="1"/>
      <c r="RAY226" s="1"/>
      <c r="RAZ226" s="1"/>
      <c r="RBA226" s="1"/>
      <c r="RBB226" s="1"/>
      <c r="RBC226" s="1"/>
      <c r="RBD226" s="1"/>
      <c r="RBE226" s="1"/>
      <c r="RBF226" s="1"/>
      <c r="RBG226" s="1"/>
      <c r="RBH226" s="1"/>
      <c r="RBI226" s="1"/>
      <c r="RBJ226" s="1"/>
      <c r="RBK226" s="1"/>
      <c r="RBL226" s="1"/>
      <c r="RBM226" s="1"/>
      <c r="RBN226" s="1"/>
      <c r="RBO226" s="1"/>
      <c r="RBP226" s="1"/>
      <c r="RBQ226" s="1"/>
      <c r="RBR226" s="1"/>
      <c r="RBS226" s="1"/>
      <c r="RBT226" s="1"/>
      <c r="RBU226" s="1"/>
      <c r="RBV226" s="1"/>
      <c r="RBW226" s="1"/>
      <c r="RBX226" s="1"/>
      <c r="RBY226" s="1"/>
      <c r="RBZ226" s="1"/>
      <c r="RCA226" s="1"/>
      <c r="RCB226" s="1"/>
      <c r="RCC226" s="1"/>
      <c r="RCD226" s="1"/>
      <c r="RCE226" s="1"/>
      <c r="RCF226" s="1"/>
      <c r="RCG226" s="1"/>
      <c r="RCH226" s="1"/>
      <c r="RCI226" s="1"/>
      <c r="RCJ226" s="1"/>
      <c r="RCK226" s="1"/>
      <c r="RCL226" s="1"/>
      <c r="RCM226" s="1"/>
      <c r="RCN226" s="1"/>
      <c r="RCO226" s="1"/>
      <c r="RCP226" s="1"/>
      <c r="RCQ226" s="1"/>
      <c r="RCR226" s="1"/>
      <c r="RCS226" s="1"/>
      <c r="RCT226" s="1"/>
      <c r="RCU226" s="1"/>
      <c r="RCV226" s="1"/>
      <c r="RCW226" s="1"/>
      <c r="RCX226" s="1"/>
      <c r="RCY226" s="1"/>
      <c r="RCZ226" s="1"/>
      <c r="RDA226" s="1"/>
      <c r="RDB226" s="1"/>
      <c r="RDC226" s="1"/>
      <c r="RDD226" s="1"/>
      <c r="RDE226" s="1"/>
      <c r="RDF226" s="1"/>
      <c r="RDG226" s="1"/>
      <c r="RDH226" s="1"/>
      <c r="RDI226" s="1"/>
      <c r="RDJ226" s="1"/>
      <c r="RDK226" s="1"/>
      <c r="RDL226" s="1"/>
      <c r="RDM226" s="1"/>
      <c r="RDN226" s="1"/>
      <c r="RDO226" s="1"/>
      <c r="RDP226" s="1"/>
      <c r="RDQ226" s="1"/>
      <c r="RDR226" s="1"/>
      <c r="RDS226" s="1"/>
      <c r="RDT226" s="1"/>
      <c r="RDU226" s="1"/>
      <c r="RDV226" s="1"/>
      <c r="RDW226" s="1"/>
      <c r="RDX226" s="1"/>
      <c r="RDY226" s="1"/>
      <c r="RDZ226" s="1"/>
      <c r="REA226" s="1"/>
      <c r="REB226" s="1"/>
      <c r="REC226" s="1"/>
      <c r="RED226" s="1"/>
      <c r="REE226" s="1"/>
      <c r="REF226" s="1"/>
      <c r="REG226" s="1"/>
      <c r="REH226" s="1"/>
      <c r="REI226" s="1"/>
      <c r="REJ226" s="1"/>
      <c r="REK226" s="1"/>
      <c r="REL226" s="1"/>
      <c r="REM226" s="1"/>
      <c r="REN226" s="1"/>
      <c r="REO226" s="1"/>
      <c r="REP226" s="1"/>
      <c r="REQ226" s="1"/>
      <c r="RER226" s="1"/>
      <c r="RES226" s="1"/>
      <c r="RET226" s="1"/>
      <c r="REU226" s="1"/>
      <c r="REV226" s="1"/>
      <c r="REW226" s="1"/>
      <c r="REX226" s="1"/>
      <c r="REY226" s="1"/>
      <c r="REZ226" s="1"/>
      <c r="RFA226" s="1"/>
      <c r="RFB226" s="1"/>
      <c r="RFC226" s="1"/>
      <c r="RFD226" s="1"/>
      <c r="RFE226" s="1"/>
      <c r="RFF226" s="1"/>
      <c r="RFG226" s="1"/>
      <c r="RFH226" s="1"/>
      <c r="RFI226" s="1"/>
      <c r="RFJ226" s="1"/>
      <c r="RFK226" s="1"/>
      <c r="RFL226" s="1"/>
      <c r="RFM226" s="1"/>
      <c r="RFN226" s="1"/>
      <c r="RFO226" s="1"/>
      <c r="RFP226" s="1"/>
      <c r="RFQ226" s="1"/>
      <c r="RFR226" s="1"/>
      <c r="RFS226" s="1"/>
      <c r="RFT226" s="1"/>
      <c r="RFU226" s="1"/>
      <c r="RFV226" s="1"/>
      <c r="RFW226" s="1"/>
      <c r="RFX226" s="1"/>
      <c r="RFY226" s="1"/>
      <c r="RFZ226" s="1"/>
      <c r="RGA226" s="1"/>
      <c r="RGB226" s="1"/>
      <c r="RGC226" s="1"/>
      <c r="RGD226" s="1"/>
      <c r="RGE226" s="1"/>
      <c r="RGF226" s="1"/>
      <c r="RGG226" s="1"/>
      <c r="RGH226" s="1"/>
      <c r="RGI226" s="1"/>
      <c r="RGJ226" s="1"/>
      <c r="RGK226" s="1"/>
      <c r="RGL226" s="1"/>
      <c r="RGM226" s="1"/>
      <c r="RGN226" s="1"/>
      <c r="RGO226" s="1"/>
      <c r="RGP226" s="1"/>
      <c r="RGQ226" s="1"/>
      <c r="RGR226" s="1"/>
      <c r="RGS226" s="1"/>
      <c r="RGT226" s="1"/>
      <c r="RGU226" s="1"/>
      <c r="RGV226" s="1"/>
      <c r="RGW226" s="1"/>
      <c r="RGX226" s="1"/>
      <c r="RGY226" s="1"/>
      <c r="RGZ226" s="1"/>
      <c r="RHA226" s="1"/>
      <c r="RHB226" s="1"/>
      <c r="RHC226" s="1"/>
      <c r="RHD226" s="1"/>
      <c r="RHE226" s="1"/>
      <c r="RHF226" s="1"/>
      <c r="RHG226" s="1"/>
      <c r="RHH226" s="1"/>
      <c r="RHI226" s="1"/>
      <c r="RHJ226" s="1"/>
      <c r="RHK226" s="1"/>
      <c r="RHL226" s="1"/>
      <c r="RHM226" s="1"/>
      <c r="RHN226" s="1"/>
      <c r="RHO226" s="1"/>
      <c r="RHP226" s="1"/>
      <c r="RHQ226" s="1"/>
      <c r="RHR226" s="1"/>
      <c r="RHS226" s="1"/>
      <c r="RHT226" s="1"/>
      <c r="RHU226" s="1"/>
      <c r="RHV226" s="1"/>
      <c r="RHW226" s="1"/>
      <c r="RHX226" s="1"/>
      <c r="RHY226" s="1"/>
      <c r="RHZ226" s="1"/>
      <c r="RIA226" s="1"/>
      <c r="RIB226" s="1"/>
      <c r="RIC226" s="1"/>
      <c r="RID226" s="1"/>
      <c r="RIE226" s="1"/>
      <c r="RIF226" s="1"/>
      <c r="RIG226" s="1"/>
      <c r="RIH226" s="1"/>
      <c r="RII226" s="1"/>
      <c r="RIJ226" s="1"/>
      <c r="RIK226" s="1"/>
      <c r="RIL226" s="1"/>
      <c r="RIM226" s="1"/>
      <c r="RIN226" s="1"/>
      <c r="RIO226" s="1"/>
      <c r="RIP226" s="1"/>
      <c r="RIQ226" s="1"/>
      <c r="RIR226" s="1"/>
      <c r="RIS226" s="1"/>
      <c r="RIT226" s="1"/>
      <c r="RIU226" s="1"/>
      <c r="RIV226" s="1"/>
      <c r="RIW226" s="1"/>
      <c r="RIX226" s="1"/>
      <c r="RIY226" s="1"/>
      <c r="RIZ226" s="1"/>
      <c r="RJA226" s="1"/>
      <c r="RJB226" s="1"/>
      <c r="RJC226" s="1"/>
      <c r="RJD226" s="1"/>
      <c r="RJE226" s="1"/>
      <c r="RJF226" s="1"/>
      <c r="RJG226" s="1"/>
      <c r="RJH226" s="1"/>
      <c r="RJI226" s="1"/>
      <c r="RJJ226" s="1"/>
      <c r="RJK226" s="1"/>
      <c r="RJL226" s="1"/>
      <c r="RJM226" s="1"/>
      <c r="RJN226" s="1"/>
      <c r="RJO226" s="1"/>
      <c r="RJP226" s="1"/>
      <c r="RJQ226" s="1"/>
      <c r="RJR226" s="1"/>
      <c r="RJS226" s="1"/>
      <c r="RJT226" s="1"/>
      <c r="RJU226" s="1"/>
      <c r="RJV226" s="1"/>
      <c r="RJW226" s="1"/>
      <c r="RJX226" s="1"/>
      <c r="RJY226" s="1"/>
      <c r="RJZ226" s="1"/>
      <c r="RKA226" s="1"/>
      <c r="RKB226" s="1"/>
      <c r="RKC226" s="1"/>
      <c r="RKD226" s="1"/>
      <c r="RKE226" s="1"/>
      <c r="RKF226" s="1"/>
      <c r="RKG226" s="1"/>
      <c r="RKH226" s="1"/>
      <c r="RKI226" s="1"/>
      <c r="RKJ226" s="1"/>
      <c r="RKK226" s="1"/>
      <c r="RKL226" s="1"/>
      <c r="RKM226" s="1"/>
      <c r="RKN226" s="1"/>
      <c r="RKO226" s="1"/>
      <c r="RKP226" s="1"/>
      <c r="RKQ226" s="1"/>
      <c r="RKR226" s="1"/>
      <c r="RKS226" s="1"/>
      <c r="RKT226" s="1"/>
      <c r="RKU226" s="1"/>
      <c r="RKV226" s="1"/>
      <c r="RKW226" s="1"/>
      <c r="RKX226" s="1"/>
      <c r="RKY226" s="1"/>
      <c r="RKZ226" s="1"/>
      <c r="RLA226" s="1"/>
      <c r="RLB226" s="1"/>
      <c r="RLC226" s="1"/>
      <c r="RLD226" s="1"/>
      <c r="RLE226" s="1"/>
      <c r="RLF226" s="1"/>
      <c r="RLG226" s="1"/>
      <c r="RLH226" s="1"/>
      <c r="RLI226" s="1"/>
      <c r="RLJ226" s="1"/>
      <c r="RLK226" s="1"/>
      <c r="RLL226" s="1"/>
      <c r="RLM226" s="1"/>
      <c r="RLN226" s="1"/>
      <c r="RLO226" s="1"/>
      <c r="RLP226" s="1"/>
      <c r="RLQ226" s="1"/>
      <c r="RLR226" s="1"/>
      <c r="RLS226" s="1"/>
      <c r="RLT226" s="1"/>
      <c r="RLU226" s="1"/>
      <c r="RLV226" s="1"/>
      <c r="RLW226" s="1"/>
      <c r="RLX226" s="1"/>
      <c r="RLY226" s="1"/>
      <c r="RLZ226" s="1"/>
      <c r="RMA226" s="1"/>
      <c r="RMB226" s="1"/>
      <c r="RMC226" s="1"/>
      <c r="RMD226" s="1"/>
      <c r="RME226" s="1"/>
      <c r="RMF226" s="1"/>
      <c r="RMG226" s="1"/>
      <c r="RMH226" s="1"/>
      <c r="RMI226" s="1"/>
      <c r="RMJ226" s="1"/>
      <c r="RMK226" s="1"/>
      <c r="RML226" s="1"/>
      <c r="RMM226" s="1"/>
      <c r="RMN226" s="1"/>
      <c r="RMO226" s="1"/>
      <c r="RMP226" s="1"/>
      <c r="RMQ226" s="1"/>
      <c r="RMR226" s="1"/>
      <c r="RMS226" s="1"/>
      <c r="RMT226" s="1"/>
      <c r="RMU226" s="1"/>
      <c r="RMV226" s="1"/>
      <c r="RMW226" s="1"/>
      <c r="RMX226" s="1"/>
      <c r="RMY226" s="1"/>
      <c r="RMZ226" s="1"/>
      <c r="RNA226" s="1"/>
      <c r="RNB226" s="1"/>
      <c r="RNC226" s="1"/>
      <c r="RND226" s="1"/>
      <c r="RNE226" s="1"/>
      <c r="RNF226" s="1"/>
      <c r="RNG226" s="1"/>
      <c r="RNH226" s="1"/>
      <c r="RNI226" s="1"/>
      <c r="RNJ226" s="1"/>
      <c r="RNK226" s="1"/>
      <c r="RNL226" s="1"/>
      <c r="RNM226" s="1"/>
      <c r="RNN226" s="1"/>
      <c r="RNO226" s="1"/>
      <c r="RNP226" s="1"/>
      <c r="RNQ226" s="1"/>
      <c r="RNR226" s="1"/>
      <c r="RNS226" s="1"/>
      <c r="RNT226" s="1"/>
      <c r="RNU226" s="1"/>
      <c r="RNV226" s="1"/>
      <c r="RNW226" s="1"/>
      <c r="RNX226" s="1"/>
      <c r="RNY226" s="1"/>
      <c r="RNZ226" s="1"/>
      <c r="ROA226" s="1"/>
      <c r="ROB226" s="1"/>
      <c r="ROC226" s="1"/>
      <c r="ROD226" s="1"/>
      <c r="ROE226" s="1"/>
      <c r="ROF226" s="1"/>
      <c r="ROG226" s="1"/>
      <c r="ROH226" s="1"/>
      <c r="ROI226" s="1"/>
      <c r="ROJ226" s="1"/>
      <c r="ROK226" s="1"/>
      <c r="ROL226" s="1"/>
      <c r="ROM226" s="1"/>
      <c r="RON226" s="1"/>
      <c r="ROO226" s="1"/>
      <c r="ROP226" s="1"/>
      <c r="ROQ226" s="1"/>
      <c r="ROR226" s="1"/>
      <c r="ROS226" s="1"/>
      <c r="ROT226" s="1"/>
      <c r="ROU226" s="1"/>
      <c r="ROV226" s="1"/>
      <c r="ROW226" s="1"/>
      <c r="ROX226" s="1"/>
      <c r="ROY226" s="1"/>
      <c r="ROZ226" s="1"/>
      <c r="RPA226" s="1"/>
      <c r="RPB226" s="1"/>
      <c r="RPC226" s="1"/>
      <c r="RPD226" s="1"/>
      <c r="RPE226" s="1"/>
      <c r="RPF226" s="1"/>
      <c r="RPG226" s="1"/>
      <c r="RPH226" s="1"/>
      <c r="RPI226" s="1"/>
      <c r="RPJ226" s="1"/>
      <c r="RPK226" s="1"/>
      <c r="RPL226" s="1"/>
      <c r="RPM226" s="1"/>
      <c r="RPN226" s="1"/>
      <c r="RPO226" s="1"/>
      <c r="RPP226" s="1"/>
      <c r="RPQ226" s="1"/>
      <c r="RPR226" s="1"/>
      <c r="RPS226" s="1"/>
      <c r="RPT226" s="1"/>
      <c r="RPU226" s="1"/>
      <c r="RPV226" s="1"/>
      <c r="RPW226" s="1"/>
      <c r="RPX226" s="1"/>
      <c r="RPY226" s="1"/>
      <c r="RPZ226" s="1"/>
      <c r="RQA226" s="1"/>
      <c r="RQB226" s="1"/>
      <c r="RQC226" s="1"/>
      <c r="RQD226" s="1"/>
      <c r="RQE226" s="1"/>
      <c r="RQF226" s="1"/>
      <c r="RQG226" s="1"/>
      <c r="RQH226" s="1"/>
      <c r="RQI226" s="1"/>
      <c r="RQJ226" s="1"/>
      <c r="RQK226" s="1"/>
      <c r="RQL226" s="1"/>
      <c r="RQM226" s="1"/>
      <c r="RQN226" s="1"/>
      <c r="RQO226" s="1"/>
      <c r="RQP226" s="1"/>
      <c r="RQQ226" s="1"/>
      <c r="RQR226" s="1"/>
      <c r="RQS226" s="1"/>
      <c r="RQT226" s="1"/>
      <c r="RQU226" s="1"/>
      <c r="RQV226" s="1"/>
      <c r="RQW226" s="1"/>
      <c r="RQX226" s="1"/>
      <c r="RQY226" s="1"/>
      <c r="RQZ226" s="1"/>
      <c r="RRA226" s="1"/>
      <c r="RRB226" s="1"/>
      <c r="RRC226" s="1"/>
      <c r="RRD226" s="1"/>
      <c r="RRE226" s="1"/>
      <c r="RRF226" s="1"/>
      <c r="RRG226" s="1"/>
      <c r="RRH226" s="1"/>
      <c r="RRI226" s="1"/>
      <c r="RRJ226" s="1"/>
      <c r="RRK226" s="1"/>
      <c r="RRL226" s="1"/>
      <c r="RRM226" s="1"/>
      <c r="RRN226" s="1"/>
      <c r="RRO226" s="1"/>
      <c r="RRP226" s="1"/>
      <c r="RRQ226" s="1"/>
      <c r="RRR226" s="1"/>
      <c r="RRS226" s="1"/>
      <c r="RRT226" s="1"/>
      <c r="RRU226" s="1"/>
      <c r="RRV226" s="1"/>
      <c r="RRW226" s="1"/>
      <c r="RRX226" s="1"/>
      <c r="RRY226" s="1"/>
      <c r="RRZ226" s="1"/>
      <c r="RSA226" s="1"/>
      <c r="RSB226" s="1"/>
      <c r="RSC226" s="1"/>
      <c r="RSD226" s="1"/>
      <c r="RSE226" s="1"/>
      <c r="RSF226" s="1"/>
      <c r="RSG226" s="1"/>
      <c r="RSH226" s="1"/>
      <c r="RSI226" s="1"/>
      <c r="RSJ226" s="1"/>
      <c r="RSK226" s="1"/>
      <c r="RSL226" s="1"/>
      <c r="RSM226" s="1"/>
      <c r="RSN226" s="1"/>
      <c r="RSO226" s="1"/>
      <c r="RSP226" s="1"/>
      <c r="RSQ226" s="1"/>
      <c r="RSR226" s="1"/>
      <c r="RSS226" s="1"/>
      <c r="RST226" s="1"/>
      <c r="RSU226" s="1"/>
      <c r="RSV226" s="1"/>
      <c r="RSW226" s="1"/>
      <c r="RSX226" s="1"/>
      <c r="RSY226" s="1"/>
      <c r="RSZ226" s="1"/>
      <c r="RTA226" s="1"/>
      <c r="RTB226" s="1"/>
      <c r="RTC226" s="1"/>
      <c r="RTD226" s="1"/>
      <c r="RTE226" s="1"/>
      <c r="RTF226" s="1"/>
      <c r="RTG226" s="1"/>
      <c r="RTH226" s="1"/>
      <c r="RTI226" s="1"/>
      <c r="RTJ226" s="1"/>
      <c r="RTK226" s="1"/>
      <c r="RTL226" s="1"/>
      <c r="RTM226" s="1"/>
      <c r="RTN226" s="1"/>
      <c r="RTO226" s="1"/>
      <c r="RTP226" s="1"/>
      <c r="RTQ226" s="1"/>
      <c r="RTR226" s="1"/>
      <c r="RTS226" s="1"/>
      <c r="RTT226" s="1"/>
      <c r="RTU226" s="1"/>
      <c r="RTV226" s="1"/>
      <c r="RTW226" s="1"/>
      <c r="RTX226" s="1"/>
      <c r="RTY226" s="1"/>
      <c r="RTZ226" s="1"/>
      <c r="RUA226" s="1"/>
      <c r="RUB226" s="1"/>
      <c r="RUC226" s="1"/>
      <c r="RUD226" s="1"/>
      <c r="RUE226" s="1"/>
      <c r="RUF226" s="1"/>
      <c r="RUG226" s="1"/>
      <c r="RUH226" s="1"/>
      <c r="RUI226" s="1"/>
      <c r="RUJ226" s="1"/>
      <c r="RUK226" s="1"/>
      <c r="RUL226" s="1"/>
      <c r="RUM226" s="1"/>
      <c r="RUN226" s="1"/>
      <c r="RUO226" s="1"/>
      <c r="RUP226" s="1"/>
      <c r="RUQ226" s="1"/>
      <c r="RUR226" s="1"/>
      <c r="RUS226" s="1"/>
      <c r="RUT226" s="1"/>
      <c r="RUU226" s="1"/>
      <c r="RUV226" s="1"/>
      <c r="RUW226" s="1"/>
      <c r="RUX226" s="1"/>
      <c r="RUY226" s="1"/>
      <c r="RUZ226" s="1"/>
      <c r="RVA226" s="1"/>
      <c r="RVB226" s="1"/>
      <c r="RVC226" s="1"/>
      <c r="RVD226" s="1"/>
      <c r="RVE226" s="1"/>
      <c r="RVF226" s="1"/>
      <c r="RVG226" s="1"/>
      <c r="RVH226" s="1"/>
      <c r="RVI226" s="1"/>
      <c r="RVJ226" s="1"/>
      <c r="RVK226" s="1"/>
      <c r="RVL226" s="1"/>
      <c r="RVM226" s="1"/>
      <c r="RVN226" s="1"/>
      <c r="RVO226" s="1"/>
      <c r="RVP226" s="1"/>
      <c r="RVQ226" s="1"/>
      <c r="RVR226" s="1"/>
      <c r="RVS226" s="1"/>
      <c r="RVT226" s="1"/>
      <c r="RVU226" s="1"/>
      <c r="RVV226" s="1"/>
      <c r="RVW226" s="1"/>
      <c r="RVX226" s="1"/>
      <c r="RVY226" s="1"/>
      <c r="RVZ226" s="1"/>
      <c r="RWA226" s="1"/>
      <c r="RWB226" s="1"/>
      <c r="RWC226" s="1"/>
      <c r="RWD226" s="1"/>
      <c r="RWE226" s="1"/>
      <c r="RWF226" s="1"/>
      <c r="RWG226" s="1"/>
      <c r="RWH226" s="1"/>
      <c r="RWI226" s="1"/>
      <c r="RWJ226" s="1"/>
      <c r="RWK226" s="1"/>
      <c r="RWL226" s="1"/>
      <c r="RWM226" s="1"/>
      <c r="RWN226" s="1"/>
      <c r="RWO226" s="1"/>
      <c r="RWP226" s="1"/>
      <c r="RWQ226" s="1"/>
      <c r="RWR226" s="1"/>
      <c r="RWS226" s="1"/>
      <c r="RWT226" s="1"/>
      <c r="RWU226" s="1"/>
      <c r="RWV226" s="1"/>
      <c r="RWW226" s="1"/>
      <c r="RWX226" s="1"/>
      <c r="RWY226" s="1"/>
      <c r="RWZ226" s="1"/>
      <c r="RXA226" s="1"/>
      <c r="RXB226" s="1"/>
      <c r="RXC226" s="1"/>
      <c r="RXD226" s="1"/>
      <c r="RXE226" s="1"/>
      <c r="RXF226" s="1"/>
      <c r="RXG226" s="1"/>
      <c r="RXH226" s="1"/>
      <c r="RXI226" s="1"/>
      <c r="RXJ226" s="1"/>
      <c r="RXK226" s="1"/>
      <c r="RXL226" s="1"/>
      <c r="RXM226" s="1"/>
      <c r="RXN226" s="1"/>
      <c r="RXO226" s="1"/>
      <c r="RXP226" s="1"/>
      <c r="RXQ226" s="1"/>
      <c r="RXR226" s="1"/>
      <c r="RXS226" s="1"/>
      <c r="RXT226" s="1"/>
      <c r="RXU226" s="1"/>
      <c r="RXV226" s="1"/>
      <c r="RXW226" s="1"/>
      <c r="RXX226" s="1"/>
      <c r="RXY226" s="1"/>
      <c r="RXZ226" s="1"/>
      <c r="RYA226" s="1"/>
      <c r="RYB226" s="1"/>
      <c r="RYC226" s="1"/>
      <c r="RYD226" s="1"/>
      <c r="RYE226" s="1"/>
      <c r="RYF226" s="1"/>
      <c r="RYG226" s="1"/>
      <c r="RYH226" s="1"/>
      <c r="RYI226" s="1"/>
      <c r="RYJ226" s="1"/>
      <c r="RYK226" s="1"/>
      <c r="RYL226" s="1"/>
      <c r="RYM226" s="1"/>
      <c r="RYN226" s="1"/>
      <c r="RYO226" s="1"/>
      <c r="RYP226" s="1"/>
      <c r="RYQ226" s="1"/>
      <c r="RYR226" s="1"/>
      <c r="RYS226" s="1"/>
      <c r="RYT226" s="1"/>
      <c r="RYU226" s="1"/>
      <c r="RYV226" s="1"/>
      <c r="RYW226" s="1"/>
      <c r="RYX226" s="1"/>
      <c r="RYY226" s="1"/>
      <c r="RYZ226" s="1"/>
      <c r="RZA226" s="1"/>
      <c r="RZB226" s="1"/>
      <c r="RZC226" s="1"/>
      <c r="RZD226" s="1"/>
      <c r="RZE226" s="1"/>
      <c r="RZF226" s="1"/>
      <c r="RZG226" s="1"/>
      <c r="RZH226" s="1"/>
      <c r="RZI226" s="1"/>
      <c r="RZJ226" s="1"/>
      <c r="RZK226" s="1"/>
      <c r="RZL226" s="1"/>
      <c r="RZM226" s="1"/>
      <c r="RZN226" s="1"/>
      <c r="RZO226" s="1"/>
      <c r="RZP226" s="1"/>
      <c r="RZQ226" s="1"/>
      <c r="RZR226" s="1"/>
      <c r="RZS226" s="1"/>
      <c r="RZT226" s="1"/>
      <c r="RZU226" s="1"/>
      <c r="RZV226" s="1"/>
      <c r="RZW226" s="1"/>
      <c r="RZX226" s="1"/>
      <c r="RZY226" s="1"/>
      <c r="RZZ226" s="1"/>
      <c r="SAA226" s="1"/>
      <c r="SAB226" s="1"/>
      <c r="SAC226" s="1"/>
      <c r="SAD226" s="1"/>
      <c r="SAE226" s="1"/>
      <c r="SAF226" s="1"/>
      <c r="SAG226" s="1"/>
      <c r="SAH226" s="1"/>
      <c r="SAI226" s="1"/>
      <c r="SAJ226" s="1"/>
      <c r="SAK226" s="1"/>
      <c r="SAL226" s="1"/>
      <c r="SAM226" s="1"/>
      <c r="SAN226" s="1"/>
      <c r="SAO226" s="1"/>
      <c r="SAP226" s="1"/>
      <c r="SAQ226" s="1"/>
      <c r="SAR226" s="1"/>
      <c r="SAS226" s="1"/>
      <c r="SAT226" s="1"/>
      <c r="SAU226" s="1"/>
      <c r="SAV226" s="1"/>
      <c r="SAW226" s="1"/>
      <c r="SAX226" s="1"/>
      <c r="SAY226" s="1"/>
      <c r="SAZ226" s="1"/>
      <c r="SBA226" s="1"/>
      <c r="SBB226" s="1"/>
      <c r="SBC226" s="1"/>
      <c r="SBD226" s="1"/>
      <c r="SBE226" s="1"/>
      <c r="SBF226" s="1"/>
      <c r="SBG226" s="1"/>
      <c r="SBH226" s="1"/>
      <c r="SBI226" s="1"/>
      <c r="SBJ226" s="1"/>
      <c r="SBK226" s="1"/>
      <c r="SBL226" s="1"/>
      <c r="SBM226" s="1"/>
      <c r="SBN226" s="1"/>
      <c r="SBO226" s="1"/>
      <c r="SBP226" s="1"/>
      <c r="SBQ226" s="1"/>
      <c r="SBR226" s="1"/>
      <c r="SBS226" s="1"/>
      <c r="SBT226" s="1"/>
      <c r="SBU226" s="1"/>
      <c r="SBV226" s="1"/>
      <c r="SBW226" s="1"/>
      <c r="SBX226" s="1"/>
      <c r="SBY226" s="1"/>
      <c r="SBZ226" s="1"/>
      <c r="SCA226" s="1"/>
      <c r="SCB226" s="1"/>
      <c r="SCC226" s="1"/>
      <c r="SCD226" s="1"/>
      <c r="SCE226" s="1"/>
      <c r="SCF226" s="1"/>
      <c r="SCG226" s="1"/>
      <c r="SCH226" s="1"/>
      <c r="SCI226" s="1"/>
      <c r="SCJ226" s="1"/>
      <c r="SCK226" s="1"/>
      <c r="SCL226" s="1"/>
      <c r="SCM226" s="1"/>
      <c r="SCN226" s="1"/>
      <c r="SCO226" s="1"/>
      <c r="SCP226" s="1"/>
      <c r="SCQ226" s="1"/>
      <c r="SCR226" s="1"/>
      <c r="SCS226" s="1"/>
      <c r="SCT226" s="1"/>
      <c r="SCU226" s="1"/>
      <c r="SCV226" s="1"/>
      <c r="SCW226" s="1"/>
      <c r="SCX226" s="1"/>
      <c r="SCY226" s="1"/>
      <c r="SCZ226" s="1"/>
      <c r="SDA226" s="1"/>
      <c r="SDB226" s="1"/>
      <c r="SDC226" s="1"/>
      <c r="SDD226" s="1"/>
      <c r="SDE226" s="1"/>
      <c r="SDF226" s="1"/>
      <c r="SDG226" s="1"/>
      <c r="SDH226" s="1"/>
      <c r="SDI226" s="1"/>
      <c r="SDJ226" s="1"/>
      <c r="SDK226" s="1"/>
      <c r="SDL226" s="1"/>
      <c r="SDM226" s="1"/>
      <c r="SDN226" s="1"/>
      <c r="SDO226" s="1"/>
      <c r="SDP226" s="1"/>
      <c r="SDQ226" s="1"/>
      <c r="SDR226" s="1"/>
      <c r="SDS226" s="1"/>
      <c r="SDT226" s="1"/>
      <c r="SDU226" s="1"/>
      <c r="SDV226" s="1"/>
      <c r="SDW226" s="1"/>
      <c r="SDX226" s="1"/>
      <c r="SDY226" s="1"/>
      <c r="SDZ226" s="1"/>
      <c r="SEA226" s="1"/>
      <c r="SEB226" s="1"/>
      <c r="SEC226" s="1"/>
      <c r="SED226" s="1"/>
      <c r="SEE226" s="1"/>
      <c r="SEF226" s="1"/>
      <c r="SEG226" s="1"/>
      <c r="SEH226" s="1"/>
      <c r="SEI226" s="1"/>
      <c r="SEJ226" s="1"/>
      <c r="SEK226" s="1"/>
      <c r="SEL226" s="1"/>
      <c r="SEM226" s="1"/>
      <c r="SEN226" s="1"/>
      <c r="SEO226" s="1"/>
      <c r="SEP226" s="1"/>
      <c r="SEQ226" s="1"/>
      <c r="SER226" s="1"/>
      <c r="SES226" s="1"/>
      <c r="SET226" s="1"/>
      <c r="SEU226" s="1"/>
      <c r="SEV226" s="1"/>
      <c r="SEW226" s="1"/>
      <c r="SEX226" s="1"/>
      <c r="SEY226" s="1"/>
      <c r="SEZ226" s="1"/>
      <c r="SFA226" s="1"/>
      <c r="SFB226" s="1"/>
      <c r="SFC226" s="1"/>
      <c r="SFD226" s="1"/>
      <c r="SFE226" s="1"/>
      <c r="SFF226" s="1"/>
      <c r="SFG226" s="1"/>
      <c r="SFH226" s="1"/>
      <c r="SFI226" s="1"/>
      <c r="SFJ226" s="1"/>
      <c r="SFK226" s="1"/>
      <c r="SFL226" s="1"/>
      <c r="SFM226" s="1"/>
      <c r="SFN226" s="1"/>
      <c r="SFO226" s="1"/>
      <c r="SFP226" s="1"/>
      <c r="SFQ226" s="1"/>
      <c r="SFR226" s="1"/>
      <c r="SFS226" s="1"/>
      <c r="SFT226" s="1"/>
      <c r="SFU226" s="1"/>
      <c r="SFV226" s="1"/>
      <c r="SFW226" s="1"/>
      <c r="SFX226" s="1"/>
      <c r="SFY226" s="1"/>
      <c r="SFZ226" s="1"/>
      <c r="SGA226" s="1"/>
      <c r="SGB226" s="1"/>
      <c r="SGC226" s="1"/>
      <c r="SGD226" s="1"/>
      <c r="SGE226" s="1"/>
      <c r="SGF226" s="1"/>
      <c r="SGG226" s="1"/>
      <c r="SGH226" s="1"/>
      <c r="SGI226" s="1"/>
      <c r="SGJ226" s="1"/>
      <c r="SGK226" s="1"/>
      <c r="SGL226" s="1"/>
      <c r="SGM226" s="1"/>
      <c r="SGN226" s="1"/>
      <c r="SGO226" s="1"/>
      <c r="SGP226" s="1"/>
      <c r="SGQ226" s="1"/>
      <c r="SGR226" s="1"/>
      <c r="SGS226" s="1"/>
      <c r="SGT226" s="1"/>
      <c r="SGU226" s="1"/>
      <c r="SGV226" s="1"/>
      <c r="SGW226" s="1"/>
      <c r="SGX226" s="1"/>
      <c r="SGY226" s="1"/>
      <c r="SGZ226" s="1"/>
      <c r="SHA226" s="1"/>
      <c r="SHB226" s="1"/>
      <c r="SHC226" s="1"/>
      <c r="SHD226" s="1"/>
      <c r="SHE226" s="1"/>
      <c r="SHF226" s="1"/>
      <c r="SHG226" s="1"/>
      <c r="SHH226" s="1"/>
      <c r="SHI226" s="1"/>
      <c r="SHJ226" s="1"/>
      <c r="SHK226" s="1"/>
      <c r="SHL226" s="1"/>
      <c r="SHM226" s="1"/>
      <c r="SHN226" s="1"/>
      <c r="SHO226" s="1"/>
      <c r="SHP226" s="1"/>
      <c r="SHQ226" s="1"/>
      <c r="SHR226" s="1"/>
      <c r="SHS226" s="1"/>
      <c r="SHT226" s="1"/>
      <c r="SHU226" s="1"/>
      <c r="SHV226" s="1"/>
      <c r="SHW226" s="1"/>
      <c r="SHX226" s="1"/>
      <c r="SHY226" s="1"/>
      <c r="SHZ226" s="1"/>
      <c r="SIA226" s="1"/>
      <c r="SIB226" s="1"/>
      <c r="SIC226" s="1"/>
      <c r="SID226" s="1"/>
      <c r="SIE226" s="1"/>
      <c r="SIF226" s="1"/>
      <c r="SIG226" s="1"/>
      <c r="SIH226" s="1"/>
      <c r="SII226" s="1"/>
      <c r="SIJ226" s="1"/>
      <c r="SIK226" s="1"/>
      <c r="SIL226" s="1"/>
      <c r="SIM226" s="1"/>
      <c r="SIN226" s="1"/>
      <c r="SIO226" s="1"/>
      <c r="SIP226" s="1"/>
      <c r="SIQ226" s="1"/>
      <c r="SIR226" s="1"/>
      <c r="SIS226" s="1"/>
      <c r="SIT226" s="1"/>
      <c r="SIU226" s="1"/>
      <c r="SIV226" s="1"/>
      <c r="SIW226" s="1"/>
      <c r="SIX226" s="1"/>
      <c r="SIY226" s="1"/>
      <c r="SIZ226" s="1"/>
      <c r="SJA226" s="1"/>
      <c r="SJB226" s="1"/>
      <c r="SJC226" s="1"/>
      <c r="SJD226" s="1"/>
      <c r="SJE226" s="1"/>
      <c r="SJF226" s="1"/>
      <c r="SJG226" s="1"/>
      <c r="SJH226" s="1"/>
      <c r="SJI226" s="1"/>
      <c r="SJJ226" s="1"/>
      <c r="SJK226" s="1"/>
      <c r="SJL226" s="1"/>
      <c r="SJM226" s="1"/>
      <c r="SJN226" s="1"/>
      <c r="SJO226" s="1"/>
      <c r="SJP226" s="1"/>
      <c r="SJQ226" s="1"/>
      <c r="SJR226" s="1"/>
      <c r="SJS226" s="1"/>
      <c r="SJT226" s="1"/>
      <c r="SJU226" s="1"/>
      <c r="SJV226" s="1"/>
      <c r="SJW226" s="1"/>
      <c r="SJX226" s="1"/>
      <c r="SJY226" s="1"/>
      <c r="SJZ226" s="1"/>
      <c r="SKA226" s="1"/>
      <c r="SKB226" s="1"/>
      <c r="SKC226" s="1"/>
      <c r="SKD226" s="1"/>
      <c r="SKE226" s="1"/>
      <c r="SKF226" s="1"/>
      <c r="SKG226" s="1"/>
      <c r="SKH226" s="1"/>
      <c r="SKI226" s="1"/>
      <c r="SKJ226" s="1"/>
      <c r="SKK226" s="1"/>
      <c r="SKL226" s="1"/>
      <c r="SKM226" s="1"/>
      <c r="SKN226" s="1"/>
      <c r="SKO226" s="1"/>
      <c r="SKP226" s="1"/>
      <c r="SKQ226" s="1"/>
      <c r="SKR226" s="1"/>
      <c r="SKS226" s="1"/>
      <c r="SKT226" s="1"/>
      <c r="SKU226" s="1"/>
      <c r="SKV226" s="1"/>
      <c r="SKW226" s="1"/>
      <c r="SKX226" s="1"/>
      <c r="SKY226" s="1"/>
      <c r="SKZ226" s="1"/>
      <c r="SLA226" s="1"/>
      <c r="SLB226" s="1"/>
      <c r="SLC226" s="1"/>
      <c r="SLD226" s="1"/>
      <c r="SLE226" s="1"/>
      <c r="SLF226" s="1"/>
      <c r="SLG226" s="1"/>
      <c r="SLH226" s="1"/>
      <c r="SLI226" s="1"/>
      <c r="SLJ226" s="1"/>
      <c r="SLK226" s="1"/>
      <c r="SLL226" s="1"/>
      <c r="SLM226" s="1"/>
      <c r="SLN226" s="1"/>
      <c r="SLO226" s="1"/>
      <c r="SLP226" s="1"/>
      <c r="SLQ226" s="1"/>
      <c r="SLR226" s="1"/>
      <c r="SLS226" s="1"/>
      <c r="SLT226" s="1"/>
      <c r="SLU226" s="1"/>
      <c r="SLV226" s="1"/>
      <c r="SLW226" s="1"/>
      <c r="SLX226" s="1"/>
      <c r="SLY226" s="1"/>
      <c r="SLZ226" s="1"/>
      <c r="SMA226" s="1"/>
      <c r="SMB226" s="1"/>
      <c r="SMC226" s="1"/>
      <c r="SMD226" s="1"/>
      <c r="SME226" s="1"/>
      <c r="SMF226" s="1"/>
      <c r="SMG226" s="1"/>
      <c r="SMH226" s="1"/>
      <c r="SMI226" s="1"/>
      <c r="SMJ226" s="1"/>
      <c r="SMK226" s="1"/>
      <c r="SML226" s="1"/>
      <c r="SMM226" s="1"/>
      <c r="SMN226" s="1"/>
      <c r="SMO226" s="1"/>
      <c r="SMP226" s="1"/>
      <c r="SMQ226" s="1"/>
      <c r="SMR226" s="1"/>
      <c r="SMS226" s="1"/>
      <c r="SMT226" s="1"/>
      <c r="SMU226" s="1"/>
      <c r="SMV226" s="1"/>
      <c r="SMW226" s="1"/>
      <c r="SMX226" s="1"/>
      <c r="SMY226" s="1"/>
      <c r="SMZ226" s="1"/>
      <c r="SNA226" s="1"/>
      <c r="SNB226" s="1"/>
      <c r="SNC226" s="1"/>
      <c r="SND226" s="1"/>
      <c r="SNE226" s="1"/>
      <c r="SNF226" s="1"/>
      <c r="SNG226" s="1"/>
      <c r="SNH226" s="1"/>
      <c r="SNI226" s="1"/>
      <c r="SNJ226" s="1"/>
      <c r="SNK226" s="1"/>
      <c r="SNL226" s="1"/>
      <c r="SNM226" s="1"/>
      <c r="SNN226" s="1"/>
      <c r="SNO226" s="1"/>
      <c r="SNP226" s="1"/>
      <c r="SNQ226" s="1"/>
      <c r="SNR226" s="1"/>
      <c r="SNS226" s="1"/>
      <c r="SNT226" s="1"/>
      <c r="SNU226" s="1"/>
      <c r="SNV226" s="1"/>
      <c r="SNW226" s="1"/>
      <c r="SNX226" s="1"/>
      <c r="SNY226" s="1"/>
      <c r="SNZ226" s="1"/>
      <c r="SOA226" s="1"/>
      <c r="SOB226" s="1"/>
      <c r="SOC226" s="1"/>
      <c r="SOD226" s="1"/>
      <c r="SOE226" s="1"/>
      <c r="SOF226" s="1"/>
      <c r="SOG226" s="1"/>
      <c r="SOH226" s="1"/>
      <c r="SOI226" s="1"/>
      <c r="SOJ226" s="1"/>
      <c r="SOK226" s="1"/>
      <c r="SOL226" s="1"/>
      <c r="SOM226" s="1"/>
      <c r="SON226" s="1"/>
      <c r="SOO226" s="1"/>
      <c r="SOP226" s="1"/>
      <c r="SOQ226" s="1"/>
      <c r="SOR226" s="1"/>
      <c r="SOS226" s="1"/>
      <c r="SOT226" s="1"/>
      <c r="SOU226" s="1"/>
      <c r="SOV226" s="1"/>
      <c r="SOW226" s="1"/>
      <c r="SOX226" s="1"/>
      <c r="SOY226" s="1"/>
      <c r="SOZ226" s="1"/>
      <c r="SPA226" s="1"/>
      <c r="SPB226" s="1"/>
      <c r="SPC226" s="1"/>
      <c r="SPD226" s="1"/>
      <c r="SPE226" s="1"/>
      <c r="SPF226" s="1"/>
      <c r="SPG226" s="1"/>
      <c r="SPH226" s="1"/>
      <c r="SPI226" s="1"/>
      <c r="SPJ226" s="1"/>
      <c r="SPK226" s="1"/>
      <c r="SPL226" s="1"/>
      <c r="SPM226" s="1"/>
      <c r="SPN226" s="1"/>
      <c r="SPO226" s="1"/>
      <c r="SPP226" s="1"/>
      <c r="SPQ226" s="1"/>
      <c r="SPR226" s="1"/>
      <c r="SPS226" s="1"/>
      <c r="SPT226" s="1"/>
      <c r="SPU226" s="1"/>
      <c r="SPV226" s="1"/>
      <c r="SPW226" s="1"/>
      <c r="SPX226" s="1"/>
      <c r="SPY226" s="1"/>
      <c r="SPZ226" s="1"/>
      <c r="SQA226" s="1"/>
      <c r="SQB226" s="1"/>
      <c r="SQC226" s="1"/>
      <c r="SQD226" s="1"/>
      <c r="SQE226" s="1"/>
      <c r="SQF226" s="1"/>
      <c r="SQG226" s="1"/>
      <c r="SQH226" s="1"/>
      <c r="SQI226" s="1"/>
      <c r="SQJ226" s="1"/>
      <c r="SQK226" s="1"/>
      <c r="SQL226" s="1"/>
      <c r="SQM226" s="1"/>
      <c r="SQN226" s="1"/>
      <c r="SQO226" s="1"/>
      <c r="SQP226" s="1"/>
      <c r="SQQ226" s="1"/>
      <c r="SQR226" s="1"/>
      <c r="SQS226" s="1"/>
      <c r="SQT226" s="1"/>
      <c r="SQU226" s="1"/>
      <c r="SQV226" s="1"/>
      <c r="SQW226" s="1"/>
      <c r="SQX226" s="1"/>
      <c r="SQY226" s="1"/>
      <c r="SQZ226" s="1"/>
      <c r="SRA226" s="1"/>
      <c r="SRB226" s="1"/>
      <c r="SRC226" s="1"/>
      <c r="SRD226" s="1"/>
      <c r="SRE226" s="1"/>
      <c r="SRF226" s="1"/>
      <c r="SRG226" s="1"/>
      <c r="SRH226" s="1"/>
      <c r="SRI226" s="1"/>
      <c r="SRJ226" s="1"/>
      <c r="SRK226" s="1"/>
      <c r="SRL226" s="1"/>
      <c r="SRM226" s="1"/>
      <c r="SRN226" s="1"/>
      <c r="SRO226" s="1"/>
      <c r="SRP226" s="1"/>
      <c r="SRQ226" s="1"/>
      <c r="SRR226" s="1"/>
      <c r="SRS226" s="1"/>
      <c r="SRT226" s="1"/>
      <c r="SRU226" s="1"/>
      <c r="SRV226" s="1"/>
      <c r="SRW226" s="1"/>
      <c r="SRX226" s="1"/>
      <c r="SRY226" s="1"/>
      <c r="SRZ226" s="1"/>
      <c r="SSA226" s="1"/>
      <c r="SSB226" s="1"/>
      <c r="SSC226" s="1"/>
      <c r="SSD226" s="1"/>
      <c r="SSE226" s="1"/>
      <c r="SSF226" s="1"/>
      <c r="SSG226" s="1"/>
      <c r="SSH226" s="1"/>
      <c r="SSI226" s="1"/>
      <c r="SSJ226" s="1"/>
      <c r="SSK226" s="1"/>
      <c r="SSL226" s="1"/>
      <c r="SSM226" s="1"/>
      <c r="SSN226" s="1"/>
      <c r="SSO226" s="1"/>
      <c r="SSP226" s="1"/>
      <c r="SSQ226" s="1"/>
      <c r="SSR226" s="1"/>
      <c r="SSS226" s="1"/>
      <c r="SST226" s="1"/>
      <c r="SSU226" s="1"/>
      <c r="SSV226" s="1"/>
      <c r="SSW226" s="1"/>
      <c r="SSX226" s="1"/>
      <c r="SSY226" s="1"/>
      <c r="SSZ226" s="1"/>
      <c r="STA226" s="1"/>
      <c r="STB226" s="1"/>
      <c r="STC226" s="1"/>
      <c r="STD226" s="1"/>
      <c r="STE226" s="1"/>
      <c r="STF226" s="1"/>
      <c r="STG226" s="1"/>
      <c r="STH226" s="1"/>
      <c r="STI226" s="1"/>
      <c r="STJ226" s="1"/>
      <c r="STK226" s="1"/>
      <c r="STL226" s="1"/>
      <c r="STM226" s="1"/>
      <c r="STN226" s="1"/>
      <c r="STO226" s="1"/>
      <c r="STP226" s="1"/>
      <c r="STQ226" s="1"/>
      <c r="STR226" s="1"/>
      <c r="STS226" s="1"/>
      <c r="STT226" s="1"/>
      <c r="STU226" s="1"/>
      <c r="STV226" s="1"/>
      <c r="STW226" s="1"/>
      <c r="STX226" s="1"/>
      <c r="STY226" s="1"/>
      <c r="STZ226" s="1"/>
      <c r="SUA226" s="1"/>
      <c r="SUB226" s="1"/>
      <c r="SUC226" s="1"/>
      <c r="SUD226" s="1"/>
      <c r="SUE226" s="1"/>
      <c r="SUF226" s="1"/>
      <c r="SUG226" s="1"/>
      <c r="SUH226" s="1"/>
      <c r="SUI226" s="1"/>
      <c r="SUJ226" s="1"/>
      <c r="SUK226" s="1"/>
      <c r="SUL226" s="1"/>
      <c r="SUM226" s="1"/>
      <c r="SUN226" s="1"/>
      <c r="SUO226" s="1"/>
      <c r="SUP226" s="1"/>
      <c r="SUQ226" s="1"/>
      <c r="SUR226" s="1"/>
      <c r="SUS226" s="1"/>
      <c r="SUT226" s="1"/>
      <c r="SUU226" s="1"/>
      <c r="SUV226" s="1"/>
      <c r="SUW226" s="1"/>
      <c r="SUX226" s="1"/>
      <c r="SUY226" s="1"/>
      <c r="SUZ226" s="1"/>
      <c r="SVA226" s="1"/>
      <c r="SVB226" s="1"/>
      <c r="SVC226" s="1"/>
      <c r="SVD226" s="1"/>
      <c r="SVE226" s="1"/>
      <c r="SVF226" s="1"/>
      <c r="SVG226" s="1"/>
      <c r="SVH226" s="1"/>
      <c r="SVI226" s="1"/>
      <c r="SVJ226" s="1"/>
      <c r="SVK226" s="1"/>
      <c r="SVL226" s="1"/>
      <c r="SVM226" s="1"/>
      <c r="SVN226" s="1"/>
      <c r="SVO226" s="1"/>
      <c r="SVP226" s="1"/>
      <c r="SVQ226" s="1"/>
      <c r="SVR226" s="1"/>
      <c r="SVS226" s="1"/>
      <c r="SVT226" s="1"/>
      <c r="SVU226" s="1"/>
      <c r="SVV226" s="1"/>
      <c r="SVW226" s="1"/>
      <c r="SVX226" s="1"/>
      <c r="SVY226" s="1"/>
      <c r="SVZ226" s="1"/>
      <c r="SWA226" s="1"/>
      <c r="SWB226" s="1"/>
      <c r="SWC226" s="1"/>
      <c r="SWD226" s="1"/>
      <c r="SWE226" s="1"/>
      <c r="SWF226" s="1"/>
      <c r="SWG226" s="1"/>
      <c r="SWH226" s="1"/>
      <c r="SWI226" s="1"/>
      <c r="SWJ226" s="1"/>
      <c r="SWK226" s="1"/>
      <c r="SWL226" s="1"/>
      <c r="SWM226" s="1"/>
      <c r="SWN226" s="1"/>
      <c r="SWO226" s="1"/>
      <c r="SWP226" s="1"/>
      <c r="SWQ226" s="1"/>
      <c r="SWR226" s="1"/>
      <c r="SWS226" s="1"/>
      <c r="SWT226" s="1"/>
      <c r="SWU226" s="1"/>
      <c r="SWV226" s="1"/>
      <c r="SWW226" s="1"/>
      <c r="SWX226" s="1"/>
      <c r="SWY226" s="1"/>
      <c r="SWZ226" s="1"/>
      <c r="SXA226" s="1"/>
      <c r="SXB226" s="1"/>
      <c r="SXC226" s="1"/>
      <c r="SXD226" s="1"/>
      <c r="SXE226" s="1"/>
      <c r="SXF226" s="1"/>
      <c r="SXG226" s="1"/>
      <c r="SXH226" s="1"/>
      <c r="SXI226" s="1"/>
      <c r="SXJ226" s="1"/>
      <c r="SXK226" s="1"/>
      <c r="SXL226" s="1"/>
      <c r="SXM226" s="1"/>
      <c r="SXN226" s="1"/>
      <c r="SXO226" s="1"/>
      <c r="SXP226" s="1"/>
      <c r="SXQ226" s="1"/>
      <c r="SXR226" s="1"/>
      <c r="SXS226" s="1"/>
      <c r="SXT226" s="1"/>
      <c r="SXU226" s="1"/>
      <c r="SXV226" s="1"/>
      <c r="SXW226" s="1"/>
      <c r="SXX226" s="1"/>
      <c r="SXY226" s="1"/>
      <c r="SXZ226" s="1"/>
      <c r="SYA226" s="1"/>
      <c r="SYB226" s="1"/>
      <c r="SYC226" s="1"/>
      <c r="SYD226" s="1"/>
      <c r="SYE226" s="1"/>
      <c r="SYF226" s="1"/>
      <c r="SYG226" s="1"/>
      <c r="SYH226" s="1"/>
      <c r="SYI226" s="1"/>
      <c r="SYJ226" s="1"/>
      <c r="SYK226" s="1"/>
      <c r="SYL226" s="1"/>
      <c r="SYM226" s="1"/>
      <c r="SYN226" s="1"/>
      <c r="SYO226" s="1"/>
      <c r="SYP226" s="1"/>
      <c r="SYQ226" s="1"/>
      <c r="SYR226" s="1"/>
      <c r="SYS226" s="1"/>
      <c r="SYT226" s="1"/>
      <c r="SYU226" s="1"/>
      <c r="SYV226" s="1"/>
      <c r="SYW226" s="1"/>
      <c r="SYX226" s="1"/>
      <c r="SYY226" s="1"/>
      <c r="SYZ226" s="1"/>
      <c r="SZA226" s="1"/>
      <c r="SZB226" s="1"/>
      <c r="SZC226" s="1"/>
      <c r="SZD226" s="1"/>
      <c r="SZE226" s="1"/>
      <c r="SZF226" s="1"/>
      <c r="SZG226" s="1"/>
      <c r="SZH226" s="1"/>
      <c r="SZI226" s="1"/>
      <c r="SZJ226" s="1"/>
      <c r="SZK226" s="1"/>
      <c r="SZL226" s="1"/>
      <c r="SZM226" s="1"/>
      <c r="SZN226" s="1"/>
      <c r="SZO226" s="1"/>
      <c r="SZP226" s="1"/>
      <c r="SZQ226" s="1"/>
      <c r="SZR226" s="1"/>
      <c r="SZS226" s="1"/>
      <c r="SZT226" s="1"/>
      <c r="SZU226" s="1"/>
      <c r="SZV226" s="1"/>
      <c r="SZW226" s="1"/>
      <c r="SZX226" s="1"/>
      <c r="SZY226" s="1"/>
      <c r="SZZ226" s="1"/>
      <c r="TAA226" s="1"/>
      <c r="TAB226" s="1"/>
      <c r="TAC226" s="1"/>
      <c r="TAD226" s="1"/>
      <c r="TAE226" s="1"/>
      <c r="TAF226" s="1"/>
      <c r="TAG226" s="1"/>
      <c r="TAH226" s="1"/>
      <c r="TAI226" s="1"/>
      <c r="TAJ226" s="1"/>
      <c r="TAK226" s="1"/>
      <c r="TAL226" s="1"/>
      <c r="TAM226" s="1"/>
      <c r="TAN226" s="1"/>
      <c r="TAO226" s="1"/>
      <c r="TAP226" s="1"/>
      <c r="TAQ226" s="1"/>
      <c r="TAR226" s="1"/>
      <c r="TAS226" s="1"/>
      <c r="TAT226" s="1"/>
      <c r="TAU226" s="1"/>
      <c r="TAV226" s="1"/>
      <c r="TAW226" s="1"/>
      <c r="TAX226" s="1"/>
      <c r="TAY226" s="1"/>
      <c r="TAZ226" s="1"/>
      <c r="TBA226" s="1"/>
      <c r="TBB226" s="1"/>
      <c r="TBC226" s="1"/>
      <c r="TBD226" s="1"/>
      <c r="TBE226" s="1"/>
      <c r="TBF226" s="1"/>
      <c r="TBG226" s="1"/>
      <c r="TBH226" s="1"/>
      <c r="TBI226" s="1"/>
      <c r="TBJ226" s="1"/>
      <c r="TBK226" s="1"/>
      <c r="TBL226" s="1"/>
      <c r="TBM226" s="1"/>
      <c r="TBN226" s="1"/>
      <c r="TBO226" s="1"/>
      <c r="TBP226" s="1"/>
      <c r="TBQ226" s="1"/>
      <c r="TBR226" s="1"/>
      <c r="TBS226" s="1"/>
      <c r="TBT226" s="1"/>
      <c r="TBU226" s="1"/>
      <c r="TBV226" s="1"/>
      <c r="TBW226" s="1"/>
      <c r="TBX226" s="1"/>
      <c r="TBY226" s="1"/>
      <c r="TBZ226" s="1"/>
      <c r="TCA226" s="1"/>
      <c r="TCB226" s="1"/>
      <c r="TCC226" s="1"/>
      <c r="TCD226" s="1"/>
      <c r="TCE226" s="1"/>
      <c r="TCF226" s="1"/>
      <c r="TCG226" s="1"/>
      <c r="TCH226" s="1"/>
      <c r="TCI226" s="1"/>
      <c r="TCJ226" s="1"/>
      <c r="TCK226" s="1"/>
      <c r="TCL226" s="1"/>
      <c r="TCM226" s="1"/>
      <c r="TCN226" s="1"/>
      <c r="TCO226" s="1"/>
      <c r="TCP226" s="1"/>
      <c r="TCQ226" s="1"/>
      <c r="TCR226" s="1"/>
      <c r="TCS226" s="1"/>
      <c r="TCT226" s="1"/>
      <c r="TCU226" s="1"/>
      <c r="TCV226" s="1"/>
      <c r="TCW226" s="1"/>
      <c r="TCX226" s="1"/>
      <c r="TCY226" s="1"/>
      <c r="TCZ226" s="1"/>
      <c r="TDA226" s="1"/>
      <c r="TDB226" s="1"/>
      <c r="TDC226" s="1"/>
      <c r="TDD226" s="1"/>
      <c r="TDE226" s="1"/>
      <c r="TDF226" s="1"/>
      <c r="TDG226" s="1"/>
      <c r="TDH226" s="1"/>
      <c r="TDI226" s="1"/>
      <c r="TDJ226" s="1"/>
      <c r="TDK226" s="1"/>
      <c r="TDL226" s="1"/>
      <c r="TDM226" s="1"/>
      <c r="TDN226" s="1"/>
      <c r="TDO226" s="1"/>
      <c r="TDP226" s="1"/>
      <c r="TDQ226" s="1"/>
      <c r="TDR226" s="1"/>
      <c r="TDS226" s="1"/>
      <c r="TDT226" s="1"/>
      <c r="TDU226" s="1"/>
      <c r="TDV226" s="1"/>
      <c r="TDW226" s="1"/>
      <c r="TDX226" s="1"/>
      <c r="TDY226" s="1"/>
      <c r="TDZ226" s="1"/>
      <c r="TEA226" s="1"/>
      <c r="TEB226" s="1"/>
      <c r="TEC226" s="1"/>
      <c r="TED226" s="1"/>
      <c r="TEE226" s="1"/>
      <c r="TEF226" s="1"/>
      <c r="TEG226" s="1"/>
      <c r="TEH226" s="1"/>
      <c r="TEI226" s="1"/>
      <c r="TEJ226" s="1"/>
      <c r="TEK226" s="1"/>
      <c r="TEL226" s="1"/>
      <c r="TEM226" s="1"/>
      <c r="TEN226" s="1"/>
      <c r="TEO226" s="1"/>
      <c r="TEP226" s="1"/>
      <c r="TEQ226" s="1"/>
      <c r="TER226" s="1"/>
      <c r="TES226" s="1"/>
      <c r="TET226" s="1"/>
      <c r="TEU226" s="1"/>
      <c r="TEV226" s="1"/>
      <c r="TEW226" s="1"/>
      <c r="TEX226" s="1"/>
      <c r="TEY226" s="1"/>
      <c r="TEZ226" s="1"/>
      <c r="TFA226" s="1"/>
      <c r="TFB226" s="1"/>
      <c r="TFC226" s="1"/>
      <c r="TFD226" s="1"/>
      <c r="TFE226" s="1"/>
      <c r="TFF226" s="1"/>
      <c r="TFG226" s="1"/>
      <c r="TFH226" s="1"/>
      <c r="TFI226" s="1"/>
      <c r="TFJ226" s="1"/>
      <c r="TFK226" s="1"/>
      <c r="TFL226" s="1"/>
      <c r="TFM226" s="1"/>
      <c r="TFN226" s="1"/>
      <c r="TFO226" s="1"/>
      <c r="TFP226" s="1"/>
      <c r="TFQ226" s="1"/>
      <c r="TFR226" s="1"/>
      <c r="TFS226" s="1"/>
      <c r="TFT226" s="1"/>
      <c r="TFU226" s="1"/>
      <c r="TFV226" s="1"/>
      <c r="TFW226" s="1"/>
      <c r="TFX226" s="1"/>
      <c r="TFY226" s="1"/>
      <c r="TFZ226" s="1"/>
      <c r="TGA226" s="1"/>
      <c r="TGB226" s="1"/>
      <c r="TGC226" s="1"/>
      <c r="TGD226" s="1"/>
      <c r="TGE226" s="1"/>
      <c r="TGF226" s="1"/>
      <c r="TGG226" s="1"/>
      <c r="TGH226" s="1"/>
      <c r="TGI226" s="1"/>
      <c r="TGJ226" s="1"/>
      <c r="TGK226" s="1"/>
      <c r="TGL226" s="1"/>
      <c r="TGM226" s="1"/>
      <c r="TGN226" s="1"/>
      <c r="TGO226" s="1"/>
      <c r="TGP226" s="1"/>
      <c r="TGQ226" s="1"/>
      <c r="TGR226" s="1"/>
      <c r="TGS226" s="1"/>
      <c r="TGT226" s="1"/>
      <c r="TGU226" s="1"/>
      <c r="TGV226" s="1"/>
      <c r="TGW226" s="1"/>
      <c r="TGX226" s="1"/>
      <c r="TGY226" s="1"/>
      <c r="TGZ226" s="1"/>
      <c r="THA226" s="1"/>
      <c r="THB226" s="1"/>
      <c r="THC226" s="1"/>
      <c r="THD226" s="1"/>
      <c r="THE226" s="1"/>
      <c r="THF226" s="1"/>
      <c r="THG226" s="1"/>
      <c r="THH226" s="1"/>
      <c r="THI226" s="1"/>
      <c r="THJ226" s="1"/>
      <c r="THK226" s="1"/>
      <c r="THL226" s="1"/>
      <c r="THM226" s="1"/>
      <c r="THN226" s="1"/>
      <c r="THO226" s="1"/>
      <c r="THP226" s="1"/>
      <c r="THQ226" s="1"/>
      <c r="THR226" s="1"/>
      <c r="THS226" s="1"/>
      <c r="THT226" s="1"/>
      <c r="THU226" s="1"/>
      <c r="THV226" s="1"/>
      <c r="THW226" s="1"/>
      <c r="THX226" s="1"/>
      <c r="THY226" s="1"/>
      <c r="THZ226" s="1"/>
      <c r="TIA226" s="1"/>
      <c r="TIB226" s="1"/>
      <c r="TIC226" s="1"/>
      <c r="TID226" s="1"/>
      <c r="TIE226" s="1"/>
      <c r="TIF226" s="1"/>
      <c r="TIG226" s="1"/>
      <c r="TIH226" s="1"/>
      <c r="TII226" s="1"/>
      <c r="TIJ226" s="1"/>
      <c r="TIK226" s="1"/>
      <c r="TIL226" s="1"/>
      <c r="TIM226" s="1"/>
      <c r="TIN226" s="1"/>
      <c r="TIO226" s="1"/>
      <c r="TIP226" s="1"/>
      <c r="TIQ226" s="1"/>
      <c r="TIR226" s="1"/>
      <c r="TIS226" s="1"/>
      <c r="TIT226" s="1"/>
      <c r="TIU226" s="1"/>
      <c r="TIV226" s="1"/>
      <c r="TIW226" s="1"/>
      <c r="TIX226" s="1"/>
      <c r="TIY226" s="1"/>
      <c r="TIZ226" s="1"/>
      <c r="TJA226" s="1"/>
      <c r="TJB226" s="1"/>
      <c r="TJC226" s="1"/>
      <c r="TJD226" s="1"/>
      <c r="TJE226" s="1"/>
      <c r="TJF226" s="1"/>
      <c r="TJG226" s="1"/>
      <c r="TJH226" s="1"/>
      <c r="TJI226" s="1"/>
      <c r="TJJ226" s="1"/>
      <c r="TJK226" s="1"/>
      <c r="TJL226" s="1"/>
      <c r="TJM226" s="1"/>
      <c r="TJN226" s="1"/>
      <c r="TJO226" s="1"/>
      <c r="TJP226" s="1"/>
      <c r="TJQ226" s="1"/>
      <c r="TJR226" s="1"/>
      <c r="TJS226" s="1"/>
      <c r="TJT226" s="1"/>
      <c r="TJU226" s="1"/>
      <c r="TJV226" s="1"/>
      <c r="TJW226" s="1"/>
      <c r="TJX226" s="1"/>
      <c r="TJY226" s="1"/>
      <c r="TJZ226" s="1"/>
      <c r="TKA226" s="1"/>
      <c r="TKB226" s="1"/>
      <c r="TKC226" s="1"/>
      <c r="TKD226" s="1"/>
      <c r="TKE226" s="1"/>
      <c r="TKF226" s="1"/>
      <c r="TKG226" s="1"/>
      <c r="TKH226" s="1"/>
      <c r="TKI226" s="1"/>
      <c r="TKJ226" s="1"/>
      <c r="TKK226" s="1"/>
      <c r="TKL226" s="1"/>
      <c r="TKM226" s="1"/>
      <c r="TKN226" s="1"/>
      <c r="TKO226" s="1"/>
      <c r="TKP226" s="1"/>
      <c r="TKQ226" s="1"/>
      <c r="TKR226" s="1"/>
      <c r="TKS226" s="1"/>
      <c r="TKT226" s="1"/>
      <c r="TKU226" s="1"/>
      <c r="TKV226" s="1"/>
      <c r="TKW226" s="1"/>
      <c r="TKX226" s="1"/>
      <c r="TKY226" s="1"/>
      <c r="TKZ226" s="1"/>
      <c r="TLA226" s="1"/>
      <c r="TLB226" s="1"/>
      <c r="TLC226" s="1"/>
      <c r="TLD226" s="1"/>
      <c r="TLE226" s="1"/>
      <c r="TLF226" s="1"/>
      <c r="TLG226" s="1"/>
      <c r="TLH226" s="1"/>
      <c r="TLI226" s="1"/>
      <c r="TLJ226" s="1"/>
      <c r="TLK226" s="1"/>
      <c r="TLL226" s="1"/>
      <c r="TLM226" s="1"/>
      <c r="TLN226" s="1"/>
      <c r="TLO226" s="1"/>
      <c r="TLP226" s="1"/>
      <c r="TLQ226" s="1"/>
      <c r="TLR226" s="1"/>
      <c r="TLS226" s="1"/>
      <c r="TLT226" s="1"/>
      <c r="TLU226" s="1"/>
      <c r="TLV226" s="1"/>
      <c r="TLW226" s="1"/>
      <c r="TLX226" s="1"/>
      <c r="TLY226" s="1"/>
      <c r="TLZ226" s="1"/>
      <c r="TMA226" s="1"/>
      <c r="TMB226" s="1"/>
      <c r="TMC226" s="1"/>
      <c r="TMD226" s="1"/>
      <c r="TME226" s="1"/>
      <c r="TMF226" s="1"/>
      <c r="TMG226" s="1"/>
      <c r="TMH226" s="1"/>
      <c r="TMI226" s="1"/>
      <c r="TMJ226" s="1"/>
      <c r="TMK226" s="1"/>
      <c r="TML226" s="1"/>
      <c r="TMM226" s="1"/>
      <c r="TMN226" s="1"/>
      <c r="TMO226" s="1"/>
      <c r="TMP226" s="1"/>
      <c r="TMQ226" s="1"/>
      <c r="TMR226" s="1"/>
      <c r="TMS226" s="1"/>
      <c r="TMT226" s="1"/>
      <c r="TMU226" s="1"/>
      <c r="TMV226" s="1"/>
      <c r="TMW226" s="1"/>
      <c r="TMX226" s="1"/>
      <c r="TMY226" s="1"/>
      <c r="TMZ226" s="1"/>
      <c r="TNA226" s="1"/>
      <c r="TNB226" s="1"/>
      <c r="TNC226" s="1"/>
      <c r="TND226" s="1"/>
      <c r="TNE226" s="1"/>
      <c r="TNF226" s="1"/>
      <c r="TNG226" s="1"/>
      <c r="TNH226" s="1"/>
      <c r="TNI226" s="1"/>
      <c r="TNJ226" s="1"/>
      <c r="TNK226" s="1"/>
      <c r="TNL226" s="1"/>
      <c r="TNM226" s="1"/>
      <c r="TNN226" s="1"/>
      <c r="TNO226" s="1"/>
      <c r="TNP226" s="1"/>
      <c r="TNQ226" s="1"/>
      <c r="TNR226" s="1"/>
      <c r="TNS226" s="1"/>
      <c r="TNT226" s="1"/>
      <c r="TNU226" s="1"/>
      <c r="TNV226" s="1"/>
      <c r="TNW226" s="1"/>
      <c r="TNX226" s="1"/>
      <c r="TNY226" s="1"/>
      <c r="TNZ226" s="1"/>
      <c r="TOA226" s="1"/>
      <c r="TOB226" s="1"/>
      <c r="TOC226" s="1"/>
      <c r="TOD226" s="1"/>
      <c r="TOE226" s="1"/>
      <c r="TOF226" s="1"/>
      <c r="TOG226" s="1"/>
      <c r="TOH226" s="1"/>
      <c r="TOI226" s="1"/>
      <c r="TOJ226" s="1"/>
      <c r="TOK226" s="1"/>
      <c r="TOL226" s="1"/>
      <c r="TOM226" s="1"/>
      <c r="TON226" s="1"/>
      <c r="TOO226" s="1"/>
      <c r="TOP226" s="1"/>
      <c r="TOQ226" s="1"/>
      <c r="TOR226" s="1"/>
      <c r="TOS226" s="1"/>
      <c r="TOT226" s="1"/>
      <c r="TOU226" s="1"/>
      <c r="TOV226" s="1"/>
      <c r="TOW226" s="1"/>
      <c r="TOX226" s="1"/>
      <c r="TOY226" s="1"/>
      <c r="TOZ226" s="1"/>
      <c r="TPA226" s="1"/>
      <c r="TPB226" s="1"/>
      <c r="TPC226" s="1"/>
      <c r="TPD226" s="1"/>
      <c r="TPE226" s="1"/>
      <c r="TPF226" s="1"/>
      <c r="TPG226" s="1"/>
      <c r="TPH226" s="1"/>
      <c r="TPI226" s="1"/>
      <c r="TPJ226" s="1"/>
      <c r="TPK226" s="1"/>
      <c r="TPL226" s="1"/>
      <c r="TPM226" s="1"/>
      <c r="TPN226" s="1"/>
      <c r="TPO226" s="1"/>
      <c r="TPP226" s="1"/>
      <c r="TPQ226" s="1"/>
      <c r="TPR226" s="1"/>
      <c r="TPS226" s="1"/>
      <c r="TPT226" s="1"/>
      <c r="TPU226" s="1"/>
      <c r="TPV226" s="1"/>
      <c r="TPW226" s="1"/>
      <c r="TPX226" s="1"/>
      <c r="TPY226" s="1"/>
      <c r="TPZ226" s="1"/>
      <c r="TQA226" s="1"/>
      <c r="TQB226" s="1"/>
      <c r="TQC226" s="1"/>
      <c r="TQD226" s="1"/>
      <c r="TQE226" s="1"/>
      <c r="TQF226" s="1"/>
      <c r="TQG226" s="1"/>
      <c r="TQH226" s="1"/>
      <c r="TQI226" s="1"/>
      <c r="TQJ226" s="1"/>
      <c r="TQK226" s="1"/>
      <c r="TQL226" s="1"/>
      <c r="TQM226" s="1"/>
      <c r="TQN226" s="1"/>
      <c r="TQO226" s="1"/>
      <c r="TQP226" s="1"/>
      <c r="TQQ226" s="1"/>
      <c r="TQR226" s="1"/>
      <c r="TQS226" s="1"/>
      <c r="TQT226" s="1"/>
      <c r="TQU226" s="1"/>
      <c r="TQV226" s="1"/>
      <c r="TQW226" s="1"/>
      <c r="TQX226" s="1"/>
      <c r="TQY226" s="1"/>
      <c r="TQZ226" s="1"/>
      <c r="TRA226" s="1"/>
      <c r="TRB226" s="1"/>
      <c r="TRC226" s="1"/>
      <c r="TRD226" s="1"/>
      <c r="TRE226" s="1"/>
      <c r="TRF226" s="1"/>
      <c r="TRG226" s="1"/>
      <c r="TRH226" s="1"/>
      <c r="TRI226" s="1"/>
      <c r="TRJ226" s="1"/>
      <c r="TRK226" s="1"/>
      <c r="TRL226" s="1"/>
      <c r="TRM226" s="1"/>
      <c r="TRN226" s="1"/>
      <c r="TRO226" s="1"/>
      <c r="TRP226" s="1"/>
      <c r="TRQ226" s="1"/>
      <c r="TRR226" s="1"/>
      <c r="TRS226" s="1"/>
      <c r="TRT226" s="1"/>
      <c r="TRU226" s="1"/>
      <c r="TRV226" s="1"/>
      <c r="TRW226" s="1"/>
      <c r="TRX226" s="1"/>
      <c r="TRY226" s="1"/>
      <c r="TRZ226" s="1"/>
      <c r="TSA226" s="1"/>
      <c r="TSB226" s="1"/>
      <c r="TSC226" s="1"/>
      <c r="TSD226" s="1"/>
      <c r="TSE226" s="1"/>
      <c r="TSF226" s="1"/>
      <c r="TSG226" s="1"/>
      <c r="TSH226" s="1"/>
      <c r="TSI226" s="1"/>
      <c r="TSJ226" s="1"/>
      <c r="TSK226" s="1"/>
      <c r="TSL226" s="1"/>
      <c r="TSM226" s="1"/>
      <c r="TSN226" s="1"/>
      <c r="TSO226" s="1"/>
      <c r="TSP226" s="1"/>
      <c r="TSQ226" s="1"/>
      <c r="TSR226" s="1"/>
      <c r="TSS226" s="1"/>
      <c r="TST226" s="1"/>
      <c r="TSU226" s="1"/>
      <c r="TSV226" s="1"/>
      <c r="TSW226" s="1"/>
      <c r="TSX226" s="1"/>
      <c r="TSY226" s="1"/>
      <c r="TSZ226" s="1"/>
      <c r="TTA226" s="1"/>
      <c r="TTB226" s="1"/>
      <c r="TTC226" s="1"/>
      <c r="TTD226" s="1"/>
      <c r="TTE226" s="1"/>
      <c r="TTF226" s="1"/>
      <c r="TTG226" s="1"/>
      <c r="TTH226" s="1"/>
      <c r="TTI226" s="1"/>
      <c r="TTJ226" s="1"/>
      <c r="TTK226" s="1"/>
      <c r="TTL226" s="1"/>
      <c r="TTM226" s="1"/>
      <c r="TTN226" s="1"/>
      <c r="TTO226" s="1"/>
      <c r="TTP226" s="1"/>
      <c r="TTQ226" s="1"/>
      <c r="TTR226" s="1"/>
      <c r="TTS226" s="1"/>
      <c r="TTT226" s="1"/>
      <c r="TTU226" s="1"/>
      <c r="TTV226" s="1"/>
      <c r="TTW226" s="1"/>
      <c r="TTX226" s="1"/>
      <c r="TTY226" s="1"/>
      <c r="TTZ226" s="1"/>
      <c r="TUA226" s="1"/>
      <c r="TUB226" s="1"/>
      <c r="TUC226" s="1"/>
      <c r="TUD226" s="1"/>
      <c r="TUE226" s="1"/>
      <c r="TUF226" s="1"/>
      <c r="TUG226" s="1"/>
      <c r="TUH226" s="1"/>
      <c r="TUI226" s="1"/>
      <c r="TUJ226" s="1"/>
      <c r="TUK226" s="1"/>
      <c r="TUL226" s="1"/>
      <c r="TUM226" s="1"/>
      <c r="TUN226" s="1"/>
      <c r="TUO226" s="1"/>
      <c r="TUP226" s="1"/>
      <c r="TUQ226" s="1"/>
      <c r="TUR226" s="1"/>
      <c r="TUS226" s="1"/>
      <c r="TUT226" s="1"/>
      <c r="TUU226" s="1"/>
      <c r="TUV226" s="1"/>
      <c r="TUW226" s="1"/>
      <c r="TUX226" s="1"/>
      <c r="TUY226" s="1"/>
      <c r="TUZ226" s="1"/>
      <c r="TVA226" s="1"/>
      <c r="TVB226" s="1"/>
      <c r="TVC226" s="1"/>
      <c r="TVD226" s="1"/>
      <c r="TVE226" s="1"/>
      <c r="TVF226" s="1"/>
      <c r="TVG226" s="1"/>
      <c r="TVH226" s="1"/>
      <c r="TVI226" s="1"/>
      <c r="TVJ226" s="1"/>
      <c r="TVK226" s="1"/>
      <c r="TVL226" s="1"/>
      <c r="TVM226" s="1"/>
      <c r="TVN226" s="1"/>
      <c r="TVO226" s="1"/>
      <c r="TVP226" s="1"/>
      <c r="TVQ226" s="1"/>
      <c r="TVR226" s="1"/>
      <c r="TVS226" s="1"/>
      <c r="TVT226" s="1"/>
      <c r="TVU226" s="1"/>
      <c r="TVV226" s="1"/>
      <c r="TVW226" s="1"/>
      <c r="TVX226" s="1"/>
      <c r="TVY226" s="1"/>
      <c r="TVZ226" s="1"/>
      <c r="TWA226" s="1"/>
      <c r="TWB226" s="1"/>
      <c r="TWC226" s="1"/>
      <c r="TWD226" s="1"/>
      <c r="TWE226" s="1"/>
      <c r="TWF226" s="1"/>
      <c r="TWG226" s="1"/>
      <c r="TWH226" s="1"/>
      <c r="TWI226" s="1"/>
      <c r="TWJ226" s="1"/>
      <c r="TWK226" s="1"/>
      <c r="TWL226" s="1"/>
      <c r="TWM226" s="1"/>
      <c r="TWN226" s="1"/>
      <c r="TWO226" s="1"/>
      <c r="TWP226" s="1"/>
      <c r="TWQ226" s="1"/>
      <c r="TWR226" s="1"/>
      <c r="TWS226" s="1"/>
      <c r="TWT226" s="1"/>
      <c r="TWU226" s="1"/>
      <c r="TWV226" s="1"/>
      <c r="TWW226" s="1"/>
      <c r="TWX226" s="1"/>
      <c r="TWY226" s="1"/>
      <c r="TWZ226" s="1"/>
      <c r="TXA226" s="1"/>
      <c r="TXB226" s="1"/>
      <c r="TXC226" s="1"/>
      <c r="TXD226" s="1"/>
      <c r="TXE226" s="1"/>
      <c r="TXF226" s="1"/>
      <c r="TXG226" s="1"/>
      <c r="TXH226" s="1"/>
      <c r="TXI226" s="1"/>
      <c r="TXJ226" s="1"/>
      <c r="TXK226" s="1"/>
      <c r="TXL226" s="1"/>
      <c r="TXM226" s="1"/>
      <c r="TXN226" s="1"/>
      <c r="TXO226" s="1"/>
      <c r="TXP226" s="1"/>
      <c r="TXQ226" s="1"/>
      <c r="TXR226" s="1"/>
      <c r="TXS226" s="1"/>
      <c r="TXT226" s="1"/>
      <c r="TXU226" s="1"/>
      <c r="TXV226" s="1"/>
      <c r="TXW226" s="1"/>
      <c r="TXX226" s="1"/>
      <c r="TXY226" s="1"/>
      <c r="TXZ226" s="1"/>
      <c r="TYA226" s="1"/>
      <c r="TYB226" s="1"/>
      <c r="TYC226" s="1"/>
      <c r="TYD226" s="1"/>
      <c r="TYE226" s="1"/>
      <c r="TYF226" s="1"/>
      <c r="TYG226" s="1"/>
      <c r="TYH226" s="1"/>
      <c r="TYI226" s="1"/>
      <c r="TYJ226" s="1"/>
      <c r="TYK226" s="1"/>
      <c r="TYL226" s="1"/>
      <c r="TYM226" s="1"/>
      <c r="TYN226" s="1"/>
      <c r="TYO226" s="1"/>
      <c r="TYP226" s="1"/>
      <c r="TYQ226" s="1"/>
      <c r="TYR226" s="1"/>
      <c r="TYS226" s="1"/>
      <c r="TYT226" s="1"/>
      <c r="TYU226" s="1"/>
      <c r="TYV226" s="1"/>
      <c r="TYW226" s="1"/>
      <c r="TYX226" s="1"/>
      <c r="TYY226" s="1"/>
      <c r="TYZ226" s="1"/>
      <c r="TZA226" s="1"/>
      <c r="TZB226" s="1"/>
      <c r="TZC226" s="1"/>
      <c r="TZD226" s="1"/>
      <c r="TZE226" s="1"/>
      <c r="TZF226" s="1"/>
      <c r="TZG226" s="1"/>
      <c r="TZH226" s="1"/>
      <c r="TZI226" s="1"/>
      <c r="TZJ226" s="1"/>
      <c r="TZK226" s="1"/>
      <c r="TZL226" s="1"/>
      <c r="TZM226" s="1"/>
      <c r="TZN226" s="1"/>
      <c r="TZO226" s="1"/>
      <c r="TZP226" s="1"/>
      <c r="TZQ226" s="1"/>
      <c r="TZR226" s="1"/>
      <c r="TZS226" s="1"/>
      <c r="TZT226" s="1"/>
      <c r="TZU226" s="1"/>
      <c r="TZV226" s="1"/>
      <c r="TZW226" s="1"/>
      <c r="TZX226" s="1"/>
      <c r="TZY226" s="1"/>
      <c r="TZZ226" s="1"/>
      <c r="UAA226" s="1"/>
      <c r="UAB226" s="1"/>
      <c r="UAC226" s="1"/>
      <c r="UAD226" s="1"/>
      <c r="UAE226" s="1"/>
      <c r="UAF226" s="1"/>
      <c r="UAG226" s="1"/>
      <c r="UAH226" s="1"/>
      <c r="UAI226" s="1"/>
      <c r="UAJ226" s="1"/>
      <c r="UAK226" s="1"/>
      <c r="UAL226" s="1"/>
      <c r="UAM226" s="1"/>
      <c r="UAN226" s="1"/>
      <c r="UAO226" s="1"/>
      <c r="UAP226" s="1"/>
      <c r="UAQ226" s="1"/>
      <c r="UAR226" s="1"/>
      <c r="UAS226" s="1"/>
      <c r="UAT226" s="1"/>
      <c r="UAU226" s="1"/>
      <c r="UAV226" s="1"/>
      <c r="UAW226" s="1"/>
      <c r="UAX226" s="1"/>
      <c r="UAY226" s="1"/>
      <c r="UAZ226" s="1"/>
      <c r="UBA226" s="1"/>
      <c r="UBB226" s="1"/>
      <c r="UBC226" s="1"/>
      <c r="UBD226" s="1"/>
      <c r="UBE226" s="1"/>
      <c r="UBF226" s="1"/>
      <c r="UBG226" s="1"/>
      <c r="UBH226" s="1"/>
      <c r="UBI226" s="1"/>
      <c r="UBJ226" s="1"/>
      <c r="UBK226" s="1"/>
      <c r="UBL226" s="1"/>
      <c r="UBM226" s="1"/>
      <c r="UBN226" s="1"/>
      <c r="UBO226" s="1"/>
      <c r="UBP226" s="1"/>
      <c r="UBQ226" s="1"/>
      <c r="UBR226" s="1"/>
      <c r="UBS226" s="1"/>
      <c r="UBT226" s="1"/>
      <c r="UBU226" s="1"/>
      <c r="UBV226" s="1"/>
      <c r="UBW226" s="1"/>
      <c r="UBX226" s="1"/>
      <c r="UBY226" s="1"/>
      <c r="UBZ226" s="1"/>
      <c r="UCA226" s="1"/>
      <c r="UCB226" s="1"/>
      <c r="UCC226" s="1"/>
      <c r="UCD226" s="1"/>
      <c r="UCE226" s="1"/>
      <c r="UCF226" s="1"/>
      <c r="UCG226" s="1"/>
      <c r="UCH226" s="1"/>
      <c r="UCI226" s="1"/>
      <c r="UCJ226" s="1"/>
      <c r="UCK226" s="1"/>
      <c r="UCL226" s="1"/>
      <c r="UCM226" s="1"/>
      <c r="UCN226" s="1"/>
      <c r="UCO226" s="1"/>
      <c r="UCP226" s="1"/>
      <c r="UCQ226" s="1"/>
      <c r="UCR226" s="1"/>
      <c r="UCS226" s="1"/>
      <c r="UCT226" s="1"/>
      <c r="UCU226" s="1"/>
      <c r="UCV226" s="1"/>
      <c r="UCW226" s="1"/>
      <c r="UCX226" s="1"/>
      <c r="UCY226" s="1"/>
      <c r="UCZ226" s="1"/>
      <c r="UDA226" s="1"/>
      <c r="UDB226" s="1"/>
      <c r="UDC226" s="1"/>
      <c r="UDD226" s="1"/>
      <c r="UDE226" s="1"/>
      <c r="UDF226" s="1"/>
      <c r="UDG226" s="1"/>
      <c r="UDH226" s="1"/>
      <c r="UDI226" s="1"/>
      <c r="UDJ226" s="1"/>
      <c r="UDK226" s="1"/>
      <c r="UDL226" s="1"/>
      <c r="UDM226" s="1"/>
      <c r="UDN226" s="1"/>
      <c r="UDO226" s="1"/>
      <c r="UDP226" s="1"/>
      <c r="UDQ226" s="1"/>
      <c r="UDR226" s="1"/>
      <c r="UDS226" s="1"/>
      <c r="UDT226" s="1"/>
      <c r="UDU226" s="1"/>
      <c r="UDV226" s="1"/>
      <c r="UDW226" s="1"/>
      <c r="UDX226" s="1"/>
      <c r="UDY226" s="1"/>
      <c r="UDZ226" s="1"/>
      <c r="UEA226" s="1"/>
      <c r="UEB226" s="1"/>
      <c r="UEC226" s="1"/>
      <c r="UED226" s="1"/>
      <c r="UEE226" s="1"/>
      <c r="UEF226" s="1"/>
      <c r="UEG226" s="1"/>
      <c r="UEH226" s="1"/>
      <c r="UEI226" s="1"/>
      <c r="UEJ226" s="1"/>
      <c r="UEK226" s="1"/>
      <c r="UEL226" s="1"/>
      <c r="UEM226" s="1"/>
      <c r="UEN226" s="1"/>
      <c r="UEO226" s="1"/>
      <c r="UEP226" s="1"/>
      <c r="UEQ226" s="1"/>
      <c r="UER226" s="1"/>
      <c r="UES226" s="1"/>
      <c r="UET226" s="1"/>
      <c r="UEU226" s="1"/>
      <c r="UEV226" s="1"/>
      <c r="UEW226" s="1"/>
      <c r="UEX226" s="1"/>
      <c r="UEY226" s="1"/>
      <c r="UEZ226" s="1"/>
      <c r="UFA226" s="1"/>
      <c r="UFB226" s="1"/>
      <c r="UFC226" s="1"/>
      <c r="UFD226" s="1"/>
      <c r="UFE226" s="1"/>
      <c r="UFF226" s="1"/>
      <c r="UFG226" s="1"/>
      <c r="UFH226" s="1"/>
      <c r="UFI226" s="1"/>
      <c r="UFJ226" s="1"/>
      <c r="UFK226" s="1"/>
      <c r="UFL226" s="1"/>
      <c r="UFM226" s="1"/>
      <c r="UFN226" s="1"/>
      <c r="UFO226" s="1"/>
      <c r="UFP226" s="1"/>
      <c r="UFQ226" s="1"/>
      <c r="UFR226" s="1"/>
      <c r="UFS226" s="1"/>
      <c r="UFT226" s="1"/>
      <c r="UFU226" s="1"/>
      <c r="UFV226" s="1"/>
      <c r="UFW226" s="1"/>
      <c r="UFX226" s="1"/>
      <c r="UFY226" s="1"/>
      <c r="UFZ226" s="1"/>
      <c r="UGA226" s="1"/>
      <c r="UGB226" s="1"/>
      <c r="UGC226" s="1"/>
      <c r="UGD226" s="1"/>
      <c r="UGE226" s="1"/>
      <c r="UGF226" s="1"/>
      <c r="UGG226" s="1"/>
      <c r="UGH226" s="1"/>
      <c r="UGI226" s="1"/>
      <c r="UGJ226" s="1"/>
      <c r="UGK226" s="1"/>
      <c r="UGL226" s="1"/>
      <c r="UGM226" s="1"/>
      <c r="UGN226" s="1"/>
      <c r="UGO226" s="1"/>
      <c r="UGP226" s="1"/>
      <c r="UGQ226" s="1"/>
      <c r="UGR226" s="1"/>
      <c r="UGS226" s="1"/>
      <c r="UGT226" s="1"/>
      <c r="UGU226" s="1"/>
      <c r="UGV226" s="1"/>
      <c r="UGW226" s="1"/>
      <c r="UGX226" s="1"/>
      <c r="UGY226" s="1"/>
      <c r="UGZ226" s="1"/>
      <c r="UHA226" s="1"/>
      <c r="UHB226" s="1"/>
      <c r="UHC226" s="1"/>
      <c r="UHD226" s="1"/>
      <c r="UHE226" s="1"/>
      <c r="UHF226" s="1"/>
      <c r="UHG226" s="1"/>
      <c r="UHH226" s="1"/>
      <c r="UHI226" s="1"/>
      <c r="UHJ226" s="1"/>
      <c r="UHK226" s="1"/>
      <c r="UHL226" s="1"/>
      <c r="UHM226" s="1"/>
      <c r="UHN226" s="1"/>
      <c r="UHO226" s="1"/>
      <c r="UHP226" s="1"/>
      <c r="UHQ226" s="1"/>
      <c r="UHR226" s="1"/>
      <c r="UHS226" s="1"/>
      <c r="UHT226" s="1"/>
      <c r="UHU226" s="1"/>
      <c r="UHV226" s="1"/>
      <c r="UHW226" s="1"/>
      <c r="UHX226" s="1"/>
      <c r="UHY226" s="1"/>
      <c r="UHZ226" s="1"/>
      <c r="UIA226" s="1"/>
      <c r="UIB226" s="1"/>
      <c r="UIC226" s="1"/>
      <c r="UID226" s="1"/>
      <c r="UIE226" s="1"/>
      <c r="UIF226" s="1"/>
      <c r="UIG226" s="1"/>
      <c r="UIH226" s="1"/>
      <c r="UII226" s="1"/>
      <c r="UIJ226" s="1"/>
      <c r="UIK226" s="1"/>
      <c r="UIL226" s="1"/>
      <c r="UIM226" s="1"/>
      <c r="UIN226" s="1"/>
      <c r="UIO226" s="1"/>
      <c r="UIP226" s="1"/>
      <c r="UIQ226" s="1"/>
      <c r="UIR226" s="1"/>
      <c r="UIS226" s="1"/>
      <c r="UIT226" s="1"/>
      <c r="UIU226" s="1"/>
      <c r="UIV226" s="1"/>
      <c r="UIW226" s="1"/>
      <c r="UIX226" s="1"/>
      <c r="UIY226" s="1"/>
      <c r="UIZ226" s="1"/>
      <c r="UJA226" s="1"/>
      <c r="UJB226" s="1"/>
      <c r="UJC226" s="1"/>
      <c r="UJD226" s="1"/>
      <c r="UJE226" s="1"/>
      <c r="UJF226" s="1"/>
      <c r="UJG226" s="1"/>
      <c r="UJH226" s="1"/>
      <c r="UJI226" s="1"/>
      <c r="UJJ226" s="1"/>
      <c r="UJK226" s="1"/>
      <c r="UJL226" s="1"/>
      <c r="UJM226" s="1"/>
      <c r="UJN226" s="1"/>
      <c r="UJO226" s="1"/>
      <c r="UJP226" s="1"/>
      <c r="UJQ226" s="1"/>
      <c r="UJR226" s="1"/>
      <c r="UJS226" s="1"/>
      <c r="UJT226" s="1"/>
      <c r="UJU226" s="1"/>
      <c r="UJV226" s="1"/>
      <c r="UJW226" s="1"/>
      <c r="UJX226" s="1"/>
      <c r="UJY226" s="1"/>
      <c r="UJZ226" s="1"/>
      <c r="UKA226" s="1"/>
      <c r="UKB226" s="1"/>
      <c r="UKC226" s="1"/>
      <c r="UKD226" s="1"/>
      <c r="UKE226" s="1"/>
      <c r="UKF226" s="1"/>
      <c r="UKG226" s="1"/>
      <c r="UKH226" s="1"/>
      <c r="UKI226" s="1"/>
      <c r="UKJ226" s="1"/>
      <c r="UKK226" s="1"/>
      <c r="UKL226" s="1"/>
      <c r="UKM226" s="1"/>
      <c r="UKN226" s="1"/>
      <c r="UKO226" s="1"/>
      <c r="UKP226" s="1"/>
      <c r="UKQ226" s="1"/>
      <c r="UKR226" s="1"/>
      <c r="UKS226" s="1"/>
      <c r="UKT226" s="1"/>
      <c r="UKU226" s="1"/>
      <c r="UKV226" s="1"/>
      <c r="UKW226" s="1"/>
      <c r="UKX226" s="1"/>
      <c r="UKY226" s="1"/>
      <c r="UKZ226" s="1"/>
      <c r="ULA226" s="1"/>
      <c r="ULB226" s="1"/>
      <c r="ULC226" s="1"/>
      <c r="ULD226" s="1"/>
      <c r="ULE226" s="1"/>
      <c r="ULF226" s="1"/>
      <c r="ULG226" s="1"/>
      <c r="ULH226" s="1"/>
      <c r="ULI226" s="1"/>
      <c r="ULJ226" s="1"/>
      <c r="ULK226" s="1"/>
      <c r="ULL226" s="1"/>
      <c r="ULM226" s="1"/>
      <c r="ULN226" s="1"/>
      <c r="ULO226" s="1"/>
      <c r="ULP226" s="1"/>
      <c r="ULQ226" s="1"/>
      <c r="ULR226" s="1"/>
      <c r="ULS226" s="1"/>
      <c r="ULT226" s="1"/>
      <c r="ULU226" s="1"/>
      <c r="ULV226" s="1"/>
      <c r="ULW226" s="1"/>
      <c r="ULX226" s="1"/>
      <c r="ULY226" s="1"/>
      <c r="ULZ226" s="1"/>
      <c r="UMA226" s="1"/>
      <c r="UMB226" s="1"/>
      <c r="UMC226" s="1"/>
      <c r="UMD226" s="1"/>
      <c r="UME226" s="1"/>
      <c r="UMF226" s="1"/>
      <c r="UMG226" s="1"/>
      <c r="UMH226" s="1"/>
      <c r="UMI226" s="1"/>
      <c r="UMJ226" s="1"/>
      <c r="UMK226" s="1"/>
      <c r="UML226" s="1"/>
      <c r="UMM226" s="1"/>
      <c r="UMN226" s="1"/>
      <c r="UMO226" s="1"/>
      <c r="UMP226" s="1"/>
      <c r="UMQ226" s="1"/>
      <c r="UMR226" s="1"/>
      <c r="UMS226" s="1"/>
      <c r="UMT226" s="1"/>
      <c r="UMU226" s="1"/>
      <c r="UMV226" s="1"/>
      <c r="UMW226" s="1"/>
      <c r="UMX226" s="1"/>
      <c r="UMY226" s="1"/>
      <c r="UMZ226" s="1"/>
      <c r="UNA226" s="1"/>
      <c r="UNB226" s="1"/>
      <c r="UNC226" s="1"/>
      <c r="UND226" s="1"/>
      <c r="UNE226" s="1"/>
      <c r="UNF226" s="1"/>
      <c r="UNG226" s="1"/>
      <c r="UNH226" s="1"/>
      <c r="UNI226" s="1"/>
      <c r="UNJ226" s="1"/>
      <c r="UNK226" s="1"/>
      <c r="UNL226" s="1"/>
      <c r="UNM226" s="1"/>
      <c r="UNN226" s="1"/>
      <c r="UNO226" s="1"/>
      <c r="UNP226" s="1"/>
      <c r="UNQ226" s="1"/>
      <c r="UNR226" s="1"/>
      <c r="UNS226" s="1"/>
      <c r="UNT226" s="1"/>
      <c r="UNU226" s="1"/>
      <c r="UNV226" s="1"/>
      <c r="UNW226" s="1"/>
      <c r="UNX226" s="1"/>
      <c r="UNY226" s="1"/>
      <c r="UNZ226" s="1"/>
      <c r="UOA226" s="1"/>
      <c r="UOB226" s="1"/>
      <c r="UOC226" s="1"/>
      <c r="UOD226" s="1"/>
      <c r="UOE226" s="1"/>
      <c r="UOF226" s="1"/>
      <c r="UOG226" s="1"/>
      <c r="UOH226" s="1"/>
      <c r="UOI226" s="1"/>
      <c r="UOJ226" s="1"/>
      <c r="UOK226" s="1"/>
      <c r="UOL226" s="1"/>
      <c r="UOM226" s="1"/>
      <c r="UON226" s="1"/>
      <c r="UOO226" s="1"/>
      <c r="UOP226" s="1"/>
      <c r="UOQ226" s="1"/>
      <c r="UOR226" s="1"/>
      <c r="UOS226" s="1"/>
      <c r="UOT226" s="1"/>
      <c r="UOU226" s="1"/>
      <c r="UOV226" s="1"/>
      <c r="UOW226" s="1"/>
      <c r="UOX226" s="1"/>
      <c r="UOY226" s="1"/>
      <c r="UOZ226" s="1"/>
      <c r="UPA226" s="1"/>
      <c r="UPB226" s="1"/>
      <c r="UPC226" s="1"/>
      <c r="UPD226" s="1"/>
      <c r="UPE226" s="1"/>
      <c r="UPF226" s="1"/>
      <c r="UPG226" s="1"/>
      <c r="UPH226" s="1"/>
      <c r="UPI226" s="1"/>
      <c r="UPJ226" s="1"/>
      <c r="UPK226" s="1"/>
      <c r="UPL226" s="1"/>
      <c r="UPM226" s="1"/>
      <c r="UPN226" s="1"/>
      <c r="UPO226" s="1"/>
      <c r="UPP226" s="1"/>
      <c r="UPQ226" s="1"/>
      <c r="UPR226" s="1"/>
      <c r="UPS226" s="1"/>
      <c r="UPT226" s="1"/>
      <c r="UPU226" s="1"/>
      <c r="UPV226" s="1"/>
      <c r="UPW226" s="1"/>
      <c r="UPX226" s="1"/>
      <c r="UPY226" s="1"/>
      <c r="UPZ226" s="1"/>
      <c r="UQA226" s="1"/>
      <c r="UQB226" s="1"/>
      <c r="UQC226" s="1"/>
      <c r="UQD226" s="1"/>
      <c r="UQE226" s="1"/>
      <c r="UQF226" s="1"/>
      <c r="UQG226" s="1"/>
      <c r="UQH226" s="1"/>
      <c r="UQI226" s="1"/>
      <c r="UQJ226" s="1"/>
      <c r="UQK226" s="1"/>
      <c r="UQL226" s="1"/>
      <c r="UQM226" s="1"/>
      <c r="UQN226" s="1"/>
      <c r="UQO226" s="1"/>
      <c r="UQP226" s="1"/>
      <c r="UQQ226" s="1"/>
      <c r="UQR226" s="1"/>
      <c r="UQS226" s="1"/>
      <c r="UQT226" s="1"/>
      <c r="UQU226" s="1"/>
      <c r="UQV226" s="1"/>
      <c r="UQW226" s="1"/>
      <c r="UQX226" s="1"/>
      <c r="UQY226" s="1"/>
      <c r="UQZ226" s="1"/>
      <c r="URA226" s="1"/>
      <c r="URB226" s="1"/>
      <c r="URC226" s="1"/>
      <c r="URD226" s="1"/>
      <c r="URE226" s="1"/>
      <c r="URF226" s="1"/>
      <c r="URG226" s="1"/>
      <c r="URH226" s="1"/>
      <c r="URI226" s="1"/>
      <c r="URJ226" s="1"/>
      <c r="URK226" s="1"/>
      <c r="URL226" s="1"/>
      <c r="URM226" s="1"/>
      <c r="URN226" s="1"/>
      <c r="URO226" s="1"/>
      <c r="URP226" s="1"/>
      <c r="URQ226" s="1"/>
      <c r="URR226" s="1"/>
      <c r="URS226" s="1"/>
      <c r="URT226" s="1"/>
      <c r="URU226" s="1"/>
      <c r="URV226" s="1"/>
      <c r="URW226" s="1"/>
      <c r="URX226" s="1"/>
      <c r="URY226" s="1"/>
      <c r="URZ226" s="1"/>
      <c r="USA226" s="1"/>
      <c r="USB226" s="1"/>
      <c r="USC226" s="1"/>
      <c r="USD226" s="1"/>
      <c r="USE226" s="1"/>
      <c r="USF226" s="1"/>
      <c r="USG226" s="1"/>
      <c r="USH226" s="1"/>
      <c r="USI226" s="1"/>
      <c r="USJ226" s="1"/>
      <c r="USK226" s="1"/>
      <c r="USL226" s="1"/>
      <c r="USM226" s="1"/>
      <c r="USN226" s="1"/>
      <c r="USO226" s="1"/>
      <c r="USP226" s="1"/>
      <c r="USQ226" s="1"/>
      <c r="USR226" s="1"/>
      <c r="USS226" s="1"/>
      <c r="UST226" s="1"/>
      <c r="USU226" s="1"/>
      <c r="USV226" s="1"/>
      <c r="USW226" s="1"/>
      <c r="USX226" s="1"/>
      <c r="USY226" s="1"/>
      <c r="USZ226" s="1"/>
      <c r="UTA226" s="1"/>
      <c r="UTB226" s="1"/>
      <c r="UTC226" s="1"/>
      <c r="UTD226" s="1"/>
      <c r="UTE226" s="1"/>
      <c r="UTF226" s="1"/>
      <c r="UTG226" s="1"/>
      <c r="UTH226" s="1"/>
      <c r="UTI226" s="1"/>
      <c r="UTJ226" s="1"/>
      <c r="UTK226" s="1"/>
      <c r="UTL226" s="1"/>
      <c r="UTM226" s="1"/>
      <c r="UTN226" s="1"/>
      <c r="UTO226" s="1"/>
      <c r="UTP226" s="1"/>
      <c r="UTQ226" s="1"/>
      <c r="UTR226" s="1"/>
      <c r="UTS226" s="1"/>
      <c r="UTT226" s="1"/>
      <c r="UTU226" s="1"/>
      <c r="UTV226" s="1"/>
      <c r="UTW226" s="1"/>
      <c r="UTX226" s="1"/>
      <c r="UTY226" s="1"/>
      <c r="UTZ226" s="1"/>
      <c r="UUA226" s="1"/>
      <c r="UUB226" s="1"/>
      <c r="UUC226" s="1"/>
      <c r="UUD226" s="1"/>
      <c r="UUE226" s="1"/>
      <c r="UUF226" s="1"/>
      <c r="UUG226" s="1"/>
      <c r="UUH226" s="1"/>
      <c r="UUI226" s="1"/>
      <c r="UUJ226" s="1"/>
      <c r="UUK226" s="1"/>
      <c r="UUL226" s="1"/>
      <c r="UUM226" s="1"/>
      <c r="UUN226" s="1"/>
      <c r="UUO226" s="1"/>
      <c r="UUP226" s="1"/>
      <c r="UUQ226" s="1"/>
      <c r="UUR226" s="1"/>
      <c r="UUS226" s="1"/>
      <c r="UUT226" s="1"/>
      <c r="UUU226" s="1"/>
      <c r="UUV226" s="1"/>
      <c r="UUW226" s="1"/>
      <c r="UUX226" s="1"/>
      <c r="UUY226" s="1"/>
      <c r="UUZ226" s="1"/>
      <c r="UVA226" s="1"/>
      <c r="UVB226" s="1"/>
      <c r="UVC226" s="1"/>
      <c r="UVD226" s="1"/>
      <c r="UVE226" s="1"/>
      <c r="UVF226" s="1"/>
      <c r="UVG226" s="1"/>
      <c r="UVH226" s="1"/>
      <c r="UVI226" s="1"/>
      <c r="UVJ226" s="1"/>
      <c r="UVK226" s="1"/>
      <c r="UVL226" s="1"/>
      <c r="UVM226" s="1"/>
      <c r="UVN226" s="1"/>
      <c r="UVO226" s="1"/>
      <c r="UVP226" s="1"/>
      <c r="UVQ226" s="1"/>
      <c r="UVR226" s="1"/>
      <c r="UVS226" s="1"/>
      <c r="UVT226" s="1"/>
      <c r="UVU226" s="1"/>
      <c r="UVV226" s="1"/>
      <c r="UVW226" s="1"/>
      <c r="UVX226" s="1"/>
      <c r="UVY226" s="1"/>
      <c r="UVZ226" s="1"/>
      <c r="UWA226" s="1"/>
      <c r="UWB226" s="1"/>
      <c r="UWC226" s="1"/>
      <c r="UWD226" s="1"/>
      <c r="UWE226" s="1"/>
      <c r="UWF226" s="1"/>
      <c r="UWG226" s="1"/>
      <c r="UWH226" s="1"/>
      <c r="UWI226" s="1"/>
      <c r="UWJ226" s="1"/>
      <c r="UWK226" s="1"/>
      <c r="UWL226" s="1"/>
      <c r="UWM226" s="1"/>
      <c r="UWN226" s="1"/>
      <c r="UWO226" s="1"/>
      <c r="UWP226" s="1"/>
      <c r="UWQ226" s="1"/>
      <c r="UWR226" s="1"/>
      <c r="UWS226" s="1"/>
      <c r="UWT226" s="1"/>
      <c r="UWU226" s="1"/>
      <c r="UWV226" s="1"/>
      <c r="UWW226" s="1"/>
      <c r="UWX226" s="1"/>
      <c r="UWY226" s="1"/>
      <c r="UWZ226" s="1"/>
      <c r="UXA226" s="1"/>
      <c r="UXB226" s="1"/>
      <c r="UXC226" s="1"/>
      <c r="UXD226" s="1"/>
      <c r="UXE226" s="1"/>
      <c r="UXF226" s="1"/>
      <c r="UXG226" s="1"/>
      <c r="UXH226" s="1"/>
      <c r="UXI226" s="1"/>
      <c r="UXJ226" s="1"/>
      <c r="UXK226" s="1"/>
      <c r="UXL226" s="1"/>
      <c r="UXM226" s="1"/>
      <c r="UXN226" s="1"/>
      <c r="UXO226" s="1"/>
      <c r="UXP226" s="1"/>
      <c r="UXQ226" s="1"/>
      <c r="UXR226" s="1"/>
      <c r="UXS226" s="1"/>
      <c r="UXT226" s="1"/>
      <c r="UXU226" s="1"/>
      <c r="UXV226" s="1"/>
      <c r="UXW226" s="1"/>
      <c r="UXX226" s="1"/>
      <c r="UXY226" s="1"/>
      <c r="UXZ226" s="1"/>
      <c r="UYA226" s="1"/>
      <c r="UYB226" s="1"/>
      <c r="UYC226" s="1"/>
      <c r="UYD226" s="1"/>
      <c r="UYE226" s="1"/>
      <c r="UYF226" s="1"/>
      <c r="UYG226" s="1"/>
      <c r="UYH226" s="1"/>
      <c r="UYI226" s="1"/>
      <c r="UYJ226" s="1"/>
      <c r="UYK226" s="1"/>
      <c r="UYL226" s="1"/>
      <c r="UYM226" s="1"/>
      <c r="UYN226" s="1"/>
      <c r="UYO226" s="1"/>
      <c r="UYP226" s="1"/>
      <c r="UYQ226" s="1"/>
      <c r="UYR226" s="1"/>
      <c r="UYS226" s="1"/>
      <c r="UYT226" s="1"/>
      <c r="UYU226" s="1"/>
      <c r="UYV226" s="1"/>
      <c r="UYW226" s="1"/>
      <c r="UYX226" s="1"/>
      <c r="UYY226" s="1"/>
      <c r="UYZ226" s="1"/>
      <c r="UZA226" s="1"/>
      <c r="UZB226" s="1"/>
      <c r="UZC226" s="1"/>
      <c r="UZD226" s="1"/>
      <c r="UZE226" s="1"/>
      <c r="UZF226" s="1"/>
      <c r="UZG226" s="1"/>
      <c r="UZH226" s="1"/>
      <c r="UZI226" s="1"/>
      <c r="UZJ226" s="1"/>
      <c r="UZK226" s="1"/>
      <c r="UZL226" s="1"/>
      <c r="UZM226" s="1"/>
      <c r="UZN226" s="1"/>
      <c r="UZO226" s="1"/>
      <c r="UZP226" s="1"/>
      <c r="UZQ226" s="1"/>
      <c r="UZR226" s="1"/>
      <c r="UZS226" s="1"/>
      <c r="UZT226" s="1"/>
      <c r="UZU226" s="1"/>
      <c r="UZV226" s="1"/>
      <c r="UZW226" s="1"/>
      <c r="UZX226" s="1"/>
      <c r="UZY226" s="1"/>
      <c r="UZZ226" s="1"/>
      <c r="VAA226" s="1"/>
      <c r="VAB226" s="1"/>
      <c r="VAC226" s="1"/>
      <c r="VAD226" s="1"/>
      <c r="VAE226" s="1"/>
      <c r="VAF226" s="1"/>
      <c r="VAG226" s="1"/>
      <c r="VAH226" s="1"/>
      <c r="VAI226" s="1"/>
      <c r="VAJ226" s="1"/>
      <c r="VAK226" s="1"/>
      <c r="VAL226" s="1"/>
      <c r="VAM226" s="1"/>
      <c r="VAN226" s="1"/>
      <c r="VAO226" s="1"/>
      <c r="VAP226" s="1"/>
      <c r="VAQ226" s="1"/>
      <c r="VAR226" s="1"/>
      <c r="VAS226" s="1"/>
      <c r="VAT226" s="1"/>
      <c r="VAU226" s="1"/>
      <c r="VAV226" s="1"/>
      <c r="VAW226" s="1"/>
      <c r="VAX226" s="1"/>
      <c r="VAY226" s="1"/>
      <c r="VAZ226" s="1"/>
      <c r="VBA226" s="1"/>
      <c r="VBB226" s="1"/>
      <c r="VBC226" s="1"/>
      <c r="VBD226" s="1"/>
      <c r="VBE226" s="1"/>
      <c r="VBF226" s="1"/>
      <c r="VBG226" s="1"/>
      <c r="VBH226" s="1"/>
      <c r="VBI226" s="1"/>
      <c r="VBJ226" s="1"/>
      <c r="VBK226" s="1"/>
      <c r="VBL226" s="1"/>
      <c r="VBM226" s="1"/>
      <c r="VBN226" s="1"/>
      <c r="VBO226" s="1"/>
      <c r="VBP226" s="1"/>
      <c r="VBQ226" s="1"/>
      <c r="VBR226" s="1"/>
      <c r="VBS226" s="1"/>
      <c r="VBT226" s="1"/>
      <c r="VBU226" s="1"/>
      <c r="VBV226" s="1"/>
      <c r="VBW226" s="1"/>
      <c r="VBX226" s="1"/>
      <c r="VBY226" s="1"/>
      <c r="VBZ226" s="1"/>
      <c r="VCA226" s="1"/>
      <c r="VCB226" s="1"/>
      <c r="VCC226" s="1"/>
      <c r="VCD226" s="1"/>
      <c r="VCE226" s="1"/>
      <c r="VCF226" s="1"/>
      <c r="VCG226" s="1"/>
      <c r="VCH226" s="1"/>
      <c r="VCI226" s="1"/>
      <c r="VCJ226" s="1"/>
      <c r="VCK226" s="1"/>
      <c r="VCL226" s="1"/>
      <c r="VCM226" s="1"/>
      <c r="VCN226" s="1"/>
      <c r="VCO226" s="1"/>
      <c r="VCP226" s="1"/>
      <c r="VCQ226" s="1"/>
      <c r="VCR226" s="1"/>
      <c r="VCS226" s="1"/>
      <c r="VCT226" s="1"/>
      <c r="VCU226" s="1"/>
      <c r="VCV226" s="1"/>
      <c r="VCW226" s="1"/>
    </row>
    <row r="227" spans="5:14973" s="2" customFormat="1" x14ac:dyDescent="0.3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343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5"/>
      <c r="AO227" s="5"/>
      <c r="AP227" s="1"/>
      <c r="AQ227" s="1"/>
      <c r="AR227" s="1"/>
      <c r="AT227" s="3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  <c r="ALM227" s="1"/>
      <c r="ALN227" s="1"/>
      <c r="ALO227" s="1"/>
      <c r="ALP227" s="1"/>
      <c r="ALQ227" s="1"/>
      <c r="ALR227" s="1"/>
      <c r="ALS227" s="1"/>
      <c r="ALT227" s="1"/>
      <c r="ALU227" s="1"/>
      <c r="ALV227" s="1"/>
      <c r="ALW227" s="1"/>
      <c r="ALX227" s="1"/>
      <c r="ALY227" s="1"/>
      <c r="ALZ227" s="1"/>
      <c r="AMA227" s="1"/>
      <c r="AMB227" s="1"/>
      <c r="AMC227" s="1"/>
      <c r="AMD227" s="1"/>
      <c r="AME227" s="1"/>
      <c r="AMF227" s="1"/>
      <c r="AMG227" s="1"/>
      <c r="AMH227" s="1"/>
      <c r="AMI227" s="1"/>
      <c r="AMJ227" s="1"/>
      <c r="AMK227" s="1"/>
      <c r="AML227" s="1"/>
      <c r="AMM227" s="1"/>
      <c r="AMN227" s="1"/>
      <c r="AMO227" s="1"/>
      <c r="AMP227" s="1"/>
      <c r="AMQ227" s="1"/>
      <c r="AMR227" s="1"/>
      <c r="AMS227" s="1"/>
      <c r="AMT227" s="1"/>
      <c r="AMU227" s="1"/>
      <c r="AMV227" s="1"/>
      <c r="AMW227" s="1"/>
      <c r="AMX227" s="1"/>
      <c r="AMY227" s="1"/>
      <c r="AMZ227" s="1"/>
      <c r="ANA227" s="1"/>
      <c r="ANB227" s="1"/>
      <c r="ANC227" s="1"/>
      <c r="AND227" s="1"/>
      <c r="ANE227" s="1"/>
      <c r="ANF227" s="1"/>
      <c r="ANG227" s="1"/>
      <c r="ANH227" s="1"/>
      <c r="ANI227" s="1"/>
      <c r="ANJ227" s="1"/>
      <c r="ANK227" s="1"/>
      <c r="ANL227" s="1"/>
      <c r="ANM227" s="1"/>
      <c r="ANN227" s="1"/>
      <c r="ANO227" s="1"/>
      <c r="ANP227" s="1"/>
      <c r="ANQ227" s="1"/>
      <c r="ANR227" s="1"/>
      <c r="ANS227" s="1"/>
      <c r="ANT227" s="1"/>
      <c r="ANU227" s="1"/>
      <c r="ANV227" s="1"/>
      <c r="ANW227" s="1"/>
      <c r="ANX227" s="1"/>
      <c r="ANY227" s="1"/>
      <c r="ANZ227" s="1"/>
      <c r="AOA227" s="1"/>
      <c r="AOB227" s="1"/>
      <c r="AOC227" s="1"/>
      <c r="AOD227" s="1"/>
      <c r="AOE227" s="1"/>
      <c r="AOF227" s="1"/>
      <c r="AOG227" s="1"/>
      <c r="AOH227" s="1"/>
      <c r="AOI227" s="1"/>
      <c r="AOJ227" s="1"/>
      <c r="AOK227" s="1"/>
      <c r="AOL227" s="1"/>
      <c r="AOM227" s="1"/>
      <c r="AON227" s="1"/>
      <c r="AOO227" s="1"/>
      <c r="AOP227" s="1"/>
      <c r="AOQ227" s="1"/>
      <c r="AOR227" s="1"/>
      <c r="AOS227" s="1"/>
      <c r="AOT227" s="1"/>
      <c r="AOU227" s="1"/>
      <c r="AOV227" s="1"/>
      <c r="AOW227" s="1"/>
      <c r="AOX227" s="1"/>
      <c r="AOY227" s="1"/>
      <c r="AOZ227" s="1"/>
      <c r="APA227" s="1"/>
      <c r="APB227" s="1"/>
      <c r="APC227" s="1"/>
      <c r="APD227" s="1"/>
      <c r="APE227" s="1"/>
      <c r="APF227" s="1"/>
      <c r="APG227" s="1"/>
      <c r="APH227" s="1"/>
      <c r="API227" s="1"/>
      <c r="APJ227" s="1"/>
      <c r="APK227" s="1"/>
      <c r="APL227" s="1"/>
      <c r="APM227" s="1"/>
      <c r="APN227" s="1"/>
      <c r="APO227" s="1"/>
      <c r="APP227" s="1"/>
      <c r="APQ227" s="1"/>
      <c r="APR227" s="1"/>
      <c r="APS227" s="1"/>
      <c r="APT227" s="1"/>
      <c r="APU227" s="1"/>
      <c r="APV227" s="1"/>
      <c r="APW227" s="1"/>
      <c r="APX227" s="1"/>
      <c r="APY227" s="1"/>
      <c r="APZ227" s="1"/>
      <c r="AQA227" s="1"/>
      <c r="AQB227" s="1"/>
      <c r="AQC227" s="1"/>
      <c r="AQD227" s="1"/>
      <c r="AQE227" s="1"/>
      <c r="AQF227" s="1"/>
      <c r="AQG227" s="1"/>
      <c r="AQH227" s="1"/>
      <c r="AQI227" s="1"/>
      <c r="AQJ227" s="1"/>
      <c r="AQK227" s="1"/>
      <c r="AQL227" s="1"/>
      <c r="AQM227" s="1"/>
      <c r="AQN227" s="1"/>
      <c r="AQO227" s="1"/>
      <c r="AQP227" s="1"/>
      <c r="AQQ227" s="1"/>
      <c r="AQR227" s="1"/>
      <c r="AQS227" s="1"/>
      <c r="AQT227" s="1"/>
      <c r="AQU227" s="1"/>
      <c r="AQV227" s="1"/>
      <c r="AQW227" s="1"/>
      <c r="AQX227" s="1"/>
      <c r="AQY227" s="1"/>
      <c r="AQZ227" s="1"/>
      <c r="ARA227" s="1"/>
      <c r="ARB227" s="1"/>
      <c r="ARC227" s="1"/>
      <c r="ARD227" s="1"/>
      <c r="ARE227" s="1"/>
      <c r="ARF227" s="1"/>
      <c r="ARG227" s="1"/>
      <c r="ARH227" s="1"/>
      <c r="ARI227" s="1"/>
      <c r="ARJ227" s="1"/>
      <c r="ARK227" s="1"/>
      <c r="ARL227" s="1"/>
      <c r="ARM227" s="1"/>
      <c r="ARN227" s="1"/>
      <c r="ARO227" s="1"/>
      <c r="ARP227" s="1"/>
      <c r="ARQ227" s="1"/>
      <c r="ARR227" s="1"/>
      <c r="ARS227" s="1"/>
      <c r="ART227" s="1"/>
      <c r="ARU227" s="1"/>
      <c r="ARV227" s="1"/>
      <c r="ARW227" s="1"/>
      <c r="ARX227" s="1"/>
      <c r="ARY227" s="1"/>
      <c r="ARZ227" s="1"/>
      <c r="ASA227" s="1"/>
      <c r="ASB227" s="1"/>
      <c r="ASC227" s="1"/>
      <c r="ASD227" s="1"/>
      <c r="ASE227" s="1"/>
      <c r="ASF227" s="1"/>
      <c r="ASG227" s="1"/>
      <c r="ASH227" s="1"/>
      <c r="ASI227" s="1"/>
      <c r="ASJ227" s="1"/>
      <c r="ASK227" s="1"/>
      <c r="ASL227" s="1"/>
      <c r="ASM227" s="1"/>
      <c r="ASN227" s="1"/>
      <c r="ASO227" s="1"/>
      <c r="ASP227" s="1"/>
      <c r="ASQ227" s="1"/>
      <c r="ASR227" s="1"/>
      <c r="ASS227" s="1"/>
      <c r="AST227" s="1"/>
      <c r="ASU227" s="1"/>
      <c r="ASV227" s="1"/>
      <c r="ASW227" s="1"/>
      <c r="ASX227" s="1"/>
      <c r="ASY227" s="1"/>
      <c r="ASZ227" s="1"/>
      <c r="ATA227" s="1"/>
      <c r="ATB227" s="1"/>
      <c r="ATC227" s="1"/>
      <c r="ATD227" s="1"/>
      <c r="ATE227" s="1"/>
      <c r="ATF227" s="1"/>
      <c r="ATG227" s="1"/>
      <c r="ATH227" s="1"/>
      <c r="ATI227" s="1"/>
      <c r="ATJ227" s="1"/>
      <c r="ATK227" s="1"/>
      <c r="ATL227" s="1"/>
      <c r="ATM227" s="1"/>
      <c r="ATN227" s="1"/>
      <c r="ATO227" s="1"/>
      <c r="ATP227" s="1"/>
      <c r="ATQ227" s="1"/>
      <c r="ATR227" s="1"/>
      <c r="ATS227" s="1"/>
      <c r="ATT227" s="1"/>
      <c r="ATU227" s="1"/>
      <c r="ATV227" s="1"/>
      <c r="ATW227" s="1"/>
      <c r="ATX227" s="1"/>
      <c r="ATY227" s="1"/>
      <c r="ATZ227" s="1"/>
      <c r="AUA227" s="1"/>
      <c r="AUB227" s="1"/>
      <c r="AUC227" s="1"/>
      <c r="AUD227" s="1"/>
      <c r="AUE227" s="1"/>
      <c r="AUF227" s="1"/>
      <c r="AUG227" s="1"/>
      <c r="AUH227" s="1"/>
      <c r="AUI227" s="1"/>
      <c r="AUJ227" s="1"/>
      <c r="AUK227" s="1"/>
      <c r="AUL227" s="1"/>
      <c r="AUM227" s="1"/>
      <c r="AUN227" s="1"/>
      <c r="AUO227" s="1"/>
      <c r="AUP227" s="1"/>
      <c r="AUQ227" s="1"/>
      <c r="AUR227" s="1"/>
      <c r="AUS227" s="1"/>
      <c r="AUT227" s="1"/>
      <c r="AUU227" s="1"/>
      <c r="AUV227" s="1"/>
      <c r="AUW227" s="1"/>
      <c r="AUX227" s="1"/>
      <c r="AUY227" s="1"/>
      <c r="AUZ227" s="1"/>
      <c r="AVA227" s="1"/>
      <c r="AVB227" s="1"/>
      <c r="AVC227" s="1"/>
      <c r="AVD227" s="1"/>
      <c r="AVE227" s="1"/>
      <c r="AVF227" s="1"/>
      <c r="AVG227" s="1"/>
      <c r="AVH227" s="1"/>
      <c r="AVI227" s="1"/>
      <c r="AVJ227" s="1"/>
      <c r="AVK227" s="1"/>
      <c r="AVL227" s="1"/>
      <c r="AVM227" s="1"/>
      <c r="AVN227" s="1"/>
      <c r="AVO227" s="1"/>
      <c r="AVP227" s="1"/>
      <c r="AVQ227" s="1"/>
      <c r="AVR227" s="1"/>
      <c r="AVS227" s="1"/>
      <c r="AVT227" s="1"/>
      <c r="AVU227" s="1"/>
      <c r="AVV227" s="1"/>
      <c r="AVW227" s="1"/>
      <c r="AVX227" s="1"/>
      <c r="AVY227" s="1"/>
      <c r="AVZ227" s="1"/>
      <c r="AWA227" s="1"/>
      <c r="AWB227" s="1"/>
      <c r="AWC227" s="1"/>
      <c r="AWD227" s="1"/>
      <c r="AWE227" s="1"/>
      <c r="AWF227" s="1"/>
      <c r="AWG227" s="1"/>
      <c r="AWH227" s="1"/>
      <c r="AWI227" s="1"/>
      <c r="AWJ227" s="1"/>
      <c r="AWK227" s="1"/>
      <c r="AWL227" s="1"/>
      <c r="AWM227" s="1"/>
      <c r="AWN227" s="1"/>
      <c r="AWO227" s="1"/>
      <c r="AWP227" s="1"/>
      <c r="AWQ227" s="1"/>
      <c r="AWR227" s="1"/>
      <c r="AWS227" s="1"/>
      <c r="AWT227" s="1"/>
      <c r="AWU227" s="1"/>
      <c r="AWV227" s="1"/>
      <c r="AWW227" s="1"/>
      <c r="AWX227" s="1"/>
      <c r="AWY227" s="1"/>
      <c r="AWZ227" s="1"/>
      <c r="AXA227" s="1"/>
      <c r="AXB227" s="1"/>
      <c r="AXC227" s="1"/>
      <c r="AXD227" s="1"/>
      <c r="AXE227" s="1"/>
      <c r="AXF227" s="1"/>
      <c r="AXG227" s="1"/>
      <c r="AXH227" s="1"/>
      <c r="AXI227" s="1"/>
      <c r="AXJ227" s="1"/>
      <c r="AXK227" s="1"/>
      <c r="AXL227" s="1"/>
      <c r="AXM227" s="1"/>
      <c r="AXN227" s="1"/>
      <c r="AXO227" s="1"/>
      <c r="AXP227" s="1"/>
      <c r="AXQ227" s="1"/>
      <c r="AXR227" s="1"/>
      <c r="AXS227" s="1"/>
      <c r="AXT227" s="1"/>
      <c r="AXU227" s="1"/>
      <c r="AXV227" s="1"/>
      <c r="AXW227" s="1"/>
      <c r="AXX227" s="1"/>
      <c r="AXY227" s="1"/>
      <c r="AXZ227" s="1"/>
      <c r="AYA227" s="1"/>
      <c r="AYB227" s="1"/>
      <c r="AYC227" s="1"/>
      <c r="AYD227" s="1"/>
      <c r="AYE227" s="1"/>
      <c r="AYF227" s="1"/>
      <c r="AYG227" s="1"/>
      <c r="AYH227" s="1"/>
      <c r="AYI227" s="1"/>
      <c r="AYJ227" s="1"/>
      <c r="AYK227" s="1"/>
      <c r="AYL227" s="1"/>
      <c r="AYM227" s="1"/>
      <c r="AYN227" s="1"/>
      <c r="AYO227" s="1"/>
      <c r="AYP227" s="1"/>
      <c r="AYQ227" s="1"/>
      <c r="AYR227" s="1"/>
      <c r="AYS227" s="1"/>
      <c r="AYT227" s="1"/>
      <c r="AYU227" s="1"/>
      <c r="AYV227" s="1"/>
      <c r="AYW227" s="1"/>
      <c r="AYX227" s="1"/>
      <c r="AYY227" s="1"/>
      <c r="AYZ227" s="1"/>
      <c r="AZA227" s="1"/>
      <c r="AZB227" s="1"/>
      <c r="AZC227" s="1"/>
      <c r="AZD227" s="1"/>
      <c r="AZE227" s="1"/>
      <c r="AZF227" s="1"/>
      <c r="AZG227" s="1"/>
      <c r="AZH227" s="1"/>
      <c r="AZI227" s="1"/>
      <c r="AZJ227" s="1"/>
      <c r="AZK227" s="1"/>
      <c r="AZL227" s="1"/>
      <c r="AZM227" s="1"/>
      <c r="AZN227" s="1"/>
      <c r="AZO227" s="1"/>
      <c r="AZP227" s="1"/>
      <c r="AZQ227" s="1"/>
      <c r="AZR227" s="1"/>
      <c r="AZS227" s="1"/>
      <c r="AZT227" s="1"/>
      <c r="AZU227" s="1"/>
      <c r="AZV227" s="1"/>
      <c r="AZW227" s="1"/>
      <c r="AZX227" s="1"/>
      <c r="AZY227" s="1"/>
      <c r="AZZ227" s="1"/>
      <c r="BAA227" s="1"/>
      <c r="BAB227" s="1"/>
      <c r="BAC227" s="1"/>
      <c r="BAD227" s="1"/>
      <c r="BAE227" s="1"/>
      <c r="BAF227" s="1"/>
      <c r="BAG227" s="1"/>
      <c r="BAH227" s="1"/>
      <c r="BAI227" s="1"/>
      <c r="BAJ227" s="1"/>
      <c r="BAK227" s="1"/>
      <c r="BAL227" s="1"/>
      <c r="BAM227" s="1"/>
      <c r="BAN227" s="1"/>
      <c r="BAO227" s="1"/>
      <c r="BAP227" s="1"/>
      <c r="BAQ227" s="1"/>
      <c r="BAR227" s="1"/>
      <c r="BAS227" s="1"/>
      <c r="BAT227" s="1"/>
      <c r="BAU227" s="1"/>
      <c r="BAV227" s="1"/>
      <c r="BAW227" s="1"/>
      <c r="BAX227" s="1"/>
      <c r="BAY227" s="1"/>
      <c r="BAZ227" s="1"/>
      <c r="BBA227" s="1"/>
      <c r="BBB227" s="1"/>
      <c r="BBC227" s="1"/>
      <c r="BBD227" s="1"/>
      <c r="BBE227" s="1"/>
      <c r="BBF227" s="1"/>
      <c r="BBG227" s="1"/>
      <c r="BBH227" s="1"/>
      <c r="BBI227" s="1"/>
      <c r="BBJ227" s="1"/>
      <c r="BBK227" s="1"/>
      <c r="BBL227" s="1"/>
      <c r="BBM227" s="1"/>
      <c r="BBN227" s="1"/>
      <c r="BBO227" s="1"/>
      <c r="BBP227" s="1"/>
      <c r="BBQ227" s="1"/>
      <c r="BBR227" s="1"/>
      <c r="BBS227" s="1"/>
      <c r="BBT227" s="1"/>
      <c r="BBU227" s="1"/>
      <c r="BBV227" s="1"/>
      <c r="BBW227" s="1"/>
      <c r="BBX227" s="1"/>
      <c r="BBY227" s="1"/>
      <c r="BBZ227" s="1"/>
      <c r="BCA227" s="1"/>
      <c r="BCB227" s="1"/>
      <c r="BCC227" s="1"/>
      <c r="BCD227" s="1"/>
      <c r="BCE227" s="1"/>
      <c r="BCF227" s="1"/>
      <c r="BCG227" s="1"/>
      <c r="BCH227" s="1"/>
      <c r="BCI227" s="1"/>
      <c r="BCJ227" s="1"/>
      <c r="BCK227" s="1"/>
      <c r="BCL227" s="1"/>
      <c r="BCM227" s="1"/>
      <c r="BCN227" s="1"/>
      <c r="BCO227" s="1"/>
      <c r="BCP227" s="1"/>
      <c r="BCQ227" s="1"/>
      <c r="BCR227" s="1"/>
      <c r="BCS227" s="1"/>
      <c r="BCT227" s="1"/>
      <c r="BCU227" s="1"/>
      <c r="BCV227" s="1"/>
      <c r="BCW227" s="1"/>
      <c r="BCX227" s="1"/>
      <c r="BCY227" s="1"/>
      <c r="BCZ227" s="1"/>
      <c r="BDA227" s="1"/>
      <c r="BDB227" s="1"/>
      <c r="BDC227" s="1"/>
      <c r="BDD227" s="1"/>
      <c r="BDE227" s="1"/>
      <c r="BDF227" s="1"/>
      <c r="BDG227" s="1"/>
      <c r="BDH227" s="1"/>
      <c r="BDI227" s="1"/>
      <c r="BDJ227" s="1"/>
      <c r="BDK227" s="1"/>
      <c r="BDL227" s="1"/>
      <c r="BDM227" s="1"/>
      <c r="BDN227" s="1"/>
      <c r="BDO227" s="1"/>
      <c r="BDP227" s="1"/>
      <c r="BDQ227" s="1"/>
      <c r="BDR227" s="1"/>
      <c r="BDS227" s="1"/>
      <c r="BDT227" s="1"/>
      <c r="BDU227" s="1"/>
      <c r="BDV227" s="1"/>
      <c r="BDW227" s="1"/>
      <c r="BDX227" s="1"/>
      <c r="BDY227" s="1"/>
      <c r="BDZ227" s="1"/>
      <c r="BEA227" s="1"/>
      <c r="BEB227" s="1"/>
      <c r="BEC227" s="1"/>
      <c r="BED227" s="1"/>
      <c r="BEE227" s="1"/>
      <c r="BEF227" s="1"/>
      <c r="BEG227" s="1"/>
      <c r="BEH227" s="1"/>
      <c r="BEI227" s="1"/>
      <c r="BEJ227" s="1"/>
      <c r="BEK227" s="1"/>
      <c r="BEL227" s="1"/>
      <c r="BEM227" s="1"/>
      <c r="BEN227" s="1"/>
      <c r="BEO227" s="1"/>
      <c r="BEP227" s="1"/>
      <c r="BEQ227" s="1"/>
      <c r="BER227" s="1"/>
      <c r="BES227" s="1"/>
      <c r="BET227" s="1"/>
      <c r="BEU227" s="1"/>
      <c r="BEV227" s="1"/>
      <c r="BEW227" s="1"/>
      <c r="BEX227" s="1"/>
      <c r="BEY227" s="1"/>
      <c r="BEZ227" s="1"/>
      <c r="BFA227" s="1"/>
      <c r="BFB227" s="1"/>
      <c r="BFC227" s="1"/>
      <c r="BFD227" s="1"/>
      <c r="BFE227" s="1"/>
      <c r="BFF227" s="1"/>
      <c r="BFG227" s="1"/>
      <c r="BFH227" s="1"/>
      <c r="BFI227" s="1"/>
      <c r="BFJ227" s="1"/>
      <c r="BFK227" s="1"/>
      <c r="BFL227" s="1"/>
      <c r="BFM227" s="1"/>
      <c r="BFN227" s="1"/>
      <c r="BFO227" s="1"/>
      <c r="BFP227" s="1"/>
      <c r="BFQ227" s="1"/>
      <c r="BFR227" s="1"/>
      <c r="BFS227" s="1"/>
      <c r="BFT227" s="1"/>
      <c r="BFU227" s="1"/>
      <c r="BFV227" s="1"/>
      <c r="BFW227" s="1"/>
      <c r="BFX227" s="1"/>
      <c r="BFY227" s="1"/>
      <c r="BFZ227" s="1"/>
      <c r="BGA227" s="1"/>
      <c r="BGB227" s="1"/>
      <c r="BGC227" s="1"/>
      <c r="BGD227" s="1"/>
      <c r="BGE227" s="1"/>
      <c r="BGF227" s="1"/>
      <c r="BGG227" s="1"/>
      <c r="BGH227" s="1"/>
      <c r="BGI227" s="1"/>
      <c r="BGJ227" s="1"/>
      <c r="BGK227" s="1"/>
      <c r="BGL227" s="1"/>
      <c r="BGM227" s="1"/>
      <c r="BGN227" s="1"/>
      <c r="BGO227" s="1"/>
      <c r="BGP227" s="1"/>
      <c r="BGQ227" s="1"/>
      <c r="BGR227" s="1"/>
      <c r="BGS227" s="1"/>
      <c r="BGT227" s="1"/>
      <c r="BGU227" s="1"/>
      <c r="BGV227" s="1"/>
      <c r="BGW227" s="1"/>
      <c r="BGX227" s="1"/>
      <c r="BGY227" s="1"/>
      <c r="BGZ227" s="1"/>
      <c r="BHA227" s="1"/>
      <c r="BHB227" s="1"/>
      <c r="BHC227" s="1"/>
      <c r="BHD227" s="1"/>
      <c r="BHE227" s="1"/>
      <c r="BHF227" s="1"/>
      <c r="BHG227" s="1"/>
      <c r="BHH227" s="1"/>
      <c r="BHI227" s="1"/>
      <c r="BHJ227" s="1"/>
      <c r="BHK227" s="1"/>
      <c r="BHL227" s="1"/>
      <c r="BHM227" s="1"/>
      <c r="BHN227" s="1"/>
      <c r="BHO227" s="1"/>
      <c r="BHP227" s="1"/>
      <c r="BHQ227" s="1"/>
      <c r="BHR227" s="1"/>
      <c r="BHS227" s="1"/>
      <c r="BHT227" s="1"/>
      <c r="BHU227" s="1"/>
      <c r="BHV227" s="1"/>
      <c r="BHW227" s="1"/>
      <c r="BHX227" s="1"/>
      <c r="BHY227" s="1"/>
      <c r="BHZ227" s="1"/>
      <c r="BIA227" s="1"/>
      <c r="BIB227" s="1"/>
      <c r="BIC227" s="1"/>
      <c r="BID227" s="1"/>
      <c r="BIE227" s="1"/>
      <c r="BIF227" s="1"/>
      <c r="BIG227" s="1"/>
      <c r="BIH227" s="1"/>
      <c r="BII227" s="1"/>
      <c r="BIJ227" s="1"/>
      <c r="BIK227" s="1"/>
      <c r="BIL227" s="1"/>
      <c r="BIM227" s="1"/>
      <c r="BIN227" s="1"/>
      <c r="BIO227" s="1"/>
      <c r="BIP227" s="1"/>
      <c r="BIQ227" s="1"/>
      <c r="BIR227" s="1"/>
      <c r="BIS227" s="1"/>
      <c r="BIT227" s="1"/>
      <c r="BIU227" s="1"/>
      <c r="BIV227" s="1"/>
      <c r="BIW227" s="1"/>
      <c r="BIX227" s="1"/>
      <c r="BIY227" s="1"/>
      <c r="BIZ227" s="1"/>
      <c r="BJA227" s="1"/>
      <c r="BJB227" s="1"/>
      <c r="BJC227" s="1"/>
      <c r="BJD227" s="1"/>
      <c r="BJE227" s="1"/>
      <c r="BJF227" s="1"/>
      <c r="BJG227" s="1"/>
      <c r="BJH227" s="1"/>
      <c r="BJI227" s="1"/>
      <c r="BJJ227" s="1"/>
      <c r="BJK227" s="1"/>
      <c r="BJL227" s="1"/>
      <c r="BJM227" s="1"/>
      <c r="BJN227" s="1"/>
      <c r="BJO227" s="1"/>
      <c r="BJP227" s="1"/>
      <c r="BJQ227" s="1"/>
      <c r="BJR227" s="1"/>
      <c r="BJS227" s="1"/>
      <c r="BJT227" s="1"/>
      <c r="BJU227" s="1"/>
      <c r="BJV227" s="1"/>
      <c r="BJW227" s="1"/>
      <c r="BJX227" s="1"/>
      <c r="BJY227" s="1"/>
      <c r="BJZ227" s="1"/>
      <c r="BKA227" s="1"/>
      <c r="BKB227" s="1"/>
      <c r="BKC227" s="1"/>
      <c r="BKD227" s="1"/>
      <c r="BKE227" s="1"/>
      <c r="BKF227" s="1"/>
      <c r="BKG227" s="1"/>
      <c r="BKH227" s="1"/>
      <c r="BKI227" s="1"/>
      <c r="BKJ227" s="1"/>
      <c r="BKK227" s="1"/>
      <c r="BKL227" s="1"/>
      <c r="BKM227" s="1"/>
      <c r="BKN227" s="1"/>
      <c r="BKO227" s="1"/>
      <c r="BKP227" s="1"/>
      <c r="BKQ227" s="1"/>
      <c r="BKR227" s="1"/>
      <c r="BKS227" s="1"/>
      <c r="BKT227" s="1"/>
      <c r="BKU227" s="1"/>
      <c r="BKV227" s="1"/>
      <c r="BKW227" s="1"/>
      <c r="BKX227" s="1"/>
      <c r="BKY227" s="1"/>
      <c r="BKZ227" s="1"/>
      <c r="BLA227" s="1"/>
      <c r="BLB227" s="1"/>
      <c r="BLC227" s="1"/>
      <c r="BLD227" s="1"/>
      <c r="BLE227" s="1"/>
      <c r="BLF227" s="1"/>
      <c r="BLG227" s="1"/>
      <c r="BLH227" s="1"/>
      <c r="BLI227" s="1"/>
      <c r="BLJ227" s="1"/>
      <c r="BLK227" s="1"/>
      <c r="BLL227" s="1"/>
      <c r="BLM227" s="1"/>
      <c r="BLN227" s="1"/>
      <c r="BLO227" s="1"/>
      <c r="BLP227" s="1"/>
      <c r="BLQ227" s="1"/>
      <c r="BLR227" s="1"/>
      <c r="BLS227" s="1"/>
      <c r="BLT227" s="1"/>
      <c r="BLU227" s="1"/>
      <c r="BLV227" s="1"/>
      <c r="BLW227" s="1"/>
      <c r="BLX227" s="1"/>
      <c r="BLY227" s="1"/>
      <c r="BLZ227" s="1"/>
      <c r="BMA227" s="1"/>
      <c r="BMB227" s="1"/>
      <c r="BMC227" s="1"/>
      <c r="BMD227" s="1"/>
      <c r="BME227" s="1"/>
      <c r="BMF227" s="1"/>
      <c r="BMG227" s="1"/>
      <c r="BMH227" s="1"/>
      <c r="BMI227" s="1"/>
      <c r="BMJ227" s="1"/>
      <c r="BMK227" s="1"/>
      <c r="BML227" s="1"/>
      <c r="BMM227" s="1"/>
      <c r="BMN227" s="1"/>
      <c r="BMO227" s="1"/>
      <c r="BMP227" s="1"/>
      <c r="BMQ227" s="1"/>
      <c r="BMR227" s="1"/>
      <c r="BMS227" s="1"/>
      <c r="BMT227" s="1"/>
      <c r="BMU227" s="1"/>
      <c r="BMV227" s="1"/>
      <c r="BMW227" s="1"/>
      <c r="BMX227" s="1"/>
      <c r="BMY227" s="1"/>
      <c r="BMZ227" s="1"/>
      <c r="BNA227" s="1"/>
      <c r="BNB227" s="1"/>
      <c r="BNC227" s="1"/>
      <c r="BND227" s="1"/>
      <c r="BNE227" s="1"/>
      <c r="BNF227" s="1"/>
      <c r="BNG227" s="1"/>
      <c r="BNH227" s="1"/>
      <c r="BNI227" s="1"/>
      <c r="BNJ227" s="1"/>
      <c r="BNK227" s="1"/>
      <c r="BNL227" s="1"/>
      <c r="BNM227" s="1"/>
      <c r="BNN227" s="1"/>
      <c r="BNO227" s="1"/>
      <c r="BNP227" s="1"/>
      <c r="BNQ227" s="1"/>
      <c r="BNR227" s="1"/>
      <c r="BNS227" s="1"/>
      <c r="BNT227" s="1"/>
      <c r="BNU227" s="1"/>
      <c r="BNV227" s="1"/>
      <c r="BNW227" s="1"/>
      <c r="BNX227" s="1"/>
      <c r="BNY227" s="1"/>
      <c r="BNZ227" s="1"/>
      <c r="BOA227" s="1"/>
      <c r="BOB227" s="1"/>
      <c r="BOC227" s="1"/>
      <c r="BOD227" s="1"/>
      <c r="BOE227" s="1"/>
      <c r="BOF227" s="1"/>
      <c r="BOG227" s="1"/>
      <c r="BOH227" s="1"/>
      <c r="BOI227" s="1"/>
      <c r="BOJ227" s="1"/>
      <c r="BOK227" s="1"/>
      <c r="BOL227" s="1"/>
      <c r="BOM227" s="1"/>
      <c r="BON227" s="1"/>
      <c r="BOO227" s="1"/>
      <c r="BOP227" s="1"/>
      <c r="BOQ227" s="1"/>
      <c r="BOR227" s="1"/>
      <c r="BOS227" s="1"/>
      <c r="BOT227" s="1"/>
      <c r="BOU227" s="1"/>
      <c r="BOV227" s="1"/>
      <c r="BOW227" s="1"/>
      <c r="BOX227" s="1"/>
      <c r="BOY227" s="1"/>
      <c r="BOZ227" s="1"/>
      <c r="BPA227" s="1"/>
      <c r="BPB227" s="1"/>
      <c r="BPC227" s="1"/>
      <c r="BPD227" s="1"/>
      <c r="BPE227" s="1"/>
      <c r="BPF227" s="1"/>
      <c r="BPG227" s="1"/>
      <c r="BPH227" s="1"/>
      <c r="BPI227" s="1"/>
      <c r="BPJ227" s="1"/>
      <c r="BPK227" s="1"/>
      <c r="BPL227" s="1"/>
      <c r="BPM227" s="1"/>
      <c r="BPN227" s="1"/>
      <c r="BPO227" s="1"/>
      <c r="BPP227" s="1"/>
      <c r="BPQ227" s="1"/>
      <c r="BPR227" s="1"/>
      <c r="BPS227" s="1"/>
      <c r="BPT227" s="1"/>
      <c r="BPU227" s="1"/>
      <c r="BPV227" s="1"/>
      <c r="BPW227" s="1"/>
      <c r="BPX227" s="1"/>
      <c r="BPY227" s="1"/>
      <c r="BPZ227" s="1"/>
      <c r="BQA227" s="1"/>
      <c r="BQB227" s="1"/>
      <c r="BQC227" s="1"/>
      <c r="BQD227" s="1"/>
      <c r="BQE227" s="1"/>
      <c r="BQF227" s="1"/>
      <c r="BQG227" s="1"/>
      <c r="BQH227" s="1"/>
      <c r="BQI227" s="1"/>
      <c r="BQJ227" s="1"/>
      <c r="BQK227" s="1"/>
      <c r="BQL227" s="1"/>
      <c r="BQM227" s="1"/>
      <c r="BQN227" s="1"/>
      <c r="BQO227" s="1"/>
      <c r="BQP227" s="1"/>
      <c r="BQQ227" s="1"/>
      <c r="BQR227" s="1"/>
      <c r="BQS227" s="1"/>
      <c r="BQT227" s="1"/>
      <c r="BQU227" s="1"/>
      <c r="BQV227" s="1"/>
      <c r="BQW227" s="1"/>
      <c r="BQX227" s="1"/>
      <c r="BQY227" s="1"/>
      <c r="BQZ227" s="1"/>
      <c r="BRA227" s="1"/>
      <c r="BRB227" s="1"/>
      <c r="BRC227" s="1"/>
      <c r="BRD227" s="1"/>
      <c r="BRE227" s="1"/>
      <c r="BRF227" s="1"/>
      <c r="BRG227" s="1"/>
      <c r="BRH227" s="1"/>
      <c r="BRI227" s="1"/>
      <c r="BRJ227" s="1"/>
      <c r="BRK227" s="1"/>
      <c r="BRL227" s="1"/>
      <c r="BRM227" s="1"/>
      <c r="BRN227" s="1"/>
      <c r="BRO227" s="1"/>
      <c r="BRP227" s="1"/>
      <c r="BRQ227" s="1"/>
      <c r="BRR227" s="1"/>
      <c r="BRS227" s="1"/>
      <c r="BRT227" s="1"/>
      <c r="BRU227" s="1"/>
      <c r="BRV227" s="1"/>
      <c r="BRW227" s="1"/>
      <c r="BRX227" s="1"/>
      <c r="BRY227" s="1"/>
      <c r="BRZ227" s="1"/>
      <c r="BSA227" s="1"/>
      <c r="BSB227" s="1"/>
      <c r="BSC227" s="1"/>
      <c r="BSD227" s="1"/>
      <c r="BSE227" s="1"/>
      <c r="BSF227" s="1"/>
      <c r="BSG227" s="1"/>
      <c r="BSH227" s="1"/>
      <c r="BSI227" s="1"/>
      <c r="BSJ227" s="1"/>
      <c r="BSK227" s="1"/>
      <c r="BSL227" s="1"/>
      <c r="BSM227" s="1"/>
      <c r="BSN227" s="1"/>
      <c r="BSO227" s="1"/>
      <c r="BSP227" s="1"/>
      <c r="BSQ227" s="1"/>
      <c r="BSR227" s="1"/>
      <c r="BSS227" s="1"/>
      <c r="BST227" s="1"/>
      <c r="BSU227" s="1"/>
      <c r="BSV227" s="1"/>
      <c r="BSW227" s="1"/>
      <c r="BSX227" s="1"/>
      <c r="BSY227" s="1"/>
      <c r="BSZ227" s="1"/>
      <c r="BTA227" s="1"/>
      <c r="BTB227" s="1"/>
      <c r="BTC227" s="1"/>
      <c r="BTD227" s="1"/>
      <c r="BTE227" s="1"/>
      <c r="BTF227" s="1"/>
      <c r="BTG227" s="1"/>
      <c r="BTH227" s="1"/>
      <c r="BTI227" s="1"/>
      <c r="BTJ227" s="1"/>
      <c r="BTK227" s="1"/>
      <c r="BTL227" s="1"/>
      <c r="BTM227" s="1"/>
      <c r="BTN227" s="1"/>
      <c r="BTO227" s="1"/>
      <c r="BTP227" s="1"/>
      <c r="BTQ227" s="1"/>
      <c r="BTR227" s="1"/>
      <c r="BTS227" s="1"/>
      <c r="BTT227" s="1"/>
      <c r="BTU227" s="1"/>
      <c r="BTV227" s="1"/>
      <c r="BTW227" s="1"/>
      <c r="BTX227" s="1"/>
      <c r="BTY227" s="1"/>
      <c r="BTZ227" s="1"/>
      <c r="BUA227" s="1"/>
      <c r="BUB227" s="1"/>
      <c r="BUC227" s="1"/>
      <c r="BUD227" s="1"/>
      <c r="BUE227" s="1"/>
      <c r="BUF227" s="1"/>
      <c r="BUG227" s="1"/>
      <c r="BUH227" s="1"/>
      <c r="BUI227" s="1"/>
      <c r="BUJ227" s="1"/>
      <c r="BUK227" s="1"/>
      <c r="BUL227" s="1"/>
      <c r="BUM227" s="1"/>
      <c r="BUN227" s="1"/>
      <c r="BUO227" s="1"/>
      <c r="BUP227" s="1"/>
      <c r="BUQ227" s="1"/>
      <c r="BUR227" s="1"/>
      <c r="BUS227" s="1"/>
      <c r="BUT227" s="1"/>
      <c r="BUU227" s="1"/>
      <c r="BUV227" s="1"/>
      <c r="BUW227" s="1"/>
      <c r="BUX227" s="1"/>
      <c r="BUY227" s="1"/>
      <c r="BUZ227" s="1"/>
      <c r="BVA227" s="1"/>
      <c r="BVB227" s="1"/>
      <c r="BVC227" s="1"/>
      <c r="BVD227" s="1"/>
      <c r="BVE227" s="1"/>
      <c r="BVF227" s="1"/>
      <c r="BVG227" s="1"/>
      <c r="BVH227" s="1"/>
      <c r="BVI227" s="1"/>
      <c r="BVJ227" s="1"/>
      <c r="BVK227" s="1"/>
      <c r="BVL227" s="1"/>
      <c r="BVM227" s="1"/>
      <c r="BVN227" s="1"/>
      <c r="BVO227" s="1"/>
      <c r="BVP227" s="1"/>
      <c r="BVQ227" s="1"/>
      <c r="BVR227" s="1"/>
      <c r="BVS227" s="1"/>
      <c r="BVT227" s="1"/>
      <c r="BVU227" s="1"/>
      <c r="BVV227" s="1"/>
      <c r="BVW227" s="1"/>
      <c r="BVX227" s="1"/>
      <c r="BVY227" s="1"/>
      <c r="BVZ227" s="1"/>
      <c r="BWA227" s="1"/>
      <c r="BWB227" s="1"/>
      <c r="BWC227" s="1"/>
      <c r="BWD227" s="1"/>
      <c r="BWE227" s="1"/>
      <c r="BWF227" s="1"/>
      <c r="BWG227" s="1"/>
      <c r="BWH227" s="1"/>
      <c r="BWI227" s="1"/>
      <c r="BWJ227" s="1"/>
      <c r="BWK227" s="1"/>
      <c r="BWL227" s="1"/>
      <c r="BWM227" s="1"/>
      <c r="BWN227" s="1"/>
      <c r="BWO227" s="1"/>
      <c r="BWP227" s="1"/>
      <c r="BWQ227" s="1"/>
      <c r="BWR227" s="1"/>
      <c r="BWS227" s="1"/>
      <c r="BWT227" s="1"/>
      <c r="BWU227" s="1"/>
      <c r="BWV227" s="1"/>
      <c r="BWW227" s="1"/>
      <c r="BWX227" s="1"/>
      <c r="BWY227" s="1"/>
      <c r="BWZ227" s="1"/>
      <c r="BXA227" s="1"/>
      <c r="BXB227" s="1"/>
      <c r="BXC227" s="1"/>
      <c r="BXD227" s="1"/>
      <c r="BXE227" s="1"/>
      <c r="BXF227" s="1"/>
      <c r="BXG227" s="1"/>
      <c r="BXH227" s="1"/>
      <c r="BXI227" s="1"/>
      <c r="BXJ227" s="1"/>
      <c r="BXK227" s="1"/>
      <c r="BXL227" s="1"/>
      <c r="BXM227" s="1"/>
      <c r="BXN227" s="1"/>
      <c r="BXO227" s="1"/>
      <c r="BXP227" s="1"/>
      <c r="BXQ227" s="1"/>
      <c r="BXR227" s="1"/>
      <c r="BXS227" s="1"/>
      <c r="BXT227" s="1"/>
      <c r="BXU227" s="1"/>
      <c r="BXV227" s="1"/>
      <c r="BXW227" s="1"/>
      <c r="BXX227" s="1"/>
      <c r="BXY227" s="1"/>
      <c r="BXZ227" s="1"/>
      <c r="BYA227" s="1"/>
      <c r="BYB227" s="1"/>
      <c r="BYC227" s="1"/>
      <c r="BYD227" s="1"/>
      <c r="BYE227" s="1"/>
      <c r="BYF227" s="1"/>
      <c r="BYG227" s="1"/>
      <c r="BYH227" s="1"/>
      <c r="BYI227" s="1"/>
      <c r="BYJ227" s="1"/>
      <c r="BYK227" s="1"/>
      <c r="BYL227" s="1"/>
      <c r="BYM227" s="1"/>
      <c r="BYN227" s="1"/>
      <c r="BYO227" s="1"/>
      <c r="BYP227" s="1"/>
      <c r="BYQ227" s="1"/>
      <c r="BYR227" s="1"/>
      <c r="BYS227" s="1"/>
      <c r="BYT227" s="1"/>
      <c r="BYU227" s="1"/>
      <c r="BYV227" s="1"/>
      <c r="BYW227" s="1"/>
      <c r="BYX227" s="1"/>
      <c r="BYY227" s="1"/>
      <c r="BYZ227" s="1"/>
      <c r="BZA227" s="1"/>
      <c r="BZB227" s="1"/>
      <c r="BZC227" s="1"/>
      <c r="BZD227" s="1"/>
      <c r="BZE227" s="1"/>
      <c r="BZF227" s="1"/>
      <c r="BZG227" s="1"/>
      <c r="BZH227" s="1"/>
      <c r="BZI227" s="1"/>
      <c r="BZJ227" s="1"/>
      <c r="BZK227" s="1"/>
      <c r="BZL227" s="1"/>
      <c r="BZM227" s="1"/>
      <c r="BZN227" s="1"/>
      <c r="BZO227" s="1"/>
      <c r="BZP227" s="1"/>
      <c r="BZQ227" s="1"/>
      <c r="BZR227" s="1"/>
      <c r="BZS227" s="1"/>
      <c r="BZT227" s="1"/>
      <c r="BZU227" s="1"/>
      <c r="BZV227" s="1"/>
      <c r="BZW227" s="1"/>
      <c r="BZX227" s="1"/>
      <c r="BZY227" s="1"/>
      <c r="BZZ227" s="1"/>
      <c r="CAA227" s="1"/>
      <c r="CAB227" s="1"/>
      <c r="CAC227" s="1"/>
      <c r="CAD227" s="1"/>
      <c r="CAE227" s="1"/>
      <c r="CAF227" s="1"/>
      <c r="CAG227" s="1"/>
      <c r="CAH227" s="1"/>
      <c r="CAI227" s="1"/>
      <c r="CAJ227" s="1"/>
      <c r="CAK227" s="1"/>
      <c r="CAL227" s="1"/>
      <c r="CAM227" s="1"/>
      <c r="CAN227" s="1"/>
      <c r="CAO227" s="1"/>
      <c r="CAP227" s="1"/>
      <c r="CAQ227" s="1"/>
      <c r="CAR227" s="1"/>
      <c r="CAS227" s="1"/>
      <c r="CAT227" s="1"/>
      <c r="CAU227" s="1"/>
      <c r="CAV227" s="1"/>
      <c r="CAW227" s="1"/>
      <c r="CAX227" s="1"/>
      <c r="CAY227" s="1"/>
      <c r="CAZ227" s="1"/>
      <c r="CBA227" s="1"/>
      <c r="CBB227" s="1"/>
      <c r="CBC227" s="1"/>
      <c r="CBD227" s="1"/>
      <c r="CBE227" s="1"/>
      <c r="CBF227" s="1"/>
      <c r="CBG227" s="1"/>
      <c r="CBH227" s="1"/>
      <c r="CBI227" s="1"/>
      <c r="CBJ227" s="1"/>
      <c r="CBK227" s="1"/>
      <c r="CBL227" s="1"/>
      <c r="CBM227" s="1"/>
      <c r="CBN227" s="1"/>
      <c r="CBO227" s="1"/>
      <c r="CBP227" s="1"/>
      <c r="CBQ227" s="1"/>
      <c r="CBR227" s="1"/>
      <c r="CBS227" s="1"/>
      <c r="CBT227" s="1"/>
      <c r="CBU227" s="1"/>
      <c r="CBV227" s="1"/>
      <c r="CBW227" s="1"/>
      <c r="CBX227" s="1"/>
      <c r="CBY227" s="1"/>
      <c r="CBZ227" s="1"/>
      <c r="CCA227" s="1"/>
      <c r="CCB227" s="1"/>
      <c r="CCC227" s="1"/>
      <c r="CCD227" s="1"/>
      <c r="CCE227" s="1"/>
      <c r="CCF227" s="1"/>
      <c r="CCG227" s="1"/>
      <c r="CCH227" s="1"/>
      <c r="CCI227" s="1"/>
      <c r="CCJ227" s="1"/>
      <c r="CCK227" s="1"/>
      <c r="CCL227" s="1"/>
      <c r="CCM227" s="1"/>
      <c r="CCN227" s="1"/>
      <c r="CCO227" s="1"/>
      <c r="CCP227" s="1"/>
      <c r="CCQ227" s="1"/>
      <c r="CCR227" s="1"/>
      <c r="CCS227" s="1"/>
      <c r="CCT227" s="1"/>
      <c r="CCU227" s="1"/>
      <c r="CCV227" s="1"/>
      <c r="CCW227" s="1"/>
      <c r="CCX227" s="1"/>
      <c r="CCY227" s="1"/>
      <c r="CCZ227" s="1"/>
      <c r="CDA227" s="1"/>
      <c r="CDB227" s="1"/>
      <c r="CDC227" s="1"/>
      <c r="CDD227" s="1"/>
      <c r="CDE227" s="1"/>
      <c r="CDF227" s="1"/>
      <c r="CDG227" s="1"/>
      <c r="CDH227" s="1"/>
      <c r="CDI227" s="1"/>
      <c r="CDJ227" s="1"/>
      <c r="CDK227" s="1"/>
      <c r="CDL227" s="1"/>
      <c r="CDM227" s="1"/>
      <c r="CDN227" s="1"/>
      <c r="CDO227" s="1"/>
      <c r="CDP227" s="1"/>
      <c r="CDQ227" s="1"/>
      <c r="CDR227" s="1"/>
      <c r="CDS227" s="1"/>
      <c r="CDT227" s="1"/>
      <c r="CDU227" s="1"/>
      <c r="CDV227" s="1"/>
      <c r="CDW227" s="1"/>
      <c r="CDX227" s="1"/>
      <c r="CDY227" s="1"/>
      <c r="CDZ227" s="1"/>
      <c r="CEA227" s="1"/>
      <c r="CEB227" s="1"/>
      <c r="CEC227" s="1"/>
      <c r="CED227" s="1"/>
      <c r="CEE227" s="1"/>
      <c r="CEF227" s="1"/>
      <c r="CEG227" s="1"/>
      <c r="CEH227" s="1"/>
      <c r="CEI227" s="1"/>
      <c r="CEJ227" s="1"/>
      <c r="CEK227" s="1"/>
      <c r="CEL227" s="1"/>
      <c r="CEM227" s="1"/>
      <c r="CEN227" s="1"/>
      <c r="CEO227" s="1"/>
      <c r="CEP227" s="1"/>
      <c r="CEQ227" s="1"/>
      <c r="CER227" s="1"/>
      <c r="CES227" s="1"/>
      <c r="CET227" s="1"/>
      <c r="CEU227" s="1"/>
      <c r="CEV227" s="1"/>
      <c r="CEW227" s="1"/>
      <c r="CEX227" s="1"/>
      <c r="CEY227" s="1"/>
      <c r="CEZ227" s="1"/>
      <c r="CFA227" s="1"/>
      <c r="CFB227" s="1"/>
      <c r="CFC227" s="1"/>
      <c r="CFD227" s="1"/>
      <c r="CFE227" s="1"/>
      <c r="CFF227" s="1"/>
      <c r="CFG227" s="1"/>
      <c r="CFH227" s="1"/>
      <c r="CFI227" s="1"/>
      <c r="CFJ227" s="1"/>
      <c r="CFK227" s="1"/>
      <c r="CFL227" s="1"/>
      <c r="CFM227" s="1"/>
      <c r="CFN227" s="1"/>
      <c r="CFO227" s="1"/>
      <c r="CFP227" s="1"/>
      <c r="CFQ227" s="1"/>
      <c r="CFR227" s="1"/>
      <c r="CFS227" s="1"/>
      <c r="CFT227" s="1"/>
      <c r="CFU227" s="1"/>
      <c r="CFV227" s="1"/>
      <c r="CFW227" s="1"/>
      <c r="CFX227" s="1"/>
      <c r="CFY227" s="1"/>
      <c r="CFZ227" s="1"/>
      <c r="CGA227" s="1"/>
      <c r="CGB227" s="1"/>
      <c r="CGC227" s="1"/>
      <c r="CGD227" s="1"/>
      <c r="CGE227" s="1"/>
      <c r="CGF227" s="1"/>
      <c r="CGG227" s="1"/>
      <c r="CGH227" s="1"/>
      <c r="CGI227" s="1"/>
      <c r="CGJ227" s="1"/>
      <c r="CGK227" s="1"/>
      <c r="CGL227" s="1"/>
      <c r="CGM227" s="1"/>
      <c r="CGN227" s="1"/>
      <c r="CGO227" s="1"/>
      <c r="CGP227" s="1"/>
      <c r="CGQ227" s="1"/>
      <c r="CGR227" s="1"/>
      <c r="CGS227" s="1"/>
      <c r="CGT227" s="1"/>
      <c r="CGU227" s="1"/>
      <c r="CGV227" s="1"/>
      <c r="CGW227" s="1"/>
      <c r="CGX227" s="1"/>
      <c r="CGY227" s="1"/>
      <c r="CGZ227" s="1"/>
      <c r="CHA227" s="1"/>
      <c r="CHB227" s="1"/>
      <c r="CHC227" s="1"/>
      <c r="CHD227" s="1"/>
      <c r="CHE227" s="1"/>
      <c r="CHF227" s="1"/>
      <c r="CHG227" s="1"/>
      <c r="CHH227" s="1"/>
      <c r="CHI227" s="1"/>
      <c r="CHJ227" s="1"/>
      <c r="CHK227" s="1"/>
      <c r="CHL227" s="1"/>
      <c r="CHM227" s="1"/>
      <c r="CHN227" s="1"/>
      <c r="CHO227" s="1"/>
      <c r="CHP227" s="1"/>
      <c r="CHQ227" s="1"/>
      <c r="CHR227" s="1"/>
      <c r="CHS227" s="1"/>
      <c r="CHT227" s="1"/>
      <c r="CHU227" s="1"/>
      <c r="CHV227" s="1"/>
      <c r="CHW227" s="1"/>
      <c r="CHX227" s="1"/>
      <c r="CHY227" s="1"/>
      <c r="CHZ227" s="1"/>
      <c r="CIA227" s="1"/>
      <c r="CIB227" s="1"/>
      <c r="CIC227" s="1"/>
      <c r="CID227" s="1"/>
      <c r="CIE227" s="1"/>
      <c r="CIF227" s="1"/>
      <c r="CIG227" s="1"/>
      <c r="CIH227" s="1"/>
      <c r="CII227" s="1"/>
      <c r="CIJ227" s="1"/>
      <c r="CIK227" s="1"/>
      <c r="CIL227" s="1"/>
      <c r="CIM227" s="1"/>
      <c r="CIN227" s="1"/>
      <c r="CIO227" s="1"/>
      <c r="CIP227" s="1"/>
      <c r="CIQ227" s="1"/>
      <c r="CIR227" s="1"/>
      <c r="CIS227" s="1"/>
      <c r="CIT227" s="1"/>
      <c r="CIU227" s="1"/>
      <c r="CIV227" s="1"/>
      <c r="CIW227" s="1"/>
      <c r="CIX227" s="1"/>
      <c r="CIY227" s="1"/>
      <c r="CIZ227" s="1"/>
      <c r="CJA227" s="1"/>
      <c r="CJB227" s="1"/>
      <c r="CJC227" s="1"/>
      <c r="CJD227" s="1"/>
      <c r="CJE227" s="1"/>
      <c r="CJF227" s="1"/>
      <c r="CJG227" s="1"/>
      <c r="CJH227" s="1"/>
      <c r="CJI227" s="1"/>
      <c r="CJJ227" s="1"/>
      <c r="CJK227" s="1"/>
      <c r="CJL227" s="1"/>
      <c r="CJM227" s="1"/>
      <c r="CJN227" s="1"/>
      <c r="CJO227" s="1"/>
      <c r="CJP227" s="1"/>
      <c r="CJQ227" s="1"/>
      <c r="CJR227" s="1"/>
      <c r="CJS227" s="1"/>
      <c r="CJT227" s="1"/>
      <c r="CJU227" s="1"/>
      <c r="CJV227" s="1"/>
      <c r="CJW227" s="1"/>
      <c r="CJX227" s="1"/>
      <c r="CJY227" s="1"/>
      <c r="CJZ227" s="1"/>
      <c r="CKA227" s="1"/>
      <c r="CKB227" s="1"/>
      <c r="CKC227" s="1"/>
      <c r="CKD227" s="1"/>
      <c r="CKE227" s="1"/>
      <c r="CKF227" s="1"/>
      <c r="CKG227" s="1"/>
      <c r="CKH227" s="1"/>
      <c r="CKI227" s="1"/>
      <c r="CKJ227" s="1"/>
      <c r="CKK227" s="1"/>
      <c r="CKL227" s="1"/>
      <c r="CKM227" s="1"/>
      <c r="CKN227" s="1"/>
      <c r="CKO227" s="1"/>
      <c r="CKP227" s="1"/>
      <c r="CKQ227" s="1"/>
      <c r="CKR227" s="1"/>
      <c r="CKS227" s="1"/>
      <c r="CKT227" s="1"/>
      <c r="CKU227" s="1"/>
      <c r="CKV227" s="1"/>
      <c r="CKW227" s="1"/>
      <c r="CKX227" s="1"/>
      <c r="CKY227" s="1"/>
      <c r="CKZ227" s="1"/>
      <c r="CLA227" s="1"/>
      <c r="CLB227" s="1"/>
      <c r="CLC227" s="1"/>
      <c r="CLD227" s="1"/>
      <c r="CLE227" s="1"/>
      <c r="CLF227" s="1"/>
      <c r="CLG227" s="1"/>
      <c r="CLH227" s="1"/>
      <c r="CLI227" s="1"/>
      <c r="CLJ227" s="1"/>
      <c r="CLK227" s="1"/>
      <c r="CLL227" s="1"/>
      <c r="CLM227" s="1"/>
      <c r="CLN227" s="1"/>
      <c r="CLO227" s="1"/>
      <c r="CLP227" s="1"/>
      <c r="CLQ227" s="1"/>
      <c r="CLR227" s="1"/>
      <c r="CLS227" s="1"/>
      <c r="CLT227" s="1"/>
      <c r="CLU227" s="1"/>
      <c r="CLV227" s="1"/>
      <c r="CLW227" s="1"/>
      <c r="CLX227" s="1"/>
      <c r="CLY227" s="1"/>
      <c r="CLZ227" s="1"/>
      <c r="CMA227" s="1"/>
      <c r="CMB227" s="1"/>
      <c r="CMC227" s="1"/>
      <c r="CMD227" s="1"/>
      <c r="CME227" s="1"/>
      <c r="CMF227" s="1"/>
      <c r="CMG227" s="1"/>
      <c r="CMH227" s="1"/>
      <c r="CMI227" s="1"/>
      <c r="CMJ227" s="1"/>
      <c r="CMK227" s="1"/>
      <c r="CML227" s="1"/>
      <c r="CMM227" s="1"/>
      <c r="CMN227" s="1"/>
      <c r="CMO227" s="1"/>
      <c r="CMP227" s="1"/>
      <c r="CMQ227" s="1"/>
      <c r="CMR227" s="1"/>
      <c r="CMS227" s="1"/>
      <c r="CMT227" s="1"/>
      <c r="CMU227" s="1"/>
      <c r="CMV227" s="1"/>
      <c r="CMW227" s="1"/>
      <c r="CMX227" s="1"/>
      <c r="CMY227" s="1"/>
      <c r="CMZ227" s="1"/>
      <c r="CNA227" s="1"/>
      <c r="CNB227" s="1"/>
      <c r="CNC227" s="1"/>
      <c r="CND227" s="1"/>
      <c r="CNE227" s="1"/>
      <c r="CNF227" s="1"/>
      <c r="CNG227" s="1"/>
      <c r="CNH227" s="1"/>
      <c r="CNI227" s="1"/>
      <c r="CNJ227" s="1"/>
      <c r="CNK227" s="1"/>
      <c r="CNL227" s="1"/>
      <c r="CNM227" s="1"/>
      <c r="CNN227" s="1"/>
      <c r="CNO227" s="1"/>
      <c r="CNP227" s="1"/>
      <c r="CNQ227" s="1"/>
      <c r="CNR227" s="1"/>
      <c r="CNS227" s="1"/>
      <c r="CNT227" s="1"/>
      <c r="CNU227" s="1"/>
      <c r="CNV227" s="1"/>
      <c r="CNW227" s="1"/>
      <c r="CNX227" s="1"/>
      <c r="CNY227" s="1"/>
      <c r="CNZ227" s="1"/>
      <c r="COA227" s="1"/>
      <c r="COB227" s="1"/>
      <c r="COC227" s="1"/>
      <c r="COD227" s="1"/>
      <c r="COE227" s="1"/>
      <c r="COF227" s="1"/>
      <c r="COG227" s="1"/>
      <c r="COH227" s="1"/>
      <c r="COI227" s="1"/>
      <c r="COJ227" s="1"/>
      <c r="COK227" s="1"/>
      <c r="COL227" s="1"/>
      <c r="COM227" s="1"/>
      <c r="CON227" s="1"/>
      <c r="COO227" s="1"/>
      <c r="COP227" s="1"/>
      <c r="COQ227" s="1"/>
      <c r="COR227" s="1"/>
      <c r="COS227" s="1"/>
      <c r="COT227" s="1"/>
      <c r="COU227" s="1"/>
      <c r="COV227" s="1"/>
      <c r="COW227" s="1"/>
      <c r="COX227" s="1"/>
      <c r="COY227" s="1"/>
      <c r="COZ227" s="1"/>
      <c r="CPA227" s="1"/>
      <c r="CPB227" s="1"/>
      <c r="CPC227" s="1"/>
      <c r="CPD227" s="1"/>
      <c r="CPE227" s="1"/>
      <c r="CPF227" s="1"/>
      <c r="CPG227" s="1"/>
      <c r="CPH227" s="1"/>
      <c r="CPI227" s="1"/>
      <c r="CPJ227" s="1"/>
      <c r="CPK227" s="1"/>
      <c r="CPL227" s="1"/>
      <c r="CPM227" s="1"/>
      <c r="CPN227" s="1"/>
      <c r="CPO227" s="1"/>
      <c r="CPP227" s="1"/>
      <c r="CPQ227" s="1"/>
      <c r="CPR227" s="1"/>
      <c r="CPS227" s="1"/>
      <c r="CPT227" s="1"/>
      <c r="CPU227" s="1"/>
      <c r="CPV227" s="1"/>
      <c r="CPW227" s="1"/>
      <c r="CPX227" s="1"/>
      <c r="CPY227" s="1"/>
      <c r="CPZ227" s="1"/>
      <c r="CQA227" s="1"/>
      <c r="CQB227" s="1"/>
      <c r="CQC227" s="1"/>
      <c r="CQD227" s="1"/>
      <c r="CQE227" s="1"/>
      <c r="CQF227" s="1"/>
      <c r="CQG227" s="1"/>
      <c r="CQH227" s="1"/>
      <c r="CQI227" s="1"/>
      <c r="CQJ227" s="1"/>
      <c r="CQK227" s="1"/>
      <c r="CQL227" s="1"/>
      <c r="CQM227" s="1"/>
      <c r="CQN227" s="1"/>
      <c r="CQO227" s="1"/>
      <c r="CQP227" s="1"/>
      <c r="CQQ227" s="1"/>
      <c r="CQR227" s="1"/>
      <c r="CQS227" s="1"/>
      <c r="CQT227" s="1"/>
      <c r="CQU227" s="1"/>
      <c r="CQV227" s="1"/>
      <c r="CQW227" s="1"/>
      <c r="CQX227" s="1"/>
      <c r="CQY227" s="1"/>
      <c r="CQZ227" s="1"/>
      <c r="CRA227" s="1"/>
      <c r="CRB227" s="1"/>
      <c r="CRC227" s="1"/>
      <c r="CRD227" s="1"/>
      <c r="CRE227" s="1"/>
      <c r="CRF227" s="1"/>
      <c r="CRG227" s="1"/>
      <c r="CRH227" s="1"/>
      <c r="CRI227" s="1"/>
      <c r="CRJ227" s="1"/>
      <c r="CRK227" s="1"/>
      <c r="CRL227" s="1"/>
      <c r="CRM227" s="1"/>
      <c r="CRN227" s="1"/>
      <c r="CRO227" s="1"/>
      <c r="CRP227" s="1"/>
      <c r="CRQ227" s="1"/>
      <c r="CRR227" s="1"/>
      <c r="CRS227" s="1"/>
      <c r="CRT227" s="1"/>
      <c r="CRU227" s="1"/>
      <c r="CRV227" s="1"/>
      <c r="CRW227" s="1"/>
      <c r="CRX227" s="1"/>
      <c r="CRY227" s="1"/>
      <c r="CRZ227" s="1"/>
      <c r="CSA227" s="1"/>
      <c r="CSB227" s="1"/>
      <c r="CSC227" s="1"/>
      <c r="CSD227" s="1"/>
      <c r="CSE227" s="1"/>
      <c r="CSF227" s="1"/>
      <c r="CSG227" s="1"/>
      <c r="CSH227" s="1"/>
      <c r="CSI227" s="1"/>
      <c r="CSJ227" s="1"/>
      <c r="CSK227" s="1"/>
      <c r="CSL227" s="1"/>
      <c r="CSM227" s="1"/>
      <c r="CSN227" s="1"/>
      <c r="CSO227" s="1"/>
      <c r="CSP227" s="1"/>
      <c r="CSQ227" s="1"/>
      <c r="CSR227" s="1"/>
      <c r="CSS227" s="1"/>
      <c r="CST227" s="1"/>
      <c r="CSU227" s="1"/>
      <c r="CSV227" s="1"/>
      <c r="CSW227" s="1"/>
      <c r="CSX227" s="1"/>
      <c r="CSY227" s="1"/>
      <c r="CSZ227" s="1"/>
      <c r="CTA227" s="1"/>
      <c r="CTB227" s="1"/>
      <c r="CTC227" s="1"/>
      <c r="CTD227" s="1"/>
      <c r="CTE227" s="1"/>
      <c r="CTF227" s="1"/>
      <c r="CTG227" s="1"/>
      <c r="CTH227" s="1"/>
      <c r="CTI227" s="1"/>
      <c r="CTJ227" s="1"/>
      <c r="CTK227" s="1"/>
      <c r="CTL227" s="1"/>
      <c r="CTM227" s="1"/>
      <c r="CTN227" s="1"/>
      <c r="CTO227" s="1"/>
      <c r="CTP227" s="1"/>
      <c r="CTQ227" s="1"/>
      <c r="CTR227" s="1"/>
      <c r="CTS227" s="1"/>
      <c r="CTT227" s="1"/>
      <c r="CTU227" s="1"/>
      <c r="CTV227" s="1"/>
      <c r="CTW227" s="1"/>
      <c r="CTX227" s="1"/>
      <c r="CTY227" s="1"/>
      <c r="CTZ227" s="1"/>
      <c r="CUA227" s="1"/>
      <c r="CUB227" s="1"/>
      <c r="CUC227" s="1"/>
      <c r="CUD227" s="1"/>
      <c r="CUE227" s="1"/>
      <c r="CUF227" s="1"/>
      <c r="CUG227" s="1"/>
      <c r="CUH227" s="1"/>
      <c r="CUI227" s="1"/>
      <c r="CUJ227" s="1"/>
      <c r="CUK227" s="1"/>
      <c r="CUL227" s="1"/>
      <c r="CUM227" s="1"/>
      <c r="CUN227" s="1"/>
      <c r="CUO227" s="1"/>
      <c r="CUP227" s="1"/>
      <c r="CUQ227" s="1"/>
      <c r="CUR227" s="1"/>
      <c r="CUS227" s="1"/>
      <c r="CUT227" s="1"/>
      <c r="CUU227" s="1"/>
      <c r="CUV227" s="1"/>
      <c r="CUW227" s="1"/>
      <c r="CUX227" s="1"/>
      <c r="CUY227" s="1"/>
      <c r="CUZ227" s="1"/>
      <c r="CVA227" s="1"/>
      <c r="CVB227" s="1"/>
      <c r="CVC227" s="1"/>
      <c r="CVD227" s="1"/>
      <c r="CVE227" s="1"/>
      <c r="CVF227" s="1"/>
      <c r="CVG227" s="1"/>
      <c r="CVH227" s="1"/>
      <c r="CVI227" s="1"/>
      <c r="CVJ227" s="1"/>
      <c r="CVK227" s="1"/>
      <c r="CVL227" s="1"/>
      <c r="CVM227" s="1"/>
      <c r="CVN227" s="1"/>
      <c r="CVO227" s="1"/>
      <c r="CVP227" s="1"/>
      <c r="CVQ227" s="1"/>
      <c r="CVR227" s="1"/>
      <c r="CVS227" s="1"/>
      <c r="CVT227" s="1"/>
      <c r="CVU227" s="1"/>
      <c r="CVV227" s="1"/>
      <c r="CVW227" s="1"/>
      <c r="CVX227" s="1"/>
      <c r="CVY227" s="1"/>
      <c r="CVZ227" s="1"/>
      <c r="CWA227" s="1"/>
      <c r="CWB227" s="1"/>
      <c r="CWC227" s="1"/>
      <c r="CWD227" s="1"/>
      <c r="CWE227" s="1"/>
      <c r="CWF227" s="1"/>
      <c r="CWG227" s="1"/>
      <c r="CWH227" s="1"/>
      <c r="CWI227" s="1"/>
      <c r="CWJ227" s="1"/>
      <c r="CWK227" s="1"/>
      <c r="CWL227" s="1"/>
      <c r="CWM227" s="1"/>
      <c r="CWN227" s="1"/>
      <c r="CWO227" s="1"/>
      <c r="CWP227" s="1"/>
      <c r="CWQ227" s="1"/>
      <c r="CWR227" s="1"/>
      <c r="CWS227" s="1"/>
      <c r="CWT227" s="1"/>
      <c r="CWU227" s="1"/>
      <c r="CWV227" s="1"/>
      <c r="CWW227" s="1"/>
      <c r="CWX227" s="1"/>
      <c r="CWY227" s="1"/>
      <c r="CWZ227" s="1"/>
      <c r="CXA227" s="1"/>
      <c r="CXB227" s="1"/>
      <c r="CXC227" s="1"/>
      <c r="CXD227" s="1"/>
      <c r="CXE227" s="1"/>
      <c r="CXF227" s="1"/>
      <c r="CXG227" s="1"/>
      <c r="CXH227" s="1"/>
      <c r="CXI227" s="1"/>
      <c r="CXJ227" s="1"/>
      <c r="CXK227" s="1"/>
      <c r="CXL227" s="1"/>
      <c r="CXM227" s="1"/>
      <c r="CXN227" s="1"/>
      <c r="CXO227" s="1"/>
      <c r="CXP227" s="1"/>
      <c r="CXQ227" s="1"/>
      <c r="CXR227" s="1"/>
      <c r="CXS227" s="1"/>
      <c r="CXT227" s="1"/>
      <c r="CXU227" s="1"/>
      <c r="CXV227" s="1"/>
      <c r="CXW227" s="1"/>
      <c r="CXX227" s="1"/>
      <c r="CXY227" s="1"/>
      <c r="CXZ227" s="1"/>
      <c r="CYA227" s="1"/>
      <c r="CYB227" s="1"/>
      <c r="CYC227" s="1"/>
      <c r="CYD227" s="1"/>
      <c r="CYE227" s="1"/>
      <c r="CYF227" s="1"/>
      <c r="CYG227" s="1"/>
      <c r="CYH227" s="1"/>
      <c r="CYI227" s="1"/>
      <c r="CYJ227" s="1"/>
      <c r="CYK227" s="1"/>
      <c r="CYL227" s="1"/>
      <c r="CYM227" s="1"/>
      <c r="CYN227" s="1"/>
      <c r="CYO227" s="1"/>
      <c r="CYP227" s="1"/>
      <c r="CYQ227" s="1"/>
      <c r="CYR227" s="1"/>
      <c r="CYS227" s="1"/>
      <c r="CYT227" s="1"/>
      <c r="CYU227" s="1"/>
      <c r="CYV227" s="1"/>
      <c r="CYW227" s="1"/>
      <c r="CYX227" s="1"/>
      <c r="CYY227" s="1"/>
      <c r="CYZ227" s="1"/>
      <c r="CZA227" s="1"/>
      <c r="CZB227" s="1"/>
      <c r="CZC227" s="1"/>
      <c r="CZD227" s="1"/>
      <c r="CZE227" s="1"/>
      <c r="CZF227" s="1"/>
      <c r="CZG227" s="1"/>
      <c r="CZH227" s="1"/>
      <c r="CZI227" s="1"/>
      <c r="CZJ227" s="1"/>
      <c r="CZK227" s="1"/>
      <c r="CZL227" s="1"/>
      <c r="CZM227" s="1"/>
      <c r="CZN227" s="1"/>
      <c r="CZO227" s="1"/>
      <c r="CZP227" s="1"/>
      <c r="CZQ227" s="1"/>
      <c r="CZR227" s="1"/>
      <c r="CZS227" s="1"/>
      <c r="CZT227" s="1"/>
      <c r="CZU227" s="1"/>
      <c r="CZV227" s="1"/>
      <c r="CZW227" s="1"/>
      <c r="CZX227" s="1"/>
      <c r="CZY227" s="1"/>
      <c r="CZZ227" s="1"/>
      <c r="DAA227" s="1"/>
      <c r="DAB227" s="1"/>
      <c r="DAC227" s="1"/>
      <c r="DAD227" s="1"/>
      <c r="DAE227" s="1"/>
      <c r="DAF227" s="1"/>
      <c r="DAG227" s="1"/>
      <c r="DAH227" s="1"/>
      <c r="DAI227" s="1"/>
      <c r="DAJ227" s="1"/>
      <c r="DAK227" s="1"/>
      <c r="DAL227" s="1"/>
      <c r="DAM227" s="1"/>
      <c r="DAN227" s="1"/>
      <c r="DAO227" s="1"/>
      <c r="DAP227" s="1"/>
      <c r="DAQ227" s="1"/>
      <c r="DAR227" s="1"/>
      <c r="DAS227" s="1"/>
      <c r="DAT227" s="1"/>
      <c r="DAU227" s="1"/>
      <c r="DAV227" s="1"/>
      <c r="DAW227" s="1"/>
      <c r="DAX227" s="1"/>
      <c r="DAY227" s="1"/>
      <c r="DAZ227" s="1"/>
      <c r="DBA227" s="1"/>
      <c r="DBB227" s="1"/>
      <c r="DBC227" s="1"/>
      <c r="DBD227" s="1"/>
      <c r="DBE227" s="1"/>
      <c r="DBF227" s="1"/>
      <c r="DBG227" s="1"/>
      <c r="DBH227" s="1"/>
      <c r="DBI227" s="1"/>
      <c r="DBJ227" s="1"/>
      <c r="DBK227" s="1"/>
      <c r="DBL227" s="1"/>
      <c r="DBM227" s="1"/>
      <c r="DBN227" s="1"/>
      <c r="DBO227" s="1"/>
      <c r="DBP227" s="1"/>
      <c r="DBQ227" s="1"/>
      <c r="DBR227" s="1"/>
      <c r="DBS227" s="1"/>
      <c r="DBT227" s="1"/>
      <c r="DBU227" s="1"/>
      <c r="DBV227" s="1"/>
      <c r="DBW227" s="1"/>
      <c r="DBX227" s="1"/>
      <c r="DBY227" s="1"/>
      <c r="DBZ227" s="1"/>
      <c r="DCA227" s="1"/>
      <c r="DCB227" s="1"/>
      <c r="DCC227" s="1"/>
      <c r="DCD227" s="1"/>
      <c r="DCE227" s="1"/>
      <c r="DCF227" s="1"/>
      <c r="DCG227" s="1"/>
      <c r="DCH227" s="1"/>
      <c r="DCI227" s="1"/>
      <c r="DCJ227" s="1"/>
      <c r="DCK227" s="1"/>
      <c r="DCL227" s="1"/>
      <c r="DCM227" s="1"/>
      <c r="DCN227" s="1"/>
      <c r="DCO227" s="1"/>
      <c r="DCP227" s="1"/>
      <c r="DCQ227" s="1"/>
      <c r="DCR227" s="1"/>
      <c r="DCS227" s="1"/>
      <c r="DCT227" s="1"/>
      <c r="DCU227" s="1"/>
      <c r="DCV227" s="1"/>
      <c r="DCW227" s="1"/>
      <c r="DCX227" s="1"/>
      <c r="DCY227" s="1"/>
      <c r="DCZ227" s="1"/>
      <c r="DDA227" s="1"/>
      <c r="DDB227" s="1"/>
      <c r="DDC227" s="1"/>
      <c r="DDD227" s="1"/>
      <c r="DDE227" s="1"/>
      <c r="DDF227" s="1"/>
      <c r="DDG227" s="1"/>
      <c r="DDH227" s="1"/>
      <c r="DDI227" s="1"/>
      <c r="DDJ227" s="1"/>
      <c r="DDK227" s="1"/>
      <c r="DDL227" s="1"/>
      <c r="DDM227" s="1"/>
      <c r="DDN227" s="1"/>
      <c r="DDO227" s="1"/>
      <c r="DDP227" s="1"/>
      <c r="DDQ227" s="1"/>
      <c r="DDR227" s="1"/>
      <c r="DDS227" s="1"/>
      <c r="DDT227" s="1"/>
      <c r="DDU227" s="1"/>
      <c r="DDV227" s="1"/>
      <c r="DDW227" s="1"/>
      <c r="DDX227" s="1"/>
      <c r="DDY227" s="1"/>
      <c r="DDZ227" s="1"/>
      <c r="DEA227" s="1"/>
      <c r="DEB227" s="1"/>
      <c r="DEC227" s="1"/>
      <c r="DED227" s="1"/>
      <c r="DEE227" s="1"/>
      <c r="DEF227" s="1"/>
      <c r="DEG227" s="1"/>
      <c r="DEH227" s="1"/>
      <c r="DEI227" s="1"/>
      <c r="DEJ227" s="1"/>
      <c r="DEK227" s="1"/>
      <c r="DEL227" s="1"/>
      <c r="DEM227" s="1"/>
      <c r="DEN227" s="1"/>
      <c r="DEO227" s="1"/>
      <c r="DEP227" s="1"/>
      <c r="DEQ227" s="1"/>
      <c r="DER227" s="1"/>
      <c r="DES227" s="1"/>
      <c r="DET227" s="1"/>
      <c r="DEU227" s="1"/>
      <c r="DEV227" s="1"/>
      <c r="DEW227" s="1"/>
      <c r="DEX227" s="1"/>
      <c r="DEY227" s="1"/>
      <c r="DEZ227" s="1"/>
      <c r="DFA227" s="1"/>
      <c r="DFB227" s="1"/>
      <c r="DFC227" s="1"/>
      <c r="DFD227" s="1"/>
      <c r="DFE227" s="1"/>
      <c r="DFF227" s="1"/>
      <c r="DFG227" s="1"/>
      <c r="DFH227" s="1"/>
      <c r="DFI227" s="1"/>
      <c r="DFJ227" s="1"/>
      <c r="DFK227" s="1"/>
      <c r="DFL227" s="1"/>
      <c r="DFM227" s="1"/>
      <c r="DFN227" s="1"/>
      <c r="DFO227" s="1"/>
      <c r="DFP227" s="1"/>
      <c r="DFQ227" s="1"/>
      <c r="DFR227" s="1"/>
      <c r="DFS227" s="1"/>
      <c r="DFT227" s="1"/>
      <c r="DFU227" s="1"/>
      <c r="DFV227" s="1"/>
      <c r="DFW227" s="1"/>
      <c r="DFX227" s="1"/>
      <c r="DFY227" s="1"/>
      <c r="DFZ227" s="1"/>
      <c r="DGA227" s="1"/>
      <c r="DGB227" s="1"/>
      <c r="DGC227" s="1"/>
      <c r="DGD227" s="1"/>
      <c r="DGE227" s="1"/>
      <c r="DGF227" s="1"/>
      <c r="DGG227" s="1"/>
      <c r="DGH227" s="1"/>
      <c r="DGI227" s="1"/>
      <c r="DGJ227" s="1"/>
      <c r="DGK227" s="1"/>
      <c r="DGL227" s="1"/>
      <c r="DGM227" s="1"/>
      <c r="DGN227" s="1"/>
      <c r="DGO227" s="1"/>
      <c r="DGP227" s="1"/>
      <c r="DGQ227" s="1"/>
      <c r="DGR227" s="1"/>
      <c r="DGS227" s="1"/>
      <c r="DGT227" s="1"/>
      <c r="DGU227" s="1"/>
      <c r="DGV227" s="1"/>
      <c r="DGW227" s="1"/>
      <c r="DGX227" s="1"/>
      <c r="DGY227" s="1"/>
      <c r="DGZ227" s="1"/>
      <c r="DHA227" s="1"/>
      <c r="DHB227" s="1"/>
      <c r="DHC227" s="1"/>
      <c r="DHD227" s="1"/>
      <c r="DHE227" s="1"/>
      <c r="DHF227" s="1"/>
      <c r="DHG227" s="1"/>
      <c r="DHH227" s="1"/>
      <c r="DHI227" s="1"/>
      <c r="DHJ227" s="1"/>
      <c r="DHK227" s="1"/>
      <c r="DHL227" s="1"/>
      <c r="DHM227" s="1"/>
      <c r="DHN227" s="1"/>
      <c r="DHO227" s="1"/>
      <c r="DHP227" s="1"/>
      <c r="DHQ227" s="1"/>
      <c r="DHR227" s="1"/>
      <c r="DHS227" s="1"/>
      <c r="DHT227" s="1"/>
      <c r="DHU227" s="1"/>
      <c r="DHV227" s="1"/>
      <c r="DHW227" s="1"/>
      <c r="DHX227" s="1"/>
      <c r="DHY227" s="1"/>
      <c r="DHZ227" s="1"/>
      <c r="DIA227" s="1"/>
      <c r="DIB227" s="1"/>
      <c r="DIC227" s="1"/>
      <c r="DID227" s="1"/>
      <c r="DIE227" s="1"/>
      <c r="DIF227" s="1"/>
      <c r="DIG227" s="1"/>
      <c r="DIH227" s="1"/>
      <c r="DII227" s="1"/>
      <c r="DIJ227" s="1"/>
      <c r="DIK227" s="1"/>
      <c r="DIL227" s="1"/>
      <c r="DIM227" s="1"/>
      <c r="DIN227" s="1"/>
      <c r="DIO227" s="1"/>
      <c r="DIP227" s="1"/>
      <c r="DIQ227" s="1"/>
      <c r="DIR227" s="1"/>
      <c r="DIS227" s="1"/>
      <c r="DIT227" s="1"/>
      <c r="DIU227" s="1"/>
      <c r="DIV227" s="1"/>
      <c r="DIW227" s="1"/>
      <c r="DIX227" s="1"/>
      <c r="DIY227" s="1"/>
      <c r="DIZ227" s="1"/>
      <c r="DJA227" s="1"/>
      <c r="DJB227" s="1"/>
      <c r="DJC227" s="1"/>
      <c r="DJD227" s="1"/>
      <c r="DJE227" s="1"/>
      <c r="DJF227" s="1"/>
      <c r="DJG227" s="1"/>
      <c r="DJH227" s="1"/>
      <c r="DJI227" s="1"/>
      <c r="DJJ227" s="1"/>
      <c r="DJK227" s="1"/>
      <c r="DJL227" s="1"/>
      <c r="DJM227" s="1"/>
      <c r="DJN227" s="1"/>
      <c r="DJO227" s="1"/>
      <c r="DJP227" s="1"/>
      <c r="DJQ227" s="1"/>
      <c r="DJR227" s="1"/>
      <c r="DJS227" s="1"/>
      <c r="DJT227" s="1"/>
      <c r="DJU227" s="1"/>
      <c r="DJV227" s="1"/>
      <c r="DJW227" s="1"/>
      <c r="DJX227" s="1"/>
      <c r="DJY227" s="1"/>
      <c r="DJZ227" s="1"/>
      <c r="DKA227" s="1"/>
      <c r="DKB227" s="1"/>
      <c r="DKC227" s="1"/>
      <c r="DKD227" s="1"/>
      <c r="DKE227" s="1"/>
      <c r="DKF227" s="1"/>
      <c r="DKG227" s="1"/>
      <c r="DKH227" s="1"/>
      <c r="DKI227" s="1"/>
      <c r="DKJ227" s="1"/>
      <c r="DKK227" s="1"/>
      <c r="DKL227" s="1"/>
      <c r="DKM227" s="1"/>
      <c r="DKN227" s="1"/>
      <c r="DKO227" s="1"/>
      <c r="DKP227" s="1"/>
      <c r="DKQ227" s="1"/>
      <c r="DKR227" s="1"/>
      <c r="DKS227" s="1"/>
      <c r="DKT227" s="1"/>
      <c r="DKU227" s="1"/>
      <c r="DKV227" s="1"/>
      <c r="DKW227" s="1"/>
      <c r="DKX227" s="1"/>
      <c r="DKY227" s="1"/>
      <c r="DKZ227" s="1"/>
      <c r="DLA227" s="1"/>
      <c r="DLB227" s="1"/>
      <c r="DLC227" s="1"/>
      <c r="DLD227" s="1"/>
      <c r="DLE227" s="1"/>
      <c r="DLF227" s="1"/>
      <c r="DLG227" s="1"/>
      <c r="DLH227" s="1"/>
      <c r="DLI227" s="1"/>
      <c r="DLJ227" s="1"/>
      <c r="DLK227" s="1"/>
      <c r="DLL227" s="1"/>
      <c r="DLM227" s="1"/>
      <c r="DLN227" s="1"/>
      <c r="DLO227" s="1"/>
      <c r="DLP227" s="1"/>
      <c r="DLQ227" s="1"/>
      <c r="DLR227" s="1"/>
      <c r="DLS227" s="1"/>
      <c r="DLT227" s="1"/>
      <c r="DLU227" s="1"/>
      <c r="DLV227" s="1"/>
      <c r="DLW227" s="1"/>
      <c r="DLX227" s="1"/>
      <c r="DLY227" s="1"/>
      <c r="DLZ227" s="1"/>
      <c r="DMA227" s="1"/>
      <c r="DMB227" s="1"/>
      <c r="DMC227" s="1"/>
      <c r="DMD227" s="1"/>
      <c r="DME227" s="1"/>
      <c r="DMF227" s="1"/>
      <c r="DMG227" s="1"/>
      <c r="DMH227" s="1"/>
      <c r="DMI227" s="1"/>
      <c r="DMJ227" s="1"/>
      <c r="DMK227" s="1"/>
      <c r="DML227" s="1"/>
      <c r="DMM227" s="1"/>
      <c r="DMN227" s="1"/>
      <c r="DMO227" s="1"/>
      <c r="DMP227" s="1"/>
      <c r="DMQ227" s="1"/>
      <c r="DMR227" s="1"/>
      <c r="DMS227" s="1"/>
      <c r="DMT227" s="1"/>
      <c r="DMU227" s="1"/>
      <c r="DMV227" s="1"/>
      <c r="DMW227" s="1"/>
      <c r="DMX227" s="1"/>
      <c r="DMY227" s="1"/>
      <c r="DMZ227" s="1"/>
      <c r="DNA227" s="1"/>
      <c r="DNB227" s="1"/>
      <c r="DNC227" s="1"/>
      <c r="DND227" s="1"/>
      <c r="DNE227" s="1"/>
      <c r="DNF227" s="1"/>
      <c r="DNG227" s="1"/>
      <c r="DNH227" s="1"/>
      <c r="DNI227" s="1"/>
      <c r="DNJ227" s="1"/>
      <c r="DNK227" s="1"/>
      <c r="DNL227" s="1"/>
      <c r="DNM227" s="1"/>
      <c r="DNN227" s="1"/>
      <c r="DNO227" s="1"/>
      <c r="DNP227" s="1"/>
      <c r="DNQ227" s="1"/>
      <c r="DNR227" s="1"/>
      <c r="DNS227" s="1"/>
      <c r="DNT227" s="1"/>
      <c r="DNU227" s="1"/>
      <c r="DNV227" s="1"/>
      <c r="DNW227" s="1"/>
      <c r="DNX227" s="1"/>
      <c r="DNY227" s="1"/>
      <c r="DNZ227" s="1"/>
      <c r="DOA227" s="1"/>
      <c r="DOB227" s="1"/>
      <c r="DOC227" s="1"/>
      <c r="DOD227" s="1"/>
      <c r="DOE227" s="1"/>
      <c r="DOF227" s="1"/>
      <c r="DOG227" s="1"/>
      <c r="DOH227" s="1"/>
      <c r="DOI227" s="1"/>
      <c r="DOJ227" s="1"/>
      <c r="DOK227" s="1"/>
      <c r="DOL227" s="1"/>
      <c r="DOM227" s="1"/>
      <c r="DON227" s="1"/>
      <c r="DOO227" s="1"/>
      <c r="DOP227" s="1"/>
      <c r="DOQ227" s="1"/>
      <c r="DOR227" s="1"/>
      <c r="DOS227" s="1"/>
      <c r="DOT227" s="1"/>
      <c r="DOU227" s="1"/>
      <c r="DOV227" s="1"/>
      <c r="DOW227" s="1"/>
      <c r="DOX227" s="1"/>
      <c r="DOY227" s="1"/>
      <c r="DOZ227" s="1"/>
      <c r="DPA227" s="1"/>
      <c r="DPB227" s="1"/>
      <c r="DPC227" s="1"/>
      <c r="DPD227" s="1"/>
      <c r="DPE227" s="1"/>
      <c r="DPF227" s="1"/>
      <c r="DPG227" s="1"/>
      <c r="DPH227" s="1"/>
      <c r="DPI227" s="1"/>
      <c r="DPJ227" s="1"/>
      <c r="DPK227" s="1"/>
      <c r="DPL227" s="1"/>
      <c r="DPM227" s="1"/>
      <c r="DPN227" s="1"/>
      <c r="DPO227" s="1"/>
      <c r="DPP227" s="1"/>
      <c r="DPQ227" s="1"/>
      <c r="DPR227" s="1"/>
      <c r="DPS227" s="1"/>
      <c r="DPT227" s="1"/>
      <c r="DPU227" s="1"/>
      <c r="DPV227" s="1"/>
      <c r="DPW227" s="1"/>
      <c r="DPX227" s="1"/>
      <c r="DPY227" s="1"/>
      <c r="DPZ227" s="1"/>
      <c r="DQA227" s="1"/>
      <c r="DQB227" s="1"/>
      <c r="DQC227" s="1"/>
      <c r="DQD227" s="1"/>
      <c r="DQE227" s="1"/>
      <c r="DQF227" s="1"/>
      <c r="DQG227" s="1"/>
      <c r="DQH227" s="1"/>
      <c r="DQI227" s="1"/>
      <c r="DQJ227" s="1"/>
      <c r="DQK227" s="1"/>
      <c r="DQL227" s="1"/>
      <c r="DQM227" s="1"/>
      <c r="DQN227" s="1"/>
      <c r="DQO227" s="1"/>
      <c r="DQP227" s="1"/>
      <c r="DQQ227" s="1"/>
      <c r="DQR227" s="1"/>
      <c r="DQS227" s="1"/>
      <c r="DQT227" s="1"/>
      <c r="DQU227" s="1"/>
      <c r="DQV227" s="1"/>
      <c r="DQW227" s="1"/>
      <c r="DQX227" s="1"/>
      <c r="DQY227" s="1"/>
      <c r="DQZ227" s="1"/>
      <c r="DRA227" s="1"/>
      <c r="DRB227" s="1"/>
      <c r="DRC227" s="1"/>
      <c r="DRD227" s="1"/>
      <c r="DRE227" s="1"/>
      <c r="DRF227" s="1"/>
      <c r="DRG227" s="1"/>
      <c r="DRH227" s="1"/>
      <c r="DRI227" s="1"/>
      <c r="DRJ227" s="1"/>
      <c r="DRK227" s="1"/>
      <c r="DRL227" s="1"/>
      <c r="DRM227" s="1"/>
      <c r="DRN227" s="1"/>
      <c r="DRO227" s="1"/>
      <c r="DRP227" s="1"/>
      <c r="DRQ227" s="1"/>
      <c r="DRR227" s="1"/>
      <c r="DRS227" s="1"/>
      <c r="DRT227" s="1"/>
      <c r="DRU227" s="1"/>
      <c r="DRV227" s="1"/>
      <c r="DRW227" s="1"/>
      <c r="DRX227" s="1"/>
      <c r="DRY227" s="1"/>
      <c r="DRZ227" s="1"/>
      <c r="DSA227" s="1"/>
      <c r="DSB227" s="1"/>
      <c r="DSC227" s="1"/>
      <c r="DSD227" s="1"/>
      <c r="DSE227" s="1"/>
      <c r="DSF227" s="1"/>
      <c r="DSG227" s="1"/>
      <c r="DSH227" s="1"/>
      <c r="DSI227" s="1"/>
      <c r="DSJ227" s="1"/>
      <c r="DSK227" s="1"/>
      <c r="DSL227" s="1"/>
      <c r="DSM227" s="1"/>
      <c r="DSN227" s="1"/>
      <c r="DSO227" s="1"/>
      <c r="DSP227" s="1"/>
      <c r="DSQ227" s="1"/>
      <c r="DSR227" s="1"/>
      <c r="DSS227" s="1"/>
      <c r="DST227" s="1"/>
      <c r="DSU227" s="1"/>
      <c r="DSV227" s="1"/>
      <c r="DSW227" s="1"/>
      <c r="DSX227" s="1"/>
      <c r="DSY227" s="1"/>
      <c r="DSZ227" s="1"/>
      <c r="DTA227" s="1"/>
      <c r="DTB227" s="1"/>
      <c r="DTC227" s="1"/>
      <c r="DTD227" s="1"/>
      <c r="DTE227" s="1"/>
      <c r="DTF227" s="1"/>
      <c r="DTG227" s="1"/>
      <c r="DTH227" s="1"/>
      <c r="DTI227" s="1"/>
      <c r="DTJ227" s="1"/>
      <c r="DTK227" s="1"/>
      <c r="DTL227" s="1"/>
      <c r="DTM227" s="1"/>
      <c r="DTN227" s="1"/>
      <c r="DTO227" s="1"/>
      <c r="DTP227" s="1"/>
      <c r="DTQ227" s="1"/>
      <c r="DTR227" s="1"/>
      <c r="DTS227" s="1"/>
      <c r="DTT227" s="1"/>
      <c r="DTU227" s="1"/>
      <c r="DTV227" s="1"/>
      <c r="DTW227" s="1"/>
      <c r="DTX227" s="1"/>
      <c r="DTY227" s="1"/>
      <c r="DTZ227" s="1"/>
      <c r="DUA227" s="1"/>
      <c r="DUB227" s="1"/>
      <c r="DUC227" s="1"/>
      <c r="DUD227" s="1"/>
      <c r="DUE227" s="1"/>
      <c r="DUF227" s="1"/>
      <c r="DUG227" s="1"/>
      <c r="DUH227" s="1"/>
      <c r="DUI227" s="1"/>
      <c r="DUJ227" s="1"/>
      <c r="DUK227" s="1"/>
      <c r="DUL227" s="1"/>
      <c r="DUM227" s="1"/>
      <c r="DUN227" s="1"/>
      <c r="DUO227" s="1"/>
      <c r="DUP227" s="1"/>
      <c r="DUQ227" s="1"/>
      <c r="DUR227" s="1"/>
      <c r="DUS227" s="1"/>
      <c r="DUT227" s="1"/>
      <c r="DUU227" s="1"/>
      <c r="DUV227" s="1"/>
      <c r="DUW227" s="1"/>
      <c r="DUX227" s="1"/>
      <c r="DUY227" s="1"/>
      <c r="DUZ227" s="1"/>
      <c r="DVA227" s="1"/>
      <c r="DVB227" s="1"/>
      <c r="DVC227" s="1"/>
      <c r="DVD227" s="1"/>
      <c r="DVE227" s="1"/>
      <c r="DVF227" s="1"/>
      <c r="DVG227" s="1"/>
      <c r="DVH227" s="1"/>
      <c r="DVI227" s="1"/>
      <c r="DVJ227" s="1"/>
      <c r="DVK227" s="1"/>
      <c r="DVL227" s="1"/>
      <c r="DVM227" s="1"/>
      <c r="DVN227" s="1"/>
      <c r="DVO227" s="1"/>
      <c r="DVP227" s="1"/>
      <c r="DVQ227" s="1"/>
      <c r="DVR227" s="1"/>
      <c r="DVS227" s="1"/>
      <c r="DVT227" s="1"/>
      <c r="DVU227" s="1"/>
      <c r="DVV227" s="1"/>
      <c r="DVW227" s="1"/>
      <c r="DVX227" s="1"/>
      <c r="DVY227" s="1"/>
      <c r="DVZ227" s="1"/>
      <c r="DWA227" s="1"/>
      <c r="DWB227" s="1"/>
      <c r="DWC227" s="1"/>
      <c r="DWD227" s="1"/>
      <c r="DWE227" s="1"/>
      <c r="DWF227" s="1"/>
      <c r="DWG227" s="1"/>
      <c r="DWH227" s="1"/>
      <c r="DWI227" s="1"/>
      <c r="DWJ227" s="1"/>
      <c r="DWK227" s="1"/>
      <c r="DWL227" s="1"/>
      <c r="DWM227" s="1"/>
      <c r="DWN227" s="1"/>
      <c r="DWO227" s="1"/>
      <c r="DWP227" s="1"/>
      <c r="DWQ227" s="1"/>
      <c r="DWR227" s="1"/>
      <c r="DWS227" s="1"/>
      <c r="DWT227" s="1"/>
      <c r="DWU227" s="1"/>
      <c r="DWV227" s="1"/>
      <c r="DWW227" s="1"/>
      <c r="DWX227" s="1"/>
      <c r="DWY227" s="1"/>
      <c r="DWZ227" s="1"/>
      <c r="DXA227" s="1"/>
      <c r="DXB227" s="1"/>
      <c r="DXC227" s="1"/>
      <c r="DXD227" s="1"/>
      <c r="DXE227" s="1"/>
      <c r="DXF227" s="1"/>
      <c r="DXG227" s="1"/>
      <c r="DXH227" s="1"/>
      <c r="DXI227" s="1"/>
      <c r="DXJ227" s="1"/>
      <c r="DXK227" s="1"/>
      <c r="DXL227" s="1"/>
      <c r="DXM227" s="1"/>
      <c r="DXN227" s="1"/>
      <c r="DXO227" s="1"/>
      <c r="DXP227" s="1"/>
      <c r="DXQ227" s="1"/>
      <c r="DXR227" s="1"/>
      <c r="DXS227" s="1"/>
      <c r="DXT227" s="1"/>
      <c r="DXU227" s="1"/>
      <c r="DXV227" s="1"/>
      <c r="DXW227" s="1"/>
      <c r="DXX227" s="1"/>
      <c r="DXY227" s="1"/>
      <c r="DXZ227" s="1"/>
      <c r="DYA227" s="1"/>
      <c r="DYB227" s="1"/>
      <c r="DYC227" s="1"/>
      <c r="DYD227" s="1"/>
      <c r="DYE227" s="1"/>
      <c r="DYF227" s="1"/>
      <c r="DYG227" s="1"/>
      <c r="DYH227" s="1"/>
      <c r="DYI227" s="1"/>
      <c r="DYJ227" s="1"/>
      <c r="DYK227" s="1"/>
      <c r="DYL227" s="1"/>
      <c r="DYM227" s="1"/>
      <c r="DYN227" s="1"/>
      <c r="DYO227" s="1"/>
      <c r="DYP227" s="1"/>
      <c r="DYQ227" s="1"/>
      <c r="DYR227" s="1"/>
      <c r="DYS227" s="1"/>
      <c r="DYT227" s="1"/>
      <c r="DYU227" s="1"/>
      <c r="DYV227" s="1"/>
      <c r="DYW227" s="1"/>
      <c r="DYX227" s="1"/>
      <c r="DYY227" s="1"/>
      <c r="DYZ227" s="1"/>
      <c r="DZA227" s="1"/>
      <c r="DZB227" s="1"/>
      <c r="DZC227" s="1"/>
      <c r="DZD227" s="1"/>
      <c r="DZE227" s="1"/>
      <c r="DZF227" s="1"/>
      <c r="DZG227" s="1"/>
      <c r="DZH227" s="1"/>
      <c r="DZI227" s="1"/>
      <c r="DZJ227" s="1"/>
      <c r="DZK227" s="1"/>
      <c r="DZL227" s="1"/>
      <c r="DZM227" s="1"/>
      <c r="DZN227" s="1"/>
      <c r="DZO227" s="1"/>
      <c r="DZP227" s="1"/>
      <c r="DZQ227" s="1"/>
      <c r="DZR227" s="1"/>
      <c r="DZS227" s="1"/>
      <c r="DZT227" s="1"/>
      <c r="DZU227" s="1"/>
      <c r="DZV227" s="1"/>
      <c r="DZW227" s="1"/>
      <c r="DZX227" s="1"/>
      <c r="DZY227" s="1"/>
      <c r="DZZ227" s="1"/>
      <c r="EAA227" s="1"/>
      <c r="EAB227" s="1"/>
      <c r="EAC227" s="1"/>
      <c r="EAD227" s="1"/>
      <c r="EAE227" s="1"/>
      <c r="EAF227" s="1"/>
      <c r="EAG227" s="1"/>
      <c r="EAH227" s="1"/>
      <c r="EAI227" s="1"/>
      <c r="EAJ227" s="1"/>
      <c r="EAK227" s="1"/>
      <c r="EAL227" s="1"/>
      <c r="EAM227" s="1"/>
      <c r="EAN227" s="1"/>
      <c r="EAO227" s="1"/>
      <c r="EAP227" s="1"/>
      <c r="EAQ227" s="1"/>
      <c r="EAR227" s="1"/>
      <c r="EAS227" s="1"/>
      <c r="EAT227" s="1"/>
      <c r="EAU227" s="1"/>
      <c r="EAV227" s="1"/>
      <c r="EAW227" s="1"/>
      <c r="EAX227" s="1"/>
      <c r="EAY227" s="1"/>
      <c r="EAZ227" s="1"/>
      <c r="EBA227" s="1"/>
      <c r="EBB227" s="1"/>
      <c r="EBC227" s="1"/>
      <c r="EBD227" s="1"/>
      <c r="EBE227" s="1"/>
      <c r="EBF227" s="1"/>
      <c r="EBG227" s="1"/>
      <c r="EBH227" s="1"/>
      <c r="EBI227" s="1"/>
      <c r="EBJ227" s="1"/>
      <c r="EBK227" s="1"/>
      <c r="EBL227" s="1"/>
      <c r="EBM227" s="1"/>
      <c r="EBN227" s="1"/>
      <c r="EBO227" s="1"/>
      <c r="EBP227" s="1"/>
      <c r="EBQ227" s="1"/>
      <c r="EBR227" s="1"/>
      <c r="EBS227" s="1"/>
      <c r="EBT227" s="1"/>
      <c r="EBU227" s="1"/>
      <c r="EBV227" s="1"/>
      <c r="EBW227" s="1"/>
      <c r="EBX227" s="1"/>
      <c r="EBY227" s="1"/>
      <c r="EBZ227" s="1"/>
      <c r="ECA227" s="1"/>
      <c r="ECB227" s="1"/>
      <c r="ECC227" s="1"/>
      <c r="ECD227" s="1"/>
      <c r="ECE227" s="1"/>
      <c r="ECF227" s="1"/>
      <c r="ECG227" s="1"/>
      <c r="ECH227" s="1"/>
      <c r="ECI227" s="1"/>
      <c r="ECJ227" s="1"/>
      <c r="ECK227" s="1"/>
      <c r="ECL227" s="1"/>
      <c r="ECM227" s="1"/>
      <c r="ECN227" s="1"/>
      <c r="ECO227" s="1"/>
      <c r="ECP227" s="1"/>
      <c r="ECQ227" s="1"/>
      <c r="ECR227" s="1"/>
      <c r="ECS227" s="1"/>
      <c r="ECT227" s="1"/>
      <c r="ECU227" s="1"/>
      <c r="ECV227" s="1"/>
      <c r="ECW227" s="1"/>
      <c r="ECX227" s="1"/>
      <c r="ECY227" s="1"/>
      <c r="ECZ227" s="1"/>
      <c r="EDA227" s="1"/>
      <c r="EDB227" s="1"/>
      <c r="EDC227" s="1"/>
      <c r="EDD227" s="1"/>
      <c r="EDE227" s="1"/>
      <c r="EDF227" s="1"/>
      <c r="EDG227" s="1"/>
      <c r="EDH227" s="1"/>
      <c r="EDI227" s="1"/>
      <c r="EDJ227" s="1"/>
      <c r="EDK227" s="1"/>
      <c r="EDL227" s="1"/>
      <c r="EDM227" s="1"/>
      <c r="EDN227" s="1"/>
      <c r="EDO227" s="1"/>
      <c r="EDP227" s="1"/>
      <c r="EDQ227" s="1"/>
      <c r="EDR227" s="1"/>
      <c r="EDS227" s="1"/>
      <c r="EDT227" s="1"/>
      <c r="EDU227" s="1"/>
      <c r="EDV227" s="1"/>
      <c r="EDW227" s="1"/>
      <c r="EDX227" s="1"/>
      <c r="EDY227" s="1"/>
      <c r="EDZ227" s="1"/>
      <c r="EEA227" s="1"/>
      <c r="EEB227" s="1"/>
      <c r="EEC227" s="1"/>
      <c r="EED227" s="1"/>
      <c r="EEE227" s="1"/>
      <c r="EEF227" s="1"/>
      <c r="EEG227" s="1"/>
      <c r="EEH227" s="1"/>
      <c r="EEI227" s="1"/>
      <c r="EEJ227" s="1"/>
      <c r="EEK227" s="1"/>
      <c r="EEL227" s="1"/>
      <c r="EEM227" s="1"/>
      <c r="EEN227" s="1"/>
      <c r="EEO227" s="1"/>
      <c r="EEP227" s="1"/>
      <c r="EEQ227" s="1"/>
      <c r="EER227" s="1"/>
      <c r="EES227" s="1"/>
      <c r="EET227" s="1"/>
      <c r="EEU227" s="1"/>
      <c r="EEV227" s="1"/>
      <c r="EEW227" s="1"/>
      <c r="EEX227" s="1"/>
      <c r="EEY227" s="1"/>
      <c r="EEZ227" s="1"/>
      <c r="EFA227" s="1"/>
      <c r="EFB227" s="1"/>
      <c r="EFC227" s="1"/>
      <c r="EFD227" s="1"/>
      <c r="EFE227" s="1"/>
      <c r="EFF227" s="1"/>
      <c r="EFG227" s="1"/>
      <c r="EFH227" s="1"/>
      <c r="EFI227" s="1"/>
      <c r="EFJ227" s="1"/>
      <c r="EFK227" s="1"/>
      <c r="EFL227" s="1"/>
      <c r="EFM227" s="1"/>
      <c r="EFN227" s="1"/>
      <c r="EFO227" s="1"/>
      <c r="EFP227" s="1"/>
      <c r="EFQ227" s="1"/>
      <c r="EFR227" s="1"/>
      <c r="EFS227" s="1"/>
      <c r="EFT227" s="1"/>
      <c r="EFU227" s="1"/>
      <c r="EFV227" s="1"/>
      <c r="EFW227" s="1"/>
      <c r="EFX227" s="1"/>
      <c r="EFY227" s="1"/>
      <c r="EFZ227" s="1"/>
      <c r="EGA227" s="1"/>
      <c r="EGB227" s="1"/>
      <c r="EGC227" s="1"/>
      <c r="EGD227" s="1"/>
      <c r="EGE227" s="1"/>
      <c r="EGF227" s="1"/>
      <c r="EGG227" s="1"/>
      <c r="EGH227" s="1"/>
      <c r="EGI227" s="1"/>
      <c r="EGJ227" s="1"/>
      <c r="EGK227" s="1"/>
      <c r="EGL227" s="1"/>
      <c r="EGM227" s="1"/>
      <c r="EGN227" s="1"/>
      <c r="EGO227" s="1"/>
      <c r="EGP227" s="1"/>
      <c r="EGQ227" s="1"/>
      <c r="EGR227" s="1"/>
      <c r="EGS227" s="1"/>
      <c r="EGT227" s="1"/>
      <c r="EGU227" s="1"/>
      <c r="EGV227" s="1"/>
      <c r="EGW227" s="1"/>
      <c r="EGX227" s="1"/>
      <c r="EGY227" s="1"/>
      <c r="EGZ227" s="1"/>
      <c r="EHA227" s="1"/>
      <c r="EHB227" s="1"/>
      <c r="EHC227" s="1"/>
      <c r="EHD227" s="1"/>
      <c r="EHE227" s="1"/>
      <c r="EHF227" s="1"/>
      <c r="EHG227" s="1"/>
      <c r="EHH227" s="1"/>
      <c r="EHI227" s="1"/>
      <c r="EHJ227" s="1"/>
      <c r="EHK227" s="1"/>
      <c r="EHL227" s="1"/>
      <c r="EHM227" s="1"/>
      <c r="EHN227" s="1"/>
      <c r="EHO227" s="1"/>
      <c r="EHP227" s="1"/>
      <c r="EHQ227" s="1"/>
      <c r="EHR227" s="1"/>
      <c r="EHS227" s="1"/>
      <c r="EHT227" s="1"/>
      <c r="EHU227" s="1"/>
      <c r="EHV227" s="1"/>
      <c r="EHW227" s="1"/>
      <c r="EHX227" s="1"/>
      <c r="EHY227" s="1"/>
      <c r="EHZ227" s="1"/>
      <c r="EIA227" s="1"/>
      <c r="EIB227" s="1"/>
      <c r="EIC227" s="1"/>
      <c r="EID227" s="1"/>
      <c r="EIE227" s="1"/>
      <c r="EIF227" s="1"/>
      <c r="EIG227" s="1"/>
      <c r="EIH227" s="1"/>
      <c r="EII227" s="1"/>
      <c r="EIJ227" s="1"/>
      <c r="EIK227" s="1"/>
      <c r="EIL227" s="1"/>
      <c r="EIM227" s="1"/>
      <c r="EIN227" s="1"/>
      <c r="EIO227" s="1"/>
      <c r="EIP227" s="1"/>
      <c r="EIQ227" s="1"/>
      <c r="EIR227" s="1"/>
      <c r="EIS227" s="1"/>
      <c r="EIT227" s="1"/>
      <c r="EIU227" s="1"/>
      <c r="EIV227" s="1"/>
      <c r="EIW227" s="1"/>
      <c r="EIX227" s="1"/>
      <c r="EIY227" s="1"/>
      <c r="EIZ227" s="1"/>
      <c r="EJA227" s="1"/>
      <c r="EJB227" s="1"/>
      <c r="EJC227" s="1"/>
      <c r="EJD227" s="1"/>
      <c r="EJE227" s="1"/>
      <c r="EJF227" s="1"/>
      <c r="EJG227" s="1"/>
      <c r="EJH227" s="1"/>
      <c r="EJI227" s="1"/>
      <c r="EJJ227" s="1"/>
      <c r="EJK227" s="1"/>
      <c r="EJL227" s="1"/>
      <c r="EJM227" s="1"/>
      <c r="EJN227" s="1"/>
      <c r="EJO227" s="1"/>
      <c r="EJP227" s="1"/>
      <c r="EJQ227" s="1"/>
      <c r="EJR227" s="1"/>
      <c r="EJS227" s="1"/>
      <c r="EJT227" s="1"/>
      <c r="EJU227" s="1"/>
      <c r="EJV227" s="1"/>
      <c r="EJW227" s="1"/>
      <c r="EJX227" s="1"/>
      <c r="EJY227" s="1"/>
      <c r="EJZ227" s="1"/>
      <c r="EKA227" s="1"/>
      <c r="EKB227" s="1"/>
      <c r="EKC227" s="1"/>
      <c r="EKD227" s="1"/>
      <c r="EKE227" s="1"/>
      <c r="EKF227" s="1"/>
      <c r="EKG227" s="1"/>
      <c r="EKH227" s="1"/>
      <c r="EKI227" s="1"/>
      <c r="EKJ227" s="1"/>
      <c r="EKK227" s="1"/>
      <c r="EKL227" s="1"/>
      <c r="EKM227" s="1"/>
      <c r="EKN227" s="1"/>
      <c r="EKO227" s="1"/>
      <c r="EKP227" s="1"/>
      <c r="EKQ227" s="1"/>
      <c r="EKR227" s="1"/>
      <c r="EKS227" s="1"/>
      <c r="EKT227" s="1"/>
      <c r="EKU227" s="1"/>
      <c r="EKV227" s="1"/>
      <c r="EKW227" s="1"/>
      <c r="EKX227" s="1"/>
      <c r="EKY227" s="1"/>
      <c r="EKZ227" s="1"/>
      <c r="ELA227" s="1"/>
      <c r="ELB227" s="1"/>
      <c r="ELC227" s="1"/>
      <c r="ELD227" s="1"/>
      <c r="ELE227" s="1"/>
      <c r="ELF227" s="1"/>
      <c r="ELG227" s="1"/>
      <c r="ELH227" s="1"/>
      <c r="ELI227" s="1"/>
      <c r="ELJ227" s="1"/>
      <c r="ELK227" s="1"/>
      <c r="ELL227" s="1"/>
      <c r="ELM227" s="1"/>
      <c r="ELN227" s="1"/>
      <c r="ELO227" s="1"/>
      <c r="ELP227" s="1"/>
      <c r="ELQ227" s="1"/>
      <c r="ELR227" s="1"/>
      <c r="ELS227" s="1"/>
      <c r="ELT227" s="1"/>
      <c r="ELU227" s="1"/>
      <c r="ELV227" s="1"/>
      <c r="ELW227" s="1"/>
      <c r="ELX227" s="1"/>
      <c r="ELY227" s="1"/>
      <c r="ELZ227" s="1"/>
      <c r="EMA227" s="1"/>
      <c r="EMB227" s="1"/>
      <c r="EMC227" s="1"/>
      <c r="EMD227" s="1"/>
      <c r="EME227" s="1"/>
      <c r="EMF227" s="1"/>
      <c r="EMG227" s="1"/>
      <c r="EMH227" s="1"/>
      <c r="EMI227" s="1"/>
      <c r="EMJ227" s="1"/>
      <c r="EMK227" s="1"/>
      <c r="EML227" s="1"/>
      <c r="EMM227" s="1"/>
      <c r="EMN227" s="1"/>
      <c r="EMO227" s="1"/>
      <c r="EMP227" s="1"/>
      <c r="EMQ227" s="1"/>
      <c r="EMR227" s="1"/>
      <c r="EMS227" s="1"/>
      <c r="EMT227" s="1"/>
      <c r="EMU227" s="1"/>
      <c r="EMV227" s="1"/>
      <c r="EMW227" s="1"/>
      <c r="EMX227" s="1"/>
      <c r="EMY227" s="1"/>
      <c r="EMZ227" s="1"/>
      <c r="ENA227" s="1"/>
      <c r="ENB227" s="1"/>
      <c r="ENC227" s="1"/>
      <c r="END227" s="1"/>
      <c r="ENE227" s="1"/>
      <c r="ENF227" s="1"/>
      <c r="ENG227" s="1"/>
      <c r="ENH227" s="1"/>
      <c r="ENI227" s="1"/>
      <c r="ENJ227" s="1"/>
      <c r="ENK227" s="1"/>
      <c r="ENL227" s="1"/>
      <c r="ENM227" s="1"/>
      <c r="ENN227" s="1"/>
      <c r="ENO227" s="1"/>
      <c r="ENP227" s="1"/>
      <c r="ENQ227" s="1"/>
      <c r="ENR227" s="1"/>
      <c r="ENS227" s="1"/>
      <c r="ENT227" s="1"/>
      <c r="ENU227" s="1"/>
      <c r="ENV227" s="1"/>
      <c r="ENW227" s="1"/>
      <c r="ENX227" s="1"/>
      <c r="ENY227" s="1"/>
      <c r="ENZ227" s="1"/>
      <c r="EOA227" s="1"/>
      <c r="EOB227" s="1"/>
      <c r="EOC227" s="1"/>
      <c r="EOD227" s="1"/>
      <c r="EOE227" s="1"/>
      <c r="EOF227" s="1"/>
      <c r="EOG227" s="1"/>
      <c r="EOH227" s="1"/>
      <c r="EOI227" s="1"/>
      <c r="EOJ227" s="1"/>
      <c r="EOK227" s="1"/>
      <c r="EOL227" s="1"/>
      <c r="EOM227" s="1"/>
      <c r="EON227" s="1"/>
      <c r="EOO227" s="1"/>
      <c r="EOP227" s="1"/>
      <c r="EOQ227" s="1"/>
      <c r="EOR227" s="1"/>
      <c r="EOS227" s="1"/>
      <c r="EOT227" s="1"/>
      <c r="EOU227" s="1"/>
      <c r="EOV227" s="1"/>
      <c r="EOW227" s="1"/>
      <c r="EOX227" s="1"/>
      <c r="EOY227" s="1"/>
      <c r="EOZ227" s="1"/>
      <c r="EPA227" s="1"/>
      <c r="EPB227" s="1"/>
      <c r="EPC227" s="1"/>
      <c r="EPD227" s="1"/>
      <c r="EPE227" s="1"/>
      <c r="EPF227" s="1"/>
      <c r="EPG227" s="1"/>
      <c r="EPH227" s="1"/>
      <c r="EPI227" s="1"/>
      <c r="EPJ227" s="1"/>
      <c r="EPK227" s="1"/>
      <c r="EPL227" s="1"/>
      <c r="EPM227" s="1"/>
      <c r="EPN227" s="1"/>
      <c r="EPO227" s="1"/>
      <c r="EPP227" s="1"/>
      <c r="EPQ227" s="1"/>
      <c r="EPR227" s="1"/>
      <c r="EPS227" s="1"/>
      <c r="EPT227" s="1"/>
      <c r="EPU227" s="1"/>
      <c r="EPV227" s="1"/>
      <c r="EPW227" s="1"/>
      <c r="EPX227" s="1"/>
      <c r="EPY227" s="1"/>
      <c r="EPZ227" s="1"/>
      <c r="EQA227" s="1"/>
      <c r="EQB227" s="1"/>
      <c r="EQC227" s="1"/>
      <c r="EQD227" s="1"/>
      <c r="EQE227" s="1"/>
      <c r="EQF227" s="1"/>
      <c r="EQG227" s="1"/>
      <c r="EQH227" s="1"/>
      <c r="EQI227" s="1"/>
      <c r="EQJ227" s="1"/>
      <c r="EQK227" s="1"/>
      <c r="EQL227" s="1"/>
      <c r="EQM227" s="1"/>
      <c r="EQN227" s="1"/>
      <c r="EQO227" s="1"/>
      <c r="EQP227" s="1"/>
      <c r="EQQ227" s="1"/>
      <c r="EQR227" s="1"/>
      <c r="EQS227" s="1"/>
      <c r="EQT227" s="1"/>
      <c r="EQU227" s="1"/>
      <c r="EQV227" s="1"/>
      <c r="EQW227" s="1"/>
      <c r="EQX227" s="1"/>
      <c r="EQY227" s="1"/>
      <c r="EQZ227" s="1"/>
      <c r="ERA227" s="1"/>
      <c r="ERB227" s="1"/>
      <c r="ERC227" s="1"/>
      <c r="ERD227" s="1"/>
      <c r="ERE227" s="1"/>
      <c r="ERF227" s="1"/>
      <c r="ERG227" s="1"/>
      <c r="ERH227" s="1"/>
      <c r="ERI227" s="1"/>
      <c r="ERJ227" s="1"/>
      <c r="ERK227" s="1"/>
      <c r="ERL227" s="1"/>
      <c r="ERM227" s="1"/>
      <c r="ERN227" s="1"/>
      <c r="ERO227" s="1"/>
      <c r="ERP227" s="1"/>
      <c r="ERQ227" s="1"/>
      <c r="ERR227" s="1"/>
      <c r="ERS227" s="1"/>
      <c r="ERT227" s="1"/>
      <c r="ERU227" s="1"/>
      <c r="ERV227" s="1"/>
      <c r="ERW227" s="1"/>
      <c r="ERX227" s="1"/>
      <c r="ERY227" s="1"/>
      <c r="ERZ227" s="1"/>
      <c r="ESA227" s="1"/>
      <c r="ESB227" s="1"/>
      <c r="ESC227" s="1"/>
      <c r="ESD227" s="1"/>
      <c r="ESE227" s="1"/>
      <c r="ESF227" s="1"/>
      <c r="ESG227" s="1"/>
      <c r="ESH227" s="1"/>
      <c r="ESI227" s="1"/>
      <c r="ESJ227" s="1"/>
      <c r="ESK227" s="1"/>
      <c r="ESL227" s="1"/>
      <c r="ESM227" s="1"/>
      <c r="ESN227" s="1"/>
      <c r="ESO227" s="1"/>
      <c r="ESP227" s="1"/>
      <c r="ESQ227" s="1"/>
      <c r="ESR227" s="1"/>
      <c r="ESS227" s="1"/>
      <c r="EST227" s="1"/>
      <c r="ESU227" s="1"/>
      <c r="ESV227" s="1"/>
      <c r="ESW227" s="1"/>
      <c r="ESX227" s="1"/>
      <c r="ESY227" s="1"/>
      <c r="ESZ227" s="1"/>
      <c r="ETA227" s="1"/>
      <c r="ETB227" s="1"/>
      <c r="ETC227" s="1"/>
      <c r="ETD227" s="1"/>
      <c r="ETE227" s="1"/>
      <c r="ETF227" s="1"/>
      <c r="ETG227" s="1"/>
      <c r="ETH227" s="1"/>
      <c r="ETI227" s="1"/>
      <c r="ETJ227" s="1"/>
      <c r="ETK227" s="1"/>
      <c r="ETL227" s="1"/>
      <c r="ETM227" s="1"/>
      <c r="ETN227" s="1"/>
      <c r="ETO227" s="1"/>
      <c r="ETP227" s="1"/>
      <c r="ETQ227" s="1"/>
      <c r="ETR227" s="1"/>
      <c r="ETS227" s="1"/>
      <c r="ETT227" s="1"/>
      <c r="ETU227" s="1"/>
      <c r="ETV227" s="1"/>
      <c r="ETW227" s="1"/>
      <c r="ETX227" s="1"/>
      <c r="ETY227" s="1"/>
      <c r="ETZ227" s="1"/>
      <c r="EUA227" s="1"/>
      <c r="EUB227" s="1"/>
      <c r="EUC227" s="1"/>
      <c r="EUD227" s="1"/>
      <c r="EUE227" s="1"/>
      <c r="EUF227" s="1"/>
      <c r="EUG227" s="1"/>
      <c r="EUH227" s="1"/>
      <c r="EUI227" s="1"/>
      <c r="EUJ227" s="1"/>
      <c r="EUK227" s="1"/>
      <c r="EUL227" s="1"/>
      <c r="EUM227" s="1"/>
      <c r="EUN227" s="1"/>
      <c r="EUO227" s="1"/>
      <c r="EUP227" s="1"/>
      <c r="EUQ227" s="1"/>
      <c r="EUR227" s="1"/>
      <c r="EUS227" s="1"/>
      <c r="EUT227" s="1"/>
      <c r="EUU227" s="1"/>
      <c r="EUV227" s="1"/>
      <c r="EUW227" s="1"/>
      <c r="EUX227" s="1"/>
      <c r="EUY227" s="1"/>
      <c r="EUZ227" s="1"/>
      <c r="EVA227" s="1"/>
      <c r="EVB227" s="1"/>
      <c r="EVC227" s="1"/>
      <c r="EVD227" s="1"/>
      <c r="EVE227" s="1"/>
      <c r="EVF227" s="1"/>
      <c r="EVG227" s="1"/>
      <c r="EVH227" s="1"/>
      <c r="EVI227" s="1"/>
      <c r="EVJ227" s="1"/>
      <c r="EVK227" s="1"/>
      <c r="EVL227" s="1"/>
      <c r="EVM227" s="1"/>
      <c r="EVN227" s="1"/>
      <c r="EVO227" s="1"/>
      <c r="EVP227" s="1"/>
      <c r="EVQ227" s="1"/>
      <c r="EVR227" s="1"/>
      <c r="EVS227" s="1"/>
      <c r="EVT227" s="1"/>
      <c r="EVU227" s="1"/>
      <c r="EVV227" s="1"/>
      <c r="EVW227" s="1"/>
      <c r="EVX227" s="1"/>
      <c r="EVY227" s="1"/>
      <c r="EVZ227" s="1"/>
      <c r="EWA227" s="1"/>
      <c r="EWB227" s="1"/>
      <c r="EWC227" s="1"/>
      <c r="EWD227" s="1"/>
      <c r="EWE227" s="1"/>
      <c r="EWF227" s="1"/>
      <c r="EWG227" s="1"/>
      <c r="EWH227" s="1"/>
      <c r="EWI227" s="1"/>
      <c r="EWJ227" s="1"/>
      <c r="EWK227" s="1"/>
      <c r="EWL227" s="1"/>
      <c r="EWM227" s="1"/>
      <c r="EWN227" s="1"/>
      <c r="EWO227" s="1"/>
      <c r="EWP227" s="1"/>
      <c r="EWQ227" s="1"/>
      <c r="EWR227" s="1"/>
      <c r="EWS227" s="1"/>
      <c r="EWT227" s="1"/>
      <c r="EWU227" s="1"/>
      <c r="EWV227" s="1"/>
      <c r="EWW227" s="1"/>
      <c r="EWX227" s="1"/>
      <c r="EWY227" s="1"/>
      <c r="EWZ227" s="1"/>
      <c r="EXA227" s="1"/>
      <c r="EXB227" s="1"/>
      <c r="EXC227" s="1"/>
      <c r="EXD227" s="1"/>
      <c r="EXE227" s="1"/>
      <c r="EXF227" s="1"/>
      <c r="EXG227" s="1"/>
      <c r="EXH227" s="1"/>
      <c r="EXI227" s="1"/>
      <c r="EXJ227" s="1"/>
      <c r="EXK227" s="1"/>
      <c r="EXL227" s="1"/>
      <c r="EXM227" s="1"/>
      <c r="EXN227" s="1"/>
      <c r="EXO227" s="1"/>
      <c r="EXP227" s="1"/>
      <c r="EXQ227" s="1"/>
      <c r="EXR227" s="1"/>
      <c r="EXS227" s="1"/>
      <c r="EXT227" s="1"/>
      <c r="EXU227" s="1"/>
      <c r="EXV227" s="1"/>
      <c r="EXW227" s="1"/>
      <c r="EXX227" s="1"/>
      <c r="EXY227" s="1"/>
      <c r="EXZ227" s="1"/>
      <c r="EYA227" s="1"/>
      <c r="EYB227" s="1"/>
      <c r="EYC227" s="1"/>
      <c r="EYD227" s="1"/>
      <c r="EYE227" s="1"/>
      <c r="EYF227" s="1"/>
      <c r="EYG227" s="1"/>
      <c r="EYH227" s="1"/>
      <c r="EYI227" s="1"/>
      <c r="EYJ227" s="1"/>
      <c r="EYK227" s="1"/>
      <c r="EYL227" s="1"/>
      <c r="EYM227" s="1"/>
      <c r="EYN227" s="1"/>
      <c r="EYO227" s="1"/>
      <c r="EYP227" s="1"/>
      <c r="EYQ227" s="1"/>
      <c r="EYR227" s="1"/>
      <c r="EYS227" s="1"/>
      <c r="EYT227" s="1"/>
      <c r="EYU227" s="1"/>
      <c r="EYV227" s="1"/>
      <c r="EYW227" s="1"/>
      <c r="EYX227" s="1"/>
      <c r="EYY227" s="1"/>
      <c r="EYZ227" s="1"/>
      <c r="EZA227" s="1"/>
      <c r="EZB227" s="1"/>
      <c r="EZC227" s="1"/>
      <c r="EZD227" s="1"/>
      <c r="EZE227" s="1"/>
      <c r="EZF227" s="1"/>
      <c r="EZG227" s="1"/>
      <c r="EZH227" s="1"/>
      <c r="EZI227" s="1"/>
      <c r="EZJ227" s="1"/>
      <c r="EZK227" s="1"/>
      <c r="EZL227" s="1"/>
      <c r="EZM227" s="1"/>
      <c r="EZN227" s="1"/>
      <c r="EZO227" s="1"/>
      <c r="EZP227" s="1"/>
      <c r="EZQ227" s="1"/>
      <c r="EZR227" s="1"/>
      <c r="EZS227" s="1"/>
      <c r="EZT227" s="1"/>
      <c r="EZU227" s="1"/>
      <c r="EZV227" s="1"/>
      <c r="EZW227" s="1"/>
      <c r="EZX227" s="1"/>
      <c r="EZY227" s="1"/>
      <c r="EZZ227" s="1"/>
      <c r="FAA227" s="1"/>
      <c r="FAB227" s="1"/>
      <c r="FAC227" s="1"/>
      <c r="FAD227" s="1"/>
      <c r="FAE227" s="1"/>
      <c r="FAF227" s="1"/>
      <c r="FAG227" s="1"/>
      <c r="FAH227" s="1"/>
      <c r="FAI227" s="1"/>
      <c r="FAJ227" s="1"/>
      <c r="FAK227" s="1"/>
      <c r="FAL227" s="1"/>
      <c r="FAM227" s="1"/>
      <c r="FAN227" s="1"/>
      <c r="FAO227" s="1"/>
      <c r="FAP227" s="1"/>
      <c r="FAQ227" s="1"/>
      <c r="FAR227" s="1"/>
      <c r="FAS227" s="1"/>
      <c r="FAT227" s="1"/>
      <c r="FAU227" s="1"/>
      <c r="FAV227" s="1"/>
      <c r="FAW227" s="1"/>
      <c r="FAX227" s="1"/>
      <c r="FAY227" s="1"/>
      <c r="FAZ227" s="1"/>
      <c r="FBA227" s="1"/>
      <c r="FBB227" s="1"/>
      <c r="FBC227" s="1"/>
      <c r="FBD227" s="1"/>
      <c r="FBE227" s="1"/>
      <c r="FBF227" s="1"/>
      <c r="FBG227" s="1"/>
      <c r="FBH227" s="1"/>
      <c r="FBI227" s="1"/>
      <c r="FBJ227" s="1"/>
      <c r="FBK227" s="1"/>
      <c r="FBL227" s="1"/>
      <c r="FBM227" s="1"/>
      <c r="FBN227" s="1"/>
      <c r="FBO227" s="1"/>
      <c r="FBP227" s="1"/>
      <c r="FBQ227" s="1"/>
      <c r="FBR227" s="1"/>
      <c r="FBS227" s="1"/>
      <c r="FBT227" s="1"/>
      <c r="FBU227" s="1"/>
      <c r="FBV227" s="1"/>
      <c r="FBW227" s="1"/>
      <c r="FBX227" s="1"/>
      <c r="FBY227" s="1"/>
      <c r="FBZ227" s="1"/>
      <c r="FCA227" s="1"/>
      <c r="FCB227" s="1"/>
      <c r="FCC227" s="1"/>
      <c r="FCD227" s="1"/>
      <c r="FCE227" s="1"/>
      <c r="FCF227" s="1"/>
      <c r="FCG227" s="1"/>
      <c r="FCH227" s="1"/>
      <c r="FCI227" s="1"/>
      <c r="FCJ227" s="1"/>
      <c r="FCK227" s="1"/>
      <c r="FCL227" s="1"/>
      <c r="FCM227" s="1"/>
      <c r="FCN227" s="1"/>
      <c r="FCO227" s="1"/>
      <c r="FCP227" s="1"/>
      <c r="FCQ227" s="1"/>
      <c r="FCR227" s="1"/>
      <c r="FCS227" s="1"/>
      <c r="FCT227" s="1"/>
      <c r="FCU227" s="1"/>
      <c r="FCV227" s="1"/>
      <c r="FCW227" s="1"/>
      <c r="FCX227" s="1"/>
      <c r="FCY227" s="1"/>
      <c r="FCZ227" s="1"/>
      <c r="FDA227" s="1"/>
      <c r="FDB227" s="1"/>
      <c r="FDC227" s="1"/>
      <c r="FDD227" s="1"/>
      <c r="FDE227" s="1"/>
      <c r="FDF227" s="1"/>
      <c r="FDG227" s="1"/>
      <c r="FDH227" s="1"/>
      <c r="FDI227" s="1"/>
      <c r="FDJ227" s="1"/>
      <c r="FDK227" s="1"/>
      <c r="FDL227" s="1"/>
      <c r="FDM227" s="1"/>
      <c r="FDN227" s="1"/>
      <c r="FDO227" s="1"/>
      <c r="FDP227" s="1"/>
      <c r="FDQ227" s="1"/>
      <c r="FDR227" s="1"/>
      <c r="FDS227" s="1"/>
      <c r="FDT227" s="1"/>
      <c r="FDU227" s="1"/>
      <c r="FDV227" s="1"/>
      <c r="FDW227" s="1"/>
      <c r="FDX227" s="1"/>
      <c r="FDY227" s="1"/>
      <c r="FDZ227" s="1"/>
      <c r="FEA227" s="1"/>
      <c r="FEB227" s="1"/>
      <c r="FEC227" s="1"/>
      <c r="FED227" s="1"/>
      <c r="FEE227" s="1"/>
      <c r="FEF227" s="1"/>
      <c r="FEG227" s="1"/>
      <c r="FEH227" s="1"/>
      <c r="FEI227" s="1"/>
      <c r="FEJ227" s="1"/>
      <c r="FEK227" s="1"/>
      <c r="FEL227" s="1"/>
      <c r="FEM227" s="1"/>
      <c r="FEN227" s="1"/>
      <c r="FEO227" s="1"/>
      <c r="FEP227" s="1"/>
      <c r="FEQ227" s="1"/>
      <c r="FER227" s="1"/>
      <c r="FES227" s="1"/>
      <c r="FET227" s="1"/>
      <c r="FEU227" s="1"/>
      <c r="FEV227" s="1"/>
      <c r="FEW227" s="1"/>
      <c r="FEX227" s="1"/>
      <c r="FEY227" s="1"/>
      <c r="FEZ227" s="1"/>
      <c r="FFA227" s="1"/>
      <c r="FFB227" s="1"/>
      <c r="FFC227" s="1"/>
      <c r="FFD227" s="1"/>
      <c r="FFE227" s="1"/>
      <c r="FFF227" s="1"/>
      <c r="FFG227" s="1"/>
      <c r="FFH227" s="1"/>
      <c r="FFI227" s="1"/>
      <c r="FFJ227" s="1"/>
      <c r="FFK227" s="1"/>
      <c r="FFL227" s="1"/>
      <c r="FFM227" s="1"/>
      <c r="FFN227" s="1"/>
      <c r="FFO227" s="1"/>
      <c r="FFP227" s="1"/>
      <c r="FFQ227" s="1"/>
      <c r="FFR227" s="1"/>
      <c r="FFS227" s="1"/>
      <c r="FFT227" s="1"/>
      <c r="FFU227" s="1"/>
      <c r="FFV227" s="1"/>
      <c r="FFW227" s="1"/>
      <c r="FFX227" s="1"/>
      <c r="FFY227" s="1"/>
      <c r="FFZ227" s="1"/>
      <c r="FGA227" s="1"/>
      <c r="FGB227" s="1"/>
      <c r="FGC227" s="1"/>
      <c r="FGD227" s="1"/>
      <c r="FGE227" s="1"/>
      <c r="FGF227" s="1"/>
      <c r="FGG227" s="1"/>
      <c r="FGH227" s="1"/>
      <c r="FGI227" s="1"/>
      <c r="FGJ227" s="1"/>
      <c r="FGK227" s="1"/>
      <c r="FGL227" s="1"/>
      <c r="FGM227" s="1"/>
      <c r="FGN227" s="1"/>
      <c r="FGO227" s="1"/>
      <c r="FGP227" s="1"/>
      <c r="FGQ227" s="1"/>
      <c r="FGR227" s="1"/>
      <c r="FGS227" s="1"/>
      <c r="FGT227" s="1"/>
      <c r="FGU227" s="1"/>
      <c r="FGV227" s="1"/>
      <c r="FGW227" s="1"/>
      <c r="FGX227" s="1"/>
      <c r="FGY227" s="1"/>
      <c r="FGZ227" s="1"/>
      <c r="FHA227" s="1"/>
      <c r="FHB227" s="1"/>
      <c r="FHC227" s="1"/>
      <c r="FHD227" s="1"/>
      <c r="FHE227" s="1"/>
      <c r="FHF227" s="1"/>
      <c r="FHG227" s="1"/>
      <c r="FHH227" s="1"/>
      <c r="FHI227" s="1"/>
      <c r="FHJ227" s="1"/>
      <c r="FHK227" s="1"/>
      <c r="FHL227" s="1"/>
      <c r="FHM227" s="1"/>
      <c r="FHN227" s="1"/>
      <c r="FHO227" s="1"/>
      <c r="FHP227" s="1"/>
      <c r="FHQ227" s="1"/>
      <c r="FHR227" s="1"/>
      <c r="FHS227" s="1"/>
      <c r="FHT227" s="1"/>
      <c r="FHU227" s="1"/>
      <c r="FHV227" s="1"/>
      <c r="FHW227" s="1"/>
      <c r="FHX227" s="1"/>
      <c r="FHY227" s="1"/>
      <c r="FHZ227" s="1"/>
      <c r="FIA227" s="1"/>
      <c r="FIB227" s="1"/>
      <c r="FIC227" s="1"/>
      <c r="FID227" s="1"/>
      <c r="FIE227" s="1"/>
      <c r="FIF227" s="1"/>
      <c r="FIG227" s="1"/>
      <c r="FIH227" s="1"/>
      <c r="FII227" s="1"/>
      <c r="FIJ227" s="1"/>
      <c r="FIK227" s="1"/>
      <c r="FIL227" s="1"/>
      <c r="FIM227" s="1"/>
      <c r="FIN227" s="1"/>
      <c r="FIO227" s="1"/>
      <c r="FIP227" s="1"/>
      <c r="FIQ227" s="1"/>
      <c r="FIR227" s="1"/>
      <c r="FIS227" s="1"/>
      <c r="FIT227" s="1"/>
      <c r="FIU227" s="1"/>
      <c r="FIV227" s="1"/>
      <c r="FIW227" s="1"/>
      <c r="FIX227" s="1"/>
      <c r="FIY227" s="1"/>
      <c r="FIZ227" s="1"/>
      <c r="FJA227" s="1"/>
      <c r="FJB227" s="1"/>
      <c r="FJC227" s="1"/>
      <c r="FJD227" s="1"/>
      <c r="FJE227" s="1"/>
      <c r="FJF227" s="1"/>
      <c r="FJG227" s="1"/>
      <c r="FJH227" s="1"/>
      <c r="FJI227" s="1"/>
      <c r="FJJ227" s="1"/>
      <c r="FJK227" s="1"/>
      <c r="FJL227" s="1"/>
      <c r="FJM227" s="1"/>
      <c r="FJN227" s="1"/>
      <c r="FJO227" s="1"/>
      <c r="FJP227" s="1"/>
      <c r="FJQ227" s="1"/>
      <c r="FJR227" s="1"/>
      <c r="FJS227" s="1"/>
      <c r="FJT227" s="1"/>
      <c r="FJU227" s="1"/>
      <c r="FJV227" s="1"/>
      <c r="FJW227" s="1"/>
      <c r="FJX227" s="1"/>
      <c r="FJY227" s="1"/>
      <c r="FJZ227" s="1"/>
      <c r="FKA227" s="1"/>
      <c r="FKB227" s="1"/>
      <c r="FKC227" s="1"/>
      <c r="FKD227" s="1"/>
      <c r="FKE227" s="1"/>
      <c r="FKF227" s="1"/>
      <c r="FKG227" s="1"/>
      <c r="FKH227" s="1"/>
      <c r="FKI227" s="1"/>
      <c r="FKJ227" s="1"/>
      <c r="FKK227" s="1"/>
      <c r="FKL227" s="1"/>
      <c r="FKM227" s="1"/>
      <c r="FKN227" s="1"/>
      <c r="FKO227" s="1"/>
      <c r="FKP227" s="1"/>
      <c r="FKQ227" s="1"/>
      <c r="FKR227" s="1"/>
      <c r="FKS227" s="1"/>
      <c r="FKT227" s="1"/>
      <c r="FKU227" s="1"/>
      <c r="FKV227" s="1"/>
      <c r="FKW227" s="1"/>
      <c r="FKX227" s="1"/>
      <c r="FKY227" s="1"/>
      <c r="FKZ227" s="1"/>
      <c r="FLA227" s="1"/>
      <c r="FLB227" s="1"/>
      <c r="FLC227" s="1"/>
      <c r="FLD227" s="1"/>
      <c r="FLE227" s="1"/>
      <c r="FLF227" s="1"/>
      <c r="FLG227" s="1"/>
      <c r="FLH227" s="1"/>
      <c r="FLI227" s="1"/>
      <c r="FLJ227" s="1"/>
      <c r="FLK227" s="1"/>
      <c r="FLL227" s="1"/>
      <c r="FLM227" s="1"/>
      <c r="FLN227" s="1"/>
      <c r="FLO227" s="1"/>
      <c r="FLP227" s="1"/>
      <c r="FLQ227" s="1"/>
      <c r="FLR227" s="1"/>
      <c r="FLS227" s="1"/>
      <c r="FLT227" s="1"/>
      <c r="FLU227" s="1"/>
      <c r="FLV227" s="1"/>
      <c r="FLW227" s="1"/>
      <c r="FLX227" s="1"/>
      <c r="FLY227" s="1"/>
      <c r="FLZ227" s="1"/>
      <c r="FMA227" s="1"/>
      <c r="FMB227" s="1"/>
      <c r="FMC227" s="1"/>
      <c r="FMD227" s="1"/>
      <c r="FME227" s="1"/>
      <c r="FMF227" s="1"/>
      <c r="FMG227" s="1"/>
      <c r="FMH227" s="1"/>
      <c r="FMI227" s="1"/>
      <c r="FMJ227" s="1"/>
      <c r="FMK227" s="1"/>
      <c r="FML227" s="1"/>
      <c r="FMM227" s="1"/>
      <c r="FMN227" s="1"/>
      <c r="FMO227" s="1"/>
      <c r="FMP227" s="1"/>
      <c r="FMQ227" s="1"/>
      <c r="FMR227" s="1"/>
      <c r="FMS227" s="1"/>
      <c r="FMT227" s="1"/>
      <c r="FMU227" s="1"/>
      <c r="FMV227" s="1"/>
      <c r="FMW227" s="1"/>
      <c r="FMX227" s="1"/>
      <c r="FMY227" s="1"/>
      <c r="FMZ227" s="1"/>
      <c r="FNA227" s="1"/>
      <c r="FNB227" s="1"/>
      <c r="FNC227" s="1"/>
      <c r="FND227" s="1"/>
      <c r="FNE227" s="1"/>
      <c r="FNF227" s="1"/>
      <c r="FNG227" s="1"/>
      <c r="FNH227" s="1"/>
      <c r="FNI227" s="1"/>
      <c r="FNJ227" s="1"/>
      <c r="FNK227" s="1"/>
      <c r="FNL227" s="1"/>
      <c r="FNM227" s="1"/>
      <c r="FNN227" s="1"/>
      <c r="FNO227" s="1"/>
      <c r="FNP227" s="1"/>
      <c r="FNQ227" s="1"/>
      <c r="FNR227" s="1"/>
      <c r="FNS227" s="1"/>
      <c r="FNT227" s="1"/>
      <c r="FNU227" s="1"/>
      <c r="FNV227" s="1"/>
      <c r="FNW227" s="1"/>
      <c r="FNX227" s="1"/>
      <c r="FNY227" s="1"/>
      <c r="FNZ227" s="1"/>
      <c r="FOA227" s="1"/>
      <c r="FOB227" s="1"/>
      <c r="FOC227" s="1"/>
      <c r="FOD227" s="1"/>
      <c r="FOE227" s="1"/>
      <c r="FOF227" s="1"/>
      <c r="FOG227" s="1"/>
      <c r="FOH227" s="1"/>
      <c r="FOI227" s="1"/>
      <c r="FOJ227" s="1"/>
      <c r="FOK227" s="1"/>
      <c r="FOL227" s="1"/>
      <c r="FOM227" s="1"/>
      <c r="FON227" s="1"/>
      <c r="FOO227" s="1"/>
      <c r="FOP227" s="1"/>
      <c r="FOQ227" s="1"/>
      <c r="FOR227" s="1"/>
      <c r="FOS227" s="1"/>
      <c r="FOT227" s="1"/>
      <c r="FOU227" s="1"/>
      <c r="FOV227" s="1"/>
      <c r="FOW227" s="1"/>
      <c r="FOX227" s="1"/>
      <c r="FOY227" s="1"/>
      <c r="FOZ227" s="1"/>
      <c r="FPA227" s="1"/>
      <c r="FPB227" s="1"/>
      <c r="FPC227" s="1"/>
      <c r="FPD227" s="1"/>
      <c r="FPE227" s="1"/>
      <c r="FPF227" s="1"/>
      <c r="FPG227" s="1"/>
      <c r="FPH227" s="1"/>
      <c r="FPI227" s="1"/>
      <c r="FPJ227" s="1"/>
      <c r="FPK227" s="1"/>
      <c r="FPL227" s="1"/>
      <c r="FPM227" s="1"/>
      <c r="FPN227" s="1"/>
      <c r="FPO227" s="1"/>
      <c r="FPP227" s="1"/>
      <c r="FPQ227" s="1"/>
      <c r="FPR227" s="1"/>
      <c r="FPS227" s="1"/>
      <c r="FPT227" s="1"/>
      <c r="FPU227" s="1"/>
      <c r="FPV227" s="1"/>
      <c r="FPW227" s="1"/>
      <c r="FPX227" s="1"/>
      <c r="FPY227" s="1"/>
      <c r="FPZ227" s="1"/>
      <c r="FQA227" s="1"/>
      <c r="FQB227" s="1"/>
      <c r="FQC227" s="1"/>
      <c r="FQD227" s="1"/>
      <c r="FQE227" s="1"/>
      <c r="FQF227" s="1"/>
      <c r="FQG227" s="1"/>
      <c r="FQH227" s="1"/>
      <c r="FQI227" s="1"/>
      <c r="FQJ227" s="1"/>
      <c r="FQK227" s="1"/>
      <c r="FQL227" s="1"/>
      <c r="FQM227" s="1"/>
      <c r="FQN227" s="1"/>
      <c r="FQO227" s="1"/>
      <c r="FQP227" s="1"/>
      <c r="FQQ227" s="1"/>
      <c r="FQR227" s="1"/>
      <c r="FQS227" s="1"/>
      <c r="FQT227" s="1"/>
      <c r="FQU227" s="1"/>
      <c r="FQV227" s="1"/>
      <c r="FQW227" s="1"/>
      <c r="FQX227" s="1"/>
      <c r="FQY227" s="1"/>
      <c r="FQZ227" s="1"/>
      <c r="FRA227" s="1"/>
      <c r="FRB227" s="1"/>
      <c r="FRC227" s="1"/>
      <c r="FRD227" s="1"/>
      <c r="FRE227" s="1"/>
      <c r="FRF227" s="1"/>
      <c r="FRG227" s="1"/>
      <c r="FRH227" s="1"/>
      <c r="FRI227" s="1"/>
      <c r="FRJ227" s="1"/>
      <c r="FRK227" s="1"/>
      <c r="FRL227" s="1"/>
      <c r="FRM227" s="1"/>
      <c r="FRN227" s="1"/>
      <c r="FRO227" s="1"/>
      <c r="FRP227" s="1"/>
      <c r="FRQ227" s="1"/>
      <c r="FRR227" s="1"/>
      <c r="FRS227" s="1"/>
      <c r="FRT227" s="1"/>
      <c r="FRU227" s="1"/>
      <c r="FRV227" s="1"/>
      <c r="FRW227" s="1"/>
      <c r="FRX227" s="1"/>
      <c r="FRY227" s="1"/>
      <c r="FRZ227" s="1"/>
      <c r="FSA227" s="1"/>
      <c r="FSB227" s="1"/>
      <c r="FSC227" s="1"/>
      <c r="FSD227" s="1"/>
      <c r="FSE227" s="1"/>
      <c r="FSF227" s="1"/>
      <c r="FSG227" s="1"/>
      <c r="FSH227" s="1"/>
      <c r="FSI227" s="1"/>
      <c r="FSJ227" s="1"/>
      <c r="FSK227" s="1"/>
      <c r="FSL227" s="1"/>
      <c r="FSM227" s="1"/>
      <c r="FSN227" s="1"/>
      <c r="FSO227" s="1"/>
      <c r="FSP227" s="1"/>
      <c r="FSQ227" s="1"/>
      <c r="FSR227" s="1"/>
      <c r="FSS227" s="1"/>
      <c r="FST227" s="1"/>
      <c r="FSU227" s="1"/>
      <c r="FSV227" s="1"/>
      <c r="FSW227" s="1"/>
      <c r="FSX227" s="1"/>
      <c r="FSY227" s="1"/>
      <c r="FSZ227" s="1"/>
      <c r="FTA227" s="1"/>
      <c r="FTB227" s="1"/>
      <c r="FTC227" s="1"/>
      <c r="FTD227" s="1"/>
      <c r="FTE227" s="1"/>
      <c r="FTF227" s="1"/>
      <c r="FTG227" s="1"/>
      <c r="FTH227" s="1"/>
      <c r="FTI227" s="1"/>
      <c r="FTJ227" s="1"/>
      <c r="FTK227" s="1"/>
      <c r="FTL227" s="1"/>
      <c r="FTM227" s="1"/>
      <c r="FTN227" s="1"/>
      <c r="FTO227" s="1"/>
      <c r="FTP227" s="1"/>
      <c r="FTQ227" s="1"/>
      <c r="FTR227" s="1"/>
      <c r="FTS227" s="1"/>
      <c r="FTT227" s="1"/>
      <c r="FTU227" s="1"/>
      <c r="FTV227" s="1"/>
      <c r="FTW227" s="1"/>
      <c r="FTX227" s="1"/>
      <c r="FTY227" s="1"/>
      <c r="FTZ227" s="1"/>
      <c r="FUA227" s="1"/>
      <c r="FUB227" s="1"/>
      <c r="FUC227" s="1"/>
      <c r="FUD227" s="1"/>
      <c r="FUE227" s="1"/>
      <c r="FUF227" s="1"/>
      <c r="FUG227" s="1"/>
      <c r="FUH227" s="1"/>
      <c r="FUI227" s="1"/>
      <c r="FUJ227" s="1"/>
      <c r="FUK227" s="1"/>
      <c r="FUL227" s="1"/>
      <c r="FUM227" s="1"/>
      <c r="FUN227" s="1"/>
      <c r="FUO227" s="1"/>
      <c r="FUP227" s="1"/>
      <c r="FUQ227" s="1"/>
      <c r="FUR227" s="1"/>
      <c r="FUS227" s="1"/>
      <c r="FUT227" s="1"/>
      <c r="FUU227" s="1"/>
      <c r="FUV227" s="1"/>
      <c r="FUW227" s="1"/>
      <c r="FUX227" s="1"/>
      <c r="FUY227" s="1"/>
      <c r="FUZ227" s="1"/>
      <c r="FVA227" s="1"/>
      <c r="FVB227" s="1"/>
      <c r="FVC227" s="1"/>
      <c r="FVD227" s="1"/>
      <c r="FVE227" s="1"/>
      <c r="FVF227" s="1"/>
      <c r="FVG227" s="1"/>
      <c r="FVH227" s="1"/>
      <c r="FVI227" s="1"/>
      <c r="FVJ227" s="1"/>
      <c r="FVK227" s="1"/>
      <c r="FVL227" s="1"/>
      <c r="FVM227" s="1"/>
      <c r="FVN227" s="1"/>
      <c r="FVO227" s="1"/>
      <c r="FVP227" s="1"/>
      <c r="FVQ227" s="1"/>
      <c r="FVR227" s="1"/>
      <c r="FVS227" s="1"/>
      <c r="FVT227" s="1"/>
      <c r="FVU227" s="1"/>
      <c r="FVV227" s="1"/>
      <c r="FVW227" s="1"/>
      <c r="FVX227" s="1"/>
      <c r="FVY227" s="1"/>
      <c r="FVZ227" s="1"/>
      <c r="FWA227" s="1"/>
      <c r="FWB227" s="1"/>
      <c r="FWC227" s="1"/>
      <c r="FWD227" s="1"/>
      <c r="FWE227" s="1"/>
      <c r="FWF227" s="1"/>
      <c r="FWG227" s="1"/>
      <c r="FWH227" s="1"/>
      <c r="FWI227" s="1"/>
      <c r="FWJ227" s="1"/>
      <c r="FWK227" s="1"/>
      <c r="FWL227" s="1"/>
      <c r="FWM227" s="1"/>
      <c r="FWN227" s="1"/>
      <c r="FWO227" s="1"/>
      <c r="FWP227" s="1"/>
      <c r="FWQ227" s="1"/>
      <c r="FWR227" s="1"/>
      <c r="FWS227" s="1"/>
      <c r="FWT227" s="1"/>
      <c r="FWU227" s="1"/>
      <c r="FWV227" s="1"/>
      <c r="FWW227" s="1"/>
      <c r="FWX227" s="1"/>
      <c r="FWY227" s="1"/>
      <c r="FWZ227" s="1"/>
      <c r="FXA227" s="1"/>
      <c r="FXB227" s="1"/>
      <c r="FXC227" s="1"/>
      <c r="FXD227" s="1"/>
      <c r="FXE227" s="1"/>
      <c r="FXF227" s="1"/>
      <c r="FXG227" s="1"/>
      <c r="FXH227" s="1"/>
      <c r="FXI227" s="1"/>
      <c r="FXJ227" s="1"/>
      <c r="FXK227" s="1"/>
      <c r="FXL227" s="1"/>
      <c r="FXM227" s="1"/>
      <c r="FXN227" s="1"/>
      <c r="FXO227" s="1"/>
      <c r="FXP227" s="1"/>
      <c r="FXQ227" s="1"/>
      <c r="FXR227" s="1"/>
      <c r="FXS227" s="1"/>
      <c r="FXT227" s="1"/>
      <c r="FXU227" s="1"/>
      <c r="FXV227" s="1"/>
      <c r="FXW227" s="1"/>
      <c r="FXX227" s="1"/>
      <c r="FXY227" s="1"/>
      <c r="FXZ227" s="1"/>
      <c r="FYA227" s="1"/>
      <c r="FYB227" s="1"/>
      <c r="FYC227" s="1"/>
      <c r="FYD227" s="1"/>
      <c r="FYE227" s="1"/>
      <c r="FYF227" s="1"/>
      <c r="FYG227" s="1"/>
      <c r="FYH227" s="1"/>
      <c r="FYI227" s="1"/>
      <c r="FYJ227" s="1"/>
      <c r="FYK227" s="1"/>
      <c r="FYL227" s="1"/>
      <c r="FYM227" s="1"/>
      <c r="FYN227" s="1"/>
      <c r="FYO227" s="1"/>
      <c r="FYP227" s="1"/>
      <c r="FYQ227" s="1"/>
      <c r="FYR227" s="1"/>
      <c r="FYS227" s="1"/>
      <c r="FYT227" s="1"/>
      <c r="FYU227" s="1"/>
      <c r="FYV227" s="1"/>
      <c r="FYW227" s="1"/>
      <c r="FYX227" s="1"/>
      <c r="FYY227" s="1"/>
      <c r="FYZ227" s="1"/>
      <c r="FZA227" s="1"/>
      <c r="FZB227" s="1"/>
      <c r="FZC227" s="1"/>
      <c r="FZD227" s="1"/>
      <c r="FZE227" s="1"/>
      <c r="FZF227" s="1"/>
      <c r="FZG227" s="1"/>
      <c r="FZH227" s="1"/>
      <c r="FZI227" s="1"/>
      <c r="FZJ227" s="1"/>
      <c r="FZK227" s="1"/>
      <c r="FZL227" s="1"/>
      <c r="FZM227" s="1"/>
      <c r="FZN227" s="1"/>
      <c r="FZO227" s="1"/>
      <c r="FZP227" s="1"/>
      <c r="FZQ227" s="1"/>
      <c r="FZR227" s="1"/>
      <c r="FZS227" s="1"/>
      <c r="FZT227" s="1"/>
      <c r="FZU227" s="1"/>
      <c r="FZV227" s="1"/>
      <c r="FZW227" s="1"/>
      <c r="FZX227" s="1"/>
      <c r="FZY227" s="1"/>
      <c r="FZZ227" s="1"/>
      <c r="GAA227" s="1"/>
      <c r="GAB227" s="1"/>
      <c r="GAC227" s="1"/>
      <c r="GAD227" s="1"/>
      <c r="GAE227" s="1"/>
      <c r="GAF227" s="1"/>
      <c r="GAG227" s="1"/>
      <c r="GAH227" s="1"/>
      <c r="GAI227" s="1"/>
      <c r="GAJ227" s="1"/>
      <c r="GAK227" s="1"/>
      <c r="GAL227" s="1"/>
      <c r="GAM227" s="1"/>
      <c r="GAN227" s="1"/>
      <c r="GAO227" s="1"/>
      <c r="GAP227" s="1"/>
      <c r="GAQ227" s="1"/>
      <c r="GAR227" s="1"/>
      <c r="GAS227" s="1"/>
      <c r="GAT227" s="1"/>
      <c r="GAU227" s="1"/>
      <c r="GAV227" s="1"/>
      <c r="GAW227" s="1"/>
      <c r="GAX227" s="1"/>
      <c r="GAY227" s="1"/>
      <c r="GAZ227" s="1"/>
      <c r="GBA227" s="1"/>
      <c r="GBB227" s="1"/>
      <c r="GBC227" s="1"/>
      <c r="GBD227" s="1"/>
      <c r="GBE227" s="1"/>
      <c r="GBF227" s="1"/>
      <c r="GBG227" s="1"/>
      <c r="GBH227" s="1"/>
      <c r="GBI227" s="1"/>
      <c r="GBJ227" s="1"/>
      <c r="GBK227" s="1"/>
      <c r="GBL227" s="1"/>
      <c r="GBM227" s="1"/>
      <c r="GBN227" s="1"/>
      <c r="GBO227" s="1"/>
      <c r="GBP227" s="1"/>
      <c r="GBQ227" s="1"/>
      <c r="GBR227" s="1"/>
      <c r="GBS227" s="1"/>
      <c r="GBT227" s="1"/>
      <c r="GBU227" s="1"/>
      <c r="GBV227" s="1"/>
      <c r="GBW227" s="1"/>
      <c r="GBX227" s="1"/>
      <c r="GBY227" s="1"/>
      <c r="GBZ227" s="1"/>
      <c r="GCA227" s="1"/>
      <c r="GCB227" s="1"/>
      <c r="GCC227" s="1"/>
      <c r="GCD227" s="1"/>
      <c r="GCE227" s="1"/>
      <c r="GCF227" s="1"/>
      <c r="GCG227" s="1"/>
      <c r="GCH227" s="1"/>
      <c r="GCI227" s="1"/>
      <c r="GCJ227" s="1"/>
      <c r="GCK227" s="1"/>
      <c r="GCL227" s="1"/>
      <c r="GCM227" s="1"/>
      <c r="GCN227" s="1"/>
      <c r="GCO227" s="1"/>
      <c r="GCP227" s="1"/>
      <c r="GCQ227" s="1"/>
      <c r="GCR227" s="1"/>
      <c r="GCS227" s="1"/>
      <c r="GCT227" s="1"/>
      <c r="GCU227" s="1"/>
      <c r="GCV227" s="1"/>
      <c r="GCW227" s="1"/>
      <c r="GCX227" s="1"/>
      <c r="GCY227" s="1"/>
      <c r="GCZ227" s="1"/>
      <c r="GDA227" s="1"/>
      <c r="GDB227" s="1"/>
      <c r="GDC227" s="1"/>
      <c r="GDD227" s="1"/>
      <c r="GDE227" s="1"/>
      <c r="GDF227" s="1"/>
      <c r="GDG227" s="1"/>
      <c r="GDH227" s="1"/>
      <c r="GDI227" s="1"/>
      <c r="GDJ227" s="1"/>
      <c r="GDK227" s="1"/>
      <c r="GDL227" s="1"/>
      <c r="GDM227" s="1"/>
      <c r="GDN227" s="1"/>
      <c r="GDO227" s="1"/>
      <c r="GDP227" s="1"/>
      <c r="GDQ227" s="1"/>
      <c r="GDR227" s="1"/>
      <c r="GDS227" s="1"/>
      <c r="GDT227" s="1"/>
      <c r="GDU227" s="1"/>
      <c r="GDV227" s="1"/>
      <c r="GDW227" s="1"/>
      <c r="GDX227" s="1"/>
      <c r="GDY227" s="1"/>
      <c r="GDZ227" s="1"/>
      <c r="GEA227" s="1"/>
      <c r="GEB227" s="1"/>
      <c r="GEC227" s="1"/>
      <c r="GED227" s="1"/>
      <c r="GEE227" s="1"/>
      <c r="GEF227" s="1"/>
      <c r="GEG227" s="1"/>
      <c r="GEH227" s="1"/>
      <c r="GEI227" s="1"/>
      <c r="GEJ227" s="1"/>
      <c r="GEK227" s="1"/>
      <c r="GEL227" s="1"/>
      <c r="GEM227" s="1"/>
      <c r="GEN227" s="1"/>
      <c r="GEO227" s="1"/>
      <c r="GEP227" s="1"/>
      <c r="GEQ227" s="1"/>
      <c r="GER227" s="1"/>
      <c r="GES227" s="1"/>
      <c r="GET227" s="1"/>
      <c r="GEU227" s="1"/>
      <c r="GEV227" s="1"/>
      <c r="GEW227" s="1"/>
      <c r="GEX227" s="1"/>
      <c r="GEY227" s="1"/>
      <c r="GEZ227" s="1"/>
      <c r="GFA227" s="1"/>
      <c r="GFB227" s="1"/>
      <c r="GFC227" s="1"/>
      <c r="GFD227" s="1"/>
      <c r="GFE227" s="1"/>
      <c r="GFF227" s="1"/>
      <c r="GFG227" s="1"/>
      <c r="GFH227" s="1"/>
      <c r="GFI227" s="1"/>
      <c r="GFJ227" s="1"/>
      <c r="GFK227" s="1"/>
      <c r="GFL227" s="1"/>
      <c r="GFM227" s="1"/>
      <c r="GFN227" s="1"/>
      <c r="GFO227" s="1"/>
      <c r="GFP227" s="1"/>
      <c r="GFQ227" s="1"/>
      <c r="GFR227" s="1"/>
      <c r="GFS227" s="1"/>
      <c r="GFT227" s="1"/>
      <c r="GFU227" s="1"/>
      <c r="GFV227" s="1"/>
      <c r="GFW227" s="1"/>
      <c r="GFX227" s="1"/>
      <c r="GFY227" s="1"/>
      <c r="GFZ227" s="1"/>
      <c r="GGA227" s="1"/>
      <c r="GGB227" s="1"/>
      <c r="GGC227" s="1"/>
      <c r="GGD227" s="1"/>
      <c r="GGE227" s="1"/>
      <c r="GGF227" s="1"/>
      <c r="GGG227" s="1"/>
      <c r="GGH227" s="1"/>
      <c r="GGI227" s="1"/>
      <c r="GGJ227" s="1"/>
      <c r="GGK227" s="1"/>
      <c r="GGL227" s="1"/>
      <c r="GGM227" s="1"/>
      <c r="GGN227" s="1"/>
      <c r="GGO227" s="1"/>
      <c r="GGP227" s="1"/>
      <c r="GGQ227" s="1"/>
      <c r="GGR227" s="1"/>
      <c r="GGS227" s="1"/>
      <c r="GGT227" s="1"/>
      <c r="GGU227" s="1"/>
      <c r="GGV227" s="1"/>
      <c r="GGW227" s="1"/>
      <c r="GGX227" s="1"/>
      <c r="GGY227" s="1"/>
      <c r="GGZ227" s="1"/>
      <c r="GHA227" s="1"/>
      <c r="GHB227" s="1"/>
      <c r="GHC227" s="1"/>
      <c r="GHD227" s="1"/>
      <c r="GHE227" s="1"/>
      <c r="GHF227" s="1"/>
      <c r="GHG227" s="1"/>
      <c r="GHH227" s="1"/>
      <c r="GHI227" s="1"/>
      <c r="GHJ227" s="1"/>
      <c r="GHK227" s="1"/>
      <c r="GHL227" s="1"/>
      <c r="GHM227" s="1"/>
      <c r="GHN227" s="1"/>
      <c r="GHO227" s="1"/>
      <c r="GHP227" s="1"/>
      <c r="GHQ227" s="1"/>
      <c r="GHR227" s="1"/>
      <c r="GHS227" s="1"/>
      <c r="GHT227" s="1"/>
      <c r="GHU227" s="1"/>
      <c r="GHV227" s="1"/>
      <c r="GHW227" s="1"/>
      <c r="GHX227" s="1"/>
      <c r="GHY227" s="1"/>
      <c r="GHZ227" s="1"/>
      <c r="GIA227" s="1"/>
      <c r="GIB227" s="1"/>
      <c r="GIC227" s="1"/>
      <c r="GID227" s="1"/>
      <c r="GIE227" s="1"/>
      <c r="GIF227" s="1"/>
      <c r="GIG227" s="1"/>
      <c r="GIH227" s="1"/>
      <c r="GII227" s="1"/>
      <c r="GIJ227" s="1"/>
      <c r="GIK227" s="1"/>
      <c r="GIL227" s="1"/>
      <c r="GIM227" s="1"/>
      <c r="GIN227" s="1"/>
      <c r="GIO227" s="1"/>
      <c r="GIP227" s="1"/>
      <c r="GIQ227" s="1"/>
      <c r="GIR227" s="1"/>
      <c r="GIS227" s="1"/>
      <c r="GIT227" s="1"/>
      <c r="GIU227" s="1"/>
      <c r="GIV227" s="1"/>
      <c r="GIW227" s="1"/>
      <c r="GIX227" s="1"/>
      <c r="GIY227" s="1"/>
      <c r="GIZ227" s="1"/>
      <c r="GJA227" s="1"/>
      <c r="GJB227" s="1"/>
      <c r="GJC227" s="1"/>
      <c r="GJD227" s="1"/>
      <c r="GJE227" s="1"/>
      <c r="GJF227" s="1"/>
      <c r="GJG227" s="1"/>
      <c r="GJH227" s="1"/>
      <c r="GJI227" s="1"/>
      <c r="GJJ227" s="1"/>
      <c r="GJK227" s="1"/>
      <c r="GJL227" s="1"/>
      <c r="GJM227" s="1"/>
      <c r="GJN227" s="1"/>
      <c r="GJO227" s="1"/>
      <c r="GJP227" s="1"/>
      <c r="GJQ227" s="1"/>
      <c r="GJR227" s="1"/>
      <c r="GJS227" s="1"/>
      <c r="GJT227" s="1"/>
      <c r="GJU227" s="1"/>
      <c r="GJV227" s="1"/>
      <c r="GJW227" s="1"/>
      <c r="GJX227" s="1"/>
      <c r="GJY227" s="1"/>
      <c r="GJZ227" s="1"/>
      <c r="GKA227" s="1"/>
      <c r="GKB227" s="1"/>
      <c r="GKC227" s="1"/>
      <c r="GKD227" s="1"/>
      <c r="GKE227" s="1"/>
      <c r="GKF227" s="1"/>
      <c r="GKG227" s="1"/>
      <c r="GKH227" s="1"/>
      <c r="GKI227" s="1"/>
      <c r="GKJ227" s="1"/>
      <c r="GKK227" s="1"/>
      <c r="GKL227" s="1"/>
      <c r="GKM227" s="1"/>
      <c r="GKN227" s="1"/>
      <c r="GKO227" s="1"/>
      <c r="GKP227" s="1"/>
      <c r="GKQ227" s="1"/>
      <c r="GKR227" s="1"/>
      <c r="GKS227" s="1"/>
      <c r="GKT227" s="1"/>
      <c r="GKU227" s="1"/>
      <c r="GKV227" s="1"/>
      <c r="GKW227" s="1"/>
      <c r="GKX227" s="1"/>
      <c r="GKY227" s="1"/>
      <c r="GKZ227" s="1"/>
      <c r="GLA227" s="1"/>
      <c r="GLB227" s="1"/>
      <c r="GLC227" s="1"/>
      <c r="GLD227" s="1"/>
      <c r="GLE227" s="1"/>
      <c r="GLF227" s="1"/>
      <c r="GLG227" s="1"/>
      <c r="GLH227" s="1"/>
      <c r="GLI227" s="1"/>
      <c r="GLJ227" s="1"/>
      <c r="GLK227" s="1"/>
      <c r="GLL227" s="1"/>
      <c r="GLM227" s="1"/>
      <c r="GLN227" s="1"/>
      <c r="GLO227" s="1"/>
      <c r="GLP227" s="1"/>
      <c r="GLQ227" s="1"/>
      <c r="GLR227" s="1"/>
      <c r="GLS227" s="1"/>
      <c r="GLT227" s="1"/>
      <c r="GLU227" s="1"/>
      <c r="GLV227" s="1"/>
      <c r="GLW227" s="1"/>
      <c r="GLX227" s="1"/>
      <c r="GLY227" s="1"/>
      <c r="GLZ227" s="1"/>
      <c r="GMA227" s="1"/>
      <c r="GMB227" s="1"/>
      <c r="GMC227" s="1"/>
      <c r="GMD227" s="1"/>
      <c r="GME227" s="1"/>
      <c r="GMF227" s="1"/>
      <c r="GMG227" s="1"/>
      <c r="GMH227" s="1"/>
      <c r="GMI227" s="1"/>
      <c r="GMJ227" s="1"/>
      <c r="GMK227" s="1"/>
      <c r="GML227" s="1"/>
      <c r="GMM227" s="1"/>
      <c r="GMN227" s="1"/>
      <c r="GMO227" s="1"/>
      <c r="GMP227" s="1"/>
      <c r="GMQ227" s="1"/>
      <c r="GMR227" s="1"/>
      <c r="GMS227" s="1"/>
      <c r="GMT227" s="1"/>
      <c r="GMU227" s="1"/>
      <c r="GMV227" s="1"/>
      <c r="GMW227" s="1"/>
      <c r="GMX227" s="1"/>
      <c r="GMY227" s="1"/>
      <c r="GMZ227" s="1"/>
      <c r="GNA227" s="1"/>
      <c r="GNB227" s="1"/>
      <c r="GNC227" s="1"/>
      <c r="GND227" s="1"/>
      <c r="GNE227" s="1"/>
      <c r="GNF227" s="1"/>
      <c r="GNG227" s="1"/>
      <c r="GNH227" s="1"/>
      <c r="GNI227" s="1"/>
      <c r="GNJ227" s="1"/>
      <c r="GNK227" s="1"/>
      <c r="GNL227" s="1"/>
      <c r="GNM227" s="1"/>
      <c r="GNN227" s="1"/>
      <c r="GNO227" s="1"/>
      <c r="GNP227" s="1"/>
      <c r="GNQ227" s="1"/>
      <c r="GNR227" s="1"/>
      <c r="GNS227" s="1"/>
      <c r="GNT227" s="1"/>
      <c r="GNU227" s="1"/>
      <c r="GNV227" s="1"/>
      <c r="GNW227" s="1"/>
      <c r="GNX227" s="1"/>
      <c r="GNY227" s="1"/>
      <c r="GNZ227" s="1"/>
      <c r="GOA227" s="1"/>
      <c r="GOB227" s="1"/>
      <c r="GOC227" s="1"/>
      <c r="GOD227" s="1"/>
      <c r="GOE227" s="1"/>
      <c r="GOF227" s="1"/>
      <c r="GOG227" s="1"/>
      <c r="GOH227" s="1"/>
      <c r="GOI227" s="1"/>
      <c r="GOJ227" s="1"/>
      <c r="GOK227" s="1"/>
      <c r="GOL227" s="1"/>
      <c r="GOM227" s="1"/>
      <c r="GON227" s="1"/>
      <c r="GOO227" s="1"/>
      <c r="GOP227" s="1"/>
      <c r="GOQ227" s="1"/>
      <c r="GOR227" s="1"/>
      <c r="GOS227" s="1"/>
      <c r="GOT227" s="1"/>
      <c r="GOU227" s="1"/>
      <c r="GOV227" s="1"/>
      <c r="GOW227" s="1"/>
      <c r="GOX227" s="1"/>
      <c r="GOY227" s="1"/>
      <c r="GOZ227" s="1"/>
      <c r="GPA227" s="1"/>
      <c r="GPB227" s="1"/>
      <c r="GPC227" s="1"/>
      <c r="GPD227" s="1"/>
      <c r="GPE227" s="1"/>
      <c r="GPF227" s="1"/>
      <c r="GPG227" s="1"/>
      <c r="GPH227" s="1"/>
      <c r="GPI227" s="1"/>
      <c r="GPJ227" s="1"/>
      <c r="GPK227" s="1"/>
      <c r="GPL227" s="1"/>
      <c r="GPM227" s="1"/>
      <c r="GPN227" s="1"/>
      <c r="GPO227" s="1"/>
      <c r="GPP227" s="1"/>
      <c r="GPQ227" s="1"/>
      <c r="GPR227" s="1"/>
      <c r="GPS227" s="1"/>
      <c r="GPT227" s="1"/>
      <c r="GPU227" s="1"/>
      <c r="GPV227" s="1"/>
      <c r="GPW227" s="1"/>
      <c r="GPX227" s="1"/>
      <c r="GPY227" s="1"/>
      <c r="GPZ227" s="1"/>
      <c r="GQA227" s="1"/>
      <c r="GQB227" s="1"/>
      <c r="GQC227" s="1"/>
      <c r="GQD227" s="1"/>
      <c r="GQE227" s="1"/>
      <c r="GQF227" s="1"/>
      <c r="GQG227" s="1"/>
      <c r="GQH227" s="1"/>
      <c r="GQI227" s="1"/>
      <c r="GQJ227" s="1"/>
      <c r="GQK227" s="1"/>
      <c r="GQL227" s="1"/>
      <c r="GQM227" s="1"/>
      <c r="GQN227" s="1"/>
      <c r="GQO227" s="1"/>
      <c r="GQP227" s="1"/>
      <c r="GQQ227" s="1"/>
      <c r="GQR227" s="1"/>
      <c r="GQS227" s="1"/>
      <c r="GQT227" s="1"/>
      <c r="GQU227" s="1"/>
      <c r="GQV227" s="1"/>
      <c r="GQW227" s="1"/>
      <c r="GQX227" s="1"/>
      <c r="GQY227" s="1"/>
      <c r="GQZ227" s="1"/>
      <c r="GRA227" s="1"/>
      <c r="GRB227" s="1"/>
      <c r="GRC227" s="1"/>
      <c r="GRD227" s="1"/>
      <c r="GRE227" s="1"/>
      <c r="GRF227" s="1"/>
      <c r="GRG227" s="1"/>
      <c r="GRH227" s="1"/>
      <c r="GRI227" s="1"/>
      <c r="GRJ227" s="1"/>
      <c r="GRK227" s="1"/>
      <c r="GRL227" s="1"/>
      <c r="GRM227" s="1"/>
      <c r="GRN227" s="1"/>
      <c r="GRO227" s="1"/>
      <c r="GRP227" s="1"/>
      <c r="GRQ227" s="1"/>
      <c r="GRR227" s="1"/>
      <c r="GRS227" s="1"/>
      <c r="GRT227" s="1"/>
      <c r="GRU227" s="1"/>
      <c r="GRV227" s="1"/>
      <c r="GRW227" s="1"/>
      <c r="GRX227" s="1"/>
      <c r="GRY227" s="1"/>
      <c r="GRZ227" s="1"/>
      <c r="GSA227" s="1"/>
      <c r="GSB227" s="1"/>
      <c r="GSC227" s="1"/>
      <c r="GSD227" s="1"/>
      <c r="GSE227" s="1"/>
      <c r="GSF227" s="1"/>
      <c r="GSG227" s="1"/>
      <c r="GSH227" s="1"/>
      <c r="GSI227" s="1"/>
      <c r="GSJ227" s="1"/>
      <c r="GSK227" s="1"/>
      <c r="GSL227" s="1"/>
      <c r="GSM227" s="1"/>
      <c r="GSN227" s="1"/>
      <c r="GSO227" s="1"/>
      <c r="GSP227" s="1"/>
      <c r="GSQ227" s="1"/>
      <c r="GSR227" s="1"/>
      <c r="GSS227" s="1"/>
      <c r="GST227" s="1"/>
      <c r="GSU227" s="1"/>
      <c r="GSV227" s="1"/>
      <c r="GSW227" s="1"/>
      <c r="GSX227" s="1"/>
      <c r="GSY227" s="1"/>
      <c r="GSZ227" s="1"/>
      <c r="GTA227" s="1"/>
      <c r="GTB227" s="1"/>
      <c r="GTC227" s="1"/>
      <c r="GTD227" s="1"/>
      <c r="GTE227" s="1"/>
      <c r="GTF227" s="1"/>
      <c r="GTG227" s="1"/>
      <c r="GTH227" s="1"/>
      <c r="GTI227" s="1"/>
      <c r="GTJ227" s="1"/>
      <c r="GTK227" s="1"/>
      <c r="GTL227" s="1"/>
      <c r="GTM227" s="1"/>
      <c r="GTN227" s="1"/>
      <c r="GTO227" s="1"/>
      <c r="GTP227" s="1"/>
      <c r="GTQ227" s="1"/>
      <c r="GTR227" s="1"/>
      <c r="GTS227" s="1"/>
      <c r="GTT227" s="1"/>
      <c r="GTU227" s="1"/>
      <c r="GTV227" s="1"/>
      <c r="GTW227" s="1"/>
      <c r="GTX227" s="1"/>
      <c r="GTY227" s="1"/>
      <c r="GTZ227" s="1"/>
      <c r="GUA227" s="1"/>
      <c r="GUB227" s="1"/>
      <c r="GUC227" s="1"/>
      <c r="GUD227" s="1"/>
      <c r="GUE227" s="1"/>
      <c r="GUF227" s="1"/>
      <c r="GUG227" s="1"/>
      <c r="GUH227" s="1"/>
      <c r="GUI227" s="1"/>
      <c r="GUJ227" s="1"/>
      <c r="GUK227" s="1"/>
      <c r="GUL227" s="1"/>
      <c r="GUM227" s="1"/>
      <c r="GUN227" s="1"/>
      <c r="GUO227" s="1"/>
      <c r="GUP227" s="1"/>
      <c r="GUQ227" s="1"/>
      <c r="GUR227" s="1"/>
      <c r="GUS227" s="1"/>
      <c r="GUT227" s="1"/>
      <c r="GUU227" s="1"/>
      <c r="GUV227" s="1"/>
      <c r="GUW227" s="1"/>
      <c r="GUX227" s="1"/>
      <c r="GUY227" s="1"/>
      <c r="GUZ227" s="1"/>
      <c r="GVA227" s="1"/>
      <c r="GVB227" s="1"/>
      <c r="GVC227" s="1"/>
      <c r="GVD227" s="1"/>
      <c r="GVE227" s="1"/>
      <c r="GVF227" s="1"/>
      <c r="GVG227" s="1"/>
      <c r="GVH227" s="1"/>
      <c r="GVI227" s="1"/>
      <c r="GVJ227" s="1"/>
      <c r="GVK227" s="1"/>
      <c r="GVL227" s="1"/>
      <c r="GVM227" s="1"/>
      <c r="GVN227" s="1"/>
      <c r="GVO227" s="1"/>
      <c r="GVP227" s="1"/>
      <c r="GVQ227" s="1"/>
      <c r="GVR227" s="1"/>
      <c r="GVS227" s="1"/>
      <c r="GVT227" s="1"/>
      <c r="GVU227" s="1"/>
      <c r="GVV227" s="1"/>
      <c r="GVW227" s="1"/>
      <c r="GVX227" s="1"/>
      <c r="GVY227" s="1"/>
      <c r="GVZ227" s="1"/>
      <c r="GWA227" s="1"/>
      <c r="GWB227" s="1"/>
      <c r="GWC227" s="1"/>
      <c r="GWD227" s="1"/>
      <c r="GWE227" s="1"/>
      <c r="GWF227" s="1"/>
      <c r="GWG227" s="1"/>
      <c r="GWH227" s="1"/>
      <c r="GWI227" s="1"/>
      <c r="GWJ227" s="1"/>
      <c r="GWK227" s="1"/>
      <c r="GWL227" s="1"/>
      <c r="GWM227" s="1"/>
      <c r="GWN227" s="1"/>
      <c r="GWO227" s="1"/>
      <c r="GWP227" s="1"/>
      <c r="GWQ227" s="1"/>
      <c r="GWR227" s="1"/>
      <c r="GWS227" s="1"/>
      <c r="GWT227" s="1"/>
      <c r="GWU227" s="1"/>
      <c r="GWV227" s="1"/>
      <c r="GWW227" s="1"/>
      <c r="GWX227" s="1"/>
      <c r="GWY227" s="1"/>
      <c r="GWZ227" s="1"/>
      <c r="GXA227" s="1"/>
      <c r="GXB227" s="1"/>
      <c r="GXC227" s="1"/>
      <c r="GXD227" s="1"/>
      <c r="GXE227" s="1"/>
      <c r="GXF227" s="1"/>
      <c r="GXG227" s="1"/>
      <c r="GXH227" s="1"/>
      <c r="GXI227" s="1"/>
      <c r="GXJ227" s="1"/>
      <c r="GXK227" s="1"/>
      <c r="GXL227" s="1"/>
      <c r="GXM227" s="1"/>
      <c r="GXN227" s="1"/>
      <c r="GXO227" s="1"/>
      <c r="GXP227" s="1"/>
      <c r="GXQ227" s="1"/>
      <c r="GXR227" s="1"/>
      <c r="GXS227" s="1"/>
      <c r="GXT227" s="1"/>
      <c r="GXU227" s="1"/>
      <c r="GXV227" s="1"/>
      <c r="GXW227" s="1"/>
      <c r="GXX227" s="1"/>
      <c r="GXY227" s="1"/>
      <c r="GXZ227" s="1"/>
      <c r="GYA227" s="1"/>
      <c r="GYB227" s="1"/>
      <c r="GYC227" s="1"/>
      <c r="GYD227" s="1"/>
      <c r="GYE227" s="1"/>
      <c r="GYF227" s="1"/>
      <c r="GYG227" s="1"/>
      <c r="GYH227" s="1"/>
      <c r="GYI227" s="1"/>
      <c r="GYJ227" s="1"/>
      <c r="GYK227" s="1"/>
      <c r="GYL227" s="1"/>
      <c r="GYM227" s="1"/>
      <c r="GYN227" s="1"/>
      <c r="GYO227" s="1"/>
      <c r="GYP227" s="1"/>
      <c r="GYQ227" s="1"/>
      <c r="GYR227" s="1"/>
      <c r="GYS227" s="1"/>
      <c r="GYT227" s="1"/>
      <c r="GYU227" s="1"/>
      <c r="GYV227" s="1"/>
      <c r="GYW227" s="1"/>
      <c r="GYX227" s="1"/>
      <c r="GYY227" s="1"/>
      <c r="GYZ227" s="1"/>
      <c r="GZA227" s="1"/>
      <c r="GZB227" s="1"/>
      <c r="GZC227" s="1"/>
      <c r="GZD227" s="1"/>
      <c r="GZE227" s="1"/>
      <c r="GZF227" s="1"/>
      <c r="GZG227" s="1"/>
      <c r="GZH227" s="1"/>
      <c r="GZI227" s="1"/>
      <c r="GZJ227" s="1"/>
      <c r="GZK227" s="1"/>
      <c r="GZL227" s="1"/>
      <c r="GZM227" s="1"/>
      <c r="GZN227" s="1"/>
      <c r="GZO227" s="1"/>
      <c r="GZP227" s="1"/>
      <c r="GZQ227" s="1"/>
      <c r="GZR227" s="1"/>
      <c r="GZS227" s="1"/>
      <c r="GZT227" s="1"/>
      <c r="GZU227" s="1"/>
      <c r="GZV227" s="1"/>
      <c r="GZW227" s="1"/>
      <c r="GZX227" s="1"/>
      <c r="GZY227" s="1"/>
      <c r="GZZ227" s="1"/>
      <c r="HAA227" s="1"/>
      <c r="HAB227" s="1"/>
      <c r="HAC227" s="1"/>
      <c r="HAD227" s="1"/>
      <c r="HAE227" s="1"/>
      <c r="HAF227" s="1"/>
      <c r="HAG227" s="1"/>
      <c r="HAH227" s="1"/>
      <c r="HAI227" s="1"/>
      <c r="HAJ227" s="1"/>
      <c r="HAK227" s="1"/>
      <c r="HAL227" s="1"/>
      <c r="HAM227" s="1"/>
      <c r="HAN227" s="1"/>
      <c r="HAO227" s="1"/>
      <c r="HAP227" s="1"/>
      <c r="HAQ227" s="1"/>
      <c r="HAR227" s="1"/>
      <c r="HAS227" s="1"/>
      <c r="HAT227" s="1"/>
      <c r="HAU227" s="1"/>
      <c r="HAV227" s="1"/>
      <c r="HAW227" s="1"/>
      <c r="HAX227" s="1"/>
      <c r="HAY227" s="1"/>
      <c r="HAZ227" s="1"/>
      <c r="HBA227" s="1"/>
      <c r="HBB227" s="1"/>
      <c r="HBC227" s="1"/>
      <c r="HBD227" s="1"/>
      <c r="HBE227" s="1"/>
      <c r="HBF227" s="1"/>
      <c r="HBG227" s="1"/>
      <c r="HBH227" s="1"/>
      <c r="HBI227" s="1"/>
      <c r="HBJ227" s="1"/>
      <c r="HBK227" s="1"/>
      <c r="HBL227" s="1"/>
      <c r="HBM227" s="1"/>
      <c r="HBN227" s="1"/>
      <c r="HBO227" s="1"/>
      <c r="HBP227" s="1"/>
      <c r="HBQ227" s="1"/>
      <c r="HBR227" s="1"/>
      <c r="HBS227" s="1"/>
      <c r="HBT227" s="1"/>
      <c r="HBU227" s="1"/>
      <c r="HBV227" s="1"/>
      <c r="HBW227" s="1"/>
      <c r="HBX227" s="1"/>
      <c r="HBY227" s="1"/>
      <c r="HBZ227" s="1"/>
      <c r="HCA227" s="1"/>
      <c r="HCB227" s="1"/>
      <c r="HCC227" s="1"/>
      <c r="HCD227" s="1"/>
      <c r="HCE227" s="1"/>
      <c r="HCF227" s="1"/>
      <c r="HCG227" s="1"/>
      <c r="HCH227" s="1"/>
      <c r="HCI227" s="1"/>
      <c r="HCJ227" s="1"/>
      <c r="HCK227" s="1"/>
      <c r="HCL227" s="1"/>
      <c r="HCM227" s="1"/>
      <c r="HCN227" s="1"/>
      <c r="HCO227" s="1"/>
      <c r="HCP227" s="1"/>
      <c r="HCQ227" s="1"/>
      <c r="HCR227" s="1"/>
      <c r="HCS227" s="1"/>
      <c r="HCT227" s="1"/>
      <c r="HCU227" s="1"/>
      <c r="HCV227" s="1"/>
      <c r="HCW227" s="1"/>
      <c r="HCX227" s="1"/>
      <c r="HCY227" s="1"/>
      <c r="HCZ227" s="1"/>
      <c r="HDA227" s="1"/>
      <c r="HDB227" s="1"/>
      <c r="HDC227" s="1"/>
      <c r="HDD227" s="1"/>
      <c r="HDE227" s="1"/>
      <c r="HDF227" s="1"/>
      <c r="HDG227" s="1"/>
      <c r="HDH227" s="1"/>
      <c r="HDI227" s="1"/>
      <c r="HDJ227" s="1"/>
      <c r="HDK227" s="1"/>
      <c r="HDL227" s="1"/>
      <c r="HDM227" s="1"/>
      <c r="HDN227" s="1"/>
      <c r="HDO227" s="1"/>
      <c r="HDP227" s="1"/>
      <c r="HDQ227" s="1"/>
      <c r="HDR227" s="1"/>
      <c r="HDS227" s="1"/>
      <c r="HDT227" s="1"/>
      <c r="HDU227" s="1"/>
      <c r="HDV227" s="1"/>
      <c r="HDW227" s="1"/>
      <c r="HDX227" s="1"/>
      <c r="HDY227" s="1"/>
      <c r="HDZ227" s="1"/>
      <c r="HEA227" s="1"/>
      <c r="HEB227" s="1"/>
      <c r="HEC227" s="1"/>
      <c r="HED227" s="1"/>
      <c r="HEE227" s="1"/>
      <c r="HEF227" s="1"/>
      <c r="HEG227" s="1"/>
      <c r="HEH227" s="1"/>
      <c r="HEI227" s="1"/>
      <c r="HEJ227" s="1"/>
      <c r="HEK227" s="1"/>
      <c r="HEL227" s="1"/>
      <c r="HEM227" s="1"/>
      <c r="HEN227" s="1"/>
      <c r="HEO227" s="1"/>
      <c r="HEP227" s="1"/>
      <c r="HEQ227" s="1"/>
      <c r="HER227" s="1"/>
      <c r="HES227" s="1"/>
      <c r="HET227" s="1"/>
      <c r="HEU227" s="1"/>
      <c r="HEV227" s="1"/>
      <c r="HEW227" s="1"/>
      <c r="HEX227" s="1"/>
      <c r="HEY227" s="1"/>
      <c r="HEZ227" s="1"/>
      <c r="HFA227" s="1"/>
      <c r="HFB227" s="1"/>
      <c r="HFC227" s="1"/>
      <c r="HFD227" s="1"/>
      <c r="HFE227" s="1"/>
      <c r="HFF227" s="1"/>
      <c r="HFG227" s="1"/>
      <c r="HFH227" s="1"/>
      <c r="HFI227" s="1"/>
      <c r="HFJ227" s="1"/>
      <c r="HFK227" s="1"/>
      <c r="HFL227" s="1"/>
      <c r="HFM227" s="1"/>
      <c r="HFN227" s="1"/>
      <c r="HFO227" s="1"/>
      <c r="HFP227" s="1"/>
      <c r="HFQ227" s="1"/>
      <c r="HFR227" s="1"/>
      <c r="HFS227" s="1"/>
      <c r="HFT227" s="1"/>
      <c r="HFU227" s="1"/>
      <c r="HFV227" s="1"/>
      <c r="HFW227" s="1"/>
      <c r="HFX227" s="1"/>
      <c r="HFY227" s="1"/>
      <c r="HFZ227" s="1"/>
      <c r="HGA227" s="1"/>
      <c r="HGB227" s="1"/>
      <c r="HGC227" s="1"/>
      <c r="HGD227" s="1"/>
      <c r="HGE227" s="1"/>
      <c r="HGF227" s="1"/>
      <c r="HGG227" s="1"/>
      <c r="HGH227" s="1"/>
      <c r="HGI227" s="1"/>
      <c r="HGJ227" s="1"/>
      <c r="HGK227" s="1"/>
      <c r="HGL227" s="1"/>
      <c r="HGM227" s="1"/>
      <c r="HGN227" s="1"/>
      <c r="HGO227" s="1"/>
      <c r="HGP227" s="1"/>
      <c r="HGQ227" s="1"/>
      <c r="HGR227" s="1"/>
      <c r="HGS227" s="1"/>
      <c r="HGT227" s="1"/>
      <c r="HGU227" s="1"/>
      <c r="HGV227" s="1"/>
      <c r="HGW227" s="1"/>
      <c r="HGX227" s="1"/>
      <c r="HGY227" s="1"/>
      <c r="HGZ227" s="1"/>
      <c r="HHA227" s="1"/>
      <c r="HHB227" s="1"/>
      <c r="HHC227" s="1"/>
      <c r="HHD227" s="1"/>
      <c r="HHE227" s="1"/>
      <c r="HHF227" s="1"/>
      <c r="HHG227" s="1"/>
      <c r="HHH227" s="1"/>
      <c r="HHI227" s="1"/>
      <c r="HHJ227" s="1"/>
      <c r="HHK227" s="1"/>
      <c r="HHL227" s="1"/>
      <c r="HHM227" s="1"/>
      <c r="HHN227" s="1"/>
      <c r="HHO227" s="1"/>
      <c r="HHP227" s="1"/>
      <c r="HHQ227" s="1"/>
      <c r="HHR227" s="1"/>
      <c r="HHS227" s="1"/>
      <c r="HHT227" s="1"/>
      <c r="HHU227" s="1"/>
      <c r="HHV227" s="1"/>
      <c r="HHW227" s="1"/>
      <c r="HHX227" s="1"/>
      <c r="HHY227" s="1"/>
      <c r="HHZ227" s="1"/>
      <c r="HIA227" s="1"/>
      <c r="HIB227" s="1"/>
      <c r="HIC227" s="1"/>
      <c r="HID227" s="1"/>
      <c r="HIE227" s="1"/>
      <c r="HIF227" s="1"/>
      <c r="HIG227" s="1"/>
      <c r="HIH227" s="1"/>
      <c r="HII227" s="1"/>
      <c r="HIJ227" s="1"/>
      <c r="HIK227" s="1"/>
      <c r="HIL227" s="1"/>
      <c r="HIM227" s="1"/>
      <c r="HIN227" s="1"/>
      <c r="HIO227" s="1"/>
      <c r="HIP227" s="1"/>
      <c r="HIQ227" s="1"/>
      <c r="HIR227" s="1"/>
      <c r="HIS227" s="1"/>
      <c r="HIT227" s="1"/>
      <c r="HIU227" s="1"/>
      <c r="HIV227" s="1"/>
      <c r="HIW227" s="1"/>
      <c r="HIX227" s="1"/>
      <c r="HIY227" s="1"/>
      <c r="HIZ227" s="1"/>
      <c r="HJA227" s="1"/>
      <c r="HJB227" s="1"/>
      <c r="HJC227" s="1"/>
      <c r="HJD227" s="1"/>
      <c r="HJE227" s="1"/>
      <c r="HJF227" s="1"/>
      <c r="HJG227" s="1"/>
      <c r="HJH227" s="1"/>
      <c r="HJI227" s="1"/>
      <c r="HJJ227" s="1"/>
      <c r="HJK227" s="1"/>
      <c r="HJL227" s="1"/>
      <c r="HJM227" s="1"/>
      <c r="HJN227" s="1"/>
      <c r="HJO227" s="1"/>
      <c r="HJP227" s="1"/>
      <c r="HJQ227" s="1"/>
      <c r="HJR227" s="1"/>
      <c r="HJS227" s="1"/>
      <c r="HJT227" s="1"/>
      <c r="HJU227" s="1"/>
      <c r="HJV227" s="1"/>
      <c r="HJW227" s="1"/>
      <c r="HJX227" s="1"/>
      <c r="HJY227" s="1"/>
      <c r="HJZ227" s="1"/>
      <c r="HKA227" s="1"/>
      <c r="HKB227" s="1"/>
      <c r="HKC227" s="1"/>
      <c r="HKD227" s="1"/>
      <c r="HKE227" s="1"/>
      <c r="HKF227" s="1"/>
      <c r="HKG227" s="1"/>
      <c r="HKH227" s="1"/>
      <c r="HKI227" s="1"/>
      <c r="HKJ227" s="1"/>
      <c r="HKK227" s="1"/>
      <c r="HKL227" s="1"/>
      <c r="HKM227" s="1"/>
      <c r="HKN227" s="1"/>
      <c r="HKO227" s="1"/>
      <c r="HKP227" s="1"/>
      <c r="HKQ227" s="1"/>
      <c r="HKR227" s="1"/>
      <c r="HKS227" s="1"/>
      <c r="HKT227" s="1"/>
      <c r="HKU227" s="1"/>
      <c r="HKV227" s="1"/>
      <c r="HKW227" s="1"/>
      <c r="HKX227" s="1"/>
      <c r="HKY227" s="1"/>
      <c r="HKZ227" s="1"/>
      <c r="HLA227" s="1"/>
      <c r="HLB227" s="1"/>
      <c r="HLC227" s="1"/>
      <c r="HLD227" s="1"/>
      <c r="HLE227" s="1"/>
      <c r="HLF227" s="1"/>
      <c r="HLG227" s="1"/>
      <c r="HLH227" s="1"/>
      <c r="HLI227" s="1"/>
      <c r="HLJ227" s="1"/>
      <c r="HLK227" s="1"/>
      <c r="HLL227" s="1"/>
      <c r="HLM227" s="1"/>
      <c r="HLN227" s="1"/>
      <c r="HLO227" s="1"/>
      <c r="HLP227" s="1"/>
      <c r="HLQ227" s="1"/>
      <c r="HLR227" s="1"/>
      <c r="HLS227" s="1"/>
      <c r="HLT227" s="1"/>
      <c r="HLU227" s="1"/>
      <c r="HLV227" s="1"/>
      <c r="HLW227" s="1"/>
      <c r="HLX227" s="1"/>
      <c r="HLY227" s="1"/>
      <c r="HLZ227" s="1"/>
      <c r="HMA227" s="1"/>
      <c r="HMB227" s="1"/>
      <c r="HMC227" s="1"/>
      <c r="HMD227" s="1"/>
      <c r="HME227" s="1"/>
      <c r="HMF227" s="1"/>
      <c r="HMG227" s="1"/>
      <c r="HMH227" s="1"/>
      <c r="HMI227" s="1"/>
      <c r="HMJ227" s="1"/>
      <c r="HMK227" s="1"/>
      <c r="HML227" s="1"/>
      <c r="HMM227" s="1"/>
      <c r="HMN227" s="1"/>
      <c r="HMO227" s="1"/>
      <c r="HMP227" s="1"/>
      <c r="HMQ227" s="1"/>
      <c r="HMR227" s="1"/>
      <c r="HMS227" s="1"/>
      <c r="HMT227" s="1"/>
      <c r="HMU227" s="1"/>
      <c r="HMV227" s="1"/>
      <c r="HMW227" s="1"/>
      <c r="HMX227" s="1"/>
      <c r="HMY227" s="1"/>
      <c r="HMZ227" s="1"/>
      <c r="HNA227" s="1"/>
      <c r="HNB227" s="1"/>
      <c r="HNC227" s="1"/>
      <c r="HND227" s="1"/>
      <c r="HNE227" s="1"/>
      <c r="HNF227" s="1"/>
      <c r="HNG227" s="1"/>
      <c r="HNH227" s="1"/>
      <c r="HNI227" s="1"/>
      <c r="HNJ227" s="1"/>
      <c r="HNK227" s="1"/>
      <c r="HNL227" s="1"/>
      <c r="HNM227" s="1"/>
      <c r="HNN227" s="1"/>
      <c r="HNO227" s="1"/>
      <c r="HNP227" s="1"/>
      <c r="HNQ227" s="1"/>
      <c r="HNR227" s="1"/>
      <c r="HNS227" s="1"/>
      <c r="HNT227" s="1"/>
      <c r="HNU227" s="1"/>
      <c r="HNV227" s="1"/>
      <c r="HNW227" s="1"/>
      <c r="HNX227" s="1"/>
      <c r="HNY227" s="1"/>
      <c r="HNZ227" s="1"/>
      <c r="HOA227" s="1"/>
      <c r="HOB227" s="1"/>
      <c r="HOC227" s="1"/>
      <c r="HOD227" s="1"/>
      <c r="HOE227" s="1"/>
      <c r="HOF227" s="1"/>
      <c r="HOG227" s="1"/>
      <c r="HOH227" s="1"/>
      <c r="HOI227" s="1"/>
      <c r="HOJ227" s="1"/>
      <c r="HOK227" s="1"/>
      <c r="HOL227" s="1"/>
      <c r="HOM227" s="1"/>
      <c r="HON227" s="1"/>
      <c r="HOO227" s="1"/>
      <c r="HOP227" s="1"/>
      <c r="HOQ227" s="1"/>
      <c r="HOR227" s="1"/>
      <c r="HOS227" s="1"/>
      <c r="HOT227" s="1"/>
      <c r="HOU227" s="1"/>
      <c r="HOV227" s="1"/>
      <c r="HOW227" s="1"/>
      <c r="HOX227" s="1"/>
      <c r="HOY227" s="1"/>
      <c r="HOZ227" s="1"/>
      <c r="HPA227" s="1"/>
      <c r="HPB227" s="1"/>
      <c r="HPC227" s="1"/>
      <c r="HPD227" s="1"/>
      <c r="HPE227" s="1"/>
      <c r="HPF227" s="1"/>
      <c r="HPG227" s="1"/>
      <c r="HPH227" s="1"/>
      <c r="HPI227" s="1"/>
      <c r="HPJ227" s="1"/>
      <c r="HPK227" s="1"/>
      <c r="HPL227" s="1"/>
      <c r="HPM227" s="1"/>
      <c r="HPN227" s="1"/>
      <c r="HPO227" s="1"/>
      <c r="HPP227" s="1"/>
      <c r="HPQ227" s="1"/>
      <c r="HPR227" s="1"/>
      <c r="HPS227" s="1"/>
      <c r="HPT227" s="1"/>
      <c r="HPU227" s="1"/>
      <c r="HPV227" s="1"/>
      <c r="HPW227" s="1"/>
      <c r="HPX227" s="1"/>
      <c r="HPY227" s="1"/>
      <c r="HPZ227" s="1"/>
      <c r="HQA227" s="1"/>
      <c r="HQB227" s="1"/>
      <c r="HQC227" s="1"/>
      <c r="HQD227" s="1"/>
      <c r="HQE227" s="1"/>
      <c r="HQF227" s="1"/>
      <c r="HQG227" s="1"/>
      <c r="HQH227" s="1"/>
      <c r="HQI227" s="1"/>
      <c r="HQJ227" s="1"/>
      <c r="HQK227" s="1"/>
      <c r="HQL227" s="1"/>
      <c r="HQM227" s="1"/>
      <c r="HQN227" s="1"/>
      <c r="HQO227" s="1"/>
      <c r="HQP227" s="1"/>
      <c r="HQQ227" s="1"/>
      <c r="HQR227" s="1"/>
      <c r="HQS227" s="1"/>
      <c r="HQT227" s="1"/>
      <c r="HQU227" s="1"/>
      <c r="HQV227" s="1"/>
      <c r="HQW227" s="1"/>
      <c r="HQX227" s="1"/>
      <c r="HQY227" s="1"/>
      <c r="HQZ227" s="1"/>
      <c r="HRA227" s="1"/>
      <c r="HRB227" s="1"/>
      <c r="HRC227" s="1"/>
      <c r="HRD227" s="1"/>
      <c r="HRE227" s="1"/>
      <c r="HRF227" s="1"/>
      <c r="HRG227" s="1"/>
      <c r="HRH227" s="1"/>
      <c r="HRI227" s="1"/>
      <c r="HRJ227" s="1"/>
      <c r="HRK227" s="1"/>
      <c r="HRL227" s="1"/>
      <c r="HRM227" s="1"/>
      <c r="HRN227" s="1"/>
      <c r="HRO227" s="1"/>
      <c r="HRP227" s="1"/>
      <c r="HRQ227" s="1"/>
      <c r="HRR227" s="1"/>
      <c r="HRS227" s="1"/>
      <c r="HRT227" s="1"/>
      <c r="HRU227" s="1"/>
      <c r="HRV227" s="1"/>
      <c r="HRW227" s="1"/>
      <c r="HRX227" s="1"/>
      <c r="HRY227" s="1"/>
      <c r="HRZ227" s="1"/>
      <c r="HSA227" s="1"/>
      <c r="HSB227" s="1"/>
      <c r="HSC227" s="1"/>
      <c r="HSD227" s="1"/>
      <c r="HSE227" s="1"/>
      <c r="HSF227" s="1"/>
      <c r="HSG227" s="1"/>
      <c r="HSH227" s="1"/>
      <c r="HSI227" s="1"/>
      <c r="HSJ227" s="1"/>
      <c r="HSK227" s="1"/>
      <c r="HSL227" s="1"/>
      <c r="HSM227" s="1"/>
      <c r="HSN227" s="1"/>
      <c r="HSO227" s="1"/>
      <c r="HSP227" s="1"/>
      <c r="HSQ227" s="1"/>
      <c r="HSR227" s="1"/>
      <c r="HSS227" s="1"/>
      <c r="HST227" s="1"/>
      <c r="HSU227" s="1"/>
      <c r="HSV227" s="1"/>
      <c r="HSW227" s="1"/>
      <c r="HSX227" s="1"/>
      <c r="HSY227" s="1"/>
      <c r="HSZ227" s="1"/>
      <c r="HTA227" s="1"/>
      <c r="HTB227" s="1"/>
      <c r="HTC227" s="1"/>
      <c r="HTD227" s="1"/>
      <c r="HTE227" s="1"/>
      <c r="HTF227" s="1"/>
      <c r="HTG227" s="1"/>
      <c r="HTH227" s="1"/>
      <c r="HTI227" s="1"/>
      <c r="HTJ227" s="1"/>
      <c r="HTK227" s="1"/>
      <c r="HTL227" s="1"/>
      <c r="HTM227" s="1"/>
      <c r="HTN227" s="1"/>
      <c r="HTO227" s="1"/>
      <c r="HTP227" s="1"/>
      <c r="HTQ227" s="1"/>
      <c r="HTR227" s="1"/>
      <c r="HTS227" s="1"/>
      <c r="HTT227" s="1"/>
      <c r="HTU227" s="1"/>
      <c r="HTV227" s="1"/>
      <c r="HTW227" s="1"/>
      <c r="HTX227" s="1"/>
      <c r="HTY227" s="1"/>
      <c r="HTZ227" s="1"/>
      <c r="HUA227" s="1"/>
      <c r="HUB227" s="1"/>
      <c r="HUC227" s="1"/>
      <c r="HUD227" s="1"/>
      <c r="HUE227" s="1"/>
      <c r="HUF227" s="1"/>
      <c r="HUG227" s="1"/>
      <c r="HUH227" s="1"/>
      <c r="HUI227" s="1"/>
      <c r="HUJ227" s="1"/>
      <c r="HUK227" s="1"/>
      <c r="HUL227" s="1"/>
      <c r="HUM227" s="1"/>
      <c r="HUN227" s="1"/>
      <c r="HUO227" s="1"/>
      <c r="HUP227" s="1"/>
      <c r="HUQ227" s="1"/>
      <c r="HUR227" s="1"/>
      <c r="HUS227" s="1"/>
      <c r="HUT227" s="1"/>
      <c r="HUU227" s="1"/>
      <c r="HUV227" s="1"/>
      <c r="HUW227" s="1"/>
      <c r="HUX227" s="1"/>
      <c r="HUY227" s="1"/>
      <c r="HUZ227" s="1"/>
      <c r="HVA227" s="1"/>
      <c r="HVB227" s="1"/>
      <c r="HVC227" s="1"/>
      <c r="HVD227" s="1"/>
      <c r="HVE227" s="1"/>
      <c r="HVF227" s="1"/>
      <c r="HVG227" s="1"/>
      <c r="HVH227" s="1"/>
      <c r="HVI227" s="1"/>
      <c r="HVJ227" s="1"/>
      <c r="HVK227" s="1"/>
      <c r="HVL227" s="1"/>
      <c r="HVM227" s="1"/>
      <c r="HVN227" s="1"/>
      <c r="HVO227" s="1"/>
      <c r="HVP227" s="1"/>
      <c r="HVQ227" s="1"/>
      <c r="HVR227" s="1"/>
      <c r="HVS227" s="1"/>
      <c r="HVT227" s="1"/>
      <c r="HVU227" s="1"/>
      <c r="HVV227" s="1"/>
      <c r="HVW227" s="1"/>
      <c r="HVX227" s="1"/>
      <c r="HVY227" s="1"/>
      <c r="HVZ227" s="1"/>
      <c r="HWA227" s="1"/>
      <c r="HWB227" s="1"/>
      <c r="HWC227" s="1"/>
      <c r="HWD227" s="1"/>
      <c r="HWE227" s="1"/>
      <c r="HWF227" s="1"/>
      <c r="HWG227" s="1"/>
      <c r="HWH227" s="1"/>
      <c r="HWI227" s="1"/>
      <c r="HWJ227" s="1"/>
      <c r="HWK227" s="1"/>
      <c r="HWL227" s="1"/>
      <c r="HWM227" s="1"/>
      <c r="HWN227" s="1"/>
      <c r="HWO227" s="1"/>
      <c r="HWP227" s="1"/>
      <c r="HWQ227" s="1"/>
      <c r="HWR227" s="1"/>
      <c r="HWS227" s="1"/>
      <c r="HWT227" s="1"/>
      <c r="HWU227" s="1"/>
      <c r="HWV227" s="1"/>
      <c r="HWW227" s="1"/>
      <c r="HWX227" s="1"/>
      <c r="HWY227" s="1"/>
      <c r="HWZ227" s="1"/>
      <c r="HXA227" s="1"/>
      <c r="HXB227" s="1"/>
      <c r="HXC227" s="1"/>
      <c r="HXD227" s="1"/>
      <c r="HXE227" s="1"/>
      <c r="HXF227" s="1"/>
      <c r="HXG227" s="1"/>
      <c r="HXH227" s="1"/>
      <c r="HXI227" s="1"/>
      <c r="HXJ227" s="1"/>
      <c r="HXK227" s="1"/>
      <c r="HXL227" s="1"/>
      <c r="HXM227" s="1"/>
      <c r="HXN227" s="1"/>
      <c r="HXO227" s="1"/>
      <c r="HXP227" s="1"/>
      <c r="HXQ227" s="1"/>
      <c r="HXR227" s="1"/>
      <c r="HXS227" s="1"/>
      <c r="HXT227" s="1"/>
      <c r="HXU227" s="1"/>
      <c r="HXV227" s="1"/>
      <c r="HXW227" s="1"/>
      <c r="HXX227" s="1"/>
      <c r="HXY227" s="1"/>
      <c r="HXZ227" s="1"/>
      <c r="HYA227" s="1"/>
      <c r="HYB227" s="1"/>
      <c r="HYC227" s="1"/>
      <c r="HYD227" s="1"/>
      <c r="HYE227" s="1"/>
      <c r="HYF227" s="1"/>
      <c r="HYG227" s="1"/>
      <c r="HYH227" s="1"/>
      <c r="HYI227" s="1"/>
      <c r="HYJ227" s="1"/>
      <c r="HYK227" s="1"/>
      <c r="HYL227" s="1"/>
      <c r="HYM227" s="1"/>
      <c r="HYN227" s="1"/>
      <c r="HYO227" s="1"/>
      <c r="HYP227" s="1"/>
      <c r="HYQ227" s="1"/>
      <c r="HYR227" s="1"/>
      <c r="HYS227" s="1"/>
      <c r="HYT227" s="1"/>
      <c r="HYU227" s="1"/>
      <c r="HYV227" s="1"/>
      <c r="HYW227" s="1"/>
      <c r="HYX227" s="1"/>
      <c r="HYY227" s="1"/>
      <c r="HYZ227" s="1"/>
      <c r="HZA227" s="1"/>
      <c r="HZB227" s="1"/>
      <c r="HZC227" s="1"/>
      <c r="HZD227" s="1"/>
      <c r="HZE227" s="1"/>
      <c r="HZF227" s="1"/>
      <c r="HZG227" s="1"/>
      <c r="HZH227" s="1"/>
      <c r="HZI227" s="1"/>
      <c r="HZJ227" s="1"/>
      <c r="HZK227" s="1"/>
      <c r="HZL227" s="1"/>
      <c r="HZM227" s="1"/>
      <c r="HZN227" s="1"/>
      <c r="HZO227" s="1"/>
      <c r="HZP227" s="1"/>
      <c r="HZQ227" s="1"/>
      <c r="HZR227" s="1"/>
      <c r="HZS227" s="1"/>
      <c r="HZT227" s="1"/>
      <c r="HZU227" s="1"/>
      <c r="HZV227" s="1"/>
      <c r="HZW227" s="1"/>
      <c r="HZX227" s="1"/>
      <c r="HZY227" s="1"/>
      <c r="HZZ227" s="1"/>
      <c r="IAA227" s="1"/>
      <c r="IAB227" s="1"/>
      <c r="IAC227" s="1"/>
      <c r="IAD227" s="1"/>
      <c r="IAE227" s="1"/>
      <c r="IAF227" s="1"/>
      <c r="IAG227" s="1"/>
      <c r="IAH227" s="1"/>
      <c r="IAI227" s="1"/>
      <c r="IAJ227" s="1"/>
      <c r="IAK227" s="1"/>
      <c r="IAL227" s="1"/>
      <c r="IAM227" s="1"/>
      <c r="IAN227" s="1"/>
      <c r="IAO227" s="1"/>
      <c r="IAP227" s="1"/>
      <c r="IAQ227" s="1"/>
      <c r="IAR227" s="1"/>
      <c r="IAS227" s="1"/>
      <c r="IAT227" s="1"/>
      <c r="IAU227" s="1"/>
      <c r="IAV227" s="1"/>
      <c r="IAW227" s="1"/>
      <c r="IAX227" s="1"/>
      <c r="IAY227" s="1"/>
      <c r="IAZ227" s="1"/>
      <c r="IBA227" s="1"/>
      <c r="IBB227" s="1"/>
      <c r="IBC227" s="1"/>
      <c r="IBD227" s="1"/>
      <c r="IBE227" s="1"/>
      <c r="IBF227" s="1"/>
      <c r="IBG227" s="1"/>
      <c r="IBH227" s="1"/>
      <c r="IBI227" s="1"/>
      <c r="IBJ227" s="1"/>
      <c r="IBK227" s="1"/>
      <c r="IBL227" s="1"/>
      <c r="IBM227" s="1"/>
      <c r="IBN227" s="1"/>
      <c r="IBO227" s="1"/>
      <c r="IBP227" s="1"/>
      <c r="IBQ227" s="1"/>
      <c r="IBR227" s="1"/>
      <c r="IBS227" s="1"/>
      <c r="IBT227" s="1"/>
      <c r="IBU227" s="1"/>
      <c r="IBV227" s="1"/>
      <c r="IBW227" s="1"/>
      <c r="IBX227" s="1"/>
      <c r="IBY227" s="1"/>
      <c r="IBZ227" s="1"/>
      <c r="ICA227" s="1"/>
      <c r="ICB227" s="1"/>
      <c r="ICC227" s="1"/>
      <c r="ICD227" s="1"/>
      <c r="ICE227" s="1"/>
      <c r="ICF227" s="1"/>
      <c r="ICG227" s="1"/>
      <c r="ICH227" s="1"/>
      <c r="ICI227" s="1"/>
      <c r="ICJ227" s="1"/>
      <c r="ICK227" s="1"/>
      <c r="ICL227" s="1"/>
      <c r="ICM227" s="1"/>
      <c r="ICN227" s="1"/>
      <c r="ICO227" s="1"/>
      <c r="ICP227" s="1"/>
      <c r="ICQ227" s="1"/>
      <c r="ICR227" s="1"/>
      <c r="ICS227" s="1"/>
      <c r="ICT227" s="1"/>
      <c r="ICU227" s="1"/>
      <c r="ICV227" s="1"/>
      <c r="ICW227" s="1"/>
      <c r="ICX227" s="1"/>
      <c r="ICY227" s="1"/>
      <c r="ICZ227" s="1"/>
      <c r="IDA227" s="1"/>
      <c r="IDB227" s="1"/>
      <c r="IDC227" s="1"/>
      <c r="IDD227" s="1"/>
      <c r="IDE227" s="1"/>
      <c r="IDF227" s="1"/>
      <c r="IDG227" s="1"/>
      <c r="IDH227" s="1"/>
      <c r="IDI227" s="1"/>
      <c r="IDJ227" s="1"/>
      <c r="IDK227" s="1"/>
      <c r="IDL227" s="1"/>
      <c r="IDM227" s="1"/>
      <c r="IDN227" s="1"/>
      <c r="IDO227" s="1"/>
      <c r="IDP227" s="1"/>
      <c r="IDQ227" s="1"/>
      <c r="IDR227" s="1"/>
      <c r="IDS227" s="1"/>
      <c r="IDT227" s="1"/>
      <c r="IDU227" s="1"/>
      <c r="IDV227" s="1"/>
      <c r="IDW227" s="1"/>
      <c r="IDX227" s="1"/>
      <c r="IDY227" s="1"/>
      <c r="IDZ227" s="1"/>
      <c r="IEA227" s="1"/>
      <c r="IEB227" s="1"/>
      <c r="IEC227" s="1"/>
      <c r="IED227" s="1"/>
      <c r="IEE227" s="1"/>
      <c r="IEF227" s="1"/>
      <c r="IEG227" s="1"/>
      <c r="IEH227" s="1"/>
      <c r="IEI227" s="1"/>
      <c r="IEJ227" s="1"/>
      <c r="IEK227" s="1"/>
      <c r="IEL227" s="1"/>
      <c r="IEM227" s="1"/>
      <c r="IEN227" s="1"/>
      <c r="IEO227" s="1"/>
      <c r="IEP227" s="1"/>
      <c r="IEQ227" s="1"/>
      <c r="IER227" s="1"/>
      <c r="IES227" s="1"/>
      <c r="IET227" s="1"/>
      <c r="IEU227" s="1"/>
      <c r="IEV227" s="1"/>
      <c r="IEW227" s="1"/>
      <c r="IEX227" s="1"/>
      <c r="IEY227" s="1"/>
      <c r="IEZ227" s="1"/>
      <c r="IFA227" s="1"/>
      <c r="IFB227" s="1"/>
      <c r="IFC227" s="1"/>
      <c r="IFD227" s="1"/>
      <c r="IFE227" s="1"/>
      <c r="IFF227" s="1"/>
      <c r="IFG227" s="1"/>
      <c r="IFH227" s="1"/>
      <c r="IFI227" s="1"/>
      <c r="IFJ227" s="1"/>
      <c r="IFK227" s="1"/>
      <c r="IFL227" s="1"/>
      <c r="IFM227" s="1"/>
      <c r="IFN227" s="1"/>
      <c r="IFO227" s="1"/>
      <c r="IFP227" s="1"/>
      <c r="IFQ227" s="1"/>
      <c r="IFR227" s="1"/>
      <c r="IFS227" s="1"/>
      <c r="IFT227" s="1"/>
      <c r="IFU227" s="1"/>
      <c r="IFV227" s="1"/>
      <c r="IFW227" s="1"/>
      <c r="IFX227" s="1"/>
      <c r="IFY227" s="1"/>
      <c r="IFZ227" s="1"/>
      <c r="IGA227" s="1"/>
      <c r="IGB227" s="1"/>
      <c r="IGC227" s="1"/>
      <c r="IGD227" s="1"/>
      <c r="IGE227" s="1"/>
      <c r="IGF227" s="1"/>
      <c r="IGG227" s="1"/>
      <c r="IGH227" s="1"/>
      <c r="IGI227" s="1"/>
      <c r="IGJ227" s="1"/>
      <c r="IGK227" s="1"/>
      <c r="IGL227" s="1"/>
      <c r="IGM227" s="1"/>
      <c r="IGN227" s="1"/>
      <c r="IGO227" s="1"/>
      <c r="IGP227" s="1"/>
      <c r="IGQ227" s="1"/>
      <c r="IGR227" s="1"/>
      <c r="IGS227" s="1"/>
      <c r="IGT227" s="1"/>
      <c r="IGU227" s="1"/>
      <c r="IGV227" s="1"/>
      <c r="IGW227" s="1"/>
      <c r="IGX227" s="1"/>
      <c r="IGY227" s="1"/>
      <c r="IGZ227" s="1"/>
      <c r="IHA227" s="1"/>
      <c r="IHB227" s="1"/>
      <c r="IHC227" s="1"/>
      <c r="IHD227" s="1"/>
      <c r="IHE227" s="1"/>
      <c r="IHF227" s="1"/>
      <c r="IHG227" s="1"/>
      <c r="IHH227" s="1"/>
      <c r="IHI227" s="1"/>
      <c r="IHJ227" s="1"/>
      <c r="IHK227" s="1"/>
      <c r="IHL227" s="1"/>
      <c r="IHM227" s="1"/>
      <c r="IHN227" s="1"/>
      <c r="IHO227" s="1"/>
      <c r="IHP227" s="1"/>
      <c r="IHQ227" s="1"/>
      <c r="IHR227" s="1"/>
      <c r="IHS227" s="1"/>
      <c r="IHT227" s="1"/>
      <c r="IHU227" s="1"/>
      <c r="IHV227" s="1"/>
      <c r="IHW227" s="1"/>
      <c r="IHX227" s="1"/>
      <c r="IHY227" s="1"/>
      <c r="IHZ227" s="1"/>
      <c r="IIA227" s="1"/>
      <c r="IIB227" s="1"/>
      <c r="IIC227" s="1"/>
      <c r="IID227" s="1"/>
      <c r="IIE227" s="1"/>
      <c r="IIF227" s="1"/>
      <c r="IIG227" s="1"/>
      <c r="IIH227" s="1"/>
      <c r="III227" s="1"/>
      <c r="IIJ227" s="1"/>
      <c r="IIK227" s="1"/>
      <c r="IIL227" s="1"/>
      <c r="IIM227" s="1"/>
      <c r="IIN227" s="1"/>
      <c r="IIO227" s="1"/>
      <c r="IIP227" s="1"/>
      <c r="IIQ227" s="1"/>
      <c r="IIR227" s="1"/>
      <c r="IIS227" s="1"/>
      <c r="IIT227" s="1"/>
      <c r="IIU227" s="1"/>
      <c r="IIV227" s="1"/>
      <c r="IIW227" s="1"/>
      <c r="IIX227" s="1"/>
      <c r="IIY227" s="1"/>
      <c r="IIZ227" s="1"/>
      <c r="IJA227" s="1"/>
      <c r="IJB227" s="1"/>
      <c r="IJC227" s="1"/>
      <c r="IJD227" s="1"/>
      <c r="IJE227" s="1"/>
      <c r="IJF227" s="1"/>
      <c r="IJG227" s="1"/>
      <c r="IJH227" s="1"/>
      <c r="IJI227" s="1"/>
      <c r="IJJ227" s="1"/>
      <c r="IJK227" s="1"/>
      <c r="IJL227" s="1"/>
      <c r="IJM227" s="1"/>
      <c r="IJN227" s="1"/>
      <c r="IJO227" s="1"/>
      <c r="IJP227" s="1"/>
      <c r="IJQ227" s="1"/>
      <c r="IJR227" s="1"/>
      <c r="IJS227" s="1"/>
      <c r="IJT227" s="1"/>
      <c r="IJU227" s="1"/>
      <c r="IJV227" s="1"/>
      <c r="IJW227" s="1"/>
      <c r="IJX227" s="1"/>
      <c r="IJY227" s="1"/>
      <c r="IJZ227" s="1"/>
      <c r="IKA227" s="1"/>
      <c r="IKB227" s="1"/>
      <c r="IKC227" s="1"/>
      <c r="IKD227" s="1"/>
      <c r="IKE227" s="1"/>
      <c r="IKF227" s="1"/>
      <c r="IKG227" s="1"/>
      <c r="IKH227" s="1"/>
      <c r="IKI227" s="1"/>
      <c r="IKJ227" s="1"/>
      <c r="IKK227" s="1"/>
      <c r="IKL227" s="1"/>
      <c r="IKM227" s="1"/>
      <c r="IKN227" s="1"/>
      <c r="IKO227" s="1"/>
      <c r="IKP227" s="1"/>
      <c r="IKQ227" s="1"/>
      <c r="IKR227" s="1"/>
      <c r="IKS227" s="1"/>
      <c r="IKT227" s="1"/>
      <c r="IKU227" s="1"/>
      <c r="IKV227" s="1"/>
      <c r="IKW227" s="1"/>
      <c r="IKX227" s="1"/>
      <c r="IKY227" s="1"/>
      <c r="IKZ227" s="1"/>
      <c r="ILA227" s="1"/>
      <c r="ILB227" s="1"/>
      <c r="ILC227" s="1"/>
      <c r="ILD227" s="1"/>
      <c r="ILE227" s="1"/>
      <c r="ILF227" s="1"/>
      <c r="ILG227" s="1"/>
      <c r="ILH227" s="1"/>
      <c r="ILI227" s="1"/>
      <c r="ILJ227" s="1"/>
      <c r="ILK227" s="1"/>
      <c r="ILL227" s="1"/>
      <c r="ILM227" s="1"/>
      <c r="ILN227" s="1"/>
      <c r="ILO227" s="1"/>
      <c r="ILP227" s="1"/>
      <c r="ILQ227" s="1"/>
      <c r="ILR227" s="1"/>
      <c r="ILS227" s="1"/>
      <c r="ILT227" s="1"/>
      <c r="ILU227" s="1"/>
      <c r="ILV227" s="1"/>
      <c r="ILW227" s="1"/>
      <c r="ILX227" s="1"/>
      <c r="ILY227" s="1"/>
      <c r="ILZ227" s="1"/>
      <c r="IMA227" s="1"/>
      <c r="IMB227" s="1"/>
      <c r="IMC227" s="1"/>
      <c r="IMD227" s="1"/>
      <c r="IME227" s="1"/>
      <c r="IMF227" s="1"/>
      <c r="IMG227" s="1"/>
      <c r="IMH227" s="1"/>
      <c r="IMI227" s="1"/>
      <c r="IMJ227" s="1"/>
      <c r="IMK227" s="1"/>
      <c r="IML227" s="1"/>
      <c r="IMM227" s="1"/>
      <c r="IMN227" s="1"/>
      <c r="IMO227" s="1"/>
      <c r="IMP227" s="1"/>
      <c r="IMQ227" s="1"/>
      <c r="IMR227" s="1"/>
      <c r="IMS227" s="1"/>
      <c r="IMT227" s="1"/>
      <c r="IMU227" s="1"/>
      <c r="IMV227" s="1"/>
      <c r="IMW227" s="1"/>
      <c r="IMX227" s="1"/>
      <c r="IMY227" s="1"/>
      <c r="IMZ227" s="1"/>
      <c r="INA227" s="1"/>
      <c r="INB227" s="1"/>
      <c r="INC227" s="1"/>
      <c r="IND227" s="1"/>
      <c r="INE227" s="1"/>
      <c r="INF227" s="1"/>
      <c r="ING227" s="1"/>
      <c r="INH227" s="1"/>
      <c r="INI227" s="1"/>
      <c r="INJ227" s="1"/>
      <c r="INK227" s="1"/>
      <c r="INL227" s="1"/>
      <c r="INM227" s="1"/>
      <c r="INN227" s="1"/>
      <c r="INO227" s="1"/>
      <c r="INP227" s="1"/>
      <c r="INQ227" s="1"/>
      <c r="INR227" s="1"/>
      <c r="INS227" s="1"/>
      <c r="INT227" s="1"/>
      <c r="INU227" s="1"/>
      <c r="INV227" s="1"/>
      <c r="INW227" s="1"/>
      <c r="INX227" s="1"/>
      <c r="INY227" s="1"/>
      <c r="INZ227" s="1"/>
      <c r="IOA227" s="1"/>
      <c r="IOB227" s="1"/>
      <c r="IOC227" s="1"/>
      <c r="IOD227" s="1"/>
      <c r="IOE227" s="1"/>
      <c r="IOF227" s="1"/>
      <c r="IOG227" s="1"/>
      <c r="IOH227" s="1"/>
      <c r="IOI227" s="1"/>
      <c r="IOJ227" s="1"/>
      <c r="IOK227" s="1"/>
      <c r="IOL227" s="1"/>
      <c r="IOM227" s="1"/>
      <c r="ION227" s="1"/>
      <c r="IOO227" s="1"/>
      <c r="IOP227" s="1"/>
      <c r="IOQ227" s="1"/>
      <c r="IOR227" s="1"/>
      <c r="IOS227" s="1"/>
      <c r="IOT227" s="1"/>
      <c r="IOU227" s="1"/>
      <c r="IOV227" s="1"/>
      <c r="IOW227" s="1"/>
      <c r="IOX227" s="1"/>
      <c r="IOY227" s="1"/>
      <c r="IOZ227" s="1"/>
      <c r="IPA227" s="1"/>
      <c r="IPB227" s="1"/>
      <c r="IPC227" s="1"/>
      <c r="IPD227" s="1"/>
      <c r="IPE227" s="1"/>
      <c r="IPF227" s="1"/>
      <c r="IPG227" s="1"/>
      <c r="IPH227" s="1"/>
      <c r="IPI227" s="1"/>
      <c r="IPJ227" s="1"/>
      <c r="IPK227" s="1"/>
      <c r="IPL227" s="1"/>
      <c r="IPM227" s="1"/>
      <c r="IPN227" s="1"/>
      <c r="IPO227" s="1"/>
      <c r="IPP227" s="1"/>
      <c r="IPQ227" s="1"/>
      <c r="IPR227" s="1"/>
      <c r="IPS227" s="1"/>
      <c r="IPT227" s="1"/>
      <c r="IPU227" s="1"/>
      <c r="IPV227" s="1"/>
      <c r="IPW227" s="1"/>
      <c r="IPX227" s="1"/>
      <c r="IPY227" s="1"/>
      <c r="IPZ227" s="1"/>
      <c r="IQA227" s="1"/>
      <c r="IQB227" s="1"/>
      <c r="IQC227" s="1"/>
      <c r="IQD227" s="1"/>
      <c r="IQE227" s="1"/>
      <c r="IQF227" s="1"/>
      <c r="IQG227" s="1"/>
      <c r="IQH227" s="1"/>
      <c r="IQI227" s="1"/>
      <c r="IQJ227" s="1"/>
      <c r="IQK227" s="1"/>
      <c r="IQL227" s="1"/>
      <c r="IQM227" s="1"/>
      <c r="IQN227" s="1"/>
      <c r="IQO227" s="1"/>
      <c r="IQP227" s="1"/>
      <c r="IQQ227" s="1"/>
      <c r="IQR227" s="1"/>
      <c r="IQS227" s="1"/>
      <c r="IQT227" s="1"/>
      <c r="IQU227" s="1"/>
      <c r="IQV227" s="1"/>
      <c r="IQW227" s="1"/>
      <c r="IQX227" s="1"/>
      <c r="IQY227" s="1"/>
      <c r="IQZ227" s="1"/>
      <c r="IRA227" s="1"/>
      <c r="IRB227" s="1"/>
      <c r="IRC227" s="1"/>
      <c r="IRD227" s="1"/>
      <c r="IRE227" s="1"/>
      <c r="IRF227" s="1"/>
      <c r="IRG227" s="1"/>
      <c r="IRH227" s="1"/>
      <c r="IRI227" s="1"/>
      <c r="IRJ227" s="1"/>
      <c r="IRK227" s="1"/>
      <c r="IRL227" s="1"/>
      <c r="IRM227" s="1"/>
      <c r="IRN227" s="1"/>
      <c r="IRO227" s="1"/>
      <c r="IRP227" s="1"/>
      <c r="IRQ227" s="1"/>
      <c r="IRR227" s="1"/>
      <c r="IRS227" s="1"/>
      <c r="IRT227" s="1"/>
      <c r="IRU227" s="1"/>
      <c r="IRV227" s="1"/>
      <c r="IRW227" s="1"/>
      <c r="IRX227" s="1"/>
      <c r="IRY227" s="1"/>
      <c r="IRZ227" s="1"/>
      <c r="ISA227" s="1"/>
      <c r="ISB227" s="1"/>
      <c r="ISC227" s="1"/>
      <c r="ISD227" s="1"/>
      <c r="ISE227" s="1"/>
      <c r="ISF227" s="1"/>
      <c r="ISG227" s="1"/>
      <c r="ISH227" s="1"/>
      <c r="ISI227" s="1"/>
      <c r="ISJ227" s="1"/>
      <c r="ISK227" s="1"/>
      <c r="ISL227" s="1"/>
      <c r="ISM227" s="1"/>
      <c r="ISN227" s="1"/>
      <c r="ISO227" s="1"/>
      <c r="ISP227" s="1"/>
      <c r="ISQ227" s="1"/>
      <c r="ISR227" s="1"/>
      <c r="ISS227" s="1"/>
      <c r="IST227" s="1"/>
      <c r="ISU227" s="1"/>
      <c r="ISV227" s="1"/>
      <c r="ISW227" s="1"/>
      <c r="ISX227" s="1"/>
      <c r="ISY227" s="1"/>
      <c r="ISZ227" s="1"/>
      <c r="ITA227" s="1"/>
      <c r="ITB227" s="1"/>
      <c r="ITC227" s="1"/>
      <c r="ITD227" s="1"/>
      <c r="ITE227" s="1"/>
      <c r="ITF227" s="1"/>
      <c r="ITG227" s="1"/>
      <c r="ITH227" s="1"/>
      <c r="ITI227" s="1"/>
      <c r="ITJ227" s="1"/>
      <c r="ITK227" s="1"/>
      <c r="ITL227" s="1"/>
      <c r="ITM227" s="1"/>
      <c r="ITN227" s="1"/>
      <c r="ITO227" s="1"/>
      <c r="ITP227" s="1"/>
      <c r="ITQ227" s="1"/>
      <c r="ITR227" s="1"/>
      <c r="ITS227" s="1"/>
      <c r="ITT227" s="1"/>
      <c r="ITU227" s="1"/>
      <c r="ITV227" s="1"/>
      <c r="ITW227" s="1"/>
      <c r="ITX227" s="1"/>
      <c r="ITY227" s="1"/>
      <c r="ITZ227" s="1"/>
      <c r="IUA227" s="1"/>
      <c r="IUB227" s="1"/>
      <c r="IUC227" s="1"/>
      <c r="IUD227" s="1"/>
      <c r="IUE227" s="1"/>
      <c r="IUF227" s="1"/>
      <c r="IUG227" s="1"/>
      <c r="IUH227" s="1"/>
      <c r="IUI227" s="1"/>
      <c r="IUJ227" s="1"/>
      <c r="IUK227" s="1"/>
      <c r="IUL227" s="1"/>
      <c r="IUM227" s="1"/>
      <c r="IUN227" s="1"/>
      <c r="IUO227" s="1"/>
      <c r="IUP227" s="1"/>
      <c r="IUQ227" s="1"/>
      <c r="IUR227" s="1"/>
      <c r="IUS227" s="1"/>
      <c r="IUT227" s="1"/>
      <c r="IUU227" s="1"/>
      <c r="IUV227" s="1"/>
      <c r="IUW227" s="1"/>
      <c r="IUX227" s="1"/>
      <c r="IUY227" s="1"/>
      <c r="IUZ227" s="1"/>
      <c r="IVA227" s="1"/>
      <c r="IVB227" s="1"/>
      <c r="IVC227" s="1"/>
      <c r="IVD227" s="1"/>
      <c r="IVE227" s="1"/>
      <c r="IVF227" s="1"/>
      <c r="IVG227" s="1"/>
      <c r="IVH227" s="1"/>
      <c r="IVI227" s="1"/>
      <c r="IVJ227" s="1"/>
      <c r="IVK227" s="1"/>
      <c r="IVL227" s="1"/>
      <c r="IVM227" s="1"/>
      <c r="IVN227" s="1"/>
      <c r="IVO227" s="1"/>
      <c r="IVP227" s="1"/>
      <c r="IVQ227" s="1"/>
      <c r="IVR227" s="1"/>
      <c r="IVS227" s="1"/>
      <c r="IVT227" s="1"/>
      <c r="IVU227" s="1"/>
      <c r="IVV227" s="1"/>
      <c r="IVW227" s="1"/>
      <c r="IVX227" s="1"/>
      <c r="IVY227" s="1"/>
      <c r="IVZ227" s="1"/>
      <c r="IWA227" s="1"/>
      <c r="IWB227" s="1"/>
      <c r="IWC227" s="1"/>
      <c r="IWD227" s="1"/>
      <c r="IWE227" s="1"/>
      <c r="IWF227" s="1"/>
      <c r="IWG227" s="1"/>
      <c r="IWH227" s="1"/>
      <c r="IWI227" s="1"/>
      <c r="IWJ227" s="1"/>
      <c r="IWK227" s="1"/>
      <c r="IWL227" s="1"/>
      <c r="IWM227" s="1"/>
      <c r="IWN227" s="1"/>
      <c r="IWO227" s="1"/>
      <c r="IWP227" s="1"/>
      <c r="IWQ227" s="1"/>
      <c r="IWR227" s="1"/>
      <c r="IWS227" s="1"/>
      <c r="IWT227" s="1"/>
      <c r="IWU227" s="1"/>
      <c r="IWV227" s="1"/>
      <c r="IWW227" s="1"/>
      <c r="IWX227" s="1"/>
      <c r="IWY227" s="1"/>
      <c r="IWZ227" s="1"/>
      <c r="IXA227" s="1"/>
      <c r="IXB227" s="1"/>
      <c r="IXC227" s="1"/>
      <c r="IXD227" s="1"/>
      <c r="IXE227" s="1"/>
      <c r="IXF227" s="1"/>
      <c r="IXG227" s="1"/>
      <c r="IXH227" s="1"/>
      <c r="IXI227" s="1"/>
      <c r="IXJ227" s="1"/>
      <c r="IXK227" s="1"/>
      <c r="IXL227" s="1"/>
      <c r="IXM227" s="1"/>
      <c r="IXN227" s="1"/>
      <c r="IXO227" s="1"/>
      <c r="IXP227" s="1"/>
      <c r="IXQ227" s="1"/>
      <c r="IXR227" s="1"/>
      <c r="IXS227" s="1"/>
      <c r="IXT227" s="1"/>
      <c r="IXU227" s="1"/>
      <c r="IXV227" s="1"/>
      <c r="IXW227" s="1"/>
      <c r="IXX227" s="1"/>
      <c r="IXY227" s="1"/>
      <c r="IXZ227" s="1"/>
      <c r="IYA227" s="1"/>
      <c r="IYB227" s="1"/>
      <c r="IYC227" s="1"/>
      <c r="IYD227" s="1"/>
      <c r="IYE227" s="1"/>
      <c r="IYF227" s="1"/>
      <c r="IYG227" s="1"/>
      <c r="IYH227" s="1"/>
      <c r="IYI227" s="1"/>
      <c r="IYJ227" s="1"/>
      <c r="IYK227" s="1"/>
      <c r="IYL227" s="1"/>
      <c r="IYM227" s="1"/>
      <c r="IYN227" s="1"/>
      <c r="IYO227" s="1"/>
      <c r="IYP227" s="1"/>
      <c r="IYQ227" s="1"/>
      <c r="IYR227" s="1"/>
      <c r="IYS227" s="1"/>
      <c r="IYT227" s="1"/>
      <c r="IYU227" s="1"/>
      <c r="IYV227" s="1"/>
      <c r="IYW227" s="1"/>
      <c r="IYX227" s="1"/>
      <c r="IYY227" s="1"/>
      <c r="IYZ227" s="1"/>
      <c r="IZA227" s="1"/>
      <c r="IZB227" s="1"/>
      <c r="IZC227" s="1"/>
      <c r="IZD227" s="1"/>
      <c r="IZE227" s="1"/>
      <c r="IZF227" s="1"/>
      <c r="IZG227" s="1"/>
      <c r="IZH227" s="1"/>
      <c r="IZI227" s="1"/>
      <c r="IZJ227" s="1"/>
      <c r="IZK227" s="1"/>
      <c r="IZL227" s="1"/>
      <c r="IZM227" s="1"/>
      <c r="IZN227" s="1"/>
      <c r="IZO227" s="1"/>
      <c r="IZP227" s="1"/>
      <c r="IZQ227" s="1"/>
      <c r="IZR227" s="1"/>
      <c r="IZS227" s="1"/>
      <c r="IZT227" s="1"/>
      <c r="IZU227" s="1"/>
      <c r="IZV227" s="1"/>
      <c r="IZW227" s="1"/>
      <c r="IZX227" s="1"/>
      <c r="IZY227" s="1"/>
      <c r="IZZ227" s="1"/>
      <c r="JAA227" s="1"/>
      <c r="JAB227" s="1"/>
      <c r="JAC227" s="1"/>
      <c r="JAD227" s="1"/>
      <c r="JAE227" s="1"/>
      <c r="JAF227" s="1"/>
      <c r="JAG227" s="1"/>
      <c r="JAH227" s="1"/>
      <c r="JAI227" s="1"/>
      <c r="JAJ227" s="1"/>
      <c r="JAK227" s="1"/>
      <c r="JAL227" s="1"/>
      <c r="JAM227" s="1"/>
      <c r="JAN227" s="1"/>
      <c r="JAO227" s="1"/>
      <c r="JAP227" s="1"/>
      <c r="JAQ227" s="1"/>
      <c r="JAR227" s="1"/>
      <c r="JAS227" s="1"/>
      <c r="JAT227" s="1"/>
      <c r="JAU227" s="1"/>
      <c r="JAV227" s="1"/>
      <c r="JAW227" s="1"/>
      <c r="JAX227" s="1"/>
      <c r="JAY227" s="1"/>
      <c r="JAZ227" s="1"/>
      <c r="JBA227" s="1"/>
      <c r="JBB227" s="1"/>
      <c r="JBC227" s="1"/>
      <c r="JBD227" s="1"/>
      <c r="JBE227" s="1"/>
      <c r="JBF227" s="1"/>
      <c r="JBG227" s="1"/>
      <c r="JBH227" s="1"/>
      <c r="JBI227" s="1"/>
      <c r="JBJ227" s="1"/>
      <c r="JBK227" s="1"/>
      <c r="JBL227" s="1"/>
      <c r="JBM227" s="1"/>
      <c r="JBN227" s="1"/>
      <c r="JBO227" s="1"/>
      <c r="JBP227" s="1"/>
      <c r="JBQ227" s="1"/>
      <c r="JBR227" s="1"/>
      <c r="JBS227" s="1"/>
      <c r="JBT227" s="1"/>
      <c r="JBU227" s="1"/>
      <c r="JBV227" s="1"/>
      <c r="JBW227" s="1"/>
      <c r="JBX227" s="1"/>
      <c r="JBY227" s="1"/>
      <c r="JBZ227" s="1"/>
      <c r="JCA227" s="1"/>
      <c r="JCB227" s="1"/>
      <c r="JCC227" s="1"/>
      <c r="JCD227" s="1"/>
      <c r="JCE227" s="1"/>
      <c r="JCF227" s="1"/>
      <c r="JCG227" s="1"/>
      <c r="JCH227" s="1"/>
      <c r="JCI227" s="1"/>
      <c r="JCJ227" s="1"/>
      <c r="JCK227" s="1"/>
      <c r="JCL227" s="1"/>
      <c r="JCM227" s="1"/>
      <c r="JCN227" s="1"/>
      <c r="JCO227" s="1"/>
      <c r="JCP227" s="1"/>
      <c r="JCQ227" s="1"/>
      <c r="JCR227" s="1"/>
      <c r="JCS227" s="1"/>
      <c r="JCT227" s="1"/>
      <c r="JCU227" s="1"/>
      <c r="JCV227" s="1"/>
      <c r="JCW227" s="1"/>
      <c r="JCX227" s="1"/>
      <c r="JCY227" s="1"/>
      <c r="JCZ227" s="1"/>
      <c r="JDA227" s="1"/>
      <c r="JDB227" s="1"/>
      <c r="JDC227" s="1"/>
      <c r="JDD227" s="1"/>
      <c r="JDE227" s="1"/>
      <c r="JDF227" s="1"/>
      <c r="JDG227" s="1"/>
      <c r="JDH227" s="1"/>
      <c r="JDI227" s="1"/>
      <c r="JDJ227" s="1"/>
      <c r="JDK227" s="1"/>
      <c r="JDL227" s="1"/>
      <c r="JDM227" s="1"/>
      <c r="JDN227" s="1"/>
      <c r="JDO227" s="1"/>
      <c r="JDP227" s="1"/>
      <c r="JDQ227" s="1"/>
      <c r="JDR227" s="1"/>
      <c r="JDS227" s="1"/>
      <c r="JDT227" s="1"/>
      <c r="JDU227" s="1"/>
      <c r="JDV227" s="1"/>
      <c r="JDW227" s="1"/>
      <c r="JDX227" s="1"/>
      <c r="JDY227" s="1"/>
      <c r="JDZ227" s="1"/>
      <c r="JEA227" s="1"/>
      <c r="JEB227" s="1"/>
      <c r="JEC227" s="1"/>
      <c r="JED227" s="1"/>
      <c r="JEE227" s="1"/>
      <c r="JEF227" s="1"/>
      <c r="JEG227" s="1"/>
      <c r="JEH227" s="1"/>
      <c r="JEI227" s="1"/>
      <c r="JEJ227" s="1"/>
      <c r="JEK227" s="1"/>
      <c r="JEL227" s="1"/>
      <c r="JEM227" s="1"/>
      <c r="JEN227" s="1"/>
      <c r="JEO227" s="1"/>
      <c r="JEP227" s="1"/>
      <c r="JEQ227" s="1"/>
      <c r="JER227" s="1"/>
      <c r="JES227" s="1"/>
      <c r="JET227" s="1"/>
      <c r="JEU227" s="1"/>
      <c r="JEV227" s="1"/>
      <c r="JEW227" s="1"/>
      <c r="JEX227" s="1"/>
      <c r="JEY227" s="1"/>
      <c r="JEZ227" s="1"/>
      <c r="JFA227" s="1"/>
      <c r="JFB227" s="1"/>
      <c r="JFC227" s="1"/>
      <c r="JFD227" s="1"/>
      <c r="JFE227" s="1"/>
      <c r="JFF227" s="1"/>
      <c r="JFG227" s="1"/>
      <c r="JFH227" s="1"/>
      <c r="JFI227" s="1"/>
      <c r="JFJ227" s="1"/>
      <c r="JFK227" s="1"/>
      <c r="JFL227" s="1"/>
      <c r="JFM227" s="1"/>
      <c r="JFN227" s="1"/>
      <c r="JFO227" s="1"/>
      <c r="JFP227" s="1"/>
      <c r="JFQ227" s="1"/>
      <c r="JFR227" s="1"/>
      <c r="JFS227" s="1"/>
      <c r="JFT227" s="1"/>
      <c r="JFU227" s="1"/>
      <c r="JFV227" s="1"/>
      <c r="JFW227" s="1"/>
      <c r="JFX227" s="1"/>
      <c r="JFY227" s="1"/>
      <c r="JFZ227" s="1"/>
      <c r="JGA227" s="1"/>
      <c r="JGB227" s="1"/>
      <c r="JGC227" s="1"/>
      <c r="JGD227" s="1"/>
      <c r="JGE227" s="1"/>
      <c r="JGF227" s="1"/>
      <c r="JGG227" s="1"/>
      <c r="JGH227" s="1"/>
      <c r="JGI227" s="1"/>
      <c r="JGJ227" s="1"/>
      <c r="JGK227" s="1"/>
      <c r="JGL227" s="1"/>
      <c r="JGM227" s="1"/>
      <c r="JGN227" s="1"/>
      <c r="JGO227" s="1"/>
      <c r="JGP227" s="1"/>
      <c r="JGQ227" s="1"/>
      <c r="JGR227" s="1"/>
      <c r="JGS227" s="1"/>
      <c r="JGT227" s="1"/>
      <c r="JGU227" s="1"/>
      <c r="JGV227" s="1"/>
      <c r="JGW227" s="1"/>
      <c r="JGX227" s="1"/>
      <c r="JGY227" s="1"/>
      <c r="JGZ227" s="1"/>
      <c r="JHA227" s="1"/>
      <c r="JHB227" s="1"/>
      <c r="JHC227" s="1"/>
      <c r="JHD227" s="1"/>
      <c r="JHE227" s="1"/>
      <c r="JHF227" s="1"/>
      <c r="JHG227" s="1"/>
      <c r="JHH227" s="1"/>
      <c r="JHI227" s="1"/>
      <c r="JHJ227" s="1"/>
      <c r="JHK227" s="1"/>
      <c r="JHL227" s="1"/>
      <c r="JHM227" s="1"/>
      <c r="JHN227" s="1"/>
      <c r="JHO227" s="1"/>
      <c r="JHP227" s="1"/>
      <c r="JHQ227" s="1"/>
      <c r="JHR227" s="1"/>
      <c r="JHS227" s="1"/>
      <c r="JHT227" s="1"/>
      <c r="JHU227" s="1"/>
      <c r="JHV227" s="1"/>
      <c r="JHW227" s="1"/>
      <c r="JHX227" s="1"/>
      <c r="JHY227" s="1"/>
      <c r="JHZ227" s="1"/>
      <c r="JIA227" s="1"/>
      <c r="JIB227" s="1"/>
      <c r="JIC227" s="1"/>
      <c r="JID227" s="1"/>
      <c r="JIE227" s="1"/>
      <c r="JIF227" s="1"/>
      <c r="JIG227" s="1"/>
      <c r="JIH227" s="1"/>
      <c r="JII227" s="1"/>
      <c r="JIJ227" s="1"/>
      <c r="JIK227" s="1"/>
      <c r="JIL227" s="1"/>
      <c r="JIM227" s="1"/>
      <c r="JIN227" s="1"/>
      <c r="JIO227" s="1"/>
      <c r="JIP227" s="1"/>
      <c r="JIQ227" s="1"/>
      <c r="JIR227" s="1"/>
      <c r="JIS227" s="1"/>
      <c r="JIT227" s="1"/>
      <c r="JIU227" s="1"/>
      <c r="JIV227" s="1"/>
      <c r="JIW227" s="1"/>
      <c r="JIX227" s="1"/>
      <c r="JIY227" s="1"/>
      <c r="JIZ227" s="1"/>
      <c r="JJA227" s="1"/>
      <c r="JJB227" s="1"/>
      <c r="JJC227" s="1"/>
      <c r="JJD227" s="1"/>
      <c r="JJE227" s="1"/>
      <c r="JJF227" s="1"/>
      <c r="JJG227" s="1"/>
      <c r="JJH227" s="1"/>
      <c r="JJI227" s="1"/>
      <c r="JJJ227" s="1"/>
      <c r="JJK227" s="1"/>
      <c r="JJL227" s="1"/>
      <c r="JJM227" s="1"/>
      <c r="JJN227" s="1"/>
      <c r="JJO227" s="1"/>
      <c r="JJP227" s="1"/>
      <c r="JJQ227" s="1"/>
      <c r="JJR227" s="1"/>
      <c r="JJS227" s="1"/>
      <c r="JJT227" s="1"/>
      <c r="JJU227" s="1"/>
      <c r="JJV227" s="1"/>
      <c r="JJW227" s="1"/>
      <c r="JJX227" s="1"/>
      <c r="JJY227" s="1"/>
      <c r="JJZ227" s="1"/>
      <c r="JKA227" s="1"/>
      <c r="JKB227" s="1"/>
      <c r="JKC227" s="1"/>
      <c r="JKD227" s="1"/>
      <c r="JKE227" s="1"/>
      <c r="JKF227" s="1"/>
      <c r="JKG227" s="1"/>
      <c r="JKH227" s="1"/>
      <c r="JKI227" s="1"/>
      <c r="JKJ227" s="1"/>
      <c r="JKK227" s="1"/>
      <c r="JKL227" s="1"/>
      <c r="JKM227" s="1"/>
      <c r="JKN227" s="1"/>
      <c r="JKO227" s="1"/>
      <c r="JKP227" s="1"/>
      <c r="JKQ227" s="1"/>
      <c r="JKR227" s="1"/>
      <c r="JKS227" s="1"/>
      <c r="JKT227" s="1"/>
      <c r="JKU227" s="1"/>
      <c r="JKV227" s="1"/>
      <c r="JKW227" s="1"/>
      <c r="JKX227" s="1"/>
      <c r="JKY227" s="1"/>
      <c r="JKZ227" s="1"/>
      <c r="JLA227" s="1"/>
      <c r="JLB227" s="1"/>
      <c r="JLC227" s="1"/>
      <c r="JLD227" s="1"/>
      <c r="JLE227" s="1"/>
      <c r="JLF227" s="1"/>
      <c r="JLG227" s="1"/>
      <c r="JLH227" s="1"/>
      <c r="JLI227" s="1"/>
      <c r="JLJ227" s="1"/>
      <c r="JLK227" s="1"/>
      <c r="JLL227" s="1"/>
      <c r="JLM227" s="1"/>
      <c r="JLN227" s="1"/>
      <c r="JLO227" s="1"/>
      <c r="JLP227" s="1"/>
      <c r="JLQ227" s="1"/>
      <c r="JLR227" s="1"/>
      <c r="JLS227" s="1"/>
      <c r="JLT227" s="1"/>
      <c r="JLU227" s="1"/>
      <c r="JLV227" s="1"/>
      <c r="JLW227" s="1"/>
      <c r="JLX227" s="1"/>
      <c r="JLY227" s="1"/>
      <c r="JLZ227" s="1"/>
      <c r="JMA227" s="1"/>
      <c r="JMB227" s="1"/>
      <c r="JMC227" s="1"/>
      <c r="JMD227" s="1"/>
      <c r="JME227" s="1"/>
      <c r="JMF227" s="1"/>
      <c r="JMG227" s="1"/>
      <c r="JMH227" s="1"/>
      <c r="JMI227" s="1"/>
      <c r="JMJ227" s="1"/>
      <c r="JMK227" s="1"/>
      <c r="JML227" s="1"/>
      <c r="JMM227" s="1"/>
      <c r="JMN227" s="1"/>
      <c r="JMO227" s="1"/>
      <c r="JMP227" s="1"/>
      <c r="JMQ227" s="1"/>
      <c r="JMR227" s="1"/>
      <c r="JMS227" s="1"/>
      <c r="JMT227" s="1"/>
      <c r="JMU227" s="1"/>
      <c r="JMV227" s="1"/>
      <c r="JMW227" s="1"/>
      <c r="JMX227" s="1"/>
      <c r="JMY227" s="1"/>
      <c r="JMZ227" s="1"/>
      <c r="JNA227" s="1"/>
      <c r="JNB227" s="1"/>
      <c r="JNC227" s="1"/>
      <c r="JND227" s="1"/>
      <c r="JNE227" s="1"/>
      <c r="JNF227" s="1"/>
      <c r="JNG227" s="1"/>
      <c r="JNH227" s="1"/>
      <c r="JNI227" s="1"/>
      <c r="JNJ227" s="1"/>
      <c r="JNK227" s="1"/>
      <c r="JNL227" s="1"/>
      <c r="JNM227" s="1"/>
      <c r="JNN227" s="1"/>
      <c r="JNO227" s="1"/>
      <c r="JNP227" s="1"/>
      <c r="JNQ227" s="1"/>
      <c r="JNR227" s="1"/>
      <c r="JNS227" s="1"/>
      <c r="JNT227" s="1"/>
      <c r="JNU227" s="1"/>
      <c r="JNV227" s="1"/>
      <c r="JNW227" s="1"/>
      <c r="JNX227" s="1"/>
      <c r="JNY227" s="1"/>
      <c r="JNZ227" s="1"/>
      <c r="JOA227" s="1"/>
      <c r="JOB227" s="1"/>
      <c r="JOC227" s="1"/>
      <c r="JOD227" s="1"/>
      <c r="JOE227" s="1"/>
      <c r="JOF227" s="1"/>
      <c r="JOG227" s="1"/>
      <c r="JOH227" s="1"/>
      <c r="JOI227" s="1"/>
      <c r="JOJ227" s="1"/>
      <c r="JOK227" s="1"/>
      <c r="JOL227" s="1"/>
      <c r="JOM227" s="1"/>
      <c r="JON227" s="1"/>
      <c r="JOO227" s="1"/>
      <c r="JOP227" s="1"/>
      <c r="JOQ227" s="1"/>
      <c r="JOR227" s="1"/>
      <c r="JOS227" s="1"/>
      <c r="JOT227" s="1"/>
      <c r="JOU227" s="1"/>
      <c r="JOV227" s="1"/>
      <c r="JOW227" s="1"/>
      <c r="JOX227" s="1"/>
      <c r="JOY227" s="1"/>
      <c r="JOZ227" s="1"/>
      <c r="JPA227" s="1"/>
      <c r="JPB227" s="1"/>
      <c r="JPC227" s="1"/>
      <c r="JPD227" s="1"/>
      <c r="JPE227" s="1"/>
      <c r="JPF227" s="1"/>
      <c r="JPG227" s="1"/>
      <c r="JPH227" s="1"/>
      <c r="JPI227" s="1"/>
      <c r="JPJ227" s="1"/>
      <c r="JPK227" s="1"/>
      <c r="JPL227" s="1"/>
      <c r="JPM227" s="1"/>
      <c r="JPN227" s="1"/>
      <c r="JPO227" s="1"/>
      <c r="JPP227" s="1"/>
      <c r="JPQ227" s="1"/>
      <c r="JPR227" s="1"/>
      <c r="JPS227" s="1"/>
      <c r="JPT227" s="1"/>
      <c r="JPU227" s="1"/>
      <c r="JPV227" s="1"/>
      <c r="JPW227" s="1"/>
      <c r="JPX227" s="1"/>
      <c r="JPY227" s="1"/>
      <c r="JPZ227" s="1"/>
      <c r="JQA227" s="1"/>
      <c r="JQB227" s="1"/>
      <c r="JQC227" s="1"/>
      <c r="JQD227" s="1"/>
      <c r="JQE227" s="1"/>
      <c r="JQF227" s="1"/>
      <c r="JQG227" s="1"/>
      <c r="JQH227" s="1"/>
      <c r="JQI227" s="1"/>
      <c r="JQJ227" s="1"/>
      <c r="JQK227" s="1"/>
      <c r="JQL227" s="1"/>
      <c r="JQM227" s="1"/>
      <c r="JQN227" s="1"/>
      <c r="JQO227" s="1"/>
      <c r="JQP227" s="1"/>
      <c r="JQQ227" s="1"/>
      <c r="JQR227" s="1"/>
      <c r="JQS227" s="1"/>
      <c r="JQT227" s="1"/>
      <c r="JQU227" s="1"/>
      <c r="JQV227" s="1"/>
      <c r="JQW227" s="1"/>
      <c r="JQX227" s="1"/>
      <c r="JQY227" s="1"/>
      <c r="JQZ227" s="1"/>
      <c r="JRA227" s="1"/>
      <c r="JRB227" s="1"/>
      <c r="JRC227" s="1"/>
      <c r="JRD227" s="1"/>
      <c r="JRE227" s="1"/>
      <c r="JRF227" s="1"/>
      <c r="JRG227" s="1"/>
      <c r="JRH227" s="1"/>
      <c r="JRI227" s="1"/>
      <c r="JRJ227" s="1"/>
      <c r="JRK227" s="1"/>
      <c r="JRL227" s="1"/>
      <c r="JRM227" s="1"/>
      <c r="JRN227" s="1"/>
      <c r="JRO227" s="1"/>
      <c r="JRP227" s="1"/>
      <c r="JRQ227" s="1"/>
      <c r="JRR227" s="1"/>
      <c r="JRS227" s="1"/>
      <c r="JRT227" s="1"/>
      <c r="JRU227" s="1"/>
      <c r="JRV227" s="1"/>
      <c r="JRW227" s="1"/>
      <c r="JRX227" s="1"/>
      <c r="JRY227" s="1"/>
      <c r="JRZ227" s="1"/>
      <c r="JSA227" s="1"/>
      <c r="JSB227" s="1"/>
      <c r="JSC227" s="1"/>
      <c r="JSD227" s="1"/>
      <c r="JSE227" s="1"/>
      <c r="JSF227" s="1"/>
      <c r="JSG227" s="1"/>
      <c r="JSH227" s="1"/>
      <c r="JSI227" s="1"/>
      <c r="JSJ227" s="1"/>
      <c r="JSK227" s="1"/>
      <c r="JSL227" s="1"/>
      <c r="JSM227" s="1"/>
      <c r="JSN227" s="1"/>
      <c r="JSO227" s="1"/>
      <c r="JSP227" s="1"/>
      <c r="JSQ227" s="1"/>
      <c r="JSR227" s="1"/>
      <c r="JSS227" s="1"/>
      <c r="JST227" s="1"/>
      <c r="JSU227" s="1"/>
      <c r="JSV227" s="1"/>
      <c r="JSW227" s="1"/>
      <c r="JSX227" s="1"/>
      <c r="JSY227" s="1"/>
      <c r="JSZ227" s="1"/>
      <c r="JTA227" s="1"/>
      <c r="JTB227" s="1"/>
      <c r="JTC227" s="1"/>
      <c r="JTD227" s="1"/>
      <c r="JTE227" s="1"/>
      <c r="JTF227" s="1"/>
      <c r="JTG227" s="1"/>
      <c r="JTH227" s="1"/>
      <c r="JTI227" s="1"/>
      <c r="JTJ227" s="1"/>
      <c r="JTK227" s="1"/>
      <c r="JTL227" s="1"/>
      <c r="JTM227" s="1"/>
      <c r="JTN227" s="1"/>
      <c r="JTO227" s="1"/>
      <c r="JTP227" s="1"/>
      <c r="JTQ227" s="1"/>
      <c r="JTR227" s="1"/>
      <c r="JTS227" s="1"/>
      <c r="JTT227" s="1"/>
      <c r="JTU227" s="1"/>
      <c r="JTV227" s="1"/>
      <c r="JTW227" s="1"/>
      <c r="JTX227" s="1"/>
      <c r="JTY227" s="1"/>
      <c r="JTZ227" s="1"/>
      <c r="JUA227" s="1"/>
      <c r="JUB227" s="1"/>
      <c r="JUC227" s="1"/>
      <c r="JUD227" s="1"/>
      <c r="JUE227" s="1"/>
      <c r="JUF227" s="1"/>
      <c r="JUG227" s="1"/>
      <c r="JUH227" s="1"/>
      <c r="JUI227" s="1"/>
      <c r="JUJ227" s="1"/>
      <c r="JUK227" s="1"/>
      <c r="JUL227" s="1"/>
      <c r="JUM227" s="1"/>
      <c r="JUN227" s="1"/>
      <c r="JUO227" s="1"/>
      <c r="JUP227" s="1"/>
      <c r="JUQ227" s="1"/>
      <c r="JUR227" s="1"/>
      <c r="JUS227" s="1"/>
      <c r="JUT227" s="1"/>
      <c r="JUU227" s="1"/>
      <c r="JUV227" s="1"/>
      <c r="JUW227" s="1"/>
      <c r="JUX227" s="1"/>
      <c r="JUY227" s="1"/>
      <c r="JUZ227" s="1"/>
      <c r="JVA227" s="1"/>
      <c r="JVB227" s="1"/>
      <c r="JVC227" s="1"/>
      <c r="JVD227" s="1"/>
      <c r="JVE227" s="1"/>
      <c r="JVF227" s="1"/>
      <c r="JVG227" s="1"/>
      <c r="JVH227" s="1"/>
      <c r="JVI227" s="1"/>
      <c r="JVJ227" s="1"/>
      <c r="JVK227" s="1"/>
      <c r="JVL227" s="1"/>
      <c r="JVM227" s="1"/>
      <c r="JVN227" s="1"/>
      <c r="JVO227" s="1"/>
      <c r="JVP227" s="1"/>
      <c r="JVQ227" s="1"/>
      <c r="JVR227" s="1"/>
      <c r="JVS227" s="1"/>
      <c r="JVT227" s="1"/>
      <c r="JVU227" s="1"/>
      <c r="JVV227" s="1"/>
      <c r="JVW227" s="1"/>
      <c r="JVX227" s="1"/>
      <c r="JVY227" s="1"/>
      <c r="JVZ227" s="1"/>
      <c r="JWA227" s="1"/>
      <c r="JWB227" s="1"/>
      <c r="JWC227" s="1"/>
      <c r="JWD227" s="1"/>
      <c r="JWE227" s="1"/>
      <c r="JWF227" s="1"/>
      <c r="JWG227" s="1"/>
      <c r="JWH227" s="1"/>
      <c r="JWI227" s="1"/>
      <c r="JWJ227" s="1"/>
      <c r="JWK227" s="1"/>
      <c r="JWL227" s="1"/>
      <c r="JWM227" s="1"/>
      <c r="JWN227" s="1"/>
      <c r="JWO227" s="1"/>
      <c r="JWP227" s="1"/>
      <c r="JWQ227" s="1"/>
      <c r="JWR227" s="1"/>
      <c r="JWS227" s="1"/>
      <c r="JWT227" s="1"/>
      <c r="JWU227" s="1"/>
      <c r="JWV227" s="1"/>
      <c r="JWW227" s="1"/>
      <c r="JWX227" s="1"/>
      <c r="JWY227" s="1"/>
      <c r="JWZ227" s="1"/>
      <c r="JXA227" s="1"/>
      <c r="JXB227" s="1"/>
      <c r="JXC227" s="1"/>
      <c r="JXD227" s="1"/>
      <c r="JXE227" s="1"/>
      <c r="JXF227" s="1"/>
      <c r="JXG227" s="1"/>
      <c r="JXH227" s="1"/>
      <c r="JXI227" s="1"/>
      <c r="JXJ227" s="1"/>
      <c r="JXK227" s="1"/>
      <c r="JXL227" s="1"/>
      <c r="JXM227" s="1"/>
      <c r="JXN227" s="1"/>
      <c r="JXO227" s="1"/>
      <c r="JXP227" s="1"/>
      <c r="JXQ227" s="1"/>
      <c r="JXR227" s="1"/>
      <c r="JXS227" s="1"/>
      <c r="JXT227" s="1"/>
      <c r="JXU227" s="1"/>
      <c r="JXV227" s="1"/>
      <c r="JXW227" s="1"/>
      <c r="JXX227" s="1"/>
      <c r="JXY227" s="1"/>
      <c r="JXZ227" s="1"/>
      <c r="JYA227" s="1"/>
      <c r="JYB227" s="1"/>
      <c r="JYC227" s="1"/>
      <c r="JYD227" s="1"/>
      <c r="JYE227" s="1"/>
      <c r="JYF227" s="1"/>
      <c r="JYG227" s="1"/>
      <c r="JYH227" s="1"/>
      <c r="JYI227" s="1"/>
      <c r="JYJ227" s="1"/>
      <c r="JYK227" s="1"/>
      <c r="JYL227" s="1"/>
      <c r="JYM227" s="1"/>
      <c r="JYN227" s="1"/>
      <c r="JYO227" s="1"/>
      <c r="JYP227" s="1"/>
      <c r="JYQ227" s="1"/>
      <c r="JYR227" s="1"/>
      <c r="JYS227" s="1"/>
      <c r="JYT227" s="1"/>
      <c r="JYU227" s="1"/>
      <c r="JYV227" s="1"/>
      <c r="JYW227" s="1"/>
      <c r="JYX227" s="1"/>
      <c r="JYY227" s="1"/>
      <c r="JYZ227" s="1"/>
      <c r="JZA227" s="1"/>
      <c r="JZB227" s="1"/>
      <c r="JZC227" s="1"/>
      <c r="JZD227" s="1"/>
      <c r="JZE227" s="1"/>
      <c r="JZF227" s="1"/>
      <c r="JZG227" s="1"/>
      <c r="JZH227" s="1"/>
      <c r="JZI227" s="1"/>
      <c r="JZJ227" s="1"/>
      <c r="JZK227" s="1"/>
      <c r="JZL227" s="1"/>
      <c r="JZM227" s="1"/>
      <c r="JZN227" s="1"/>
      <c r="JZO227" s="1"/>
      <c r="JZP227" s="1"/>
      <c r="JZQ227" s="1"/>
      <c r="JZR227" s="1"/>
      <c r="JZS227" s="1"/>
      <c r="JZT227" s="1"/>
      <c r="JZU227" s="1"/>
      <c r="JZV227" s="1"/>
      <c r="JZW227" s="1"/>
      <c r="JZX227" s="1"/>
      <c r="JZY227" s="1"/>
      <c r="JZZ227" s="1"/>
      <c r="KAA227" s="1"/>
      <c r="KAB227" s="1"/>
      <c r="KAC227" s="1"/>
      <c r="KAD227" s="1"/>
      <c r="KAE227" s="1"/>
      <c r="KAF227" s="1"/>
      <c r="KAG227" s="1"/>
      <c r="KAH227" s="1"/>
      <c r="KAI227" s="1"/>
      <c r="KAJ227" s="1"/>
      <c r="KAK227" s="1"/>
      <c r="KAL227" s="1"/>
      <c r="KAM227" s="1"/>
      <c r="KAN227" s="1"/>
      <c r="KAO227" s="1"/>
      <c r="KAP227" s="1"/>
      <c r="KAQ227" s="1"/>
      <c r="KAR227" s="1"/>
      <c r="KAS227" s="1"/>
      <c r="KAT227" s="1"/>
      <c r="KAU227" s="1"/>
      <c r="KAV227" s="1"/>
      <c r="KAW227" s="1"/>
      <c r="KAX227" s="1"/>
      <c r="KAY227" s="1"/>
      <c r="KAZ227" s="1"/>
      <c r="KBA227" s="1"/>
      <c r="KBB227" s="1"/>
      <c r="KBC227" s="1"/>
      <c r="KBD227" s="1"/>
      <c r="KBE227" s="1"/>
      <c r="KBF227" s="1"/>
      <c r="KBG227" s="1"/>
      <c r="KBH227" s="1"/>
      <c r="KBI227" s="1"/>
      <c r="KBJ227" s="1"/>
      <c r="KBK227" s="1"/>
      <c r="KBL227" s="1"/>
      <c r="KBM227" s="1"/>
      <c r="KBN227" s="1"/>
      <c r="KBO227" s="1"/>
      <c r="KBP227" s="1"/>
      <c r="KBQ227" s="1"/>
      <c r="KBR227" s="1"/>
      <c r="KBS227" s="1"/>
      <c r="KBT227" s="1"/>
      <c r="KBU227" s="1"/>
      <c r="KBV227" s="1"/>
      <c r="KBW227" s="1"/>
      <c r="KBX227" s="1"/>
      <c r="KBY227" s="1"/>
      <c r="KBZ227" s="1"/>
      <c r="KCA227" s="1"/>
      <c r="KCB227" s="1"/>
      <c r="KCC227" s="1"/>
      <c r="KCD227" s="1"/>
      <c r="KCE227" s="1"/>
      <c r="KCF227" s="1"/>
      <c r="KCG227" s="1"/>
      <c r="KCH227" s="1"/>
      <c r="KCI227" s="1"/>
      <c r="KCJ227" s="1"/>
      <c r="KCK227" s="1"/>
      <c r="KCL227" s="1"/>
      <c r="KCM227" s="1"/>
      <c r="KCN227" s="1"/>
      <c r="KCO227" s="1"/>
      <c r="KCP227" s="1"/>
      <c r="KCQ227" s="1"/>
      <c r="KCR227" s="1"/>
      <c r="KCS227" s="1"/>
      <c r="KCT227" s="1"/>
      <c r="KCU227" s="1"/>
      <c r="KCV227" s="1"/>
      <c r="KCW227" s="1"/>
      <c r="KCX227" s="1"/>
      <c r="KCY227" s="1"/>
      <c r="KCZ227" s="1"/>
      <c r="KDA227" s="1"/>
      <c r="KDB227" s="1"/>
      <c r="KDC227" s="1"/>
      <c r="KDD227" s="1"/>
      <c r="KDE227" s="1"/>
      <c r="KDF227" s="1"/>
      <c r="KDG227" s="1"/>
      <c r="KDH227" s="1"/>
      <c r="KDI227" s="1"/>
      <c r="KDJ227" s="1"/>
      <c r="KDK227" s="1"/>
      <c r="KDL227" s="1"/>
      <c r="KDM227" s="1"/>
      <c r="KDN227" s="1"/>
      <c r="KDO227" s="1"/>
      <c r="KDP227" s="1"/>
      <c r="KDQ227" s="1"/>
      <c r="KDR227" s="1"/>
      <c r="KDS227" s="1"/>
      <c r="KDT227" s="1"/>
      <c r="KDU227" s="1"/>
      <c r="KDV227" s="1"/>
      <c r="KDW227" s="1"/>
      <c r="KDX227" s="1"/>
      <c r="KDY227" s="1"/>
      <c r="KDZ227" s="1"/>
      <c r="KEA227" s="1"/>
      <c r="KEB227" s="1"/>
      <c r="KEC227" s="1"/>
      <c r="KED227" s="1"/>
      <c r="KEE227" s="1"/>
      <c r="KEF227" s="1"/>
      <c r="KEG227" s="1"/>
      <c r="KEH227" s="1"/>
      <c r="KEI227" s="1"/>
      <c r="KEJ227" s="1"/>
      <c r="KEK227" s="1"/>
      <c r="KEL227" s="1"/>
      <c r="KEM227" s="1"/>
      <c r="KEN227" s="1"/>
      <c r="KEO227" s="1"/>
      <c r="KEP227" s="1"/>
      <c r="KEQ227" s="1"/>
      <c r="KER227" s="1"/>
      <c r="KES227" s="1"/>
      <c r="KET227" s="1"/>
      <c r="KEU227" s="1"/>
      <c r="KEV227" s="1"/>
      <c r="KEW227" s="1"/>
      <c r="KEX227" s="1"/>
      <c r="KEY227" s="1"/>
      <c r="KEZ227" s="1"/>
      <c r="KFA227" s="1"/>
      <c r="KFB227" s="1"/>
      <c r="KFC227" s="1"/>
      <c r="KFD227" s="1"/>
      <c r="KFE227" s="1"/>
      <c r="KFF227" s="1"/>
      <c r="KFG227" s="1"/>
      <c r="KFH227" s="1"/>
      <c r="KFI227" s="1"/>
      <c r="KFJ227" s="1"/>
      <c r="KFK227" s="1"/>
      <c r="KFL227" s="1"/>
      <c r="KFM227" s="1"/>
      <c r="KFN227" s="1"/>
      <c r="KFO227" s="1"/>
      <c r="KFP227" s="1"/>
      <c r="KFQ227" s="1"/>
      <c r="KFR227" s="1"/>
      <c r="KFS227" s="1"/>
      <c r="KFT227" s="1"/>
      <c r="KFU227" s="1"/>
      <c r="KFV227" s="1"/>
      <c r="KFW227" s="1"/>
      <c r="KFX227" s="1"/>
      <c r="KFY227" s="1"/>
      <c r="KFZ227" s="1"/>
      <c r="KGA227" s="1"/>
      <c r="KGB227" s="1"/>
      <c r="KGC227" s="1"/>
      <c r="KGD227" s="1"/>
      <c r="KGE227" s="1"/>
      <c r="KGF227" s="1"/>
      <c r="KGG227" s="1"/>
      <c r="KGH227" s="1"/>
      <c r="KGI227" s="1"/>
      <c r="KGJ227" s="1"/>
      <c r="KGK227" s="1"/>
      <c r="KGL227" s="1"/>
      <c r="KGM227" s="1"/>
      <c r="KGN227" s="1"/>
      <c r="KGO227" s="1"/>
      <c r="KGP227" s="1"/>
      <c r="KGQ227" s="1"/>
      <c r="KGR227" s="1"/>
      <c r="KGS227" s="1"/>
      <c r="KGT227" s="1"/>
      <c r="KGU227" s="1"/>
      <c r="KGV227" s="1"/>
      <c r="KGW227" s="1"/>
      <c r="KGX227" s="1"/>
      <c r="KGY227" s="1"/>
      <c r="KGZ227" s="1"/>
      <c r="KHA227" s="1"/>
      <c r="KHB227" s="1"/>
      <c r="KHC227" s="1"/>
      <c r="KHD227" s="1"/>
      <c r="KHE227" s="1"/>
      <c r="KHF227" s="1"/>
      <c r="KHG227" s="1"/>
      <c r="KHH227" s="1"/>
      <c r="KHI227" s="1"/>
      <c r="KHJ227" s="1"/>
      <c r="KHK227" s="1"/>
      <c r="KHL227" s="1"/>
      <c r="KHM227" s="1"/>
      <c r="KHN227" s="1"/>
      <c r="KHO227" s="1"/>
      <c r="KHP227" s="1"/>
      <c r="KHQ227" s="1"/>
      <c r="KHR227" s="1"/>
      <c r="KHS227" s="1"/>
      <c r="KHT227" s="1"/>
      <c r="KHU227" s="1"/>
      <c r="KHV227" s="1"/>
      <c r="KHW227" s="1"/>
      <c r="KHX227" s="1"/>
      <c r="KHY227" s="1"/>
      <c r="KHZ227" s="1"/>
      <c r="KIA227" s="1"/>
      <c r="KIB227" s="1"/>
      <c r="KIC227" s="1"/>
      <c r="KID227" s="1"/>
      <c r="KIE227" s="1"/>
      <c r="KIF227" s="1"/>
      <c r="KIG227" s="1"/>
      <c r="KIH227" s="1"/>
      <c r="KII227" s="1"/>
      <c r="KIJ227" s="1"/>
      <c r="KIK227" s="1"/>
      <c r="KIL227" s="1"/>
      <c r="KIM227" s="1"/>
      <c r="KIN227" s="1"/>
      <c r="KIO227" s="1"/>
      <c r="KIP227" s="1"/>
      <c r="KIQ227" s="1"/>
      <c r="KIR227" s="1"/>
      <c r="KIS227" s="1"/>
      <c r="KIT227" s="1"/>
      <c r="KIU227" s="1"/>
      <c r="KIV227" s="1"/>
      <c r="KIW227" s="1"/>
      <c r="KIX227" s="1"/>
      <c r="KIY227" s="1"/>
      <c r="KIZ227" s="1"/>
      <c r="KJA227" s="1"/>
      <c r="KJB227" s="1"/>
      <c r="KJC227" s="1"/>
      <c r="KJD227" s="1"/>
      <c r="KJE227" s="1"/>
      <c r="KJF227" s="1"/>
      <c r="KJG227" s="1"/>
      <c r="KJH227" s="1"/>
      <c r="KJI227" s="1"/>
      <c r="KJJ227" s="1"/>
      <c r="KJK227" s="1"/>
      <c r="KJL227" s="1"/>
      <c r="KJM227" s="1"/>
      <c r="KJN227" s="1"/>
      <c r="KJO227" s="1"/>
      <c r="KJP227" s="1"/>
      <c r="KJQ227" s="1"/>
      <c r="KJR227" s="1"/>
      <c r="KJS227" s="1"/>
      <c r="KJT227" s="1"/>
      <c r="KJU227" s="1"/>
      <c r="KJV227" s="1"/>
      <c r="KJW227" s="1"/>
      <c r="KJX227" s="1"/>
      <c r="KJY227" s="1"/>
      <c r="KJZ227" s="1"/>
      <c r="KKA227" s="1"/>
      <c r="KKB227" s="1"/>
      <c r="KKC227" s="1"/>
      <c r="KKD227" s="1"/>
      <c r="KKE227" s="1"/>
      <c r="KKF227" s="1"/>
      <c r="KKG227" s="1"/>
      <c r="KKH227" s="1"/>
      <c r="KKI227" s="1"/>
      <c r="KKJ227" s="1"/>
      <c r="KKK227" s="1"/>
      <c r="KKL227" s="1"/>
      <c r="KKM227" s="1"/>
      <c r="KKN227" s="1"/>
      <c r="KKO227" s="1"/>
      <c r="KKP227" s="1"/>
      <c r="KKQ227" s="1"/>
      <c r="KKR227" s="1"/>
      <c r="KKS227" s="1"/>
      <c r="KKT227" s="1"/>
      <c r="KKU227" s="1"/>
      <c r="KKV227" s="1"/>
      <c r="KKW227" s="1"/>
      <c r="KKX227" s="1"/>
      <c r="KKY227" s="1"/>
      <c r="KKZ227" s="1"/>
      <c r="KLA227" s="1"/>
      <c r="KLB227" s="1"/>
      <c r="KLC227" s="1"/>
      <c r="KLD227" s="1"/>
      <c r="KLE227" s="1"/>
      <c r="KLF227" s="1"/>
      <c r="KLG227" s="1"/>
      <c r="KLH227" s="1"/>
      <c r="KLI227" s="1"/>
      <c r="KLJ227" s="1"/>
      <c r="KLK227" s="1"/>
      <c r="KLL227" s="1"/>
      <c r="KLM227" s="1"/>
      <c r="KLN227" s="1"/>
      <c r="KLO227" s="1"/>
      <c r="KLP227" s="1"/>
      <c r="KLQ227" s="1"/>
      <c r="KLR227" s="1"/>
      <c r="KLS227" s="1"/>
      <c r="KLT227" s="1"/>
      <c r="KLU227" s="1"/>
      <c r="KLV227" s="1"/>
      <c r="KLW227" s="1"/>
      <c r="KLX227" s="1"/>
      <c r="KLY227" s="1"/>
      <c r="KLZ227" s="1"/>
      <c r="KMA227" s="1"/>
      <c r="KMB227" s="1"/>
      <c r="KMC227" s="1"/>
      <c r="KMD227" s="1"/>
      <c r="KME227" s="1"/>
      <c r="KMF227" s="1"/>
      <c r="KMG227" s="1"/>
      <c r="KMH227" s="1"/>
      <c r="KMI227" s="1"/>
      <c r="KMJ227" s="1"/>
      <c r="KMK227" s="1"/>
      <c r="KML227" s="1"/>
      <c r="KMM227" s="1"/>
      <c r="KMN227" s="1"/>
      <c r="KMO227" s="1"/>
      <c r="KMP227" s="1"/>
      <c r="KMQ227" s="1"/>
      <c r="KMR227" s="1"/>
      <c r="KMS227" s="1"/>
      <c r="KMT227" s="1"/>
      <c r="KMU227" s="1"/>
      <c r="KMV227" s="1"/>
      <c r="KMW227" s="1"/>
      <c r="KMX227" s="1"/>
      <c r="KMY227" s="1"/>
      <c r="KMZ227" s="1"/>
      <c r="KNA227" s="1"/>
      <c r="KNB227" s="1"/>
      <c r="KNC227" s="1"/>
      <c r="KND227" s="1"/>
      <c r="KNE227" s="1"/>
      <c r="KNF227" s="1"/>
      <c r="KNG227" s="1"/>
      <c r="KNH227" s="1"/>
      <c r="KNI227" s="1"/>
      <c r="KNJ227" s="1"/>
      <c r="KNK227" s="1"/>
      <c r="KNL227" s="1"/>
      <c r="KNM227" s="1"/>
      <c r="KNN227" s="1"/>
      <c r="KNO227" s="1"/>
      <c r="KNP227" s="1"/>
      <c r="KNQ227" s="1"/>
      <c r="KNR227" s="1"/>
      <c r="KNS227" s="1"/>
      <c r="KNT227" s="1"/>
      <c r="KNU227" s="1"/>
      <c r="KNV227" s="1"/>
      <c r="KNW227" s="1"/>
      <c r="KNX227" s="1"/>
      <c r="KNY227" s="1"/>
      <c r="KNZ227" s="1"/>
      <c r="KOA227" s="1"/>
      <c r="KOB227" s="1"/>
      <c r="KOC227" s="1"/>
      <c r="KOD227" s="1"/>
      <c r="KOE227" s="1"/>
      <c r="KOF227" s="1"/>
      <c r="KOG227" s="1"/>
      <c r="KOH227" s="1"/>
      <c r="KOI227" s="1"/>
      <c r="KOJ227" s="1"/>
      <c r="KOK227" s="1"/>
      <c r="KOL227" s="1"/>
      <c r="KOM227" s="1"/>
      <c r="KON227" s="1"/>
      <c r="KOO227" s="1"/>
      <c r="KOP227" s="1"/>
      <c r="KOQ227" s="1"/>
      <c r="KOR227" s="1"/>
      <c r="KOS227" s="1"/>
      <c r="KOT227" s="1"/>
      <c r="KOU227" s="1"/>
      <c r="KOV227" s="1"/>
      <c r="KOW227" s="1"/>
      <c r="KOX227" s="1"/>
      <c r="KOY227" s="1"/>
      <c r="KOZ227" s="1"/>
      <c r="KPA227" s="1"/>
      <c r="KPB227" s="1"/>
      <c r="KPC227" s="1"/>
      <c r="KPD227" s="1"/>
      <c r="KPE227" s="1"/>
      <c r="KPF227" s="1"/>
      <c r="KPG227" s="1"/>
      <c r="KPH227" s="1"/>
      <c r="KPI227" s="1"/>
      <c r="KPJ227" s="1"/>
      <c r="KPK227" s="1"/>
      <c r="KPL227" s="1"/>
      <c r="KPM227" s="1"/>
      <c r="KPN227" s="1"/>
      <c r="KPO227" s="1"/>
      <c r="KPP227" s="1"/>
      <c r="KPQ227" s="1"/>
      <c r="KPR227" s="1"/>
      <c r="KPS227" s="1"/>
      <c r="KPT227" s="1"/>
      <c r="KPU227" s="1"/>
      <c r="KPV227" s="1"/>
      <c r="KPW227" s="1"/>
      <c r="KPX227" s="1"/>
      <c r="KPY227" s="1"/>
      <c r="KPZ227" s="1"/>
      <c r="KQA227" s="1"/>
      <c r="KQB227" s="1"/>
      <c r="KQC227" s="1"/>
      <c r="KQD227" s="1"/>
      <c r="KQE227" s="1"/>
      <c r="KQF227" s="1"/>
      <c r="KQG227" s="1"/>
      <c r="KQH227" s="1"/>
      <c r="KQI227" s="1"/>
      <c r="KQJ227" s="1"/>
      <c r="KQK227" s="1"/>
      <c r="KQL227" s="1"/>
      <c r="KQM227" s="1"/>
      <c r="KQN227" s="1"/>
      <c r="KQO227" s="1"/>
      <c r="KQP227" s="1"/>
      <c r="KQQ227" s="1"/>
      <c r="KQR227" s="1"/>
      <c r="KQS227" s="1"/>
      <c r="KQT227" s="1"/>
      <c r="KQU227" s="1"/>
      <c r="KQV227" s="1"/>
      <c r="KQW227" s="1"/>
      <c r="KQX227" s="1"/>
      <c r="KQY227" s="1"/>
      <c r="KQZ227" s="1"/>
      <c r="KRA227" s="1"/>
      <c r="KRB227" s="1"/>
      <c r="KRC227" s="1"/>
      <c r="KRD227" s="1"/>
      <c r="KRE227" s="1"/>
      <c r="KRF227" s="1"/>
      <c r="KRG227" s="1"/>
      <c r="KRH227" s="1"/>
      <c r="KRI227" s="1"/>
      <c r="KRJ227" s="1"/>
      <c r="KRK227" s="1"/>
      <c r="KRL227" s="1"/>
      <c r="KRM227" s="1"/>
      <c r="KRN227" s="1"/>
      <c r="KRO227" s="1"/>
      <c r="KRP227" s="1"/>
      <c r="KRQ227" s="1"/>
      <c r="KRR227" s="1"/>
      <c r="KRS227" s="1"/>
      <c r="KRT227" s="1"/>
      <c r="KRU227" s="1"/>
      <c r="KRV227" s="1"/>
      <c r="KRW227" s="1"/>
      <c r="KRX227" s="1"/>
      <c r="KRY227" s="1"/>
      <c r="KRZ227" s="1"/>
      <c r="KSA227" s="1"/>
      <c r="KSB227" s="1"/>
      <c r="KSC227" s="1"/>
      <c r="KSD227" s="1"/>
      <c r="KSE227" s="1"/>
      <c r="KSF227" s="1"/>
      <c r="KSG227" s="1"/>
      <c r="KSH227" s="1"/>
      <c r="KSI227" s="1"/>
      <c r="KSJ227" s="1"/>
      <c r="KSK227" s="1"/>
      <c r="KSL227" s="1"/>
      <c r="KSM227" s="1"/>
      <c r="KSN227" s="1"/>
      <c r="KSO227" s="1"/>
      <c r="KSP227" s="1"/>
      <c r="KSQ227" s="1"/>
      <c r="KSR227" s="1"/>
      <c r="KSS227" s="1"/>
      <c r="KST227" s="1"/>
      <c r="KSU227" s="1"/>
      <c r="KSV227" s="1"/>
      <c r="KSW227" s="1"/>
      <c r="KSX227" s="1"/>
      <c r="KSY227" s="1"/>
      <c r="KSZ227" s="1"/>
      <c r="KTA227" s="1"/>
      <c r="KTB227" s="1"/>
      <c r="KTC227" s="1"/>
      <c r="KTD227" s="1"/>
      <c r="KTE227" s="1"/>
      <c r="KTF227" s="1"/>
      <c r="KTG227" s="1"/>
      <c r="KTH227" s="1"/>
      <c r="KTI227" s="1"/>
      <c r="KTJ227" s="1"/>
      <c r="KTK227" s="1"/>
      <c r="KTL227" s="1"/>
      <c r="KTM227" s="1"/>
      <c r="KTN227" s="1"/>
      <c r="KTO227" s="1"/>
      <c r="KTP227" s="1"/>
      <c r="KTQ227" s="1"/>
      <c r="KTR227" s="1"/>
      <c r="KTS227" s="1"/>
      <c r="KTT227" s="1"/>
      <c r="KTU227" s="1"/>
      <c r="KTV227" s="1"/>
      <c r="KTW227" s="1"/>
      <c r="KTX227" s="1"/>
      <c r="KTY227" s="1"/>
      <c r="KTZ227" s="1"/>
      <c r="KUA227" s="1"/>
      <c r="KUB227" s="1"/>
      <c r="KUC227" s="1"/>
      <c r="KUD227" s="1"/>
      <c r="KUE227" s="1"/>
      <c r="KUF227" s="1"/>
      <c r="KUG227" s="1"/>
      <c r="KUH227" s="1"/>
      <c r="KUI227" s="1"/>
      <c r="KUJ227" s="1"/>
      <c r="KUK227" s="1"/>
      <c r="KUL227" s="1"/>
      <c r="KUM227" s="1"/>
      <c r="KUN227" s="1"/>
      <c r="KUO227" s="1"/>
      <c r="KUP227" s="1"/>
      <c r="KUQ227" s="1"/>
      <c r="KUR227" s="1"/>
      <c r="KUS227" s="1"/>
      <c r="KUT227" s="1"/>
      <c r="KUU227" s="1"/>
      <c r="KUV227" s="1"/>
      <c r="KUW227" s="1"/>
      <c r="KUX227" s="1"/>
      <c r="KUY227" s="1"/>
      <c r="KUZ227" s="1"/>
      <c r="KVA227" s="1"/>
      <c r="KVB227" s="1"/>
      <c r="KVC227" s="1"/>
      <c r="KVD227" s="1"/>
      <c r="KVE227" s="1"/>
      <c r="KVF227" s="1"/>
      <c r="KVG227" s="1"/>
      <c r="KVH227" s="1"/>
      <c r="KVI227" s="1"/>
      <c r="KVJ227" s="1"/>
      <c r="KVK227" s="1"/>
      <c r="KVL227" s="1"/>
      <c r="KVM227" s="1"/>
      <c r="KVN227" s="1"/>
      <c r="KVO227" s="1"/>
      <c r="KVP227" s="1"/>
      <c r="KVQ227" s="1"/>
      <c r="KVR227" s="1"/>
      <c r="KVS227" s="1"/>
      <c r="KVT227" s="1"/>
      <c r="KVU227" s="1"/>
      <c r="KVV227" s="1"/>
      <c r="KVW227" s="1"/>
      <c r="KVX227" s="1"/>
      <c r="KVY227" s="1"/>
      <c r="KVZ227" s="1"/>
      <c r="KWA227" s="1"/>
      <c r="KWB227" s="1"/>
      <c r="KWC227" s="1"/>
      <c r="KWD227" s="1"/>
      <c r="KWE227" s="1"/>
      <c r="KWF227" s="1"/>
      <c r="KWG227" s="1"/>
      <c r="KWH227" s="1"/>
      <c r="KWI227" s="1"/>
      <c r="KWJ227" s="1"/>
      <c r="KWK227" s="1"/>
      <c r="KWL227" s="1"/>
      <c r="KWM227" s="1"/>
      <c r="KWN227" s="1"/>
      <c r="KWO227" s="1"/>
      <c r="KWP227" s="1"/>
      <c r="KWQ227" s="1"/>
      <c r="KWR227" s="1"/>
      <c r="KWS227" s="1"/>
      <c r="KWT227" s="1"/>
      <c r="KWU227" s="1"/>
      <c r="KWV227" s="1"/>
      <c r="KWW227" s="1"/>
      <c r="KWX227" s="1"/>
      <c r="KWY227" s="1"/>
      <c r="KWZ227" s="1"/>
      <c r="KXA227" s="1"/>
      <c r="KXB227" s="1"/>
      <c r="KXC227" s="1"/>
      <c r="KXD227" s="1"/>
      <c r="KXE227" s="1"/>
      <c r="KXF227" s="1"/>
      <c r="KXG227" s="1"/>
      <c r="KXH227" s="1"/>
      <c r="KXI227" s="1"/>
      <c r="KXJ227" s="1"/>
      <c r="KXK227" s="1"/>
      <c r="KXL227" s="1"/>
      <c r="KXM227" s="1"/>
      <c r="KXN227" s="1"/>
      <c r="KXO227" s="1"/>
      <c r="KXP227" s="1"/>
      <c r="KXQ227" s="1"/>
      <c r="KXR227" s="1"/>
      <c r="KXS227" s="1"/>
      <c r="KXT227" s="1"/>
      <c r="KXU227" s="1"/>
      <c r="KXV227" s="1"/>
      <c r="KXW227" s="1"/>
      <c r="KXX227" s="1"/>
      <c r="KXY227" s="1"/>
      <c r="KXZ227" s="1"/>
      <c r="KYA227" s="1"/>
      <c r="KYB227" s="1"/>
      <c r="KYC227" s="1"/>
      <c r="KYD227" s="1"/>
      <c r="KYE227" s="1"/>
      <c r="KYF227" s="1"/>
      <c r="KYG227" s="1"/>
      <c r="KYH227" s="1"/>
      <c r="KYI227" s="1"/>
      <c r="KYJ227" s="1"/>
      <c r="KYK227" s="1"/>
      <c r="KYL227" s="1"/>
      <c r="KYM227" s="1"/>
      <c r="KYN227" s="1"/>
      <c r="KYO227" s="1"/>
      <c r="KYP227" s="1"/>
      <c r="KYQ227" s="1"/>
      <c r="KYR227" s="1"/>
      <c r="KYS227" s="1"/>
      <c r="KYT227" s="1"/>
      <c r="KYU227" s="1"/>
      <c r="KYV227" s="1"/>
      <c r="KYW227" s="1"/>
      <c r="KYX227" s="1"/>
      <c r="KYY227" s="1"/>
      <c r="KYZ227" s="1"/>
      <c r="KZA227" s="1"/>
      <c r="KZB227" s="1"/>
      <c r="KZC227" s="1"/>
      <c r="KZD227" s="1"/>
      <c r="KZE227" s="1"/>
      <c r="KZF227" s="1"/>
      <c r="KZG227" s="1"/>
      <c r="KZH227" s="1"/>
      <c r="KZI227" s="1"/>
      <c r="KZJ227" s="1"/>
      <c r="KZK227" s="1"/>
      <c r="KZL227" s="1"/>
      <c r="KZM227" s="1"/>
      <c r="KZN227" s="1"/>
      <c r="KZO227" s="1"/>
      <c r="KZP227" s="1"/>
      <c r="KZQ227" s="1"/>
      <c r="KZR227" s="1"/>
      <c r="KZS227" s="1"/>
      <c r="KZT227" s="1"/>
      <c r="KZU227" s="1"/>
      <c r="KZV227" s="1"/>
      <c r="KZW227" s="1"/>
      <c r="KZX227" s="1"/>
      <c r="KZY227" s="1"/>
      <c r="KZZ227" s="1"/>
      <c r="LAA227" s="1"/>
      <c r="LAB227" s="1"/>
      <c r="LAC227" s="1"/>
      <c r="LAD227" s="1"/>
      <c r="LAE227" s="1"/>
      <c r="LAF227" s="1"/>
      <c r="LAG227" s="1"/>
      <c r="LAH227" s="1"/>
      <c r="LAI227" s="1"/>
      <c r="LAJ227" s="1"/>
      <c r="LAK227" s="1"/>
      <c r="LAL227" s="1"/>
      <c r="LAM227" s="1"/>
      <c r="LAN227" s="1"/>
      <c r="LAO227" s="1"/>
      <c r="LAP227" s="1"/>
      <c r="LAQ227" s="1"/>
      <c r="LAR227" s="1"/>
      <c r="LAS227" s="1"/>
      <c r="LAT227" s="1"/>
      <c r="LAU227" s="1"/>
      <c r="LAV227" s="1"/>
      <c r="LAW227" s="1"/>
      <c r="LAX227" s="1"/>
      <c r="LAY227" s="1"/>
      <c r="LAZ227" s="1"/>
      <c r="LBA227" s="1"/>
      <c r="LBB227" s="1"/>
      <c r="LBC227" s="1"/>
      <c r="LBD227" s="1"/>
      <c r="LBE227" s="1"/>
      <c r="LBF227" s="1"/>
      <c r="LBG227" s="1"/>
      <c r="LBH227" s="1"/>
      <c r="LBI227" s="1"/>
      <c r="LBJ227" s="1"/>
      <c r="LBK227" s="1"/>
      <c r="LBL227" s="1"/>
      <c r="LBM227" s="1"/>
      <c r="LBN227" s="1"/>
      <c r="LBO227" s="1"/>
      <c r="LBP227" s="1"/>
      <c r="LBQ227" s="1"/>
      <c r="LBR227" s="1"/>
      <c r="LBS227" s="1"/>
      <c r="LBT227" s="1"/>
      <c r="LBU227" s="1"/>
      <c r="LBV227" s="1"/>
      <c r="LBW227" s="1"/>
      <c r="LBX227" s="1"/>
      <c r="LBY227" s="1"/>
      <c r="LBZ227" s="1"/>
      <c r="LCA227" s="1"/>
      <c r="LCB227" s="1"/>
      <c r="LCC227" s="1"/>
      <c r="LCD227" s="1"/>
      <c r="LCE227" s="1"/>
      <c r="LCF227" s="1"/>
      <c r="LCG227" s="1"/>
      <c r="LCH227" s="1"/>
      <c r="LCI227" s="1"/>
      <c r="LCJ227" s="1"/>
      <c r="LCK227" s="1"/>
      <c r="LCL227" s="1"/>
      <c r="LCM227" s="1"/>
      <c r="LCN227" s="1"/>
      <c r="LCO227" s="1"/>
      <c r="LCP227" s="1"/>
      <c r="LCQ227" s="1"/>
      <c r="LCR227" s="1"/>
      <c r="LCS227" s="1"/>
      <c r="LCT227" s="1"/>
      <c r="LCU227" s="1"/>
      <c r="LCV227" s="1"/>
      <c r="LCW227" s="1"/>
      <c r="LCX227" s="1"/>
      <c r="LCY227" s="1"/>
      <c r="LCZ227" s="1"/>
      <c r="LDA227" s="1"/>
      <c r="LDB227" s="1"/>
      <c r="LDC227" s="1"/>
      <c r="LDD227" s="1"/>
      <c r="LDE227" s="1"/>
      <c r="LDF227" s="1"/>
      <c r="LDG227" s="1"/>
      <c r="LDH227" s="1"/>
      <c r="LDI227" s="1"/>
      <c r="LDJ227" s="1"/>
      <c r="LDK227" s="1"/>
      <c r="LDL227" s="1"/>
      <c r="LDM227" s="1"/>
      <c r="LDN227" s="1"/>
      <c r="LDO227" s="1"/>
      <c r="LDP227" s="1"/>
      <c r="LDQ227" s="1"/>
      <c r="LDR227" s="1"/>
      <c r="LDS227" s="1"/>
      <c r="LDT227" s="1"/>
      <c r="LDU227" s="1"/>
      <c r="LDV227" s="1"/>
      <c r="LDW227" s="1"/>
      <c r="LDX227" s="1"/>
      <c r="LDY227" s="1"/>
      <c r="LDZ227" s="1"/>
      <c r="LEA227" s="1"/>
      <c r="LEB227" s="1"/>
      <c r="LEC227" s="1"/>
      <c r="LED227" s="1"/>
      <c r="LEE227" s="1"/>
      <c r="LEF227" s="1"/>
      <c r="LEG227" s="1"/>
      <c r="LEH227" s="1"/>
      <c r="LEI227" s="1"/>
      <c r="LEJ227" s="1"/>
      <c r="LEK227" s="1"/>
      <c r="LEL227" s="1"/>
      <c r="LEM227" s="1"/>
      <c r="LEN227" s="1"/>
      <c r="LEO227" s="1"/>
      <c r="LEP227" s="1"/>
      <c r="LEQ227" s="1"/>
      <c r="LER227" s="1"/>
      <c r="LES227" s="1"/>
      <c r="LET227" s="1"/>
      <c r="LEU227" s="1"/>
      <c r="LEV227" s="1"/>
      <c r="LEW227" s="1"/>
      <c r="LEX227" s="1"/>
      <c r="LEY227" s="1"/>
      <c r="LEZ227" s="1"/>
      <c r="LFA227" s="1"/>
      <c r="LFB227" s="1"/>
      <c r="LFC227" s="1"/>
      <c r="LFD227" s="1"/>
      <c r="LFE227" s="1"/>
      <c r="LFF227" s="1"/>
      <c r="LFG227" s="1"/>
      <c r="LFH227" s="1"/>
      <c r="LFI227" s="1"/>
      <c r="LFJ227" s="1"/>
      <c r="LFK227" s="1"/>
      <c r="LFL227" s="1"/>
      <c r="LFM227" s="1"/>
      <c r="LFN227" s="1"/>
      <c r="LFO227" s="1"/>
      <c r="LFP227" s="1"/>
      <c r="LFQ227" s="1"/>
      <c r="LFR227" s="1"/>
      <c r="LFS227" s="1"/>
      <c r="LFT227" s="1"/>
      <c r="LFU227" s="1"/>
      <c r="LFV227" s="1"/>
      <c r="LFW227" s="1"/>
      <c r="LFX227" s="1"/>
      <c r="LFY227" s="1"/>
      <c r="LFZ227" s="1"/>
      <c r="LGA227" s="1"/>
      <c r="LGB227" s="1"/>
      <c r="LGC227" s="1"/>
      <c r="LGD227" s="1"/>
      <c r="LGE227" s="1"/>
      <c r="LGF227" s="1"/>
      <c r="LGG227" s="1"/>
      <c r="LGH227" s="1"/>
      <c r="LGI227" s="1"/>
      <c r="LGJ227" s="1"/>
      <c r="LGK227" s="1"/>
      <c r="LGL227" s="1"/>
      <c r="LGM227" s="1"/>
      <c r="LGN227" s="1"/>
      <c r="LGO227" s="1"/>
      <c r="LGP227" s="1"/>
      <c r="LGQ227" s="1"/>
      <c r="LGR227" s="1"/>
      <c r="LGS227" s="1"/>
      <c r="LGT227" s="1"/>
      <c r="LGU227" s="1"/>
      <c r="LGV227" s="1"/>
      <c r="LGW227" s="1"/>
      <c r="LGX227" s="1"/>
      <c r="LGY227" s="1"/>
      <c r="LGZ227" s="1"/>
      <c r="LHA227" s="1"/>
      <c r="LHB227" s="1"/>
      <c r="LHC227" s="1"/>
      <c r="LHD227" s="1"/>
      <c r="LHE227" s="1"/>
      <c r="LHF227" s="1"/>
      <c r="LHG227" s="1"/>
      <c r="LHH227" s="1"/>
      <c r="LHI227" s="1"/>
      <c r="LHJ227" s="1"/>
      <c r="LHK227" s="1"/>
      <c r="LHL227" s="1"/>
      <c r="LHM227" s="1"/>
      <c r="LHN227" s="1"/>
      <c r="LHO227" s="1"/>
      <c r="LHP227" s="1"/>
      <c r="LHQ227" s="1"/>
      <c r="LHR227" s="1"/>
      <c r="LHS227" s="1"/>
      <c r="LHT227" s="1"/>
      <c r="LHU227" s="1"/>
      <c r="LHV227" s="1"/>
      <c r="LHW227" s="1"/>
      <c r="LHX227" s="1"/>
      <c r="LHY227" s="1"/>
      <c r="LHZ227" s="1"/>
      <c r="LIA227" s="1"/>
      <c r="LIB227" s="1"/>
      <c r="LIC227" s="1"/>
      <c r="LID227" s="1"/>
      <c r="LIE227" s="1"/>
      <c r="LIF227" s="1"/>
      <c r="LIG227" s="1"/>
      <c r="LIH227" s="1"/>
      <c r="LII227" s="1"/>
      <c r="LIJ227" s="1"/>
      <c r="LIK227" s="1"/>
      <c r="LIL227" s="1"/>
      <c r="LIM227" s="1"/>
      <c r="LIN227" s="1"/>
      <c r="LIO227" s="1"/>
      <c r="LIP227" s="1"/>
      <c r="LIQ227" s="1"/>
      <c r="LIR227" s="1"/>
      <c r="LIS227" s="1"/>
      <c r="LIT227" s="1"/>
      <c r="LIU227" s="1"/>
      <c r="LIV227" s="1"/>
      <c r="LIW227" s="1"/>
      <c r="LIX227" s="1"/>
      <c r="LIY227" s="1"/>
      <c r="LIZ227" s="1"/>
      <c r="LJA227" s="1"/>
      <c r="LJB227" s="1"/>
      <c r="LJC227" s="1"/>
      <c r="LJD227" s="1"/>
      <c r="LJE227" s="1"/>
      <c r="LJF227" s="1"/>
      <c r="LJG227" s="1"/>
      <c r="LJH227" s="1"/>
      <c r="LJI227" s="1"/>
      <c r="LJJ227" s="1"/>
      <c r="LJK227" s="1"/>
      <c r="LJL227" s="1"/>
      <c r="LJM227" s="1"/>
      <c r="LJN227" s="1"/>
      <c r="LJO227" s="1"/>
      <c r="LJP227" s="1"/>
      <c r="LJQ227" s="1"/>
      <c r="LJR227" s="1"/>
      <c r="LJS227" s="1"/>
      <c r="LJT227" s="1"/>
      <c r="LJU227" s="1"/>
      <c r="LJV227" s="1"/>
      <c r="LJW227" s="1"/>
      <c r="LJX227" s="1"/>
      <c r="LJY227" s="1"/>
      <c r="LJZ227" s="1"/>
      <c r="LKA227" s="1"/>
      <c r="LKB227" s="1"/>
      <c r="LKC227" s="1"/>
      <c r="LKD227" s="1"/>
      <c r="LKE227" s="1"/>
      <c r="LKF227" s="1"/>
      <c r="LKG227" s="1"/>
      <c r="LKH227" s="1"/>
      <c r="LKI227" s="1"/>
      <c r="LKJ227" s="1"/>
      <c r="LKK227" s="1"/>
      <c r="LKL227" s="1"/>
      <c r="LKM227" s="1"/>
      <c r="LKN227" s="1"/>
      <c r="LKO227" s="1"/>
      <c r="LKP227" s="1"/>
      <c r="LKQ227" s="1"/>
      <c r="LKR227" s="1"/>
      <c r="LKS227" s="1"/>
      <c r="LKT227" s="1"/>
      <c r="LKU227" s="1"/>
      <c r="LKV227" s="1"/>
      <c r="LKW227" s="1"/>
      <c r="LKX227" s="1"/>
      <c r="LKY227" s="1"/>
      <c r="LKZ227" s="1"/>
      <c r="LLA227" s="1"/>
      <c r="LLB227" s="1"/>
      <c r="LLC227" s="1"/>
      <c r="LLD227" s="1"/>
      <c r="LLE227" s="1"/>
      <c r="LLF227" s="1"/>
      <c r="LLG227" s="1"/>
      <c r="LLH227" s="1"/>
      <c r="LLI227" s="1"/>
      <c r="LLJ227" s="1"/>
      <c r="LLK227" s="1"/>
      <c r="LLL227" s="1"/>
      <c r="LLM227" s="1"/>
      <c r="LLN227" s="1"/>
      <c r="LLO227" s="1"/>
      <c r="LLP227" s="1"/>
      <c r="LLQ227" s="1"/>
      <c r="LLR227" s="1"/>
      <c r="LLS227" s="1"/>
      <c r="LLT227" s="1"/>
      <c r="LLU227" s="1"/>
      <c r="LLV227" s="1"/>
      <c r="LLW227" s="1"/>
      <c r="LLX227" s="1"/>
      <c r="LLY227" s="1"/>
      <c r="LLZ227" s="1"/>
      <c r="LMA227" s="1"/>
      <c r="LMB227" s="1"/>
      <c r="LMC227" s="1"/>
      <c r="LMD227" s="1"/>
      <c r="LME227" s="1"/>
      <c r="LMF227" s="1"/>
      <c r="LMG227" s="1"/>
      <c r="LMH227" s="1"/>
      <c r="LMI227" s="1"/>
      <c r="LMJ227" s="1"/>
      <c r="LMK227" s="1"/>
      <c r="LML227" s="1"/>
      <c r="LMM227" s="1"/>
      <c r="LMN227" s="1"/>
      <c r="LMO227" s="1"/>
      <c r="LMP227" s="1"/>
      <c r="LMQ227" s="1"/>
      <c r="LMR227" s="1"/>
      <c r="LMS227" s="1"/>
      <c r="LMT227" s="1"/>
      <c r="LMU227" s="1"/>
      <c r="LMV227" s="1"/>
      <c r="LMW227" s="1"/>
      <c r="LMX227" s="1"/>
      <c r="LMY227" s="1"/>
      <c r="LMZ227" s="1"/>
      <c r="LNA227" s="1"/>
      <c r="LNB227" s="1"/>
      <c r="LNC227" s="1"/>
      <c r="LND227" s="1"/>
      <c r="LNE227" s="1"/>
      <c r="LNF227" s="1"/>
      <c r="LNG227" s="1"/>
      <c r="LNH227" s="1"/>
      <c r="LNI227" s="1"/>
      <c r="LNJ227" s="1"/>
      <c r="LNK227" s="1"/>
      <c r="LNL227" s="1"/>
      <c r="LNM227" s="1"/>
      <c r="LNN227" s="1"/>
      <c r="LNO227" s="1"/>
      <c r="LNP227" s="1"/>
      <c r="LNQ227" s="1"/>
      <c r="LNR227" s="1"/>
      <c r="LNS227" s="1"/>
      <c r="LNT227" s="1"/>
      <c r="LNU227" s="1"/>
      <c r="LNV227" s="1"/>
      <c r="LNW227" s="1"/>
      <c r="LNX227" s="1"/>
      <c r="LNY227" s="1"/>
      <c r="LNZ227" s="1"/>
      <c r="LOA227" s="1"/>
      <c r="LOB227" s="1"/>
      <c r="LOC227" s="1"/>
      <c r="LOD227" s="1"/>
      <c r="LOE227" s="1"/>
      <c r="LOF227" s="1"/>
      <c r="LOG227" s="1"/>
      <c r="LOH227" s="1"/>
      <c r="LOI227" s="1"/>
      <c r="LOJ227" s="1"/>
      <c r="LOK227" s="1"/>
      <c r="LOL227" s="1"/>
      <c r="LOM227" s="1"/>
      <c r="LON227" s="1"/>
      <c r="LOO227" s="1"/>
      <c r="LOP227" s="1"/>
      <c r="LOQ227" s="1"/>
      <c r="LOR227" s="1"/>
      <c r="LOS227" s="1"/>
      <c r="LOT227" s="1"/>
      <c r="LOU227" s="1"/>
      <c r="LOV227" s="1"/>
      <c r="LOW227" s="1"/>
      <c r="LOX227" s="1"/>
      <c r="LOY227" s="1"/>
      <c r="LOZ227" s="1"/>
      <c r="LPA227" s="1"/>
      <c r="LPB227" s="1"/>
      <c r="LPC227" s="1"/>
      <c r="LPD227" s="1"/>
      <c r="LPE227" s="1"/>
      <c r="LPF227" s="1"/>
      <c r="LPG227" s="1"/>
      <c r="LPH227" s="1"/>
      <c r="LPI227" s="1"/>
      <c r="LPJ227" s="1"/>
      <c r="LPK227" s="1"/>
      <c r="LPL227" s="1"/>
      <c r="LPM227" s="1"/>
      <c r="LPN227" s="1"/>
      <c r="LPO227" s="1"/>
      <c r="LPP227" s="1"/>
      <c r="LPQ227" s="1"/>
      <c r="LPR227" s="1"/>
      <c r="LPS227" s="1"/>
      <c r="LPT227" s="1"/>
      <c r="LPU227" s="1"/>
      <c r="LPV227" s="1"/>
      <c r="LPW227" s="1"/>
      <c r="LPX227" s="1"/>
      <c r="LPY227" s="1"/>
      <c r="LPZ227" s="1"/>
      <c r="LQA227" s="1"/>
      <c r="LQB227" s="1"/>
      <c r="LQC227" s="1"/>
      <c r="LQD227" s="1"/>
      <c r="LQE227" s="1"/>
      <c r="LQF227" s="1"/>
      <c r="LQG227" s="1"/>
      <c r="LQH227" s="1"/>
      <c r="LQI227" s="1"/>
      <c r="LQJ227" s="1"/>
      <c r="LQK227" s="1"/>
      <c r="LQL227" s="1"/>
      <c r="LQM227" s="1"/>
      <c r="LQN227" s="1"/>
      <c r="LQO227" s="1"/>
      <c r="LQP227" s="1"/>
      <c r="LQQ227" s="1"/>
      <c r="LQR227" s="1"/>
      <c r="LQS227" s="1"/>
      <c r="LQT227" s="1"/>
      <c r="LQU227" s="1"/>
      <c r="LQV227" s="1"/>
      <c r="LQW227" s="1"/>
      <c r="LQX227" s="1"/>
      <c r="LQY227" s="1"/>
      <c r="LQZ227" s="1"/>
      <c r="LRA227" s="1"/>
      <c r="LRB227" s="1"/>
      <c r="LRC227" s="1"/>
      <c r="LRD227" s="1"/>
      <c r="LRE227" s="1"/>
      <c r="LRF227" s="1"/>
      <c r="LRG227" s="1"/>
      <c r="LRH227" s="1"/>
      <c r="LRI227" s="1"/>
      <c r="LRJ227" s="1"/>
      <c r="LRK227" s="1"/>
      <c r="LRL227" s="1"/>
      <c r="LRM227" s="1"/>
      <c r="LRN227" s="1"/>
      <c r="LRO227" s="1"/>
      <c r="LRP227" s="1"/>
      <c r="LRQ227" s="1"/>
      <c r="LRR227" s="1"/>
      <c r="LRS227" s="1"/>
      <c r="LRT227" s="1"/>
      <c r="LRU227" s="1"/>
      <c r="LRV227" s="1"/>
      <c r="LRW227" s="1"/>
      <c r="LRX227" s="1"/>
      <c r="LRY227" s="1"/>
      <c r="LRZ227" s="1"/>
      <c r="LSA227" s="1"/>
      <c r="LSB227" s="1"/>
      <c r="LSC227" s="1"/>
      <c r="LSD227" s="1"/>
      <c r="LSE227" s="1"/>
      <c r="LSF227" s="1"/>
      <c r="LSG227" s="1"/>
      <c r="LSH227" s="1"/>
      <c r="LSI227" s="1"/>
      <c r="LSJ227" s="1"/>
      <c r="LSK227" s="1"/>
      <c r="LSL227" s="1"/>
      <c r="LSM227" s="1"/>
      <c r="LSN227" s="1"/>
      <c r="LSO227" s="1"/>
      <c r="LSP227" s="1"/>
      <c r="LSQ227" s="1"/>
      <c r="LSR227" s="1"/>
      <c r="LSS227" s="1"/>
      <c r="LST227" s="1"/>
      <c r="LSU227" s="1"/>
      <c r="LSV227" s="1"/>
      <c r="LSW227" s="1"/>
      <c r="LSX227" s="1"/>
      <c r="LSY227" s="1"/>
      <c r="LSZ227" s="1"/>
      <c r="LTA227" s="1"/>
      <c r="LTB227" s="1"/>
      <c r="LTC227" s="1"/>
      <c r="LTD227" s="1"/>
      <c r="LTE227" s="1"/>
      <c r="LTF227" s="1"/>
      <c r="LTG227" s="1"/>
      <c r="LTH227" s="1"/>
      <c r="LTI227" s="1"/>
      <c r="LTJ227" s="1"/>
      <c r="LTK227" s="1"/>
      <c r="LTL227" s="1"/>
      <c r="LTM227" s="1"/>
      <c r="LTN227" s="1"/>
      <c r="LTO227" s="1"/>
      <c r="LTP227" s="1"/>
      <c r="LTQ227" s="1"/>
      <c r="LTR227" s="1"/>
      <c r="LTS227" s="1"/>
      <c r="LTT227" s="1"/>
      <c r="LTU227" s="1"/>
      <c r="LTV227" s="1"/>
      <c r="LTW227" s="1"/>
      <c r="LTX227" s="1"/>
      <c r="LTY227" s="1"/>
      <c r="LTZ227" s="1"/>
      <c r="LUA227" s="1"/>
      <c r="LUB227" s="1"/>
      <c r="LUC227" s="1"/>
      <c r="LUD227" s="1"/>
      <c r="LUE227" s="1"/>
      <c r="LUF227" s="1"/>
      <c r="LUG227" s="1"/>
      <c r="LUH227" s="1"/>
      <c r="LUI227" s="1"/>
      <c r="LUJ227" s="1"/>
      <c r="LUK227" s="1"/>
      <c r="LUL227" s="1"/>
      <c r="LUM227" s="1"/>
      <c r="LUN227" s="1"/>
      <c r="LUO227" s="1"/>
      <c r="LUP227" s="1"/>
      <c r="LUQ227" s="1"/>
      <c r="LUR227" s="1"/>
      <c r="LUS227" s="1"/>
      <c r="LUT227" s="1"/>
      <c r="LUU227" s="1"/>
      <c r="LUV227" s="1"/>
      <c r="LUW227" s="1"/>
      <c r="LUX227" s="1"/>
      <c r="LUY227" s="1"/>
      <c r="LUZ227" s="1"/>
      <c r="LVA227" s="1"/>
      <c r="LVB227" s="1"/>
      <c r="LVC227" s="1"/>
      <c r="LVD227" s="1"/>
      <c r="LVE227" s="1"/>
      <c r="LVF227" s="1"/>
      <c r="LVG227" s="1"/>
      <c r="LVH227" s="1"/>
      <c r="LVI227" s="1"/>
      <c r="LVJ227" s="1"/>
      <c r="LVK227" s="1"/>
      <c r="LVL227" s="1"/>
      <c r="LVM227" s="1"/>
      <c r="LVN227" s="1"/>
      <c r="LVO227" s="1"/>
      <c r="LVP227" s="1"/>
      <c r="LVQ227" s="1"/>
      <c r="LVR227" s="1"/>
      <c r="LVS227" s="1"/>
      <c r="LVT227" s="1"/>
      <c r="LVU227" s="1"/>
      <c r="LVV227" s="1"/>
      <c r="LVW227" s="1"/>
      <c r="LVX227" s="1"/>
      <c r="LVY227" s="1"/>
      <c r="LVZ227" s="1"/>
      <c r="LWA227" s="1"/>
      <c r="LWB227" s="1"/>
      <c r="LWC227" s="1"/>
      <c r="LWD227" s="1"/>
      <c r="LWE227" s="1"/>
      <c r="LWF227" s="1"/>
      <c r="LWG227" s="1"/>
      <c r="LWH227" s="1"/>
      <c r="LWI227" s="1"/>
      <c r="LWJ227" s="1"/>
      <c r="LWK227" s="1"/>
      <c r="LWL227" s="1"/>
      <c r="LWM227" s="1"/>
      <c r="LWN227" s="1"/>
      <c r="LWO227" s="1"/>
      <c r="LWP227" s="1"/>
      <c r="LWQ227" s="1"/>
      <c r="LWR227" s="1"/>
      <c r="LWS227" s="1"/>
      <c r="LWT227" s="1"/>
      <c r="LWU227" s="1"/>
      <c r="LWV227" s="1"/>
      <c r="LWW227" s="1"/>
      <c r="LWX227" s="1"/>
      <c r="LWY227" s="1"/>
      <c r="LWZ227" s="1"/>
      <c r="LXA227" s="1"/>
      <c r="LXB227" s="1"/>
      <c r="LXC227" s="1"/>
      <c r="LXD227" s="1"/>
      <c r="LXE227" s="1"/>
      <c r="LXF227" s="1"/>
      <c r="LXG227" s="1"/>
      <c r="LXH227" s="1"/>
      <c r="LXI227" s="1"/>
      <c r="LXJ227" s="1"/>
      <c r="LXK227" s="1"/>
      <c r="LXL227" s="1"/>
      <c r="LXM227" s="1"/>
      <c r="LXN227" s="1"/>
      <c r="LXO227" s="1"/>
      <c r="LXP227" s="1"/>
      <c r="LXQ227" s="1"/>
      <c r="LXR227" s="1"/>
      <c r="LXS227" s="1"/>
      <c r="LXT227" s="1"/>
      <c r="LXU227" s="1"/>
      <c r="LXV227" s="1"/>
      <c r="LXW227" s="1"/>
      <c r="LXX227" s="1"/>
      <c r="LXY227" s="1"/>
      <c r="LXZ227" s="1"/>
      <c r="LYA227" s="1"/>
      <c r="LYB227" s="1"/>
      <c r="LYC227" s="1"/>
      <c r="LYD227" s="1"/>
      <c r="LYE227" s="1"/>
      <c r="LYF227" s="1"/>
      <c r="LYG227" s="1"/>
      <c r="LYH227" s="1"/>
      <c r="LYI227" s="1"/>
      <c r="LYJ227" s="1"/>
      <c r="LYK227" s="1"/>
      <c r="LYL227" s="1"/>
      <c r="LYM227" s="1"/>
      <c r="LYN227" s="1"/>
      <c r="LYO227" s="1"/>
      <c r="LYP227" s="1"/>
      <c r="LYQ227" s="1"/>
      <c r="LYR227" s="1"/>
      <c r="LYS227" s="1"/>
      <c r="LYT227" s="1"/>
      <c r="LYU227" s="1"/>
      <c r="LYV227" s="1"/>
      <c r="LYW227" s="1"/>
      <c r="LYX227" s="1"/>
      <c r="LYY227" s="1"/>
      <c r="LYZ227" s="1"/>
      <c r="LZA227" s="1"/>
      <c r="LZB227" s="1"/>
      <c r="LZC227" s="1"/>
      <c r="LZD227" s="1"/>
      <c r="LZE227" s="1"/>
      <c r="LZF227" s="1"/>
      <c r="LZG227" s="1"/>
      <c r="LZH227" s="1"/>
      <c r="LZI227" s="1"/>
      <c r="LZJ227" s="1"/>
      <c r="LZK227" s="1"/>
      <c r="LZL227" s="1"/>
      <c r="LZM227" s="1"/>
      <c r="LZN227" s="1"/>
      <c r="LZO227" s="1"/>
      <c r="LZP227" s="1"/>
      <c r="LZQ227" s="1"/>
      <c r="LZR227" s="1"/>
      <c r="LZS227" s="1"/>
      <c r="LZT227" s="1"/>
      <c r="LZU227" s="1"/>
      <c r="LZV227" s="1"/>
      <c r="LZW227" s="1"/>
      <c r="LZX227" s="1"/>
      <c r="LZY227" s="1"/>
      <c r="LZZ227" s="1"/>
      <c r="MAA227" s="1"/>
      <c r="MAB227" s="1"/>
      <c r="MAC227" s="1"/>
      <c r="MAD227" s="1"/>
      <c r="MAE227" s="1"/>
      <c r="MAF227" s="1"/>
      <c r="MAG227" s="1"/>
      <c r="MAH227" s="1"/>
      <c r="MAI227" s="1"/>
      <c r="MAJ227" s="1"/>
      <c r="MAK227" s="1"/>
      <c r="MAL227" s="1"/>
      <c r="MAM227" s="1"/>
      <c r="MAN227" s="1"/>
      <c r="MAO227" s="1"/>
      <c r="MAP227" s="1"/>
      <c r="MAQ227" s="1"/>
      <c r="MAR227" s="1"/>
      <c r="MAS227" s="1"/>
      <c r="MAT227" s="1"/>
      <c r="MAU227" s="1"/>
      <c r="MAV227" s="1"/>
      <c r="MAW227" s="1"/>
      <c r="MAX227" s="1"/>
      <c r="MAY227" s="1"/>
      <c r="MAZ227" s="1"/>
      <c r="MBA227" s="1"/>
      <c r="MBB227" s="1"/>
      <c r="MBC227" s="1"/>
      <c r="MBD227" s="1"/>
      <c r="MBE227" s="1"/>
      <c r="MBF227" s="1"/>
      <c r="MBG227" s="1"/>
      <c r="MBH227" s="1"/>
      <c r="MBI227" s="1"/>
      <c r="MBJ227" s="1"/>
      <c r="MBK227" s="1"/>
      <c r="MBL227" s="1"/>
      <c r="MBM227" s="1"/>
      <c r="MBN227" s="1"/>
      <c r="MBO227" s="1"/>
      <c r="MBP227" s="1"/>
      <c r="MBQ227" s="1"/>
      <c r="MBR227" s="1"/>
      <c r="MBS227" s="1"/>
      <c r="MBT227" s="1"/>
      <c r="MBU227" s="1"/>
      <c r="MBV227" s="1"/>
      <c r="MBW227" s="1"/>
      <c r="MBX227" s="1"/>
      <c r="MBY227" s="1"/>
      <c r="MBZ227" s="1"/>
      <c r="MCA227" s="1"/>
      <c r="MCB227" s="1"/>
      <c r="MCC227" s="1"/>
      <c r="MCD227" s="1"/>
      <c r="MCE227" s="1"/>
      <c r="MCF227" s="1"/>
      <c r="MCG227" s="1"/>
      <c r="MCH227" s="1"/>
      <c r="MCI227" s="1"/>
      <c r="MCJ227" s="1"/>
      <c r="MCK227" s="1"/>
      <c r="MCL227" s="1"/>
      <c r="MCM227" s="1"/>
      <c r="MCN227" s="1"/>
      <c r="MCO227" s="1"/>
      <c r="MCP227" s="1"/>
      <c r="MCQ227" s="1"/>
      <c r="MCR227" s="1"/>
      <c r="MCS227" s="1"/>
      <c r="MCT227" s="1"/>
      <c r="MCU227" s="1"/>
      <c r="MCV227" s="1"/>
      <c r="MCW227" s="1"/>
      <c r="MCX227" s="1"/>
      <c r="MCY227" s="1"/>
      <c r="MCZ227" s="1"/>
      <c r="MDA227" s="1"/>
      <c r="MDB227" s="1"/>
      <c r="MDC227" s="1"/>
      <c r="MDD227" s="1"/>
      <c r="MDE227" s="1"/>
      <c r="MDF227" s="1"/>
      <c r="MDG227" s="1"/>
      <c r="MDH227" s="1"/>
      <c r="MDI227" s="1"/>
      <c r="MDJ227" s="1"/>
      <c r="MDK227" s="1"/>
      <c r="MDL227" s="1"/>
      <c r="MDM227" s="1"/>
      <c r="MDN227" s="1"/>
      <c r="MDO227" s="1"/>
      <c r="MDP227" s="1"/>
      <c r="MDQ227" s="1"/>
      <c r="MDR227" s="1"/>
      <c r="MDS227" s="1"/>
      <c r="MDT227" s="1"/>
      <c r="MDU227" s="1"/>
      <c r="MDV227" s="1"/>
      <c r="MDW227" s="1"/>
      <c r="MDX227" s="1"/>
      <c r="MDY227" s="1"/>
      <c r="MDZ227" s="1"/>
      <c r="MEA227" s="1"/>
      <c r="MEB227" s="1"/>
      <c r="MEC227" s="1"/>
      <c r="MED227" s="1"/>
      <c r="MEE227" s="1"/>
      <c r="MEF227" s="1"/>
      <c r="MEG227" s="1"/>
      <c r="MEH227" s="1"/>
      <c r="MEI227" s="1"/>
      <c r="MEJ227" s="1"/>
      <c r="MEK227" s="1"/>
      <c r="MEL227" s="1"/>
      <c r="MEM227" s="1"/>
      <c r="MEN227" s="1"/>
      <c r="MEO227" s="1"/>
      <c r="MEP227" s="1"/>
      <c r="MEQ227" s="1"/>
      <c r="MER227" s="1"/>
      <c r="MES227" s="1"/>
      <c r="MET227" s="1"/>
      <c r="MEU227" s="1"/>
      <c r="MEV227" s="1"/>
      <c r="MEW227" s="1"/>
      <c r="MEX227" s="1"/>
      <c r="MEY227" s="1"/>
      <c r="MEZ227" s="1"/>
      <c r="MFA227" s="1"/>
      <c r="MFB227" s="1"/>
      <c r="MFC227" s="1"/>
      <c r="MFD227" s="1"/>
      <c r="MFE227" s="1"/>
      <c r="MFF227" s="1"/>
      <c r="MFG227" s="1"/>
      <c r="MFH227" s="1"/>
      <c r="MFI227" s="1"/>
      <c r="MFJ227" s="1"/>
      <c r="MFK227" s="1"/>
      <c r="MFL227" s="1"/>
      <c r="MFM227" s="1"/>
      <c r="MFN227" s="1"/>
      <c r="MFO227" s="1"/>
      <c r="MFP227" s="1"/>
      <c r="MFQ227" s="1"/>
      <c r="MFR227" s="1"/>
      <c r="MFS227" s="1"/>
      <c r="MFT227" s="1"/>
      <c r="MFU227" s="1"/>
      <c r="MFV227" s="1"/>
      <c r="MFW227" s="1"/>
      <c r="MFX227" s="1"/>
      <c r="MFY227" s="1"/>
      <c r="MFZ227" s="1"/>
      <c r="MGA227" s="1"/>
      <c r="MGB227" s="1"/>
      <c r="MGC227" s="1"/>
      <c r="MGD227" s="1"/>
      <c r="MGE227" s="1"/>
      <c r="MGF227" s="1"/>
      <c r="MGG227" s="1"/>
      <c r="MGH227" s="1"/>
      <c r="MGI227" s="1"/>
      <c r="MGJ227" s="1"/>
      <c r="MGK227" s="1"/>
      <c r="MGL227" s="1"/>
      <c r="MGM227" s="1"/>
      <c r="MGN227" s="1"/>
      <c r="MGO227" s="1"/>
      <c r="MGP227" s="1"/>
      <c r="MGQ227" s="1"/>
      <c r="MGR227" s="1"/>
      <c r="MGS227" s="1"/>
      <c r="MGT227" s="1"/>
      <c r="MGU227" s="1"/>
      <c r="MGV227" s="1"/>
      <c r="MGW227" s="1"/>
      <c r="MGX227" s="1"/>
      <c r="MGY227" s="1"/>
      <c r="MGZ227" s="1"/>
      <c r="MHA227" s="1"/>
      <c r="MHB227" s="1"/>
      <c r="MHC227" s="1"/>
      <c r="MHD227" s="1"/>
      <c r="MHE227" s="1"/>
      <c r="MHF227" s="1"/>
      <c r="MHG227" s="1"/>
      <c r="MHH227" s="1"/>
      <c r="MHI227" s="1"/>
      <c r="MHJ227" s="1"/>
      <c r="MHK227" s="1"/>
      <c r="MHL227" s="1"/>
      <c r="MHM227" s="1"/>
      <c r="MHN227" s="1"/>
      <c r="MHO227" s="1"/>
      <c r="MHP227" s="1"/>
      <c r="MHQ227" s="1"/>
      <c r="MHR227" s="1"/>
      <c r="MHS227" s="1"/>
      <c r="MHT227" s="1"/>
      <c r="MHU227" s="1"/>
      <c r="MHV227" s="1"/>
      <c r="MHW227" s="1"/>
      <c r="MHX227" s="1"/>
      <c r="MHY227" s="1"/>
      <c r="MHZ227" s="1"/>
      <c r="MIA227" s="1"/>
      <c r="MIB227" s="1"/>
      <c r="MIC227" s="1"/>
      <c r="MID227" s="1"/>
      <c r="MIE227" s="1"/>
      <c r="MIF227" s="1"/>
      <c r="MIG227" s="1"/>
      <c r="MIH227" s="1"/>
      <c r="MII227" s="1"/>
      <c r="MIJ227" s="1"/>
      <c r="MIK227" s="1"/>
      <c r="MIL227" s="1"/>
      <c r="MIM227" s="1"/>
      <c r="MIN227" s="1"/>
      <c r="MIO227" s="1"/>
      <c r="MIP227" s="1"/>
      <c r="MIQ227" s="1"/>
      <c r="MIR227" s="1"/>
      <c r="MIS227" s="1"/>
      <c r="MIT227" s="1"/>
      <c r="MIU227" s="1"/>
      <c r="MIV227" s="1"/>
      <c r="MIW227" s="1"/>
      <c r="MIX227" s="1"/>
      <c r="MIY227" s="1"/>
      <c r="MIZ227" s="1"/>
      <c r="MJA227" s="1"/>
      <c r="MJB227" s="1"/>
      <c r="MJC227" s="1"/>
      <c r="MJD227" s="1"/>
      <c r="MJE227" s="1"/>
      <c r="MJF227" s="1"/>
      <c r="MJG227" s="1"/>
      <c r="MJH227" s="1"/>
      <c r="MJI227" s="1"/>
      <c r="MJJ227" s="1"/>
      <c r="MJK227" s="1"/>
      <c r="MJL227" s="1"/>
      <c r="MJM227" s="1"/>
      <c r="MJN227" s="1"/>
      <c r="MJO227" s="1"/>
      <c r="MJP227" s="1"/>
      <c r="MJQ227" s="1"/>
      <c r="MJR227" s="1"/>
      <c r="MJS227" s="1"/>
      <c r="MJT227" s="1"/>
      <c r="MJU227" s="1"/>
      <c r="MJV227" s="1"/>
      <c r="MJW227" s="1"/>
      <c r="MJX227" s="1"/>
      <c r="MJY227" s="1"/>
      <c r="MJZ227" s="1"/>
      <c r="MKA227" s="1"/>
      <c r="MKB227" s="1"/>
      <c r="MKC227" s="1"/>
      <c r="MKD227" s="1"/>
      <c r="MKE227" s="1"/>
      <c r="MKF227" s="1"/>
      <c r="MKG227" s="1"/>
      <c r="MKH227" s="1"/>
      <c r="MKI227" s="1"/>
      <c r="MKJ227" s="1"/>
      <c r="MKK227" s="1"/>
      <c r="MKL227" s="1"/>
      <c r="MKM227" s="1"/>
      <c r="MKN227" s="1"/>
      <c r="MKO227" s="1"/>
      <c r="MKP227" s="1"/>
      <c r="MKQ227" s="1"/>
      <c r="MKR227" s="1"/>
      <c r="MKS227" s="1"/>
      <c r="MKT227" s="1"/>
      <c r="MKU227" s="1"/>
      <c r="MKV227" s="1"/>
      <c r="MKW227" s="1"/>
      <c r="MKX227" s="1"/>
      <c r="MKY227" s="1"/>
      <c r="MKZ227" s="1"/>
      <c r="MLA227" s="1"/>
      <c r="MLB227" s="1"/>
      <c r="MLC227" s="1"/>
      <c r="MLD227" s="1"/>
      <c r="MLE227" s="1"/>
      <c r="MLF227" s="1"/>
      <c r="MLG227" s="1"/>
      <c r="MLH227" s="1"/>
      <c r="MLI227" s="1"/>
      <c r="MLJ227" s="1"/>
      <c r="MLK227" s="1"/>
      <c r="MLL227" s="1"/>
      <c r="MLM227" s="1"/>
      <c r="MLN227" s="1"/>
      <c r="MLO227" s="1"/>
      <c r="MLP227" s="1"/>
      <c r="MLQ227" s="1"/>
      <c r="MLR227" s="1"/>
      <c r="MLS227" s="1"/>
      <c r="MLT227" s="1"/>
      <c r="MLU227" s="1"/>
      <c r="MLV227" s="1"/>
      <c r="MLW227" s="1"/>
      <c r="MLX227" s="1"/>
      <c r="MLY227" s="1"/>
      <c r="MLZ227" s="1"/>
      <c r="MMA227" s="1"/>
      <c r="MMB227" s="1"/>
      <c r="MMC227" s="1"/>
      <c r="MMD227" s="1"/>
      <c r="MME227" s="1"/>
      <c r="MMF227" s="1"/>
      <c r="MMG227" s="1"/>
      <c r="MMH227" s="1"/>
      <c r="MMI227" s="1"/>
      <c r="MMJ227" s="1"/>
      <c r="MMK227" s="1"/>
      <c r="MML227" s="1"/>
      <c r="MMM227" s="1"/>
      <c r="MMN227" s="1"/>
      <c r="MMO227" s="1"/>
      <c r="MMP227" s="1"/>
      <c r="MMQ227" s="1"/>
      <c r="MMR227" s="1"/>
      <c r="MMS227" s="1"/>
      <c r="MMT227" s="1"/>
      <c r="MMU227" s="1"/>
      <c r="MMV227" s="1"/>
      <c r="MMW227" s="1"/>
      <c r="MMX227" s="1"/>
      <c r="MMY227" s="1"/>
      <c r="MMZ227" s="1"/>
      <c r="MNA227" s="1"/>
      <c r="MNB227" s="1"/>
      <c r="MNC227" s="1"/>
      <c r="MND227" s="1"/>
      <c r="MNE227" s="1"/>
      <c r="MNF227" s="1"/>
      <c r="MNG227" s="1"/>
      <c r="MNH227" s="1"/>
      <c r="MNI227" s="1"/>
      <c r="MNJ227" s="1"/>
      <c r="MNK227" s="1"/>
      <c r="MNL227" s="1"/>
      <c r="MNM227" s="1"/>
      <c r="MNN227" s="1"/>
      <c r="MNO227" s="1"/>
      <c r="MNP227" s="1"/>
      <c r="MNQ227" s="1"/>
      <c r="MNR227" s="1"/>
      <c r="MNS227" s="1"/>
      <c r="MNT227" s="1"/>
      <c r="MNU227" s="1"/>
      <c r="MNV227" s="1"/>
      <c r="MNW227" s="1"/>
      <c r="MNX227" s="1"/>
      <c r="MNY227" s="1"/>
      <c r="MNZ227" s="1"/>
      <c r="MOA227" s="1"/>
      <c r="MOB227" s="1"/>
      <c r="MOC227" s="1"/>
      <c r="MOD227" s="1"/>
      <c r="MOE227" s="1"/>
      <c r="MOF227" s="1"/>
      <c r="MOG227" s="1"/>
      <c r="MOH227" s="1"/>
      <c r="MOI227" s="1"/>
      <c r="MOJ227" s="1"/>
      <c r="MOK227" s="1"/>
      <c r="MOL227" s="1"/>
      <c r="MOM227" s="1"/>
      <c r="MON227" s="1"/>
      <c r="MOO227" s="1"/>
      <c r="MOP227" s="1"/>
      <c r="MOQ227" s="1"/>
      <c r="MOR227" s="1"/>
      <c r="MOS227" s="1"/>
      <c r="MOT227" s="1"/>
      <c r="MOU227" s="1"/>
      <c r="MOV227" s="1"/>
      <c r="MOW227" s="1"/>
      <c r="MOX227" s="1"/>
      <c r="MOY227" s="1"/>
      <c r="MOZ227" s="1"/>
      <c r="MPA227" s="1"/>
      <c r="MPB227" s="1"/>
      <c r="MPC227" s="1"/>
      <c r="MPD227" s="1"/>
      <c r="MPE227" s="1"/>
      <c r="MPF227" s="1"/>
      <c r="MPG227" s="1"/>
      <c r="MPH227" s="1"/>
      <c r="MPI227" s="1"/>
      <c r="MPJ227" s="1"/>
      <c r="MPK227" s="1"/>
      <c r="MPL227" s="1"/>
      <c r="MPM227" s="1"/>
      <c r="MPN227" s="1"/>
      <c r="MPO227" s="1"/>
      <c r="MPP227" s="1"/>
      <c r="MPQ227" s="1"/>
      <c r="MPR227" s="1"/>
      <c r="MPS227" s="1"/>
      <c r="MPT227" s="1"/>
      <c r="MPU227" s="1"/>
      <c r="MPV227" s="1"/>
      <c r="MPW227" s="1"/>
      <c r="MPX227" s="1"/>
      <c r="MPY227" s="1"/>
      <c r="MPZ227" s="1"/>
      <c r="MQA227" s="1"/>
      <c r="MQB227" s="1"/>
      <c r="MQC227" s="1"/>
      <c r="MQD227" s="1"/>
      <c r="MQE227" s="1"/>
      <c r="MQF227" s="1"/>
      <c r="MQG227" s="1"/>
      <c r="MQH227" s="1"/>
      <c r="MQI227" s="1"/>
      <c r="MQJ227" s="1"/>
      <c r="MQK227" s="1"/>
      <c r="MQL227" s="1"/>
      <c r="MQM227" s="1"/>
      <c r="MQN227" s="1"/>
      <c r="MQO227" s="1"/>
      <c r="MQP227" s="1"/>
      <c r="MQQ227" s="1"/>
      <c r="MQR227" s="1"/>
      <c r="MQS227" s="1"/>
      <c r="MQT227" s="1"/>
      <c r="MQU227" s="1"/>
      <c r="MQV227" s="1"/>
      <c r="MQW227" s="1"/>
      <c r="MQX227" s="1"/>
      <c r="MQY227" s="1"/>
      <c r="MQZ227" s="1"/>
      <c r="MRA227" s="1"/>
      <c r="MRB227" s="1"/>
      <c r="MRC227" s="1"/>
      <c r="MRD227" s="1"/>
      <c r="MRE227" s="1"/>
      <c r="MRF227" s="1"/>
      <c r="MRG227" s="1"/>
      <c r="MRH227" s="1"/>
      <c r="MRI227" s="1"/>
      <c r="MRJ227" s="1"/>
      <c r="MRK227" s="1"/>
      <c r="MRL227" s="1"/>
      <c r="MRM227" s="1"/>
      <c r="MRN227" s="1"/>
      <c r="MRO227" s="1"/>
      <c r="MRP227" s="1"/>
      <c r="MRQ227" s="1"/>
      <c r="MRR227" s="1"/>
      <c r="MRS227" s="1"/>
      <c r="MRT227" s="1"/>
      <c r="MRU227" s="1"/>
      <c r="MRV227" s="1"/>
      <c r="MRW227" s="1"/>
      <c r="MRX227" s="1"/>
      <c r="MRY227" s="1"/>
      <c r="MRZ227" s="1"/>
      <c r="MSA227" s="1"/>
      <c r="MSB227" s="1"/>
      <c r="MSC227" s="1"/>
      <c r="MSD227" s="1"/>
      <c r="MSE227" s="1"/>
      <c r="MSF227" s="1"/>
      <c r="MSG227" s="1"/>
      <c r="MSH227" s="1"/>
      <c r="MSI227" s="1"/>
      <c r="MSJ227" s="1"/>
      <c r="MSK227" s="1"/>
      <c r="MSL227" s="1"/>
      <c r="MSM227" s="1"/>
      <c r="MSN227" s="1"/>
      <c r="MSO227" s="1"/>
      <c r="MSP227" s="1"/>
      <c r="MSQ227" s="1"/>
      <c r="MSR227" s="1"/>
      <c r="MSS227" s="1"/>
      <c r="MST227" s="1"/>
      <c r="MSU227" s="1"/>
      <c r="MSV227" s="1"/>
      <c r="MSW227" s="1"/>
      <c r="MSX227" s="1"/>
      <c r="MSY227" s="1"/>
      <c r="MSZ227" s="1"/>
      <c r="MTA227" s="1"/>
      <c r="MTB227" s="1"/>
      <c r="MTC227" s="1"/>
      <c r="MTD227" s="1"/>
      <c r="MTE227" s="1"/>
      <c r="MTF227" s="1"/>
      <c r="MTG227" s="1"/>
      <c r="MTH227" s="1"/>
      <c r="MTI227" s="1"/>
      <c r="MTJ227" s="1"/>
      <c r="MTK227" s="1"/>
      <c r="MTL227" s="1"/>
      <c r="MTM227" s="1"/>
      <c r="MTN227" s="1"/>
      <c r="MTO227" s="1"/>
      <c r="MTP227" s="1"/>
      <c r="MTQ227" s="1"/>
      <c r="MTR227" s="1"/>
      <c r="MTS227" s="1"/>
      <c r="MTT227" s="1"/>
      <c r="MTU227" s="1"/>
      <c r="MTV227" s="1"/>
      <c r="MTW227" s="1"/>
      <c r="MTX227" s="1"/>
      <c r="MTY227" s="1"/>
      <c r="MTZ227" s="1"/>
      <c r="MUA227" s="1"/>
      <c r="MUB227" s="1"/>
      <c r="MUC227" s="1"/>
      <c r="MUD227" s="1"/>
      <c r="MUE227" s="1"/>
      <c r="MUF227" s="1"/>
      <c r="MUG227" s="1"/>
      <c r="MUH227" s="1"/>
      <c r="MUI227" s="1"/>
      <c r="MUJ227" s="1"/>
      <c r="MUK227" s="1"/>
      <c r="MUL227" s="1"/>
      <c r="MUM227" s="1"/>
      <c r="MUN227" s="1"/>
      <c r="MUO227" s="1"/>
      <c r="MUP227" s="1"/>
      <c r="MUQ227" s="1"/>
      <c r="MUR227" s="1"/>
      <c r="MUS227" s="1"/>
      <c r="MUT227" s="1"/>
      <c r="MUU227" s="1"/>
      <c r="MUV227" s="1"/>
      <c r="MUW227" s="1"/>
      <c r="MUX227" s="1"/>
      <c r="MUY227" s="1"/>
      <c r="MUZ227" s="1"/>
      <c r="MVA227" s="1"/>
      <c r="MVB227" s="1"/>
      <c r="MVC227" s="1"/>
      <c r="MVD227" s="1"/>
      <c r="MVE227" s="1"/>
      <c r="MVF227" s="1"/>
      <c r="MVG227" s="1"/>
      <c r="MVH227" s="1"/>
      <c r="MVI227" s="1"/>
      <c r="MVJ227" s="1"/>
      <c r="MVK227" s="1"/>
      <c r="MVL227" s="1"/>
      <c r="MVM227" s="1"/>
      <c r="MVN227" s="1"/>
      <c r="MVO227" s="1"/>
      <c r="MVP227" s="1"/>
      <c r="MVQ227" s="1"/>
      <c r="MVR227" s="1"/>
      <c r="MVS227" s="1"/>
      <c r="MVT227" s="1"/>
      <c r="MVU227" s="1"/>
      <c r="MVV227" s="1"/>
      <c r="MVW227" s="1"/>
      <c r="MVX227" s="1"/>
      <c r="MVY227" s="1"/>
      <c r="MVZ227" s="1"/>
      <c r="MWA227" s="1"/>
      <c r="MWB227" s="1"/>
      <c r="MWC227" s="1"/>
      <c r="MWD227" s="1"/>
      <c r="MWE227" s="1"/>
      <c r="MWF227" s="1"/>
      <c r="MWG227" s="1"/>
      <c r="MWH227" s="1"/>
      <c r="MWI227" s="1"/>
      <c r="MWJ227" s="1"/>
      <c r="MWK227" s="1"/>
      <c r="MWL227" s="1"/>
      <c r="MWM227" s="1"/>
      <c r="MWN227" s="1"/>
      <c r="MWO227" s="1"/>
      <c r="MWP227" s="1"/>
      <c r="MWQ227" s="1"/>
      <c r="MWR227" s="1"/>
      <c r="MWS227" s="1"/>
      <c r="MWT227" s="1"/>
      <c r="MWU227" s="1"/>
      <c r="MWV227" s="1"/>
      <c r="MWW227" s="1"/>
      <c r="MWX227" s="1"/>
      <c r="MWY227" s="1"/>
      <c r="MWZ227" s="1"/>
      <c r="MXA227" s="1"/>
      <c r="MXB227" s="1"/>
      <c r="MXC227" s="1"/>
      <c r="MXD227" s="1"/>
      <c r="MXE227" s="1"/>
      <c r="MXF227" s="1"/>
      <c r="MXG227" s="1"/>
      <c r="MXH227" s="1"/>
      <c r="MXI227" s="1"/>
      <c r="MXJ227" s="1"/>
      <c r="MXK227" s="1"/>
      <c r="MXL227" s="1"/>
      <c r="MXM227" s="1"/>
      <c r="MXN227" s="1"/>
      <c r="MXO227" s="1"/>
      <c r="MXP227" s="1"/>
      <c r="MXQ227" s="1"/>
      <c r="MXR227" s="1"/>
      <c r="MXS227" s="1"/>
      <c r="MXT227" s="1"/>
      <c r="MXU227" s="1"/>
      <c r="MXV227" s="1"/>
      <c r="MXW227" s="1"/>
      <c r="MXX227" s="1"/>
      <c r="MXY227" s="1"/>
      <c r="MXZ227" s="1"/>
      <c r="MYA227" s="1"/>
      <c r="MYB227" s="1"/>
      <c r="MYC227" s="1"/>
      <c r="MYD227" s="1"/>
      <c r="MYE227" s="1"/>
      <c r="MYF227" s="1"/>
      <c r="MYG227" s="1"/>
      <c r="MYH227" s="1"/>
      <c r="MYI227" s="1"/>
      <c r="MYJ227" s="1"/>
      <c r="MYK227" s="1"/>
      <c r="MYL227" s="1"/>
      <c r="MYM227" s="1"/>
      <c r="MYN227" s="1"/>
      <c r="MYO227" s="1"/>
      <c r="MYP227" s="1"/>
      <c r="MYQ227" s="1"/>
      <c r="MYR227" s="1"/>
      <c r="MYS227" s="1"/>
      <c r="MYT227" s="1"/>
      <c r="MYU227" s="1"/>
      <c r="MYV227" s="1"/>
      <c r="MYW227" s="1"/>
      <c r="MYX227" s="1"/>
      <c r="MYY227" s="1"/>
      <c r="MYZ227" s="1"/>
      <c r="MZA227" s="1"/>
      <c r="MZB227" s="1"/>
      <c r="MZC227" s="1"/>
      <c r="MZD227" s="1"/>
      <c r="MZE227" s="1"/>
      <c r="MZF227" s="1"/>
      <c r="MZG227" s="1"/>
      <c r="MZH227" s="1"/>
      <c r="MZI227" s="1"/>
      <c r="MZJ227" s="1"/>
      <c r="MZK227" s="1"/>
      <c r="MZL227" s="1"/>
      <c r="MZM227" s="1"/>
      <c r="MZN227" s="1"/>
      <c r="MZO227" s="1"/>
      <c r="MZP227" s="1"/>
      <c r="MZQ227" s="1"/>
      <c r="MZR227" s="1"/>
      <c r="MZS227" s="1"/>
      <c r="MZT227" s="1"/>
      <c r="MZU227" s="1"/>
      <c r="MZV227" s="1"/>
      <c r="MZW227" s="1"/>
      <c r="MZX227" s="1"/>
      <c r="MZY227" s="1"/>
      <c r="MZZ227" s="1"/>
      <c r="NAA227" s="1"/>
      <c r="NAB227" s="1"/>
      <c r="NAC227" s="1"/>
      <c r="NAD227" s="1"/>
      <c r="NAE227" s="1"/>
      <c r="NAF227" s="1"/>
      <c r="NAG227" s="1"/>
      <c r="NAH227" s="1"/>
      <c r="NAI227" s="1"/>
      <c r="NAJ227" s="1"/>
      <c r="NAK227" s="1"/>
      <c r="NAL227" s="1"/>
      <c r="NAM227" s="1"/>
      <c r="NAN227" s="1"/>
      <c r="NAO227" s="1"/>
      <c r="NAP227" s="1"/>
      <c r="NAQ227" s="1"/>
      <c r="NAR227" s="1"/>
      <c r="NAS227" s="1"/>
      <c r="NAT227" s="1"/>
      <c r="NAU227" s="1"/>
      <c r="NAV227" s="1"/>
      <c r="NAW227" s="1"/>
      <c r="NAX227" s="1"/>
      <c r="NAY227" s="1"/>
      <c r="NAZ227" s="1"/>
      <c r="NBA227" s="1"/>
      <c r="NBB227" s="1"/>
      <c r="NBC227" s="1"/>
      <c r="NBD227" s="1"/>
      <c r="NBE227" s="1"/>
      <c r="NBF227" s="1"/>
      <c r="NBG227" s="1"/>
      <c r="NBH227" s="1"/>
      <c r="NBI227" s="1"/>
      <c r="NBJ227" s="1"/>
      <c r="NBK227" s="1"/>
      <c r="NBL227" s="1"/>
      <c r="NBM227" s="1"/>
      <c r="NBN227" s="1"/>
      <c r="NBO227" s="1"/>
      <c r="NBP227" s="1"/>
      <c r="NBQ227" s="1"/>
      <c r="NBR227" s="1"/>
      <c r="NBS227" s="1"/>
      <c r="NBT227" s="1"/>
      <c r="NBU227" s="1"/>
      <c r="NBV227" s="1"/>
      <c r="NBW227" s="1"/>
      <c r="NBX227" s="1"/>
      <c r="NBY227" s="1"/>
      <c r="NBZ227" s="1"/>
      <c r="NCA227" s="1"/>
      <c r="NCB227" s="1"/>
      <c r="NCC227" s="1"/>
      <c r="NCD227" s="1"/>
      <c r="NCE227" s="1"/>
      <c r="NCF227" s="1"/>
      <c r="NCG227" s="1"/>
      <c r="NCH227" s="1"/>
      <c r="NCI227" s="1"/>
      <c r="NCJ227" s="1"/>
      <c r="NCK227" s="1"/>
      <c r="NCL227" s="1"/>
      <c r="NCM227" s="1"/>
      <c r="NCN227" s="1"/>
      <c r="NCO227" s="1"/>
      <c r="NCP227" s="1"/>
      <c r="NCQ227" s="1"/>
      <c r="NCR227" s="1"/>
      <c r="NCS227" s="1"/>
      <c r="NCT227" s="1"/>
      <c r="NCU227" s="1"/>
      <c r="NCV227" s="1"/>
      <c r="NCW227" s="1"/>
      <c r="NCX227" s="1"/>
      <c r="NCY227" s="1"/>
      <c r="NCZ227" s="1"/>
      <c r="NDA227" s="1"/>
      <c r="NDB227" s="1"/>
      <c r="NDC227" s="1"/>
      <c r="NDD227" s="1"/>
      <c r="NDE227" s="1"/>
      <c r="NDF227" s="1"/>
      <c r="NDG227" s="1"/>
      <c r="NDH227" s="1"/>
      <c r="NDI227" s="1"/>
      <c r="NDJ227" s="1"/>
      <c r="NDK227" s="1"/>
      <c r="NDL227" s="1"/>
      <c r="NDM227" s="1"/>
      <c r="NDN227" s="1"/>
      <c r="NDO227" s="1"/>
      <c r="NDP227" s="1"/>
      <c r="NDQ227" s="1"/>
      <c r="NDR227" s="1"/>
      <c r="NDS227" s="1"/>
      <c r="NDT227" s="1"/>
      <c r="NDU227" s="1"/>
      <c r="NDV227" s="1"/>
      <c r="NDW227" s="1"/>
      <c r="NDX227" s="1"/>
      <c r="NDY227" s="1"/>
      <c r="NDZ227" s="1"/>
      <c r="NEA227" s="1"/>
      <c r="NEB227" s="1"/>
      <c r="NEC227" s="1"/>
      <c r="NED227" s="1"/>
      <c r="NEE227" s="1"/>
      <c r="NEF227" s="1"/>
      <c r="NEG227" s="1"/>
      <c r="NEH227" s="1"/>
      <c r="NEI227" s="1"/>
      <c r="NEJ227" s="1"/>
      <c r="NEK227" s="1"/>
      <c r="NEL227" s="1"/>
      <c r="NEM227" s="1"/>
      <c r="NEN227" s="1"/>
      <c r="NEO227" s="1"/>
      <c r="NEP227" s="1"/>
      <c r="NEQ227" s="1"/>
      <c r="NER227" s="1"/>
      <c r="NES227" s="1"/>
      <c r="NET227" s="1"/>
      <c r="NEU227" s="1"/>
      <c r="NEV227" s="1"/>
      <c r="NEW227" s="1"/>
      <c r="NEX227" s="1"/>
      <c r="NEY227" s="1"/>
      <c r="NEZ227" s="1"/>
      <c r="NFA227" s="1"/>
      <c r="NFB227" s="1"/>
      <c r="NFC227" s="1"/>
      <c r="NFD227" s="1"/>
      <c r="NFE227" s="1"/>
      <c r="NFF227" s="1"/>
      <c r="NFG227" s="1"/>
      <c r="NFH227" s="1"/>
      <c r="NFI227" s="1"/>
      <c r="NFJ227" s="1"/>
      <c r="NFK227" s="1"/>
      <c r="NFL227" s="1"/>
      <c r="NFM227" s="1"/>
      <c r="NFN227" s="1"/>
      <c r="NFO227" s="1"/>
      <c r="NFP227" s="1"/>
      <c r="NFQ227" s="1"/>
      <c r="NFR227" s="1"/>
      <c r="NFS227" s="1"/>
      <c r="NFT227" s="1"/>
      <c r="NFU227" s="1"/>
      <c r="NFV227" s="1"/>
      <c r="NFW227" s="1"/>
      <c r="NFX227" s="1"/>
      <c r="NFY227" s="1"/>
      <c r="NFZ227" s="1"/>
      <c r="NGA227" s="1"/>
      <c r="NGB227" s="1"/>
      <c r="NGC227" s="1"/>
      <c r="NGD227" s="1"/>
      <c r="NGE227" s="1"/>
      <c r="NGF227" s="1"/>
      <c r="NGG227" s="1"/>
      <c r="NGH227" s="1"/>
      <c r="NGI227" s="1"/>
      <c r="NGJ227" s="1"/>
      <c r="NGK227" s="1"/>
      <c r="NGL227" s="1"/>
      <c r="NGM227" s="1"/>
      <c r="NGN227" s="1"/>
      <c r="NGO227" s="1"/>
      <c r="NGP227" s="1"/>
      <c r="NGQ227" s="1"/>
      <c r="NGR227" s="1"/>
      <c r="NGS227" s="1"/>
      <c r="NGT227" s="1"/>
      <c r="NGU227" s="1"/>
      <c r="NGV227" s="1"/>
      <c r="NGW227" s="1"/>
      <c r="NGX227" s="1"/>
      <c r="NGY227" s="1"/>
      <c r="NGZ227" s="1"/>
      <c r="NHA227" s="1"/>
      <c r="NHB227" s="1"/>
      <c r="NHC227" s="1"/>
      <c r="NHD227" s="1"/>
      <c r="NHE227" s="1"/>
      <c r="NHF227" s="1"/>
      <c r="NHG227" s="1"/>
      <c r="NHH227" s="1"/>
      <c r="NHI227" s="1"/>
      <c r="NHJ227" s="1"/>
      <c r="NHK227" s="1"/>
      <c r="NHL227" s="1"/>
      <c r="NHM227" s="1"/>
      <c r="NHN227" s="1"/>
      <c r="NHO227" s="1"/>
      <c r="NHP227" s="1"/>
      <c r="NHQ227" s="1"/>
      <c r="NHR227" s="1"/>
      <c r="NHS227" s="1"/>
      <c r="NHT227" s="1"/>
      <c r="NHU227" s="1"/>
      <c r="NHV227" s="1"/>
      <c r="NHW227" s="1"/>
      <c r="NHX227" s="1"/>
      <c r="NHY227" s="1"/>
      <c r="NHZ227" s="1"/>
      <c r="NIA227" s="1"/>
      <c r="NIB227" s="1"/>
      <c r="NIC227" s="1"/>
      <c r="NID227" s="1"/>
      <c r="NIE227" s="1"/>
      <c r="NIF227" s="1"/>
      <c r="NIG227" s="1"/>
      <c r="NIH227" s="1"/>
      <c r="NII227" s="1"/>
      <c r="NIJ227" s="1"/>
      <c r="NIK227" s="1"/>
      <c r="NIL227" s="1"/>
      <c r="NIM227" s="1"/>
      <c r="NIN227" s="1"/>
      <c r="NIO227" s="1"/>
      <c r="NIP227" s="1"/>
      <c r="NIQ227" s="1"/>
      <c r="NIR227" s="1"/>
      <c r="NIS227" s="1"/>
      <c r="NIT227" s="1"/>
      <c r="NIU227" s="1"/>
      <c r="NIV227" s="1"/>
      <c r="NIW227" s="1"/>
      <c r="NIX227" s="1"/>
      <c r="NIY227" s="1"/>
      <c r="NIZ227" s="1"/>
      <c r="NJA227" s="1"/>
      <c r="NJB227" s="1"/>
      <c r="NJC227" s="1"/>
      <c r="NJD227" s="1"/>
      <c r="NJE227" s="1"/>
      <c r="NJF227" s="1"/>
      <c r="NJG227" s="1"/>
      <c r="NJH227" s="1"/>
      <c r="NJI227" s="1"/>
      <c r="NJJ227" s="1"/>
      <c r="NJK227" s="1"/>
      <c r="NJL227" s="1"/>
      <c r="NJM227" s="1"/>
      <c r="NJN227" s="1"/>
      <c r="NJO227" s="1"/>
      <c r="NJP227" s="1"/>
      <c r="NJQ227" s="1"/>
      <c r="NJR227" s="1"/>
      <c r="NJS227" s="1"/>
      <c r="NJT227" s="1"/>
      <c r="NJU227" s="1"/>
      <c r="NJV227" s="1"/>
      <c r="NJW227" s="1"/>
      <c r="NJX227" s="1"/>
      <c r="NJY227" s="1"/>
      <c r="NJZ227" s="1"/>
      <c r="NKA227" s="1"/>
      <c r="NKB227" s="1"/>
      <c r="NKC227" s="1"/>
      <c r="NKD227" s="1"/>
      <c r="NKE227" s="1"/>
      <c r="NKF227" s="1"/>
      <c r="NKG227" s="1"/>
      <c r="NKH227" s="1"/>
      <c r="NKI227" s="1"/>
      <c r="NKJ227" s="1"/>
      <c r="NKK227" s="1"/>
      <c r="NKL227" s="1"/>
      <c r="NKM227" s="1"/>
      <c r="NKN227" s="1"/>
      <c r="NKO227" s="1"/>
      <c r="NKP227" s="1"/>
      <c r="NKQ227" s="1"/>
      <c r="NKR227" s="1"/>
      <c r="NKS227" s="1"/>
      <c r="NKT227" s="1"/>
      <c r="NKU227" s="1"/>
      <c r="NKV227" s="1"/>
      <c r="NKW227" s="1"/>
      <c r="NKX227" s="1"/>
      <c r="NKY227" s="1"/>
      <c r="NKZ227" s="1"/>
      <c r="NLA227" s="1"/>
      <c r="NLB227" s="1"/>
      <c r="NLC227" s="1"/>
      <c r="NLD227" s="1"/>
      <c r="NLE227" s="1"/>
      <c r="NLF227" s="1"/>
      <c r="NLG227" s="1"/>
      <c r="NLH227" s="1"/>
      <c r="NLI227" s="1"/>
      <c r="NLJ227" s="1"/>
      <c r="NLK227" s="1"/>
      <c r="NLL227" s="1"/>
      <c r="NLM227" s="1"/>
      <c r="NLN227" s="1"/>
      <c r="NLO227" s="1"/>
      <c r="NLP227" s="1"/>
      <c r="NLQ227" s="1"/>
      <c r="NLR227" s="1"/>
      <c r="NLS227" s="1"/>
      <c r="NLT227" s="1"/>
      <c r="NLU227" s="1"/>
      <c r="NLV227" s="1"/>
      <c r="NLW227" s="1"/>
      <c r="NLX227" s="1"/>
      <c r="NLY227" s="1"/>
      <c r="NLZ227" s="1"/>
      <c r="NMA227" s="1"/>
      <c r="NMB227" s="1"/>
      <c r="NMC227" s="1"/>
      <c r="NMD227" s="1"/>
      <c r="NME227" s="1"/>
      <c r="NMF227" s="1"/>
      <c r="NMG227" s="1"/>
      <c r="NMH227" s="1"/>
      <c r="NMI227" s="1"/>
      <c r="NMJ227" s="1"/>
      <c r="NMK227" s="1"/>
      <c r="NML227" s="1"/>
      <c r="NMM227" s="1"/>
      <c r="NMN227" s="1"/>
      <c r="NMO227" s="1"/>
      <c r="NMP227" s="1"/>
      <c r="NMQ227" s="1"/>
      <c r="NMR227" s="1"/>
      <c r="NMS227" s="1"/>
      <c r="NMT227" s="1"/>
      <c r="NMU227" s="1"/>
      <c r="NMV227" s="1"/>
      <c r="NMW227" s="1"/>
      <c r="NMX227" s="1"/>
      <c r="NMY227" s="1"/>
      <c r="NMZ227" s="1"/>
      <c r="NNA227" s="1"/>
      <c r="NNB227" s="1"/>
      <c r="NNC227" s="1"/>
      <c r="NND227" s="1"/>
      <c r="NNE227" s="1"/>
      <c r="NNF227" s="1"/>
      <c r="NNG227" s="1"/>
      <c r="NNH227" s="1"/>
      <c r="NNI227" s="1"/>
      <c r="NNJ227" s="1"/>
      <c r="NNK227" s="1"/>
      <c r="NNL227" s="1"/>
      <c r="NNM227" s="1"/>
      <c r="NNN227" s="1"/>
      <c r="NNO227" s="1"/>
      <c r="NNP227" s="1"/>
      <c r="NNQ227" s="1"/>
      <c r="NNR227" s="1"/>
      <c r="NNS227" s="1"/>
      <c r="NNT227" s="1"/>
      <c r="NNU227" s="1"/>
      <c r="NNV227" s="1"/>
      <c r="NNW227" s="1"/>
      <c r="NNX227" s="1"/>
      <c r="NNY227" s="1"/>
      <c r="NNZ227" s="1"/>
      <c r="NOA227" s="1"/>
      <c r="NOB227" s="1"/>
      <c r="NOC227" s="1"/>
      <c r="NOD227" s="1"/>
      <c r="NOE227" s="1"/>
      <c r="NOF227" s="1"/>
      <c r="NOG227" s="1"/>
      <c r="NOH227" s="1"/>
      <c r="NOI227" s="1"/>
      <c r="NOJ227" s="1"/>
      <c r="NOK227" s="1"/>
      <c r="NOL227" s="1"/>
      <c r="NOM227" s="1"/>
      <c r="NON227" s="1"/>
      <c r="NOO227" s="1"/>
      <c r="NOP227" s="1"/>
      <c r="NOQ227" s="1"/>
      <c r="NOR227" s="1"/>
      <c r="NOS227" s="1"/>
      <c r="NOT227" s="1"/>
      <c r="NOU227" s="1"/>
      <c r="NOV227" s="1"/>
      <c r="NOW227" s="1"/>
      <c r="NOX227" s="1"/>
      <c r="NOY227" s="1"/>
      <c r="NOZ227" s="1"/>
      <c r="NPA227" s="1"/>
      <c r="NPB227" s="1"/>
      <c r="NPC227" s="1"/>
      <c r="NPD227" s="1"/>
      <c r="NPE227" s="1"/>
      <c r="NPF227" s="1"/>
      <c r="NPG227" s="1"/>
      <c r="NPH227" s="1"/>
      <c r="NPI227" s="1"/>
      <c r="NPJ227" s="1"/>
      <c r="NPK227" s="1"/>
      <c r="NPL227" s="1"/>
      <c r="NPM227" s="1"/>
      <c r="NPN227" s="1"/>
      <c r="NPO227" s="1"/>
      <c r="NPP227" s="1"/>
      <c r="NPQ227" s="1"/>
      <c r="NPR227" s="1"/>
      <c r="NPS227" s="1"/>
      <c r="NPT227" s="1"/>
      <c r="NPU227" s="1"/>
      <c r="NPV227" s="1"/>
      <c r="NPW227" s="1"/>
      <c r="NPX227" s="1"/>
      <c r="NPY227" s="1"/>
      <c r="NPZ227" s="1"/>
      <c r="NQA227" s="1"/>
      <c r="NQB227" s="1"/>
      <c r="NQC227" s="1"/>
      <c r="NQD227" s="1"/>
      <c r="NQE227" s="1"/>
      <c r="NQF227" s="1"/>
      <c r="NQG227" s="1"/>
      <c r="NQH227" s="1"/>
      <c r="NQI227" s="1"/>
      <c r="NQJ227" s="1"/>
      <c r="NQK227" s="1"/>
      <c r="NQL227" s="1"/>
      <c r="NQM227" s="1"/>
      <c r="NQN227" s="1"/>
      <c r="NQO227" s="1"/>
      <c r="NQP227" s="1"/>
      <c r="NQQ227" s="1"/>
      <c r="NQR227" s="1"/>
      <c r="NQS227" s="1"/>
      <c r="NQT227" s="1"/>
      <c r="NQU227" s="1"/>
      <c r="NQV227" s="1"/>
      <c r="NQW227" s="1"/>
      <c r="NQX227" s="1"/>
      <c r="NQY227" s="1"/>
      <c r="NQZ227" s="1"/>
      <c r="NRA227" s="1"/>
      <c r="NRB227" s="1"/>
      <c r="NRC227" s="1"/>
      <c r="NRD227" s="1"/>
      <c r="NRE227" s="1"/>
      <c r="NRF227" s="1"/>
      <c r="NRG227" s="1"/>
      <c r="NRH227" s="1"/>
      <c r="NRI227" s="1"/>
      <c r="NRJ227" s="1"/>
      <c r="NRK227" s="1"/>
      <c r="NRL227" s="1"/>
      <c r="NRM227" s="1"/>
      <c r="NRN227" s="1"/>
      <c r="NRO227" s="1"/>
      <c r="NRP227" s="1"/>
      <c r="NRQ227" s="1"/>
      <c r="NRR227" s="1"/>
      <c r="NRS227" s="1"/>
      <c r="NRT227" s="1"/>
      <c r="NRU227" s="1"/>
      <c r="NRV227" s="1"/>
      <c r="NRW227" s="1"/>
      <c r="NRX227" s="1"/>
      <c r="NRY227" s="1"/>
      <c r="NRZ227" s="1"/>
      <c r="NSA227" s="1"/>
      <c r="NSB227" s="1"/>
      <c r="NSC227" s="1"/>
      <c r="NSD227" s="1"/>
      <c r="NSE227" s="1"/>
      <c r="NSF227" s="1"/>
      <c r="NSG227" s="1"/>
      <c r="NSH227" s="1"/>
      <c r="NSI227" s="1"/>
      <c r="NSJ227" s="1"/>
      <c r="NSK227" s="1"/>
      <c r="NSL227" s="1"/>
      <c r="NSM227" s="1"/>
      <c r="NSN227" s="1"/>
      <c r="NSO227" s="1"/>
      <c r="NSP227" s="1"/>
      <c r="NSQ227" s="1"/>
      <c r="NSR227" s="1"/>
      <c r="NSS227" s="1"/>
      <c r="NST227" s="1"/>
      <c r="NSU227" s="1"/>
      <c r="NSV227" s="1"/>
      <c r="NSW227" s="1"/>
      <c r="NSX227" s="1"/>
      <c r="NSY227" s="1"/>
      <c r="NSZ227" s="1"/>
      <c r="NTA227" s="1"/>
      <c r="NTB227" s="1"/>
      <c r="NTC227" s="1"/>
      <c r="NTD227" s="1"/>
      <c r="NTE227" s="1"/>
      <c r="NTF227" s="1"/>
      <c r="NTG227" s="1"/>
      <c r="NTH227" s="1"/>
      <c r="NTI227" s="1"/>
      <c r="NTJ227" s="1"/>
      <c r="NTK227" s="1"/>
      <c r="NTL227" s="1"/>
      <c r="NTM227" s="1"/>
      <c r="NTN227" s="1"/>
      <c r="NTO227" s="1"/>
      <c r="NTP227" s="1"/>
      <c r="NTQ227" s="1"/>
      <c r="NTR227" s="1"/>
      <c r="NTS227" s="1"/>
      <c r="NTT227" s="1"/>
      <c r="NTU227" s="1"/>
      <c r="NTV227" s="1"/>
      <c r="NTW227" s="1"/>
      <c r="NTX227" s="1"/>
      <c r="NTY227" s="1"/>
      <c r="NTZ227" s="1"/>
      <c r="NUA227" s="1"/>
      <c r="NUB227" s="1"/>
      <c r="NUC227" s="1"/>
      <c r="NUD227" s="1"/>
      <c r="NUE227" s="1"/>
      <c r="NUF227" s="1"/>
      <c r="NUG227" s="1"/>
      <c r="NUH227" s="1"/>
      <c r="NUI227" s="1"/>
      <c r="NUJ227" s="1"/>
      <c r="NUK227" s="1"/>
      <c r="NUL227" s="1"/>
      <c r="NUM227" s="1"/>
      <c r="NUN227" s="1"/>
      <c r="NUO227" s="1"/>
      <c r="NUP227" s="1"/>
      <c r="NUQ227" s="1"/>
      <c r="NUR227" s="1"/>
      <c r="NUS227" s="1"/>
      <c r="NUT227" s="1"/>
      <c r="NUU227" s="1"/>
      <c r="NUV227" s="1"/>
      <c r="NUW227" s="1"/>
      <c r="NUX227" s="1"/>
      <c r="NUY227" s="1"/>
      <c r="NUZ227" s="1"/>
      <c r="NVA227" s="1"/>
      <c r="NVB227" s="1"/>
      <c r="NVC227" s="1"/>
      <c r="NVD227" s="1"/>
      <c r="NVE227" s="1"/>
      <c r="NVF227" s="1"/>
      <c r="NVG227" s="1"/>
      <c r="NVH227" s="1"/>
      <c r="NVI227" s="1"/>
      <c r="NVJ227" s="1"/>
      <c r="NVK227" s="1"/>
      <c r="NVL227" s="1"/>
      <c r="NVM227" s="1"/>
      <c r="NVN227" s="1"/>
      <c r="NVO227" s="1"/>
      <c r="NVP227" s="1"/>
      <c r="NVQ227" s="1"/>
      <c r="NVR227" s="1"/>
      <c r="NVS227" s="1"/>
      <c r="NVT227" s="1"/>
      <c r="NVU227" s="1"/>
      <c r="NVV227" s="1"/>
      <c r="NVW227" s="1"/>
      <c r="NVX227" s="1"/>
      <c r="NVY227" s="1"/>
      <c r="NVZ227" s="1"/>
      <c r="NWA227" s="1"/>
      <c r="NWB227" s="1"/>
      <c r="NWC227" s="1"/>
      <c r="NWD227" s="1"/>
      <c r="NWE227" s="1"/>
      <c r="NWF227" s="1"/>
      <c r="NWG227" s="1"/>
      <c r="NWH227" s="1"/>
      <c r="NWI227" s="1"/>
      <c r="NWJ227" s="1"/>
      <c r="NWK227" s="1"/>
      <c r="NWL227" s="1"/>
      <c r="NWM227" s="1"/>
      <c r="NWN227" s="1"/>
      <c r="NWO227" s="1"/>
      <c r="NWP227" s="1"/>
      <c r="NWQ227" s="1"/>
      <c r="NWR227" s="1"/>
      <c r="NWS227" s="1"/>
      <c r="NWT227" s="1"/>
      <c r="NWU227" s="1"/>
      <c r="NWV227" s="1"/>
      <c r="NWW227" s="1"/>
      <c r="NWX227" s="1"/>
      <c r="NWY227" s="1"/>
      <c r="NWZ227" s="1"/>
      <c r="NXA227" s="1"/>
      <c r="NXB227" s="1"/>
      <c r="NXC227" s="1"/>
      <c r="NXD227" s="1"/>
      <c r="NXE227" s="1"/>
      <c r="NXF227" s="1"/>
      <c r="NXG227" s="1"/>
      <c r="NXH227" s="1"/>
      <c r="NXI227" s="1"/>
      <c r="NXJ227" s="1"/>
      <c r="NXK227" s="1"/>
      <c r="NXL227" s="1"/>
      <c r="NXM227" s="1"/>
      <c r="NXN227" s="1"/>
      <c r="NXO227" s="1"/>
      <c r="NXP227" s="1"/>
      <c r="NXQ227" s="1"/>
      <c r="NXR227" s="1"/>
      <c r="NXS227" s="1"/>
      <c r="NXT227" s="1"/>
      <c r="NXU227" s="1"/>
      <c r="NXV227" s="1"/>
      <c r="NXW227" s="1"/>
      <c r="NXX227" s="1"/>
      <c r="NXY227" s="1"/>
      <c r="NXZ227" s="1"/>
      <c r="NYA227" s="1"/>
      <c r="NYB227" s="1"/>
      <c r="NYC227" s="1"/>
      <c r="NYD227" s="1"/>
      <c r="NYE227" s="1"/>
      <c r="NYF227" s="1"/>
      <c r="NYG227" s="1"/>
      <c r="NYH227" s="1"/>
      <c r="NYI227" s="1"/>
      <c r="NYJ227" s="1"/>
      <c r="NYK227" s="1"/>
      <c r="NYL227" s="1"/>
      <c r="NYM227" s="1"/>
      <c r="NYN227" s="1"/>
      <c r="NYO227" s="1"/>
      <c r="NYP227" s="1"/>
      <c r="NYQ227" s="1"/>
      <c r="NYR227" s="1"/>
      <c r="NYS227" s="1"/>
      <c r="NYT227" s="1"/>
      <c r="NYU227" s="1"/>
      <c r="NYV227" s="1"/>
      <c r="NYW227" s="1"/>
      <c r="NYX227" s="1"/>
      <c r="NYY227" s="1"/>
      <c r="NYZ227" s="1"/>
      <c r="NZA227" s="1"/>
      <c r="NZB227" s="1"/>
      <c r="NZC227" s="1"/>
      <c r="NZD227" s="1"/>
      <c r="NZE227" s="1"/>
      <c r="NZF227" s="1"/>
      <c r="NZG227" s="1"/>
      <c r="NZH227" s="1"/>
      <c r="NZI227" s="1"/>
      <c r="NZJ227" s="1"/>
      <c r="NZK227" s="1"/>
      <c r="NZL227" s="1"/>
      <c r="NZM227" s="1"/>
      <c r="NZN227" s="1"/>
      <c r="NZO227" s="1"/>
      <c r="NZP227" s="1"/>
      <c r="NZQ227" s="1"/>
      <c r="NZR227" s="1"/>
      <c r="NZS227" s="1"/>
      <c r="NZT227" s="1"/>
      <c r="NZU227" s="1"/>
      <c r="NZV227" s="1"/>
      <c r="NZW227" s="1"/>
      <c r="NZX227" s="1"/>
      <c r="NZY227" s="1"/>
      <c r="NZZ227" s="1"/>
      <c r="OAA227" s="1"/>
      <c r="OAB227" s="1"/>
      <c r="OAC227" s="1"/>
      <c r="OAD227" s="1"/>
      <c r="OAE227" s="1"/>
      <c r="OAF227" s="1"/>
      <c r="OAG227" s="1"/>
      <c r="OAH227" s="1"/>
      <c r="OAI227" s="1"/>
      <c r="OAJ227" s="1"/>
      <c r="OAK227" s="1"/>
      <c r="OAL227" s="1"/>
      <c r="OAM227" s="1"/>
      <c r="OAN227" s="1"/>
      <c r="OAO227" s="1"/>
      <c r="OAP227" s="1"/>
      <c r="OAQ227" s="1"/>
      <c r="OAR227" s="1"/>
      <c r="OAS227" s="1"/>
      <c r="OAT227" s="1"/>
      <c r="OAU227" s="1"/>
      <c r="OAV227" s="1"/>
      <c r="OAW227" s="1"/>
      <c r="OAX227" s="1"/>
      <c r="OAY227" s="1"/>
      <c r="OAZ227" s="1"/>
      <c r="OBA227" s="1"/>
      <c r="OBB227" s="1"/>
      <c r="OBC227" s="1"/>
      <c r="OBD227" s="1"/>
      <c r="OBE227" s="1"/>
      <c r="OBF227" s="1"/>
      <c r="OBG227" s="1"/>
      <c r="OBH227" s="1"/>
      <c r="OBI227" s="1"/>
      <c r="OBJ227" s="1"/>
      <c r="OBK227" s="1"/>
      <c r="OBL227" s="1"/>
      <c r="OBM227" s="1"/>
      <c r="OBN227" s="1"/>
      <c r="OBO227" s="1"/>
      <c r="OBP227" s="1"/>
      <c r="OBQ227" s="1"/>
      <c r="OBR227" s="1"/>
      <c r="OBS227" s="1"/>
      <c r="OBT227" s="1"/>
      <c r="OBU227" s="1"/>
      <c r="OBV227" s="1"/>
      <c r="OBW227" s="1"/>
      <c r="OBX227" s="1"/>
      <c r="OBY227" s="1"/>
      <c r="OBZ227" s="1"/>
      <c r="OCA227" s="1"/>
      <c r="OCB227" s="1"/>
      <c r="OCC227" s="1"/>
      <c r="OCD227" s="1"/>
      <c r="OCE227" s="1"/>
      <c r="OCF227" s="1"/>
      <c r="OCG227" s="1"/>
      <c r="OCH227" s="1"/>
      <c r="OCI227" s="1"/>
      <c r="OCJ227" s="1"/>
      <c r="OCK227" s="1"/>
      <c r="OCL227" s="1"/>
      <c r="OCM227" s="1"/>
      <c r="OCN227" s="1"/>
      <c r="OCO227" s="1"/>
      <c r="OCP227" s="1"/>
      <c r="OCQ227" s="1"/>
      <c r="OCR227" s="1"/>
      <c r="OCS227" s="1"/>
      <c r="OCT227" s="1"/>
      <c r="OCU227" s="1"/>
      <c r="OCV227" s="1"/>
      <c r="OCW227" s="1"/>
      <c r="OCX227" s="1"/>
      <c r="OCY227" s="1"/>
      <c r="OCZ227" s="1"/>
      <c r="ODA227" s="1"/>
      <c r="ODB227" s="1"/>
      <c r="ODC227" s="1"/>
      <c r="ODD227" s="1"/>
      <c r="ODE227" s="1"/>
      <c r="ODF227" s="1"/>
      <c r="ODG227" s="1"/>
      <c r="ODH227" s="1"/>
      <c r="ODI227" s="1"/>
      <c r="ODJ227" s="1"/>
      <c r="ODK227" s="1"/>
      <c r="ODL227" s="1"/>
      <c r="ODM227" s="1"/>
      <c r="ODN227" s="1"/>
      <c r="ODO227" s="1"/>
      <c r="ODP227" s="1"/>
      <c r="ODQ227" s="1"/>
      <c r="ODR227" s="1"/>
      <c r="ODS227" s="1"/>
      <c r="ODT227" s="1"/>
      <c r="ODU227" s="1"/>
      <c r="ODV227" s="1"/>
      <c r="ODW227" s="1"/>
      <c r="ODX227" s="1"/>
      <c r="ODY227" s="1"/>
      <c r="ODZ227" s="1"/>
      <c r="OEA227" s="1"/>
      <c r="OEB227" s="1"/>
      <c r="OEC227" s="1"/>
      <c r="OED227" s="1"/>
      <c r="OEE227" s="1"/>
      <c r="OEF227" s="1"/>
      <c r="OEG227" s="1"/>
      <c r="OEH227" s="1"/>
      <c r="OEI227" s="1"/>
      <c r="OEJ227" s="1"/>
      <c r="OEK227" s="1"/>
      <c r="OEL227" s="1"/>
      <c r="OEM227" s="1"/>
      <c r="OEN227" s="1"/>
      <c r="OEO227" s="1"/>
      <c r="OEP227" s="1"/>
      <c r="OEQ227" s="1"/>
      <c r="OER227" s="1"/>
      <c r="OES227" s="1"/>
      <c r="OET227" s="1"/>
      <c r="OEU227" s="1"/>
      <c r="OEV227" s="1"/>
      <c r="OEW227" s="1"/>
      <c r="OEX227" s="1"/>
      <c r="OEY227" s="1"/>
      <c r="OEZ227" s="1"/>
      <c r="OFA227" s="1"/>
      <c r="OFB227" s="1"/>
      <c r="OFC227" s="1"/>
      <c r="OFD227" s="1"/>
      <c r="OFE227" s="1"/>
      <c r="OFF227" s="1"/>
      <c r="OFG227" s="1"/>
      <c r="OFH227" s="1"/>
      <c r="OFI227" s="1"/>
      <c r="OFJ227" s="1"/>
      <c r="OFK227" s="1"/>
      <c r="OFL227" s="1"/>
      <c r="OFM227" s="1"/>
      <c r="OFN227" s="1"/>
      <c r="OFO227" s="1"/>
      <c r="OFP227" s="1"/>
      <c r="OFQ227" s="1"/>
      <c r="OFR227" s="1"/>
      <c r="OFS227" s="1"/>
      <c r="OFT227" s="1"/>
      <c r="OFU227" s="1"/>
      <c r="OFV227" s="1"/>
      <c r="OFW227" s="1"/>
      <c r="OFX227" s="1"/>
      <c r="OFY227" s="1"/>
      <c r="OFZ227" s="1"/>
      <c r="OGA227" s="1"/>
      <c r="OGB227" s="1"/>
      <c r="OGC227" s="1"/>
      <c r="OGD227" s="1"/>
      <c r="OGE227" s="1"/>
      <c r="OGF227" s="1"/>
      <c r="OGG227" s="1"/>
      <c r="OGH227" s="1"/>
      <c r="OGI227" s="1"/>
      <c r="OGJ227" s="1"/>
      <c r="OGK227" s="1"/>
      <c r="OGL227" s="1"/>
      <c r="OGM227" s="1"/>
      <c r="OGN227" s="1"/>
      <c r="OGO227" s="1"/>
      <c r="OGP227" s="1"/>
      <c r="OGQ227" s="1"/>
      <c r="OGR227" s="1"/>
      <c r="OGS227" s="1"/>
      <c r="OGT227" s="1"/>
      <c r="OGU227" s="1"/>
      <c r="OGV227" s="1"/>
      <c r="OGW227" s="1"/>
      <c r="OGX227" s="1"/>
      <c r="OGY227" s="1"/>
      <c r="OGZ227" s="1"/>
      <c r="OHA227" s="1"/>
      <c r="OHB227" s="1"/>
      <c r="OHC227" s="1"/>
      <c r="OHD227" s="1"/>
      <c r="OHE227" s="1"/>
      <c r="OHF227" s="1"/>
      <c r="OHG227" s="1"/>
      <c r="OHH227" s="1"/>
      <c r="OHI227" s="1"/>
      <c r="OHJ227" s="1"/>
      <c r="OHK227" s="1"/>
      <c r="OHL227" s="1"/>
      <c r="OHM227" s="1"/>
      <c r="OHN227" s="1"/>
      <c r="OHO227" s="1"/>
      <c r="OHP227" s="1"/>
      <c r="OHQ227" s="1"/>
      <c r="OHR227" s="1"/>
      <c r="OHS227" s="1"/>
      <c r="OHT227" s="1"/>
      <c r="OHU227" s="1"/>
      <c r="OHV227" s="1"/>
      <c r="OHW227" s="1"/>
      <c r="OHX227" s="1"/>
      <c r="OHY227" s="1"/>
      <c r="OHZ227" s="1"/>
      <c r="OIA227" s="1"/>
      <c r="OIB227" s="1"/>
      <c r="OIC227" s="1"/>
      <c r="OID227" s="1"/>
      <c r="OIE227" s="1"/>
      <c r="OIF227" s="1"/>
      <c r="OIG227" s="1"/>
      <c r="OIH227" s="1"/>
      <c r="OII227" s="1"/>
      <c r="OIJ227" s="1"/>
      <c r="OIK227" s="1"/>
      <c r="OIL227" s="1"/>
      <c r="OIM227" s="1"/>
      <c r="OIN227" s="1"/>
      <c r="OIO227" s="1"/>
      <c r="OIP227" s="1"/>
      <c r="OIQ227" s="1"/>
      <c r="OIR227" s="1"/>
      <c r="OIS227" s="1"/>
      <c r="OIT227" s="1"/>
      <c r="OIU227" s="1"/>
      <c r="OIV227" s="1"/>
      <c r="OIW227" s="1"/>
      <c r="OIX227" s="1"/>
      <c r="OIY227" s="1"/>
      <c r="OIZ227" s="1"/>
      <c r="OJA227" s="1"/>
      <c r="OJB227" s="1"/>
      <c r="OJC227" s="1"/>
      <c r="OJD227" s="1"/>
      <c r="OJE227" s="1"/>
      <c r="OJF227" s="1"/>
      <c r="OJG227" s="1"/>
      <c r="OJH227" s="1"/>
      <c r="OJI227" s="1"/>
      <c r="OJJ227" s="1"/>
      <c r="OJK227" s="1"/>
      <c r="OJL227" s="1"/>
      <c r="OJM227" s="1"/>
      <c r="OJN227" s="1"/>
      <c r="OJO227" s="1"/>
      <c r="OJP227" s="1"/>
      <c r="OJQ227" s="1"/>
      <c r="OJR227" s="1"/>
      <c r="OJS227" s="1"/>
      <c r="OJT227" s="1"/>
      <c r="OJU227" s="1"/>
      <c r="OJV227" s="1"/>
      <c r="OJW227" s="1"/>
      <c r="OJX227" s="1"/>
      <c r="OJY227" s="1"/>
      <c r="OJZ227" s="1"/>
      <c r="OKA227" s="1"/>
      <c r="OKB227" s="1"/>
      <c r="OKC227" s="1"/>
      <c r="OKD227" s="1"/>
      <c r="OKE227" s="1"/>
      <c r="OKF227" s="1"/>
      <c r="OKG227" s="1"/>
      <c r="OKH227" s="1"/>
      <c r="OKI227" s="1"/>
      <c r="OKJ227" s="1"/>
      <c r="OKK227" s="1"/>
      <c r="OKL227" s="1"/>
      <c r="OKM227" s="1"/>
      <c r="OKN227" s="1"/>
      <c r="OKO227" s="1"/>
      <c r="OKP227" s="1"/>
      <c r="OKQ227" s="1"/>
      <c r="OKR227" s="1"/>
      <c r="OKS227" s="1"/>
      <c r="OKT227" s="1"/>
      <c r="OKU227" s="1"/>
      <c r="OKV227" s="1"/>
      <c r="OKW227" s="1"/>
      <c r="OKX227" s="1"/>
      <c r="OKY227" s="1"/>
      <c r="OKZ227" s="1"/>
      <c r="OLA227" s="1"/>
      <c r="OLB227" s="1"/>
      <c r="OLC227" s="1"/>
      <c r="OLD227" s="1"/>
      <c r="OLE227" s="1"/>
      <c r="OLF227" s="1"/>
      <c r="OLG227" s="1"/>
      <c r="OLH227" s="1"/>
      <c r="OLI227" s="1"/>
      <c r="OLJ227" s="1"/>
      <c r="OLK227" s="1"/>
      <c r="OLL227" s="1"/>
      <c r="OLM227" s="1"/>
      <c r="OLN227" s="1"/>
      <c r="OLO227" s="1"/>
      <c r="OLP227" s="1"/>
      <c r="OLQ227" s="1"/>
      <c r="OLR227" s="1"/>
      <c r="OLS227" s="1"/>
      <c r="OLT227" s="1"/>
      <c r="OLU227" s="1"/>
      <c r="OLV227" s="1"/>
      <c r="OLW227" s="1"/>
      <c r="OLX227" s="1"/>
      <c r="OLY227" s="1"/>
      <c r="OLZ227" s="1"/>
      <c r="OMA227" s="1"/>
      <c r="OMB227" s="1"/>
      <c r="OMC227" s="1"/>
      <c r="OMD227" s="1"/>
      <c r="OME227" s="1"/>
      <c r="OMF227" s="1"/>
      <c r="OMG227" s="1"/>
      <c r="OMH227" s="1"/>
      <c r="OMI227" s="1"/>
      <c r="OMJ227" s="1"/>
      <c r="OMK227" s="1"/>
      <c r="OML227" s="1"/>
      <c r="OMM227" s="1"/>
      <c r="OMN227" s="1"/>
      <c r="OMO227" s="1"/>
      <c r="OMP227" s="1"/>
      <c r="OMQ227" s="1"/>
      <c r="OMR227" s="1"/>
      <c r="OMS227" s="1"/>
      <c r="OMT227" s="1"/>
      <c r="OMU227" s="1"/>
      <c r="OMV227" s="1"/>
      <c r="OMW227" s="1"/>
      <c r="OMX227" s="1"/>
      <c r="OMY227" s="1"/>
      <c r="OMZ227" s="1"/>
      <c r="ONA227" s="1"/>
      <c r="ONB227" s="1"/>
      <c r="ONC227" s="1"/>
      <c r="OND227" s="1"/>
      <c r="ONE227" s="1"/>
      <c r="ONF227" s="1"/>
      <c r="ONG227" s="1"/>
      <c r="ONH227" s="1"/>
      <c r="ONI227" s="1"/>
      <c r="ONJ227" s="1"/>
      <c r="ONK227" s="1"/>
      <c r="ONL227" s="1"/>
      <c r="ONM227" s="1"/>
      <c r="ONN227" s="1"/>
      <c r="ONO227" s="1"/>
      <c r="ONP227" s="1"/>
      <c r="ONQ227" s="1"/>
      <c r="ONR227" s="1"/>
      <c r="ONS227" s="1"/>
      <c r="ONT227" s="1"/>
      <c r="ONU227" s="1"/>
      <c r="ONV227" s="1"/>
      <c r="ONW227" s="1"/>
      <c r="ONX227" s="1"/>
      <c r="ONY227" s="1"/>
      <c r="ONZ227" s="1"/>
      <c r="OOA227" s="1"/>
      <c r="OOB227" s="1"/>
      <c r="OOC227" s="1"/>
      <c r="OOD227" s="1"/>
      <c r="OOE227" s="1"/>
      <c r="OOF227" s="1"/>
      <c r="OOG227" s="1"/>
      <c r="OOH227" s="1"/>
      <c r="OOI227" s="1"/>
      <c r="OOJ227" s="1"/>
      <c r="OOK227" s="1"/>
      <c r="OOL227" s="1"/>
      <c r="OOM227" s="1"/>
      <c r="OON227" s="1"/>
      <c r="OOO227" s="1"/>
      <c r="OOP227" s="1"/>
      <c r="OOQ227" s="1"/>
      <c r="OOR227" s="1"/>
      <c r="OOS227" s="1"/>
      <c r="OOT227" s="1"/>
      <c r="OOU227" s="1"/>
      <c r="OOV227" s="1"/>
      <c r="OOW227" s="1"/>
      <c r="OOX227" s="1"/>
      <c r="OOY227" s="1"/>
      <c r="OOZ227" s="1"/>
      <c r="OPA227" s="1"/>
      <c r="OPB227" s="1"/>
      <c r="OPC227" s="1"/>
      <c r="OPD227" s="1"/>
      <c r="OPE227" s="1"/>
      <c r="OPF227" s="1"/>
      <c r="OPG227" s="1"/>
      <c r="OPH227" s="1"/>
      <c r="OPI227" s="1"/>
      <c r="OPJ227" s="1"/>
      <c r="OPK227" s="1"/>
      <c r="OPL227" s="1"/>
      <c r="OPM227" s="1"/>
      <c r="OPN227" s="1"/>
      <c r="OPO227" s="1"/>
      <c r="OPP227" s="1"/>
      <c r="OPQ227" s="1"/>
      <c r="OPR227" s="1"/>
      <c r="OPS227" s="1"/>
      <c r="OPT227" s="1"/>
      <c r="OPU227" s="1"/>
      <c r="OPV227" s="1"/>
      <c r="OPW227" s="1"/>
      <c r="OPX227" s="1"/>
      <c r="OPY227" s="1"/>
      <c r="OPZ227" s="1"/>
      <c r="OQA227" s="1"/>
      <c r="OQB227" s="1"/>
      <c r="OQC227" s="1"/>
      <c r="OQD227" s="1"/>
      <c r="OQE227" s="1"/>
      <c r="OQF227" s="1"/>
      <c r="OQG227" s="1"/>
      <c r="OQH227" s="1"/>
      <c r="OQI227" s="1"/>
      <c r="OQJ227" s="1"/>
      <c r="OQK227" s="1"/>
      <c r="OQL227" s="1"/>
      <c r="OQM227" s="1"/>
      <c r="OQN227" s="1"/>
      <c r="OQO227" s="1"/>
      <c r="OQP227" s="1"/>
      <c r="OQQ227" s="1"/>
      <c r="OQR227" s="1"/>
      <c r="OQS227" s="1"/>
      <c r="OQT227" s="1"/>
      <c r="OQU227" s="1"/>
      <c r="OQV227" s="1"/>
      <c r="OQW227" s="1"/>
      <c r="OQX227" s="1"/>
      <c r="OQY227" s="1"/>
      <c r="OQZ227" s="1"/>
      <c r="ORA227" s="1"/>
      <c r="ORB227" s="1"/>
      <c r="ORC227" s="1"/>
      <c r="ORD227" s="1"/>
      <c r="ORE227" s="1"/>
      <c r="ORF227" s="1"/>
      <c r="ORG227" s="1"/>
      <c r="ORH227" s="1"/>
      <c r="ORI227" s="1"/>
      <c r="ORJ227" s="1"/>
      <c r="ORK227" s="1"/>
      <c r="ORL227" s="1"/>
      <c r="ORM227" s="1"/>
      <c r="ORN227" s="1"/>
      <c r="ORO227" s="1"/>
      <c r="ORP227" s="1"/>
      <c r="ORQ227" s="1"/>
      <c r="ORR227" s="1"/>
      <c r="ORS227" s="1"/>
      <c r="ORT227" s="1"/>
      <c r="ORU227" s="1"/>
      <c r="ORV227" s="1"/>
      <c r="ORW227" s="1"/>
      <c r="ORX227" s="1"/>
      <c r="ORY227" s="1"/>
      <c r="ORZ227" s="1"/>
      <c r="OSA227" s="1"/>
      <c r="OSB227" s="1"/>
      <c r="OSC227" s="1"/>
      <c r="OSD227" s="1"/>
      <c r="OSE227" s="1"/>
      <c r="OSF227" s="1"/>
      <c r="OSG227" s="1"/>
      <c r="OSH227" s="1"/>
      <c r="OSI227" s="1"/>
      <c r="OSJ227" s="1"/>
      <c r="OSK227" s="1"/>
      <c r="OSL227" s="1"/>
      <c r="OSM227" s="1"/>
      <c r="OSN227" s="1"/>
      <c r="OSO227" s="1"/>
      <c r="OSP227" s="1"/>
      <c r="OSQ227" s="1"/>
      <c r="OSR227" s="1"/>
      <c r="OSS227" s="1"/>
      <c r="OST227" s="1"/>
      <c r="OSU227" s="1"/>
      <c r="OSV227" s="1"/>
      <c r="OSW227" s="1"/>
      <c r="OSX227" s="1"/>
      <c r="OSY227" s="1"/>
      <c r="OSZ227" s="1"/>
      <c r="OTA227" s="1"/>
      <c r="OTB227" s="1"/>
      <c r="OTC227" s="1"/>
      <c r="OTD227" s="1"/>
      <c r="OTE227" s="1"/>
      <c r="OTF227" s="1"/>
      <c r="OTG227" s="1"/>
      <c r="OTH227" s="1"/>
      <c r="OTI227" s="1"/>
      <c r="OTJ227" s="1"/>
      <c r="OTK227" s="1"/>
      <c r="OTL227" s="1"/>
      <c r="OTM227" s="1"/>
      <c r="OTN227" s="1"/>
      <c r="OTO227" s="1"/>
      <c r="OTP227" s="1"/>
      <c r="OTQ227" s="1"/>
      <c r="OTR227" s="1"/>
      <c r="OTS227" s="1"/>
      <c r="OTT227" s="1"/>
      <c r="OTU227" s="1"/>
      <c r="OTV227" s="1"/>
      <c r="OTW227" s="1"/>
      <c r="OTX227" s="1"/>
      <c r="OTY227" s="1"/>
      <c r="OTZ227" s="1"/>
      <c r="OUA227" s="1"/>
      <c r="OUB227" s="1"/>
      <c r="OUC227" s="1"/>
      <c r="OUD227" s="1"/>
      <c r="OUE227" s="1"/>
      <c r="OUF227" s="1"/>
      <c r="OUG227" s="1"/>
      <c r="OUH227" s="1"/>
      <c r="OUI227" s="1"/>
      <c r="OUJ227" s="1"/>
      <c r="OUK227" s="1"/>
      <c r="OUL227" s="1"/>
      <c r="OUM227" s="1"/>
      <c r="OUN227" s="1"/>
      <c r="OUO227" s="1"/>
      <c r="OUP227" s="1"/>
      <c r="OUQ227" s="1"/>
      <c r="OUR227" s="1"/>
      <c r="OUS227" s="1"/>
      <c r="OUT227" s="1"/>
      <c r="OUU227" s="1"/>
      <c r="OUV227" s="1"/>
      <c r="OUW227" s="1"/>
      <c r="OUX227" s="1"/>
      <c r="OUY227" s="1"/>
      <c r="OUZ227" s="1"/>
      <c r="OVA227" s="1"/>
      <c r="OVB227" s="1"/>
      <c r="OVC227" s="1"/>
      <c r="OVD227" s="1"/>
      <c r="OVE227" s="1"/>
      <c r="OVF227" s="1"/>
      <c r="OVG227" s="1"/>
      <c r="OVH227" s="1"/>
      <c r="OVI227" s="1"/>
      <c r="OVJ227" s="1"/>
      <c r="OVK227" s="1"/>
      <c r="OVL227" s="1"/>
      <c r="OVM227" s="1"/>
      <c r="OVN227" s="1"/>
      <c r="OVO227" s="1"/>
      <c r="OVP227" s="1"/>
      <c r="OVQ227" s="1"/>
      <c r="OVR227" s="1"/>
      <c r="OVS227" s="1"/>
      <c r="OVT227" s="1"/>
      <c r="OVU227" s="1"/>
      <c r="OVV227" s="1"/>
      <c r="OVW227" s="1"/>
      <c r="OVX227" s="1"/>
      <c r="OVY227" s="1"/>
      <c r="OVZ227" s="1"/>
      <c r="OWA227" s="1"/>
      <c r="OWB227" s="1"/>
      <c r="OWC227" s="1"/>
      <c r="OWD227" s="1"/>
      <c r="OWE227" s="1"/>
      <c r="OWF227" s="1"/>
      <c r="OWG227" s="1"/>
      <c r="OWH227" s="1"/>
      <c r="OWI227" s="1"/>
      <c r="OWJ227" s="1"/>
      <c r="OWK227" s="1"/>
      <c r="OWL227" s="1"/>
      <c r="OWM227" s="1"/>
      <c r="OWN227" s="1"/>
      <c r="OWO227" s="1"/>
      <c r="OWP227" s="1"/>
      <c r="OWQ227" s="1"/>
      <c r="OWR227" s="1"/>
      <c r="OWS227" s="1"/>
      <c r="OWT227" s="1"/>
      <c r="OWU227" s="1"/>
      <c r="OWV227" s="1"/>
      <c r="OWW227" s="1"/>
      <c r="OWX227" s="1"/>
      <c r="OWY227" s="1"/>
      <c r="OWZ227" s="1"/>
      <c r="OXA227" s="1"/>
      <c r="OXB227" s="1"/>
      <c r="OXC227" s="1"/>
      <c r="OXD227" s="1"/>
      <c r="OXE227" s="1"/>
      <c r="OXF227" s="1"/>
      <c r="OXG227" s="1"/>
      <c r="OXH227" s="1"/>
      <c r="OXI227" s="1"/>
      <c r="OXJ227" s="1"/>
      <c r="OXK227" s="1"/>
      <c r="OXL227" s="1"/>
      <c r="OXM227" s="1"/>
      <c r="OXN227" s="1"/>
      <c r="OXO227" s="1"/>
      <c r="OXP227" s="1"/>
      <c r="OXQ227" s="1"/>
      <c r="OXR227" s="1"/>
      <c r="OXS227" s="1"/>
      <c r="OXT227" s="1"/>
      <c r="OXU227" s="1"/>
      <c r="OXV227" s="1"/>
      <c r="OXW227" s="1"/>
      <c r="OXX227" s="1"/>
      <c r="OXY227" s="1"/>
      <c r="OXZ227" s="1"/>
      <c r="OYA227" s="1"/>
      <c r="OYB227" s="1"/>
      <c r="OYC227" s="1"/>
      <c r="OYD227" s="1"/>
      <c r="OYE227" s="1"/>
      <c r="OYF227" s="1"/>
      <c r="OYG227" s="1"/>
      <c r="OYH227" s="1"/>
      <c r="OYI227" s="1"/>
      <c r="OYJ227" s="1"/>
      <c r="OYK227" s="1"/>
      <c r="OYL227" s="1"/>
      <c r="OYM227" s="1"/>
      <c r="OYN227" s="1"/>
      <c r="OYO227" s="1"/>
      <c r="OYP227" s="1"/>
      <c r="OYQ227" s="1"/>
      <c r="OYR227" s="1"/>
      <c r="OYS227" s="1"/>
      <c r="OYT227" s="1"/>
      <c r="OYU227" s="1"/>
      <c r="OYV227" s="1"/>
      <c r="OYW227" s="1"/>
      <c r="OYX227" s="1"/>
      <c r="OYY227" s="1"/>
      <c r="OYZ227" s="1"/>
      <c r="OZA227" s="1"/>
      <c r="OZB227" s="1"/>
      <c r="OZC227" s="1"/>
      <c r="OZD227" s="1"/>
      <c r="OZE227" s="1"/>
      <c r="OZF227" s="1"/>
      <c r="OZG227" s="1"/>
      <c r="OZH227" s="1"/>
      <c r="OZI227" s="1"/>
      <c r="OZJ227" s="1"/>
      <c r="OZK227" s="1"/>
      <c r="OZL227" s="1"/>
      <c r="OZM227" s="1"/>
      <c r="OZN227" s="1"/>
      <c r="OZO227" s="1"/>
      <c r="OZP227" s="1"/>
      <c r="OZQ227" s="1"/>
      <c r="OZR227" s="1"/>
      <c r="OZS227" s="1"/>
      <c r="OZT227" s="1"/>
      <c r="OZU227" s="1"/>
      <c r="OZV227" s="1"/>
      <c r="OZW227" s="1"/>
      <c r="OZX227" s="1"/>
      <c r="OZY227" s="1"/>
      <c r="OZZ227" s="1"/>
      <c r="PAA227" s="1"/>
      <c r="PAB227" s="1"/>
      <c r="PAC227" s="1"/>
      <c r="PAD227" s="1"/>
      <c r="PAE227" s="1"/>
      <c r="PAF227" s="1"/>
      <c r="PAG227" s="1"/>
      <c r="PAH227" s="1"/>
      <c r="PAI227" s="1"/>
      <c r="PAJ227" s="1"/>
      <c r="PAK227" s="1"/>
      <c r="PAL227" s="1"/>
      <c r="PAM227" s="1"/>
      <c r="PAN227" s="1"/>
      <c r="PAO227" s="1"/>
      <c r="PAP227" s="1"/>
      <c r="PAQ227" s="1"/>
      <c r="PAR227" s="1"/>
      <c r="PAS227" s="1"/>
      <c r="PAT227" s="1"/>
      <c r="PAU227" s="1"/>
      <c r="PAV227" s="1"/>
      <c r="PAW227" s="1"/>
      <c r="PAX227" s="1"/>
      <c r="PAY227" s="1"/>
      <c r="PAZ227" s="1"/>
      <c r="PBA227" s="1"/>
      <c r="PBB227" s="1"/>
      <c r="PBC227" s="1"/>
      <c r="PBD227" s="1"/>
      <c r="PBE227" s="1"/>
      <c r="PBF227" s="1"/>
      <c r="PBG227" s="1"/>
      <c r="PBH227" s="1"/>
      <c r="PBI227" s="1"/>
      <c r="PBJ227" s="1"/>
      <c r="PBK227" s="1"/>
      <c r="PBL227" s="1"/>
      <c r="PBM227" s="1"/>
      <c r="PBN227" s="1"/>
      <c r="PBO227" s="1"/>
      <c r="PBP227" s="1"/>
      <c r="PBQ227" s="1"/>
      <c r="PBR227" s="1"/>
      <c r="PBS227" s="1"/>
      <c r="PBT227" s="1"/>
      <c r="PBU227" s="1"/>
      <c r="PBV227" s="1"/>
      <c r="PBW227" s="1"/>
      <c r="PBX227" s="1"/>
      <c r="PBY227" s="1"/>
      <c r="PBZ227" s="1"/>
      <c r="PCA227" s="1"/>
      <c r="PCB227" s="1"/>
      <c r="PCC227" s="1"/>
      <c r="PCD227" s="1"/>
      <c r="PCE227" s="1"/>
      <c r="PCF227" s="1"/>
      <c r="PCG227" s="1"/>
      <c r="PCH227" s="1"/>
      <c r="PCI227" s="1"/>
      <c r="PCJ227" s="1"/>
      <c r="PCK227" s="1"/>
      <c r="PCL227" s="1"/>
      <c r="PCM227" s="1"/>
      <c r="PCN227" s="1"/>
      <c r="PCO227" s="1"/>
      <c r="PCP227" s="1"/>
      <c r="PCQ227" s="1"/>
      <c r="PCR227" s="1"/>
      <c r="PCS227" s="1"/>
      <c r="PCT227" s="1"/>
      <c r="PCU227" s="1"/>
      <c r="PCV227" s="1"/>
      <c r="PCW227" s="1"/>
      <c r="PCX227" s="1"/>
      <c r="PCY227" s="1"/>
      <c r="PCZ227" s="1"/>
      <c r="PDA227" s="1"/>
      <c r="PDB227" s="1"/>
      <c r="PDC227" s="1"/>
      <c r="PDD227" s="1"/>
      <c r="PDE227" s="1"/>
      <c r="PDF227" s="1"/>
      <c r="PDG227" s="1"/>
      <c r="PDH227" s="1"/>
      <c r="PDI227" s="1"/>
      <c r="PDJ227" s="1"/>
      <c r="PDK227" s="1"/>
      <c r="PDL227" s="1"/>
      <c r="PDM227" s="1"/>
      <c r="PDN227" s="1"/>
      <c r="PDO227" s="1"/>
      <c r="PDP227" s="1"/>
      <c r="PDQ227" s="1"/>
      <c r="PDR227" s="1"/>
      <c r="PDS227" s="1"/>
      <c r="PDT227" s="1"/>
      <c r="PDU227" s="1"/>
      <c r="PDV227" s="1"/>
      <c r="PDW227" s="1"/>
      <c r="PDX227" s="1"/>
      <c r="PDY227" s="1"/>
      <c r="PDZ227" s="1"/>
      <c r="PEA227" s="1"/>
      <c r="PEB227" s="1"/>
      <c r="PEC227" s="1"/>
      <c r="PED227" s="1"/>
      <c r="PEE227" s="1"/>
      <c r="PEF227" s="1"/>
      <c r="PEG227" s="1"/>
      <c r="PEH227" s="1"/>
      <c r="PEI227" s="1"/>
      <c r="PEJ227" s="1"/>
      <c r="PEK227" s="1"/>
      <c r="PEL227" s="1"/>
      <c r="PEM227" s="1"/>
      <c r="PEN227" s="1"/>
      <c r="PEO227" s="1"/>
      <c r="PEP227" s="1"/>
      <c r="PEQ227" s="1"/>
      <c r="PER227" s="1"/>
      <c r="PES227" s="1"/>
      <c r="PET227" s="1"/>
      <c r="PEU227" s="1"/>
      <c r="PEV227" s="1"/>
      <c r="PEW227" s="1"/>
      <c r="PEX227" s="1"/>
      <c r="PEY227" s="1"/>
      <c r="PEZ227" s="1"/>
      <c r="PFA227" s="1"/>
      <c r="PFB227" s="1"/>
      <c r="PFC227" s="1"/>
      <c r="PFD227" s="1"/>
      <c r="PFE227" s="1"/>
      <c r="PFF227" s="1"/>
      <c r="PFG227" s="1"/>
      <c r="PFH227" s="1"/>
      <c r="PFI227" s="1"/>
      <c r="PFJ227" s="1"/>
      <c r="PFK227" s="1"/>
      <c r="PFL227" s="1"/>
      <c r="PFM227" s="1"/>
      <c r="PFN227" s="1"/>
      <c r="PFO227" s="1"/>
      <c r="PFP227" s="1"/>
      <c r="PFQ227" s="1"/>
      <c r="PFR227" s="1"/>
      <c r="PFS227" s="1"/>
      <c r="PFT227" s="1"/>
      <c r="PFU227" s="1"/>
      <c r="PFV227" s="1"/>
      <c r="PFW227" s="1"/>
      <c r="PFX227" s="1"/>
      <c r="PFY227" s="1"/>
      <c r="PFZ227" s="1"/>
      <c r="PGA227" s="1"/>
      <c r="PGB227" s="1"/>
      <c r="PGC227" s="1"/>
      <c r="PGD227" s="1"/>
      <c r="PGE227" s="1"/>
      <c r="PGF227" s="1"/>
      <c r="PGG227" s="1"/>
      <c r="PGH227" s="1"/>
      <c r="PGI227" s="1"/>
      <c r="PGJ227" s="1"/>
      <c r="PGK227" s="1"/>
      <c r="PGL227" s="1"/>
      <c r="PGM227" s="1"/>
      <c r="PGN227" s="1"/>
      <c r="PGO227" s="1"/>
      <c r="PGP227" s="1"/>
      <c r="PGQ227" s="1"/>
      <c r="PGR227" s="1"/>
      <c r="PGS227" s="1"/>
      <c r="PGT227" s="1"/>
      <c r="PGU227" s="1"/>
      <c r="PGV227" s="1"/>
      <c r="PGW227" s="1"/>
      <c r="PGX227" s="1"/>
      <c r="PGY227" s="1"/>
      <c r="PGZ227" s="1"/>
      <c r="PHA227" s="1"/>
      <c r="PHB227" s="1"/>
      <c r="PHC227" s="1"/>
      <c r="PHD227" s="1"/>
      <c r="PHE227" s="1"/>
      <c r="PHF227" s="1"/>
      <c r="PHG227" s="1"/>
      <c r="PHH227" s="1"/>
      <c r="PHI227" s="1"/>
      <c r="PHJ227" s="1"/>
      <c r="PHK227" s="1"/>
      <c r="PHL227" s="1"/>
      <c r="PHM227" s="1"/>
      <c r="PHN227" s="1"/>
      <c r="PHO227" s="1"/>
      <c r="PHP227" s="1"/>
      <c r="PHQ227" s="1"/>
      <c r="PHR227" s="1"/>
      <c r="PHS227" s="1"/>
      <c r="PHT227" s="1"/>
      <c r="PHU227" s="1"/>
      <c r="PHV227" s="1"/>
      <c r="PHW227" s="1"/>
      <c r="PHX227" s="1"/>
      <c r="PHY227" s="1"/>
      <c r="PHZ227" s="1"/>
      <c r="PIA227" s="1"/>
      <c r="PIB227" s="1"/>
      <c r="PIC227" s="1"/>
      <c r="PID227" s="1"/>
      <c r="PIE227" s="1"/>
      <c r="PIF227" s="1"/>
      <c r="PIG227" s="1"/>
      <c r="PIH227" s="1"/>
      <c r="PII227" s="1"/>
      <c r="PIJ227" s="1"/>
      <c r="PIK227" s="1"/>
      <c r="PIL227" s="1"/>
      <c r="PIM227" s="1"/>
      <c r="PIN227" s="1"/>
      <c r="PIO227" s="1"/>
      <c r="PIP227" s="1"/>
      <c r="PIQ227" s="1"/>
      <c r="PIR227" s="1"/>
      <c r="PIS227" s="1"/>
      <c r="PIT227" s="1"/>
      <c r="PIU227" s="1"/>
      <c r="PIV227" s="1"/>
      <c r="PIW227" s="1"/>
      <c r="PIX227" s="1"/>
      <c r="PIY227" s="1"/>
      <c r="PIZ227" s="1"/>
      <c r="PJA227" s="1"/>
      <c r="PJB227" s="1"/>
      <c r="PJC227" s="1"/>
      <c r="PJD227" s="1"/>
      <c r="PJE227" s="1"/>
      <c r="PJF227" s="1"/>
      <c r="PJG227" s="1"/>
      <c r="PJH227" s="1"/>
      <c r="PJI227" s="1"/>
      <c r="PJJ227" s="1"/>
      <c r="PJK227" s="1"/>
      <c r="PJL227" s="1"/>
      <c r="PJM227" s="1"/>
      <c r="PJN227" s="1"/>
      <c r="PJO227" s="1"/>
      <c r="PJP227" s="1"/>
      <c r="PJQ227" s="1"/>
      <c r="PJR227" s="1"/>
      <c r="PJS227" s="1"/>
      <c r="PJT227" s="1"/>
      <c r="PJU227" s="1"/>
      <c r="PJV227" s="1"/>
      <c r="PJW227" s="1"/>
      <c r="PJX227" s="1"/>
      <c r="PJY227" s="1"/>
      <c r="PJZ227" s="1"/>
      <c r="PKA227" s="1"/>
      <c r="PKB227" s="1"/>
      <c r="PKC227" s="1"/>
      <c r="PKD227" s="1"/>
      <c r="PKE227" s="1"/>
      <c r="PKF227" s="1"/>
      <c r="PKG227" s="1"/>
      <c r="PKH227" s="1"/>
      <c r="PKI227" s="1"/>
      <c r="PKJ227" s="1"/>
      <c r="PKK227" s="1"/>
      <c r="PKL227" s="1"/>
      <c r="PKM227" s="1"/>
      <c r="PKN227" s="1"/>
      <c r="PKO227" s="1"/>
      <c r="PKP227" s="1"/>
      <c r="PKQ227" s="1"/>
      <c r="PKR227" s="1"/>
      <c r="PKS227" s="1"/>
      <c r="PKT227" s="1"/>
      <c r="PKU227" s="1"/>
      <c r="PKV227" s="1"/>
      <c r="PKW227" s="1"/>
      <c r="PKX227" s="1"/>
      <c r="PKY227" s="1"/>
      <c r="PKZ227" s="1"/>
      <c r="PLA227" s="1"/>
      <c r="PLB227" s="1"/>
      <c r="PLC227" s="1"/>
      <c r="PLD227" s="1"/>
      <c r="PLE227" s="1"/>
      <c r="PLF227" s="1"/>
      <c r="PLG227" s="1"/>
      <c r="PLH227" s="1"/>
      <c r="PLI227" s="1"/>
      <c r="PLJ227" s="1"/>
      <c r="PLK227" s="1"/>
      <c r="PLL227" s="1"/>
      <c r="PLM227" s="1"/>
      <c r="PLN227" s="1"/>
      <c r="PLO227" s="1"/>
      <c r="PLP227" s="1"/>
      <c r="PLQ227" s="1"/>
      <c r="PLR227" s="1"/>
      <c r="PLS227" s="1"/>
      <c r="PLT227" s="1"/>
      <c r="PLU227" s="1"/>
      <c r="PLV227" s="1"/>
      <c r="PLW227" s="1"/>
      <c r="PLX227" s="1"/>
      <c r="PLY227" s="1"/>
      <c r="PLZ227" s="1"/>
      <c r="PMA227" s="1"/>
      <c r="PMB227" s="1"/>
      <c r="PMC227" s="1"/>
      <c r="PMD227" s="1"/>
      <c r="PME227" s="1"/>
      <c r="PMF227" s="1"/>
      <c r="PMG227" s="1"/>
      <c r="PMH227" s="1"/>
      <c r="PMI227" s="1"/>
      <c r="PMJ227" s="1"/>
      <c r="PMK227" s="1"/>
      <c r="PML227" s="1"/>
      <c r="PMM227" s="1"/>
      <c r="PMN227" s="1"/>
      <c r="PMO227" s="1"/>
      <c r="PMP227" s="1"/>
      <c r="PMQ227" s="1"/>
      <c r="PMR227" s="1"/>
      <c r="PMS227" s="1"/>
      <c r="PMT227" s="1"/>
      <c r="PMU227" s="1"/>
      <c r="PMV227" s="1"/>
      <c r="PMW227" s="1"/>
      <c r="PMX227" s="1"/>
      <c r="PMY227" s="1"/>
      <c r="PMZ227" s="1"/>
      <c r="PNA227" s="1"/>
      <c r="PNB227" s="1"/>
      <c r="PNC227" s="1"/>
      <c r="PND227" s="1"/>
      <c r="PNE227" s="1"/>
      <c r="PNF227" s="1"/>
      <c r="PNG227" s="1"/>
      <c r="PNH227" s="1"/>
      <c r="PNI227" s="1"/>
      <c r="PNJ227" s="1"/>
      <c r="PNK227" s="1"/>
      <c r="PNL227" s="1"/>
      <c r="PNM227" s="1"/>
      <c r="PNN227" s="1"/>
      <c r="PNO227" s="1"/>
      <c r="PNP227" s="1"/>
      <c r="PNQ227" s="1"/>
      <c r="PNR227" s="1"/>
      <c r="PNS227" s="1"/>
      <c r="PNT227" s="1"/>
      <c r="PNU227" s="1"/>
      <c r="PNV227" s="1"/>
      <c r="PNW227" s="1"/>
      <c r="PNX227" s="1"/>
      <c r="PNY227" s="1"/>
      <c r="PNZ227" s="1"/>
      <c r="POA227" s="1"/>
      <c r="POB227" s="1"/>
      <c r="POC227" s="1"/>
      <c r="POD227" s="1"/>
      <c r="POE227" s="1"/>
      <c r="POF227" s="1"/>
      <c r="POG227" s="1"/>
      <c r="POH227" s="1"/>
      <c r="POI227" s="1"/>
      <c r="POJ227" s="1"/>
      <c r="POK227" s="1"/>
      <c r="POL227" s="1"/>
      <c r="POM227" s="1"/>
      <c r="PON227" s="1"/>
      <c r="POO227" s="1"/>
      <c r="POP227" s="1"/>
      <c r="POQ227" s="1"/>
      <c r="POR227" s="1"/>
      <c r="POS227" s="1"/>
      <c r="POT227" s="1"/>
      <c r="POU227" s="1"/>
      <c r="POV227" s="1"/>
      <c r="POW227" s="1"/>
      <c r="POX227" s="1"/>
      <c r="POY227" s="1"/>
      <c r="POZ227" s="1"/>
      <c r="PPA227" s="1"/>
      <c r="PPB227" s="1"/>
      <c r="PPC227" s="1"/>
      <c r="PPD227" s="1"/>
      <c r="PPE227" s="1"/>
      <c r="PPF227" s="1"/>
      <c r="PPG227" s="1"/>
      <c r="PPH227" s="1"/>
      <c r="PPI227" s="1"/>
      <c r="PPJ227" s="1"/>
      <c r="PPK227" s="1"/>
      <c r="PPL227" s="1"/>
      <c r="PPM227" s="1"/>
      <c r="PPN227" s="1"/>
      <c r="PPO227" s="1"/>
      <c r="PPP227" s="1"/>
      <c r="PPQ227" s="1"/>
      <c r="PPR227" s="1"/>
      <c r="PPS227" s="1"/>
      <c r="PPT227" s="1"/>
      <c r="PPU227" s="1"/>
      <c r="PPV227" s="1"/>
      <c r="PPW227" s="1"/>
      <c r="PPX227" s="1"/>
      <c r="PPY227" s="1"/>
      <c r="PPZ227" s="1"/>
      <c r="PQA227" s="1"/>
      <c r="PQB227" s="1"/>
      <c r="PQC227" s="1"/>
      <c r="PQD227" s="1"/>
      <c r="PQE227" s="1"/>
      <c r="PQF227" s="1"/>
      <c r="PQG227" s="1"/>
      <c r="PQH227" s="1"/>
      <c r="PQI227" s="1"/>
      <c r="PQJ227" s="1"/>
      <c r="PQK227" s="1"/>
      <c r="PQL227" s="1"/>
      <c r="PQM227" s="1"/>
      <c r="PQN227" s="1"/>
      <c r="PQO227" s="1"/>
      <c r="PQP227" s="1"/>
      <c r="PQQ227" s="1"/>
      <c r="PQR227" s="1"/>
      <c r="PQS227" s="1"/>
      <c r="PQT227" s="1"/>
      <c r="PQU227" s="1"/>
      <c r="PQV227" s="1"/>
      <c r="PQW227" s="1"/>
      <c r="PQX227" s="1"/>
      <c r="PQY227" s="1"/>
      <c r="PQZ227" s="1"/>
      <c r="PRA227" s="1"/>
      <c r="PRB227" s="1"/>
      <c r="PRC227" s="1"/>
      <c r="PRD227" s="1"/>
      <c r="PRE227" s="1"/>
      <c r="PRF227" s="1"/>
      <c r="PRG227" s="1"/>
      <c r="PRH227" s="1"/>
      <c r="PRI227" s="1"/>
      <c r="PRJ227" s="1"/>
      <c r="PRK227" s="1"/>
      <c r="PRL227" s="1"/>
      <c r="PRM227" s="1"/>
      <c r="PRN227" s="1"/>
      <c r="PRO227" s="1"/>
      <c r="PRP227" s="1"/>
      <c r="PRQ227" s="1"/>
      <c r="PRR227" s="1"/>
      <c r="PRS227" s="1"/>
      <c r="PRT227" s="1"/>
      <c r="PRU227" s="1"/>
      <c r="PRV227" s="1"/>
      <c r="PRW227" s="1"/>
      <c r="PRX227" s="1"/>
      <c r="PRY227" s="1"/>
      <c r="PRZ227" s="1"/>
      <c r="PSA227" s="1"/>
      <c r="PSB227" s="1"/>
      <c r="PSC227" s="1"/>
      <c r="PSD227" s="1"/>
      <c r="PSE227" s="1"/>
      <c r="PSF227" s="1"/>
      <c r="PSG227" s="1"/>
      <c r="PSH227" s="1"/>
      <c r="PSI227" s="1"/>
      <c r="PSJ227" s="1"/>
      <c r="PSK227" s="1"/>
      <c r="PSL227" s="1"/>
      <c r="PSM227" s="1"/>
      <c r="PSN227" s="1"/>
      <c r="PSO227" s="1"/>
      <c r="PSP227" s="1"/>
      <c r="PSQ227" s="1"/>
      <c r="PSR227" s="1"/>
      <c r="PSS227" s="1"/>
      <c r="PST227" s="1"/>
      <c r="PSU227" s="1"/>
      <c r="PSV227" s="1"/>
      <c r="PSW227" s="1"/>
      <c r="PSX227" s="1"/>
      <c r="PSY227" s="1"/>
      <c r="PSZ227" s="1"/>
      <c r="PTA227" s="1"/>
      <c r="PTB227" s="1"/>
      <c r="PTC227" s="1"/>
      <c r="PTD227" s="1"/>
      <c r="PTE227" s="1"/>
      <c r="PTF227" s="1"/>
      <c r="PTG227" s="1"/>
      <c r="PTH227" s="1"/>
      <c r="PTI227" s="1"/>
      <c r="PTJ227" s="1"/>
      <c r="PTK227" s="1"/>
      <c r="PTL227" s="1"/>
      <c r="PTM227" s="1"/>
      <c r="PTN227" s="1"/>
      <c r="PTO227" s="1"/>
      <c r="PTP227" s="1"/>
      <c r="PTQ227" s="1"/>
      <c r="PTR227" s="1"/>
      <c r="PTS227" s="1"/>
      <c r="PTT227" s="1"/>
      <c r="PTU227" s="1"/>
      <c r="PTV227" s="1"/>
      <c r="PTW227" s="1"/>
      <c r="PTX227" s="1"/>
      <c r="PTY227" s="1"/>
      <c r="PTZ227" s="1"/>
      <c r="PUA227" s="1"/>
      <c r="PUB227" s="1"/>
      <c r="PUC227" s="1"/>
      <c r="PUD227" s="1"/>
      <c r="PUE227" s="1"/>
      <c r="PUF227" s="1"/>
      <c r="PUG227" s="1"/>
      <c r="PUH227" s="1"/>
      <c r="PUI227" s="1"/>
      <c r="PUJ227" s="1"/>
      <c r="PUK227" s="1"/>
      <c r="PUL227" s="1"/>
      <c r="PUM227" s="1"/>
      <c r="PUN227" s="1"/>
      <c r="PUO227" s="1"/>
      <c r="PUP227" s="1"/>
      <c r="PUQ227" s="1"/>
      <c r="PUR227" s="1"/>
      <c r="PUS227" s="1"/>
      <c r="PUT227" s="1"/>
      <c r="PUU227" s="1"/>
      <c r="PUV227" s="1"/>
      <c r="PUW227" s="1"/>
      <c r="PUX227" s="1"/>
      <c r="PUY227" s="1"/>
      <c r="PUZ227" s="1"/>
      <c r="PVA227" s="1"/>
      <c r="PVB227" s="1"/>
      <c r="PVC227" s="1"/>
      <c r="PVD227" s="1"/>
      <c r="PVE227" s="1"/>
      <c r="PVF227" s="1"/>
      <c r="PVG227" s="1"/>
      <c r="PVH227" s="1"/>
      <c r="PVI227" s="1"/>
      <c r="PVJ227" s="1"/>
      <c r="PVK227" s="1"/>
      <c r="PVL227" s="1"/>
      <c r="PVM227" s="1"/>
      <c r="PVN227" s="1"/>
      <c r="PVO227" s="1"/>
      <c r="PVP227" s="1"/>
      <c r="PVQ227" s="1"/>
      <c r="PVR227" s="1"/>
      <c r="PVS227" s="1"/>
      <c r="PVT227" s="1"/>
      <c r="PVU227" s="1"/>
      <c r="PVV227" s="1"/>
      <c r="PVW227" s="1"/>
      <c r="PVX227" s="1"/>
      <c r="PVY227" s="1"/>
      <c r="PVZ227" s="1"/>
      <c r="PWA227" s="1"/>
      <c r="PWB227" s="1"/>
      <c r="PWC227" s="1"/>
      <c r="PWD227" s="1"/>
      <c r="PWE227" s="1"/>
      <c r="PWF227" s="1"/>
      <c r="PWG227" s="1"/>
      <c r="PWH227" s="1"/>
      <c r="PWI227" s="1"/>
      <c r="PWJ227" s="1"/>
      <c r="PWK227" s="1"/>
      <c r="PWL227" s="1"/>
      <c r="PWM227" s="1"/>
      <c r="PWN227" s="1"/>
      <c r="PWO227" s="1"/>
      <c r="PWP227" s="1"/>
      <c r="PWQ227" s="1"/>
      <c r="PWR227" s="1"/>
      <c r="PWS227" s="1"/>
      <c r="PWT227" s="1"/>
      <c r="PWU227" s="1"/>
      <c r="PWV227" s="1"/>
      <c r="PWW227" s="1"/>
      <c r="PWX227" s="1"/>
      <c r="PWY227" s="1"/>
      <c r="PWZ227" s="1"/>
      <c r="PXA227" s="1"/>
      <c r="PXB227" s="1"/>
      <c r="PXC227" s="1"/>
      <c r="PXD227" s="1"/>
      <c r="PXE227" s="1"/>
      <c r="PXF227" s="1"/>
      <c r="PXG227" s="1"/>
      <c r="PXH227" s="1"/>
      <c r="PXI227" s="1"/>
      <c r="PXJ227" s="1"/>
      <c r="PXK227" s="1"/>
      <c r="PXL227" s="1"/>
      <c r="PXM227" s="1"/>
      <c r="PXN227" s="1"/>
      <c r="PXO227" s="1"/>
      <c r="PXP227" s="1"/>
      <c r="PXQ227" s="1"/>
      <c r="PXR227" s="1"/>
      <c r="PXS227" s="1"/>
      <c r="PXT227" s="1"/>
      <c r="PXU227" s="1"/>
      <c r="PXV227" s="1"/>
      <c r="PXW227" s="1"/>
      <c r="PXX227" s="1"/>
      <c r="PXY227" s="1"/>
      <c r="PXZ227" s="1"/>
      <c r="PYA227" s="1"/>
      <c r="PYB227" s="1"/>
      <c r="PYC227" s="1"/>
      <c r="PYD227" s="1"/>
      <c r="PYE227" s="1"/>
      <c r="PYF227" s="1"/>
      <c r="PYG227" s="1"/>
      <c r="PYH227" s="1"/>
      <c r="PYI227" s="1"/>
      <c r="PYJ227" s="1"/>
      <c r="PYK227" s="1"/>
      <c r="PYL227" s="1"/>
      <c r="PYM227" s="1"/>
      <c r="PYN227" s="1"/>
      <c r="PYO227" s="1"/>
      <c r="PYP227" s="1"/>
      <c r="PYQ227" s="1"/>
      <c r="PYR227" s="1"/>
      <c r="PYS227" s="1"/>
      <c r="PYT227" s="1"/>
      <c r="PYU227" s="1"/>
      <c r="PYV227" s="1"/>
      <c r="PYW227" s="1"/>
      <c r="PYX227" s="1"/>
      <c r="PYY227" s="1"/>
      <c r="PYZ227" s="1"/>
      <c r="PZA227" s="1"/>
      <c r="PZB227" s="1"/>
      <c r="PZC227" s="1"/>
      <c r="PZD227" s="1"/>
      <c r="PZE227" s="1"/>
      <c r="PZF227" s="1"/>
      <c r="PZG227" s="1"/>
      <c r="PZH227" s="1"/>
      <c r="PZI227" s="1"/>
      <c r="PZJ227" s="1"/>
      <c r="PZK227" s="1"/>
      <c r="PZL227" s="1"/>
      <c r="PZM227" s="1"/>
      <c r="PZN227" s="1"/>
      <c r="PZO227" s="1"/>
      <c r="PZP227" s="1"/>
      <c r="PZQ227" s="1"/>
      <c r="PZR227" s="1"/>
      <c r="PZS227" s="1"/>
      <c r="PZT227" s="1"/>
      <c r="PZU227" s="1"/>
      <c r="PZV227" s="1"/>
      <c r="PZW227" s="1"/>
      <c r="PZX227" s="1"/>
      <c r="PZY227" s="1"/>
      <c r="PZZ227" s="1"/>
      <c r="QAA227" s="1"/>
      <c r="QAB227" s="1"/>
      <c r="QAC227" s="1"/>
      <c r="QAD227" s="1"/>
      <c r="QAE227" s="1"/>
      <c r="QAF227" s="1"/>
      <c r="QAG227" s="1"/>
      <c r="QAH227" s="1"/>
      <c r="QAI227" s="1"/>
      <c r="QAJ227" s="1"/>
      <c r="QAK227" s="1"/>
      <c r="QAL227" s="1"/>
      <c r="QAM227" s="1"/>
      <c r="QAN227" s="1"/>
      <c r="QAO227" s="1"/>
      <c r="QAP227" s="1"/>
      <c r="QAQ227" s="1"/>
      <c r="QAR227" s="1"/>
      <c r="QAS227" s="1"/>
      <c r="QAT227" s="1"/>
      <c r="QAU227" s="1"/>
      <c r="QAV227" s="1"/>
      <c r="QAW227" s="1"/>
      <c r="QAX227" s="1"/>
      <c r="QAY227" s="1"/>
      <c r="QAZ227" s="1"/>
      <c r="QBA227" s="1"/>
      <c r="QBB227" s="1"/>
      <c r="QBC227" s="1"/>
      <c r="QBD227" s="1"/>
      <c r="QBE227" s="1"/>
      <c r="QBF227" s="1"/>
      <c r="QBG227" s="1"/>
      <c r="QBH227" s="1"/>
      <c r="QBI227" s="1"/>
      <c r="QBJ227" s="1"/>
      <c r="QBK227" s="1"/>
      <c r="QBL227" s="1"/>
      <c r="QBM227" s="1"/>
      <c r="QBN227" s="1"/>
      <c r="QBO227" s="1"/>
      <c r="QBP227" s="1"/>
      <c r="QBQ227" s="1"/>
      <c r="QBR227" s="1"/>
      <c r="QBS227" s="1"/>
      <c r="QBT227" s="1"/>
      <c r="QBU227" s="1"/>
      <c r="QBV227" s="1"/>
      <c r="QBW227" s="1"/>
      <c r="QBX227" s="1"/>
      <c r="QBY227" s="1"/>
      <c r="QBZ227" s="1"/>
      <c r="QCA227" s="1"/>
      <c r="QCB227" s="1"/>
      <c r="QCC227" s="1"/>
      <c r="QCD227" s="1"/>
      <c r="QCE227" s="1"/>
      <c r="QCF227" s="1"/>
      <c r="QCG227" s="1"/>
      <c r="QCH227" s="1"/>
      <c r="QCI227" s="1"/>
      <c r="QCJ227" s="1"/>
      <c r="QCK227" s="1"/>
      <c r="QCL227" s="1"/>
      <c r="QCM227" s="1"/>
      <c r="QCN227" s="1"/>
      <c r="QCO227" s="1"/>
      <c r="QCP227" s="1"/>
      <c r="QCQ227" s="1"/>
      <c r="QCR227" s="1"/>
      <c r="QCS227" s="1"/>
      <c r="QCT227" s="1"/>
      <c r="QCU227" s="1"/>
      <c r="QCV227" s="1"/>
      <c r="QCW227" s="1"/>
      <c r="QCX227" s="1"/>
      <c r="QCY227" s="1"/>
      <c r="QCZ227" s="1"/>
      <c r="QDA227" s="1"/>
      <c r="QDB227" s="1"/>
      <c r="QDC227" s="1"/>
      <c r="QDD227" s="1"/>
      <c r="QDE227" s="1"/>
      <c r="QDF227" s="1"/>
      <c r="QDG227" s="1"/>
      <c r="QDH227" s="1"/>
      <c r="QDI227" s="1"/>
      <c r="QDJ227" s="1"/>
      <c r="QDK227" s="1"/>
      <c r="QDL227" s="1"/>
      <c r="QDM227" s="1"/>
      <c r="QDN227" s="1"/>
      <c r="QDO227" s="1"/>
      <c r="QDP227" s="1"/>
      <c r="QDQ227" s="1"/>
      <c r="QDR227" s="1"/>
      <c r="QDS227" s="1"/>
      <c r="QDT227" s="1"/>
      <c r="QDU227" s="1"/>
      <c r="QDV227" s="1"/>
      <c r="QDW227" s="1"/>
      <c r="QDX227" s="1"/>
      <c r="QDY227" s="1"/>
      <c r="QDZ227" s="1"/>
      <c r="QEA227" s="1"/>
      <c r="QEB227" s="1"/>
      <c r="QEC227" s="1"/>
      <c r="QED227" s="1"/>
      <c r="QEE227" s="1"/>
      <c r="QEF227" s="1"/>
      <c r="QEG227" s="1"/>
      <c r="QEH227" s="1"/>
      <c r="QEI227" s="1"/>
      <c r="QEJ227" s="1"/>
      <c r="QEK227" s="1"/>
      <c r="QEL227" s="1"/>
      <c r="QEM227" s="1"/>
      <c r="QEN227" s="1"/>
      <c r="QEO227" s="1"/>
      <c r="QEP227" s="1"/>
      <c r="QEQ227" s="1"/>
      <c r="QER227" s="1"/>
      <c r="QES227" s="1"/>
      <c r="QET227" s="1"/>
      <c r="QEU227" s="1"/>
      <c r="QEV227" s="1"/>
      <c r="QEW227" s="1"/>
      <c r="QEX227" s="1"/>
      <c r="QEY227" s="1"/>
      <c r="QEZ227" s="1"/>
      <c r="QFA227" s="1"/>
      <c r="QFB227" s="1"/>
      <c r="QFC227" s="1"/>
      <c r="QFD227" s="1"/>
      <c r="QFE227" s="1"/>
      <c r="QFF227" s="1"/>
      <c r="QFG227" s="1"/>
      <c r="QFH227" s="1"/>
      <c r="QFI227" s="1"/>
      <c r="QFJ227" s="1"/>
      <c r="QFK227" s="1"/>
      <c r="QFL227" s="1"/>
      <c r="QFM227" s="1"/>
      <c r="QFN227" s="1"/>
      <c r="QFO227" s="1"/>
      <c r="QFP227" s="1"/>
      <c r="QFQ227" s="1"/>
      <c r="QFR227" s="1"/>
      <c r="QFS227" s="1"/>
      <c r="QFT227" s="1"/>
      <c r="QFU227" s="1"/>
      <c r="QFV227" s="1"/>
      <c r="QFW227" s="1"/>
      <c r="QFX227" s="1"/>
      <c r="QFY227" s="1"/>
      <c r="QFZ227" s="1"/>
      <c r="QGA227" s="1"/>
      <c r="QGB227" s="1"/>
      <c r="QGC227" s="1"/>
      <c r="QGD227" s="1"/>
      <c r="QGE227" s="1"/>
      <c r="QGF227" s="1"/>
      <c r="QGG227" s="1"/>
      <c r="QGH227" s="1"/>
      <c r="QGI227" s="1"/>
      <c r="QGJ227" s="1"/>
      <c r="QGK227" s="1"/>
      <c r="QGL227" s="1"/>
      <c r="QGM227" s="1"/>
      <c r="QGN227" s="1"/>
      <c r="QGO227" s="1"/>
      <c r="QGP227" s="1"/>
      <c r="QGQ227" s="1"/>
      <c r="QGR227" s="1"/>
      <c r="QGS227" s="1"/>
      <c r="QGT227" s="1"/>
      <c r="QGU227" s="1"/>
      <c r="QGV227" s="1"/>
      <c r="QGW227" s="1"/>
      <c r="QGX227" s="1"/>
      <c r="QGY227" s="1"/>
      <c r="QGZ227" s="1"/>
      <c r="QHA227" s="1"/>
      <c r="QHB227" s="1"/>
      <c r="QHC227" s="1"/>
      <c r="QHD227" s="1"/>
      <c r="QHE227" s="1"/>
      <c r="QHF227" s="1"/>
      <c r="QHG227" s="1"/>
      <c r="QHH227" s="1"/>
      <c r="QHI227" s="1"/>
      <c r="QHJ227" s="1"/>
      <c r="QHK227" s="1"/>
      <c r="QHL227" s="1"/>
      <c r="QHM227" s="1"/>
      <c r="QHN227" s="1"/>
      <c r="QHO227" s="1"/>
      <c r="QHP227" s="1"/>
      <c r="QHQ227" s="1"/>
      <c r="QHR227" s="1"/>
      <c r="QHS227" s="1"/>
      <c r="QHT227" s="1"/>
      <c r="QHU227" s="1"/>
      <c r="QHV227" s="1"/>
      <c r="QHW227" s="1"/>
      <c r="QHX227" s="1"/>
      <c r="QHY227" s="1"/>
      <c r="QHZ227" s="1"/>
      <c r="QIA227" s="1"/>
      <c r="QIB227" s="1"/>
      <c r="QIC227" s="1"/>
      <c r="QID227" s="1"/>
      <c r="QIE227" s="1"/>
      <c r="QIF227" s="1"/>
      <c r="QIG227" s="1"/>
      <c r="QIH227" s="1"/>
      <c r="QII227" s="1"/>
      <c r="QIJ227" s="1"/>
      <c r="QIK227" s="1"/>
      <c r="QIL227" s="1"/>
      <c r="QIM227" s="1"/>
      <c r="QIN227" s="1"/>
      <c r="QIO227" s="1"/>
      <c r="QIP227" s="1"/>
      <c r="QIQ227" s="1"/>
      <c r="QIR227" s="1"/>
      <c r="QIS227" s="1"/>
      <c r="QIT227" s="1"/>
      <c r="QIU227" s="1"/>
      <c r="QIV227" s="1"/>
      <c r="QIW227" s="1"/>
      <c r="QIX227" s="1"/>
      <c r="QIY227" s="1"/>
      <c r="QIZ227" s="1"/>
      <c r="QJA227" s="1"/>
      <c r="QJB227" s="1"/>
      <c r="QJC227" s="1"/>
      <c r="QJD227" s="1"/>
      <c r="QJE227" s="1"/>
      <c r="QJF227" s="1"/>
      <c r="QJG227" s="1"/>
      <c r="QJH227" s="1"/>
      <c r="QJI227" s="1"/>
      <c r="QJJ227" s="1"/>
      <c r="QJK227" s="1"/>
      <c r="QJL227" s="1"/>
      <c r="QJM227" s="1"/>
      <c r="QJN227" s="1"/>
      <c r="QJO227" s="1"/>
      <c r="QJP227" s="1"/>
      <c r="QJQ227" s="1"/>
      <c r="QJR227" s="1"/>
      <c r="QJS227" s="1"/>
      <c r="QJT227" s="1"/>
      <c r="QJU227" s="1"/>
      <c r="QJV227" s="1"/>
      <c r="QJW227" s="1"/>
      <c r="QJX227" s="1"/>
      <c r="QJY227" s="1"/>
      <c r="QJZ227" s="1"/>
      <c r="QKA227" s="1"/>
      <c r="QKB227" s="1"/>
      <c r="QKC227" s="1"/>
      <c r="QKD227" s="1"/>
      <c r="QKE227" s="1"/>
      <c r="QKF227" s="1"/>
      <c r="QKG227" s="1"/>
      <c r="QKH227" s="1"/>
      <c r="QKI227" s="1"/>
      <c r="QKJ227" s="1"/>
      <c r="QKK227" s="1"/>
      <c r="QKL227" s="1"/>
      <c r="QKM227" s="1"/>
      <c r="QKN227" s="1"/>
      <c r="QKO227" s="1"/>
      <c r="QKP227" s="1"/>
      <c r="QKQ227" s="1"/>
      <c r="QKR227" s="1"/>
      <c r="QKS227" s="1"/>
      <c r="QKT227" s="1"/>
      <c r="QKU227" s="1"/>
      <c r="QKV227" s="1"/>
      <c r="QKW227" s="1"/>
      <c r="QKX227" s="1"/>
      <c r="QKY227" s="1"/>
      <c r="QKZ227" s="1"/>
      <c r="QLA227" s="1"/>
      <c r="QLB227" s="1"/>
      <c r="QLC227" s="1"/>
      <c r="QLD227" s="1"/>
      <c r="QLE227" s="1"/>
      <c r="QLF227" s="1"/>
      <c r="QLG227" s="1"/>
      <c r="QLH227" s="1"/>
      <c r="QLI227" s="1"/>
      <c r="QLJ227" s="1"/>
      <c r="QLK227" s="1"/>
      <c r="QLL227" s="1"/>
      <c r="QLM227" s="1"/>
      <c r="QLN227" s="1"/>
      <c r="QLO227" s="1"/>
      <c r="QLP227" s="1"/>
      <c r="QLQ227" s="1"/>
      <c r="QLR227" s="1"/>
      <c r="QLS227" s="1"/>
      <c r="QLT227" s="1"/>
      <c r="QLU227" s="1"/>
      <c r="QLV227" s="1"/>
      <c r="QLW227" s="1"/>
      <c r="QLX227" s="1"/>
      <c r="QLY227" s="1"/>
      <c r="QLZ227" s="1"/>
      <c r="QMA227" s="1"/>
      <c r="QMB227" s="1"/>
      <c r="QMC227" s="1"/>
      <c r="QMD227" s="1"/>
      <c r="QME227" s="1"/>
      <c r="QMF227" s="1"/>
      <c r="QMG227" s="1"/>
      <c r="QMH227" s="1"/>
      <c r="QMI227" s="1"/>
      <c r="QMJ227" s="1"/>
      <c r="QMK227" s="1"/>
      <c r="QML227" s="1"/>
      <c r="QMM227" s="1"/>
      <c r="QMN227" s="1"/>
      <c r="QMO227" s="1"/>
      <c r="QMP227" s="1"/>
      <c r="QMQ227" s="1"/>
      <c r="QMR227" s="1"/>
      <c r="QMS227" s="1"/>
      <c r="QMT227" s="1"/>
      <c r="QMU227" s="1"/>
      <c r="QMV227" s="1"/>
      <c r="QMW227" s="1"/>
      <c r="QMX227" s="1"/>
      <c r="QMY227" s="1"/>
      <c r="QMZ227" s="1"/>
      <c r="QNA227" s="1"/>
      <c r="QNB227" s="1"/>
      <c r="QNC227" s="1"/>
      <c r="QND227" s="1"/>
      <c r="QNE227" s="1"/>
      <c r="QNF227" s="1"/>
      <c r="QNG227" s="1"/>
      <c r="QNH227" s="1"/>
      <c r="QNI227" s="1"/>
      <c r="QNJ227" s="1"/>
      <c r="QNK227" s="1"/>
      <c r="QNL227" s="1"/>
      <c r="QNM227" s="1"/>
      <c r="QNN227" s="1"/>
      <c r="QNO227" s="1"/>
      <c r="QNP227" s="1"/>
      <c r="QNQ227" s="1"/>
      <c r="QNR227" s="1"/>
      <c r="QNS227" s="1"/>
      <c r="QNT227" s="1"/>
      <c r="QNU227" s="1"/>
      <c r="QNV227" s="1"/>
      <c r="QNW227" s="1"/>
      <c r="QNX227" s="1"/>
      <c r="QNY227" s="1"/>
      <c r="QNZ227" s="1"/>
      <c r="QOA227" s="1"/>
      <c r="QOB227" s="1"/>
      <c r="QOC227" s="1"/>
      <c r="QOD227" s="1"/>
      <c r="QOE227" s="1"/>
      <c r="QOF227" s="1"/>
      <c r="QOG227" s="1"/>
      <c r="QOH227" s="1"/>
      <c r="QOI227" s="1"/>
      <c r="QOJ227" s="1"/>
      <c r="QOK227" s="1"/>
      <c r="QOL227" s="1"/>
      <c r="QOM227" s="1"/>
      <c r="QON227" s="1"/>
      <c r="QOO227" s="1"/>
      <c r="QOP227" s="1"/>
      <c r="QOQ227" s="1"/>
      <c r="QOR227" s="1"/>
      <c r="QOS227" s="1"/>
      <c r="QOT227" s="1"/>
      <c r="QOU227" s="1"/>
      <c r="QOV227" s="1"/>
      <c r="QOW227" s="1"/>
      <c r="QOX227" s="1"/>
      <c r="QOY227" s="1"/>
      <c r="QOZ227" s="1"/>
      <c r="QPA227" s="1"/>
      <c r="QPB227" s="1"/>
      <c r="QPC227" s="1"/>
      <c r="QPD227" s="1"/>
      <c r="QPE227" s="1"/>
      <c r="QPF227" s="1"/>
      <c r="QPG227" s="1"/>
      <c r="QPH227" s="1"/>
      <c r="QPI227" s="1"/>
      <c r="QPJ227" s="1"/>
      <c r="QPK227" s="1"/>
      <c r="QPL227" s="1"/>
      <c r="QPM227" s="1"/>
      <c r="QPN227" s="1"/>
      <c r="QPO227" s="1"/>
      <c r="QPP227" s="1"/>
      <c r="QPQ227" s="1"/>
      <c r="QPR227" s="1"/>
      <c r="QPS227" s="1"/>
      <c r="QPT227" s="1"/>
      <c r="QPU227" s="1"/>
      <c r="QPV227" s="1"/>
      <c r="QPW227" s="1"/>
      <c r="QPX227" s="1"/>
      <c r="QPY227" s="1"/>
      <c r="QPZ227" s="1"/>
      <c r="QQA227" s="1"/>
      <c r="QQB227" s="1"/>
      <c r="QQC227" s="1"/>
      <c r="QQD227" s="1"/>
      <c r="QQE227" s="1"/>
      <c r="QQF227" s="1"/>
      <c r="QQG227" s="1"/>
      <c r="QQH227" s="1"/>
      <c r="QQI227" s="1"/>
      <c r="QQJ227" s="1"/>
      <c r="QQK227" s="1"/>
      <c r="QQL227" s="1"/>
      <c r="QQM227" s="1"/>
      <c r="QQN227" s="1"/>
      <c r="QQO227" s="1"/>
      <c r="QQP227" s="1"/>
      <c r="QQQ227" s="1"/>
      <c r="QQR227" s="1"/>
      <c r="QQS227" s="1"/>
      <c r="QQT227" s="1"/>
      <c r="QQU227" s="1"/>
      <c r="QQV227" s="1"/>
      <c r="QQW227" s="1"/>
      <c r="QQX227" s="1"/>
      <c r="QQY227" s="1"/>
      <c r="QQZ227" s="1"/>
      <c r="QRA227" s="1"/>
      <c r="QRB227" s="1"/>
      <c r="QRC227" s="1"/>
      <c r="QRD227" s="1"/>
      <c r="QRE227" s="1"/>
      <c r="QRF227" s="1"/>
      <c r="QRG227" s="1"/>
      <c r="QRH227" s="1"/>
      <c r="QRI227" s="1"/>
      <c r="QRJ227" s="1"/>
      <c r="QRK227" s="1"/>
      <c r="QRL227" s="1"/>
      <c r="QRM227" s="1"/>
      <c r="QRN227" s="1"/>
      <c r="QRO227" s="1"/>
      <c r="QRP227" s="1"/>
      <c r="QRQ227" s="1"/>
      <c r="QRR227" s="1"/>
      <c r="QRS227" s="1"/>
      <c r="QRT227" s="1"/>
      <c r="QRU227" s="1"/>
      <c r="QRV227" s="1"/>
      <c r="QRW227" s="1"/>
      <c r="QRX227" s="1"/>
      <c r="QRY227" s="1"/>
      <c r="QRZ227" s="1"/>
      <c r="QSA227" s="1"/>
      <c r="QSB227" s="1"/>
      <c r="QSC227" s="1"/>
      <c r="QSD227" s="1"/>
      <c r="QSE227" s="1"/>
      <c r="QSF227" s="1"/>
      <c r="QSG227" s="1"/>
      <c r="QSH227" s="1"/>
      <c r="QSI227" s="1"/>
      <c r="QSJ227" s="1"/>
      <c r="QSK227" s="1"/>
      <c r="QSL227" s="1"/>
      <c r="QSM227" s="1"/>
      <c r="QSN227" s="1"/>
      <c r="QSO227" s="1"/>
      <c r="QSP227" s="1"/>
      <c r="QSQ227" s="1"/>
      <c r="QSR227" s="1"/>
      <c r="QSS227" s="1"/>
      <c r="QST227" s="1"/>
      <c r="QSU227" s="1"/>
      <c r="QSV227" s="1"/>
      <c r="QSW227" s="1"/>
      <c r="QSX227" s="1"/>
      <c r="QSY227" s="1"/>
      <c r="QSZ227" s="1"/>
      <c r="QTA227" s="1"/>
      <c r="QTB227" s="1"/>
      <c r="QTC227" s="1"/>
      <c r="QTD227" s="1"/>
      <c r="QTE227" s="1"/>
      <c r="QTF227" s="1"/>
      <c r="QTG227" s="1"/>
      <c r="QTH227" s="1"/>
      <c r="QTI227" s="1"/>
      <c r="QTJ227" s="1"/>
      <c r="QTK227" s="1"/>
      <c r="QTL227" s="1"/>
      <c r="QTM227" s="1"/>
      <c r="QTN227" s="1"/>
      <c r="QTO227" s="1"/>
      <c r="QTP227" s="1"/>
      <c r="QTQ227" s="1"/>
      <c r="QTR227" s="1"/>
      <c r="QTS227" s="1"/>
      <c r="QTT227" s="1"/>
      <c r="QTU227" s="1"/>
      <c r="QTV227" s="1"/>
      <c r="QTW227" s="1"/>
      <c r="QTX227" s="1"/>
      <c r="QTY227" s="1"/>
      <c r="QTZ227" s="1"/>
      <c r="QUA227" s="1"/>
      <c r="QUB227" s="1"/>
      <c r="QUC227" s="1"/>
      <c r="QUD227" s="1"/>
      <c r="QUE227" s="1"/>
      <c r="QUF227" s="1"/>
      <c r="QUG227" s="1"/>
      <c r="QUH227" s="1"/>
      <c r="QUI227" s="1"/>
      <c r="QUJ227" s="1"/>
      <c r="QUK227" s="1"/>
      <c r="QUL227" s="1"/>
      <c r="QUM227" s="1"/>
      <c r="QUN227" s="1"/>
      <c r="QUO227" s="1"/>
      <c r="QUP227" s="1"/>
      <c r="QUQ227" s="1"/>
      <c r="QUR227" s="1"/>
      <c r="QUS227" s="1"/>
      <c r="QUT227" s="1"/>
      <c r="QUU227" s="1"/>
      <c r="QUV227" s="1"/>
      <c r="QUW227" s="1"/>
      <c r="QUX227" s="1"/>
      <c r="QUY227" s="1"/>
      <c r="QUZ227" s="1"/>
      <c r="QVA227" s="1"/>
      <c r="QVB227" s="1"/>
      <c r="QVC227" s="1"/>
      <c r="QVD227" s="1"/>
      <c r="QVE227" s="1"/>
      <c r="QVF227" s="1"/>
      <c r="QVG227" s="1"/>
      <c r="QVH227" s="1"/>
      <c r="QVI227" s="1"/>
      <c r="QVJ227" s="1"/>
      <c r="QVK227" s="1"/>
      <c r="QVL227" s="1"/>
      <c r="QVM227" s="1"/>
      <c r="QVN227" s="1"/>
      <c r="QVO227" s="1"/>
      <c r="QVP227" s="1"/>
      <c r="QVQ227" s="1"/>
      <c r="QVR227" s="1"/>
      <c r="QVS227" s="1"/>
      <c r="QVT227" s="1"/>
      <c r="QVU227" s="1"/>
      <c r="QVV227" s="1"/>
      <c r="QVW227" s="1"/>
      <c r="QVX227" s="1"/>
      <c r="QVY227" s="1"/>
      <c r="QVZ227" s="1"/>
      <c r="QWA227" s="1"/>
      <c r="QWB227" s="1"/>
      <c r="QWC227" s="1"/>
      <c r="QWD227" s="1"/>
      <c r="QWE227" s="1"/>
      <c r="QWF227" s="1"/>
      <c r="QWG227" s="1"/>
      <c r="QWH227" s="1"/>
      <c r="QWI227" s="1"/>
      <c r="QWJ227" s="1"/>
      <c r="QWK227" s="1"/>
      <c r="QWL227" s="1"/>
      <c r="QWM227" s="1"/>
      <c r="QWN227" s="1"/>
      <c r="QWO227" s="1"/>
      <c r="QWP227" s="1"/>
      <c r="QWQ227" s="1"/>
      <c r="QWR227" s="1"/>
      <c r="QWS227" s="1"/>
      <c r="QWT227" s="1"/>
      <c r="QWU227" s="1"/>
      <c r="QWV227" s="1"/>
      <c r="QWW227" s="1"/>
      <c r="QWX227" s="1"/>
      <c r="QWY227" s="1"/>
      <c r="QWZ227" s="1"/>
      <c r="QXA227" s="1"/>
      <c r="QXB227" s="1"/>
      <c r="QXC227" s="1"/>
      <c r="QXD227" s="1"/>
      <c r="QXE227" s="1"/>
      <c r="QXF227" s="1"/>
      <c r="QXG227" s="1"/>
      <c r="QXH227" s="1"/>
      <c r="QXI227" s="1"/>
      <c r="QXJ227" s="1"/>
      <c r="QXK227" s="1"/>
      <c r="QXL227" s="1"/>
      <c r="QXM227" s="1"/>
      <c r="QXN227" s="1"/>
      <c r="QXO227" s="1"/>
      <c r="QXP227" s="1"/>
      <c r="QXQ227" s="1"/>
      <c r="QXR227" s="1"/>
      <c r="QXS227" s="1"/>
      <c r="QXT227" s="1"/>
      <c r="QXU227" s="1"/>
      <c r="QXV227" s="1"/>
      <c r="QXW227" s="1"/>
      <c r="QXX227" s="1"/>
      <c r="QXY227" s="1"/>
      <c r="QXZ227" s="1"/>
      <c r="QYA227" s="1"/>
      <c r="QYB227" s="1"/>
      <c r="QYC227" s="1"/>
      <c r="QYD227" s="1"/>
      <c r="QYE227" s="1"/>
      <c r="QYF227" s="1"/>
      <c r="QYG227" s="1"/>
      <c r="QYH227" s="1"/>
      <c r="QYI227" s="1"/>
      <c r="QYJ227" s="1"/>
      <c r="QYK227" s="1"/>
      <c r="QYL227" s="1"/>
      <c r="QYM227" s="1"/>
      <c r="QYN227" s="1"/>
      <c r="QYO227" s="1"/>
      <c r="QYP227" s="1"/>
      <c r="QYQ227" s="1"/>
      <c r="QYR227" s="1"/>
      <c r="QYS227" s="1"/>
      <c r="QYT227" s="1"/>
      <c r="QYU227" s="1"/>
      <c r="QYV227" s="1"/>
      <c r="QYW227" s="1"/>
      <c r="QYX227" s="1"/>
      <c r="QYY227" s="1"/>
      <c r="QYZ227" s="1"/>
      <c r="QZA227" s="1"/>
      <c r="QZB227" s="1"/>
      <c r="QZC227" s="1"/>
      <c r="QZD227" s="1"/>
      <c r="QZE227" s="1"/>
      <c r="QZF227" s="1"/>
      <c r="QZG227" s="1"/>
      <c r="QZH227" s="1"/>
      <c r="QZI227" s="1"/>
      <c r="QZJ227" s="1"/>
      <c r="QZK227" s="1"/>
      <c r="QZL227" s="1"/>
      <c r="QZM227" s="1"/>
      <c r="QZN227" s="1"/>
      <c r="QZO227" s="1"/>
      <c r="QZP227" s="1"/>
      <c r="QZQ227" s="1"/>
      <c r="QZR227" s="1"/>
      <c r="QZS227" s="1"/>
      <c r="QZT227" s="1"/>
      <c r="QZU227" s="1"/>
      <c r="QZV227" s="1"/>
      <c r="QZW227" s="1"/>
      <c r="QZX227" s="1"/>
      <c r="QZY227" s="1"/>
      <c r="QZZ227" s="1"/>
      <c r="RAA227" s="1"/>
      <c r="RAB227" s="1"/>
      <c r="RAC227" s="1"/>
      <c r="RAD227" s="1"/>
      <c r="RAE227" s="1"/>
      <c r="RAF227" s="1"/>
      <c r="RAG227" s="1"/>
      <c r="RAH227" s="1"/>
      <c r="RAI227" s="1"/>
      <c r="RAJ227" s="1"/>
      <c r="RAK227" s="1"/>
      <c r="RAL227" s="1"/>
      <c r="RAM227" s="1"/>
      <c r="RAN227" s="1"/>
      <c r="RAO227" s="1"/>
      <c r="RAP227" s="1"/>
      <c r="RAQ227" s="1"/>
      <c r="RAR227" s="1"/>
      <c r="RAS227" s="1"/>
      <c r="RAT227" s="1"/>
      <c r="RAU227" s="1"/>
      <c r="RAV227" s="1"/>
      <c r="RAW227" s="1"/>
      <c r="RAX227" s="1"/>
      <c r="RAY227" s="1"/>
      <c r="RAZ227" s="1"/>
      <c r="RBA227" s="1"/>
      <c r="RBB227" s="1"/>
      <c r="RBC227" s="1"/>
      <c r="RBD227" s="1"/>
      <c r="RBE227" s="1"/>
      <c r="RBF227" s="1"/>
      <c r="RBG227" s="1"/>
      <c r="RBH227" s="1"/>
      <c r="RBI227" s="1"/>
      <c r="RBJ227" s="1"/>
      <c r="RBK227" s="1"/>
      <c r="RBL227" s="1"/>
      <c r="RBM227" s="1"/>
      <c r="RBN227" s="1"/>
      <c r="RBO227" s="1"/>
      <c r="RBP227" s="1"/>
      <c r="RBQ227" s="1"/>
      <c r="RBR227" s="1"/>
      <c r="RBS227" s="1"/>
      <c r="RBT227" s="1"/>
      <c r="RBU227" s="1"/>
      <c r="RBV227" s="1"/>
      <c r="RBW227" s="1"/>
      <c r="RBX227" s="1"/>
      <c r="RBY227" s="1"/>
      <c r="RBZ227" s="1"/>
      <c r="RCA227" s="1"/>
      <c r="RCB227" s="1"/>
      <c r="RCC227" s="1"/>
      <c r="RCD227" s="1"/>
      <c r="RCE227" s="1"/>
      <c r="RCF227" s="1"/>
      <c r="RCG227" s="1"/>
      <c r="RCH227" s="1"/>
      <c r="RCI227" s="1"/>
      <c r="RCJ227" s="1"/>
      <c r="RCK227" s="1"/>
      <c r="RCL227" s="1"/>
      <c r="RCM227" s="1"/>
      <c r="RCN227" s="1"/>
      <c r="RCO227" s="1"/>
      <c r="RCP227" s="1"/>
      <c r="RCQ227" s="1"/>
      <c r="RCR227" s="1"/>
      <c r="RCS227" s="1"/>
      <c r="RCT227" s="1"/>
      <c r="RCU227" s="1"/>
      <c r="RCV227" s="1"/>
      <c r="RCW227" s="1"/>
      <c r="RCX227" s="1"/>
      <c r="RCY227" s="1"/>
      <c r="RCZ227" s="1"/>
      <c r="RDA227" s="1"/>
      <c r="RDB227" s="1"/>
      <c r="RDC227" s="1"/>
      <c r="RDD227" s="1"/>
      <c r="RDE227" s="1"/>
      <c r="RDF227" s="1"/>
      <c r="RDG227" s="1"/>
      <c r="RDH227" s="1"/>
      <c r="RDI227" s="1"/>
      <c r="RDJ227" s="1"/>
      <c r="RDK227" s="1"/>
      <c r="RDL227" s="1"/>
      <c r="RDM227" s="1"/>
      <c r="RDN227" s="1"/>
      <c r="RDO227" s="1"/>
      <c r="RDP227" s="1"/>
      <c r="RDQ227" s="1"/>
      <c r="RDR227" s="1"/>
      <c r="RDS227" s="1"/>
      <c r="RDT227" s="1"/>
      <c r="RDU227" s="1"/>
      <c r="RDV227" s="1"/>
      <c r="RDW227" s="1"/>
      <c r="RDX227" s="1"/>
      <c r="RDY227" s="1"/>
      <c r="RDZ227" s="1"/>
      <c r="REA227" s="1"/>
      <c r="REB227" s="1"/>
      <c r="REC227" s="1"/>
      <c r="RED227" s="1"/>
      <c r="REE227" s="1"/>
      <c r="REF227" s="1"/>
      <c r="REG227" s="1"/>
      <c r="REH227" s="1"/>
      <c r="REI227" s="1"/>
      <c r="REJ227" s="1"/>
      <c r="REK227" s="1"/>
      <c r="REL227" s="1"/>
      <c r="REM227" s="1"/>
      <c r="REN227" s="1"/>
      <c r="REO227" s="1"/>
      <c r="REP227" s="1"/>
      <c r="REQ227" s="1"/>
      <c r="RER227" s="1"/>
      <c r="RES227" s="1"/>
      <c r="RET227" s="1"/>
      <c r="REU227" s="1"/>
      <c r="REV227" s="1"/>
      <c r="REW227" s="1"/>
      <c r="REX227" s="1"/>
      <c r="REY227" s="1"/>
      <c r="REZ227" s="1"/>
      <c r="RFA227" s="1"/>
      <c r="RFB227" s="1"/>
      <c r="RFC227" s="1"/>
      <c r="RFD227" s="1"/>
      <c r="RFE227" s="1"/>
      <c r="RFF227" s="1"/>
      <c r="RFG227" s="1"/>
      <c r="RFH227" s="1"/>
      <c r="RFI227" s="1"/>
      <c r="RFJ227" s="1"/>
      <c r="RFK227" s="1"/>
      <c r="RFL227" s="1"/>
      <c r="RFM227" s="1"/>
      <c r="RFN227" s="1"/>
      <c r="RFO227" s="1"/>
      <c r="RFP227" s="1"/>
      <c r="RFQ227" s="1"/>
      <c r="RFR227" s="1"/>
      <c r="RFS227" s="1"/>
      <c r="RFT227" s="1"/>
      <c r="RFU227" s="1"/>
      <c r="RFV227" s="1"/>
      <c r="RFW227" s="1"/>
      <c r="RFX227" s="1"/>
      <c r="RFY227" s="1"/>
      <c r="RFZ227" s="1"/>
      <c r="RGA227" s="1"/>
      <c r="RGB227" s="1"/>
      <c r="RGC227" s="1"/>
      <c r="RGD227" s="1"/>
      <c r="RGE227" s="1"/>
      <c r="RGF227" s="1"/>
      <c r="RGG227" s="1"/>
      <c r="RGH227" s="1"/>
      <c r="RGI227" s="1"/>
      <c r="RGJ227" s="1"/>
      <c r="RGK227" s="1"/>
      <c r="RGL227" s="1"/>
      <c r="RGM227" s="1"/>
      <c r="RGN227" s="1"/>
      <c r="RGO227" s="1"/>
      <c r="RGP227" s="1"/>
      <c r="RGQ227" s="1"/>
      <c r="RGR227" s="1"/>
      <c r="RGS227" s="1"/>
      <c r="RGT227" s="1"/>
      <c r="RGU227" s="1"/>
      <c r="RGV227" s="1"/>
      <c r="RGW227" s="1"/>
      <c r="RGX227" s="1"/>
      <c r="RGY227" s="1"/>
      <c r="RGZ227" s="1"/>
      <c r="RHA227" s="1"/>
      <c r="RHB227" s="1"/>
      <c r="RHC227" s="1"/>
      <c r="RHD227" s="1"/>
      <c r="RHE227" s="1"/>
      <c r="RHF227" s="1"/>
      <c r="RHG227" s="1"/>
      <c r="RHH227" s="1"/>
      <c r="RHI227" s="1"/>
      <c r="RHJ227" s="1"/>
      <c r="RHK227" s="1"/>
      <c r="RHL227" s="1"/>
      <c r="RHM227" s="1"/>
      <c r="RHN227" s="1"/>
      <c r="RHO227" s="1"/>
      <c r="RHP227" s="1"/>
      <c r="RHQ227" s="1"/>
      <c r="RHR227" s="1"/>
      <c r="RHS227" s="1"/>
      <c r="RHT227" s="1"/>
      <c r="RHU227" s="1"/>
      <c r="RHV227" s="1"/>
      <c r="RHW227" s="1"/>
      <c r="RHX227" s="1"/>
      <c r="RHY227" s="1"/>
      <c r="RHZ227" s="1"/>
      <c r="RIA227" s="1"/>
      <c r="RIB227" s="1"/>
      <c r="RIC227" s="1"/>
      <c r="RID227" s="1"/>
      <c r="RIE227" s="1"/>
      <c r="RIF227" s="1"/>
      <c r="RIG227" s="1"/>
      <c r="RIH227" s="1"/>
      <c r="RII227" s="1"/>
      <c r="RIJ227" s="1"/>
      <c r="RIK227" s="1"/>
      <c r="RIL227" s="1"/>
      <c r="RIM227" s="1"/>
      <c r="RIN227" s="1"/>
      <c r="RIO227" s="1"/>
      <c r="RIP227" s="1"/>
      <c r="RIQ227" s="1"/>
      <c r="RIR227" s="1"/>
      <c r="RIS227" s="1"/>
      <c r="RIT227" s="1"/>
      <c r="RIU227" s="1"/>
      <c r="RIV227" s="1"/>
      <c r="RIW227" s="1"/>
      <c r="RIX227" s="1"/>
      <c r="RIY227" s="1"/>
      <c r="RIZ227" s="1"/>
      <c r="RJA227" s="1"/>
      <c r="RJB227" s="1"/>
      <c r="RJC227" s="1"/>
      <c r="RJD227" s="1"/>
      <c r="RJE227" s="1"/>
      <c r="RJF227" s="1"/>
      <c r="RJG227" s="1"/>
      <c r="RJH227" s="1"/>
      <c r="RJI227" s="1"/>
      <c r="RJJ227" s="1"/>
      <c r="RJK227" s="1"/>
      <c r="RJL227" s="1"/>
      <c r="RJM227" s="1"/>
      <c r="RJN227" s="1"/>
      <c r="RJO227" s="1"/>
      <c r="RJP227" s="1"/>
      <c r="RJQ227" s="1"/>
      <c r="RJR227" s="1"/>
      <c r="RJS227" s="1"/>
      <c r="RJT227" s="1"/>
      <c r="RJU227" s="1"/>
      <c r="RJV227" s="1"/>
      <c r="RJW227" s="1"/>
      <c r="RJX227" s="1"/>
      <c r="RJY227" s="1"/>
      <c r="RJZ227" s="1"/>
      <c r="RKA227" s="1"/>
      <c r="RKB227" s="1"/>
      <c r="RKC227" s="1"/>
      <c r="RKD227" s="1"/>
      <c r="RKE227" s="1"/>
      <c r="RKF227" s="1"/>
      <c r="RKG227" s="1"/>
      <c r="RKH227" s="1"/>
      <c r="RKI227" s="1"/>
      <c r="RKJ227" s="1"/>
      <c r="RKK227" s="1"/>
      <c r="RKL227" s="1"/>
      <c r="RKM227" s="1"/>
      <c r="RKN227" s="1"/>
      <c r="RKO227" s="1"/>
      <c r="RKP227" s="1"/>
      <c r="RKQ227" s="1"/>
      <c r="RKR227" s="1"/>
      <c r="RKS227" s="1"/>
      <c r="RKT227" s="1"/>
      <c r="RKU227" s="1"/>
      <c r="RKV227" s="1"/>
      <c r="RKW227" s="1"/>
      <c r="RKX227" s="1"/>
      <c r="RKY227" s="1"/>
      <c r="RKZ227" s="1"/>
      <c r="RLA227" s="1"/>
      <c r="RLB227" s="1"/>
      <c r="RLC227" s="1"/>
      <c r="RLD227" s="1"/>
      <c r="RLE227" s="1"/>
      <c r="RLF227" s="1"/>
      <c r="RLG227" s="1"/>
      <c r="RLH227" s="1"/>
      <c r="RLI227" s="1"/>
      <c r="RLJ227" s="1"/>
      <c r="RLK227" s="1"/>
      <c r="RLL227" s="1"/>
      <c r="RLM227" s="1"/>
      <c r="RLN227" s="1"/>
      <c r="RLO227" s="1"/>
      <c r="RLP227" s="1"/>
      <c r="RLQ227" s="1"/>
      <c r="RLR227" s="1"/>
      <c r="RLS227" s="1"/>
      <c r="RLT227" s="1"/>
      <c r="RLU227" s="1"/>
      <c r="RLV227" s="1"/>
      <c r="RLW227" s="1"/>
      <c r="RLX227" s="1"/>
      <c r="RLY227" s="1"/>
      <c r="RLZ227" s="1"/>
      <c r="RMA227" s="1"/>
      <c r="RMB227" s="1"/>
      <c r="RMC227" s="1"/>
      <c r="RMD227" s="1"/>
      <c r="RME227" s="1"/>
      <c r="RMF227" s="1"/>
      <c r="RMG227" s="1"/>
      <c r="RMH227" s="1"/>
      <c r="RMI227" s="1"/>
      <c r="RMJ227" s="1"/>
      <c r="RMK227" s="1"/>
      <c r="RML227" s="1"/>
      <c r="RMM227" s="1"/>
      <c r="RMN227" s="1"/>
      <c r="RMO227" s="1"/>
      <c r="RMP227" s="1"/>
      <c r="RMQ227" s="1"/>
      <c r="RMR227" s="1"/>
      <c r="RMS227" s="1"/>
      <c r="RMT227" s="1"/>
      <c r="RMU227" s="1"/>
      <c r="RMV227" s="1"/>
      <c r="RMW227" s="1"/>
      <c r="RMX227" s="1"/>
      <c r="RMY227" s="1"/>
      <c r="RMZ227" s="1"/>
      <c r="RNA227" s="1"/>
      <c r="RNB227" s="1"/>
      <c r="RNC227" s="1"/>
      <c r="RND227" s="1"/>
      <c r="RNE227" s="1"/>
      <c r="RNF227" s="1"/>
      <c r="RNG227" s="1"/>
      <c r="RNH227" s="1"/>
      <c r="RNI227" s="1"/>
      <c r="RNJ227" s="1"/>
      <c r="RNK227" s="1"/>
      <c r="RNL227" s="1"/>
      <c r="RNM227" s="1"/>
      <c r="RNN227" s="1"/>
      <c r="RNO227" s="1"/>
      <c r="RNP227" s="1"/>
      <c r="RNQ227" s="1"/>
      <c r="RNR227" s="1"/>
      <c r="RNS227" s="1"/>
      <c r="RNT227" s="1"/>
      <c r="RNU227" s="1"/>
      <c r="RNV227" s="1"/>
      <c r="RNW227" s="1"/>
      <c r="RNX227" s="1"/>
      <c r="RNY227" s="1"/>
      <c r="RNZ227" s="1"/>
      <c r="ROA227" s="1"/>
      <c r="ROB227" s="1"/>
      <c r="ROC227" s="1"/>
      <c r="ROD227" s="1"/>
      <c r="ROE227" s="1"/>
      <c r="ROF227" s="1"/>
      <c r="ROG227" s="1"/>
      <c r="ROH227" s="1"/>
      <c r="ROI227" s="1"/>
      <c r="ROJ227" s="1"/>
      <c r="ROK227" s="1"/>
      <c r="ROL227" s="1"/>
      <c r="ROM227" s="1"/>
      <c r="RON227" s="1"/>
      <c r="ROO227" s="1"/>
      <c r="ROP227" s="1"/>
      <c r="ROQ227" s="1"/>
      <c r="ROR227" s="1"/>
      <c r="ROS227" s="1"/>
      <c r="ROT227" s="1"/>
      <c r="ROU227" s="1"/>
      <c r="ROV227" s="1"/>
      <c r="ROW227" s="1"/>
      <c r="ROX227" s="1"/>
      <c r="ROY227" s="1"/>
      <c r="ROZ227" s="1"/>
      <c r="RPA227" s="1"/>
      <c r="RPB227" s="1"/>
      <c r="RPC227" s="1"/>
      <c r="RPD227" s="1"/>
      <c r="RPE227" s="1"/>
      <c r="RPF227" s="1"/>
      <c r="RPG227" s="1"/>
      <c r="RPH227" s="1"/>
      <c r="RPI227" s="1"/>
      <c r="RPJ227" s="1"/>
      <c r="RPK227" s="1"/>
      <c r="RPL227" s="1"/>
      <c r="RPM227" s="1"/>
      <c r="RPN227" s="1"/>
      <c r="RPO227" s="1"/>
      <c r="RPP227" s="1"/>
      <c r="RPQ227" s="1"/>
      <c r="RPR227" s="1"/>
      <c r="RPS227" s="1"/>
      <c r="RPT227" s="1"/>
      <c r="RPU227" s="1"/>
      <c r="RPV227" s="1"/>
      <c r="RPW227" s="1"/>
      <c r="RPX227" s="1"/>
      <c r="RPY227" s="1"/>
      <c r="RPZ227" s="1"/>
      <c r="RQA227" s="1"/>
      <c r="RQB227" s="1"/>
      <c r="RQC227" s="1"/>
      <c r="RQD227" s="1"/>
      <c r="RQE227" s="1"/>
      <c r="RQF227" s="1"/>
      <c r="RQG227" s="1"/>
      <c r="RQH227" s="1"/>
      <c r="RQI227" s="1"/>
      <c r="RQJ227" s="1"/>
      <c r="RQK227" s="1"/>
      <c r="RQL227" s="1"/>
      <c r="RQM227" s="1"/>
      <c r="RQN227" s="1"/>
      <c r="RQO227" s="1"/>
      <c r="RQP227" s="1"/>
      <c r="RQQ227" s="1"/>
      <c r="RQR227" s="1"/>
      <c r="RQS227" s="1"/>
      <c r="RQT227" s="1"/>
      <c r="RQU227" s="1"/>
      <c r="RQV227" s="1"/>
      <c r="RQW227" s="1"/>
      <c r="RQX227" s="1"/>
      <c r="RQY227" s="1"/>
      <c r="RQZ227" s="1"/>
      <c r="RRA227" s="1"/>
      <c r="RRB227" s="1"/>
      <c r="RRC227" s="1"/>
      <c r="RRD227" s="1"/>
      <c r="RRE227" s="1"/>
      <c r="RRF227" s="1"/>
      <c r="RRG227" s="1"/>
      <c r="RRH227" s="1"/>
      <c r="RRI227" s="1"/>
      <c r="RRJ227" s="1"/>
      <c r="RRK227" s="1"/>
      <c r="RRL227" s="1"/>
      <c r="RRM227" s="1"/>
      <c r="RRN227" s="1"/>
      <c r="RRO227" s="1"/>
      <c r="RRP227" s="1"/>
      <c r="RRQ227" s="1"/>
      <c r="RRR227" s="1"/>
      <c r="RRS227" s="1"/>
      <c r="RRT227" s="1"/>
      <c r="RRU227" s="1"/>
      <c r="RRV227" s="1"/>
      <c r="RRW227" s="1"/>
      <c r="RRX227" s="1"/>
      <c r="RRY227" s="1"/>
      <c r="RRZ227" s="1"/>
      <c r="RSA227" s="1"/>
      <c r="RSB227" s="1"/>
      <c r="RSC227" s="1"/>
      <c r="RSD227" s="1"/>
      <c r="RSE227" s="1"/>
      <c r="RSF227" s="1"/>
      <c r="RSG227" s="1"/>
      <c r="RSH227" s="1"/>
      <c r="RSI227" s="1"/>
      <c r="RSJ227" s="1"/>
      <c r="RSK227" s="1"/>
      <c r="RSL227" s="1"/>
      <c r="RSM227" s="1"/>
      <c r="RSN227" s="1"/>
      <c r="RSO227" s="1"/>
      <c r="RSP227" s="1"/>
      <c r="RSQ227" s="1"/>
      <c r="RSR227" s="1"/>
      <c r="RSS227" s="1"/>
      <c r="RST227" s="1"/>
      <c r="RSU227" s="1"/>
      <c r="RSV227" s="1"/>
      <c r="RSW227" s="1"/>
      <c r="RSX227" s="1"/>
      <c r="RSY227" s="1"/>
      <c r="RSZ227" s="1"/>
      <c r="RTA227" s="1"/>
      <c r="RTB227" s="1"/>
      <c r="RTC227" s="1"/>
      <c r="RTD227" s="1"/>
      <c r="RTE227" s="1"/>
      <c r="RTF227" s="1"/>
      <c r="RTG227" s="1"/>
      <c r="RTH227" s="1"/>
      <c r="RTI227" s="1"/>
      <c r="RTJ227" s="1"/>
      <c r="RTK227" s="1"/>
      <c r="RTL227" s="1"/>
      <c r="RTM227" s="1"/>
      <c r="RTN227" s="1"/>
      <c r="RTO227" s="1"/>
      <c r="RTP227" s="1"/>
      <c r="RTQ227" s="1"/>
      <c r="RTR227" s="1"/>
      <c r="RTS227" s="1"/>
      <c r="RTT227" s="1"/>
      <c r="RTU227" s="1"/>
      <c r="RTV227" s="1"/>
      <c r="RTW227" s="1"/>
      <c r="RTX227" s="1"/>
      <c r="RTY227" s="1"/>
      <c r="RTZ227" s="1"/>
      <c r="RUA227" s="1"/>
      <c r="RUB227" s="1"/>
      <c r="RUC227" s="1"/>
      <c r="RUD227" s="1"/>
      <c r="RUE227" s="1"/>
      <c r="RUF227" s="1"/>
      <c r="RUG227" s="1"/>
      <c r="RUH227" s="1"/>
      <c r="RUI227" s="1"/>
      <c r="RUJ227" s="1"/>
      <c r="RUK227" s="1"/>
      <c r="RUL227" s="1"/>
      <c r="RUM227" s="1"/>
      <c r="RUN227" s="1"/>
      <c r="RUO227" s="1"/>
      <c r="RUP227" s="1"/>
      <c r="RUQ227" s="1"/>
      <c r="RUR227" s="1"/>
      <c r="RUS227" s="1"/>
      <c r="RUT227" s="1"/>
      <c r="RUU227" s="1"/>
      <c r="RUV227" s="1"/>
      <c r="RUW227" s="1"/>
      <c r="RUX227" s="1"/>
      <c r="RUY227" s="1"/>
      <c r="RUZ227" s="1"/>
      <c r="RVA227" s="1"/>
      <c r="RVB227" s="1"/>
      <c r="RVC227" s="1"/>
      <c r="RVD227" s="1"/>
      <c r="RVE227" s="1"/>
      <c r="RVF227" s="1"/>
      <c r="RVG227" s="1"/>
      <c r="RVH227" s="1"/>
      <c r="RVI227" s="1"/>
      <c r="RVJ227" s="1"/>
      <c r="RVK227" s="1"/>
      <c r="RVL227" s="1"/>
      <c r="RVM227" s="1"/>
      <c r="RVN227" s="1"/>
      <c r="RVO227" s="1"/>
      <c r="RVP227" s="1"/>
      <c r="RVQ227" s="1"/>
      <c r="RVR227" s="1"/>
      <c r="RVS227" s="1"/>
      <c r="RVT227" s="1"/>
      <c r="RVU227" s="1"/>
      <c r="RVV227" s="1"/>
      <c r="RVW227" s="1"/>
      <c r="RVX227" s="1"/>
      <c r="RVY227" s="1"/>
      <c r="RVZ227" s="1"/>
      <c r="RWA227" s="1"/>
      <c r="RWB227" s="1"/>
      <c r="RWC227" s="1"/>
      <c r="RWD227" s="1"/>
      <c r="RWE227" s="1"/>
      <c r="RWF227" s="1"/>
      <c r="RWG227" s="1"/>
      <c r="RWH227" s="1"/>
      <c r="RWI227" s="1"/>
      <c r="RWJ227" s="1"/>
      <c r="RWK227" s="1"/>
      <c r="RWL227" s="1"/>
      <c r="RWM227" s="1"/>
      <c r="RWN227" s="1"/>
      <c r="RWO227" s="1"/>
      <c r="RWP227" s="1"/>
      <c r="RWQ227" s="1"/>
      <c r="RWR227" s="1"/>
      <c r="RWS227" s="1"/>
      <c r="RWT227" s="1"/>
      <c r="RWU227" s="1"/>
      <c r="RWV227" s="1"/>
      <c r="RWW227" s="1"/>
      <c r="RWX227" s="1"/>
      <c r="RWY227" s="1"/>
      <c r="RWZ227" s="1"/>
      <c r="RXA227" s="1"/>
      <c r="RXB227" s="1"/>
      <c r="RXC227" s="1"/>
      <c r="RXD227" s="1"/>
      <c r="RXE227" s="1"/>
      <c r="RXF227" s="1"/>
      <c r="RXG227" s="1"/>
      <c r="RXH227" s="1"/>
      <c r="RXI227" s="1"/>
      <c r="RXJ227" s="1"/>
      <c r="RXK227" s="1"/>
      <c r="RXL227" s="1"/>
      <c r="RXM227" s="1"/>
      <c r="RXN227" s="1"/>
      <c r="RXO227" s="1"/>
      <c r="RXP227" s="1"/>
      <c r="RXQ227" s="1"/>
      <c r="RXR227" s="1"/>
      <c r="RXS227" s="1"/>
      <c r="RXT227" s="1"/>
      <c r="RXU227" s="1"/>
      <c r="RXV227" s="1"/>
      <c r="RXW227" s="1"/>
      <c r="RXX227" s="1"/>
      <c r="RXY227" s="1"/>
      <c r="RXZ227" s="1"/>
      <c r="RYA227" s="1"/>
      <c r="RYB227" s="1"/>
      <c r="RYC227" s="1"/>
      <c r="RYD227" s="1"/>
      <c r="RYE227" s="1"/>
      <c r="RYF227" s="1"/>
      <c r="RYG227" s="1"/>
      <c r="RYH227" s="1"/>
      <c r="RYI227" s="1"/>
      <c r="RYJ227" s="1"/>
      <c r="RYK227" s="1"/>
      <c r="RYL227" s="1"/>
      <c r="RYM227" s="1"/>
      <c r="RYN227" s="1"/>
      <c r="RYO227" s="1"/>
      <c r="RYP227" s="1"/>
      <c r="RYQ227" s="1"/>
      <c r="RYR227" s="1"/>
      <c r="RYS227" s="1"/>
      <c r="RYT227" s="1"/>
      <c r="RYU227" s="1"/>
      <c r="RYV227" s="1"/>
      <c r="RYW227" s="1"/>
      <c r="RYX227" s="1"/>
      <c r="RYY227" s="1"/>
      <c r="RYZ227" s="1"/>
      <c r="RZA227" s="1"/>
      <c r="RZB227" s="1"/>
      <c r="RZC227" s="1"/>
      <c r="RZD227" s="1"/>
      <c r="RZE227" s="1"/>
      <c r="RZF227" s="1"/>
      <c r="RZG227" s="1"/>
      <c r="RZH227" s="1"/>
      <c r="RZI227" s="1"/>
      <c r="RZJ227" s="1"/>
      <c r="RZK227" s="1"/>
      <c r="RZL227" s="1"/>
      <c r="RZM227" s="1"/>
      <c r="RZN227" s="1"/>
      <c r="RZO227" s="1"/>
      <c r="RZP227" s="1"/>
      <c r="RZQ227" s="1"/>
      <c r="RZR227" s="1"/>
      <c r="RZS227" s="1"/>
      <c r="RZT227" s="1"/>
      <c r="RZU227" s="1"/>
      <c r="RZV227" s="1"/>
      <c r="RZW227" s="1"/>
      <c r="RZX227" s="1"/>
      <c r="RZY227" s="1"/>
      <c r="RZZ227" s="1"/>
      <c r="SAA227" s="1"/>
      <c r="SAB227" s="1"/>
      <c r="SAC227" s="1"/>
      <c r="SAD227" s="1"/>
      <c r="SAE227" s="1"/>
      <c r="SAF227" s="1"/>
      <c r="SAG227" s="1"/>
      <c r="SAH227" s="1"/>
      <c r="SAI227" s="1"/>
      <c r="SAJ227" s="1"/>
      <c r="SAK227" s="1"/>
      <c r="SAL227" s="1"/>
      <c r="SAM227" s="1"/>
      <c r="SAN227" s="1"/>
      <c r="SAO227" s="1"/>
      <c r="SAP227" s="1"/>
      <c r="SAQ227" s="1"/>
      <c r="SAR227" s="1"/>
      <c r="SAS227" s="1"/>
      <c r="SAT227" s="1"/>
      <c r="SAU227" s="1"/>
      <c r="SAV227" s="1"/>
      <c r="SAW227" s="1"/>
      <c r="SAX227" s="1"/>
      <c r="SAY227" s="1"/>
      <c r="SAZ227" s="1"/>
      <c r="SBA227" s="1"/>
      <c r="SBB227" s="1"/>
      <c r="SBC227" s="1"/>
      <c r="SBD227" s="1"/>
      <c r="SBE227" s="1"/>
      <c r="SBF227" s="1"/>
      <c r="SBG227" s="1"/>
      <c r="SBH227" s="1"/>
      <c r="SBI227" s="1"/>
      <c r="SBJ227" s="1"/>
      <c r="SBK227" s="1"/>
      <c r="SBL227" s="1"/>
      <c r="SBM227" s="1"/>
      <c r="SBN227" s="1"/>
      <c r="SBO227" s="1"/>
      <c r="SBP227" s="1"/>
      <c r="SBQ227" s="1"/>
      <c r="SBR227" s="1"/>
      <c r="SBS227" s="1"/>
      <c r="SBT227" s="1"/>
      <c r="SBU227" s="1"/>
      <c r="SBV227" s="1"/>
      <c r="SBW227" s="1"/>
      <c r="SBX227" s="1"/>
      <c r="SBY227" s="1"/>
      <c r="SBZ227" s="1"/>
      <c r="SCA227" s="1"/>
      <c r="SCB227" s="1"/>
      <c r="SCC227" s="1"/>
      <c r="SCD227" s="1"/>
      <c r="SCE227" s="1"/>
      <c r="SCF227" s="1"/>
      <c r="SCG227" s="1"/>
      <c r="SCH227" s="1"/>
      <c r="SCI227" s="1"/>
      <c r="SCJ227" s="1"/>
      <c r="SCK227" s="1"/>
      <c r="SCL227" s="1"/>
      <c r="SCM227" s="1"/>
      <c r="SCN227" s="1"/>
      <c r="SCO227" s="1"/>
      <c r="SCP227" s="1"/>
      <c r="SCQ227" s="1"/>
      <c r="SCR227" s="1"/>
      <c r="SCS227" s="1"/>
      <c r="SCT227" s="1"/>
      <c r="SCU227" s="1"/>
      <c r="SCV227" s="1"/>
      <c r="SCW227" s="1"/>
      <c r="SCX227" s="1"/>
      <c r="SCY227" s="1"/>
      <c r="SCZ227" s="1"/>
      <c r="SDA227" s="1"/>
      <c r="SDB227" s="1"/>
      <c r="SDC227" s="1"/>
      <c r="SDD227" s="1"/>
      <c r="SDE227" s="1"/>
      <c r="SDF227" s="1"/>
      <c r="SDG227" s="1"/>
      <c r="SDH227" s="1"/>
      <c r="SDI227" s="1"/>
      <c r="SDJ227" s="1"/>
      <c r="SDK227" s="1"/>
      <c r="SDL227" s="1"/>
      <c r="SDM227" s="1"/>
      <c r="SDN227" s="1"/>
      <c r="SDO227" s="1"/>
      <c r="SDP227" s="1"/>
      <c r="SDQ227" s="1"/>
      <c r="SDR227" s="1"/>
      <c r="SDS227" s="1"/>
      <c r="SDT227" s="1"/>
      <c r="SDU227" s="1"/>
      <c r="SDV227" s="1"/>
      <c r="SDW227" s="1"/>
      <c r="SDX227" s="1"/>
      <c r="SDY227" s="1"/>
      <c r="SDZ227" s="1"/>
      <c r="SEA227" s="1"/>
      <c r="SEB227" s="1"/>
      <c r="SEC227" s="1"/>
      <c r="SED227" s="1"/>
      <c r="SEE227" s="1"/>
      <c r="SEF227" s="1"/>
      <c r="SEG227" s="1"/>
      <c r="SEH227" s="1"/>
      <c r="SEI227" s="1"/>
      <c r="SEJ227" s="1"/>
      <c r="SEK227" s="1"/>
      <c r="SEL227" s="1"/>
      <c r="SEM227" s="1"/>
      <c r="SEN227" s="1"/>
      <c r="SEO227" s="1"/>
      <c r="SEP227" s="1"/>
      <c r="SEQ227" s="1"/>
      <c r="SER227" s="1"/>
      <c r="SES227" s="1"/>
      <c r="SET227" s="1"/>
      <c r="SEU227" s="1"/>
      <c r="SEV227" s="1"/>
      <c r="SEW227" s="1"/>
      <c r="SEX227" s="1"/>
      <c r="SEY227" s="1"/>
      <c r="SEZ227" s="1"/>
      <c r="SFA227" s="1"/>
      <c r="SFB227" s="1"/>
      <c r="SFC227" s="1"/>
      <c r="SFD227" s="1"/>
      <c r="SFE227" s="1"/>
      <c r="SFF227" s="1"/>
      <c r="SFG227" s="1"/>
      <c r="SFH227" s="1"/>
      <c r="SFI227" s="1"/>
      <c r="SFJ227" s="1"/>
      <c r="SFK227" s="1"/>
      <c r="SFL227" s="1"/>
      <c r="SFM227" s="1"/>
      <c r="SFN227" s="1"/>
      <c r="SFO227" s="1"/>
      <c r="SFP227" s="1"/>
      <c r="SFQ227" s="1"/>
      <c r="SFR227" s="1"/>
      <c r="SFS227" s="1"/>
      <c r="SFT227" s="1"/>
      <c r="SFU227" s="1"/>
      <c r="SFV227" s="1"/>
      <c r="SFW227" s="1"/>
      <c r="SFX227" s="1"/>
      <c r="SFY227" s="1"/>
      <c r="SFZ227" s="1"/>
      <c r="SGA227" s="1"/>
      <c r="SGB227" s="1"/>
      <c r="SGC227" s="1"/>
      <c r="SGD227" s="1"/>
      <c r="SGE227" s="1"/>
      <c r="SGF227" s="1"/>
      <c r="SGG227" s="1"/>
      <c r="SGH227" s="1"/>
      <c r="SGI227" s="1"/>
      <c r="SGJ227" s="1"/>
      <c r="SGK227" s="1"/>
      <c r="SGL227" s="1"/>
      <c r="SGM227" s="1"/>
      <c r="SGN227" s="1"/>
      <c r="SGO227" s="1"/>
      <c r="SGP227" s="1"/>
      <c r="SGQ227" s="1"/>
      <c r="SGR227" s="1"/>
      <c r="SGS227" s="1"/>
      <c r="SGT227" s="1"/>
      <c r="SGU227" s="1"/>
      <c r="SGV227" s="1"/>
      <c r="SGW227" s="1"/>
      <c r="SGX227" s="1"/>
      <c r="SGY227" s="1"/>
      <c r="SGZ227" s="1"/>
      <c r="SHA227" s="1"/>
      <c r="SHB227" s="1"/>
      <c r="SHC227" s="1"/>
      <c r="SHD227" s="1"/>
      <c r="SHE227" s="1"/>
      <c r="SHF227" s="1"/>
      <c r="SHG227" s="1"/>
      <c r="SHH227" s="1"/>
      <c r="SHI227" s="1"/>
      <c r="SHJ227" s="1"/>
      <c r="SHK227" s="1"/>
      <c r="SHL227" s="1"/>
      <c r="SHM227" s="1"/>
      <c r="SHN227" s="1"/>
      <c r="SHO227" s="1"/>
      <c r="SHP227" s="1"/>
      <c r="SHQ227" s="1"/>
      <c r="SHR227" s="1"/>
      <c r="SHS227" s="1"/>
      <c r="SHT227" s="1"/>
      <c r="SHU227" s="1"/>
      <c r="SHV227" s="1"/>
      <c r="SHW227" s="1"/>
      <c r="SHX227" s="1"/>
      <c r="SHY227" s="1"/>
      <c r="SHZ227" s="1"/>
      <c r="SIA227" s="1"/>
      <c r="SIB227" s="1"/>
      <c r="SIC227" s="1"/>
      <c r="SID227" s="1"/>
      <c r="SIE227" s="1"/>
      <c r="SIF227" s="1"/>
      <c r="SIG227" s="1"/>
      <c r="SIH227" s="1"/>
      <c r="SII227" s="1"/>
      <c r="SIJ227" s="1"/>
      <c r="SIK227" s="1"/>
      <c r="SIL227" s="1"/>
      <c r="SIM227" s="1"/>
      <c r="SIN227" s="1"/>
      <c r="SIO227" s="1"/>
      <c r="SIP227" s="1"/>
      <c r="SIQ227" s="1"/>
      <c r="SIR227" s="1"/>
      <c r="SIS227" s="1"/>
      <c r="SIT227" s="1"/>
      <c r="SIU227" s="1"/>
      <c r="SIV227" s="1"/>
      <c r="SIW227" s="1"/>
      <c r="SIX227" s="1"/>
      <c r="SIY227" s="1"/>
      <c r="SIZ227" s="1"/>
      <c r="SJA227" s="1"/>
      <c r="SJB227" s="1"/>
      <c r="SJC227" s="1"/>
      <c r="SJD227" s="1"/>
      <c r="SJE227" s="1"/>
      <c r="SJF227" s="1"/>
      <c r="SJG227" s="1"/>
      <c r="SJH227" s="1"/>
      <c r="SJI227" s="1"/>
      <c r="SJJ227" s="1"/>
      <c r="SJK227" s="1"/>
      <c r="SJL227" s="1"/>
      <c r="SJM227" s="1"/>
      <c r="SJN227" s="1"/>
      <c r="SJO227" s="1"/>
      <c r="SJP227" s="1"/>
      <c r="SJQ227" s="1"/>
      <c r="SJR227" s="1"/>
      <c r="SJS227" s="1"/>
      <c r="SJT227" s="1"/>
      <c r="SJU227" s="1"/>
      <c r="SJV227" s="1"/>
      <c r="SJW227" s="1"/>
      <c r="SJX227" s="1"/>
      <c r="SJY227" s="1"/>
      <c r="SJZ227" s="1"/>
      <c r="SKA227" s="1"/>
      <c r="SKB227" s="1"/>
      <c r="SKC227" s="1"/>
      <c r="SKD227" s="1"/>
      <c r="SKE227" s="1"/>
      <c r="SKF227" s="1"/>
      <c r="SKG227" s="1"/>
      <c r="SKH227" s="1"/>
      <c r="SKI227" s="1"/>
      <c r="SKJ227" s="1"/>
      <c r="SKK227" s="1"/>
      <c r="SKL227" s="1"/>
      <c r="SKM227" s="1"/>
      <c r="SKN227" s="1"/>
      <c r="SKO227" s="1"/>
      <c r="SKP227" s="1"/>
      <c r="SKQ227" s="1"/>
      <c r="SKR227" s="1"/>
      <c r="SKS227" s="1"/>
      <c r="SKT227" s="1"/>
      <c r="SKU227" s="1"/>
      <c r="SKV227" s="1"/>
      <c r="SKW227" s="1"/>
      <c r="SKX227" s="1"/>
      <c r="SKY227" s="1"/>
      <c r="SKZ227" s="1"/>
      <c r="SLA227" s="1"/>
      <c r="SLB227" s="1"/>
      <c r="SLC227" s="1"/>
      <c r="SLD227" s="1"/>
      <c r="SLE227" s="1"/>
      <c r="SLF227" s="1"/>
      <c r="SLG227" s="1"/>
      <c r="SLH227" s="1"/>
      <c r="SLI227" s="1"/>
      <c r="SLJ227" s="1"/>
      <c r="SLK227" s="1"/>
      <c r="SLL227" s="1"/>
      <c r="SLM227" s="1"/>
      <c r="SLN227" s="1"/>
      <c r="SLO227" s="1"/>
      <c r="SLP227" s="1"/>
      <c r="SLQ227" s="1"/>
      <c r="SLR227" s="1"/>
      <c r="SLS227" s="1"/>
      <c r="SLT227" s="1"/>
      <c r="SLU227" s="1"/>
      <c r="SLV227" s="1"/>
      <c r="SLW227" s="1"/>
      <c r="SLX227" s="1"/>
      <c r="SLY227" s="1"/>
      <c r="SLZ227" s="1"/>
      <c r="SMA227" s="1"/>
      <c r="SMB227" s="1"/>
      <c r="SMC227" s="1"/>
      <c r="SMD227" s="1"/>
      <c r="SME227" s="1"/>
      <c r="SMF227" s="1"/>
      <c r="SMG227" s="1"/>
      <c r="SMH227" s="1"/>
      <c r="SMI227" s="1"/>
      <c r="SMJ227" s="1"/>
      <c r="SMK227" s="1"/>
      <c r="SML227" s="1"/>
      <c r="SMM227" s="1"/>
      <c r="SMN227" s="1"/>
      <c r="SMO227" s="1"/>
      <c r="SMP227" s="1"/>
      <c r="SMQ227" s="1"/>
      <c r="SMR227" s="1"/>
      <c r="SMS227" s="1"/>
      <c r="SMT227" s="1"/>
      <c r="SMU227" s="1"/>
      <c r="SMV227" s="1"/>
      <c r="SMW227" s="1"/>
      <c r="SMX227" s="1"/>
      <c r="SMY227" s="1"/>
      <c r="SMZ227" s="1"/>
      <c r="SNA227" s="1"/>
      <c r="SNB227" s="1"/>
      <c r="SNC227" s="1"/>
      <c r="SND227" s="1"/>
      <c r="SNE227" s="1"/>
      <c r="SNF227" s="1"/>
      <c r="SNG227" s="1"/>
      <c r="SNH227" s="1"/>
      <c r="SNI227" s="1"/>
      <c r="SNJ227" s="1"/>
      <c r="SNK227" s="1"/>
      <c r="SNL227" s="1"/>
      <c r="SNM227" s="1"/>
      <c r="SNN227" s="1"/>
      <c r="SNO227" s="1"/>
      <c r="SNP227" s="1"/>
      <c r="SNQ227" s="1"/>
      <c r="SNR227" s="1"/>
      <c r="SNS227" s="1"/>
      <c r="SNT227" s="1"/>
      <c r="SNU227" s="1"/>
      <c r="SNV227" s="1"/>
      <c r="SNW227" s="1"/>
      <c r="SNX227" s="1"/>
      <c r="SNY227" s="1"/>
      <c r="SNZ227" s="1"/>
      <c r="SOA227" s="1"/>
      <c r="SOB227" s="1"/>
      <c r="SOC227" s="1"/>
      <c r="SOD227" s="1"/>
      <c r="SOE227" s="1"/>
      <c r="SOF227" s="1"/>
      <c r="SOG227" s="1"/>
      <c r="SOH227" s="1"/>
      <c r="SOI227" s="1"/>
      <c r="SOJ227" s="1"/>
      <c r="SOK227" s="1"/>
      <c r="SOL227" s="1"/>
      <c r="SOM227" s="1"/>
      <c r="SON227" s="1"/>
      <c r="SOO227" s="1"/>
      <c r="SOP227" s="1"/>
      <c r="SOQ227" s="1"/>
      <c r="SOR227" s="1"/>
      <c r="SOS227" s="1"/>
      <c r="SOT227" s="1"/>
      <c r="SOU227" s="1"/>
      <c r="SOV227" s="1"/>
      <c r="SOW227" s="1"/>
      <c r="SOX227" s="1"/>
      <c r="SOY227" s="1"/>
      <c r="SOZ227" s="1"/>
      <c r="SPA227" s="1"/>
      <c r="SPB227" s="1"/>
      <c r="SPC227" s="1"/>
      <c r="SPD227" s="1"/>
      <c r="SPE227" s="1"/>
      <c r="SPF227" s="1"/>
      <c r="SPG227" s="1"/>
      <c r="SPH227" s="1"/>
      <c r="SPI227" s="1"/>
      <c r="SPJ227" s="1"/>
      <c r="SPK227" s="1"/>
      <c r="SPL227" s="1"/>
      <c r="SPM227" s="1"/>
      <c r="SPN227" s="1"/>
      <c r="SPO227" s="1"/>
      <c r="SPP227" s="1"/>
      <c r="SPQ227" s="1"/>
      <c r="SPR227" s="1"/>
      <c r="SPS227" s="1"/>
      <c r="SPT227" s="1"/>
      <c r="SPU227" s="1"/>
      <c r="SPV227" s="1"/>
      <c r="SPW227" s="1"/>
      <c r="SPX227" s="1"/>
      <c r="SPY227" s="1"/>
      <c r="SPZ227" s="1"/>
      <c r="SQA227" s="1"/>
      <c r="SQB227" s="1"/>
      <c r="SQC227" s="1"/>
      <c r="SQD227" s="1"/>
      <c r="SQE227" s="1"/>
      <c r="SQF227" s="1"/>
      <c r="SQG227" s="1"/>
      <c r="SQH227" s="1"/>
      <c r="SQI227" s="1"/>
      <c r="SQJ227" s="1"/>
      <c r="SQK227" s="1"/>
      <c r="SQL227" s="1"/>
      <c r="SQM227" s="1"/>
      <c r="SQN227" s="1"/>
      <c r="SQO227" s="1"/>
      <c r="SQP227" s="1"/>
      <c r="SQQ227" s="1"/>
      <c r="SQR227" s="1"/>
      <c r="SQS227" s="1"/>
      <c r="SQT227" s="1"/>
      <c r="SQU227" s="1"/>
      <c r="SQV227" s="1"/>
      <c r="SQW227" s="1"/>
      <c r="SQX227" s="1"/>
      <c r="SQY227" s="1"/>
      <c r="SQZ227" s="1"/>
      <c r="SRA227" s="1"/>
      <c r="SRB227" s="1"/>
      <c r="SRC227" s="1"/>
      <c r="SRD227" s="1"/>
      <c r="SRE227" s="1"/>
      <c r="SRF227" s="1"/>
      <c r="SRG227" s="1"/>
      <c r="SRH227" s="1"/>
      <c r="SRI227" s="1"/>
      <c r="SRJ227" s="1"/>
      <c r="SRK227" s="1"/>
      <c r="SRL227" s="1"/>
      <c r="SRM227" s="1"/>
      <c r="SRN227" s="1"/>
      <c r="SRO227" s="1"/>
      <c r="SRP227" s="1"/>
      <c r="SRQ227" s="1"/>
      <c r="SRR227" s="1"/>
      <c r="SRS227" s="1"/>
      <c r="SRT227" s="1"/>
      <c r="SRU227" s="1"/>
      <c r="SRV227" s="1"/>
      <c r="SRW227" s="1"/>
      <c r="SRX227" s="1"/>
      <c r="SRY227" s="1"/>
      <c r="SRZ227" s="1"/>
      <c r="SSA227" s="1"/>
      <c r="SSB227" s="1"/>
      <c r="SSC227" s="1"/>
      <c r="SSD227" s="1"/>
      <c r="SSE227" s="1"/>
      <c r="SSF227" s="1"/>
      <c r="SSG227" s="1"/>
      <c r="SSH227" s="1"/>
      <c r="SSI227" s="1"/>
      <c r="SSJ227" s="1"/>
      <c r="SSK227" s="1"/>
      <c r="SSL227" s="1"/>
      <c r="SSM227" s="1"/>
      <c r="SSN227" s="1"/>
      <c r="SSO227" s="1"/>
      <c r="SSP227" s="1"/>
      <c r="SSQ227" s="1"/>
      <c r="SSR227" s="1"/>
      <c r="SSS227" s="1"/>
      <c r="SST227" s="1"/>
      <c r="SSU227" s="1"/>
      <c r="SSV227" s="1"/>
      <c r="SSW227" s="1"/>
      <c r="SSX227" s="1"/>
      <c r="SSY227" s="1"/>
      <c r="SSZ227" s="1"/>
      <c r="STA227" s="1"/>
      <c r="STB227" s="1"/>
      <c r="STC227" s="1"/>
      <c r="STD227" s="1"/>
      <c r="STE227" s="1"/>
      <c r="STF227" s="1"/>
      <c r="STG227" s="1"/>
      <c r="STH227" s="1"/>
      <c r="STI227" s="1"/>
      <c r="STJ227" s="1"/>
      <c r="STK227" s="1"/>
      <c r="STL227" s="1"/>
      <c r="STM227" s="1"/>
      <c r="STN227" s="1"/>
      <c r="STO227" s="1"/>
      <c r="STP227" s="1"/>
      <c r="STQ227" s="1"/>
      <c r="STR227" s="1"/>
      <c r="STS227" s="1"/>
      <c r="STT227" s="1"/>
      <c r="STU227" s="1"/>
      <c r="STV227" s="1"/>
      <c r="STW227" s="1"/>
      <c r="STX227" s="1"/>
      <c r="STY227" s="1"/>
      <c r="STZ227" s="1"/>
      <c r="SUA227" s="1"/>
      <c r="SUB227" s="1"/>
      <c r="SUC227" s="1"/>
      <c r="SUD227" s="1"/>
      <c r="SUE227" s="1"/>
      <c r="SUF227" s="1"/>
      <c r="SUG227" s="1"/>
      <c r="SUH227" s="1"/>
      <c r="SUI227" s="1"/>
      <c r="SUJ227" s="1"/>
      <c r="SUK227" s="1"/>
      <c r="SUL227" s="1"/>
      <c r="SUM227" s="1"/>
      <c r="SUN227" s="1"/>
      <c r="SUO227" s="1"/>
      <c r="SUP227" s="1"/>
      <c r="SUQ227" s="1"/>
      <c r="SUR227" s="1"/>
      <c r="SUS227" s="1"/>
      <c r="SUT227" s="1"/>
      <c r="SUU227" s="1"/>
      <c r="SUV227" s="1"/>
      <c r="SUW227" s="1"/>
      <c r="SUX227" s="1"/>
      <c r="SUY227" s="1"/>
      <c r="SUZ227" s="1"/>
      <c r="SVA227" s="1"/>
      <c r="SVB227" s="1"/>
      <c r="SVC227" s="1"/>
      <c r="SVD227" s="1"/>
      <c r="SVE227" s="1"/>
      <c r="SVF227" s="1"/>
      <c r="SVG227" s="1"/>
      <c r="SVH227" s="1"/>
      <c r="SVI227" s="1"/>
      <c r="SVJ227" s="1"/>
      <c r="SVK227" s="1"/>
      <c r="SVL227" s="1"/>
      <c r="SVM227" s="1"/>
      <c r="SVN227" s="1"/>
      <c r="SVO227" s="1"/>
      <c r="SVP227" s="1"/>
      <c r="SVQ227" s="1"/>
      <c r="SVR227" s="1"/>
      <c r="SVS227" s="1"/>
      <c r="SVT227" s="1"/>
      <c r="SVU227" s="1"/>
      <c r="SVV227" s="1"/>
      <c r="SVW227" s="1"/>
      <c r="SVX227" s="1"/>
      <c r="SVY227" s="1"/>
      <c r="SVZ227" s="1"/>
      <c r="SWA227" s="1"/>
      <c r="SWB227" s="1"/>
      <c r="SWC227" s="1"/>
      <c r="SWD227" s="1"/>
      <c r="SWE227" s="1"/>
      <c r="SWF227" s="1"/>
      <c r="SWG227" s="1"/>
      <c r="SWH227" s="1"/>
      <c r="SWI227" s="1"/>
      <c r="SWJ227" s="1"/>
      <c r="SWK227" s="1"/>
      <c r="SWL227" s="1"/>
      <c r="SWM227" s="1"/>
      <c r="SWN227" s="1"/>
      <c r="SWO227" s="1"/>
      <c r="SWP227" s="1"/>
      <c r="SWQ227" s="1"/>
      <c r="SWR227" s="1"/>
      <c r="SWS227" s="1"/>
      <c r="SWT227" s="1"/>
      <c r="SWU227" s="1"/>
      <c r="SWV227" s="1"/>
      <c r="SWW227" s="1"/>
      <c r="SWX227" s="1"/>
      <c r="SWY227" s="1"/>
      <c r="SWZ227" s="1"/>
      <c r="SXA227" s="1"/>
      <c r="SXB227" s="1"/>
      <c r="SXC227" s="1"/>
      <c r="SXD227" s="1"/>
      <c r="SXE227" s="1"/>
      <c r="SXF227" s="1"/>
      <c r="SXG227" s="1"/>
      <c r="SXH227" s="1"/>
      <c r="SXI227" s="1"/>
      <c r="SXJ227" s="1"/>
      <c r="SXK227" s="1"/>
      <c r="SXL227" s="1"/>
      <c r="SXM227" s="1"/>
      <c r="SXN227" s="1"/>
      <c r="SXO227" s="1"/>
      <c r="SXP227" s="1"/>
      <c r="SXQ227" s="1"/>
      <c r="SXR227" s="1"/>
      <c r="SXS227" s="1"/>
      <c r="SXT227" s="1"/>
      <c r="SXU227" s="1"/>
      <c r="SXV227" s="1"/>
      <c r="SXW227" s="1"/>
      <c r="SXX227" s="1"/>
      <c r="SXY227" s="1"/>
      <c r="SXZ227" s="1"/>
      <c r="SYA227" s="1"/>
      <c r="SYB227" s="1"/>
      <c r="SYC227" s="1"/>
      <c r="SYD227" s="1"/>
      <c r="SYE227" s="1"/>
      <c r="SYF227" s="1"/>
      <c r="SYG227" s="1"/>
      <c r="SYH227" s="1"/>
      <c r="SYI227" s="1"/>
      <c r="SYJ227" s="1"/>
      <c r="SYK227" s="1"/>
      <c r="SYL227" s="1"/>
      <c r="SYM227" s="1"/>
      <c r="SYN227" s="1"/>
      <c r="SYO227" s="1"/>
      <c r="SYP227" s="1"/>
      <c r="SYQ227" s="1"/>
      <c r="SYR227" s="1"/>
      <c r="SYS227" s="1"/>
      <c r="SYT227" s="1"/>
      <c r="SYU227" s="1"/>
      <c r="SYV227" s="1"/>
      <c r="SYW227" s="1"/>
      <c r="SYX227" s="1"/>
      <c r="SYY227" s="1"/>
      <c r="SYZ227" s="1"/>
      <c r="SZA227" s="1"/>
      <c r="SZB227" s="1"/>
      <c r="SZC227" s="1"/>
      <c r="SZD227" s="1"/>
      <c r="SZE227" s="1"/>
      <c r="SZF227" s="1"/>
      <c r="SZG227" s="1"/>
      <c r="SZH227" s="1"/>
      <c r="SZI227" s="1"/>
      <c r="SZJ227" s="1"/>
      <c r="SZK227" s="1"/>
      <c r="SZL227" s="1"/>
      <c r="SZM227" s="1"/>
      <c r="SZN227" s="1"/>
      <c r="SZO227" s="1"/>
      <c r="SZP227" s="1"/>
      <c r="SZQ227" s="1"/>
      <c r="SZR227" s="1"/>
      <c r="SZS227" s="1"/>
      <c r="SZT227" s="1"/>
      <c r="SZU227" s="1"/>
      <c r="SZV227" s="1"/>
      <c r="SZW227" s="1"/>
      <c r="SZX227" s="1"/>
      <c r="SZY227" s="1"/>
      <c r="SZZ227" s="1"/>
      <c r="TAA227" s="1"/>
      <c r="TAB227" s="1"/>
      <c r="TAC227" s="1"/>
      <c r="TAD227" s="1"/>
      <c r="TAE227" s="1"/>
      <c r="TAF227" s="1"/>
      <c r="TAG227" s="1"/>
      <c r="TAH227" s="1"/>
      <c r="TAI227" s="1"/>
      <c r="TAJ227" s="1"/>
      <c r="TAK227" s="1"/>
      <c r="TAL227" s="1"/>
      <c r="TAM227" s="1"/>
      <c r="TAN227" s="1"/>
      <c r="TAO227" s="1"/>
      <c r="TAP227" s="1"/>
      <c r="TAQ227" s="1"/>
      <c r="TAR227" s="1"/>
      <c r="TAS227" s="1"/>
      <c r="TAT227" s="1"/>
      <c r="TAU227" s="1"/>
      <c r="TAV227" s="1"/>
      <c r="TAW227" s="1"/>
      <c r="TAX227" s="1"/>
      <c r="TAY227" s="1"/>
      <c r="TAZ227" s="1"/>
      <c r="TBA227" s="1"/>
      <c r="TBB227" s="1"/>
      <c r="TBC227" s="1"/>
      <c r="TBD227" s="1"/>
      <c r="TBE227" s="1"/>
      <c r="TBF227" s="1"/>
      <c r="TBG227" s="1"/>
      <c r="TBH227" s="1"/>
      <c r="TBI227" s="1"/>
      <c r="TBJ227" s="1"/>
      <c r="TBK227" s="1"/>
      <c r="TBL227" s="1"/>
      <c r="TBM227" s="1"/>
      <c r="TBN227" s="1"/>
      <c r="TBO227" s="1"/>
      <c r="TBP227" s="1"/>
      <c r="TBQ227" s="1"/>
      <c r="TBR227" s="1"/>
      <c r="TBS227" s="1"/>
      <c r="TBT227" s="1"/>
      <c r="TBU227" s="1"/>
      <c r="TBV227" s="1"/>
      <c r="TBW227" s="1"/>
      <c r="TBX227" s="1"/>
      <c r="TBY227" s="1"/>
      <c r="TBZ227" s="1"/>
      <c r="TCA227" s="1"/>
      <c r="TCB227" s="1"/>
      <c r="TCC227" s="1"/>
      <c r="TCD227" s="1"/>
      <c r="TCE227" s="1"/>
      <c r="TCF227" s="1"/>
      <c r="TCG227" s="1"/>
      <c r="TCH227" s="1"/>
      <c r="TCI227" s="1"/>
      <c r="TCJ227" s="1"/>
      <c r="TCK227" s="1"/>
      <c r="TCL227" s="1"/>
      <c r="TCM227" s="1"/>
      <c r="TCN227" s="1"/>
      <c r="TCO227" s="1"/>
      <c r="TCP227" s="1"/>
      <c r="TCQ227" s="1"/>
      <c r="TCR227" s="1"/>
      <c r="TCS227" s="1"/>
      <c r="TCT227" s="1"/>
      <c r="TCU227" s="1"/>
      <c r="TCV227" s="1"/>
      <c r="TCW227" s="1"/>
      <c r="TCX227" s="1"/>
      <c r="TCY227" s="1"/>
      <c r="TCZ227" s="1"/>
      <c r="TDA227" s="1"/>
      <c r="TDB227" s="1"/>
      <c r="TDC227" s="1"/>
      <c r="TDD227" s="1"/>
      <c r="TDE227" s="1"/>
      <c r="TDF227" s="1"/>
      <c r="TDG227" s="1"/>
      <c r="TDH227" s="1"/>
      <c r="TDI227" s="1"/>
      <c r="TDJ227" s="1"/>
      <c r="TDK227" s="1"/>
      <c r="TDL227" s="1"/>
      <c r="TDM227" s="1"/>
      <c r="TDN227" s="1"/>
      <c r="TDO227" s="1"/>
      <c r="TDP227" s="1"/>
      <c r="TDQ227" s="1"/>
      <c r="TDR227" s="1"/>
      <c r="TDS227" s="1"/>
      <c r="TDT227" s="1"/>
      <c r="TDU227" s="1"/>
      <c r="TDV227" s="1"/>
      <c r="TDW227" s="1"/>
      <c r="TDX227" s="1"/>
      <c r="TDY227" s="1"/>
      <c r="TDZ227" s="1"/>
      <c r="TEA227" s="1"/>
      <c r="TEB227" s="1"/>
      <c r="TEC227" s="1"/>
      <c r="TED227" s="1"/>
      <c r="TEE227" s="1"/>
      <c r="TEF227" s="1"/>
      <c r="TEG227" s="1"/>
      <c r="TEH227" s="1"/>
      <c r="TEI227" s="1"/>
      <c r="TEJ227" s="1"/>
      <c r="TEK227" s="1"/>
      <c r="TEL227" s="1"/>
      <c r="TEM227" s="1"/>
      <c r="TEN227" s="1"/>
      <c r="TEO227" s="1"/>
      <c r="TEP227" s="1"/>
      <c r="TEQ227" s="1"/>
      <c r="TER227" s="1"/>
      <c r="TES227" s="1"/>
      <c r="TET227" s="1"/>
      <c r="TEU227" s="1"/>
      <c r="TEV227" s="1"/>
      <c r="TEW227" s="1"/>
      <c r="TEX227" s="1"/>
      <c r="TEY227" s="1"/>
      <c r="TEZ227" s="1"/>
      <c r="TFA227" s="1"/>
      <c r="TFB227" s="1"/>
      <c r="TFC227" s="1"/>
      <c r="TFD227" s="1"/>
      <c r="TFE227" s="1"/>
      <c r="TFF227" s="1"/>
      <c r="TFG227" s="1"/>
      <c r="TFH227" s="1"/>
      <c r="TFI227" s="1"/>
      <c r="TFJ227" s="1"/>
      <c r="TFK227" s="1"/>
      <c r="TFL227" s="1"/>
      <c r="TFM227" s="1"/>
      <c r="TFN227" s="1"/>
      <c r="TFO227" s="1"/>
      <c r="TFP227" s="1"/>
      <c r="TFQ227" s="1"/>
      <c r="TFR227" s="1"/>
      <c r="TFS227" s="1"/>
      <c r="TFT227" s="1"/>
      <c r="TFU227" s="1"/>
      <c r="TFV227" s="1"/>
      <c r="TFW227" s="1"/>
      <c r="TFX227" s="1"/>
      <c r="TFY227" s="1"/>
      <c r="TFZ227" s="1"/>
      <c r="TGA227" s="1"/>
      <c r="TGB227" s="1"/>
      <c r="TGC227" s="1"/>
      <c r="TGD227" s="1"/>
      <c r="TGE227" s="1"/>
      <c r="TGF227" s="1"/>
      <c r="TGG227" s="1"/>
      <c r="TGH227" s="1"/>
      <c r="TGI227" s="1"/>
      <c r="TGJ227" s="1"/>
      <c r="TGK227" s="1"/>
      <c r="TGL227" s="1"/>
      <c r="TGM227" s="1"/>
      <c r="TGN227" s="1"/>
      <c r="TGO227" s="1"/>
      <c r="TGP227" s="1"/>
      <c r="TGQ227" s="1"/>
      <c r="TGR227" s="1"/>
      <c r="TGS227" s="1"/>
      <c r="TGT227" s="1"/>
      <c r="TGU227" s="1"/>
      <c r="TGV227" s="1"/>
      <c r="TGW227" s="1"/>
      <c r="TGX227" s="1"/>
      <c r="TGY227" s="1"/>
      <c r="TGZ227" s="1"/>
      <c r="THA227" s="1"/>
      <c r="THB227" s="1"/>
      <c r="THC227" s="1"/>
      <c r="THD227" s="1"/>
      <c r="THE227" s="1"/>
      <c r="THF227" s="1"/>
      <c r="THG227" s="1"/>
      <c r="THH227" s="1"/>
      <c r="THI227" s="1"/>
      <c r="THJ227" s="1"/>
      <c r="THK227" s="1"/>
      <c r="THL227" s="1"/>
      <c r="THM227" s="1"/>
      <c r="THN227" s="1"/>
      <c r="THO227" s="1"/>
      <c r="THP227" s="1"/>
      <c r="THQ227" s="1"/>
      <c r="THR227" s="1"/>
      <c r="THS227" s="1"/>
      <c r="THT227" s="1"/>
      <c r="THU227" s="1"/>
      <c r="THV227" s="1"/>
      <c r="THW227" s="1"/>
      <c r="THX227" s="1"/>
      <c r="THY227" s="1"/>
      <c r="THZ227" s="1"/>
      <c r="TIA227" s="1"/>
      <c r="TIB227" s="1"/>
      <c r="TIC227" s="1"/>
      <c r="TID227" s="1"/>
      <c r="TIE227" s="1"/>
      <c r="TIF227" s="1"/>
      <c r="TIG227" s="1"/>
      <c r="TIH227" s="1"/>
      <c r="TII227" s="1"/>
      <c r="TIJ227" s="1"/>
      <c r="TIK227" s="1"/>
      <c r="TIL227" s="1"/>
      <c r="TIM227" s="1"/>
      <c r="TIN227" s="1"/>
      <c r="TIO227" s="1"/>
      <c r="TIP227" s="1"/>
      <c r="TIQ227" s="1"/>
      <c r="TIR227" s="1"/>
      <c r="TIS227" s="1"/>
      <c r="TIT227" s="1"/>
      <c r="TIU227" s="1"/>
      <c r="TIV227" s="1"/>
      <c r="TIW227" s="1"/>
      <c r="TIX227" s="1"/>
      <c r="TIY227" s="1"/>
      <c r="TIZ227" s="1"/>
      <c r="TJA227" s="1"/>
      <c r="TJB227" s="1"/>
      <c r="TJC227" s="1"/>
      <c r="TJD227" s="1"/>
      <c r="TJE227" s="1"/>
      <c r="TJF227" s="1"/>
      <c r="TJG227" s="1"/>
      <c r="TJH227" s="1"/>
      <c r="TJI227" s="1"/>
      <c r="TJJ227" s="1"/>
      <c r="TJK227" s="1"/>
      <c r="TJL227" s="1"/>
      <c r="TJM227" s="1"/>
      <c r="TJN227" s="1"/>
      <c r="TJO227" s="1"/>
      <c r="TJP227" s="1"/>
      <c r="TJQ227" s="1"/>
      <c r="TJR227" s="1"/>
      <c r="TJS227" s="1"/>
      <c r="TJT227" s="1"/>
      <c r="TJU227" s="1"/>
      <c r="TJV227" s="1"/>
      <c r="TJW227" s="1"/>
      <c r="TJX227" s="1"/>
      <c r="TJY227" s="1"/>
      <c r="TJZ227" s="1"/>
      <c r="TKA227" s="1"/>
      <c r="TKB227" s="1"/>
      <c r="TKC227" s="1"/>
      <c r="TKD227" s="1"/>
      <c r="TKE227" s="1"/>
      <c r="TKF227" s="1"/>
      <c r="TKG227" s="1"/>
      <c r="TKH227" s="1"/>
      <c r="TKI227" s="1"/>
      <c r="TKJ227" s="1"/>
      <c r="TKK227" s="1"/>
      <c r="TKL227" s="1"/>
      <c r="TKM227" s="1"/>
      <c r="TKN227" s="1"/>
      <c r="TKO227" s="1"/>
      <c r="TKP227" s="1"/>
      <c r="TKQ227" s="1"/>
      <c r="TKR227" s="1"/>
      <c r="TKS227" s="1"/>
      <c r="TKT227" s="1"/>
      <c r="TKU227" s="1"/>
      <c r="TKV227" s="1"/>
      <c r="TKW227" s="1"/>
      <c r="TKX227" s="1"/>
      <c r="TKY227" s="1"/>
      <c r="TKZ227" s="1"/>
      <c r="TLA227" s="1"/>
      <c r="TLB227" s="1"/>
      <c r="TLC227" s="1"/>
      <c r="TLD227" s="1"/>
      <c r="TLE227" s="1"/>
      <c r="TLF227" s="1"/>
      <c r="TLG227" s="1"/>
      <c r="TLH227" s="1"/>
      <c r="TLI227" s="1"/>
      <c r="TLJ227" s="1"/>
      <c r="TLK227" s="1"/>
      <c r="TLL227" s="1"/>
      <c r="TLM227" s="1"/>
      <c r="TLN227" s="1"/>
      <c r="TLO227" s="1"/>
      <c r="TLP227" s="1"/>
      <c r="TLQ227" s="1"/>
      <c r="TLR227" s="1"/>
      <c r="TLS227" s="1"/>
      <c r="TLT227" s="1"/>
      <c r="TLU227" s="1"/>
      <c r="TLV227" s="1"/>
      <c r="TLW227" s="1"/>
      <c r="TLX227" s="1"/>
      <c r="TLY227" s="1"/>
      <c r="TLZ227" s="1"/>
      <c r="TMA227" s="1"/>
      <c r="TMB227" s="1"/>
      <c r="TMC227" s="1"/>
      <c r="TMD227" s="1"/>
      <c r="TME227" s="1"/>
      <c r="TMF227" s="1"/>
      <c r="TMG227" s="1"/>
      <c r="TMH227" s="1"/>
      <c r="TMI227" s="1"/>
      <c r="TMJ227" s="1"/>
      <c r="TMK227" s="1"/>
      <c r="TML227" s="1"/>
      <c r="TMM227" s="1"/>
      <c r="TMN227" s="1"/>
      <c r="TMO227" s="1"/>
      <c r="TMP227" s="1"/>
      <c r="TMQ227" s="1"/>
      <c r="TMR227" s="1"/>
      <c r="TMS227" s="1"/>
      <c r="TMT227" s="1"/>
      <c r="TMU227" s="1"/>
      <c r="TMV227" s="1"/>
      <c r="TMW227" s="1"/>
      <c r="TMX227" s="1"/>
      <c r="TMY227" s="1"/>
      <c r="TMZ227" s="1"/>
      <c r="TNA227" s="1"/>
      <c r="TNB227" s="1"/>
      <c r="TNC227" s="1"/>
      <c r="TND227" s="1"/>
      <c r="TNE227" s="1"/>
      <c r="TNF227" s="1"/>
      <c r="TNG227" s="1"/>
      <c r="TNH227" s="1"/>
      <c r="TNI227" s="1"/>
      <c r="TNJ227" s="1"/>
      <c r="TNK227" s="1"/>
      <c r="TNL227" s="1"/>
      <c r="TNM227" s="1"/>
      <c r="TNN227" s="1"/>
      <c r="TNO227" s="1"/>
      <c r="TNP227" s="1"/>
      <c r="TNQ227" s="1"/>
      <c r="TNR227" s="1"/>
      <c r="TNS227" s="1"/>
      <c r="TNT227" s="1"/>
      <c r="TNU227" s="1"/>
      <c r="TNV227" s="1"/>
      <c r="TNW227" s="1"/>
      <c r="TNX227" s="1"/>
      <c r="TNY227" s="1"/>
      <c r="TNZ227" s="1"/>
      <c r="TOA227" s="1"/>
      <c r="TOB227" s="1"/>
      <c r="TOC227" s="1"/>
      <c r="TOD227" s="1"/>
      <c r="TOE227" s="1"/>
      <c r="TOF227" s="1"/>
      <c r="TOG227" s="1"/>
      <c r="TOH227" s="1"/>
      <c r="TOI227" s="1"/>
      <c r="TOJ227" s="1"/>
      <c r="TOK227" s="1"/>
      <c r="TOL227" s="1"/>
      <c r="TOM227" s="1"/>
      <c r="TON227" s="1"/>
      <c r="TOO227" s="1"/>
      <c r="TOP227" s="1"/>
      <c r="TOQ227" s="1"/>
      <c r="TOR227" s="1"/>
      <c r="TOS227" s="1"/>
      <c r="TOT227" s="1"/>
      <c r="TOU227" s="1"/>
      <c r="TOV227" s="1"/>
      <c r="TOW227" s="1"/>
      <c r="TOX227" s="1"/>
      <c r="TOY227" s="1"/>
      <c r="TOZ227" s="1"/>
      <c r="TPA227" s="1"/>
      <c r="TPB227" s="1"/>
      <c r="TPC227" s="1"/>
      <c r="TPD227" s="1"/>
      <c r="TPE227" s="1"/>
      <c r="TPF227" s="1"/>
      <c r="TPG227" s="1"/>
      <c r="TPH227" s="1"/>
      <c r="TPI227" s="1"/>
      <c r="TPJ227" s="1"/>
      <c r="TPK227" s="1"/>
      <c r="TPL227" s="1"/>
      <c r="TPM227" s="1"/>
      <c r="TPN227" s="1"/>
      <c r="TPO227" s="1"/>
      <c r="TPP227" s="1"/>
      <c r="TPQ227" s="1"/>
      <c r="TPR227" s="1"/>
      <c r="TPS227" s="1"/>
      <c r="TPT227" s="1"/>
      <c r="TPU227" s="1"/>
      <c r="TPV227" s="1"/>
      <c r="TPW227" s="1"/>
      <c r="TPX227" s="1"/>
      <c r="TPY227" s="1"/>
      <c r="TPZ227" s="1"/>
      <c r="TQA227" s="1"/>
      <c r="TQB227" s="1"/>
      <c r="TQC227" s="1"/>
      <c r="TQD227" s="1"/>
      <c r="TQE227" s="1"/>
      <c r="TQF227" s="1"/>
      <c r="TQG227" s="1"/>
      <c r="TQH227" s="1"/>
      <c r="TQI227" s="1"/>
      <c r="TQJ227" s="1"/>
      <c r="TQK227" s="1"/>
      <c r="TQL227" s="1"/>
      <c r="TQM227" s="1"/>
      <c r="TQN227" s="1"/>
      <c r="TQO227" s="1"/>
      <c r="TQP227" s="1"/>
      <c r="TQQ227" s="1"/>
      <c r="TQR227" s="1"/>
      <c r="TQS227" s="1"/>
      <c r="TQT227" s="1"/>
      <c r="TQU227" s="1"/>
      <c r="TQV227" s="1"/>
      <c r="TQW227" s="1"/>
      <c r="TQX227" s="1"/>
      <c r="TQY227" s="1"/>
      <c r="TQZ227" s="1"/>
      <c r="TRA227" s="1"/>
      <c r="TRB227" s="1"/>
      <c r="TRC227" s="1"/>
      <c r="TRD227" s="1"/>
      <c r="TRE227" s="1"/>
      <c r="TRF227" s="1"/>
      <c r="TRG227" s="1"/>
      <c r="TRH227" s="1"/>
      <c r="TRI227" s="1"/>
      <c r="TRJ227" s="1"/>
      <c r="TRK227" s="1"/>
      <c r="TRL227" s="1"/>
      <c r="TRM227" s="1"/>
      <c r="TRN227" s="1"/>
      <c r="TRO227" s="1"/>
      <c r="TRP227" s="1"/>
      <c r="TRQ227" s="1"/>
      <c r="TRR227" s="1"/>
      <c r="TRS227" s="1"/>
      <c r="TRT227" s="1"/>
      <c r="TRU227" s="1"/>
      <c r="TRV227" s="1"/>
      <c r="TRW227" s="1"/>
      <c r="TRX227" s="1"/>
      <c r="TRY227" s="1"/>
      <c r="TRZ227" s="1"/>
      <c r="TSA227" s="1"/>
      <c r="TSB227" s="1"/>
      <c r="TSC227" s="1"/>
      <c r="TSD227" s="1"/>
      <c r="TSE227" s="1"/>
      <c r="TSF227" s="1"/>
      <c r="TSG227" s="1"/>
      <c r="TSH227" s="1"/>
      <c r="TSI227" s="1"/>
      <c r="TSJ227" s="1"/>
      <c r="TSK227" s="1"/>
      <c r="TSL227" s="1"/>
      <c r="TSM227" s="1"/>
      <c r="TSN227" s="1"/>
      <c r="TSO227" s="1"/>
      <c r="TSP227" s="1"/>
      <c r="TSQ227" s="1"/>
      <c r="TSR227" s="1"/>
      <c r="TSS227" s="1"/>
      <c r="TST227" s="1"/>
      <c r="TSU227" s="1"/>
      <c r="TSV227" s="1"/>
      <c r="TSW227" s="1"/>
      <c r="TSX227" s="1"/>
      <c r="TSY227" s="1"/>
      <c r="TSZ227" s="1"/>
      <c r="TTA227" s="1"/>
      <c r="TTB227" s="1"/>
      <c r="TTC227" s="1"/>
      <c r="TTD227" s="1"/>
      <c r="TTE227" s="1"/>
      <c r="TTF227" s="1"/>
      <c r="TTG227" s="1"/>
      <c r="TTH227" s="1"/>
      <c r="TTI227" s="1"/>
      <c r="TTJ227" s="1"/>
      <c r="TTK227" s="1"/>
      <c r="TTL227" s="1"/>
      <c r="TTM227" s="1"/>
      <c r="TTN227" s="1"/>
      <c r="TTO227" s="1"/>
      <c r="TTP227" s="1"/>
      <c r="TTQ227" s="1"/>
      <c r="TTR227" s="1"/>
      <c r="TTS227" s="1"/>
      <c r="TTT227" s="1"/>
      <c r="TTU227" s="1"/>
      <c r="TTV227" s="1"/>
      <c r="TTW227" s="1"/>
      <c r="TTX227" s="1"/>
      <c r="TTY227" s="1"/>
      <c r="TTZ227" s="1"/>
      <c r="TUA227" s="1"/>
      <c r="TUB227" s="1"/>
      <c r="TUC227" s="1"/>
      <c r="TUD227" s="1"/>
      <c r="TUE227" s="1"/>
      <c r="TUF227" s="1"/>
      <c r="TUG227" s="1"/>
      <c r="TUH227" s="1"/>
      <c r="TUI227" s="1"/>
      <c r="TUJ227" s="1"/>
      <c r="TUK227" s="1"/>
      <c r="TUL227" s="1"/>
      <c r="TUM227" s="1"/>
      <c r="TUN227" s="1"/>
      <c r="TUO227" s="1"/>
      <c r="TUP227" s="1"/>
      <c r="TUQ227" s="1"/>
      <c r="TUR227" s="1"/>
      <c r="TUS227" s="1"/>
      <c r="TUT227" s="1"/>
      <c r="TUU227" s="1"/>
      <c r="TUV227" s="1"/>
      <c r="TUW227" s="1"/>
      <c r="TUX227" s="1"/>
      <c r="TUY227" s="1"/>
      <c r="TUZ227" s="1"/>
      <c r="TVA227" s="1"/>
      <c r="TVB227" s="1"/>
      <c r="TVC227" s="1"/>
      <c r="TVD227" s="1"/>
      <c r="TVE227" s="1"/>
      <c r="TVF227" s="1"/>
      <c r="TVG227" s="1"/>
      <c r="TVH227" s="1"/>
      <c r="TVI227" s="1"/>
      <c r="TVJ227" s="1"/>
      <c r="TVK227" s="1"/>
      <c r="TVL227" s="1"/>
      <c r="TVM227" s="1"/>
      <c r="TVN227" s="1"/>
      <c r="TVO227" s="1"/>
      <c r="TVP227" s="1"/>
      <c r="TVQ227" s="1"/>
      <c r="TVR227" s="1"/>
      <c r="TVS227" s="1"/>
      <c r="TVT227" s="1"/>
      <c r="TVU227" s="1"/>
      <c r="TVV227" s="1"/>
      <c r="TVW227" s="1"/>
      <c r="TVX227" s="1"/>
      <c r="TVY227" s="1"/>
      <c r="TVZ227" s="1"/>
      <c r="TWA227" s="1"/>
      <c r="TWB227" s="1"/>
      <c r="TWC227" s="1"/>
      <c r="TWD227" s="1"/>
      <c r="TWE227" s="1"/>
      <c r="TWF227" s="1"/>
      <c r="TWG227" s="1"/>
      <c r="TWH227" s="1"/>
      <c r="TWI227" s="1"/>
      <c r="TWJ227" s="1"/>
      <c r="TWK227" s="1"/>
      <c r="TWL227" s="1"/>
      <c r="TWM227" s="1"/>
      <c r="TWN227" s="1"/>
      <c r="TWO227" s="1"/>
      <c r="TWP227" s="1"/>
      <c r="TWQ227" s="1"/>
      <c r="TWR227" s="1"/>
      <c r="TWS227" s="1"/>
      <c r="TWT227" s="1"/>
      <c r="TWU227" s="1"/>
      <c r="TWV227" s="1"/>
      <c r="TWW227" s="1"/>
      <c r="TWX227" s="1"/>
      <c r="TWY227" s="1"/>
      <c r="TWZ227" s="1"/>
      <c r="TXA227" s="1"/>
      <c r="TXB227" s="1"/>
      <c r="TXC227" s="1"/>
      <c r="TXD227" s="1"/>
      <c r="TXE227" s="1"/>
      <c r="TXF227" s="1"/>
      <c r="TXG227" s="1"/>
      <c r="TXH227" s="1"/>
      <c r="TXI227" s="1"/>
      <c r="TXJ227" s="1"/>
      <c r="TXK227" s="1"/>
      <c r="TXL227" s="1"/>
      <c r="TXM227" s="1"/>
      <c r="TXN227" s="1"/>
      <c r="TXO227" s="1"/>
      <c r="TXP227" s="1"/>
      <c r="TXQ227" s="1"/>
      <c r="TXR227" s="1"/>
      <c r="TXS227" s="1"/>
      <c r="TXT227" s="1"/>
      <c r="TXU227" s="1"/>
      <c r="TXV227" s="1"/>
      <c r="TXW227" s="1"/>
      <c r="TXX227" s="1"/>
      <c r="TXY227" s="1"/>
      <c r="TXZ227" s="1"/>
      <c r="TYA227" s="1"/>
      <c r="TYB227" s="1"/>
      <c r="TYC227" s="1"/>
      <c r="TYD227" s="1"/>
      <c r="TYE227" s="1"/>
      <c r="TYF227" s="1"/>
      <c r="TYG227" s="1"/>
      <c r="TYH227" s="1"/>
      <c r="TYI227" s="1"/>
      <c r="TYJ227" s="1"/>
      <c r="TYK227" s="1"/>
      <c r="TYL227" s="1"/>
      <c r="TYM227" s="1"/>
      <c r="TYN227" s="1"/>
      <c r="TYO227" s="1"/>
      <c r="TYP227" s="1"/>
      <c r="TYQ227" s="1"/>
      <c r="TYR227" s="1"/>
      <c r="TYS227" s="1"/>
      <c r="TYT227" s="1"/>
      <c r="TYU227" s="1"/>
      <c r="TYV227" s="1"/>
      <c r="TYW227" s="1"/>
      <c r="TYX227" s="1"/>
      <c r="TYY227" s="1"/>
      <c r="TYZ227" s="1"/>
      <c r="TZA227" s="1"/>
      <c r="TZB227" s="1"/>
      <c r="TZC227" s="1"/>
      <c r="TZD227" s="1"/>
      <c r="TZE227" s="1"/>
      <c r="TZF227" s="1"/>
      <c r="TZG227" s="1"/>
      <c r="TZH227" s="1"/>
      <c r="TZI227" s="1"/>
      <c r="TZJ227" s="1"/>
      <c r="TZK227" s="1"/>
      <c r="TZL227" s="1"/>
      <c r="TZM227" s="1"/>
      <c r="TZN227" s="1"/>
      <c r="TZO227" s="1"/>
      <c r="TZP227" s="1"/>
      <c r="TZQ227" s="1"/>
      <c r="TZR227" s="1"/>
      <c r="TZS227" s="1"/>
      <c r="TZT227" s="1"/>
      <c r="TZU227" s="1"/>
      <c r="TZV227" s="1"/>
      <c r="TZW227" s="1"/>
      <c r="TZX227" s="1"/>
      <c r="TZY227" s="1"/>
      <c r="TZZ227" s="1"/>
      <c r="UAA227" s="1"/>
      <c r="UAB227" s="1"/>
      <c r="UAC227" s="1"/>
      <c r="UAD227" s="1"/>
      <c r="UAE227" s="1"/>
      <c r="UAF227" s="1"/>
      <c r="UAG227" s="1"/>
      <c r="UAH227" s="1"/>
      <c r="UAI227" s="1"/>
      <c r="UAJ227" s="1"/>
      <c r="UAK227" s="1"/>
      <c r="UAL227" s="1"/>
      <c r="UAM227" s="1"/>
      <c r="UAN227" s="1"/>
      <c r="UAO227" s="1"/>
      <c r="UAP227" s="1"/>
      <c r="UAQ227" s="1"/>
      <c r="UAR227" s="1"/>
      <c r="UAS227" s="1"/>
      <c r="UAT227" s="1"/>
      <c r="UAU227" s="1"/>
      <c r="UAV227" s="1"/>
      <c r="UAW227" s="1"/>
      <c r="UAX227" s="1"/>
      <c r="UAY227" s="1"/>
      <c r="UAZ227" s="1"/>
      <c r="UBA227" s="1"/>
      <c r="UBB227" s="1"/>
      <c r="UBC227" s="1"/>
      <c r="UBD227" s="1"/>
      <c r="UBE227" s="1"/>
      <c r="UBF227" s="1"/>
      <c r="UBG227" s="1"/>
      <c r="UBH227" s="1"/>
      <c r="UBI227" s="1"/>
      <c r="UBJ227" s="1"/>
      <c r="UBK227" s="1"/>
      <c r="UBL227" s="1"/>
      <c r="UBM227" s="1"/>
      <c r="UBN227" s="1"/>
      <c r="UBO227" s="1"/>
      <c r="UBP227" s="1"/>
      <c r="UBQ227" s="1"/>
      <c r="UBR227" s="1"/>
      <c r="UBS227" s="1"/>
      <c r="UBT227" s="1"/>
      <c r="UBU227" s="1"/>
      <c r="UBV227" s="1"/>
      <c r="UBW227" s="1"/>
      <c r="UBX227" s="1"/>
      <c r="UBY227" s="1"/>
      <c r="UBZ227" s="1"/>
      <c r="UCA227" s="1"/>
      <c r="UCB227" s="1"/>
      <c r="UCC227" s="1"/>
      <c r="UCD227" s="1"/>
      <c r="UCE227" s="1"/>
      <c r="UCF227" s="1"/>
      <c r="UCG227" s="1"/>
      <c r="UCH227" s="1"/>
      <c r="UCI227" s="1"/>
      <c r="UCJ227" s="1"/>
      <c r="UCK227" s="1"/>
      <c r="UCL227" s="1"/>
      <c r="UCM227" s="1"/>
      <c r="UCN227" s="1"/>
      <c r="UCO227" s="1"/>
      <c r="UCP227" s="1"/>
      <c r="UCQ227" s="1"/>
      <c r="UCR227" s="1"/>
      <c r="UCS227" s="1"/>
      <c r="UCT227" s="1"/>
      <c r="UCU227" s="1"/>
      <c r="UCV227" s="1"/>
      <c r="UCW227" s="1"/>
      <c r="UCX227" s="1"/>
      <c r="UCY227" s="1"/>
      <c r="UCZ227" s="1"/>
      <c r="UDA227" s="1"/>
      <c r="UDB227" s="1"/>
      <c r="UDC227" s="1"/>
      <c r="UDD227" s="1"/>
      <c r="UDE227" s="1"/>
      <c r="UDF227" s="1"/>
      <c r="UDG227" s="1"/>
      <c r="UDH227" s="1"/>
      <c r="UDI227" s="1"/>
      <c r="UDJ227" s="1"/>
      <c r="UDK227" s="1"/>
      <c r="UDL227" s="1"/>
      <c r="UDM227" s="1"/>
      <c r="UDN227" s="1"/>
      <c r="UDO227" s="1"/>
      <c r="UDP227" s="1"/>
      <c r="UDQ227" s="1"/>
      <c r="UDR227" s="1"/>
      <c r="UDS227" s="1"/>
      <c r="UDT227" s="1"/>
      <c r="UDU227" s="1"/>
      <c r="UDV227" s="1"/>
      <c r="UDW227" s="1"/>
      <c r="UDX227" s="1"/>
      <c r="UDY227" s="1"/>
      <c r="UDZ227" s="1"/>
      <c r="UEA227" s="1"/>
      <c r="UEB227" s="1"/>
      <c r="UEC227" s="1"/>
      <c r="UED227" s="1"/>
      <c r="UEE227" s="1"/>
      <c r="UEF227" s="1"/>
      <c r="UEG227" s="1"/>
      <c r="UEH227" s="1"/>
      <c r="UEI227" s="1"/>
      <c r="UEJ227" s="1"/>
      <c r="UEK227" s="1"/>
      <c r="UEL227" s="1"/>
      <c r="UEM227" s="1"/>
      <c r="UEN227" s="1"/>
      <c r="UEO227" s="1"/>
      <c r="UEP227" s="1"/>
      <c r="UEQ227" s="1"/>
      <c r="UER227" s="1"/>
      <c r="UES227" s="1"/>
      <c r="UET227" s="1"/>
      <c r="UEU227" s="1"/>
      <c r="UEV227" s="1"/>
      <c r="UEW227" s="1"/>
      <c r="UEX227" s="1"/>
      <c r="UEY227" s="1"/>
      <c r="UEZ227" s="1"/>
      <c r="UFA227" s="1"/>
      <c r="UFB227" s="1"/>
      <c r="UFC227" s="1"/>
      <c r="UFD227" s="1"/>
      <c r="UFE227" s="1"/>
      <c r="UFF227" s="1"/>
      <c r="UFG227" s="1"/>
      <c r="UFH227" s="1"/>
      <c r="UFI227" s="1"/>
      <c r="UFJ227" s="1"/>
      <c r="UFK227" s="1"/>
      <c r="UFL227" s="1"/>
      <c r="UFM227" s="1"/>
      <c r="UFN227" s="1"/>
      <c r="UFO227" s="1"/>
      <c r="UFP227" s="1"/>
      <c r="UFQ227" s="1"/>
      <c r="UFR227" s="1"/>
      <c r="UFS227" s="1"/>
      <c r="UFT227" s="1"/>
      <c r="UFU227" s="1"/>
      <c r="UFV227" s="1"/>
      <c r="UFW227" s="1"/>
      <c r="UFX227" s="1"/>
      <c r="UFY227" s="1"/>
      <c r="UFZ227" s="1"/>
      <c r="UGA227" s="1"/>
      <c r="UGB227" s="1"/>
      <c r="UGC227" s="1"/>
      <c r="UGD227" s="1"/>
      <c r="UGE227" s="1"/>
      <c r="UGF227" s="1"/>
      <c r="UGG227" s="1"/>
      <c r="UGH227" s="1"/>
      <c r="UGI227" s="1"/>
      <c r="UGJ227" s="1"/>
      <c r="UGK227" s="1"/>
      <c r="UGL227" s="1"/>
      <c r="UGM227" s="1"/>
      <c r="UGN227" s="1"/>
      <c r="UGO227" s="1"/>
      <c r="UGP227" s="1"/>
      <c r="UGQ227" s="1"/>
      <c r="UGR227" s="1"/>
      <c r="UGS227" s="1"/>
      <c r="UGT227" s="1"/>
      <c r="UGU227" s="1"/>
      <c r="UGV227" s="1"/>
      <c r="UGW227" s="1"/>
      <c r="UGX227" s="1"/>
      <c r="UGY227" s="1"/>
      <c r="UGZ227" s="1"/>
      <c r="UHA227" s="1"/>
      <c r="UHB227" s="1"/>
      <c r="UHC227" s="1"/>
      <c r="UHD227" s="1"/>
      <c r="UHE227" s="1"/>
      <c r="UHF227" s="1"/>
      <c r="UHG227" s="1"/>
      <c r="UHH227" s="1"/>
      <c r="UHI227" s="1"/>
      <c r="UHJ227" s="1"/>
      <c r="UHK227" s="1"/>
      <c r="UHL227" s="1"/>
      <c r="UHM227" s="1"/>
      <c r="UHN227" s="1"/>
      <c r="UHO227" s="1"/>
      <c r="UHP227" s="1"/>
      <c r="UHQ227" s="1"/>
      <c r="UHR227" s="1"/>
      <c r="UHS227" s="1"/>
      <c r="UHT227" s="1"/>
      <c r="UHU227" s="1"/>
      <c r="UHV227" s="1"/>
      <c r="UHW227" s="1"/>
      <c r="UHX227" s="1"/>
      <c r="UHY227" s="1"/>
      <c r="UHZ227" s="1"/>
      <c r="UIA227" s="1"/>
      <c r="UIB227" s="1"/>
      <c r="UIC227" s="1"/>
      <c r="UID227" s="1"/>
      <c r="UIE227" s="1"/>
      <c r="UIF227" s="1"/>
      <c r="UIG227" s="1"/>
      <c r="UIH227" s="1"/>
      <c r="UII227" s="1"/>
      <c r="UIJ227" s="1"/>
      <c r="UIK227" s="1"/>
      <c r="UIL227" s="1"/>
      <c r="UIM227" s="1"/>
      <c r="UIN227" s="1"/>
      <c r="UIO227" s="1"/>
      <c r="UIP227" s="1"/>
      <c r="UIQ227" s="1"/>
      <c r="UIR227" s="1"/>
      <c r="UIS227" s="1"/>
      <c r="UIT227" s="1"/>
      <c r="UIU227" s="1"/>
      <c r="UIV227" s="1"/>
      <c r="UIW227" s="1"/>
      <c r="UIX227" s="1"/>
      <c r="UIY227" s="1"/>
      <c r="UIZ227" s="1"/>
      <c r="UJA227" s="1"/>
      <c r="UJB227" s="1"/>
      <c r="UJC227" s="1"/>
      <c r="UJD227" s="1"/>
      <c r="UJE227" s="1"/>
      <c r="UJF227" s="1"/>
      <c r="UJG227" s="1"/>
      <c r="UJH227" s="1"/>
      <c r="UJI227" s="1"/>
      <c r="UJJ227" s="1"/>
      <c r="UJK227" s="1"/>
      <c r="UJL227" s="1"/>
      <c r="UJM227" s="1"/>
      <c r="UJN227" s="1"/>
      <c r="UJO227" s="1"/>
      <c r="UJP227" s="1"/>
      <c r="UJQ227" s="1"/>
      <c r="UJR227" s="1"/>
      <c r="UJS227" s="1"/>
      <c r="UJT227" s="1"/>
      <c r="UJU227" s="1"/>
      <c r="UJV227" s="1"/>
      <c r="UJW227" s="1"/>
      <c r="UJX227" s="1"/>
      <c r="UJY227" s="1"/>
      <c r="UJZ227" s="1"/>
      <c r="UKA227" s="1"/>
      <c r="UKB227" s="1"/>
      <c r="UKC227" s="1"/>
      <c r="UKD227" s="1"/>
      <c r="UKE227" s="1"/>
      <c r="UKF227" s="1"/>
      <c r="UKG227" s="1"/>
      <c r="UKH227" s="1"/>
      <c r="UKI227" s="1"/>
      <c r="UKJ227" s="1"/>
      <c r="UKK227" s="1"/>
      <c r="UKL227" s="1"/>
      <c r="UKM227" s="1"/>
      <c r="UKN227" s="1"/>
      <c r="UKO227" s="1"/>
      <c r="UKP227" s="1"/>
      <c r="UKQ227" s="1"/>
      <c r="UKR227" s="1"/>
      <c r="UKS227" s="1"/>
      <c r="UKT227" s="1"/>
      <c r="UKU227" s="1"/>
      <c r="UKV227" s="1"/>
      <c r="UKW227" s="1"/>
      <c r="UKX227" s="1"/>
      <c r="UKY227" s="1"/>
      <c r="UKZ227" s="1"/>
      <c r="ULA227" s="1"/>
      <c r="ULB227" s="1"/>
      <c r="ULC227" s="1"/>
      <c r="ULD227" s="1"/>
      <c r="ULE227" s="1"/>
      <c r="ULF227" s="1"/>
      <c r="ULG227" s="1"/>
      <c r="ULH227" s="1"/>
      <c r="ULI227" s="1"/>
      <c r="ULJ227" s="1"/>
      <c r="ULK227" s="1"/>
      <c r="ULL227" s="1"/>
      <c r="ULM227" s="1"/>
      <c r="ULN227" s="1"/>
      <c r="ULO227" s="1"/>
      <c r="ULP227" s="1"/>
      <c r="ULQ227" s="1"/>
      <c r="ULR227" s="1"/>
      <c r="ULS227" s="1"/>
      <c r="ULT227" s="1"/>
      <c r="ULU227" s="1"/>
      <c r="ULV227" s="1"/>
      <c r="ULW227" s="1"/>
      <c r="ULX227" s="1"/>
      <c r="ULY227" s="1"/>
      <c r="ULZ227" s="1"/>
      <c r="UMA227" s="1"/>
      <c r="UMB227" s="1"/>
      <c r="UMC227" s="1"/>
      <c r="UMD227" s="1"/>
      <c r="UME227" s="1"/>
      <c r="UMF227" s="1"/>
      <c r="UMG227" s="1"/>
      <c r="UMH227" s="1"/>
      <c r="UMI227" s="1"/>
      <c r="UMJ227" s="1"/>
      <c r="UMK227" s="1"/>
      <c r="UML227" s="1"/>
      <c r="UMM227" s="1"/>
      <c r="UMN227" s="1"/>
      <c r="UMO227" s="1"/>
      <c r="UMP227" s="1"/>
      <c r="UMQ227" s="1"/>
      <c r="UMR227" s="1"/>
      <c r="UMS227" s="1"/>
      <c r="UMT227" s="1"/>
      <c r="UMU227" s="1"/>
      <c r="UMV227" s="1"/>
      <c r="UMW227" s="1"/>
      <c r="UMX227" s="1"/>
      <c r="UMY227" s="1"/>
      <c r="UMZ227" s="1"/>
      <c r="UNA227" s="1"/>
      <c r="UNB227" s="1"/>
      <c r="UNC227" s="1"/>
      <c r="UND227" s="1"/>
      <c r="UNE227" s="1"/>
      <c r="UNF227" s="1"/>
      <c r="UNG227" s="1"/>
      <c r="UNH227" s="1"/>
      <c r="UNI227" s="1"/>
      <c r="UNJ227" s="1"/>
      <c r="UNK227" s="1"/>
      <c r="UNL227" s="1"/>
      <c r="UNM227" s="1"/>
      <c r="UNN227" s="1"/>
      <c r="UNO227" s="1"/>
      <c r="UNP227" s="1"/>
      <c r="UNQ227" s="1"/>
      <c r="UNR227" s="1"/>
      <c r="UNS227" s="1"/>
      <c r="UNT227" s="1"/>
      <c r="UNU227" s="1"/>
      <c r="UNV227" s="1"/>
      <c r="UNW227" s="1"/>
      <c r="UNX227" s="1"/>
      <c r="UNY227" s="1"/>
      <c r="UNZ227" s="1"/>
      <c r="UOA227" s="1"/>
      <c r="UOB227" s="1"/>
      <c r="UOC227" s="1"/>
      <c r="UOD227" s="1"/>
      <c r="UOE227" s="1"/>
      <c r="UOF227" s="1"/>
      <c r="UOG227" s="1"/>
      <c r="UOH227" s="1"/>
      <c r="UOI227" s="1"/>
      <c r="UOJ227" s="1"/>
      <c r="UOK227" s="1"/>
      <c r="UOL227" s="1"/>
      <c r="UOM227" s="1"/>
      <c r="UON227" s="1"/>
      <c r="UOO227" s="1"/>
      <c r="UOP227" s="1"/>
      <c r="UOQ227" s="1"/>
      <c r="UOR227" s="1"/>
      <c r="UOS227" s="1"/>
      <c r="UOT227" s="1"/>
      <c r="UOU227" s="1"/>
      <c r="UOV227" s="1"/>
      <c r="UOW227" s="1"/>
      <c r="UOX227" s="1"/>
      <c r="UOY227" s="1"/>
      <c r="UOZ227" s="1"/>
      <c r="UPA227" s="1"/>
      <c r="UPB227" s="1"/>
      <c r="UPC227" s="1"/>
      <c r="UPD227" s="1"/>
      <c r="UPE227" s="1"/>
      <c r="UPF227" s="1"/>
      <c r="UPG227" s="1"/>
      <c r="UPH227" s="1"/>
      <c r="UPI227" s="1"/>
      <c r="UPJ227" s="1"/>
      <c r="UPK227" s="1"/>
      <c r="UPL227" s="1"/>
      <c r="UPM227" s="1"/>
      <c r="UPN227" s="1"/>
      <c r="UPO227" s="1"/>
      <c r="UPP227" s="1"/>
      <c r="UPQ227" s="1"/>
      <c r="UPR227" s="1"/>
      <c r="UPS227" s="1"/>
      <c r="UPT227" s="1"/>
      <c r="UPU227" s="1"/>
      <c r="UPV227" s="1"/>
      <c r="UPW227" s="1"/>
      <c r="UPX227" s="1"/>
      <c r="UPY227" s="1"/>
      <c r="UPZ227" s="1"/>
      <c r="UQA227" s="1"/>
      <c r="UQB227" s="1"/>
      <c r="UQC227" s="1"/>
      <c r="UQD227" s="1"/>
      <c r="UQE227" s="1"/>
      <c r="UQF227" s="1"/>
      <c r="UQG227" s="1"/>
      <c r="UQH227" s="1"/>
      <c r="UQI227" s="1"/>
      <c r="UQJ227" s="1"/>
      <c r="UQK227" s="1"/>
      <c r="UQL227" s="1"/>
      <c r="UQM227" s="1"/>
      <c r="UQN227" s="1"/>
      <c r="UQO227" s="1"/>
      <c r="UQP227" s="1"/>
      <c r="UQQ227" s="1"/>
      <c r="UQR227" s="1"/>
      <c r="UQS227" s="1"/>
      <c r="UQT227" s="1"/>
      <c r="UQU227" s="1"/>
      <c r="UQV227" s="1"/>
      <c r="UQW227" s="1"/>
      <c r="UQX227" s="1"/>
      <c r="UQY227" s="1"/>
      <c r="UQZ227" s="1"/>
      <c r="URA227" s="1"/>
      <c r="URB227" s="1"/>
      <c r="URC227" s="1"/>
      <c r="URD227" s="1"/>
      <c r="URE227" s="1"/>
      <c r="URF227" s="1"/>
      <c r="URG227" s="1"/>
      <c r="URH227" s="1"/>
      <c r="URI227" s="1"/>
      <c r="URJ227" s="1"/>
      <c r="URK227" s="1"/>
      <c r="URL227" s="1"/>
      <c r="URM227" s="1"/>
      <c r="URN227" s="1"/>
      <c r="URO227" s="1"/>
      <c r="URP227" s="1"/>
      <c r="URQ227" s="1"/>
      <c r="URR227" s="1"/>
      <c r="URS227" s="1"/>
      <c r="URT227" s="1"/>
      <c r="URU227" s="1"/>
      <c r="URV227" s="1"/>
      <c r="URW227" s="1"/>
      <c r="URX227" s="1"/>
      <c r="URY227" s="1"/>
      <c r="URZ227" s="1"/>
      <c r="USA227" s="1"/>
      <c r="USB227" s="1"/>
      <c r="USC227" s="1"/>
      <c r="USD227" s="1"/>
      <c r="USE227" s="1"/>
      <c r="USF227" s="1"/>
      <c r="USG227" s="1"/>
      <c r="USH227" s="1"/>
      <c r="USI227" s="1"/>
      <c r="USJ227" s="1"/>
      <c r="USK227" s="1"/>
      <c r="USL227" s="1"/>
      <c r="USM227" s="1"/>
      <c r="USN227" s="1"/>
      <c r="USO227" s="1"/>
      <c r="USP227" s="1"/>
      <c r="USQ227" s="1"/>
      <c r="USR227" s="1"/>
      <c r="USS227" s="1"/>
      <c r="UST227" s="1"/>
      <c r="USU227" s="1"/>
      <c r="USV227" s="1"/>
      <c r="USW227" s="1"/>
      <c r="USX227" s="1"/>
      <c r="USY227" s="1"/>
      <c r="USZ227" s="1"/>
      <c r="UTA227" s="1"/>
      <c r="UTB227" s="1"/>
      <c r="UTC227" s="1"/>
      <c r="UTD227" s="1"/>
      <c r="UTE227" s="1"/>
      <c r="UTF227" s="1"/>
      <c r="UTG227" s="1"/>
      <c r="UTH227" s="1"/>
      <c r="UTI227" s="1"/>
      <c r="UTJ227" s="1"/>
      <c r="UTK227" s="1"/>
      <c r="UTL227" s="1"/>
      <c r="UTM227" s="1"/>
      <c r="UTN227" s="1"/>
      <c r="UTO227" s="1"/>
      <c r="UTP227" s="1"/>
      <c r="UTQ227" s="1"/>
      <c r="UTR227" s="1"/>
      <c r="UTS227" s="1"/>
      <c r="UTT227" s="1"/>
      <c r="UTU227" s="1"/>
      <c r="UTV227" s="1"/>
      <c r="UTW227" s="1"/>
      <c r="UTX227" s="1"/>
      <c r="UTY227" s="1"/>
      <c r="UTZ227" s="1"/>
      <c r="UUA227" s="1"/>
      <c r="UUB227" s="1"/>
      <c r="UUC227" s="1"/>
      <c r="UUD227" s="1"/>
      <c r="UUE227" s="1"/>
      <c r="UUF227" s="1"/>
      <c r="UUG227" s="1"/>
      <c r="UUH227" s="1"/>
      <c r="UUI227" s="1"/>
      <c r="UUJ227" s="1"/>
      <c r="UUK227" s="1"/>
      <c r="UUL227" s="1"/>
      <c r="UUM227" s="1"/>
      <c r="UUN227" s="1"/>
      <c r="UUO227" s="1"/>
      <c r="UUP227" s="1"/>
      <c r="UUQ227" s="1"/>
      <c r="UUR227" s="1"/>
      <c r="UUS227" s="1"/>
      <c r="UUT227" s="1"/>
      <c r="UUU227" s="1"/>
      <c r="UUV227" s="1"/>
      <c r="UUW227" s="1"/>
      <c r="UUX227" s="1"/>
      <c r="UUY227" s="1"/>
      <c r="UUZ227" s="1"/>
      <c r="UVA227" s="1"/>
      <c r="UVB227" s="1"/>
      <c r="UVC227" s="1"/>
      <c r="UVD227" s="1"/>
      <c r="UVE227" s="1"/>
      <c r="UVF227" s="1"/>
      <c r="UVG227" s="1"/>
      <c r="UVH227" s="1"/>
      <c r="UVI227" s="1"/>
      <c r="UVJ227" s="1"/>
      <c r="UVK227" s="1"/>
      <c r="UVL227" s="1"/>
      <c r="UVM227" s="1"/>
      <c r="UVN227" s="1"/>
      <c r="UVO227" s="1"/>
      <c r="UVP227" s="1"/>
      <c r="UVQ227" s="1"/>
      <c r="UVR227" s="1"/>
      <c r="UVS227" s="1"/>
      <c r="UVT227" s="1"/>
      <c r="UVU227" s="1"/>
      <c r="UVV227" s="1"/>
      <c r="UVW227" s="1"/>
      <c r="UVX227" s="1"/>
      <c r="UVY227" s="1"/>
      <c r="UVZ227" s="1"/>
      <c r="UWA227" s="1"/>
      <c r="UWB227" s="1"/>
      <c r="UWC227" s="1"/>
      <c r="UWD227" s="1"/>
      <c r="UWE227" s="1"/>
      <c r="UWF227" s="1"/>
      <c r="UWG227" s="1"/>
      <c r="UWH227" s="1"/>
      <c r="UWI227" s="1"/>
      <c r="UWJ227" s="1"/>
      <c r="UWK227" s="1"/>
      <c r="UWL227" s="1"/>
      <c r="UWM227" s="1"/>
      <c r="UWN227" s="1"/>
      <c r="UWO227" s="1"/>
      <c r="UWP227" s="1"/>
      <c r="UWQ227" s="1"/>
      <c r="UWR227" s="1"/>
      <c r="UWS227" s="1"/>
      <c r="UWT227" s="1"/>
      <c r="UWU227" s="1"/>
      <c r="UWV227" s="1"/>
      <c r="UWW227" s="1"/>
      <c r="UWX227" s="1"/>
      <c r="UWY227" s="1"/>
      <c r="UWZ227" s="1"/>
      <c r="UXA227" s="1"/>
      <c r="UXB227" s="1"/>
      <c r="UXC227" s="1"/>
      <c r="UXD227" s="1"/>
      <c r="UXE227" s="1"/>
      <c r="UXF227" s="1"/>
      <c r="UXG227" s="1"/>
      <c r="UXH227" s="1"/>
      <c r="UXI227" s="1"/>
      <c r="UXJ227" s="1"/>
      <c r="UXK227" s="1"/>
      <c r="UXL227" s="1"/>
      <c r="UXM227" s="1"/>
      <c r="UXN227" s="1"/>
      <c r="UXO227" s="1"/>
      <c r="UXP227" s="1"/>
      <c r="UXQ227" s="1"/>
      <c r="UXR227" s="1"/>
      <c r="UXS227" s="1"/>
      <c r="UXT227" s="1"/>
      <c r="UXU227" s="1"/>
      <c r="UXV227" s="1"/>
      <c r="UXW227" s="1"/>
      <c r="UXX227" s="1"/>
      <c r="UXY227" s="1"/>
      <c r="UXZ227" s="1"/>
      <c r="UYA227" s="1"/>
      <c r="UYB227" s="1"/>
      <c r="UYC227" s="1"/>
      <c r="UYD227" s="1"/>
      <c r="UYE227" s="1"/>
      <c r="UYF227" s="1"/>
      <c r="UYG227" s="1"/>
      <c r="UYH227" s="1"/>
      <c r="UYI227" s="1"/>
      <c r="UYJ227" s="1"/>
      <c r="UYK227" s="1"/>
      <c r="UYL227" s="1"/>
      <c r="UYM227" s="1"/>
      <c r="UYN227" s="1"/>
      <c r="UYO227" s="1"/>
      <c r="UYP227" s="1"/>
      <c r="UYQ227" s="1"/>
      <c r="UYR227" s="1"/>
      <c r="UYS227" s="1"/>
      <c r="UYT227" s="1"/>
      <c r="UYU227" s="1"/>
      <c r="UYV227" s="1"/>
      <c r="UYW227" s="1"/>
      <c r="UYX227" s="1"/>
      <c r="UYY227" s="1"/>
      <c r="UYZ227" s="1"/>
      <c r="UZA227" s="1"/>
      <c r="UZB227" s="1"/>
      <c r="UZC227" s="1"/>
      <c r="UZD227" s="1"/>
      <c r="UZE227" s="1"/>
      <c r="UZF227" s="1"/>
      <c r="UZG227" s="1"/>
      <c r="UZH227" s="1"/>
      <c r="UZI227" s="1"/>
      <c r="UZJ227" s="1"/>
      <c r="UZK227" s="1"/>
      <c r="UZL227" s="1"/>
      <c r="UZM227" s="1"/>
      <c r="UZN227" s="1"/>
      <c r="UZO227" s="1"/>
      <c r="UZP227" s="1"/>
      <c r="UZQ227" s="1"/>
      <c r="UZR227" s="1"/>
      <c r="UZS227" s="1"/>
      <c r="UZT227" s="1"/>
      <c r="UZU227" s="1"/>
      <c r="UZV227" s="1"/>
      <c r="UZW227" s="1"/>
      <c r="UZX227" s="1"/>
      <c r="UZY227" s="1"/>
      <c r="UZZ227" s="1"/>
      <c r="VAA227" s="1"/>
      <c r="VAB227" s="1"/>
      <c r="VAC227" s="1"/>
      <c r="VAD227" s="1"/>
      <c r="VAE227" s="1"/>
      <c r="VAF227" s="1"/>
      <c r="VAG227" s="1"/>
      <c r="VAH227" s="1"/>
      <c r="VAI227" s="1"/>
      <c r="VAJ227" s="1"/>
      <c r="VAK227" s="1"/>
      <c r="VAL227" s="1"/>
      <c r="VAM227" s="1"/>
      <c r="VAN227" s="1"/>
      <c r="VAO227" s="1"/>
      <c r="VAP227" s="1"/>
      <c r="VAQ227" s="1"/>
      <c r="VAR227" s="1"/>
      <c r="VAS227" s="1"/>
      <c r="VAT227" s="1"/>
      <c r="VAU227" s="1"/>
      <c r="VAV227" s="1"/>
      <c r="VAW227" s="1"/>
      <c r="VAX227" s="1"/>
      <c r="VAY227" s="1"/>
      <c r="VAZ227" s="1"/>
      <c r="VBA227" s="1"/>
      <c r="VBB227" s="1"/>
      <c r="VBC227" s="1"/>
      <c r="VBD227" s="1"/>
      <c r="VBE227" s="1"/>
      <c r="VBF227" s="1"/>
      <c r="VBG227" s="1"/>
      <c r="VBH227" s="1"/>
      <c r="VBI227" s="1"/>
      <c r="VBJ227" s="1"/>
      <c r="VBK227" s="1"/>
      <c r="VBL227" s="1"/>
      <c r="VBM227" s="1"/>
      <c r="VBN227" s="1"/>
      <c r="VBO227" s="1"/>
      <c r="VBP227" s="1"/>
      <c r="VBQ227" s="1"/>
      <c r="VBR227" s="1"/>
      <c r="VBS227" s="1"/>
      <c r="VBT227" s="1"/>
      <c r="VBU227" s="1"/>
      <c r="VBV227" s="1"/>
      <c r="VBW227" s="1"/>
      <c r="VBX227" s="1"/>
      <c r="VBY227" s="1"/>
      <c r="VBZ227" s="1"/>
      <c r="VCA227" s="1"/>
      <c r="VCB227" s="1"/>
      <c r="VCC227" s="1"/>
      <c r="VCD227" s="1"/>
      <c r="VCE227" s="1"/>
      <c r="VCF227" s="1"/>
      <c r="VCG227" s="1"/>
      <c r="VCH227" s="1"/>
      <c r="VCI227" s="1"/>
      <c r="VCJ227" s="1"/>
      <c r="VCK227" s="1"/>
      <c r="VCL227" s="1"/>
      <c r="VCM227" s="1"/>
      <c r="VCN227" s="1"/>
      <c r="VCO227" s="1"/>
      <c r="VCP227" s="1"/>
      <c r="VCQ227" s="1"/>
      <c r="VCR227" s="1"/>
      <c r="VCS227" s="1"/>
      <c r="VCT227" s="1"/>
      <c r="VCU227" s="1"/>
      <c r="VCV227" s="1"/>
      <c r="VCW227" s="1"/>
    </row>
    <row r="228" spans="5:14973" s="2" customFormat="1" x14ac:dyDescent="0.3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43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5"/>
      <c r="AO228" s="5"/>
      <c r="AP228" s="1"/>
      <c r="AQ228" s="1"/>
      <c r="AR228" s="1"/>
      <c r="AT228" s="3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  <c r="ALM228" s="1"/>
      <c r="ALN228" s="1"/>
      <c r="ALO228" s="1"/>
      <c r="ALP228" s="1"/>
      <c r="ALQ228" s="1"/>
      <c r="ALR228" s="1"/>
      <c r="ALS228" s="1"/>
      <c r="ALT228" s="1"/>
      <c r="ALU228" s="1"/>
      <c r="ALV228" s="1"/>
      <c r="ALW228" s="1"/>
      <c r="ALX228" s="1"/>
      <c r="ALY228" s="1"/>
      <c r="ALZ228" s="1"/>
      <c r="AMA228" s="1"/>
      <c r="AMB228" s="1"/>
      <c r="AMC228" s="1"/>
      <c r="AMD228" s="1"/>
      <c r="AME228" s="1"/>
      <c r="AMF228" s="1"/>
      <c r="AMG228" s="1"/>
      <c r="AMH228" s="1"/>
      <c r="AMI228" s="1"/>
      <c r="AMJ228" s="1"/>
      <c r="AMK228" s="1"/>
      <c r="AML228" s="1"/>
      <c r="AMM228" s="1"/>
      <c r="AMN228" s="1"/>
      <c r="AMO228" s="1"/>
      <c r="AMP228" s="1"/>
      <c r="AMQ228" s="1"/>
      <c r="AMR228" s="1"/>
      <c r="AMS228" s="1"/>
      <c r="AMT228" s="1"/>
      <c r="AMU228" s="1"/>
      <c r="AMV228" s="1"/>
      <c r="AMW228" s="1"/>
      <c r="AMX228" s="1"/>
      <c r="AMY228" s="1"/>
      <c r="AMZ228" s="1"/>
      <c r="ANA228" s="1"/>
      <c r="ANB228" s="1"/>
      <c r="ANC228" s="1"/>
      <c r="AND228" s="1"/>
      <c r="ANE228" s="1"/>
      <c r="ANF228" s="1"/>
      <c r="ANG228" s="1"/>
      <c r="ANH228" s="1"/>
      <c r="ANI228" s="1"/>
      <c r="ANJ228" s="1"/>
      <c r="ANK228" s="1"/>
      <c r="ANL228" s="1"/>
      <c r="ANM228" s="1"/>
      <c r="ANN228" s="1"/>
      <c r="ANO228" s="1"/>
      <c r="ANP228" s="1"/>
      <c r="ANQ228" s="1"/>
      <c r="ANR228" s="1"/>
      <c r="ANS228" s="1"/>
      <c r="ANT228" s="1"/>
      <c r="ANU228" s="1"/>
      <c r="ANV228" s="1"/>
      <c r="ANW228" s="1"/>
      <c r="ANX228" s="1"/>
      <c r="ANY228" s="1"/>
      <c r="ANZ228" s="1"/>
      <c r="AOA228" s="1"/>
      <c r="AOB228" s="1"/>
      <c r="AOC228" s="1"/>
      <c r="AOD228" s="1"/>
      <c r="AOE228" s="1"/>
      <c r="AOF228" s="1"/>
      <c r="AOG228" s="1"/>
      <c r="AOH228" s="1"/>
      <c r="AOI228" s="1"/>
      <c r="AOJ228" s="1"/>
      <c r="AOK228" s="1"/>
      <c r="AOL228" s="1"/>
      <c r="AOM228" s="1"/>
      <c r="AON228" s="1"/>
      <c r="AOO228" s="1"/>
      <c r="AOP228" s="1"/>
      <c r="AOQ228" s="1"/>
      <c r="AOR228" s="1"/>
      <c r="AOS228" s="1"/>
      <c r="AOT228" s="1"/>
      <c r="AOU228" s="1"/>
      <c r="AOV228" s="1"/>
      <c r="AOW228" s="1"/>
      <c r="AOX228" s="1"/>
      <c r="AOY228" s="1"/>
      <c r="AOZ228" s="1"/>
      <c r="APA228" s="1"/>
      <c r="APB228" s="1"/>
      <c r="APC228" s="1"/>
      <c r="APD228" s="1"/>
      <c r="APE228" s="1"/>
      <c r="APF228" s="1"/>
      <c r="APG228" s="1"/>
      <c r="APH228" s="1"/>
      <c r="API228" s="1"/>
      <c r="APJ228" s="1"/>
      <c r="APK228" s="1"/>
      <c r="APL228" s="1"/>
      <c r="APM228" s="1"/>
      <c r="APN228" s="1"/>
      <c r="APO228" s="1"/>
      <c r="APP228" s="1"/>
      <c r="APQ228" s="1"/>
      <c r="APR228" s="1"/>
      <c r="APS228" s="1"/>
      <c r="APT228" s="1"/>
      <c r="APU228" s="1"/>
      <c r="APV228" s="1"/>
      <c r="APW228" s="1"/>
      <c r="APX228" s="1"/>
      <c r="APY228" s="1"/>
      <c r="APZ228" s="1"/>
      <c r="AQA228" s="1"/>
      <c r="AQB228" s="1"/>
      <c r="AQC228" s="1"/>
      <c r="AQD228" s="1"/>
      <c r="AQE228" s="1"/>
      <c r="AQF228" s="1"/>
      <c r="AQG228" s="1"/>
      <c r="AQH228" s="1"/>
      <c r="AQI228" s="1"/>
      <c r="AQJ228" s="1"/>
      <c r="AQK228" s="1"/>
      <c r="AQL228" s="1"/>
      <c r="AQM228" s="1"/>
      <c r="AQN228" s="1"/>
      <c r="AQO228" s="1"/>
      <c r="AQP228" s="1"/>
      <c r="AQQ228" s="1"/>
      <c r="AQR228" s="1"/>
      <c r="AQS228" s="1"/>
      <c r="AQT228" s="1"/>
      <c r="AQU228" s="1"/>
      <c r="AQV228" s="1"/>
      <c r="AQW228" s="1"/>
      <c r="AQX228" s="1"/>
      <c r="AQY228" s="1"/>
      <c r="AQZ228" s="1"/>
      <c r="ARA228" s="1"/>
      <c r="ARB228" s="1"/>
      <c r="ARC228" s="1"/>
      <c r="ARD228" s="1"/>
      <c r="ARE228" s="1"/>
      <c r="ARF228" s="1"/>
      <c r="ARG228" s="1"/>
      <c r="ARH228" s="1"/>
      <c r="ARI228" s="1"/>
      <c r="ARJ228" s="1"/>
      <c r="ARK228" s="1"/>
      <c r="ARL228" s="1"/>
      <c r="ARM228" s="1"/>
      <c r="ARN228" s="1"/>
      <c r="ARO228" s="1"/>
      <c r="ARP228" s="1"/>
      <c r="ARQ228" s="1"/>
      <c r="ARR228" s="1"/>
      <c r="ARS228" s="1"/>
      <c r="ART228" s="1"/>
      <c r="ARU228" s="1"/>
      <c r="ARV228" s="1"/>
      <c r="ARW228" s="1"/>
      <c r="ARX228" s="1"/>
      <c r="ARY228" s="1"/>
      <c r="ARZ228" s="1"/>
      <c r="ASA228" s="1"/>
      <c r="ASB228" s="1"/>
      <c r="ASC228" s="1"/>
      <c r="ASD228" s="1"/>
      <c r="ASE228" s="1"/>
      <c r="ASF228" s="1"/>
      <c r="ASG228" s="1"/>
      <c r="ASH228" s="1"/>
      <c r="ASI228" s="1"/>
      <c r="ASJ228" s="1"/>
      <c r="ASK228" s="1"/>
      <c r="ASL228" s="1"/>
      <c r="ASM228" s="1"/>
      <c r="ASN228" s="1"/>
      <c r="ASO228" s="1"/>
      <c r="ASP228" s="1"/>
      <c r="ASQ228" s="1"/>
      <c r="ASR228" s="1"/>
      <c r="ASS228" s="1"/>
      <c r="AST228" s="1"/>
      <c r="ASU228" s="1"/>
      <c r="ASV228" s="1"/>
      <c r="ASW228" s="1"/>
      <c r="ASX228" s="1"/>
      <c r="ASY228" s="1"/>
      <c r="ASZ228" s="1"/>
      <c r="ATA228" s="1"/>
      <c r="ATB228" s="1"/>
      <c r="ATC228" s="1"/>
      <c r="ATD228" s="1"/>
      <c r="ATE228" s="1"/>
      <c r="ATF228" s="1"/>
      <c r="ATG228" s="1"/>
      <c r="ATH228" s="1"/>
      <c r="ATI228" s="1"/>
      <c r="ATJ228" s="1"/>
      <c r="ATK228" s="1"/>
      <c r="ATL228" s="1"/>
      <c r="ATM228" s="1"/>
      <c r="ATN228" s="1"/>
      <c r="ATO228" s="1"/>
      <c r="ATP228" s="1"/>
      <c r="ATQ228" s="1"/>
      <c r="ATR228" s="1"/>
      <c r="ATS228" s="1"/>
      <c r="ATT228" s="1"/>
      <c r="ATU228" s="1"/>
      <c r="ATV228" s="1"/>
      <c r="ATW228" s="1"/>
      <c r="ATX228" s="1"/>
      <c r="ATY228" s="1"/>
      <c r="ATZ228" s="1"/>
      <c r="AUA228" s="1"/>
      <c r="AUB228" s="1"/>
      <c r="AUC228" s="1"/>
      <c r="AUD228" s="1"/>
      <c r="AUE228" s="1"/>
      <c r="AUF228" s="1"/>
      <c r="AUG228" s="1"/>
      <c r="AUH228" s="1"/>
      <c r="AUI228" s="1"/>
      <c r="AUJ228" s="1"/>
      <c r="AUK228" s="1"/>
      <c r="AUL228" s="1"/>
      <c r="AUM228" s="1"/>
      <c r="AUN228" s="1"/>
      <c r="AUO228" s="1"/>
      <c r="AUP228" s="1"/>
      <c r="AUQ228" s="1"/>
      <c r="AUR228" s="1"/>
      <c r="AUS228" s="1"/>
      <c r="AUT228" s="1"/>
      <c r="AUU228" s="1"/>
      <c r="AUV228" s="1"/>
      <c r="AUW228" s="1"/>
      <c r="AUX228" s="1"/>
      <c r="AUY228" s="1"/>
      <c r="AUZ228" s="1"/>
      <c r="AVA228" s="1"/>
      <c r="AVB228" s="1"/>
      <c r="AVC228" s="1"/>
      <c r="AVD228" s="1"/>
      <c r="AVE228" s="1"/>
      <c r="AVF228" s="1"/>
      <c r="AVG228" s="1"/>
      <c r="AVH228" s="1"/>
      <c r="AVI228" s="1"/>
      <c r="AVJ228" s="1"/>
      <c r="AVK228" s="1"/>
      <c r="AVL228" s="1"/>
      <c r="AVM228" s="1"/>
      <c r="AVN228" s="1"/>
      <c r="AVO228" s="1"/>
      <c r="AVP228" s="1"/>
      <c r="AVQ228" s="1"/>
      <c r="AVR228" s="1"/>
      <c r="AVS228" s="1"/>
      <c r="AVT228" s="1"/>
      <c r="AVU228" s="1"/>
      <c r="AVV228" s="1"/>
      <c r="AVW228" s="1"/>
      <c r="AVX228" s="1"/>
      <c r="AVY228" s="1"/>
      <c r="AVZ228" s="1"/>
      <c r="AWA228" s="1"/>
      <c r="AWB228" s="1"/>
      <c r="AWC228" s="1"/>
      <c r="AWD228" s="1"/>
      <c r="AWE228" s="1"/>
      <c r="AWF228" s="1"/>
      <c r="AWG228" s="1"/>
      <c r="AWH228" s="1"/>
      <c r="AWI228" s="1"/>
      <c r="AWJ228" s="1"/>
      <c r="AWK228" s="1"/>
      <c r="AWL228" s="1"/>
      <c r="AWM228" s="1"/>
      <c r="AWN228" s="1"/>
      <c r="AWO228" s="1"/>
      <c r="AWP228" s="1"/>
      <c r="AWQ228" s="1"/>
      <c r="AWR228" s="1"/>
      <c r="AWS228" s="1"/>
      <c r="AWT228" s="1"/>
      <c r="AWU228" s="1"/>
      <c r="AWV228" s="1"/>
      <c r="AWW228" s="1"/>
      <c r="AWX228" s="1"/>
      <c r="AWY228" s="1"/>
      <c r="AWZ228" s="1"/>
      <c r="AXA228" s="1"/>
      <c r="AXB228" s="1"/>
      <c r="AXC228" s="1"/>
      <c r="AXD228" s="1"/>
      <c r="AXE228" s="1"/>
      <c r="AXF228" s="1"/>
      <c r="AXG228" s="1"/>
      <c r="AXH228" s="1"/>
      <c r="AXI228" s="1"/>
      <c r="AXJ228" s="1"/>
      <c r="AXK228" s="1"/>
      <c r="AXL228" s="1"/>
      <c r="AXM228" s="1"/>
      <c r="AXN228" s="1"/>
      <c r="AXO228" s="1"/>
      <c r="AXP228" s="1"/>
      <c r="AXQ228" s="1"/>
      <c r="AXR228" s="1"/>
      <c r="AXS228" s="1"/>
      <c r="AXT228" s="1"/>
      <c r="AXU228" s="1"/>
      <c r="AXV228" s="1"/>
      <c r="AXW228" s="1"/>
      <c r="AXX228" s="1"/>
      <c r="AXY228" s="1"/>
      <c r="AXZ228" s="1"/>
      <c r="AYA228" s="1"/>
      <c r="AYB228" s="1"/>
      <c r="AYC228" s="1"/>
      <c r="AYD228" s="1"/>
      <c r="AYE228" s="1"/>
      <c r="AYF228" s="1"/>
      <c r="AYG228" s="1"/>
      <c r="AYH228" s="1"/>
      <c r="AYI228" s="1"/>
      <c r="AYJ228" s="1"/>
      <c r="AYK228" s="1"/>
      <c r="AYL228" s="1"/>
      <c r="AYM228" s="1"/>
      <c r="AYN228" s="1"/>
      <c r="AYO228" s="1"/>
      <c r="AYP228" s="1"/>
      <c r="AYQ228" s="1"/>
      <c r="AYR228" s="1"/>
      <c r="AYS228" s="1"/>
      <c r="AYT228" s="1"/>
      <c r="AYU228" s="1"/>
      <c r="AYV228" s="1"/>
      <c r="AYW228" s="1"/>
      <c r="AYX228" s="1"/>
      <c r="AYY228" s="1"/>
      <c r="AYZ228" s="1"/>
      <c r="AZA228" s="1"/>
      <c r="AZB228" s="1"/>
      <c r="AZC228" s="1"/>
      <c r="AZD228" s="1"/>
      <c r="AZE228" s="1"/>
      <c r="AZF228" s="1"/>
      <c r="AZG228" s="1"/>
      <c r="AZH228" s="1"/>
      <c r="AZI228" s="1"/>
      <c r="AZJ228" s="1"/>
      <c r="AZK228" s="1"/>
      <c r="AZL228" s="1"/>
      <c r="AZM228" s="1"/>
      <c r="AZN228" s="1"/>
      <c r="AZO228" s="1"/>
      <c r="AZP228" s="1"/>
      <c r="AZQ228" s="1"/>
      <c r="AZR228" s="1"/>
      <c r="AZS228" s="1"/>
      <c r="AZT228" s="1"/>
      <c r="AZU228" s="1"/>
      <c r="AZV228" s="1"/>
      <c r="AZW228" s="1"/>
      <c r="AZX228" s="1"/>
      <c r="AZY228" s="1"/>
      <c r="AZZ228" s="1"/>
      <c r="BAA228" s="1"/>
      <c r="BAB228" s="1"/>
      <c r="BAC228" s="1"/>
      <c r="BAD228" s="1"/>
      <c r="BAE228" s="1"/>
      <c r="BAF228" s="1"/>
      <c r="BAG228" s="1"/>
      <c r="BAH228" s="1"/>
      <c r="BAI228" s="1"/>
      <c r="BAJ228" s="1"/>
      <c r="BAK228" s="1"/>
      <c r="BAL228" s="1"/>
      <c r="BAM228" s="1"/>
      <c r="BAN228" s="1"/>
      <c r="BAO228" s="1"/>
      <c r="BAP228" s="1"/>
      <c r="BAQ228" s="1"/>
      <c r="BAR228" s="1"/>
      <c r="BAS228" s="1"/>
      <c r="BAT228" s="1"/>
      <c r="BAU228" s="1"/>
      <c r="BAV228" s="1"/>
      <c r="BAW228" s="1"/>
      <c r="BAX228" s="1"/>
      <c r="BAY228" s="1"/>
      <c r="BAZ228" s="1"/>
      <c r="BBA228" s="1"/>
      <c r="BBB228" s="1"/>
      <c r="BBC228" s="1"/>
      <c r="BBD228" s="1"/>
      <c r="BBE228" s="1"/>
      <c r="BBF228" s="1"/>
      <c r="BBG228" s="1"/>
      <c r="BBH228" s="1"/>
      <c r="BBI228" s="1"/>
      <c r="BBJ228" s="1"/>
      <c r="BBK228" s="1"/>
      <c r="BBL228" s="1"/>
      <c r="BBM228" s="1"/>
      <c r="BBN228" s="1"/>
      <c r="BBO228" s="1"/>
      <c r="BBP228" s="1"/>
      <c r="BBQ228" s="1"/>
      <c r="BBR228" s="1"/>
      <c r="BBS228" s="1"/>
      <c r="BBT228" s="1"/>
      <c r="BBU228" s="1"/>
      <c r="BBV228" s="1"/>
      <c r="BBW228" s="1"/>
      <c r="BBX228" s="1"/>
      <c r="BBY228" s="1"/>
      <c r="BBZ228" s="1"/>
      <c r="BCA228" s="1"/>
      <c r="BCB228" s="1"/>
      <c r="BCC228" s="1"/>
      <c r="BCD228" s="1"/>
      <c r="BCE228" s="1"/>
      <c r="BCF228" s="1"/>
      <c r="BCG228" s="1"/>
      <c r="BCH228" s="1"/>
      <c r="BCI228" s="1"/>
      <c r="BCJ228" s="1"/>
      <c r="BCK228" s="1"/>
      <c r="BCL228" s="1"/>
      <c r="BCM228" s="1"/>
      <c r="BCN228" s="1"/>
      <c r="BCO228" s="1"/>
      <c r="BCP228" s="1"/>
      <c r="BCQ228" s="1"/>
      <c r="BCR228" s="1"/>
      <c r="BCS228" s="1"/>
      <c r="BCT228" s="1"/>
      <c r="BCU228" s="1"/>
      <c r="BCV228" s="1"/>
      <c r="BCW228" s="1"/>
      <c r="BCX228" s="1"/>
      <c r="BCY228" s="1"/>
      <c r="BCZ228" s="1"/>
      <c r="BDA228" s="1"/>
      <c r="BDB228" s="1"/>
      <c r="BDC228" s="1"/>
      <c r="BDD228" s="1"/>
      <c r="BDE228" s="1"/>
      <c r="BDF228" s="1"/>
      <c r="BDG228" s="1"/>
      <c r="BDH228" s="1"/>
      <c r="BDI228" s="1"/>
      <c r="BDJ228" s="1"/>
      <c r="BDK228" s="1"/>
      <c r="BDL228" s="1"/>
      <c r="BDM228" s="1"/>
      <c r="BDN228" s="1"/>
      <c r="BDO228" s="1"/>
      <c r="BDP228" s="1"/>
      <c r="BDQ228" s="1"/>
      <c r="BDR228" s="1"/>
      <c r="BDS228" s="1"/>
      <c r="BDT228" s="1"/>
      <c r="BDU228" s="1"/>
      <c r="BDV228" s="1"/>
      <c r="BDW228" s="1"/>
      <c r="BDX228" s="1"/>
      <c r="BDY228" s="1"/>
      <c r="BDZ228" s="1"/>
      <c r="BEA228" s="1"/>
      <c r="BEB228" s="1"/>
      <c r="BEC228" s="1"/>
      <c r="BED228" s="1"/>
      <c r="BEE228" s="1"/>
      <c r="BEF228" s="1"/>
      <c r="BEG228" s="1"/>
      <c r="BEH228" s="1"/>
      <c r="BEI228" s="1"/>
      <c r="BEJ228" s="1"/>
      <c r="BEK228" s="1"/>
      <c r="BEL228" s="1"/>
      <c r="BEM228" s="1"/>
      <c r="BEN228" s="1"/>
      <c r="BEO228" s="1"/>
      <c r="BEP228" s="1"/>
      <c r="BEQ228" s="1"/>
      <c r="BER228" s="1"/>
      <c r="BES228" s="1"/>
      <c r="BET228" s="1"/>
      <c r="BEU228" s="1"/>
      <c r="BEV228" s="1"/>
      <c r="BEW228" s="1"/>
      <c r="BEX228" s="1"/>
      <c r="BEY228" s="1"/>
      <c r="BEZ228" s="1"/>
      <c r="BFA228" s="1"/>
      <c r="BFB228" s="1"/>
      <c r="BFC228" s="1"/>
      <c r="BFD228" s="1"/>
      <c r="BFE228" s="1"/>
      <c r="BFF228" s="1"/>
      <c r="BFG228" s="1"/>
      <c r="BFH228" s="1"/>
      <c r="BFI228" s="1"/>
      <c r="BFJ228" s="1"/>
      <c r="BFK228" s="1"/>
      <c r="BFL228" s="1"/>
      <c r="BFM228" s="1"/>
      <c r="BFN228" s="1"/>
      <c r="BFO228" s="1"/>
      <c r="BFP228" s="1"/>
      <c r="BFQ228" s="1"/>
      <c r="BFR228" s="1"/>
      <c r="BFS228" s="1"/>
      <c r="BFT228" s="1"/>
      <c r="BFU228" s="1"/>
      <c r="BFV228" s="1"/>
      <c r="BFW228" s="1"/>
      <c r="BFX228" s="1"/>
      <c r="BFY228" s="1"/>
      <c r="BFZ228" s="1"/>
      <c r="BGA228" s="1"/>
      <c r="BGB228" s="1"/>
      <c r="BGC228" s="1"/>
      <c r="BGD228" s="1"/>
      <c r="BGE228" s="1"/>
      <c r="BGF228" s="1"/>
      <c r="BGG228" s="1"/>
      <c r="BGH228" s="1"/>
      <c r="BGI228" s="1"/>
      <c r="BGJ228" s="1"/>
      <c r="BGK228" s="1"/>
      <c r="BGL228" s="1"/>
      <c r="BGM228" s="1"/>
      <c r="BGN228" s="1"/>
      <c r="BGO228" s="1"/>
      <c r="BGP228" s="1"/>
      <c r="BGQ228" s="1"/>
      <c r="BGR228" s="1"/>
      <c r="BGS228" s="1"/>
      <c r="BGT228" s="1"/>
      <c r="BGU228" s="1"/>
      <c r="BGV228" s="1"/>
      <c r="BGW228" s="1"/>
      <c r="BGX228" s="1"/>
      <c r="BGY228" s="1"/>
      <c r="BGZ228" s="1"/>
      <c r="BHA228" s="1"/>
      <c r="BHB228" s="1"/>
      <c r="BHC228" s="1"/>
      <c r="BHD228" s="1"/>
      <c r="BHE228" s="1"/>
      <c r="BHF228" s="1"/>
      <c r="BHG228" s="1"/>
      <c r="BHH228" s="1"/>
      <c r="BHI228" s="1"/>
      <c r="BHJ228" s="1"/>
      <c r="BHK228" s="1"/>
      <c r="BHL228" s="1"/>
      <c r="BHM228" s="1"/>
      <c r="BHN228" s="1"/>
      <c r="BHO228" s="1"/>
      <c r="BHP228" s="1"/>
      <c r="BHQ228" s="1"/>
      <c r="BHR228" s="1"/>
      <c r="BHS228" s="1"/>
      <c r="BHT228" s="1"/>
      <c r="BHU228" s="1"/>
      <c r="BHV228" s="1"/>
      <c r="BHW228" s="1"/>
      <c r="BHX228" s="1"/>
      <c r="BHY228" s="1"/>
      <c r="BHZ228" s="1"/>
      <c r="BIA228" s="1"/>
      <c r="BIB228" s="1"/>
      <c r="BIC228" s="1"/>
      <c r="BID228" s="1"/>
      <c r="BIE228" s="1"/>
      <c r="BIF228" s="1"/>
      <c r="BIG228" s="1"/>
      <c r="BIH228" s="1"/>
      <c r="BII228" s="1"/>
      <c r="BIJ228" s="1"/>
      <c r="BIK228" s="1"/>
      <c r="BIL228" s="1"/>
      <c r="BIM228" s="1"/>
      <c r="BIN228" s="1"/>
      <c r="BIO228" s="1"/>
      <c r="BIP228" s="1"/>
      <c r="BIQ228" s="1"/>
      <c r="BIR228" s="1"/>
      <c r="BIS228" s="1"/>
      <c r="BIT228" s="1"/>
      <c r="BIU228" s="1"/>
      <c r="BIV228" s="1"/>
      <c r="BIW228" s="1"/>
      <c r="BIX228" s="1"/>
      <c r="BIY228" s="1"/>
      <c r="BIZ228" s="1"/>
      <c r="BJA228" s="1"/>
      <c r="BJB228" s="1"/>
      <c r="BJC228" s="1"/>
      <c r="BJD228" s="1"/>
      <c r="BJE228" s="1"/>
      <c r="BJF228" s="1"/>
      <c r="BJG228" s="1"/>
      <c r="BJH228" s="1"/>
      <c r="BJI228" s="1"/>
      <c r="BJJ228" s="1"/>
      <c r="BJK228" s="1"/>
      <c r="BJL228" s="1"/>
      <c r="BJM228" s="1"/>
      <c r="BJN228" s="1"/>
      <c r="BJO228" s="1"/>
      <c r="BJP228" s="1"/>
      <c r="BJQ228" s="1"/>
      <c r="BJR228" s="1"/>
      <c r="BJS228" s="1"/>
      <c r="BJT228" s="1"/>
      <c r="BJU228" s="1"/>
      <c r="BJV228" s="1"/>
      <c r="BJW228" s="1"/>
      <c r="BJX228" s="1"/>
      <c r="BJY228" s="1"/>
      <c r="BJZ228" s="1"/>
      <c r="BKA228" s="1"/>
      <c r="BKB228" s="1"/>
      <c r="BKC228" s="1"/>
      <c r="BKD228" s="1"/>
      <c r="BKE228" s="1"/>
      <c r="BKF228" s="1"/>
      <c r="BKG228" s="1"/>
      <c r="BKH228" s="1"/>
      <c r="BKI228" s="1"/>
      <c r="BKJ228" s="1"/>
      <c r="BKK228" s="1"/>
      <c r="BKL228" s="1"/>
      <c r="BKM228" s="1"/>
      <c r="BKN228" s="1"/>
      <c r="BKO228" s="1"/>
      <c r="BKP228" s="1"/>
      <c r="BKQ228" s="1"/>
      <c r="BKR228" s="1"/>
      <c r="BKS228" s="1"/>
      <c r="BKT228" s="1"/>
      <c r="BKU228" s="1"/>
      <c r="BKV228" s="1"/>
      <c r="BKW228" s="1"/>
      <c r="BKX228" s="1"/>
      <c r="BKY228" s="1"/>
      <c r="BKZ228" s="1"/>
      <c r="BLA228" s="1"/>
      <c r="BLB228" s="1"/>
      <c r="BLC228" s="1"/>
      <c r="BLD228" s="1"/>
      <c r="BLE228" s="1"/>
      <c r="BLF228" s="1"/>
      <c r="BLG228" s="1"/>
      <c r="BLH228" s="1"/>
      <c r="BLI228" s="1"/>
      <c r="BLJ228" s="1"/>
      <c r="BLK228" s="1"/>
      <c r="BLL228" s="1"/>
      <c r="BLM228" s="1"/>
      <c r="BLN228" s="1"/>
      <c r="BLO228" s="1"/>
      <c r="BLP228" s="1"/>
      <c r="BLQ228" s="1"/>
      <c r="BLR228" s="1"/>
      <c r="BLS228" s="1"/>
      <c r="BLT228" s="1"/>
      <c r="BLU228" s="1"/>
      <c r="BLV228" s="1"/>
      <c r="BLW228" s="1"/>
      <c r="BLX228" s="1"/>
      <c r="BLY228" s="1"/>
      <c r="BLZ228" s="1"/>
      <c r="BMA228" s="1"/>
      <c r="BMB228" s="1"/>
      <c r="BMC228" s="1"/>
      <c r="BMD228" s="1"/>
      <c r="BME228" s="1"/>
      <c r="BMF228" s="1"/>
      <c r="BMG228" s="1"/>
      <c r="BMH228" s="1"/>
      <c r="BMI228" s="1"/>
      <c r="BMJ228" s="1"/>
      <c r="BMK228" s="1"/>
      <c r="BML228" s="1"/>
      <c r="BMM228" s="1"/>
      <c r="BMN228" s="1"/>
      <c r="BMO228" s="1"/>
      <c r="BMP228" s="1"/>
      <c r="BMQ228" s="1"/>
      <c r="BMR228" s="1"/>
      <c r="BMS228" s="1"/>
      <c r="BMT228" s="1"/>
      <c r="BMU228" s="1"/>
      <c r="BMV228" s="1"/>
      <c r="BMW228" s="1"/>
      <c r="BMX228" s="1"/>
      <c r="BMY228" s="1"/>
      <c r="BMZ228" s="1"/>
      <c r="BNA228" s="1"/>
      <c r="BNB228" s="1"/>
      <c r="BNC228" s="1"/>
      <c r="BND228" s="1"/>
      <c r="BNE228" s="1"/>
      <c r="BNF228" s="1"/>
      <c r="BNG228" s="1"/>
      <c r="BNH228" s="1"/>
      <c r="BNI228" s="1"/>
      <c r="BNJ228" s="1"/>
      <c r="BNK228" s="1"/>
      <c r="BNL228" s="1"/>
      <c r="BNM228" s="1"/>
      <c r="BNN228" s="1"/>
      <c r="BNO228" s="1"/>
      <c r="BNP228" s="1"/>
      <c r="BNQ228" s="1"/>
      <c r="BNR228" s="1"/>
      <c r="BNS228" s="1"/>
      <c r="BNT228" s="1"/>
      <c r="BNU228" s="1"/>
      <c r="BNV228" s="1"/>
      <c r="BNW228" s="1"/>
      <c r="BNX228" s="1"/>
      <c r="BNY228" s="1"/>
      <c r="BNZ228" s="1"/>
      <c r="BOA228" s="1"/>
      <c r="BOB228" s="1"/>
      <c r="BOC228" s="1"/>
      <c r="BOD228" s="1"/>
      <c r="BOE228" s="1"/>
      <c r="BOF228" s="1"/>
      <c r="BOG228" s="1"/>
      <c r="BOH228" s="1"/>
      <c r="BOI228" s="1"/>
      <c r="BOJ228" s="1"/>
      <c r="BOK228" s="1"/>
      <c r="BOL228" s="1"/>
      <c r="BOM228" s="1"/>
      <c r="BON228" s="1"/>
      <c r="BOO228" s="1"/>
      <c r="BOP228" s="1"/>
      <c r="BOQ228" s="1"/>
      <c r="BOR228" s="1"/>
      <c r="BOS228" s="1"/>
      <c r="BOT228" s="1"/>
      <c r="BOU228" s="1"/>
      <c r="BOV228" s="1"/>
      <c r="BOW228" s="1"/>
      <c r="BOX228" s="1"/>
      <c r="BOY228" s="1"/>
      <c r="BOZ228" s="1"/>
      <c r="BPA228" s="1"/>
      <c r="BPB228" s="1"/>
      <c r="BPC228" s="1"/>
      <c r="BPD228" s="1"/>
      <c r="BPE228" s="1"/>
      <c r="BPF228" s="1"/>
      <c r="BPG228" s="1"/>
      <c r="BPH228" s="1"/>
      <c r="BPI228" s="1"/>
      <c r="BPJ228" s="1"/>
      <c r="BPK228" s="1"/>
      <c r="BPL228" s="1"/>
      <c r="BPM228" s="1"/>
      <c r="BPN228" s="1"/>
      <c r="BPO228" s="1"/>
      <c r="BPP228" s="1"/>
      <c r="BPQ228" s="1"/>
      <c r="BPR228" s="1"/>
      <c r="BPS228" s="1"/>
      <c r="BPT228" s="1"/>
      <c r="BPU228" s="1"/>
      <c r="BPV228" s="1"/>
      <c r="BPW228" s="1"/>
      <c r="BPX228" s="1"/>
      <c r="BPY228" s="1"/>
      <c r="BPZ228" s="1"/>
      <c r="BQA228" s="1"/>
      <c r="BQB228" s="1"/>
      <c r="BQC228" s="1"/>
      <c r="BQD228" s="1"/>
      <c r="BQE228" s="1"/>
      <c r="BQF228" s="1"/>
      <c r="BQG228" s="1"/>
      <c r="BQH228" s="1"/>
      <c r="BQI228" s="1"/>
      <c r="BQJ228" s="1"/>
      <c r="BQK228" s="1"/>
      <c r="BQL228" s="1"/>
      <c r="BQM228" s="1"/>
      <c r="BQN228" s="1"/>
      <c r="BQO228" s="1"/>
      <c r="BQP228" s="1"/>
      <c r="BQQ228" s="1"/>
      <c r="BQR228" s="1"/>
      <c r="BQS228" s="1"/>
      <c r="BQT228" s="1"/>
      <c r="BQU228" s="1"/>
      <c r="BQV228" s="1"/>
      <c r="BQW228" s="1"/>
      <c r="BQX228" s="1"/>
      <c r="BQY228" s="1"/>
      <c r="BQZ228" s="1"/>
      <c r="BRA228" s="1"/>
      <c r="BRB228" s="1"/>
      <c r="BRC228" s="1"/>
      <c r="BRD228" s="1"/>
      <c r="BRE228" s="1"/>
      <c r="BRF228" s="1"/>
      <c r="BRG228" s="1"/>
      <c r="BRH228" s="1"/>
      <c r="BRI228" s="1"/>
      <c r="BRJ228" s="1"/>
      <c r="BRK228" s="1"/>
      <c r="BRL228" s="1"/>
      <c r="BRM228" s="1"/>
      <c r="BRN228" s="1"/>
      <c r="BRO228" s="1"/>
      <c r="BRP228" s="1"/>
      <c r="BRQ228" s="1"/>
      <c r="BRR228" s="1"/>
      <c r="BRS228" s="1"/>
      <c r="BRT228" s="1"/>
      <c r="BRU228" s="1"/>
      <c r="BRV228" s="1"/>
      <c r="BRW228" s="1"/>
      <c r="BRX228" s="1"/>
      <c r="BRY228" s="1"/>
      <c r="BRZ228" s="1"/>
      <c r="BSA228" s="1"/>
      <c r="BSB228" s="1"/>
      <c r="BSC228" s="1"/>
      <c r="BSD228" s="1"/>
      <c r="BSE228" s="1"/>
      <c r="BSF228" s="1"/>
      <c r="BSG228" s="1"/>
      <c r="BSH228" s="1"/>
      <c r="BSI228" s="1"/>
      <c r="BSJ228" s="1"/>
      <c r="BSK228" s="1"/>
      <c r="BSL228" s="1"/>
      <c r="BSM228" s="1"/>
      <c r="BSN228" s="1"/>
      <c r="BSO228" s="1"/>
      <c r="BSP228" s="1"/>
      <c r="BSQ228" s="1"/>
      <c r="BSR228" s="1"/>
      <c r="BSS228" s="1"/>
      <c r="BST228" s="1"/>
      <c r="BSU228" s="1"/>
      <c r="BSV228" s="1"/>
      <c r="BSW228" s="1"/>
      <c r="BSX228" s="1"/>
      <c r="BSY228" s="1"/>
      <c r="BSZ228" s="1"/>
      <c r="BTA228" s="1"/>
      <c r="BTB228" s="1"/>
      <c r="BTC228" s="1"/>
      <c r="BTD228" s="1"/>
      <c r="BTE228" s="1"/>
      <c r="BTF228" s="1"/>
      <c r="BTG228" s="1"/>
      <c r="BTH228" s="1"/>
      <c r="BTI228" s="1"/>
      <c r="BTJ228" s="1"/>
      <c r="BTK228" s="1"/>
      <c r="BTL228" s="1"/>
      <c r="BTM228" s="1"/>
      <c r="BTN228" s="1"/>
      <c r="BTO228" s="1"/>
      <c r="BTP228" s="1"/>
      <c r="BTQ228" s="1"/>
      <c r="BTR228" s="1"/>
      <c r="BTS228" s="1"/>
      <c r="BTT228" s="1"/>
      <c r="BTU228" s="1"/>
      <c r="BTV228" s="1"/>
      <c r="BTW228" s="1"/>
      <c r="BTX228" s="1"/>
      <c r="BTY228" s="1"/>
      <c r="BTZ228" s="1"/>
      <c r="BUA228" s="1"/>
      <c r="BUB228" s="1"/>
      <c r="BUC228" s="1"/>
      <c r="BUD228" s="1"/>
      <c r="BUE228" s="1"/>
      <c r="BUF228" s="1"/>
      <c r="BUG228" s="1"/>
      <c r="BUH228" s="1"/>
      <c r="BUI228" s="1"/>
      <c r="BUJ228" s="1"/>
      <c r="BUK228" s="1"/>
      <c r="BUL228" s="1"/>
      <c r="BUM228" s="1"/>
      <c r="BUN228" s="1"/>
      <c r="BUO228" s="1"/>
      <c r="BUP228" s="1"/>
      <c r="BUQ228" s="1"/>
      <c r="BUR228" s="1"/>
      <c r="BUS228" s="1"/>
      <c r="BUT228" s="1"/>
      <c r="BUU228" s="1"/>
      <c r="BUV228" s="1"/>
      <c r="BUW228" s="1"/>
      <c r="BUX228" s="1"/>
      <c r="BUY228" s="1"/>
      <c r="BUZ228" s="1"/>
      <c r="BVA228" s="1"/>
      <c r="BVB228" s="1"/>
      <c r="BVC228" s="1"/>
      <c r="BVD228" s="1"/>
      <c r="BVE228" s="1"/>
      <c r="BVF228" s="1"/>
      <c r="BVG228" s="1"/>
      <c r="BVH228" s="1"/>
      <c r="BVI228" s="1"/>
      <c r="BVJ228" s="1"/>
      <c r="BVK228" s="1"/>
      <c r="BVL228" s="1"/>
      <c r="BVM228" s="1"/>
      <c r="BVN228" s="1"/>
      <c r="BVO228" s="1"/>
      <c r="BVP228" s="1"/>
      <c r="BVQ228" s="1"/>
      <c r="BVR228" s="1"/>
      <c r="BVS228" s="1"/>
      <c r="BVT228" s="1"/>
      <c r="BVU228" s="1"/>
      <c r="BVV228" s="1"/>
      <c r="BVW228" s="1"/>
      <c r="BVX228" s="1"/>
      <c r="BVY228" s="1"/>
      <c r="BVZ228" s="1"/>
      <c r="BWA228" s="1"/>
      <c r="BWB228" s="1"/>
      <c r="BWC228" s="1"/>
      <c r="BWD228" s="1"/>
      <c r="BWE228" s="1"/>
      <c r="BWF228" s="1"/>
      <c r="BWG228" s="1"/>
      <c r="BWH228" s="1"/>
      <c r="BWI228" s="1"/>
      <c r="BWJ228" s="1"/>
      <c r="BWK228" s="1"/>
      <c r="BWL228" s="1"/>
      <c r="BWM228" s="1"/>
      <c r="BWN228" s="1"/>
      <c r="BWO228" s="1"/>
      <c r="BWP228" s="1"/>
      <c r="BWQ228" s="1"/>
      <c r="BWR228" s="1"/>
      <c r="BWS228" s="1"/>
      <c r="BWT228" s="1"/>
      <c r="BWU228" s="1"/>
      <c r="BWV228" s="1"/>
      <c r="BWW228" s="1"/>
      <c r="BWX228" s="1"/>
      <c r="BWY228" s="1"/>
      <c r="BWZ228" s="1"/>
      <c r="BXA228" s="1"/>
      <c r="BXB228" s="1"/>
      <c r="BXC228" s="1"/>
      <c r="BXD228" s="1"/>
      <c r="BXE228" s="1"/>
      <c r="BXF228" s="1"/>
      <c r="BXG228" s="1"/>
      <c r="BXH228" s="1"/>
      <c r="BXI228" s="1"/>
      <c r="BXJ228" s="1"/>
      <c r="BXK228" s="1"/>
      <c r="BXL228" s="1"/>
      <c r="BXM228" s="1"/>
      <c r="BXN228" s="1"/>
      <c r="BXO228" s="1"/>
      <c r="BXP228" s="1"/>
      <c r="BXQ228" s="1"/>
      <c r="BXR228" s="1"/>
      <c r="BXS228" s="1"/>
      <c r="BXT228" s="1"/>
      <c r="BXU228" s="1"/>
      <c r="BXV228" s="1"/>
      <c r="BXW228" s="1"/>
      <c r="BXX228" s="1"/>
      <c r="BXY228" s="1"/>
      <c r="BXZ228" s="1"/>
      <c r="BYA228" s="1"/>
      <c r="BYB228" s="1"/>
      <c r="BYC228" s="1"/>
      <c r="BYD228" s="1"/>
      <c r="BYE228" s="1"/>
      <c r="BYF228" s="1"/>
      <c r="BYG228" s="1"/>
      <c r="BYH228" s="1"/>
      <c r="BYI228" s="1"/>
      <c r="BYJ228" s="1"/>
      <c r="BYK228" s="1"/>
      <c r="BYL228" s="1"/>
      <c r="BYM228" s="1"/>
      <c r="BYN228" s="1"/>
      <c r="BYO228" s="1"/>
      <c r="BYP228" s="1"/>
      <c r="BYQ228" s="1"/>
      <c r="BYR228" s="1"/>
      <c r="BYS228" s="1"/>
      <c r="BYT228" s="1"/>
      <c r="BYU228" s="1"/>
      <c r="BYV228" s="1"/>
      <c r="BYW228" s="1"/>
      <c r="BYX228" s="1"/>
      <c r="BYY228" s="1"/>
      <c r="BYZ228" s="1"/>
      <c r="BZA228" s="1"/>
      <c r="BZB228" s="1"/>
      <c r="BZC228" s="1"/>
      <c r="BZD228" s="1"/>
      <c r="BZE228" s="1"/>
      <c r="BZF228" s="1"/>
      <c r="BZG228" s="1"/>
      <c r="BZH228" s="1"/>
      <c r="BZI228" s="1"/>
      <c r="BZJ228" s="1"/>
      <c r="BZK228" s="1"/>
      <c r="BZL228" s="1"/>
      <c r="BZM228" s="1"/>
      <c r="BZN228" s="1"/>
      <c r="BZO228" s="1"/>
      <c r="BZP228" s="1"/>
      <c r="BZQ228" s="1"/>
      <c r="BZR228" s="1"/>
      <c r="BZS228" s="1"/>
      <c r="BZT228" s="1"/>
      <c r="BZU228" s="1"/>
      <c r="BZV228" s="1"/>
      <c r="BZW228" s="1"/>
      <c r="BZX228" s="1"/>
      <c r="BZY228" s="1"/>
      <c r="BZZ228" s="1"/>
      <c r="CAA228" s="1"/>
      <c r="CAB228" s="1"/>
      <c r="CAC228" s="1"/>
      <c r="CAD228" s="1"/>
      <c r="CAE228" s="1"/>
      <c r="CAF228" s="1"/>
      <c r="CAG228" s="1"/>
      <c r="CAH228" s="1"/>
      <c r="CAI228" s="1"/>
      <c r="CAJ228" s="1"/>
      <c r="CAK228" s="1"/>
      <c r="CAL228" s="1"/>
      <c r="CAM228" s="1"/>
      <c r="CAN228" s="1"/>
      <c r="CAO228" s="1"/>
      <c r="CAP228" s="1"/>
      <c r="CAQ228" s="1"/>
      <c r="CAR228" s="1"/>
      <c r="CAS228" s="1"/>
      <c r="CAT228" s="1"/>
      <c r="CAU228" s="1"/>
      <c r="CAV228" s="1"/>
      <c r="CAW228" s="1"/>
      <c r="CAX228" s="1"/>
      <c r="CAY228" s="1"/>
      <c r="CAZ228" s="1"/>
      <c r="CBA228" s="1"/>
      <c r="CBB228" s="1"/>
      <c r="CBC228" s="1"/>
      <c r="CBD228" s="1"/>
      <c r="CBE228" s="1"/>
      <c r="CBF228" s="1"/>
      <c r="CBG228" s="1"/>
      <c r="CBH228" s="1"/>
      <c r="CBI228" s="1"/>
      <c r="CBJ228" s="1"/>
      <c r="CBK228" s="1"/>
      <c r="CBL228" s="1"/>
      <c r="CBM228" s="1"/>
      <c r="CBN228" s="1"/>
      <c r="CBO228" s="1"/>
      <c r="CBP228" s="1"/>
      <c r="CBQ228" s="1"/>
      <c r="CBR228" s="1"/>
      <c r="CBS228" s="1"/>
      <c r="CBT228" s="1"/>
      <c r="CBU228" s="1"/>
      <c r="CBV228" s="1"/>
      <c r="CBW228" s="1"/>
      <c r="CBX228" s="1"/>
      <c r="CBY228" s="1"/>
      <c r="CBZ228" s="1"/>
      <c r="CCA228" s="1"/>
      <c r="CCB228" s="1"/>
      <c r="CCC228" s="1"/>
      <c r="CCD228" s="1"/>
      <c r="CCE228" s="1"/>
      <c r="CCF228" s="1"/>
      <c r="CCG228" s="1"/>
      <c r="CCH228" s="1"/>
      <c r="CCI228" s="1"/>
      <c r="CCJ228" s="1"/>
      <c r="CCK228" s="1"/>
      <c r="CCL228" s="1"/>
      <c r="CCM228" s="1"/>
      <c r="CCN228" s="1"/>
      <c r="CCO228" s="1"/>
      <c r="CCP228" s="1"/>
      <c r="CCQ228" s="1"/>
      <c r="CCR228" s="1"/>
      <c r="CCS228" s="1"/>
      <c r="CCT228" s="1"/>
      <c r="CCU228" s="1"/>
      <c r="CCV228" s="1"/>
      <c r="CCW228" s="1"/>
      <c r="CCX228" s="1"/>
      <c r="CCY228" s="1"/>
      <c r="CCZ228" s="1"/>
      <c r="CDA228" s="1"/>
      <c r="CDB228" s="1"/>
      <c r="CDC228" s="1"/>
      <c r="CDD228" s="1"/>
      <c r="CDE228" s="1"/>
      <c r="CDF228" s="1"/>
      <c r="CDG228" s="1"/>
      <c r="CDH228" s="1"/>
      <c r="CDI228" s="1"/>
      <c r="CDJ228" s="1"/>
      <c r="CDK228" s="1"/>
      <c r="CDL228" s="1"/>
      <c r="CDM228" s="1"/>
      <c r="CDN228" s="1"/>
      <c r="CDO228" s="1"/>
      <c r="CDP228" s="1"/>
      <c r="CDQ228" s="1"/>
      <c r="CDR228" s="1"/>
      <c r="CDS228" s="1"/>
      <c r="CDT228" s="1"/>
      <c r="CDU228" s="1"/>
      <c r="CDV228" s="1"/>
      <c r="CDW228" s="1"/>
      <c r="CDX228" s="1"/>
      <c r="CDY228" s="1"/>
      <c r="CDZ228" s="1"/>
      <c r="CEA228" s="1"/>
      <c r="CEB228" s="1"/>
      <c r="CEC228" s="1"/>
      <c r="CED228" s="1"/>
      <c r="CEE228" s="1"/>
      <c r="CEF228" s="1"/>
      <c r="CEG228" s="1"/>
      <c r="CEH228" s="1"/>
      <c r="CEI228" s="1"/>
      <c r="CEJ228" s="1"/>
      <c r="CEK228" s="1"/>
      <c r="CEL228" s="1"/>
      <c r="CEM228" s="1"/>
      <c r="CEN228" s="1"/>
      <c r="CEO228" s="1"/>
      <c r="CEP228" s="1"/>
      <c r="CEQ228" s="1"/>
      <c r="CER228" s="1"/>
      <c r="CES228" s="1"/>
      <c r="CET228" s="1"/>
      <c r="CEU228" s="1"/>
      <c r="CEV228" s="1"/>
      <c r="CEW228" s="1"/>
      <c r="CEX228" s="1"/>
      <c r="CEY228" s="1"/>
      <c r="CEZ228" s="1"/>
      <c r="CFA228" s="1"/>
      <c r="CFB228" s="1"/>
      <c r="CFC228" s="1"/>
      <c r="CFD228" s="1"/>
      <c r="CFE228" s="1"/>
      <c r="CFF228" s="1"/>
      <c r="CFG228" s="1"/>
      <c r="CFH228" s="1"/>
      <c r="CFI228" s="1"/>
      <c r="CFJ228" s="1"/>
      <c r="CFK228" s="1"/>
      <c r="CFL228" s="1"/>
      <c r="CFM228" s="1"/>
      <c r="CFN228" s="1"/>
      <c r="CFO228" s="1"/>
      <c r="CFP228" s="1"/>
      <c r="CFQ228" s="1"/>
      <c r="CFR228" s="1"/>
      <c r="CFS228" s="1"/>
      <c r="CFT228" s="1"/>
      <c r="CFU228" s="1"/>
      <c r="CFV228" s="1"/>
      <c r="CFW228" s="1"/>
      <c r="CFX228" s="1"/>
      <c r="CFY228" s="1"/>
      <c r="CFZ228" s="1"/>
      <c r="CGA228" s="1"/>
      <c r="CGB228" s="1"/>
      <c r="CGC228" s="1"/>
      <c r="CGD228" s="1"/>
      <c r="CGE228" s="1"/>
      <c r="CGF228" s="1"/>
      <c r="CGG228" s="1"/>
      <c r="CGH228" s="1"/>
      <c r="CGI228" s="1"/>
      <c r="CGJ228" s="1"/>
      <c r="CGK228" s="1"/>
      <c r="CGL228" s="1"/>
      <c r="CGM228" s="1"/>
      <c r="CGN228" s="1"/>
      <c r="CGO228" s="1"/>
      <c r="CGP228" s="1"/>
      <c r="CGQ228" s="1"/>
      <c r="CGR228" s="1"/>
      <c r="CGS228" s="1"/>
      <c r="CGT228" s="1"/>
      <c r="CGU228" s="1"/>
      <c r="CGV228" s="1"/>
      <c r="CGW228" s="1"/>
      <c r="CGX228" s="1"/>
      <c r="CGY228" s="1"/>
      <c r="CGZ228" s="1"/>
      <c r="CHA228" s="1"/>
      <c r="CHB228" s="1"/>
      <c r="CHC228" s="1"/>
      <c r="CHD228" s="1"/>
      <c r="CHE228" s="1"/>
      <c r="CHF228" s="1"/>
      <c r="CHG228" s="1"/>
      <c r="CHH228" s="1"/>
      <c r="CHI228" s="1"/>
      <c r="CHJ228" s="1"/>
      <c r="CHK228" s="1"/>
      <c r="CHL228" s="1"/>
      <c r="CHM228" s="1"/>
      <c r="CHN228" s="1"/>
      <c r="CHO228" s="1"/>
      <c r="CHP228" s="1"/>
      <c r="CHQ228" s="1"/>
      <c r="CHR228" s="1"/>
      <c r="CHS228" s="1"/>
      <c r="CHT228" s="1"/>
      <c r="CHU228" s="1"/>
      <c r="CHV228" s="1"/>
      <c r="CHW228" s="1"/>
      <c r="CHX228" s="1"/>
      <c r="CHY228" s="1"/>
      <c r="CHZ228" s="1"/>
      <c r="CIA228" s="1"/>
      <c r="CIB228" s="1"/>
      <c r="CIC228" s="1"/>
      <c r="CID228" s="1"/>
      <c r="CIE228" s="1"/>
      <c r="CIF228" s="1"/>
      <c r="CIG228" s="1"/>
      <c r="CIH228" s="1"/>
      <c r="CII228" s="1"/>
      <c r="CIJ228" s="1"/>
      <c r="CIK228" s="1"/>
      <c r="CIL228" s="1"/>
      <c r="CIM228" s="1"/>
      <c r="CIN228" s="1"/>
      <c r="CIO228" s="1"/>
      <c r="CIP228" s="1"/>
      <c r="CIQ228" s="1"/>
      <c r="CIR228" s="1"/>
      <c r="CIS228" s="1"/>
      <c r="CIT228" s="1"/>
      <c r="CIU228" s="1"/>
      <c r="CIV228" s="1"/>
      <c r="CIW228" s="1"/>
      <c r="CIX228" s="1"/>
      <c r="CIY228" s="1"/>
      <c r="CIZ228" s="1"/>
      <c r="CJA228" s="1"/>
      <c r="CJB228" s="1"/>
      <c r="CJC228" s="1"/>
      <c r="CJD228" s="1"/>
      <c r="CJE228" s="1"/>
      <c r="CJF228" s="1"/>
      <c r="CJG228" s="1"/>
      <c r="CJH228" s="1"/>
      <c r="CJI228" s="1"/>
      <c r="CJJ228" s="1"/>
      <c r="CJK228" s="1"/>
      <c r="CJL228" s="1"/>
      <c r="CJM228" s="1"/>
      <c r="CJN228" s="1"/>
      <c r="CJO228" s="1"/>
      <c r="CJP228" s="1"/>
      <c r="CJQ228" s="1"/>
      <c r="CJR228" s="1"/>
      <c r="CJS228" s="1"/>
      <c r="CJT228" s="1"/>
      <c r="CJU228" s="1"/>
      <c r="CJV228" s="1"/>
      <c r="CJW228" s="1"/>
      <c r="CJX228" s="1"/>
      <c r="CJY228" s="1"/>
      <c r="CJZ228" s="1"/>
      <c r="CKA228" s="1"/>
      <c r="CKB228" s="1"/>
      <c r="CKC228" s="1"/>
      <c r="CKD228" s="1"/>
      <c r="CKE228" s="1"/>
      <c r="CKF228" s="1"/>
      <c r="CKG228" s="1"/>
      <c r="CKH228" s="1"/>
      <c r="CKI228" s="1"/>
      <c r="CKJ228" s="1"/>
      <c r="CKK228" s="1"/>
      <c r="CKL228" s="1"/>
      <c r="CKM228" s="1"/>
      <c r="CKN228" s="1"/>
      <c r="CKO228" s="1"/>
      <c r="CKP228" s="1"/>
      <c r="CKQ228" s="1"/>
      <c r="CKR228" s="1"/>
      <c r="CKS228" s="1"/>
      <c r="CKT228" s="1"/>
      <c r="CKU228" s="1"/>
      <c r="CKV228" s="1"/>
      <c r="CKW228" s="1"/>
      <c r="CKX228" s="1"/>
      <c r="CKY228" s="1"/>
      <c r="CKZ228" s="1"/>
      <c r="CLA228" s="1"/>
      <c r="CLB228" s="1"/>
      <c r="CLC228" s="1"/>
      <c r="CLD228" s="1"/>
      <c r="CLE228" s="1"/>
      <c r="CLF228" s="1"/>
      <c r="CLG228" s="1"/>
      <c r="CLH228" s="1"/>
      <c r="CLI228" s="1"/>
      <c r="CLJ228" s="1"/>
      <c r="CLK228" s="1"/>
      <c r="CLL228" s="1"/>
      <c r="CLM228" s="1"/>
      <c r="CLN228" s="1"/>
      <c r="CLO228" s="1"/>
      <c r="CLP228" s="1"/>
      <c r="CLQ228" s="1"/>
      <c r="CLR228" s="1"/>
      <c r="CLS228" s="1"/>
      <c r="CLT228" s="1"/>
      <c r="CLU228" s="1"/>
      <c r="CLV228" s="1"/>
      <c r="CLW228" s="1"/>
      <c r="CLX228" s="1"/>
      <c r="CLY228" s="1"/>
      <c r="CLZ228" s="1"/>
      <c r="CMA228" s="1"/>
      <c r="CMB228" s="1"/>
      <c r="CMC228" s="1"/>
      <c r="CMD228" s="1"/>
      <c r="CME228" s="1"/>
      <c r="CMF228" s="1"/>
      <c r="CMG228" s="1"/>
      <c r="CMH228" s="1"/>
      <c r="CMI228" s="1"/>
      <c r="CMJ228" s="1"/>
      <c r="CMK228" s="1"/>
      <c r="CML228" s="1"/>
      <c r="CMM228" s="1"/>
      <c r="CMN228" s="1"/>
      <c r="CMO228" s="1"/>
      <c r="CMP228" s="1"/>
      <c r="CMQ228" s="1"/>
      <c r="CMR228" s="1"/>
      <c r="CMS228" s="1"/>
      <c r="CMT228" s="1"/>
      <c r="CMU228" s="1"/>
      <c r="CMV228" s="1"/>
      <c r="CMW228" s="1"/>
      <c r="CMX228" s="1"/>
      <c r="CMY228" s="1"/>
      <c r="CMZ228" s="1"/>
      <c r="CNA228" s="1"/>
      <c r="CNB228" s="1"/>
      <c r="CNC228" s="1"/>
      <c r="CND228" s="1"/>
      <c r="CNE228" s="1"/>
      <c r="CNF228" s="1"/>
      <c r="CNG228" s="1"/>
      <c r="CNH228" s="1"/>
      <c r="CNI228" s="1"/>
      <c r="CNJ228" s="1"/>
      <c r="CNK228" s="1"/>
      <c r="CNL228" s="1"/>
      <c r="CNM228" s="1"/>
      <c r="CNN228" s="1"/>
      <c r="CNO228" s="1"/>
      <c r="CNP228" s="1"/>
      <c r="CNQ228" s="1"/>
      <c r="CNR228" s="1"/>
      <c r="CNS228" s="1"/>
      <c r="CNT228" s="1"/>
      <c r="CNU228" s="1"/>
      <c r="CNV228" s="1"/>
      <c r="CNW228" s="1"/>
      <c r="CNX228" s="1"/>
      <c r="CNY228" s="1"/>
      <c r="CNZ228" s="1"/>
      <c r="COA228" s="1"/>
      <c r="COB228" s="1"/>
      <c r="COC228" s="1"/>
      <c r="COD228" s="1"/>
      <c r="COE228" s="1"/>
      <c r="COF228" s="1"/>
      <c r="COG228" s="1"/>
      <c r="COH228" s="1"/>
      <c r="COI228" s="1"/>
      <c r="COJ228" s="1"/>
      <c r="COK228" s="1"/>
      <c r="COL228" s="1"/>
      <c r="COM228" s="1"/>
      <c r="CON228" s="1"/>
      <c r="COO228" s="1"/>
      <c r="COP228" s="1"/>
      <c r="COQ228" s="1"/>
      <c r="COR228" s="1"/>
      <c r="COS228" s="1"/>
      <c r="COT228" s="1"/>
      <c r="COU228" s="1"/>
      <c r="COV228" s="1"/>
      <c r="COW228" s="1"/>
      <c r="COX228" s="1"/>
      <c r="COY228" s="1"/>
      <c r="COZ228" s="1"/>
      <c r="CPA228" s="1"/>
      <c r="CPB228" s="1"/>
      <c r="CPC228" s="1"/>
      <c r="CPD228" s="1"/>
      <c r="CPE228" s="1"/>
      <c r="CPF228" s="1"/>
      <c r="CPG228" s="1"/>
      <c r="CPH228" s="1"/>
      <c r="CPI228" s="1"/>
      <c r="CPJ228" s="1"/>
      <c r="CPK228" s="1"/>
      <c r="CPL228" s="1"/>
      <c r="CPM228" s="1"/>
      <c r="CPN228" s="1"/>
      <c r="CPO228" s="1"/>
      <c r="CPP228" s="1"/>
      <c r="CPQ228" s="1"/>
      <c r="CPR228" s="1"/>
      <c r="CPS228" s="1"/>
      <c r="CPT228" s="1"/>
      <c r="CPU228" s="1"/>
      <c r="CPV228" s="1"/>
      <c r="CPW228" s="1"/>
      <c r="CPX228" s="1"/>
      <c r="CPY228" s="1"/>
      <c r="CPZ228" s="1"/>
      <c r="CQA228" s="1"/>
      <c r="CQB228" s="1"/>
      <c r="CQC228" s="1"/>
      <c r="CQD228" s="1"/>
      <c r="CQE228" s="1"/>
      <c r="CQF228" s="1"/>
      <c r="CQG228" s="1"/>
      <c r="CQH228" s="1"/>
      <c r="CQI228" s="1"/>
      <c r="CQJ228" s="1"/>
      <c r="CQK228" s="1"/>
      <c r="CQL228" s="1"/>
      <c r="CQM228" s="1"/>
      <c r="CQN228" s="1"/>
      <c r="CQO228" s="1"/>
      <c r="CQP228" s="1"/>
      <c r="CQQ228" s="1"/>
      <c r="CQR228" s="1"/>
      <c r="CQS228" s="1"/>
      <c r="CQT228" s="1"/>
      <c r="CQU228" s="1"/>
      <c r="CQV228" s="1"/>
      <c r="CQW228" s="1"/>
      <c r="CQX228" s="1"/>
      <c r="CQY228" s="1"/>
      <c r="CQZ228" s="1"/>
      <c r="CRA228" s="1"/>
      <c r="CRB228" s="1"/>
      <c r="CRC228" s="1"/>
      <c r="CRD228" s="1"/>
      <c r="CRE228" s="1"/>
      <c r="CRF228" s="1"/>
      <c r="CRG228" s="1"/>
      <c r="CRH228" s="1"/>
      <c r="CRI228" s="1"/>
      <c r="CRJ228" s="1"/>
      <c r="CRK228" s="1"/>
      <c r="CRL228" s="1"/>
      <c r="CRM228" s="1"/>
      <c r="CRN228" s="1"/>
      <c r="CRO228" s="1"/>
      <c r="CRP228" s="1"/>
      <c r="CRQ228" s="1"/>
      <c r="CRR228" s="1"/>
      <c r="CRS228" s="1"/>
      <c r="CRT228" s="1"/>
      <c r="CRU228" s="1"/>
      <c r="CRV228" s="1"/>
      <c r="CRW228" s="1"/>
      <c r="CRX228" s="1"/>
      <c r="CRY228" s="1"/>
      <c r="CRZ228" s="1"/>
      <c r="CSA228" s="1"/>
      <c r="CSB228" s="1"/>
      <c r="CSC228" s="1"/>
      <c r="CSD228" s="1"/>
      <c r="CSE228" s="1"/>
      <c r="CSF228" s="1"/>
      <c r="CSG228" s="1"/>
      <c r="CSH228" s="1"/>
      <c r="CSI228" s="1"/>
      <c r="CSJ228" s="1"/>
      <c r="CSK228" s="1"/>
      <c r="CSL228" s="1"/>
      <c r="CSM228" s="1"/>
      <c r="CSN228" s="1"/>
      <c r="CSO228" s="1"/>
      <c r="CSP228" s="1"/>
      <c r="CSQ228" s="1"/>
      <c r="CSR228" s="1"/>
      <c r="CSS228" s="1"/>
      <c r="CST228" s="1"/>
      <c r="CSU228" s="1"/>
      <c r="CSV228" s="1"/>
      <c r="CSW228" s="1"/>
      <c r="CSX228" s="1"/>
      <c r="CSY228" s="1"/>
      <c r="CSZ228" s="1"/>
      <c r="CTA228" s="1"/>
      <c r="CTB228" s="1"/>
      <c r="CTC228" s="1"/>
      <c r="CTD228" s="1"/>
      <c r="CTE228" s="1"/>
      <c r="CTF228" s="1"/>
      <c r="CTG228" s="1"/>
      <c r="CTH228" s="1"/>
      <c r="CTI228" s="1"/>
      <c r="CTJ228" s="1"/>
      <c r="CTK228" s="1"/>
      <c r="CTL228" s="1"/>
      <c r="CTM228" s="1"/>
      <c r="CTN228" s="1"/>
      <c r="CTO228" s="1"/>
      <c r="CTP228" s="1"/>
      <c r="CTQ228" s="1"/>
      <c r="CTR228" s="1"/>
      <c r="CTS228" s="1"/>
      <c r="CTT228" s="1"/>
      <c r="CTU228" s="1"/>
      <c r="CTV228" s="1"/>
      <c r="CTW228" s="1"/>
      <c r="CTX228" s="1"/>
      <c r="CTY228" s="1"/>
      <c r="CTZ228" s="1"/>
      <c r="CUA228" s="1"/>
      <c r="CUB228" s="1"/>
      <c r="CUC228" s="1"/>
      <c r="CUD228" s="1"/>
      <c r="CUE228" s="1"/>
      <c r="CUF228" s="1"/>
      <c r="CUG228" s="1"/>
      <c r="CUH228" s="1"/>
      <c r="CUI228" s="1"/>
      <c r="CUJ228" s="1"/>
      <c r="CUK228" s="1"/>
      <c r="CUL228" s="1"/>
      <c r="CUM228" s="1"/>
      <c r="CUN228" s="1"/>
      <c r="CUO228" s="1"/>
      <c r="CUP228" s="1"/>
      <c r="CUQ228" s="1"/>
      <c r="CUR228" s="1"/>
      <c r="CUS228" s="1"/>
      <c r="CUT228" s="1"/>
      <c r="CUU228" s="1"/>
      <c r="CUV228" s="1"/>
      <c r="CUW228" s="1"/>
      <c r="CUX228" s="1"/>
      <c r="CUY228" s="1"/>
      <c r="CUZ228" s="1"/>
      <c r="CVA228" s="1"/>
      <c r="CVB228" s="1"/>
      <c r="CVC228" s="1"/>
      <c r="CVD228" s="1"/>
      <c r="CVE228" s="1"/>
      <c r="CVF228" s="1"/>
      <c r="CVG228" s="1"/>
      <c r="CVH228" s="1"/>
      <c r="CVI228" s="1"/>
      <c r="CVJ228" s="1"/>
      <c r="CVK228" s="1"/>
      <c r="CVL228" s="1"/>
      <c r="CVM228" s="1"/>
      <c r="CVN228" s="1"/>
      <c r="CVO228" s="1"/>
      <c r="CVP228" s="1"/>
      <c r="CVQ228" s="1"/>
      <c r="CVR228" s="1"/>
      <c r="CVS228" s="1"/>
      <c r="CVT228" s="1"/>
      <c r="CVU228" s="1"/>
      <c r="CVV228" s="1"/>
      <c r="CVW228" s="1"/>
      <c r="CVX228" s="1"/>
      <c r="CVY228" s="1"/>
      <c r="CVZ228" s="1"/>
      <c r="CWA228" s="1"/>
      <c r="CWB228" s="1"/>
      <c r="CWC228" s="1"/>
      <c r="CWD228" s="1"/>
      <c r="CWE228" s="1"/>
      <c r="CWF228" s="1"/>
      <c r="CWG228" s="1"/>
      <c r="CWH228" s="1"/>
      <c r="CWI228" s="1"/>
      <c r="CWJ228" s="1"/>
      <c r="CWK228" s="1"/>
      <c r="CWL228" s="1"/>
      <c r="CWM228" s="1"/>
      <c r="CWN228" s="1"/>
      <c r="CWO228" s="1"/>
      <c r="CWP228" s="1"/>
      <c r="CWQ228" s="1"/>
      <c r="CWR228" s="1"/>
      <c r="CWS228" s="1"/>
      <c r="CWT228" s="1"/>
      <c r="CWU228" s="1"/>
      <c r="CWV228" s="1"/>
      <c r="CWW228" s="1"/>
      <c r="CWX228" s="1"/>
      <c r="CWY228" s="1"/>
      <c r="CWZ228" s="1"/>
      <c r="CXA228" s="1"/>
      <c r="CXB228" s="1"/>
      <c r="CXC228" s="1"/>
      <c r="CXD228" s="1"/>
      <c r="CXE228" s="1"/>
      <c r="CXF228" s="1"/>
      <c r="CXG228" s="1"/>
      <c r="CXH228" s="1"/>
      <c r="CXI228" s="1"/>
      <c r="CXJ228" s="1"/>
      <c r="CXK228" s="1"/>
      <c r="CXL228" s="1"/>
      <c r="CXM228" s="1"/>
      <c r="CXN228" s="1"/>
      <c r="CXO228" s="1"/>
      <c r="CXP228" s="1"/>
      <c r="CXQ228" s="1"/>
      <c r="CXR228" s="1"/>
      <c r="CXS228" s="1"/>
      <c r="CXT228" s="1"/>
      <c r="CXU228" s="1"/>
      <c r="CXV228" s="1"/>
      <c r="CXW228" s="1"/>
      <c r="CXX228" s="1"/>
      <c r="CXY228" s="1"/>
      <c r="CXZ228" s="1"/>
      <c r="CYA228" s="1"/>
      <c r="CYB228" s="1"/>
      <c r="CYC228" s="1"/>
      <c r="CYD228" s="1"/>
      <c r="CYE228" s="1"/>
      <c r="CYF228" s="1"/>
      <c r="CYG228" s="1"/>
      <c r="CYH228" s="1"/>
      <c r="CYI228" s="1"/>
      <c r="CYJ228" s="1"/>
      <c r="CYK228" s="1"/>
      <c r="CYL228" s="1"/>
      <c r="CYM228" s="1"/>
      <c r="CYN228" s="1"/>
      <c r="CYO228" s="1"/>
      <c r="CYP228" s="1"/>
      <c r="CYQ228" s="1"/>
      <c r="CYR228" s="1"/>
      <c r="CYS228" s="1"/>
      <c r="CYT228" s="1"/>
      <c r="CYU228" s="1"/>
      <c r="CYV228" s="1"/>
      <c r="CYW228" s="1"/>
      <c r="CYX228" s="1"/>
      <c r="CYY228" s="1"/>
      <c r="CYZ228" s="1"/>
      <c r="CZA228" s="1"/>
      <c r="CZB228" s="1"/>
      <c r="CZC228" s="1"/>
      <c r="CZD228" s="1"/>
      <c r="CZE228" s="1"/>
      <c r="CZF228" s="1"/>
      <c r="CZG228" s="1"/>
      <c r="CZH228" s="1"/>
      <c r="CZI228" s="1"/>
      <c r="CZJ228" s="1"/>
      <c r="CZK228" s="1"/>
      <c r="CZL228" s="1"/>
      <c r="CZM228" s="1"/>
      <c r="CZN228" s="1"/>
      <c r="CZO228" s="1"/>
      <c r="CZP228" s="1"/>
      <c r="CZQ228" s="1"/>
      <c r="CZR228" s="1"/>
      <c r="CZS228" s="1"/>
      <c r="CZT228" s="1"/>
      <c r="CZU228" s="1"/>
      <c r="CZV228" s="1"/>
      <c r="CZW228" s="1"/>
      <c r="CZX228" s="1"/>
      <c r="CZY228" s="1"/>
      <c r="CZZ228" s="1"/>
      <c r="DAA228" s="1"/>
      <c r="DAB228" s="1"/>
      <c r="DAC228" s="1"/>
      <c r="DAD228" s="1"/>
      <c r="DAE228" s="1"/>
      <c r="DAF228" s="1"/>
      <c r="DAG228" s="1"/>
      <c r="DAH228" s="1"/>
      <c r="DAI228" s="1"/>
      <c r="DAJ228" s="1"/>
      <c r="DAK228" s="1"/>
      <c r="DAL228" s="1"/>
      <c r="DAM228" s="1"/>
      <c r="DAN228" s="1"/>
      <c r="DAO228" s="1"/>
      <c r="DAP228" s="1"/>
      <c r="DAQ228" s="1"/>
      <c r="DAR228" s="1"/>
      <c r="DAS228" s="1"/>
      <c r="DAT228" s="1"/>
      <c r="DAU228" s="1"/>
      <c r="DAV228" s="1"/>
      <c r="DAW228" s="1"/>
      <c r="DAX228" s="1"/>
      <c r="DAY228" s="1"/>
      <c r="DAZ228" s="1"/>
      <c r="DBA228" s="1"/>
      <c r="DBB228" s="1"/>
      <c r="DBC228" s="1"/>
      <c r="DBD228" s="1"/>
      <c r="DBE228" s="1"/>
      <c r="DBF228" s="1"/>
      <c r="DBG228" s="1"/>
      <c r="DBH228" s="1"/>
      <c r="DBI228" s="1"/>
      <c r="DBJ228" s="1"/>
      <c r="DBK228" s="1"/>
      <c r="DBL228" s="1"/>
      <c r="DBM228" s="1"/>
      <c r="DBN228" s="1"/>
      <c r="DBO228" s="1"/>
      <c r="DBP228" s="1"/>
      <c r="DBQ228" s="1"/>
      <c r="DBR228" s="1"/>
      <c r="DBS228" s="1"/>
      <c r="DBT228" s="1"/>
      <c r="DBU228" s="1"/>
      <c r="DBV228" s="1"/>
      <c r="DBW228" s="1"/>
      <c r="DBX228" s="1"/>
      <c r="DBY228" s="1"/>
      <c r="DBZ228" s="1"/>
      <c r="DCA228" s="1"/>
      <c r="DCB228" s="1"/>
      <c r="DCC228" s="1"/>
      <c r="DCD228" s="1"/>
      <c r="DCE228" s="1"/>
      <c r="DCF228" s="1"/>
      <c r="DCG228" s="1"/>
      <c r="DCH228" s="1"/>
      <c r="DCI228" s="1"/>
      <c r="DCJ228" s="1"/>
      <c r="DCK228" s="1"/>
      <c r="DCL228" s="1"/>
      <c r="DCM228" s="1"/>
      <c r="DCN228" s="1"/>
      <c r="DCO228" s="1"/>
      <c r="DCP228" s="1"/>
      <c r="DCQ228" s="1"/>
      <c r="DCR228" s="1"/>
      <c r="DCS228" s="1"/>
      <c r="DCT228" s="1"/>
      <c r="DCU228" s="1"/>
      <c r="DCV228" s="1"/>
      <c r="DCW228" s="1"/>
      <c r="DCX228" s="1"/>
      <c r="DCY228" s="1"/>
      <c r="DCZ228" s="1"/>
      <c r="DDA228" s="1"/>
      <c r="DDB228" s="1"/>
      <c r="DDC228" s="1"/>
      <c r="DDD228" s="1"/>
      <c r="DDE228" s="1"/>
      <c r="DDF228" s="1"/>
      <c r="DDG228" s="1"/>
      <c r="DDH228" s="1"/>
      <c r="DDI228" s="1"/>
      <c r="DDJ228" s="1"/>
      <c r="DDK228" s="1"/>
      <c r="DDL228" s="1"/>
      <c r="DDM228" s="1"/>
      <c r="DDN228" s="1"/>
      <c r="DDO228" s="1"/>
      <c r="DDP228" s="1"/>
      <c r="DDQ228" s="1"/>
      <c r="DDR228" s="1"/>
      <c r="DDS228" s="1"/>
      <c r="DDT228" s="1"/>
      <c r="DDU228" s="1"/>
      <c r="DDV228" s="1"/>
      <c r="DDW228" s="1"/>
      <c r="DDX228" s="1"/>
      <c r="DDY228" s="1"/>
      <c r="DDZ228" s="1"/>
      <c r="DEA228" s="1"/>
      <c r="DEB228" s="1"/>
      <c r="DEC228" s="1"/>
      <c r="DED228" s="1"/>
      <c r="DEE228" s="1"/>
      <c r="DEF228" s="1"/>
      <c r="DEG228" s="1"/>
      <c r="DEH228" s="1"/>
      <c r="DEI228" s="1"/>
      <c r="DEJ228" s="1"/>
      <c r="DEK228" s="1"/>
      <c r="DEL228" s="1"/>
      <c r="DEM228" s="1"/>
      <c r="DEN228" s="1"/>
      <c r="DEO228" s="1"/>
      <c r="DEP228" s="1"/>
      <c r="DEQ228" s="1"/>
      <c r="DER228" s="1"/>
      <c r="DES228" s="1"/>
      <c r="DET228" s="1"/>
      <c r="DEU228" s="1"/>
      <c r="DEV228" s="1"/>
      <c r="DEW228" s="1"/>
      <c r="DEX228" s="1"/>
      <c r="DEY228" s="1"/>
      <c r="DEZ228" s="1"/>
      <c r="DFA228" s="1"/>
      <c r="DFB228" s="1"/>
      <c r="DFC228" s="1"/>
      <c r="DFD228" s="1"/>
      <c r="DFE228" s="1"/>
      <c r="DFF228" s="1"/>
      <c r="DFG228" s="1"/>
      <c r="DFH228" s="1"/>
      <c r="DFI228" s="1"/>
      <c r="DFJ228" s="1"/>
      <c r="DFK228" s="1"/>
      <c r="DFL228" s="1"/>
      <c r="DFM228" s="1"/>
      <c r="DFN228" s="1"/>
      <c r="DFO228" s="1"/>
      <c r="DFP228" s="1"/>
      <c r="DFQ228" s="1"/>
      <c r="DFR228" s="1"/>
      <c r="DFS228" s="1"/>
      <c r="DFT228" s="1"/>
      <c r="DFU228" s="1"/>
      <c r="DFV228" s="1"/>
      <c r="DFW228" s="1"/>
      <c r="DFX228" s="1"/>
      <c r="DFY228" s="1"/>
      <c r="DFZ228" s="1"/>
      <c r="DGA228" s="1"/>
      <c r="DGB228" s="1"/>
      <c r="DGC228" s="1"/>
      <c r="DGD228" s="1"/>
      <c r="DGE228" s="1"/>
      <c r="DGF228" s="1"/>
      <c r="DGG228" s="1"/>
      <c r="DGH228" s="1"/>
      <c r="DGI228" s="1"/>
      <c r="DGJ228" s="1"/>
      <c r="DGK228" s="1"/>
      <c r="DGL228" s="1"/>
      <c r="DGM228" s="1"/>
      <c r="DGN228" s="1"/>
      <c r="DGO228" s="1"/>
      <c r="DGP228" s="1"/>
      <c r="DGQ228" s="1"/>
      <c r="DGR228" s="1"/>
      <c r="DGS228" s="1"/>
      <c r="DGT228" s="1"/>
      <c r="DGU228" s="1"/>
      <c r="DGV228" s="1"/>
      <c r="DGW228" s="1"/>
      <c r="DGX228" s="1"/>
      <c r="DGY228" s="1"/>
      <c r="DGZ228" s="1"/>
      <c r="DHA228" s="1"/>
      <c r="DHB228" s="1"/>
      <c r="DHC228" s="1"/>
      <c r="DHD228" s="1"/>
      <c r="DHE228" s="1"/>
      <c r="DHF228" s="1"/>
      <c r="DHG228" s="1"/>
      <c r="DHH228" s="1"/>
      <c r="DHI228" s="1"/>
      <c r="DHJ228" s="1"/>
      <c r="DHK228" s="1"/>
      <c r="DHL228" s="1"/>
      <c r="DHM228" s="1"/>
      <c r="DHN228" s="1"/>
      <c r="DHO228" s="1"/>
      <c r="DHP228" s="1"/>
      <c r="DHQ228" s="1"/>
      <c r="DHR228" s="1"/>
      <c r="DHS228" s="1"/>
      <c r="DHT228" s="1"/>
      <c r="DHU228" s="1"/>
      <c r="DHV228" s="1"/>
      <c r="DHW228" s="1"/>
      <c r="DHX228" s="1"/>
      <c r="DHY228" s="1"/>
      <c r="DHZ228" s="1"/>
      <c r="DIA228" s="1"/>
      <c r="DIB228" s="1"/>
      <c r="DIC228" s="1"/>
      <c r="DID228" s="1"/>
      <c r="DIE228" s="1"/>
      <c r="DIF228" s="1"/>
      <c r="DIG228" s="1"/>
      <c r="DIH228" s="1"/>
      <c r="DII228" s="1"/>
      <c r="DIJ228" s="1"/>
      <c r="DIK228" s="1"/>
      <c r="DIL228" s="1"/>
      <c r="DIM228" s="1"/>
      <c r="DIN228" s="1"/>
      <c r="DIO228" s="1"/>
      <c r="DIP228" s="1"/>
      <c r="DIQ228" s="1"/>
      <c r="DIR228" s="1"/>
      <c r="DIS228" s="1"/>
      <c r="DIT228" s="1"/>
      <c r="DIU228" s="1"/>
      <c r="DIV228" s="1"/>
      <c r="DIW228" s="1"/>
      <c r="DIX228" s="1"/>
      <c r="DIY228" s="1"/>
      <c r="DIZ228" s="1"/>
      <c r="DJA228" s="1"/>
      <c r="DJB228" s="1"/>
      <c r="DJC228" s="1"/>
      <c r="DJD228" s="1"/>
      <c r="DJE228" s="1"/>
      <c r="DJF228" s="1"/>
      <c r="DJG228" s="1"/>
      <c r="DJH228" s="1"/>
      <c r="DJI228" s="1"/>
      <c r="DJJ228" s="1"/>
      <c r="DJK228" s="1"/>
      <c r="DJL228" s="1"/>
      <c r="DJM228" s="1"/>
      <c r="DJN228" s="1"/>
      <c r="DJO228" s="1"/>
      <c r="DJP228" s="1"/>
      <c r="DJQ228" s="1"/>
      <c r="DJR228" s="1"/>
      <c r="DJS228" s="1"/>
      <c r="DJT228" s="1"/>
      <c r="DJU228" s="1"/>
      <c r="DJV228" s="1"/>
      <c r="DJW228" s="1"/>
      <c r="DJX228" s="1"/>
      <c r="DJY228" s="1"/>
      <c r="DJZ228" s="1"/>
      <c r="DKA228" s="1"/>
      <c r="DKB228" s="1"/>
      <c r="DKC228" s="1"/>
      <c r="DKD228" s="1"/>
      <c r="DKE228" s="1"/>
      <c r="DKF228" s="1"/>
      <c r="DKG228" s="1"/>
      <c r="DKH228" s="1"/>
      <c r="DKI228" s="1"/>
      <c r="DKJ228" s="1"/>
      <c r="DKK228" s="1"/>
      <c r="DKL228" s="1"/>
      <c r="DKM228" s="1"/>
      <c r="DKN228" s="1"/>
      <c r="DKO228" s="1"/>
      <c r="DKP228" s="1"/>
      <c r="DKQ228" s="1"/>
      <c r="DKR228" s="1"/>
      <c r="DKS228" s="1"/>
      <c r="DKT228" s="1"/>
      <c r="DKU228" s="1"/>
      <c r="DKV228" s="1"/>
      <c r="DKW228" s="1"/>
      <c r="DKX228" s="1"/>
      <c r="DKY228" s="1"/>
      <c r="DKZ228" s="1"/>
      <c r="DLA228" s="1"/>
      <c r="DLB228" s="1"/>
      <c r="DLC228" s="1"/>
      <c r="DLD228" s="1"/>
      <c r="DLE228" s="1"/>
      <c r="DLF228" s="1"/>
      <c r="DLG228" s="1"/>
      <c r="DLH228" s="1"/>
      <c r="DLI228" s="1"/>
      <c r="DLJ228" s="1"/>
      <c r="DLK228" s="1"/>
      <c r="DLL228" s="1"/>
      <c r="DLM228" s="1"/>
      <c r="DLN228" s="1"/>
      <c r="DLO228" s="1"/>
      <c r="DLP228" s="1"/>
      <c r="DLQ228" s="1"/>
      <c r="DLR228" s="1"/>
      <c r="DLS228" s="1"/>
      <c r="DLT228" s="1"/>
      <c r="DLU228" s="1"/>
      <c r="DLV228" s="1"/>
      <c r="DLW228" s="1"/>
      <c r="DLX228" s="1"/>
      <c r="DLY228" s="1"/>
      <c r="DLZ228" s="1"/>
      <c r="DMA228" s="1"/>
      <c r="DMB228" s="1"/>
      <c r="DMC228" s="1"/>
      <c r="DMD228" s="1"/>
      <c r="DME228" s="1"/>
      <c r="DMF228" s="1"/>
      <c r="DMG228" s="1"/>
      <c r="DMH228" s="1"/>
      <c r="DMI228" s="1"/>
      <c r="DMJ228" s="1"/>
      <c r="DMK228" s="1"/>
      <c r="DML228" s="1"/>
      <c r="DMM228" s="1"/>
      <c r="DMN228" s="1"/>
      <c r="DMO228" s="1"/>
      <c r="DMP228" s="1"/>
      <c r="DMQ228" s="1"/>
      <c r="DMR228" s="1"/>
      <c r="DMS228" s="1"/>
      <c r="DMT228" s="1"/>
      <c r="DMU228" s="1"/>
      <c r="DMV228" s="1"/>
      <c r="DMW228" s="1"/>
      <c r="DMX228" s="1"/>
      <c r="DMY228" s="1"/>
      <c r="DMZ228" s="1"/>
      <c r="DNA228" s="1"/>
      <c r="DNB228" s="1"/>
      <c r="DNC228" s="1"/>
      <c r="DND228" s="1"/>
      <c r="DNE228" s="1"/>
      <c r="DNF228" s="1"/>
      <c r="DNG228" s="1"/>
      <c r="DNH228" s="1"/>
      <c r="DNI228" s="1"/>
      <c r="DNJ228" s="1"/>
      <c r="DNK228" s="1"/>
      <c r="DNL228" s="1"/>
      <c r="DNM228" s="1"/>
      <c r="DNN228" s="1"/>
      <c r="DNO228" s="1"/>
      <c r="DNP228" s="1"/>
      <c r="DNQ228" s="1"/>
      <c r="DNR228" s="1"/>
      <c r="DNS228" s="1"/>
      <c r="DNT228" s="1"/>
      <c r="DNU228" s="1"/>
      <c r="DNV228" s="1"/>
      <c r="DNW228" s="1"/>
      <c r="DNX228" s="1"/>
      <c r="DNY228" s="1"/>
      <c r="DNZ228" s="1"/>
      <c r="DOA228" s="1"/>
      <c r="DOB228" s="1"/>
      <c r="DOC228" s="1"/>
      <c r="DOD228" s="1"/>
      <c r="DOE228" s="1"/>
      <c r="DOF228" s="1"/>
      <c r="DOG228" s="1"/>
      <c r="DOH228" s="1"/>
      <c r="DOI228" s="1"/>
      <c r="DOJ228" s="1"/>
      <c r="DOK228" s="1"/>
      <c r="DOL228" s="1"/>
      <c r="DOM228" s="1"/>
      <c r="DON228" s="1"/>
      <c r="DOO228" s="1"/>
      <c r="DOP228" s="1"/>
      <c r="DOQ228" s="1"/>
      <c r="DOR228" s="1"/>
      <c r="DOS228" s="1"/>
      <c r="DOT228" s="1"/>
      <c r="DOU228" s="1"/>
      <c r="DOV228" s="1"/>
      <c r="DOW228" s="1"/>
      <c r="DOX228" s="1"/>
      <c r="DOY228" s="1"/>
      <c r="DOZ228" s="1"/>
      <c r="DPA228" s="1"/>
      <c r="DPB228" s="1"/>
      <c r="DPC228" s="1"/>
      <c r="DPD228" s="1"/>
      <c r="DPE228" s="1"/>
      <c r="DPF228" s="1"/>
      <c r="DPG228" s="1"/>
      <c r="DPH228" s="1"/>
      <c r="DPI228" s="1"/>
      <c r="DPJ228" s="1"/>
      <c r="DPK228" s="1"/>
      <c r="DPL228" s="1"/>
      <c r="DPM228" s="1"/>
      <c r="DPN228" s="1"/>
      <c r="DPO228" s="1"/>
      <c r="DPP228" s="1"/>
      <c r="DPQ228" s="1"/>
      <c r="DPR228" s="1"/>
      <c r="DPS228" s="1"/>
      <c r="DPT228" s="1"/>
      <c r="DPU228" s="1"/>
      <c r="DPV228" s="1"/>
      <c r="DPW228" s="1"/>
      <c r="DPX228" s="1"/>
      <c r="DPY228" s="1"/>
      <c r="DPZ228" s="1"/>
      <c r="DQA228" s="1"/>
      <c r="DQB228" s="1"/>
      <c r="DQC228" s="1"/>
      <c r="DQD228" s="1"/>
      <c r="DQE228" s="1"/>
      <c r="DQF228" s="1"/>
      <c r="DQG228" s="1"/>
      <c r="DQH228" s="1"/>
      <c r="DQI228" s="1"/>
      <c r="DQJ228" s="1"/>
      <c r="DQK228" s="1"/>
      <c r="DQL228" s="1"/>
      <c r="DQM228" s="1"/>
      <c r="DQN228" s="1"/>
      <c r="DQO228" s="1"/>
      <c r="DQP228" s="1"/>
      <c r="DQQ228" s="1"/>
      <c r="DQR228" s="1"/>
      <c r="DQS228" s="1"/>
      <c r="DQT228" s="1"/>
      <c r="DQU228" s="1"/>
      <c r="DQV228" s="1"/>
      <c r="DQW228" s="1"/>
      <c r="DQX228" s="1"/>
      <c r="DQY228" s="1"/>
      <c r="DQZ228" s="1"/>
      <c r="DRA228" s="1"/>
      <c r="DRB228" s="1"/>
      <c r="DRC228" s="1"/>
      <c r="DRD228" s="1"/>
      <c r="DRE228" s="1"/>
      <c r="DRF228" s="1"/>
      <c r="DRG228" s="1"/>
      <c r="DRH228" s="1"/>
      <c r="DRI228" s="1"/>
      <c r="DRJ228" s="1"/>
      <c r="DRK228" s="1"/>
      <c r="DRL228" s="1"/>
      <c r="DRM228" s="1"/>
      <c r="DRN228" s="1"/>
      <c r="DRO228" s="1"/>
      <c r="DRP228" s="1"/>
      <c r="DRQ228" s="1"/>
      <c r="DRR228" s="1"/>
      <c r="DRS228" s="1"/>
      <c r="DRT228" s="1"/>
      <c r="DRU228" s="1"/>
      <c r="DRV228" s="1"/>
      <c r="DRW228" s="1"/>
      <c r="DRX228" s="1"/>
      <c r="DRY228" s="1"/>
      <c r="DRZ228" s="1"/>
      <c r="DSA228" s="1"/>
      <c r="DSB228" s="1"/>
      <c r="DSC228" s="1"/>
      <c r="DSD228" s="1"/>
      <c r="DSE228" s="1"/>
      <c r="DSF228" s="1"/>
      <c r="DSG228" s="1"/>
      <c r="DSH228" s="1"/>
      <c r="DSI228" s="1"/>
      <c r="DSJ228" s="1"/>
      <c r="DSK228" s="1"/>
      <c r="DSL228" s="1"/>
      <c r="DSM228" s="1"/>
      <c r="DSN228" s="1"/>
      <c r="DSO228" s="1"/>
      <c r="DSP228" s="1"/>
      <c r="DSQ228" s="1"/>
      <c r="DSR228" s="1"/>
      <c r="DSS228" s="1"/>
      <c r="DST228" s="1"/>
      <c r="DSU228" s="1"/>
      <c r="DSV228" s="1"/>
      <c r="DSW228" s="1"/>
      <c r="DSX228" s="1"/>
      <c r="DSY228" s="1"/>
      <c r="DSZ228" s="1"/>
      <c r="DTA228" s="1"/>
      <c r="DTB228" s="1"/>
      <c r="DTC228" s="1"/>
      <c r="DTD228" s="1"/>
      <c r="DTE228" s="1"/>
      <c r="DTF228" s="1"/>
      <c r="DTG228" s="1"/>
      <c r="DTH228" s="1"/>
      <c r="DTI228" s="1"/>
      <c r="DTJ228" s="1"/>
      <c r="DTK228" s="1"/>
      <c r="DTL228" s="1"/>
      <c r="DTM228" s="1"/>
      <c r="DTN228" s="1"/>
      <c r="DTO228" s="1"/>
      <c r="DTP228" s="1"/>
      <c r="DTQ228" s="1"/>
      <c r="DTR228" s="1"/>
      <c r="DTS228" s="1"/>
      <c r="DTT228" s="1"/>
      <c r="DTU228" s="1"/>
      <c r="DTV228" s="1"/>
      <c r="DTW228" s="1"/>
      <c r="DTX228" s="1"/>
      <c r="DTY228" s="1"/>
      <c r="DTZ228" s="1"/>
      <c r="DUA228" s="1"/>
      <c r="DUB228" s="1"/>
      <c r="DUC228" s="1"/>
      <c r="DUD228" s="1"/>
      <c r="DUE228" s="1"/>
      <c r="DUF228" s="1"/>
      <c r="DUG228" s="1"/>
      <c r="DUH228" s="1"/>
      <c r="DUI228" s="1"/>
      <c r="DUJ228" s="1"/>
      <c r="DUK228" s="1"/>
      <c r="DUL228" s="1"/>
      <c r="DUM228" s="1"/>
      <c r="DUN228" s="1"/>
      <c r="DUO228" s="1"/>
      <c r="DUP228" s="1"/>
      <c r="DUQ228" s="1"/>
      <c r="DUR228" s="1"/>
      <c r="DUS228" s="1"/>
      <c r="DUT228" s="1"/>
      <c r="DUU228" s="1"/>
      <c r="DUV228" s="1"/>
      <c r="DUW228" s="1"/>
      <c r="DUX228" s="1"/>
      <c r="DUY228" s="1"/>
      <c r="DUZ228" s="1"/>
      <c r="DVA228" s="1"/>
      <c r="DVB228" s="1"/>
      <c r="DVC228" s="1"/>
      <c r="DVD228" s="1"/>
      <c r="DVE228" s="1"/>
      <c r="DVF228" s="1"/>
      <c r="DVG228" s="1"/>
      <c r="DVH228" s="1"/>
      <c r="DVI228" s="1"/>
      <c r="DVJ228" s="1"/>
      <c r="DVK228" s="1"/>
      <c r="DVL228" s="1"/>
      <c r="DVM228" s="1"/>
      <c r="DVN228" s="1"/>
      <c r="DVO228" s="1"/>
      <c r="DVP228" s="1"/>
      <c r="DVQ228" s="1"/>
      <c r="DVR228" s="1"/>
      <c r="DVS228" s="1"/>
      <c r="DVT228" s="1"/>
      <c r="DVU228" s="1"/>
      <c r="DVV228" s="1"/>
      <c r="DVW228" s="1"/>
      <c r="DVX228" s="1"/>
      <c r="DVY228" s="1"/>
      <c r="DVZ228" s="1"/>
      <c r="DWA228" s="1"/>
      <c r="DWB228" s="1"/>
      <c r="DWC228" s="1"/>
      <c r="DWD228" s="1"/>
      <c r="DWE228" s="1"/>
      <c r="DWF228" s="1"/>
      <c r="DWG228" s="1"/>
      <c r="DWH228" s="1"/>
      <c r="DWI228" s="1"/>
      <c r="DWJ228" s="1"/>
      <c r="DWK228" s="1"/>
      <c r="DWL228" s="1"/>
      <c r="DWM228" s="1"/>
      <c r="DWN228" s="1"/>
      <c r="DWO228" s="1"/>
      <c r="DWP228" s="1"/>
      <c r="DWQ228" s="1"/>
      <c r="DWR228" s="1"/>
      <c r="DWS228" s="1"/>
      <c r="DWT228" s="1"/>
      <c r="DWU228" s="1"/>
      <c r="DWV228" s="1"/>
      <c r="DWW228" s="1"/>
      <c r="DWX228" s="1"/>
      <c r="DWY228" s="1"/>
      <c r="DWZ228" s="1"/>
      <c r="DXA228" s="1"/>
      <c r="DXB228" s="1"/>
      <c r="DXC228" s="1"/>
      <c r="DXD228" s="1"/>
      <c r="DXE228" s="1"/>
      <c r="DXF228" s="1"/>
      <c r="DXG228" s="1"/>
      <c r="DXH228" s="1"/>
      <c r="DXI228" s="1"/>
      <c r="DXJ228" s="1"/>
      <c r="DXK228" s="1"/>
      <c r="DXL228" s="1"/>
      <c r="DXM228" s="1"/>
      <c r="DXN228" s="1"/>
      <c r="DXO228" s="1"/>
      <c r="DXP228" s="1"/>
      <c r="DXQ228" s="1"/>
      <c r="DXR228" s="1"/>
      <c r="DXS228" s="1"/>
      <c r="DXT228" s="1"/>
      <c r="DXU228" s="1"/>
      <c r="DXV228" s="1"/>
      <c r="DXW228" s="1"/>
      <c r="DXX228" s="1"/>
      <c r="DXY228" s="1"/>
      <c r="DXZ228" s="1"/>
      <c r="DYA228" s="1"/>
      <c r="DYB228" s="1"/>
      <c r="DYC228" s="1"/>
      <c r="DYD228" s="1"/>
      <c r="DYE228" s="1"/>
      <c r="DYF228" s="1"/>
      <c r="DYG228" s="1"/>
      <c r="DYH228" s="1"/>
      <c r="DYI228" s="1"/>
      <c r="DYJ228" s="1"/>
      <c r="DYK228" s="1"/>
      <c r="DYL228" s="1"/>
      <c r="DYM228" s="1"/>
      <c r="DYN228" s="1"/>
      <c r="DYO228" s="1"/>
      <c r="DYP228" s="1"/>
      <c r="DYQ228" s="1"/>
      <c r="DYR228" s="1"/>
      <c r="DYS228" s="1"/>
      <c r="DYT228" s="1"/>
      <c r="DYU228" s="1"/>
      <c r="DYV228" s="1"/>
      <c r="DYW228" s="1"/>
      <c r="DYX228" s="1"/>
      <c r="DYY228" s="1"/>
      <c r="DYZ228" s="1"/>
      <c r="DZA228" s="1"/>
      <c r="DZB228" s="1"/>
      <c r="DZC228" s="1"/>
      <c r="DZD228" s="1"/>
      <c r="DZE228" s="1"/>
      <c r="DZF228" s="1"/>
      <c r="DZG228" s="1"/>
      <c r="DZH228" s="1"/>
      <c r="DZI228" s="1"/>
      <c r="DZJ228" s="1"/>
      <c r="DZK228" s="1"/>
      <c r="DZL228" s="1"/>
      <c r="DZM228" s="1"/>
      <c r="DZN228" s="1"/>
      <c r="DZO228" s="1"/>
      <c r="DZP228" s="1"/>
      <c r="DZQ228" s="1"/>
      <c r="DZR228" s="1"/>
      <c r="DZS228" s="1"/>
      <c r="DZT228" s="1"/>
      <c r="DZU228" s="1"/>
      <c r="DZV228" s="1"/>
      <c r="DZW228" s="1"/>
      <c r="DZX228" s="1"/>
      <c r="DZY228" s="1"/>
      <c r="DZZ228" s="1"/>
      <c r="EAA228" s="1"/>
      <c r="EAB228" s="1"/>
      <c r="EAC228" s="1"/>
      <c r="EAD228" s="1"/>
      <c r="EAE228" s="1"/>
      <c r="EAF228" s="1"/>
      <c r="EAG228" s="1"/>
      <c r="EAH228" s="1"/>
      <c r="EAI228" s="1"/>
      <c r="EAJ228" s="1"/>
      <c r="EAK228" s="1"/>
      <c r="EAL228" s="1"/>
      <c r="EAM228" s="1"/>
      <c r="EAN228" s="1"/>
      <c r="EAO228" s="1"/>
      <c r="EAP228" s="1"/>
      <c r="EAQ228" s="1"/>
      <c r="EAR228" s="1"/>
      <c r="EAS228" s="1"/>
      <c r="EAT228" s="1"/>
      <c r="EAU228" s="1"/>
      <c r="EAV228" s="1"/>
      <c r="EAW228" s="1"/>
      <c r="EAX228" s="1"/>
      <c r="EAY228" s="1"/>
      <c r="EAZ228" s="1"/>
      <c r="EBA228" s="1"/>
      <c r="EBB228" s="1"/>
      <c r="EBC228" s="1"/>
      <c r="EBD228" s="1"/>
      <c r="EBE228" s="1"/>
      <c r="EBF228" s="1"/>
      <c r="EBG228" s="1"/>
      <c r="EBH228" s="1"/>
      <c r="EBI228" s="1"/>
      <c r="EBJ228" s="1"/>
      <c r="EBK228" s="1"/>
      <c r="EBL228" s="1"/>
      <c r="EBM228" s="1"/>
      <c r="EBN228" s="1"/>
      <c r="EBO228" s="1"/>
      <c r="EBP228" s="1"/>
      <c r="EBQ228" s="1"/>
      <c r="EBR228" s="1"/>
      <c r="EBS228" s="1"/>
      <c r="EBT228" s="1"/>
      <c r="EBU228" s="1"/>
      <c r="EBV228" s="1"/>
      <c r="EBW228" s="1"/>
      <c r="EBX228" s="1"/>
      <c r="EBY228" s="1"/>
      <c r="EBZ228" s="1"/>
      <c r="ECA228" s="1"/>
      <c r="ECB228" s="1"/>
      <c r="ECC228" s="1"/>
      <c r="ECD228" s="1"/>
      <c r="ECE228" s="1"/>
      <c r="ECF228" s="1"/>
      <c r="ECG228" s="1"/>
      <c r="ECH228" s="1"/>
      <c r="ECI228" s="1"/>
      <c r="ECJ228" s="1"/>
      <c r="ECK228" s="1"/>
      <c r="ECL228" s="1"/>
      <c r="ECM228" s="1"/>
      <c r="ECN228" s="1"/>
      <c r="ECO228" s="1"/>
      <c r="ECP228" s="1"/>
      <c r="ECQ228" s="1"/>
      <c r="ECR228" s="1"/>
      <c r="ECS228" s="1"/>
      <c r="ECT228" s="1"/>
      <c r="ECU228" s="1"/>
      <c r="ECV228" s="1"/>
      <c r="ECW228" s="1"/>
      <c r="ECX228" s="1"/>
      <c r="ECY228" s="1"/>
      <c r="ECZ228" s="1"/>
      <c r="EDA228" s="1"/>
      <c r="EDB228" s="1"/>
      <c r="EDC228" s="1"/>
      <c r="EDD228" s="1"/>
      <c r="EDE228" s="1"/>
      <c r="EDF228" s="1"/>
      <c r="EDG228" s="1"/>
      <c r="EDH228" s="1"/>
      <c r="EDI228" s="1"/>
      <c r="EDJ228" s="1"/>
      <c r="EDK228" s="1"/>
      <c r="EDL228" s="1"/>
      <c r="EDM228" s="1"/>
      <c r="EDN228" s="1"/>
      <c r="EDO228" s="1"/>
      <c r="EDP228" s="1"/>
      <c r="EDQ228" s="1"/>
      <c r="EDR228" s="1"/>
      <c r="EDS228" s="1"/>
      <c r="EDT228" s="1"/>
      <c r="EDU228" s="1"/>
      <c r="EDV228" s="1"/>
      <c r="EDW228" s="1"/>
      <c r="EDX228" s="1"/>
      <c r="EDY228" s="1"/>
      <c r="EDZ228" s="1"/>
      <c r="EEA228" s="1"/>
      <c r="EEB228" s="1"/>
      <c r="EEC228" s="1"/>
      <c r="EED228" s="1"/>
      <c r="EEE228" s="1"/>
      <c r="EEF228" s="1"/>
      <c r="EEG228" s="1"/>
      <c r="EEH228" s="1"/>
      <c r="EEI228" s="1"/>
      <c r="EEJ228" s="1"/>
      <c r="EEK228" s="1"/>
      <c r="EEL228" s="1"/>
      <c r="EEM228" s="1"/>
      <c r="EEN228" s="1"/>
      <c r="EEO228" s="1"/>
      <c r="EEP228" s="1"/>
      <c r="EEQ228" s="1"/>
      <c r="EER228" s="1"/>
      <c r="EES228" s="1"/>
      <c r="EET228" s="1"/>
      <c r="EEU228" s="1"/>
      <c r="EEV228" s="1"/>
      <c r="EEW228" s="1"/>
      <c r="EEX228" s="1"/>
      <c r="EEY228" s="1"/>
      <c r="EEZ228" s="1"/>
      <c r="EFA228" s="1"/>
      <c r="EFB228" s="1"/>
      <c r="EFC228" s="1"/>
      <c r="EFD228" s="1"/>
      <c r="EFE228" s="1"/>
      <c r="EFF228" s="1"/>
      <c r="EFG228" s="1"/>
      <c r="EFH228" s="1"/>
      <c r="EFI228" s="1"/>
      <c r="EFJ228" s="1"/>
      <c r="EFK228" s="1"/>
      <c r="EFL228" s="1"/>
      <c r="EFM228" s="1"/>
      <c r="EFN228" s="1"/>
      <c r="EFO228" s="1"/>
      <c r="EFP228" s="1"/>
      <c r="EFQ228" s="1"/>
      <c r="EFR228" s="1"/>
      <c r="EFS228" s="1"/>
      <c r="EFT228" s="1"/>
      <c r="EFU228" s="1"/>
      <c r="EFV228" s="1"/>
      <c r="EFW228" s="1"/>
      <c r="EFX228" s="1"/>
      <c r="EFY228" s="1"/>
      <c r="EFZ228" s="1"/>
      <c r="EGA228" s="1"/>
      <c r="EGB228" s="1"/>
      <c r="EGC228" s="1"/>
      <c r="EGD228" s="1"/>
      <c r="EGE228" s="1"/>
      <c r="EGF228" s="1"/>
      <c r="EGG228" s="1"/>
      <c r="EGH228" s="1"/>
      <c r="EGI228" s="1"/>
      <c r="EGJ228" s="1"/>
      <c r="EGK228" s="1"/>
      <c r="EGL228" s="1"/>
      <c r="EGM228" s="1"/>
      <c r="EGN228" s="1"/>
      <c r="EGO228" s="1"/>
      <c r="EGP228" s="1"/>
      <c r="EGQ228" s="1"/>
      <c r="EGR228" s="1"/>
      <c r="EGS228" s="1"/>
      <c r="EGT228" s="1"/>
      <c r="EGU228" s="1"/>
      <c r="EGV228" s="1"/>
      <c r="EGW228" s="1"/>
      <c r="EGX228" s="1"/>
      <c r="EGY228" s="1"/>
      <c r="EGZ228" s="1"/>
      <c r="EHA228" s="1"/>
      <c r="EHB228" s="1"/>
      <c r="EHC228" s="1"/>
      <c r="EHD228" s="1"/>
      <c r="EHE228" s="1"/>
      <c r="EHF228" s="1"/>
      <c r="EHG228" s="1"/>
      <c r="EHH228" s="1"/>
      <c r="EHI228" s="1"/>
      <c r="EHJ228" s="1"/>
      <c r="EHK228" s="1"/>
      <c r="EHL228" s="1"/>
      <c r="EHM228" s="1"/>
      <c r="EHN228" s="1"/>
      <c r="EHO228" s="1"/>
      <c r="EHP228" s="1"/>
      <c r="EHQ228" s="1"/>
      <c r="EHR228" s="1"/>
      <c r="EHS228" s="1"/>
      <c r="EHT228" s="1"/>
      <c r="EHU228" s="1"/>
      <c r="EHV228" s="1"/>
      <c r="EHW228" s="1"/>
      <c r="EHX228" s="1"/>
      <c r="EHY228" s="1"/>
      <c r="EHZ228" s="1"/>
      <c r="EIA228" s="1"/>
      <c r="EIB228" s="1"/>
      <c r="EIC228" s="1"/>
      <c r="EID228" s="1"/>
      <c r="EIE228" s="1"/>
      <c r="EIF228" s="1"/>
      <c r="EIG228" s="1"/>
      <c r="EIH228" s="1"/>
      <c r="EII228" s="1"/>
      <c r="EIJ228" s="1"/>
      <c r="EIK228" s="1"/>
      <c r="EIL228" s="1"/>
      <c r="EIM228" s="1"/>
      <c r="EIN228" s="1"/>
      <c r="EIO228" s="1"/>
      <c r="EIP228" s="1"/>
      <c r="EIQ228" s="1"/>
      <c r="EIR228" s="1"/>
      <c r="EIS228" s="1"/>
      <c r="EIT228" s="1"/>
      <c r="EIU228" s="1"/>
      <c r="EIV228" s="1"/>
      <c r="EIW228" s="1"/>
      <c r="EIX228" s="1"/>
      <c r="EIY228" s="1"/>
      <c r="EIZ228" s="1"/>
      <c r="EJA228" s="1"/>
      <c r="EJB228" s="1"/>
      <c r="EJC228" s="1"/>
      <c r="EJD228" s="1"/>
      <c r="EJE228" s="1"/>
      <c r="EJF228" s="1"/>
      <c r="EJG228" s="1"/>
      <c r="EJH228" s="1"/>
      <c r="EJI228" s="1"/>
      <c r="EJJ228" s="1"/>
      <c r="EJK228" s="1"/>
      <c r="EJL228" s="1"/>
      <c r="EJM228" s="1"/>
      <c r="EJN228" s="1"/>
      <c r="EJO228" s="1"/>
      <c r="EJP228" s="1"/>
      <c r="EJQ228" s="1"/>
      <c r="EJR228" s="1"/>
      <c r="EJS228" s="1"/>
      <c r="EJT228" s="1"/>
      <c r="EJU228" s="1"/>
      <c r="EJV228" s="1"/>
      <c r="EJW228" s="1"/>
      <c r="EJX228" s="1"/>
      <c r="EJY228" s="1"/>
      <c r="EJZ228" s="1"/>
      <c r="EKA228" s="1"/>
      <c r="EKB228" s="1"/>
      <c r="EKC228" s="1"/>
      <c r="EKD228" s="1"/>
      <c r="EKE228" s="1"/>
      <c r="EKF228" s="1"/>
      <c r="EKG228" s="1"/>
      <c r="EKH228" s="1"/>
      <c r="EKI228" s="1"/>
      <c r="EKJ228" s="1"/>
      <c r="EKK228" s="1"/>
      <c r="EKL228" s="1"/>
      <c r="EKM228" s="1"/>
      <c r="EKN228" s="1"/>
      <c r="EKO228" s="1"/>
      <c r="EKP228" s="1"/>
      <c r="EKQ228" s="1"/>
      <c r="EKR228" s="1"/>
      <c r="EKS228" s="1"/>
      <c r="EKT228" s="1"/>
      <c r="EKU228" s="1"/>
      <c r="EKV228" s="1"/>
      <c r="EKW228" s="1"/>
      <c r="EKX228" s="1"/>
      <c r="EKY228" s="1"/>
      <c r="EKZ228" s="1"/>
      <c r="ELA228" s="1"/>
      <c r="ELB228" s="1"/>
      <c r="ELC228" s="1"/>
      <c r="ELD228" s="1"/>
      <c r="ELE228" s="1"/>
      <c r="ELF228" s="1"/>
      <c r="ELG228" s="1"/>
      <c r="ELH228" s="1"/>
      <c r="ELI228" s="1"/>
      <c r="ELJ228" s="1"/>
      <c r="ELK228" s="1"/>
      <c r="ELL228" s="1"/>
      <c r="ELM228" s="1"/>
      <c r="ELN228" s="1"/>
      <c r="ELO228" s="1"/>
      <c r="ELP228" s="1"/>
      <c r="ELQ228" s="1"/>
      <c r="ELR228" s="1"/>
      <c r="ELS228" s="1"/>
      <c r="ELT228" s="1"/>
      <c r="ELU228" s="1"/>
      <c r="ELV228" s="1"/>
      <c r="ELW228" s="1"/>
      <c r="ELX228" s="1"/>
      <c r="ELY228" s="1"/>
      <c r="ELZ228" s="1"/>
      <c r="EMA228" s="1"/>
      <c r="EMB228" s="1"/>
      <c r="EMC228" s="1"/>
      <c r="EMD228" s="1"/>
      <c r="EME228" s="1"/>
      <c r="EMF228" s="1"/>
      <c r="EMG228" s="1"/>
      <c r="EMH228" s="1"/>
      <c r="EMI228" s="1"/>
      <c r="EMJ228" s="1"/>
      <c r="EMK228" s="1"/>
      <c r="EML228" s="1"/>
      <c r="EMM228" s="1"/>
      <c r="EMN228" s="1"/>
      <c r="EMO228" s="1"/>
      <c r="EMP228" s="1"/>
      <c r="EMQ228" s="1"/>
      <c r="EMR228" s="1"/>
      <c r="EMS228" s="1"/>
      <c r="EMT228" s="1"/>
      <c r="EMU228" s="1"/>
      <c r="EMV228" s="1"/>
      <c r="EMW228" s="1"/>
      <c r="EMX228" s="1"/>
      <c r="EMY228" s="1"/>
      <c r="EMZ228" s="1"/>
      <c r="ENA228" s="1"/>
      <c r="ENB228" s="1"/>
      <c r="ENC228" s="1"/>
      <c r="END228" s="1"/>
      <c r="ENE228" s="1"/>
      <c r="ENF228" s="1"/>
      <c r="ENG228" s="1"/>
      <c r="ENH228" s="1"/>
      <c r="ENI228" s="1"/>
      <c r="ENJ228" s="1"/>
      <c r="ENK228" s="1"/>
      <c r="ENL228" s="1"/>
      <c r="ENM228" s="1"/>
      <c r="ENN228" s="1"/>
      <c r="ENO228" s="1"/>
      <c r="ENP228" s="1"/>
      <c r="ENQ228" s="1"/>
      <c r="ENR228" s="1"/>
      <c r="ENS228" s="1"/>
      <c r="ENT228" s="1"/>
      <c r="ENU228" s="1"/>
      <c r="ENV228" s="1"/>
      <c r="ENW228" s="1"/>
      <c r="ENX228" s="1"/>
      <c r="ENY228" s="1"/>
      <c r="ENZ228" s="1"/>
      <c r="EOA228" s="1"/>
      <c r="EOB228" s="1"/>
      <c r="EOC228" s="1"/>
      <c r="EOD228" s="1"/>
      <c r="EOE228" s="1"/>
      <c r="EOF228" s="1"/>
      <c r="EOG228" s="1"/>
      <c r="EOH228" s="1"/>
      <c r="EOI228" s="1"/>
      <c r="EOJ228" s="1"/>
      <c r="EOK228" s="1"/>
      <c r="EOL228" s="1"/>
      <c r="EOM228" s="1"/>
      <c r="EON228" s="1"/>
      <c r="EOO228" s="1"/>
      <c r="EOP228" s="1"/>
      <c r="EOQ228" s="1"/>
      <c r="EOR228" s="1"/>
      <c r="EOS228" s="1"/>
      <c r="EOT228" s="1"/>
      <c r="EOU228" s="1"/>
      <c r="EOV228" s="1"/>
      <c r="EOW228" s="1"/>
      <c r="EOX228" s="1"/>
      <c r="EOY228" s="1"/>
      <c r="EOZ228" s="1"/>
      <c r="EPA228" s="1"/>
      <c r="EPB228" s="1"/>
      <c r="EPC228" s="1"/>
      <c r="EPD228" s="1"/>
      <c r="EPE228" s="1"/>
      <c r="EPF228" s="1"/>
      <c r="EPG228" s="1"/>
      <c r="EPH228" s="1"/>
      <c r="EPI228" s="1"/>
      <c r="EPJ228" s="1"/>
      <c r="EPK228" s="1"/>
      <c r="EPL228" s="1"/>
      <c r="EPM228" s="1"/>
      <c r="EPN228" s="1"/>
      <c r="EPO228" s="1"/>
      <c r="EPP228" s="1"/>
      <c r="EPQ228" s="1"/>
      <c r="EPR228" s="1"/>
      <c r="EPS228" s="1"/>
      <c r="EPT228" s="1"/>
      <c r="EPU228" s="1"/>
      <c r="EPV228" s="1"/>
      <c r="EPW228" s="1"/>
      <c r="EPX228" s="1"/>
      <c r="EPY228" s="1"/>
      <c r="EPZ228" s="1"/>
      <c r="EQA228" s="1"/>
      <c r="EQB228" s="1"/>
      <c r="EQC228" s="1"/>
      <c r="EQD228" s="1"/>
      <c r="EQE228" s="1"/>
      <c r="EQF228" s="1"/>
      <c r="EQG228" s="1"/>
      <c r="EQH228" s="1"/>
      <c r="EQI228" s="1"/>
      <c r="EQJ228" s="1"/>
      <c r="EQK228" s="1"/>
      <c r="EQL228" s="1"/>
      <c r="EQM228" s="1"/>
      <c r="EQN228" s="1"/>
      <c r="EQO228" s="1"/>
      <c r="EQP228" s="1"/>
      <c r="EQQ228" s="1"/>
      <c r="EQR228" s="1"/>
      <c r="EQS228" s="1"/>
      <c r="EQT228" s="1"/>
      <c r="EQU228" s="1"/>
      <c r="EQV228" s="1"/>
      <c r="EQW228" s="1"/>
      <c r="EQX228" s="1"/>
      <c r="EQY228" s="1"/>
      <c r="EQZ228" s="1"/>
      <c r="ERA228" s="1"/>
      <c r="ERB228" s="1"/>
      <c r="ERC228" s="1"/>
      <c r="ERD228" s="1"/>
      <c r="ERE228" s="1"/>
      <c r="ERF228" s="1"/>
      <c r="ERG228" s="1"/>
      <c r="ERH228" s="1"/>
      <c r="ERI228" s="1"/>
      <c r="ERJ228" s="1"/>
      <c r="ERK228" s="1"/>
      <c r="ERL228" s="1"/>
      <c r="ERM228" s="1"/>
      <c r="ERN228" s="1"/>
      <c r="ERO228" s="1"/>
      <c r="ERP228" s="1"/>
      <c r="ERQ228" s="1"/>
      <c r="ERR228" s="1"/>
      <c r="ERS228" s="1"/>
      <c r="ERT228" s="1"/>
      <c r="ERU228" s="1"/>
      <c r="ERV228" s="1"/>
      <c r="ERW228" s="1"/>
      <c r="ERX228" s="1"/>
      <c r="ERY228" s="1"/>
      <c r="ERZ228" s="1"/>
      <c r="ESA228" s="1"/>
      <c r="ESB228" s="1"/>
      <c r="ESC228" s="1"/>
      <c r="ESD228" s="1"/>
      <c r="ESE228" s="1"/>
      <c r="ESF228" s="1"/>
      <c r="ESG228" s="1"/>
      <c r="ESH228" s="1"/>
      <c r="ESI228" s="1"/>
      <c r="ESJ228" s="1"/>
      <c r="ESK228" s="1"/>
      <c r="ESL228" s="1"/>
      <c r="ESM228" s="1"/>
      <c r="ESN228" s="1"/>
      <c r="ESO228" s="1"/>
      <c r="ESP228" s="1"/>
      <c r="ESQ228" s="1"/>
      <c r="ESR228" s="1"/>
      <c r="ESS228" s="1"/>
      <c r="EST228" s="1"/>
      <c r="ESU228" s="1"/>
      <c r="ESV228" s="1"/>
      <c r="ESW228" s="1"/>
      <c r="ESX228" s="1"/>
      <c r="ESY228" s="1"/>
      <c r="ESZ228" s="1"/>
      <c r="ETA228" s="1"/>
      <c r="ETB228" s="1"/>
      <c r="ETC228" s="1"/>
      <c r="ETD228" s="1"/>
      <c r="ETE228" s="1"/>
      <c r="ETF228" s="1"/>
      <c r="ETG228" s="1"/>
      <c r="ETH228" s="1"/>
      <c r="ETI228" s="1"/>
      <c r="ETJ228" s="1"/>
      <c r="ETK228" s="1"/>
      <c r="ETL228" s="1"/>
      <c r="ETM228" s="1"/>
      <c r="ETN228" s="1"/>
      <c r="ETO228" s="1"/>
      <c r="ETP228" s="1"/>
      <c r="ETQ228" s="1"/>
      <c r="ETR228" s="1"/>
      <c r="ETS228" s="1"/>
      <c r="ETT228" s="1"/>
      <c r="ETU228" s="1"/>
      <c r="ETV228" s="1"/>
      <c r="ETW228" s="1"/>
      <c r="ETX228" s="1"/>
      <c r="ETY228" s="1"/>
      <c r="ETZ228" s="1"/>
      <c r="EUA228" s="1"/>
      <c r="EUB228" s="1"/>
      <c r="EUC228" s="1"/>
      <c r="EUD228" s="1"/>
      <c r="EUE228" s="1"/>
      <c r="EUF228" s="1"/>
      <c r="EUG228" s="1"/>
      <c r="EUH228" s="1"/>
      <c r="EUI228" s="1"/>
      <c r="EUJ228" s="1"/>
      <c r="EUK228" s="1"/>
      <c r="EUL228" s="1"/>
      <c r="EUM228" s="1"/>
      <c r="EUN228" s="1"/>
      <c r="EUO228" s="1"/>
      <c r="EUP228" s="1"/>
      <c r="EUQ228" s="1"/>
      <c r="EUR228" s="1"/>
      <c r="EUS228" s="1"/>
      <c r="EUT228" s="1"/>
      <c r="EUU228" s="1"/>
      <c r="EUV228" s="1"/>
      <c r="EUW228" s="1"/>
      <c r="EUX228" s="1"/>
      <c r="EUY228" s="1"/>
      <c r="EUZ228" s="1"/>
      <c r="EVA228" s="1"/>
      <c r="EVB228" s="1"/>
      <c r="EVC228" s="1"/>
      <c r="EVD228" s="1"/>
      <c r="EVE228" s="1"/>
      <c r="EVF228" s="1"/>
      <c r="EVG228" s="1"/>
      <c r="EVH228" s="1"/>
      <c r="EVI228" s="1"/>
      <c r="EVJ228" s="1"/>
      <c r="EVK228" s="1"/>
      <c r="EVL228" s="1"/>
      <c r="EVM228" s="1"/>
      <c r="EVN228" s="1"/>
      <c r="EVO228" s="1"/>
      <c r="EVP228" s="1"/>
      <c r="EVQ228" s="1"/>
      <c r="EVR228" s="1"/>
      <c r="EVS228" s="1"/>
      <c r="EVT228" s="1"/>
      <c r="EVU228" s="1"/>
      <c r="EVV228" s="1"/>
      <c r="EVW228" s="1"/>
      <c r="EVX228" s="1"/>
      <c r="EVY228" s="1"/>
      <c r="EVZ228" s="1"/>
      <c r="EWA228" s="1"/>
      <c r="EWB228" s="1"/>
      <c r="EWC228" s="1"/>
      <c r="EWD228" s="1"/>
      <c r="EWE228" s="1"/>
      <c r="EWF228" s="1"/>
      <c r="EWG228" s="1"/>
      <c r="EWH228" s="1"/>
      <c r="EWI228" s="1"/>
      <c r="EWJ228" s="1"/>
      <c r="EWK228" s="1"/>
      <c r="EWL228" s="1"/>
      <c r="EWM228" s="1"/>
      <c r="EWN228" s="1"/>
      <c r="EWO228" s="1"/>
      <c r="EWP228" s="1"/>
      <c r="EWQ228" s="1"/>
      <c r="EWR228" s="1"/>
      <c r="EWS228" s="1"/>
      <c r="EWT228" s="1"/>
      <c r="EWU228" s="1"/>
      <c r="EWV228" s="1"/>
      <c r="EWW228" s="1"/>
      <c r="EWX228" s="1"/>
      <c r="EWY228" s="1"/>
      <c r="EWZ228" s="1"/>
      <c r="EXA228" s="1"/>
      <c r="EXB228" s="1"/>
      <c r="EXC228" s="1"/>
      <c r="EXD228" s="1"/>
      <c r="EXE228" s="1"/>
      <c r="EXF228" s="1"/>
      <c r="EXG228" s="1"/>
      <c r="EXH228" s="1"/>
      <c r="EXI228" s="1"/>
      <c r="EXJ228" s="1"/>
      <c r="EXK228" s="1"/>
      <c r="EXL228" s="1"/>
      <c r="EXM228" s="1"/>
      <c r="EXN228" s="1"/>
      <c r="EXO228" s="1"/>
      <c r="EXP228" s="1"/>
      <c r="EXQ228" s="1"/>
      <c r="EXR228" s="1"/>
      <c r="EXS228" s="1"/>
      <c r="EXT228" s="1"/>
      <c r="EXU228" s="1"/>
      <c r="EXV228" s="1"/>
      <c r="EXW228" s="1"/>
      <c r="EXX228" s="1"/>
      <c r="EXY228" s="1"/>
      <c r="EXZ228" s="1"/>
      <c r="EYA228" s="1"/>
      <c r="EYB228" s="1"/>
      <c r="EYC228" s="1"/>
      <c r="EYD228" s="1"/>
      <c r="EYE228" s="1"/>
      <c r="EYF228" s="1"/>
      <c r="EYG228" s="1"/>
      <c r="EYH228" s="1"/>
      <c r="EYI228" s="1"/>
      <c r="EYJ228" s="1"/>
      <c r="EYK228" s="1"/>
      <c r="EYL228" s="1"/>
      <c r="EYM228" s="1"/>
      <c r="EYN228" s="1"/>
      <c r="EYO228" s="1"/>
      <c r="EYP228" s="1"/>
      <c r="EYQ228" s="1"/>
      <c r="EYR228" s="1"/>
      <c r="EYS228" s="1"/>
      <c r="EYT228" s="1"/>
      <c r="EYU228" s="1"/>
      <c r="EYV228" s="1"/>
      <c r="EYW228" s="1"/>
      <c r="EYX228" s="1"/>
      <c r="EYY228" s="1"/>
      <c r="EYZ228" s="1"/>
      <c r="EZA228" s="1"/>
      <c r="EZB228" s="1"/>
      <c r="EZC228" s="1"/>
      <c r="EZD228" s="1"/>
      <c r="EZE228" s="1"/>
      <c r="EZF228" s="1"/>
      <c r="EZG228" s="1"/>
      <c r="EZH228" s="1"/>
      <c r="EZI228" s="1"/>
      <c r="EZJ228" s="1"/>
      <c r="EZK228" s="1"/>
      <c r="EZL228" s="1"/>
      <c r="EZM228" s="1"/>
      <c r="EZN228" s="1"/>
      <c r="EZO228" s="1"/>
      <c r="EZP228" s="1"/>
      <c r="EZQ228" s="1"/>
      <c r="EZR228" s="1"/>
      <c r="EZS228" s="1"/>
      <c r="EZT228" s="1"/>
      <c r="EZU228" s="1"/>
      <c r="EZV228" s="1"/>
      <c r="EZW228" s="1"/>
      <c r="EZX228" s="1"/>
      <c r="EZY228" s="1"/>
      <c r="EZZ228" s="1"/>
      <c r="FAA228" s="1"/>
      <c r="FAB228" s="1"/>
      <c r="FAC228" s="1"/>
      <c r="FAD228" s="1"/>
      <c r="FAE228" s="1"/>
      <c r="FAF228" s="1"/>
      <c r="FAG228" s="1"/>
      <c r="FAH228" s="1"/>
      <c r="FAI228" s="1"/>
      <c r="FAJ228" s="1"/>
      <c r="FAK228" s="1"/>
      <c r="FAL228" s="1"/>
      <c r="FAM228" s="1"/>
      <c r="FAN228" s="1"/>
      <c r="FAO228" s="1"/>
      <c r="FAP228" s="1"/>
      <c r="FAQ228" s="1"/>
      <c r="FAR228" s="1"/>
      <c r="FAS228" s="1"/>
      <c r="FAT228" s="1"/>
      <c r="FAU228" s="1"/>
      <c r="FAV228" s="1"/>
      <c r="FAW228" s="1"/>
      <c r="FAX228" s="1"/>
      <c r="FAY228" s="1"/>
      <c r="FAZ228" s="1"/>
      <c r="FBA228" s="1"/>
      <c r="FBB228" s="1"/>
      <c r="FBC228" s="1"/>
      <c r="FBD228" s="1"/>
      <c r="FBE228" s="1"/>
      <c r="FBF228" s="1"/>
      <c r="FBG228" s="1"/>
      <c r="FBH228" s="1"/>
      <c r="FBI228" s="1"/>
      <c r="FBJ228" s="1"/>
      <c r="FBK228" s="1"/>
      <c r="FBL228" s="1"/>
      <c r="FBM228" s="1"/>
      <c r="FBN228" s="1"/>
      <c r="FBO228" s="1"/>
      <c r="FBP228" s="1"/>
      <c r="FBQ228" s="1"/>
      <c r="FBR228" s="1"/>
      <c r="FBS228" s="1"/>
      <c r="FBT228" s="1"/>
      <c r="FBU228" s="1"/>
      <c r="FBV228" s="1"/>
      <c r="FBW228" s="1"/>
      <c r="FBX228" s="1"/>
      <c r="FBY228" s="1"/>
      <c r="FBZ228" s="1"/>
      <c r="FCA228" s="1"/>
      <c r="FCB228" s="1"/>
      <c r="FCC228" s="1"/>
      <c r="FCD228" s="1"/>
      <c r="FCE228" s="1"/>
      <c r="FCF228" s="1"/>
      <c r="FCG228" s="1"/>
      <c r="FCH228" s="1"/>
      <c r="FCI228" s="1"/>
      <c r="FCJ228" s="1"/>
      <c r="FCK228" s="1"/>
      <c r="FCL228" s="1"/>
      <c r="FCM228" s="1"/>
      <c r="FCN228" s="1"/>
      <c r="FCO228" s="1"/>
      <c r="FCP228" s="1"/>
      <c r="FCQ228" s="1"/>
      <c r="FCR228" s="1"/>
      <c r="FCS228" s="1"/>
      <c r="FCT228" s="1"/>
      <c r="FCU228" s="1"/>
      <c r="FCV228" s="1"/>
      <c r="FCW228" s="1"/>
      <c r="FCX228" s="1"/>
      <c r="FCY228" s="1"/>
      <c r="FCZ228" s="1"/>
      <c r="FDA228" s="1"/>
      <c r="FDB228" s="1"/>
      <c r="FDC228" s="1"/>
      <c r="FDD228" s="1"/>
      <c r="FDE228" s="1"/>
      <c r="FDF228" s="1"/>
      <c r="FDG228" s="1"/>
      <c r="FDH228" s="1"/>
      <c r="FDI228" s="1"/>
      <c r="FDJ228" s="1"/>
      <c r="FDK228" s="1"/>
      <c r="FDL228" s="1"/>
      <c r="FDM228" s="1"/>
      <c r="FDN228" s="1"/>
      <c r="FDO228" s="1"/>
      <c r="FDP228" s="1"/>
      <c r="FDQ228" s="1"/>
      <c r="FDR228" s="1"/>
      <c r="FDS228" s="1"/>
      <c r="FDT228" s="1"/>
      <c r="FDU228" s="1"/>
      <c r="FDV228" s="1"/>
      <c r="FDW228" s="1"/>
      <c r="FDX228" s="1"/>
      <c r="FDY228" s="1"/>
      <c r="FDZ228" s="1"/>
      <c r="FEA228" s="1"/>
      <c r="FEB228" s="1"/>
      <c r="FEC228" s="1"/>
      <c r="FED228" s="1"/>
      <c r="FEE228" s="1"/>
      <c r="FEF228" s="1"/>
      <c r="FEG228" s="1"/>
      <c r="FEH228" s="1"/>
      <c r="FEI228" s="1"/>
      <c r="FEJ228" s="1"/>
      <c r="FEK228" s="1"/>
      <c r="FEL228" s="1"/>
      <c r="FEM228" s="1"/>
      <c r="FEN228" s="1"/>
      <c r="FEO228" s="1"/>
      <c r="FEP228" s="1"/>
      <c r="FEQ228" s="1"/>
      <c r="FER228" s="1"/>
      <c r="FES228" s="1"/>
      <c r="FET228" s="1"/>
      <c r="FEU228" s="1"/>
      <c r="FEV228" s="1"/>
      <c r="FEW228" s="1"/>
      <c r="FEX228" s="1"/>
      <c r="FEY228" s="1"/>
      <c r="FEZ228" s="1"/>
      <c r="FFA228" s="1"/>
      <c r="FFB228" s="1"/>
      <c r="FFC228" s="1"/>
      <c r="FFD228" s="1"/>
      <c r="FFE228" s="1"/>
      <c r="FFF228" s="1"/>
      <c r="FFG228" s="1"/>
      <c r="FFH228" s="1"/>
      <c r="FFI228" s="1"/>
      <c r="FFJ228" s="1"/>
      <c r="FFK228" s="1"/>
      <c r="FFL228" s="1"/>
      <c r="FFM228" s="1"/>
      <c r="FFN228" s="1"/>
      <c r="FFO228" s="1"/>
      <c r="FFP228" s="1"/>
      <c r="FFQ228" s="1"/>
      <c r="FFR228" s="1"/>
      <c r="FFS228" s="1"/>
      <c r="FFT228" s="1"/>
      <c r="FFU228" s="1"/>
      <c r="FFV228" s="1"/>
      <c r="FFW228" s="1"/>
      <c r="FFX228" s="1"/>
      <c r="FFY228" s="1"/>
      <c r="FFZ228" s="1"/>
      <c r="FGA228" s="1"/>
      <c r="FGB228" s="1"/>
      <c r="FGC228" s="1"/>
      <c r="FGD228" s="1"/>
      <c r="FGE228" s="1"/>
      <c r="FGF228" s="1"/>
      <c r="FGG228" s="1"/>
      <c r="FGH228" s="1"/>
      <c r="FGI228" s="1"/>
      <c r="FGJ228" s="1"/>
      <c r="FGK228" s="1"/>
      <c r="FGL228" s="1"/>
      <c r="FGM228" s="1"/>
      <c r="FGN228" s="1"/>
      <c r="FGO228" s="1"/>
      <c r="FGP228" s="1"/>
      <c r="FGQ228" s="1"/>
      <c r="FGR228" s="1"/>
      <c r="FGS228" s="1"/>
      <c r="FGT228" s="1"/>
      <c r="FGU228" s="1"/>
      <c r="FGV228" s="1"/>
      <c r="FGW228" s="1"/>
      <c r="FGX228" s="1"/>
      <c r="FGY228" s="1"/>
      <c r="FGZ228" s="1"/>
      <c r="FHA228" s="1"/>
      <c r="FHB228" s="1"/>
      <c r="FHC228" s="1"/>
      <c r="FHD228" s="1"/>
      <c r="FHE228" s="1"/>
      <c r="FHF228" s="1"/>
      <c r="FHG228" s="1"/>
      <c r="FHH228" s="1"/>
      <c r="FHI228" s="1"/>
      <c r="FHJ228" s="1"/>
      <c r="FHK228" s="1"/>
      <c r="FHL228" s="1"/>
      <c r="FHM228" s="1"/>
      <c r="FHN228" s="1"/>
      <c r="FHO228" s="1"/>
      <c r="FHP228" s="1"/>
      <c r="FHQ228" s="1"/>
      <c r="FHR228" s="1"/>
      <c r="FHS228" s="1"/>
      <c r="FHT228" s="1"/>
      <c r="FHU228" s="1"/>
      <c r="FHV228" s="1"/>
      <c r="FHW228" s="1"/>
      <c r="FHX228" s="1"/>
      <c r="FHY228" s="1"/>
      <c r="FHZ228" s="1"/>
      <c r="FIA228" s="1"/>
      <c r="FIB228" s="1"/>
      <c r="FIC228" s="1"/>
      <c r="FID228" s="1"/>
      <c r="FIE228" s="1"/>
      <c r="FIF228" s="1"/>
      <c r="FIG228" s="1"/>
      <c r="FIH228" s="1"/>
      <c r="FII228" s="1"/>
      <c r="FIJ228" s="1"/>
      <c r="FIK228" s="1"/>
      <c r="FIL228" s="1"/>
      <c r="FIM228" s="1"/>
      <c r="FIN228" s="1"/>
      <c r="FIO228" s="1"/>
      <c r="FIP228" s="1"/>
      <c r="FIQ228" s="1"/>
      <c r="FIR228" s="1"/>
      <c r="FIS228" s="1"/>
      <c r="FIT228" s="1"/>
      <c r="FIU228" s="1"/>
      <c r="FIV228" s="1"/>
      <c r="FIW228" s="1"/>
      <c r="FIX228" s="1"/>
      <c r="FIY228" s="1"/>
      <c r="FIZ228" s="1"/>
      <c r="FJA228" s="1"/>
      <c r="FJB228" s="1"/>
      <c r="FJC228" s="1"/>
      <c r="FJD228" s="1"/>
      <c r="FJE228" s="1"/>
      <c r="FJF228" s="1"/>
      <c r="FJG228" s="1"/>
      <c r="FJH228" s="1"/>
      <c r="FJI228" s="1"/>
      <c r="FJJ228" s="1"/>
      <c r="FJK228" s="1"/>
      <c r="FJL228" s="1"/>
      <c r="FJM228" s="1"/>
      <c r="FJN228" s="1"/>
      <c r="FJO228" s="1"/>
      <c r="FJP228" s="1"/>
      <c r="FJQ228" s="1"/>
      <c r="FJR228" s="1"/>
      <c r="FJS228" s="1"/>
      <c r="FJT228" s="1"/>
      <c r="FJU228" s="1"/>
      <c r="FJV228" s="1"/>
      <c r="FJW228" s="1"/>
      <c r="FJX228" s="1"/>
      <c r="FJY228" s="1"/>
      <c r="FJZ228" s="1"/>
      <c r="FKA228" s="1"/>
      <c r="FKB228" s="1"/>
      <c r="FKC228" s="1"/>
      <c r="FKD228" s="1"/>
      <c r="FKE228" s="1"/>
      <c r="FKF228" s="1"/>
      <c r="FKG228" s="1"/>
      <c r="FKH228" s="1"/>
      <c r="FKI228" s="1"/>
      <c r="FKJ228" s="1"/>
      <c r="FKK228" s="1"/>
      <c r="FKL228" s="1"/>
      <c r="FKM228" s="1"/>
      <c r="FKN228" s="1"/>
      <c r="FKO228" s="1"/>
      <c r="FKP228" s="1"/>
      <c r="FKQ228" s="1"/>
      <c r="FKR228" s="1"/>
      <c r="FKS228" s="1"/>
      <c r="FKT228" s="1"/>
      <c r="FKU228" s="1"/>
      <c r="FKV228" s="1"/>
      <c r="FKW228" s="1"/>
      <c r="FKX228" s="1"/>
      <c r="FKY228" s="1"/>
      <c r="FKZ228" s="1"/>
      <c r="FLA228" s="1"/>
      <c r="FLB228" s="1"/>
      <c r="FLC228" s="1"/>
      <c r="FLD228" s="1"/>
      <c r="FLE228" s="1"/>
      <c r="FLF228" s="1"/>
      <c r="FLG228" s="1"/>
      <c r="FLH228" s="1"/>
      <c r="FLI228" s="1"/>
      <c r="FLJ228" s="1"/>
      <c r="FLK228" s="1"/>
      <c r="FLL228" s="1"/>
      <c r="FLM228" s="1"/>
      <c r="FLN228" s="1"/>
      <c r="FLO228" s="1"/>
      <c r="FLP228" s="1"/>
      <c r="FLQ228" s="1"/>
      <c r="FLR228" s="1"/>
      <c r="FLS228" s="1"/>
      <c r="FLT228" s="1"/>
      <c r="FLU228" s="1"/>
      <c r="FLV228" s="1"/>
      <c r="FLW228" s="1"/>
      <c r="FLX228" s="1"/>
      <c r="FLY228" s="1"/>
      <c r="FLZ228" s="1"/>
      <c r="FMA228" s="1"/>
      <c r="FMB228" s="1"/>
      <c r="FMC228" s="1"/>
      <c r="FMD228" s="1"/>
      <c r="FME228" s="1"/>
      <c r="FMF228" s="1"/>
      <c r="FMG228" s="1"/>
      <c r="FMH228" s="1"/>
      <c r="FMI228" s="1"/>
      <c r="FMJ228" s="1"/>
      <c r="FMK228" s="1"/>
      <c r="FML228" s="1"/>
      <c r="FMM228" s="1"/>
      <c r="FMN228" s="1"/>
      <c r="FMO228" s="1"/>
      <c r="FMP228" s="1"/>
      <c r="FMQ228" s="1"/>
      <c r="FMR228" s="1"/>
      <c r="FMS228" s="1"/>
      <c r="FMT228" s="1"/>
      <c r="FMU228" s="1"/>
      <c r="FMV228" s="1"/>
      <c r="FMW228" s="1"/>
      <c r="FMX228" s="1"/>
      <c r="FMY228" s="1"/>
      <c r="FMZ228" s="1"/>
      <c r="FNA228" s="1"/>
      <c r="FNB228" s="1"/>
      <c r="FNC228" s="1"/>
      <c r="FND228" s="1"/>
      <c r="FNE228" s="1"/>
      <c r="FNF228" s="1"/>
      <c r="FNG228" s="1"/>
      <c r="FNH228" s="1"/>
      <c r="FNI228" s="1"/>
      <c r="FNJ228" s="1"/>
      <c r="FNK228" s="1"/>
      <c r="FNL228" s="1"/>
      <c r="FNM228" s="1"/>
      <c r="FNN228" s="1"/>
      <c r="FNO228" s="1"/>
      <c r="FNP228" s="1"/>
      <c r="FNQ228" s="1"/>
      <c r="FNR228" s="1"/>
      <c r="FNS228" s="1"/>
      <c r="FNT228" s="1"/>
      <c r="FNU228" s="1"/>
      <c r="FNV228" s="1"/>
      <c r="FNW228" s="1"/>
      <c r="FNX228" s="1"/>
      <c r="FNY228" s="1"/>
      <c r="FNZ228" s="1"/>
      <c r="FOA228" s="1"/>
      <c r="FOB228" s="1"/>
      <c r="FOC228" s="1"/>
      <c r="FOD228" s="1"/>
      <c r="FOE228" s="1"/>
      <c r="FOF228" s="1"/>
      <c r="FOG228" s="1"/>
      <c r="FOH228" s="1"/>
      <c r="FOI228" s="1"/>
      <c r="FOJ228" s="1"/>
      <c r="FOK228" s="1"/>
      <c r="FOL228" s="1"/>
      <c r="FOM228" s="1"/>
      <c r="FON228" s="1"/>
      <c r="FOO228" s="1"/>
      <c r="FOP228" s="1"/>
      <c r="FOQ228" s="1"/>
      <c r="FOR228" s="1"/>
      <c r="FOS228" s="1"/>
      <c r="FOT228" s="1"/>
      <c r="FOU228" s="1"/>
      <c r="FOV228" s="1"/>
      <c r="FOW228" s="1"/>
      <c r="FOX228" s="1"/>
      <c r="FOY228" s="1"/>
      <c r="FOZ228" s="1"/>
      <c r="FPA228" s="1"/>
      <c r="FPB228" s="1"/>
      <c r="FPC228" s="1"/>
      <c r="FPD228" s="1"/>
      <c r="FPE228" s="1"/>
      <c r="FPF228" s="1"/>
      <c r="FPG228" s="1"/>
      <c r="FPH228" s="1"/>
      <c r="FPI228" s="1"/>
      <c r="FPJ228" s="1"/>
      <c r="FPK228" s="1"/>
      <c r="FPL228" s="1"/>
      <c r="FPM228" s="1"/>
      <c r="FPN228" s="1"/>
      <c r="FPO228" s="1"/>
      <c r="FPP228" s="1"/>
      <c r="FPQ228" s="1"/>
      <c r="FPR228" s="1"/>
      <c r="FPS228" s="1"/>
      <c r="FPT228" s="1"/>
      <c r="FPU228" s="1"/>
      <c r="FPV228" s="1"/>
      <c r="FPW228" s="1"/>
      <c r="FPX228" s="1"/>
      <c r="FPY228" s="1"/>
      <c r="FPZ228" s="1"/>
      <c r="FQA228" s="1"/>
      <c r="FQB228" s="1"/>
      <c r="FQC228" s="1"/>
      <c r="FQD228" s="1"/>
      <c r="FQE228" s="1"/>
      <c r="FQF228" s="1"/>
      <c r="FQG228" s="1"/>
      <c r="FQH228" s="1"/>
      <c r="FQI228" s="1"/>
      <c r="FQJ228" s="1"/>
      <c r="FQK228" s="1"/>
      <c r="FQL228" s="1"/>
      <c r="FQM228" s="1"/>
      <c r="FQN228" s="1"/>
      <c r="FQO228" s="1"/>
      <c r="FQP228" s="1"/>
      <c r="FQQ228" s="1"/>
      <c r="FQR228" s="1"/>
      <c r="FQS228" s="1"/>
      <c r="FQT228" s="1"/>
      <c r="FQU228" s="1"/>
      <c r="FQV228" s="1"/>
      <c r="FQW228" s="1"/>
      <c r="FQX228" s="1"/>
      <c r="FQY228" s="1"/>
      <c r="FQZ228" s="1"/>
      <c r="FRA228" s="1"/>
      <c r="FRB228" s="1"/>
      <c r="FRC228" s="1"/>
      <c r="FRD228" s="1"/>
      <c r="FRE228" s="1"/>
      <c r="FRF228" s="1"/>
      <c r="FRG228" s="1"/>
      <c r="FRH228" s="1"/>
      <c r="FRI228" s="1"/>
      <c r="FRJ228" s="1"/>
      <c r="FRK228" s="1"/>
      <c r="FRL228" s="1"/>
      <c r="FRM228" s="1"/>
      <c r="FRN228" s="1"/>
      <c r="FRO228" s="1"/>
      <c r="FRP228" s="1"/>
      <c r="FRQ228" s="1"/>
      <c r="FRR228" s="1"/>
      <c r="FRS228" s="1"/>
      <c r="FRT228" s="1"/>
      <c r="FRU228" s="1"/>
      <c r="FRV228" s="1"/>
      <c r="FRW228" s="1"/>
      <c r="FRX228" s="1"/>
      <c r="FRY228" s="1"/>
      <c r="FRZ228" s="1"/>
      <c r="FSA228" s="1"/>
      <c r="FSB228" s="1"/>
      <c r="FSC228" s="1"/>
      <c r="FSD228" s="1"/>
      <c r="FSE228" s="1"/>
      <c r="FSF228" s="1"/>
      <c r="FSG228" s="1"/>
      <c r="FSH228" s="1"/>
      <c r="FSI228" s="1"/>
      <c r="FSJ228" s="1"/>
      <c r="FSK228" s="1"/>
      <c r="FSL228" s="1"/>
      <c r="FSM228" s="1"/>
      <c r="FSN228" s="1"/>
      <c r="FSO228" s="1"/>
      <c r="FSP228" s="1"/>
      <c r="FSQ228" s="1"/>
      <c r="FSR228" s="1"/>
      <c r="FSS228" s="1"/>
      <c r="FST228" s="1"/>
      <c r="FSU228" s="1"/>
      <c r="FSV228" s="1"/>
      <c r="FSW228" s="1"/>
      <c r="FSX228" s="1"/>
      <c r="FSY228" s="1"/>
      <c r="FSZ228" s="1"/>
      <c r="FTA228" s="1"/>
      <c r="FTB228" s="1"/>
      <c r="FTC228" s="1"/>
      <c r="FTD228" s="1"/>
      <c r="FTE228" s="1"/>
      <c r="FTF228" s="1"/>
      <c r="FTG228" s="1"/>
      <c r="FTH228" s="1"/>
      <c r="FTI228" s="1"/>
      <c r="FTJ228" s="1"/>
      <c r="FTK228" s="1"/>
      <c r="FTL228" s="1"/>
      <c r="FTM228" s="1"/>
      <c r="FTN228" s="1"/>
      <c r="FTO228" s="1"/>
      <c r="FTP228" s="1"/>
      <c r="FTQ228" s="1"/>
      <c r="FTR228" s="1"/>
      <c r="FTS228" s="1"/>
      <c r="FTT228" s="1"/>
      <c r="FTU228" s="1"/>
      <c r="FTV228" s="1"/>
      <c r="FTW228" s="1"/>
      <c r="FTX228" s="1"/>
      <c r="FTY228" s="1"/>
      <c r="FTZ228" s="1"/>
      <c r="FUA228" s="1"/>
      <c r="FUB228" s="1"/>
      <c r="FUC228" s="1"/>
      <c r="FUD228" s="1"/>
      <c r="FUE228" s="1"/>
      <c r="FUF228" s="1"/>
      <c r="FUG228" s="1"/>
      <c r="FUH228" s="1"/>
      <c r="FUI228" s="1"/>
      <c r="FUJ228" s="1"/>
      <c r="FUK228" s="1"/>
      <c r="FUL228" s="1"/>
      <c r="FUM228" s="1"/>
      <c r="FUN228" s="1"/>
      <c r="FUO228" s="1"/>
      <c r="FUP228" s="1"/>
      <c r="FUQ228" s="1"/>
      <c r="FUR228" s="1"/>
      <c r="FUS228" s="1"/>
      <c r="FUT228" s="1"/>
      <c r="FUU228" s="1"/>
      <c r="FUV228" s="1"/>
      <c r="FUW228" s="1"/>
      <c r="FUX228" s="1"/>
      <c r="FUY228" s="1"/>
      <c r="FUZ228" s="1"/>
      <c r="FVA228" s="1"/>
      <c r="FVB228" s="1"/>
      <c r="FVC228" s="1"/>
      <c r="FVD228" s="1"/>
      <c r="FVE228" s="1"/>
      <c r="FVF228" s="1"/>
      <c r="FVG228" s="1"/>
      <c r="FVH228" s="1"/>
      <c r="FVI228" s="1"/>
      <c r="FVJ228" s="1"/>
      <c r="FVK228" s="1"/>
      <c r="FVL228" s="1"/>
      <c r="FVM228" s="1"/>
      <c r="FVN228" s="1"/>
      <c r="FVO228" s="1"/>
      <c r="FVP228" s="1"/>
      <c r="FVQ228" s="1"/>
      <c r="FVR228" s="1"/>
      <c r="FVS228" s="1"/>
      <c r="FVT228" s="1"/>
      <c r="FVU228" s="1"/>
      <c r="FVV228" s="1"/>
      <c r="FVW228" s="1"/>
      <c r="FVX228" s="1"/>
      <c r="FVY228" s="1"/>
      <c r="FVZ228" s="1"/>
      <c r="FWA228" s="1"/>
      <c r="FWB228" s="1"/>
      <c r="FWC228" s="1"/>
      <c r="FWD228" s="1"/>
      <c r="FWE228" s="1"/>
      <c r="FWF228" s="1"/>
      <c r="FWG228" s="1"/>
      <c r="FWH228" s="1"/>
      <c r="FWI228" s="1"/>
      <c r="FWJ228" s="1"/>
      <c r="FWK228" s="1"/>
      <c r="FWL228" s="1"/>
      <c r="FWM228" s="1"/>
      <c r="FWN228" s="1"/>
      <c r="FWO228" s="1"/>
      <c r="FWP228" s="1"/>
      <c r="FWQ228" s="1"/>
      <c r="FWR228" s="1"/>
      <c r="FWS228" s="1"/>
      <c r="FWT228" s="1"/>
      <c r="FWU228" s="1"/>
      <c r="FWV228" s="1"/>
      <c r="FWW228" s="1"/>
      <c r="FWX228" s="1"/>
      <c r="FWY228" s="1"/>
      <c r="FWZ228" s="1"/>
      <c r="FXA228" s="1"/>
      <c r="FXB228" s="1"/>
      <c r="FXC228" s="1"/>
      <c r="FXD228" s="1"/>
      <c r="FXE228" s="1"/>
      <c r="FXF228" s="1"/>
      <c r="FXG228" s="1"/>
      <c r="FXH228" s="1"/>
      <c r="FXI228" s="1"/>
      <c r="FXJ228" s="1"/>
      <c r="FXK228" s="1"/>
      <c r="FXL228" s="1"/>
      <c r="FXM228" s="1"/>
      <c r="FXN228" s="1"/>
      <c r="FXO228" s="1"/>
      <c r="FXP228" s="1"/>
      <c r="FXQ228" s="1"/>
      <c r="FXR228" s="1"/>
      <c r="FXS228" s="1"/>
      <c r="FXT228" s="1"/>
      <c r="FXU228" s="1"/>
      <c r="FXV228" s="1"/>
      <c r="FXW228" s="1"/>
      <c r="FXX228" s="1"/>
      <c r="FXY228" s="1"/>
      <c r="FXZ228" s="1"/>
      <c r="FYA228" s="1"/>
      <c r="FYB228" s="1"/>
      <c r="FYC228" s="1"/>
      <c r="FYD228" s="1"/>
      <c r="FYE228" s="1"/>
      <c r="FYF228" s="1"/>
      <c r="FYG228" s="1"/>
      <c r="FYH228" s="1"/>
      <c r="FYI228" s="1"/>
      <c r="FYJ228" s="1"/>
      <c r="FYK228" s="1"/>
      <c r="FYL228" s="1"/>
      <c r="FYM228" s="1"/>
      <c r="FYN228" s="1"/>
      <c r="FYO228" s="1"/>
      <c r="FYP228" s="1"/>
      <c r="FYQ228" s="1"/>
      <c r="FYR228" s="1"/>
      <c r="FYS228" s="1"/>
      <c r="FYT228" s="1"/>
      <c r="FYU228" s="1"/>
      <c r="FYV228" s="1"/>
      <c r="FYW228" s="1"/>
      <c r="FYX228" s="1"/>
      <c r="FYY228" s="1"/>
      <c r="FYZ228" s="1"/>
      <c r="FZA228" s="1"/>
      <c r="FZB228" s="1"/>
      <c r="FZC228" s="1"/>
      <c r="FZD228" s="1"/>
      <c r="FZE228" s="1"/>
      <c r="FZF228" s="1"/>
      <c r="FZG228" s="1"/>
      <c r="FZH228" s="1"/>
      <c r="FZI228" s="1"/>
      <c r="FZJ228" s="1"/>
      <c r="FZK228" s="1"/>
      <c r="FZL228" s="1"/>
      <c r="FZM228" s="1"/>
      <c r="FZN228" s="1"/>
      <c r="FZO228" s="1"/>
      <c r="FZP228" s="1"/>
      <c r="FZQ228" s="1"/>
      <c r="FZR228" s="1"/>
      <c r="FZS228" s="1"/>
      <c r="FZT228" s="1"/>
      <c r="FZU228" s="1"/>
      <c r="FZV228" s="1"/>
      <c r="FZW228" s="1"/>
      <c r="FZX228" s="1"/>
      <c r="FZY228" s="1"/>
      <c r="FZZ228" s="1"/>
      <c r="GAA228" s="1"/>
      <c r="GAB228" s="1"/>
      <c r="GAC228" s="1"/>
      <c r="GAD228" s="1"/>
      <c r="GAE228" s="1"/>
      <c r="GAF228" s="1"/>
      <c r="GAG228" s="1"/>
      <c r="GAH228" s="1"/>
      <c r="GAI228" s="1"/>
      <c r="GAJ228" s="1"/>
      <c r="GAK228" s="1"/>
      <c r="GAL228" s="1"/>
      <c r="GAM228" s="1"/>
      <c r="GAN228" s="1"/>
      <c r="GAO228" s="1"/>
      <c r="GAP228" s="1"/>
      <c r="GAQ228" s="1"/>
      <c r="GAR228" s="1"/>
      <c r="GAS228" s="1"/>
      <c r="GAT228" s="1"/>
      <c r="GAU228" s="1"/>
      <c r="GAV228" s="1"/>
      <c r="GAW228" s="1"/>
      <c r="GAX228" s="1"/>
      <c r="GAY228" s="1"/>
      <c r="GAZ228" s="1"/>
      <c r="GBA228" s="1"/>
      <c r="GBB228" s="1"/>
      <c r="GBC228" s="1"/>
      <c r="GBD228" s="1"/>
      <c r="GBE228" s="1"/>
      <c r="GBF228" s="1"/>
      <c r="GBG228" s="1"/>
      <c r="GBH228" s="1"/>
      <c r="GBI228" s="1"/>
      <c r="GBJ228" s="1"/>
      <c r="GBK228" s="1"/>
      <c r="GBL228" s="1"/>
      <c r="GBM228" s="1"/>
      <c r="GBN228" s="1"/>
      <c r="GBO228" s="1"/>
      <c r="GBP228" s="1"/>
      <c r="GBQ228" s="1"/>
      <c r="GBR228" s="1"/>
      <c r="GBS228" s="1"/>
      <c r="GBT228" s="1"/>
      <c r="GBU228" s="1"/>
      <c r="GBV228" s="1"/>
      <c r="GBW228" s="1"/>
      <c r="GBX228" s="1"/>
      <c r="GBY228" s="1"/>
      <c r="GBZ228" s="1"/>
      <c r="GCA228" s="1"/>
      <c r="GCB228" s="1"/>
      <c r="GCC228" s="1"/>
      <c r="GCD228" s="1"/>
      <c r="GCE228" s="1"/>
      <c r="GCF228" s="1"/>
      <c r="GCG228" s="1"/>
      <c r="GCH228" s="1"/>
      <c r="GCI228" s="1"/>
      <c r="GCJ228" s="1"/>
      <c r="GCK228" s="1"/>
      <c r="GCL228" s="1"/>
      <c r="GCM228" s="1"/>
      <c r="GCN228" s="1"/>
      <c r="GCO228" s="1"/>
      <c r="GCP228" s="1"/>
      <c r="GCQ228" s="1"/>
      <c r="GCR228" s="1"/>
      <c r="GCS228" s="1"/>
      <c r="GCT228" s="1"/>
      <c r="GCU228" s="1"/>
      <c r="GCV228" s="1"/>
      <c r="GCW228" s="1"/>
      <c r="GCX228" s="1"/>
      <c r="GCY228" s="1"/>
      <c r="GCZ228" s="1"/>
      <c r="GDA228" s="1"/>
      <c r="GDB228" s="1"/>
      <c r="GDC228" s="1"/>
      <c r="GDD228" s="1"/>
      <c r="GDE228" s="1"/>
      <c r="GDF228" s="1"/>
      <c r="GDG228" s="1"/>
      <c r="GDH228" s="1"/>
      <c r="GDI228" s="1"/>
      <c r="GDJ228" s="1"/>
      <c r="GDK228" s="1"/>
      <c r="GDL228" s="1"/>
      <c r="GDM228" s="1"/>
      <c r="GDN228" s="1"/>
      <c r="GDO228" s="1"/>
      <c r="GDP228" s="1"/>
      <c r="GDQ228" s="1"/>
      <c r="GDR228" s="1"/>
      <c r="GDS228" s="1"/>
      <c r="GDT228" s="1"/>
      <c r="GDU228" s="1"/>
      <c r="GDV228" s="1"/>
      <c r="GDW228" s="1"/>
      <c r="GDX228" s="1"/>
      <c r="GDY228" s="1"/>
      <c r="GDZ228" s="1"/>
      <c r="GEA228" s="1"/>
      <c r="GEB228" s="1"/>
      <c r="GEC228" s="1"/>
      <c r="GED228" s="1"/>
      <c r="GEE228" s="1"/>
      <c r="GEF228" s="1"/>
      <c r="GEG228" s="1"/>
      <c r="GEH228" s="1"/>
      <c r="GEI228" s="1"/>
      <c r="GEJ228" s="1"/>
      <c r="GEK228" s="1"/>
      <c r="GEL228" s="1"/>
      <c r="GEM228" s="1"/>
      <c r="GEN228" s="1"/>
      <c r="GEO228" s="1"/>
      <c r="GEP228" s="1"/>
      <c r="GEQ228" s="1"/>
      <c r="GER228" s="1"/>
      <c r="GES228" s="1"/>
      <c r="GET228" s="1"/>
      <c r="GEU228" s="1"/>
      <c r="GEV228" s="1"/>
      <c r="GEW228" s="1"/>
      <c r="GEX228" s="1"/>
      <c r="GEY228" s="1"/>
      <c r="GEZ228" s="1"/>
      <c r="GFA228" s="1"/>
      <c r="GFB228" s="1"/>
      <c r="GFC228" s="1"/>
      <c r="GFD228" s="1"/>
      <c r="GFE228" s="1"/>
      <c r="GFF228" s="1"/>
      <c r="GFG228" s="1"/>
      <c r="GFH228" s="1"/>
      <c r="GFI228" s="1"/>
      <c r="GFJ228" s="1"/>
      <c r="GFK228" s="1"/>
      <c r="GFL228" s="1"/>
      <c r="GFM228" s="1"/>
      <c r="GFN228" s="1"/>
      <c r="GFO228" s="1"/>
      <c r="GFP228" s="1"/>
      <c r="GFQ228" s="1"/>
      <c r="GFR228" s="1"/>
      <c r="GFS228" s="1"/>
      <c r="GFT228" s="1"/>
      <c r="GFU228" s="1"/>
      <c r="GFV228" s="1"/>
      <c r="GFW228" s="1"/>
      <c r="GFX228" s="1"/>
      <c r="GFY228" s="1"/>
      <c r="GFZ228" s="1"/>
      <c r="GGA228" s="1"/>
      <c r="GGB228" s="1"/>
      <c r="GGC228" s="1"/>
      <c r="GGD228" s="1"/>
      <c r="GGE228" s="1"/>
      <c r="GGF228" s="1"/>
      <c r="GGG228" s="1"/>
      <c r="GGH228" s="1"/>
      <c r="GGI228" s="1"/>
      <c r="GGJ228" s="1"/>
      <c r="GGK228" s="1"/>
      <c r="GGL228" s="1"/>
      <c r="GGM228" s="1"/>
      <c r="GGN228" s="1"/>
      <c r="GGO228" s="1"/>
      <c r="GGP228" s="1"/>
      <c r="GGQ228" s="1"/>
      <c r="GGR228" s="1"/>
      <c r="GGS228" s="1"/>
      <c r="GGT228" s="1"/>
      <c r="GGU228" s="1"/>
      <c r="GGV228" s="1"/>
      <c r="GGW228" s="1"/>
      <c r="GGX228" s="1"/>
      <c r="GGY228" s="1"/>
      <c r="GGZ228" s="1"/>
      <c r="GHA228" s="1"/>
      <c r="GHB228" s="1"/>
      <c r="GHC228" s="1"/>
      <c r="GHD228" s="1"/>
      <c r="GHE228" s="1"/>
      <c r="GHF228" s="1"/>
      <c r="GHG228" s="1"/>
      <c r="GHH228" s="1"/>
      <c r="GHI228" s="1"/>
      <c r="GHJ228" s="1"/>
      <c r="GHK228" s="1"/>
      <c r="GHL228" s="1"/>
      <c r="GHM228" s="1"/>
      <c r="GHN228" s="1"/>
      <c r="GHO228" s="1"/>
      <c r="GHP228" s="1"/>
      <c r="GHQ228" s="1"/>
      <c r="GHR228" s="1"/>
      <c r="GHS228" s="1"/>
      <c r="GHT228" s="1"/>
      <c r="GHU228" s="1"/>
      <c r="GHV228" s="1"/>
      <c r="GHW228" s="1"/>
      <c r="GHX228" s="1"/>
      <c r="GHY228" s="1"/>
      <c r="GHZ228" s="1"/>
      <c r="GIA228" s="1"/>
      <c r="GIB228" s="1"/>
      <c r="GIC228" s="1"/>
      <c r="GID228" s="1"/>
      <c r="GIE228" s="1"/>
      <c r="GIF228" s="1"/>
      <c r="GIG228" s="1"/>
      <c r="GIH228" s="1"/>
      <c r="GII228" s="1"/>
      <c r="GIJ228" s="1"/>
      <c r="GIK228" s="1"/>
      <c r="GIL228" s="1"/>
      <c r="GIM228" s="1"/>
      <c r="GIN228" s="1"/>
      <c r="GIO228" s="1"/>
      <c r="GIP228" s="1"/>
      <c r="GIQ228" s="1"/>
      <c r="GIR228" s="1"/>
      <c r="GIS228" s="1"/>
      <c r="GIT228" s="1"/>
      <c r="GIU228" s="1"/>
      <c r="GIV228" s="1"/>
      <c r="GIW228" s="1"/>
      <c r="GIX228" s="1"/>
      <c r="GIY228" s="1"/>
      <c r="GIZ228" s="1"/>
      <c r="GJA228" s="1"/>
      <c r="GJB228" s="1"/>
      <c r="GJC228" s="1"/>
      <c r="GJD228" s="1"/>
      <c r="GJE228" s="1"/>
      <c r="GJF228" s="1"/>
      <c r="GJG228" s="1"/>
      <c r="GJH228" s="1"/>
      <c r="GJI228" s="1"/>
      <c r="GJJ228" s="1"/>
      <c r="GJK228" s="1"/>
      <c r="GJL228" s="1"/>
      <c r="GJM228" s="1"/>
      <c r="GJN228" s="1"/>
      <c r="GJO228" s="1"/>
      <c r="GJP228" s="1"/>
      <c r="GJQ228" s="1"/>
      <c r="GJR228" s="1"/>
      <c r="GJS228" s="1"/>
      <c r="GJT228" s="1"/>
      <c r="GJU228" s="1"/>
      <c r="GJV228" s="1"/>
      <c r="GJW228" s="1"/>
      <c r="GJX228" s="1"/>
      <c r="GJY228" s="1"/>
      <c r="GJZ228" s="1"/>
      <c r="GKA228" s="1"/>
      <c r="GKB228" s="1"/>
      <c r="GKC228" s="1"/>
      <c r="GKD228" s="1"/>
      <c r="GKE228" s="1"/>
      <c r="GKF228" s="1"/>
      <c r="GKG228" s="1"/>
      <c r="GKH228" s="1"/>
      <c r="GKI228" s="1"/>
      <c r="GKJ228" s="1"/>
      <c r="GKK228" s="1"/>
      <c r="GKL228" s="1"/>
      <c r="GKM228" s="1"/>
      <c r="GKN228" s="1"/>
      <c r="GKO228" s="1"/>
      <c r="GKP228" s="1"/>
      <c r="GKQ228" s="1"/>
      <c r="GKR228" s="1"/>
      <c r="GKS228" s="1"/>
      <c r="GKT228" s="1"/>
      <c r="GKU228" s="1"/>
      <c r="GKV228" s="1"/>
      <c r="GKW228" s="1"/>
      <c r="GKX228" s="1"/>
      <c r="GKY228" s="1"/>
      <c r="GKZ228" s="1"/>
      <c r="GLA228" s="1"/>
      <c r="GLB228" s="1"/>
      <c r="GLC228" s="1"/>
      <c r="GLD228" s="1"/>
      <c r="GLE228" s="1"/>
      <c r="GLF228" s="1"/>
      <c r="GLG228" s="1"/>
      <c r="GLH228" s="1"/>
      <c r="GLI228" s="1"/>
      <c r="GLJ228" s="1"/>
      <c r="GLK228" s="1"/>
      <c r="GLL228" s="1"/>
      <c r="GLM228" s="1"/>
      <c r="GLN228" s="1"/>
      <c r="GLO228" s="1"/>
      <c r="GLP228" s="1"/>
      <c r="GLQ228" s="1"/>
      <c r="GLR228" s="1"/>
      <c r="GLS228" s="1"/>
      <c r="GLT228" s="1"/>
      <c r="GLU228" s="1"/>
      <c r="GLV228" s="1"/>
      <c r="GLW228" s="1"/>
      <c r="GLX228" s="1"/>
      <c r="GLY228" s="1"/>
      <c r="GLZ228" s="1"/>
      <c r="GMA228" s="1"/>
      <c r="GMB228" s="1"/>
      <c r="GMC228" s="1"/>
      <c r="GMD228" s="1"/>
      <c r="GME228" s="1"/>
      <c r="GMF228" s="1"/>
      <c r="GMG228" s="1"/>
      <c r="GMH228" s="1"/>
      <c r="GMI228" s="1"/>
      <c r="GMJ228" s="1"/>
      <c r="GMK228" s="1"/>
      <c r="GML228" s="1"/>
      <c r="GMM228" s="1"/>
      <c r="GMN228" s="1"/>
      <c r="GMO228" s="1"/>
      <c r="GMP228" s="1"/>
      <c r="GMQ228" s="1"/>
      <c r="GMR228" s="1"/>
      <c r="GMS228" s="1"/>
      <c r="GMT228" s="1"/>
      <c r="GMU228" s="1"/>
      <c r="GMV228" s="1"/>
      <c r="GMW228" s="1"/>
      <c r="GMX228" s="1"/>
      <c r="GMY228" s="1"/>
      <c r="GMZ228" s="1"/>
      <c r="GNA228" s="1"/>
      <c r="GNB228" s="1"/>
      <c r="GNC228" s="1"/>
      <c r="GND228" s="1"/>
      <c r="GNE228" s="1"/>
      <c r="GNF228" s="1"/>
      <c r="GNG228" s="1"/>
      <c r="GNH228" s="1"/>
      <c r="GNI228" s="1"/>
      <c r="GNJ228" s="1"/>
      <c r="GNK228" s="1"/>
      <c r="GNL228" s="1"/>
      <c r="GNM228" s="1"/>
      <c r="GNN228" s="1"/>
      <c r="GNO228" s="1"/>
      <c r="GNP228" s="1"/>
      <c r="GNQ228" s="1"/>
      <c r="GNR228" s="1"/>
      <c r="GNS228" s="1"/>
      <c r="GNT228" s="1"/>
      <c r="GNU228" s="1"/>
      <c r="GNV228" s="1"/>
      <c r="GNW228" s="1"/>
      <c r="GNX228" s="1"/>
      <c r="GNY228" s="1"/>
      <c r="GNZ228" s="1"/>
      <c r="GOA228" s="1"/>
      <c r="GOB228" s="1"/>
      <c r="GOC228" s="1"/>
      <c r="GOD228" s="1"/>
      <c r="GOE228" s="1"/>
      <c r="GOF228" s="1"/>
      <c r="GOG228" s="1"/>
      <c r="GOH228" s="1"/>
      <c r="GOI228" s="1"/>
      <c r="GOJ228" s="1"/>
      <c r="GOK228" s="1"/>
      <c r="GOL228" s="1"/>
      <c r="GOM228" s="1"/>
      <c r="GON228" s="1"/>
      <c r="GOO228" s="1"/>
      <c r="GOP228" s="1"/>
      <c r="GOQ228" s="1"/>
      <c r="GOR228" s="1"/>
      <c r="GOS228" s="1"/>
      <c r="GOT228" s="1"/>
      <c r="GOU228" s="1"/>
      <c r="GOV228" s="1"/>
      <c r="GOW228" s="1"/>
      <c r="GOX228" s="1"/>
      <c r="GOY228" s="1"/>
      <c r="GOZ228" s="1"/>
      <c r="GPA228" s="1"/>
      <c r="GPB228" s="1"/>
      <c r="GPC228" s="1"/>
      <c r="GPD228" s="1"/>
      <c r="GPE228" s="1"/>
      <c r="GPF228" s="1"/>
      <c r="GPG228" s="1"/>
      <c r="GPH228" s="1"/>
      <c r="GPI228" s="1"/>
      <c r="GPJ228" s="1"/>
      <c r="GPK228" s="1"/>
      <c r="GPL228" s="1"/>
      <c r="GPM228" s="1"/>
      <c r="GPN228" s="1"/>
      <c r="GPO228" s="1"/>
      <c r="GPP228" s="1"/>
      <c r="GPQ228" s="1"/>
      <c r="GPR228" s="1"/>
      <c r="GPS228" s="1"/>
      <c r="GPT228" s="1"/>
      <c r="GPU228" s="1"/>
      <c r="GPV228" s="1"/>
      <c r="GPW228" s="1"/>
      <c r="GPX228" s="1"/>
      <c r="GPY228" s="1"/>
      <c r="GPZ228" s="1"/>
      <c r="GQA228" s="1"/>
      <c r="GQB228" s="1"/>
      <c r="GQC228" s="1"/>
      <c r="GQD228" s="1"/>
      <c r="GQE228" s="1"/>
      <c r="GQF228" s="1"/>
      <c r="GQG228" s="1"/>
      <c r="GQH228" s="1"/>
      <c r="GQI228" s="1"/>
      <c r="GQJ228" s="1"/>
      <c r="GQK228" s="1"/>
      <c r="GQL228" s="1"/>
      <c r="GQM228" s="1"/>
      <c r="GQN228" s="1"/>
      <c r="GQO228" s="1"/>
      <c r="GQP228" s="1"/>
      <c r="GQQ228" s="1"/>
      <c r="GQR228" s="1"/>
      <c r="GQS228" s="1"/>
      <c r="GQT228" s="1"/>
      <c r="GQU228" s="1"/>
      <c r="GQV228" s="1"/>
      <c r="GQW228" s="1"/>
      <c r="GQX228" s="1"/>
      <c r="GQY228" s="1"/>
      <c r="GQZ228" s="1"/>
      <c r="GRA228" s="1"/>
      <c r="GRB228" s="1"/>
      <c r="GRC228" s="1"/>
      <c r="GRD228" s="1"/>
      <c r="GRE228" s="1"/>
      <c r="GRF228" s="1"/>
      <c r="GRG228" s="1"/>
      <c r="GRH228" s="1"/>
      <c r="GRI228" s="1"/>
      <c r="GRJ228" s="1"/>
      <c r="GRK228" s="1"/>
      <c r="GRL228" s="1"/>
      <c r="GRM228" s="1"/>
      <c r="GRN228" s="1"/>
      <c r="GRO228" s="1"/>
      <c r="GRP228" s="1"/>
      <c r="GRQ228" s="1"/>
      <c r="GRR228" s="1"/>
      <c r="GRS228" s="1"/>
      <c r="GRT228" s="1"/>
      <c r="GRU228" s="1"/>
      <c r="GRV228" s="1"/>
      <c r="GRW228" s="1"/>
      <c r="GRX228" s="1"/>
      <c r="GRY228" s="1"/>
      <c r="GRZ228" s="1"/>
      <c r="GSA228" s="1"/>
      <c r="GSB228" s="1"/>
      <c r="GSC228" s="1"/>
      <c r="GSD228" s="1"/>
      <c r="GSE228" s="1"/>
      <c r="GSF228" s="1"/>
      <c r="GSG228" s="1"/>
      <c r="GSH228" s="1"/>
      <c r="GSI228" s="1"/>
      <c r="GSJ228" s="1"/>
      <c r="GSK228" s="1"/>
      <c r="GSL228" s="1"/>
      <c r="GSM228" s="1"/>
      <c r="GSN228" s="1"/>
      <c r="GSO228" s="1"/>
      <c r="GSP228" s="1"/>
      <c r="GSQ228" s="1"/>
      <c r="GSR228" s="1"/>
      <c r="GSS228" s="1"/>
      <c r="GST228" s="1"/>
      <c r="GSU228" s="1"/>
      <c r="GSV228" s="1"/>
      <c r="GSW228" s="1"/>
      <c r="GSX228" s="1"/>
      <c r="GSY228" s="1"/>
      <c r="GSZ228" s="1"/>
      <c r="GTA228" s="1"/>
      <c r="GTB228" s="1"/>
      <c r="GTC228" s="1"/>
      <c r="GTD228" s="1"/>
      <c r="GTE228" s="1"/>
      <c r="GTF228" s="1"/>
      <c r="GTG228" s="1"/>
      <c r="GTH228" s="1"/>
      <c r="GTI228" s="1"/>
      <c r="GTJ228" s="1"/>
      <c r="GTK228" s="1"/>
      <c r="GTL228" s="1"/>
      <c r="GTM228" s="1"/>
      <c r="GTN228" s="1"/>
      <c r="GTO228" s="1"/>
      <c r="GTP228" s="1"/>
      <c r="GTQ228" s="1"/>
      <c r="GTR228" s="1"/>
      <c r="GTS228" s="1"/>
      <c r="GTT228" s="1"/>
      <c r="GTU228" s="1"/>
      <c r="GTV228" s="1"/>
      <c r="GTW228" s="1"/>
      <c r="GTX228" s="1"/>
      <c r="GTY228" s="1"/>
      <c r="GTZ228" s="1"/>
      <c r="GUA228" s="1"/>
      <c r="GUB228" s="1"/>
      <c r="GUC228" s="1"/>
      <c r="GUD228" s="1"/>
      <c r="GUE228" s="1"/>
      <c r="GUF228" s="1"/>
      <c r="GUG228" s="1"/>
      <c r="GUH228" s="1"/>
      <c r="GUI228" s="1"/>
      <c r="GUJ228" s="1"/>
      <c r="GUK228" s="1"/>
      <c r="GUL228" s="1"/>
      <c r="GUM228" s="1"/>
      <c r="GUN228" s="1"/>
      <c r="GUO228" s="1"/>
      <c r="GUP228" s="1"/>
      <c r="GUQ228" s="1"/>
      <c r="GUR228" s="1"/>
      <c r="GUS228" s="1"/>
      <c r="GUT228" s="1"/>
      <c r="GUU228" s="1"/>
      <c r="GUV228" s="1"/>
      <c r="GUW228" s="1"/>
      <c r="GUX228" s="1"/>
      <c r="GUY228" s="1"/>
      <c r="GUZ228" s="1"/>
      <c r="GVA228" s="1"/>
      <c r="GVB228" s="1"/>
      <c r="GVC228" s="1"/>
      <c r="GVD228" s="1"/>
      <c r="GVE228" s="1"/>
      <c r="GVF228" s="1"/>
      <c r="GVG228" s="1"/>
      <c r="GVH228" s="1"/>
      <c r="GVI228" s="1"/>
      <c r="GVJ228" s="1"/>
      <c r="GVK228" s="1"/>
      <c r="GVL228" s="1"/>
      <c r="GVM228" s="1"/>
      <c r="GVN228" s="1"/>
      <c r="GVO228" s="1"/>
      <c r="GVP228" s="1"/>
      <c r="GVQ228" s="1"/>
      <c r="GVR228" s="1"/>
      <c r="GVS228" s="1"/>
      <c r="GVT228" s="1"/>
      <c r="GVU228" s="1"/>
      <c r="GVV228" s="1"/>
      <c r="GVW228" s="1"/>
      <c r="GVX228" s="1"/>
      <c r="GVY228" s="1"/>
      <c r="GVZ228" s="1"/>
      <c r="GWA228" s="1"/>
      <c r="GWB228" s="1"/>
      <c r="GWC228" s="1"/>
      <c r="GWD228" s="1"/>
      <c r="GWE228" s="1"/>
      <c r="GWF228" s="1"/>
      <c r="GWG228" s="1"/>
      <c r="GWH228" s="1"/>
      <c r="GWI228" s="1"/>
      <c r="GWJ228" s="1"/>
      <c r="GWK228" s="1"/>
      <c r="GWL228" s="1"/>
      <c r="GWM228" s="1"/>
      <c r="GWN228" s="1"/>
      <c r="GWO228" s="1"/>
      <c r="GWP228" s="1"/>
      <c r="GWQ228" s="1"/>
      <c r="GWR228" s="1"/>
      <c r="GWS228" s="1"/>
      <c r="GWT228" s="1"/>
      <c r="GWU228" s="1"/>
      <c r="GWV228" s="1"/>
      <c r="GWW228" s="1"/>
      <c r="GWX228" s="1"/>
      <c r="GWY228" s="1"/>
      <c r="GWZ228" s="1"/>
      <c r="GXA228" s="1"/>
      <c r="GXB228" s="1"/>
      <c r="GXC228" s="1"/>
      <c r="GXD228" s="1"/>
      <c r="GXE228" s="1"/>
      <c r="GXF228" s="1"/>
      <c r="GXG228" s="1"/>
      <c r="GXH228" s="1"/>
      <c r="GXI228" s="1"/>
      <c r="GXJ228" s="1"/>
      <c r="GXK228" s="1"/>
      <c r="GXL228" s="1"/>
      <c r="GXM228" s="1"/>
      <c r="GXN228" s="1"/>
      <c r="GXO228" s="1"/>
      <c r="GXP228" s="1"/>
      <c r="GXQ228" s="1"/>
      <c r="GXR228" s="1"/>
      <c r="GXS228" s="1"/>
      <c r="GXT228" s="1"/>
      <c r="GXU228" s="1"/>
      <c r="GXV228" s="1"/>
      <c r="GXW228" s="1"/>
      <c r="GXX228" s="1"/>
      <c r="GXY228" s="1"/>
      <c r="GXZ228" s="1"/>
      <c r="GYA228" s="1"/>
      <c r="GYB228" s="1"/>
      <c r="GYC228" s="1"/>
      <c r="GYD228" s="1"/>
      <c r="GYE228" s="1"/>
      <c r="GYF228" s="1"/>
      <c r="GYG228" s="1"/>
      <c r="GYH228" s="1"/>
      <c r="GYI228" s="1"/>
      <c r="GYJ228" s="1"/>
      <c r="GYK228" s="1"/>
      <c r="GYL228" s="1"/>
      <c r="GYM228" s="1"/>
      <c r="GYN228" s="1"/>
      <c r="GYO228" s="1"/>
      <c r="GYP228" s="1"/>
      <c r="GYQ228" s="1"/>
      <c r="GYR228" s="1"/>
      <c r="GYS228" s="1"/>
      <c r="GYT228" s="1"/>
      <c r="GYU228" s="1"/>
      <c r="GYV228" s="1"/>
      <c r="GYW228" s="1"/>
      <c r="GYX228" s="1"/>
      <c r="GYY228" s="1"/>
      <c r="GYZ228" s="1"/>
      <c r="GZA228" s="1"/>
      <c r="GZB228" s="1"/>
      <c r="GZC228" s="1"/>
      <c r="GZD228" s="1"/>
      <c r="GZE228" s="1"/>
      <c r="GZF228" s="1"/>
      <c r="GZG228" s="1"/>
      <c r="GZH228" s="1"/>
      <c r="GZI228" s="1"/>
      <c r="GZJ228" s="1"/>
      <c r="GZK228" s="1"/>
      <c r="GZL228" s="1"/>
      <c r="GZM228" s="1"/>
      <c r="GZN228" s="1"/>
      <c r="GZO228" s="1"/>
      <c r="GZP228" s="1"/>
      <c r="GZQ228" s="1"/>
      <c r="GZR228" s="1"/>
      <c r="GZS228" s="1"/>
      <c r="GZT228" s="1"/>
      <c r="GZU228" s="1"/>
      <c r="GZV228" s="1"/>
      <c r="GZW228" s="1"/>
      <c r="GZX228" s="1"/>
      <c r="GZY228" s="1"/>
      <c r="GZZ228" s="1"/>
      <c r="HAA228" s="1"/>
      <c r="HAB228" s="1"/>
      <c r="HAC228" s="1"/>
      <c r="HAD228" s="1"/>
      <c r="HAE228" s="1"/>
      <c r="HAF228" s="1"/>
      <c r="HAG228" s="1"/>
      <c r="HAH228" s="1"/>
      <c r="HAI228" s="1"/>
      <c r="HAJ228" s="1"/>
      <c r="HAK228" s="1"/>
      <c r="HAL228" s="1"/>
      <c r="HAM228" s="1"/>
      <c r="HAN228" s="1"/>
      <c r="HAO228" s="1"/>
      <c r="HAP228" s="1"/>
      <c r="HAQ228" s="1"/>
      <c r="HAR228" s="1"/>
      <c r="HAS228" s="1"/>
      <c r="HAT228" s="1"/>
      <c r="HAU228" s="1"/>
      <c r="HAV228" s="1"/>
      <c r="HAW228" s="1"/>
      <c r="HAX228" s="1"/>
      <c r="HAY228" s="1"/>
      <c r="HAZ228" s="1"/>
      <c r="HBA228" s="1"/>
      <c r="HBB228" s="1"/>
      <c r="HBC228" s="1"/>
      <c r="HBD228" s="1"/>
      <c r="HBE228" s="1"/>
      <c r="HBF228" s="1"/>
      <c r="HBG228" s="1"/>
      <c r="HBH228" s="1"/>
      <c r="HBI228" s="1"/>
      <c r="HBJ228" s="1"/>
      <c r="HBK228" s="1"/>
      <c r="HBL228" s="1"/>
      <c r="HBM228" s="1"/>
      <c r="HBN228" s="1"/>
      <c r="HBO228" s="1"/>
      <c r="HBP228" s="1"/>
      <c r="HBQ228" s="1"/>
      <c r="HBR228" s="1"/>
      <c r="HBS228" s="1"/>
      <c r="HBT228" s="1"/>
      <c r="HBU228" s="1"/>
      <c r="HBV228" s="1"/>
      <c r="HBW228" s="1"/>
      <c r="HBX228" s="1"/>
      <c r="HBY228" s="1"/>
      <c r="HBZ228" s="1"/>
      <c r="HCA228" s="1"/>
      <c r="HCB228" s="1"/>
      <c r="HCC228" s="1"/>
      <c r="HCD228" s="1"/>
      <c r="HCE228" s="1"/>
      <c r="HCF228" s="1"/>
      <c r="HCG228" s="1"/>
      <c r="HCH228" s="1"/>
      <c r="HCI228" s="1"/>
      <c r="HCJ228" s="1"/>
      <c r="HCK228" s="1"/>
      <c r="HCL228" s="1"/>
      <c r="HCM228" s="1"/>
      <c r="HCN228" s="1"/>
      <c r="HCO228" s="1"/>
      <c r="HCP228" s="1"/>
      <c r="HCQ228" s="1"/>
      <c r="HCR228" s="1"/>
      <c r="HCS228" s="1"/>
      <c r="HCT228" s="1"/>
      <c r="HCU228" s="1"/>
      <c r="HCV228" s="1"/>
      <c r="HCW228" s="1"/>
      <c r="HCX228" s="1"/>
      <c r="HCY228" s="1"/>
      <c r="HCZ228" s="1"/>
      <c r="HDA228" s="1"/>
      <c r="HDB228" s="1"/>
      <c r="HDC228" s="1"/>
      <c r="HDD228" s="1"/>
      <c r="HDE228" s="1"/>
      <c r="HDF228" s="1"/>
      <c r="HDG228" s="1"/>
      <c r="HDH228" s="1"/>
      <c r="HDI228" s="1"/>
      <c r="HDJ228" s="1"/>
      <c r="HDK228" s="1"/>
      <c r="HDL228" s="1"/>
      <c r="HDM228" s="1"/>
      <c r="HDN228" s="1"/>
      <c r="HDO228" s="1"/>
      <c r="HDP228" s="1"/>
      <c r="HDQ228" s="1"/>
      <c r="HDR228" s="1"/>
      <c r="HDS228" s="1"/>
      <c r="HDT228" s="1"/>
      <c r="HDU228" s="1"/>
      <c r="HDV228" s="1"/>
      <c r="HDW228" s="1"/>
      <c r="HDX228" s="1"/>
      <c r="HDY228" s="1"/>
      <c r="HDZ228" s="1"/>
      <c r="HEA228" s="1"/>
      <c r="HEB228" s="1"/>
      <c r="HEC228" s="1"/>
      <c r="HED228" s="1"/>
      <c r="HEE228" s="1"/>
      <c r="HEF228" s="1"/>
      <c r="HEG228" s="1"/>
      <c r="HEH228" s="1"/>
      <c r="HEI228" s="1"/>
      <c r="HEJ228" s="1"/>
      <c r="HEK228" s="1"/>
      <c r="HEL228" s="1"/>
      <c r="HEM228" s="1"/>
      <c r="HEN228" s="1"/>
      <c r="HEO228" s="1"/>
      <c r="HEP228" s="1"/>
      <c r="HEQ228" s="1"/>
      <c r="HER228" s="1"/>
      <c r="HES228" s="1"/>
      <c r="HET228" s="1"/>
      <c r="HEU228" s="1"/>
      <c r="HEV228" s="1"/>
      <c r="HEW228" s="1"/>
      <c r="HEX228" s="1"/>
      <c r="HEY228" s="1"/>
      <c r="HEZ228" s="1"/>
      <c r="HFA228" s="1"/>
      <c r="HFB228" s="1"/>
      <c r="HFC228" s="1"/>
      <c r="HFD228" s="1"/>
      <c r="HFE228" s="1"/>
      <c r="HFF228" s="1"/>
      <c r="HFG228" s="1"/>
      <c r="HFH228" s="1"/>
      <c r="HFI228" s="1"/>
      <c r="HFJ228" s="1"/>
      <c r="HFK228" s="1"/>
      <c r="HFL228" s="1"/>
      <c r="HFM228" s="1"/>
      <c r="HFN228" s="1"/>
      <c r="HFO228" s="1"/>
      <c r="HFP228" s="1"/>
      <c r="HFQ228" s="1"/>
      <c r="HFR228" s="1"/>
      <c r="HFS228" s="1"/>
      <c r="HFT228" s="1"/>
      <c r="HFU228" s="1"/>
      <c r="HFV228" s="1"/>
      <c r="HFW228" s="1"/>
      <c r="HFX228" s="1"/>
      <c r="HFY228" s="1"/>
      <c r="HFZ228" s="1"/>
      <c r="HGA228" s="1"/>
      <c r="HGB228" s="1"/>
      <c r="HGC228" s="1"/>
      <c r="HGD228" s="1"/>
      <c r="HGE228" s="1"/>
      <c r="HGF228" s="1"/>
      <c r="HGG228" s="1"/>
      <c r="HGH228" s="1"/>
      <c r="HGI228" s="1"/>
      <c r="HGJ228" s="1"/>
      <c r="HGK228" s="1"/>
      <c r="HGL228" s="1"/>
      <c r="HGM228" s="1"/>
      <c r="HGN228" s="1"/>
      <c r="HGO228" s="1"/>
      <c r="HGP228" s="1"/>
      <c r="HGQ228" s="1"/>
      <c r="HGR228" s="1"/>
      <c r="HGS228" s="1"/>
      <c r="HGT228" s="1"/>
      <c r="HGU228" s="1"/>
      <c r="HGV228" s="1"/>
      <c r="HGW228" s="1"/>
      <c r="HGX228" s="1"/>
      <c r="HGY228" s="1"/>
      <c r="HGZ228" s="1"/>
      <c r="HHA228" s="1"/>
      <c r="HHB228" s="1"/>
      <c r="HHC228" s="1"/>
      <c r="HHD228" s="1"/>
      <c r="HHE228" s="1"/>
      <c r="HHF228" s="1"/>
      <c r="HHG228" s="1"/>
      <c r="HHH228" s="1"/>
      <c r="HHI228" s="1"/>
      <c r="HHJ228" s="1"/>
      <c r="HHK228" s="1"/>
      <c r="HHL228" s="1"/>
      <c r="HHM228" s="1"/>
      <c r="HHN228" s="1"/>
      <c r="HHO228" s="1"/>
      <c r="HHP228" s="1"/>
      <c r="HHQ228" s="1"/>
      <c r="HHR228" s="1"/>
      <c r="HHS228" s="1"/>
      <c r="HHT228" s="1"/>
      <c r="HHU228" s="1"/>
      <c r="HHV228" s="1"/>
      <c r="HHW228" s="1"/>
      <c r="HHX228" s="1"/>
      <c r="HHY228" s="1"/>
      <c r="HHZ228" s="1"/>
      <c r="HIA228" s="1"/>
      <c r="HIB228" s="1"/>
      <c r="HIC228" s="1"/>
      <c r="HID228" s="1"/>
      <c r="HIE228" s="1"/>
      <c r="HIF228" s="1"/>
      <c r="HIG228" s="1"/>
      <c r="HIH228" s="1"/>
      <c r="HII228" s="1"/>
      <c r="HIJ228" s="1"/>
      <c r="HIK228" s="1"/>
      <c r="HIL228" s="1"/>
      <c r="HIM228" s="1"/>
      <c r="HIN228" s="1"/>
      <c r="HIO228" s="1"/>
      <c r="HIP228" s="1"/>
      <c r="HIQ228" s="1"/>
      <c r="HIR228" s="1"/>
      <c r="HIS228" s="1"/>
      <c r="HIT228" s="1"/>
      <c r="HIU228" s="1"/>
      <c r="HIV228" s="1"/>
      <c r="HIW228" s="1"/>
      <c r="HIX228" s="1"/>
      <c r="HIY228" s="1"/>
      <c r="HIZ228" s="1"/>
      <c r="HJA228" s="1"/>
      <c r="HJB228" s="1"/>
      <c r="HJC228" s="1"/>
      <c r="HJD228" s="1"/>
      <c r="HJE228" s="1"/>
      <c r="HJF228" s="1"/>
      <c r="HJG228" s="1"/>
      <c r="HJH228" s="1"/>
      <c r="HJI228" s="1"/>
      <c r="HJJ228" s="1"/>
      <c r="HJK228" s="1"/>
      <c r="HJL228" s="1"/>
      <c r="HJM228" s="1"/>
      <c r="HJN228" s="1"/>
      <c r="HJO228" s="1"/>
      <c r="HJP228" s="1"/>
      <c r="HJQ228" s="1"/>
      <c r="HJR228" s="1"/>
      <c r="HJS228" s="1"/>
      <c r="HJT228" s="1"/>
      <c r="HJU228" s="1"/>
      <c r="HJV228" s="1"/>
      <c r="HJW228" s="1"/>
      <c r="HJX228" s="1"/>
      <c r="HJY228" s="1"/>
      <c r="HJZ228" s="1"/>
      <c r="HKA228" s="1"/>
      <c r="HKB228" s="1"/>
      <c r="HKC228" s="1"/>
      <c r="HKD228" s="1"/>
      <c r="HKE228" s="1"/>
      <c r="HKF228" s="1"/>
      <c r="HKG228" s="1"/>
      <c r="HKH228" s="1"/>
      <c r="HKI228" s="1"/>
      <c r="HKJ228" s="1"/>
      <c r="HKK228" s="1"/>
      <c r="HKL228" s="1"/>
      <c r="HKM228" s="1"/>
      <c r="HKN228" s="1"/>
      <c r="HKO228" s="1"/>
      <c r="HKP228" s="1"/>
      <c r="HKQ228" s="1"/>
      <c r="HKR228" s="1"/>
      <c r="HKS228" s="1"/>
      <c r="HKT228" s="1"/>
      <c r="HKU228" s="1"/>
      <c r="HKV228" s="1"/>
      <c r="HKW228" s="1"/>
      <c r="HKX228" s="1"/>
      <c r="HKY228" s="1"/>
      <c r="HKZ228" s="1"/>
      <c r="HLA228" s="1"/>
      <c r="HLB228" s="1"/>
      <c r="HLC228" s="1"/>
      <c r="HLD228" s="1"/>
      <c r="HLE228" s="1"/>
      <c r="HLF228" s="1"/>
      <c r="HLG228" s="1"/>
      <c r="HLH228" s="1"/>
      <c r="HLI228" s="1"/>
      <c r="HLJ228" s="1"/>
      <c r="HLK228" s="1"/>
      <c r="HLL228" s="1"/>
      <c r="HLM228" s="1"/>
      <c r="HLN228" s="1"/>
      <c r="HLO228" s="1"/>
      <c r="HLP228" s="1"/>
      <c r="HLQ228" s="1"/>
      <c r="HLR228" s="1"/>
      <c r="HLS228" s="1"/>
      <c r="HLT228" s="1"/>
      <c r="HLU228" s="1"/>
      <c r="HLV228" s="1"/>
      <c r="HLW228" s="1"/>
      <c r="HLX228" s="1"/>
      <c r="HLY228" s="1"/>
      <c r="HLZ228" s="1"/>
      <c r="HMA228" s="1"/>
      <c r="HMB228" s="1"/>
      <c r="HMC228" s="1"/>
      <c r="HMD228" s="1"/>
      <c r="HME228" s="1"/>
      <c r="HMF228" s="1"/>
      <c r="HMG228" s="1"/>
      <c r="HMH228" s="1"/>
      <c r="HMI228" s="1"/>
      <c r="HMJ228" s="1"/>
      <c r="HMK228" s="1"/>
      <c r="HML228" s="1"/>
      <c r="HMM228" s="1"/>
      <c r="HMN228" s="1"/>
      <c r="HMO228" s="1"/>
      <c r="HMP228" s="1"/>
      <c r="HMQ228" s="1"/>
      <c r="HMR228" s="1"/>
      <c r="HMS228" s="1"/>
      <c r="HMT228" s="1"/>
      <c r="HMU228" s="1"/>
      <c r="HMV228" s="1"/>
      <c r="HMW228" s="1"/>
      <c r="HMX228" s="1"/>
      <c r="HMY228" s="1"/>
      <c r="HMZ228" s="1"/>
      <c r="HNA228" s="1"/>
      <c r="HNB228" s="1"/>
      <c r="HNC228" s="1"/>
      <c r="HND228" s="1"/>
      <c r="HNE228" s="1"/>
      <c r="HNF228" s="1"/>
      <c r="HNG228" s="1"/>
      <c r="HNH228" s="1"/>
      <c r="HNI228" s="1"/>
      <c r="HNJ228" s="1"/>
      <c r="HNK228" s="1"/>
      <c r="HNL228" s="1"/>
      <c r="HNM228" s="1"/>
      <c r="HNN228" s="1"/>
      <c r="HNO228" s="1"/>
      <c r="HNP228" s="1"/>
      <c r="HNQ228" s="1"/>
      <c r="HNR228" s="1"/>
      <c r="HNS228" s="1"/>
      <c r="HNT228" s="1"/>
      <c r="HNU228" s="1"/>
      <c r="HNV228" s="1"/>
      <c r="HNW228" s="1"/>
      <c r="HNX228" s="1"/>
      <c r="HNY228" s="1"/>
      <c r="HNZ228" s="1"/>
      <c r="HOA228" s="1"/>
      <c r="HOB228" s="1"/>
      <c r="HOC228" s="1"/>
      <c r="HOD228" s="1"/>
      <c r="HOE228" s="1"/>
      <c r="HOF228" s="1"/>
      <c r="HOG228" s="1"/>
      <c r="HOH228" s="1"/>
      <c r="HOI228" s="1"/>
      <c r="HOJ228" s="1"/>
      <c r="HOK228" s="1"/>
      <c r="HOL228" s="1"/>
      <c r="HOM228" s="1"/>
      <c r="HON228" s="1"/>
      <c r="HOO228" s="1"/>
      <c r="HOP228" s="1"/>
      <c r="HOQ228" s="1"/>
      <c r="HOR228" s="1"/>
      <c r="HOS228" s="1"/>
      <c r="HOT228" s="1"/>
      <c r="HOU228" s="1"/>
      <c r="HOV228" s="1"/>
      <c r="HOW228" s="1"/>
      <c r="HOX228" s="1"/>
      <c r="HOY228" s="1"/>
      <c r="HOZ228" s="1"/>
      <c r="HPA228" s="1"/>
      <c r="HPB228" s="1"/>
      <c r="HPC228" s="1"/>
      <c r="HPD228" s="1"/>
      <c r="HPE228" s="1"/>
      <c r="HPF228" s="1"/>
      <c r="HPG228" s="1"/>
      <c r="HPH228" s="1"/>
      <c r="HPI228" s="1"/>
      <c r="HPJ228" s="1"/>
      <c r="HPK228" s="1"/>
      <c r="HPL228" s="1"/>
      <c r="HPM228" s="1"/>
      <c r="HPN228" s="1"/>
      <c r="HPO228" s="1"/>
      <c r="HPP228" s="1"/>
      <c r="HPQ228" s="1"/>
      <c r="HPR228" s="1"/>
      <c r="HPS228" s="1"/>
      <c r="HPT228" s="1"/>
      <c r="HPU228" s="1"/>
      <c r="HPV228" s="1"/>
      <c r="HPW228" s="1"/>
      <c r="HPX228" s="1"/>
      <c r="HPY228" s="1"/>
      <c r="HPZ228" s="1"/>
      <c r="HQA228" s="1"/>
      <c r="HQB228" s="1"/>
      <c r="HQC228" s="1"/>
      <c r="HQD228" s="1"/>
      <c r="HQE228" s="1"/>
      <c r="HQF228" s="1"/>
      <c r="HQG228" s="1"/>
      <c r="HQH228" s="1"/>
      <c r="HQI228" s="1"/>
      <c r="HQJ228" s="1"/>
      <c r="HQK228" s="1"/>
      <c r="HQL228" s="1"/>
      <c r="HQM228" s="1"/>
      <c r="HQN228" s="1"/>
      <c r="HQO228" s="1"/>
      <c r="HQP228" s="1"/>
      <c r="HQQ228" s="1"/>
      <c r="HQR228" s="1"/>
      <c r="HQS228" s="1"/>
      <c r="HQT228" s="1"/>
      <c r="HQU228" s="1"/>
      <c r="HQV228" s="1"/>
      <c r="HQW228" s="1"/>
      <c r="HQX228" s="1"/>
      <c r="HQY228" s="1"/>
      <c r="HQZ228" s="1"/>
      <c r="HRA228" s="1"/>
      <c r="HRB228" s="1"/>
      <c r="HRC228" s="1"/>
      <c r="HRD228" s="1"/>
      <c r="HRE228" s="1"/>
      <c r="HRF228" s="1"/>
      <c r="HRG228" s="1"/>
      <c r="HRH228" s="1"/>
      <c r="HRI228" s="1"/>
      <c r="HRJ228" s="1"/>
      <c r="HRK228" s="1"/>
      <c r="HRL228" s="1"/>
      <c r="HRM228" s="1"/>
      <c r="HRN228" s="1"/>
      <c r="HRO228" s="1"/>
      <c r="HRP228" s="1"/>
      <c r="HRQ228" s="1"/>
      <c r="HRR228" s="1"/>
      <c r="HRS228" s="1"/>
      <c r="HRT228" s="1"/>
      <c r="HRU228" s="1"/>
      <c r="HRV228" s="1"/>
      <c r="HRW228" s="1"/>
      <c r="HRX228" s="1"/>
      <c r="HRY228" s="1"/>
      <c r="HRZ228" s="1"/>
      <c r="HSA228" s="1"/>
      <c r="HSB228" s="1"/>
      <c r="HSC228" s="1"/>
      <c r="HSD228" s="1"/>
      <c r="HSE228" s="1"/>
      <c r="HSF228" s="1"/>
      <c r="HSG228" s="1"/>
      <c r="HSH228" s="1"/>
      <c r="HSI228" s="1"/>
      <c r="HSJ228" s="1"/>
      <c r="HSK228" s="1"/>
      <c r="HSL228" s="1"/>
      <c r="HSM228" s="1"/>
      <c r="HSN228" s="1"/>
      <c r="HSO228" s="1"/>
      <c r="HSP228" s="1"/>
      <c r="HSQ228" s="1"/>
      <c r="HSR228" s="1"/>
      <c r="HSS228" s="1"/>
      <c r="HST228" s="1"/>
      <c r="HSU228" s="1"/>
      <c r="HSV228" s="1"/>
      <c r="HSW228" s="1"/>
      <c r="HSX228" s="1"/>
      <c r="HSY228" s="1"/>
      <c r="HSZ228" s="1"/>
      <c r="HTA228" s="1"/>
      <c r="HTB228" s="1"/>
      <c r="HTC228" s="1"/>
      <c r="HTD228" s="1"/>
      <c r="HTE228" s="1"/>
      <c r="HTF228" s="1"/>
      <c r="HTG228" s="1"/>
      <c r="HTH228" s="1"/>
      <c r="HTI228" s="1"/>
      <c r="HTJ228" s="1"/>
      <c r="HTK228" s="1"/>
      <c r="HTL228" s="1"/>
      <c r="HTM228" s="1"/>
      <c r="HTN228" s="1"/>
      <c r="HTO228" s="1"/>
      <c r="HTP228" s="1"/>
      <c r="HTQ228" s="1"/>
      <c r="HTR228" s="1"/>
      <c r="HTS228" s="1"/>
      <c r="HTT228" s="1"/>
      <c r="HTU228" s="1"/>
      <c r="HTV228" s="1"/>
      <c r="HTW228" s="1"/>
      <c r="HTX228" s="1"/>
      <c r="HTY228" s="1"/>
      <c r="HTZ228" s="1"/>
      <c r="HUA228" s="1"/>
      <c r="HUB228" s="1"/>
      <c r="HUC228" s="1"/>
      <c r="HUD228" s="1"/>
      <c r="HUE228" s="1"/>
      <c r="HUF228" s="1"/>
      <c r="HUG228" s="1"/>
      <c r="HUH228" s="1"/>
      <c r="HUI228" s="1"/>
      <c r="HUJ228" s="1"/>
      <c r="HUK228" s="1"/>
      <c r="HUL228" s="1"/>
      <c r="HUM228" s="1"/>
      <c r="HUN228" s="1"/>
      <c r="HUO228" s="1"/>
      <c r="HUP228" s="1"/>
      <c r="HUQ228" s="1"/>
      <c r="HUR228" s="1"/>
      <c r="HUS228" s="1"/>
      <c r="HUT228" s="1"/>
      <c r="HUU228" s="1"/>
      <c r="HUV228" s="1"/>
      <c r="HUW228" s="1"/>
      <c r="HUX228" s="1"/>
      <c r="HUY228" s="1"/>
      <c r="HUZ228" s="1"/>
      <c r="HVA228" s="1"/>
      <c r="HVB228" s="1"/>
      <c r="HVC228" s="1"/>
      <c r="HVD228" s="1"/>
      <c r="HVE228" s="1"/>
      <c r="HVF228" s="1"/>
      <c r="HVG228" s="1"/>
      <c r="HVH228" s="1"/>
      <c r="HVI228" s="1"/>
      <c r="HVJ228" s="1"/>
      <c r="HVK228" s="1"/>
      <c r="HVL228" s="1"/>
      <c r="HVM228" s="1"/>
      <c r="HVN228" s="1"/>
      <c r="HVO228" s="1"/>
      <c r="HVP228" s="1"/>
      <c r="HVQ228" s="1"/>
      <c r="HVR228" s="1"/>
      <c r="HVS228" s="1"/>
      <c r="HVT228" s="1"/>
      <c r="HVU228" s="1"/>
      <c r="HVV228" s="1"/>
      <c r="HVW228" s="1"/>
      <c r="HVX228" s="1"/>
      <c r="HVY228" s="1"/>
      <c r="HVZ228" s="1"/>
      <c r="HWA228" s="1"/>
      <c r="HWB228" s="1"/>
      <c r="HWC228" s="1"/>
      <c r="HWD228" s="1"/>
      <c r="HWE228" s="1"/>
      <c r="HWF228" s="1"/>
      <c r="HWG228" s="1"/>
      <c r="HWH228" s="1"/>
      <c r="HWI228" s="1"/>
      <c r="HWJ228" s="1"/>
      <c r="HWK228" s="1"/>
      <c r="HWL228" s="1"/>
      <c r="HWM228" s="1"/>
      <c r="HWN228" s="1"/>
      <c r="HWO228" s="1"/>
      <c r="HWP228" s="1"/>
      <c r="HWQ228" s="1"/>
      <c r="HWR228" s="1"/>
      <c r="HWS228" s="1"/>
      <c r="HWT228" s="1"/>
      <c r="HWU228" s="1"/>
      <c r="HWV228" s="1"/>
      <c r="HWW228" s="1"/>
      <c r="HWX228" s="1"/>
      <c r="HWY228" s="1"/>
      <c r="HWZ228" s="1"/>
      <c r="HXA228" s="1"/>
      <c r="HXB228" s="1"/>
      <c r="HXC228" s="1"/>
      <c r="HXD228" s="1"/>
      <c r="HXE228" s="1"/>
      <c r="HXF228" s="1"/>
      <c r="HXG228" s="1"/>
      <c r="HXH228" s="1"/>
      <c r="HXI228" s="1"/>
      <c r="HXJ228" s="1"/>
      <c r="HXK228" s="1"/>
      <c r="HXL228" s="1"/>
      <c r="HXM228" s="1"/>
      <c r="HXN228" s="1"/>
      <c r="HXO228" s="1"/>
      <c r="HXP228" s="1"/>
      <c r="HXQ228" s="1"/>
      <c r="HXR228" s="1"/>
      <c r="HXS228" s="1"/>
      <c r="HXT228" s="1"/>
      <c r="HXU228" s="1"/>
      <c r="HXV228" s="1"/>
      <c r="HXW228" s="1"/>
      <c r="HXX228" s="1"/>
      <c r="HXY228" s="1"/>
      <c r="HXZ228" s="1"/>
      <c r="HYA228" s="1"/>
      <c r="HYB228" s="1"/>
      <c r="HYC228" s="1"/>
      <c r="HYD228" s="1"/>
      <c r="HYE228" s="1"/>
      <c r="HYF228" s="1"/>
      <c r="HYG228" s="1"/>
      <c r="HYH228" s="1"/>
      <c r="HYI228" s="1"/>
      <c r="HYJ228" s="1"/>
      <c r="HYK228" s="1"/>
      <c r="HYL228" s="1"/>
      <c r="HYM228" s="1"/>
      <c r="HYN228" s="1"/>
      <c r="HYO228" s="1"/>
      <c r="HYP228" s="1"/>
      <c r="HYQ228" s="1"/>
      <c r="HYR228" s="1"/>
      <c r="HYS228" s="1"/>
      <c r="HYT228" s="1"/>
      <c r="HYU228" s="1"/>
      <c r="HYV228" s="1"/>
      <c r="HYW228" s="1"/>
      <c r="HYX228" s="1"/>
      <c r="HYY228" s="1"/>
      <c r="HYZ228" s="1"/>
      <c r="HZA228" s="1"/>
      <c r="HZB228" s="1"/>
      <c r="HZC228" s="1"/>
      <c r="HZD228" s="1"/>
      <c r="HZE228" s="1"/>
      <c r="HZF228" s="1"/>
      <c r="HZG228" s="1"/>
      <c r="HZH228" s="1"/>
      <c r="HZI228" s="1"/>
      <c r="HZJ228" s="1"/>
      <c r="HZK228" s="1"/>
      <c r="HZL228" s="1"/>
      <c r="HZM228" s="1"/>
      <c r="HZN228" s="1"/>
      <c r="HZO228" s="1"/>
      <c r="HZP228" s="1"/>
      <c r="HZQ228" s="1"/>
      <c r="HZR228" s="1"/>
      <c r="HZS228" s="1"/>
      <c r="HZT228" s="1"/>
      <c r="HZU228" s="1"/>
      <c r="HZV228" s="1"/>
      <c r="HZW228" s="1"/>
      <c r="HZX228" s="1"/>
      <c r="HZY228" s="1"/>
      <c r="HZZ228" s="1"/>
      <c r="IAA228" s="1"/>
      <c r="IAB228" s="1"/>
      <c r="IAC228" s="1"/>
      <c r="IAD228" s="1"/>
      <c r="IAE228" s="1"/>
      <c r="IAF228" s="1"/>
      <c r="IAG228" s="1"/>
      <c r="IAH228" s="1"/>
      <c r="IAI228" s="1"/>
      <c r="IAJ228" s="1"/>
      <c r="IAK228" s="1"/>
      <c r="IAL228" s="1"/>
      <c r="IAM228" s="1"/>
      <c r="IAN228" s="1"/>
      <c r="IAO228" s="1"/>
      <c r="IAP228" s="1"/>
      <c r="IAQ228" s="1"/>
      <c r="IAR228" s="1"/>
      <c r="IAS228" s="1"/>
      <c r="IAT228" s="1"/>
      <c r="IAU228" s="1"/>
      <c r="IAV228" s="1"/>
      <c r="IAW228" s="1"/>
      <c r="IAX228" s="1"/>
      <c r="IAY228" s="1"/>
      <c r="IAZ228" s="1"/>
      <c r="IBA228" s="1"/>
      <c r="IBB228" s="1"/>
      <c r="IBC228" s="1"/>
      <c r="IBD228" s="1"/>
      <c r="IBE228" s="1"/>
      <c r="IBF228" s="1"/>
      <c r="IBG228" s="1"/>
      <c r="IBH228" s="1"/>
      <c r="IBI228" s="1"/>
      <c r="IBJ228" s="1"/>
      <c r="IBK228" s="1"/>
      <c r="IBL228" s="1"/>
      <c r="IBM228" s="1"/>
      <c r="IBN228" s="1"/>
      <c r="IBO228" s="1"/>
      <c r="IBP228" s="1"/>
      <c r="IBQ228" s="1"/>
      <c r="IBR228" s="1"/>
      <c r="IBS228" s="1"/>
      <c r="IBT228" s="1"/>
      <c r="IBU228" s="1"/>
      <c r="IBV228" s="1"/>
      <c r="IBW228" s="1"/>
      <c r="IBX228" s="1"/>
      <c r="IBY228" s="1"/>
      <c r="IBZ228" s="1"/>
      <c r="ICA228" s="1"/>
      <c r="ICB228" s="1"/>
      <c r="ICC228" s="1"/>
      <c r="ICD228" s="1"/>
      <c r="ICE228" s="1"/>
      <c r="ICF228" s="1"/>
      <c r="ICG228" s="1"/>
      <c r="ICH228" s="1"/>
      <c r="ICI228" s="1"/>
      <c r="ICJ228" s="1"/>
      <c r="ICK228" s="1"/>
      <c r="ICL228" s="1"/>
      <c r="ICM228" s="1"/>
      <c r="ICN228" s="1"/>
      <c r="ICO228" s="1"/>
      <c r="ICP228" s="1"/>
      <c r="ICQ228" s="1"/>
      <c r="ICR228" s="1"/>
      <c r="ICS228" s="1"/>
      <c r="ICT228" s="1"/>
      <c r="ICU228" s="1"/>
      <c r="ICV228" s="1"/>
      <c r="ICW228" s="1"/>
      <c r="ICX228" s="1"/>
      <c r="ICY228" s="1"/>
      <c r="ICZ228" s="1"/>
      <c r="IDA228" s="1"/>
      <c r="IDB228" s="1"/>
      <c r="IDC228" s="1"/>
      <c r="IDD228" s="1"/>
      <c r="IDE228" s="1"/>
      <c r="IDF228" s="1"/>
      <c r="IDG228" s="1"/>
      <c r="IDH228" s="1"/>
      <c r="IDI228" s="1"/>
      <c r="IDJ228" s="1"/>
      <c r="IDK228" s="1"/>
      <c r="IDL228" s="1"/>
      <c r="IDM228" s="1"/>
      <c r="IDN228" s="1"/>
      <c r="IDO228" s="1"/>
      <c r="IDP228" s="1"/>
      <c r="IDQ228" s="1"/>
      <c r="IDR228" s="1"/>
      <c r="IDS228" s="1"/>
      <c r="IDT228" s="1"/>
      <c r="IDU228" s="1"/>
      <c r="IDV228" s="1"/>
      <c r="IDW228" s="1"/>
      <c r="IDX228" s="1"/>
      <c r="IDY228" s="1"/>
      <c r="IDZ228" s="1"/>
      <c r="IEA228" s="1"/>
      <c r="IEB228" s="1"/>
      <c r="IEC228" s="1"/>
      <c r="IED228" s="1"/>
      <c r="IEE228" s="1"/>
      <c r="IEF228" s="1"/>
      <c r="IEG228" s="1"/>
      <c r="IEH228" s="1"/>
      <c r="IEI228" s="1"/>
      <c r="IEJ228" s="1"/>
      <c r="IEK228" s="1"/>
      <c r="IEL228" s="1"/>
      <c r="IEM228" s="1"/>
      <c r="IEN228" s="1"/>
      <c r="IEO228" s="1"/>
      <c r="IEP228" s="1"/>
      <c r="IEQ228" s="1"/>
      <c r="IER228" s="1"/>
      <c r="IES228" s="1"/>
      <c r="IET228" s="1"/>
      <c r="IEU228" s="1"/>
      <c r="IEV228" s="1"/>
      <c r="IEW228" s="1"/>
      <c r="IEX228" s="1"/>
      <c r="IEY228" s="1"/>
      <c r="IEZ228" s="1"/>
      <c r="IFA228" s="1"/>
      <c r="IFB228" s="1"/>
      <c r="IFC228" s="1"/>
      <c r="IFD228" s="1"/>
      <c r="IFE228" s="1"/>
      <c r="IFF228" s="1"/>
      <c r="IFG228" s="1"/>
      <c r="IFH228" s="1"/>
      <c r="IFI228" s="1"/>
      <c r="IFJ228" s="1"/>
      <c r="IFK228" s="1"/>
      <c r="IFL228" s="1"/>
      <c r="IFM228" s="1"/>
      <c r="IFN228" s="1"/>
      <c r="IFO228" s="1"/>
      <c r="IFP228" s="1"/>
      <c r="IFQ228" s="1"/>
      <c r="IFR228" s="1"/>
      <c r="IFS228" s="1"/>
      <c r="IFT228" s="1"/>
      <c r="IFU228" s="1"/>
      <c r="IFV228" s="1"/>
      <c r="IFW228" s="1"/>
      <c r="IFX228" s="1"/>
      <c r="IFY228" s="1"/>
      <c r="IFZ228" s="1"/>
      <c r="IGA228" s="1"/>
      <c r="IGB228" s="1"/>
      <c r="IGC228" s="1"/>
      <c r="IGD228" s="1"/>
      <c r="IGE228" s="1"/>
      <c r="IGF228" s="1"/>
      <c r="IGG228" s="1"/>
      <c r="IGH228" s="1"/>
      <c r="IGI228" s="1"/>
      <c r="IGJ228" s="1"/>
      <c r="IGK228" s="1"/>
      <c r="IGL228" s="1"/>
      <c r="IGM228" s="1"/>
      <c r="IGN228" s="1"/>
      <c r="IGO228" s="1"/>
      <c r="IGP228" s="1"/>
      <c r="IGQ228" s="1"/>
      <c r="IGR228" s="1"/>
      <c r="IGS228" s="1"/>
      <c r="IGT228" s="1"/>
      <c r="IGU228" s="1"/>
      <c r="IGV228" s="1"/>
      <c r="IGW228" s="1"/>
      <c r="IGX228" s="1"/>
      <c r="IGY228" s="1"/>
      <c r="IGZ228" s="1"/>
      <c r="IHA228" s="1"/>
      <c r="IHB228" s="1"/>
      <c r="IHC228" s="1"/>
      <c r="IHD228" s="1"/>
      <c r="IHE228" s="1"/>
      <c r="IHF228" s="1"/>
      <c r="IHG228" s="1"/>
      <c r="IHH228" s="1"/>
      <c r="IHI228" s="1"/>
      <c r="IHJ228" s="1"/>
      <c r="IHK228" s="1"/>
      <c r="IHL228" s="1"/>
      <c r="IHM228" s="1"/>
      <c r="IHN228" s="1"/>
      <c r="IHO228" s="1"/>
      <c r="IHP228" s="1"/>
      <c r="IHQ228" s="1"/>
      <c r="IHR228" s="1"/>
      <c r="IHS228" s="1"/>
      <c r="IHT228" s="1"/>
      <c r="IHU228" s="1"/>
      <c r="IHV228" s="1"/>
      <c r="IHW228" s="1"/>
      <c r="IHX228" s="1"/>
      <c r="IHY228" s="1"/>
      <c r="IHZ228" s="1"/>
      <c r="IIA228" s="1"/>
      <c r="IIB228" s="1"/>
      <c r="IIC228" s="1"/>
      <c r="IID228" s="1"/>
      <c r="IIE228" s="1"/>
      <c r="IIF228" s="1"/>
      <c r="IIG228" s="1"/>
      <c r="IIH228" s="1"/>
      <c r="III228" s="1"/>
      <c r="IIJ228" s="1"/>
      <c r="IIK228" s="1"/>
      <c r="IIL228" s="1"/>
      <c r="IIM228" s="1"/>
      <c r="IIN228" s="1"/>
      <c r="IIO228" s="1"/>
      <c r="IIP228" s="1"/>
      <c r="IIQ228" s="1"/>
      <c r="IIR228" s="1"/>
      <c r="IIS228" s="1"/>
      <c r="IIT228" s="1"/>
      <c r="IIU228" s="1"/>
      <c r="IIV228" s="1"/>
      <c r="IIW228" s="1"/>
      <c r="IIX228" s="1"/>
      <c r="IIY228" s="1"/>
      <c r="IIZ228" s="1"/>
      <c r="IJA228" s="1"/>
      <c r="IJB228" s="1"/>
      <c r="IJC228" s="1"/>
      <c r="IJD228" s="1"/>
      <c r="IJE228" s="1"/>
      <c r="IJF228" s="1"/>
      <c r="IJG228" s="1"/>
      <c r="IJH228" s="1"/>
      <c r="IJI228" s="1"/>
      <c r="IJJ228" s="1"/>
      <c r="IJK228" s="1"/>
      <c r="IJL228" s="1"/>
      <c r="IJM228" s="1"/>
      <c r="IJN228" s="1"/>
      <c r="IJO228" s="1"/>
      <c r="IJP228" s="1"/>
      <c r="IJQ228" s="1"/>
      <c r="IJR228" s="1"/>
      <c r="IJS228" s="1"/>
      <c r="IJT228" s="1"/>
      <c r="IJU228" s="1"/>
      <c r="IJV228" s="1"/>
      <c r="IJW228" s="1"/>
      <c r="IJX228" s="1"/>
      <c r="IJY228" s="1"/>
      <c r="IJZ228" s="1"/>
      <c r="IKA228" s="1"/>
      <c r="IKB228" s="1"/>
      <c r="IKC228" s="1"/>
      <c r="IKD228" s="1"/>
      <c r="IKE228" s="1"/>
      <c r="IKF228" s="1"/>
      <c r="IKG228" s="1"/>
      <c r="IKH228" s="1"/>
      <c r="IKI228" s="1"/>
      <c r="IKJ228" s="1"/>
      <c r="IKK228" s="1"/>
      <c r="IKL228" s="1"/>
      <c r="IKM228" s="1"/>
      <c r="IKN228" s="1"/>
      <c r="IKO228" s="1"/>
      <c r="IKP228" s="1"/>
      <c r="IKQ228" s="1"/>
      <c r="IKR228" s="1"/>
      <c r="IKS228" s="1"/>
      <c r="IKT228" s="1"/>
      <c r="IKU228" s="1"/>
      <c r="IKV228" s="1"/>
      <c r="IKW228" s="1"/>
      <c r="IKX228" s="1"/>
      <c r="IKY228" s="1"/>
      <c r="IKZ228" s="1"/>
      <c r="ILA228" s="1"/>
      <c r="ILB228" s="1"/>
      <c r="ILC228" s="1"/>
      <c r="ILD228" s="1"/>
      <c r="ILE228" s="1"/>
      <c r="ILF228" s="1"/>
      <c r="ILG228" s="1"/>
      <c r="ILH228" s="1"/>
      <c r="ILI228" s="1"/>
      <c r="ILJ228" s="1"/>
      <c r="ILK228" s="1"/>
      <c r="ILL228" s="1"/>
      <c r="ILM228" s="1"/>
      <c r="ILN228" s="1"/>
      <c r="ILO228" s="1"/>
      <c r="ILP228" s="1"/>
      <c r="ILQ228" s="1"/>
      <c r="ILR228" s="1"/>
      <c r="ILS228" s="1"/>
      <c r="ILT228" s="1"/>
      <c r="ILU228" s="1"/>
      <c r="ILV228" s="1"/>
      <c r="ILW228" s="1"/>
      <c r="ILX228" s="1"/>
      <c r="ILY228" s="1"/>
      <c r="ILZ228" s="1"/>
      <c r="IMA228" s="1"/>
      <c r="IMB228" s="1"/>
      <c r="IMC228" s="1"/>
      <c r="IMD228" s="1"/>
      <c r="IME228" s="1"/>
      <c r="IMF228" s="1"/>
      <c r="IMG228" s="1"/>
      <c r="IMH228" s="1"/>
      <c r="IMI228" s="1"/>
      <c r="IMJ228" s="1"/>
      <c r="IMK228" s="1"/>
      <c r="IML228" s="1"/>
      <c r="IMM228" s="1"/>
      <c r="IMN228" s="1"/>
      <c r="IMO228" s="1"/>
      <c r="IMP228" s="1"/>
      <c r="IMQ228" s="1"/>
      <c r="IMR228" s="1"/>
      <c r="IMS228" s="1"/>
      <c r="IMT228" s="1"/>
      <c r="IMU228" s="1"/>
      <c r="IMV228" s="1"/>
      <c r="IMW228" s="1"/>
      <c r="IMX228" s="1"/>
      <c r="IMY228" s="1"/>
      <c r="IMZ228" s="1"/>
      <c r="INA228" s="1"/>
      <c r="INB228" s="1"/>
      <c r="INC228" s="1"/>
      <c r="IND228" s="1"/>
      <c r="INE228" s="1"/>
      <c r="INF228" s="1"/>
      <c r="ING228" s="1"/>
      <c r="INH228" s="1"/>
      <c r="INI228" s="1"/>
      <c r="INJ228" s="1"/>
      <c r="INK228" s="1"/>
      <c r="INL228" s="1"/>
      <c r="INM228" s="1"/>
      <c r="INN228" s="1"/>
      <c r="INO228" s="1"/>
      <c r="INP228" s="1"/>
      <c r="INQ228" s="1"/>
      <c r="INR228" s="1"/>
      <c r="INS228" s="1"/>
      <c r="INT228" s="1"/>
      <c r="INU228" s="1"/>
      <c r="INV228" s="1"/>
      <c r="INW228" s="1"/>
      <c r="INX228" s="1"/>
      <c r="INY228" s="1"/>
      <c r="INZ228" s="1"/>
      <c r="IOA228" s="1"/>
      <c r="IOB228" s="1"/>
      <c r="IOC228" s="1"/>
      <c r="IOD228" s="1"/>
      <c r="IOE228" s="1"/>
      <c r="IOF228" s="1"/>
      <c r="IOG228" s="1"/>
      <c r="IOH228" s="1"/>
      <c r="IOI228" s="1"/>
      <c r="IOJ228" s="1"/>
      <c r="IOK228" s="1"/>
      <c r="IOL228" s="1"/>
      <c r="IOM228" s="1"/>
      <c r="ION228" s="1"/>
      <c r="IOO228" s="1"/>
      <c r="IOP228" s="1"/>
      <c r="IOQ228" s="1"/>
      <c r="IOR228" s="1"/>
      <c r="IOS228" s="1"/>
      <c r="IOT228" s="1"/>
      <c r="IOU228" s="1"/>
      <c r="IOV228" s="1"/>
      <c r="IOW228" s="1"/>
      <c r="IOX228" s="1"/>
      <c r="IOY228" s="1"/>
      <c r="IOZ228" s="1"/>
      <c r="IPA228" s="1"/>
      <c r="IPB228" s="1"/>
      <c r="IPC228" s="1"/>
      <c r="IPD228" s="1"/>
      <c r="IPE228" s="1"/>
      <c r="IPF228" s="1"/>
      <c r="IPG228" s="1"/>
      <c r="IPH228" s="1"/>
      <c r="IPI228" s="1"/>
      <c r="IPJ228" s="1"/>
      <c r="IPK228" s="1"/>
      <c r="IPL228" s="1"/>
      <c r="IPM228" s="1"/>
      <c r="IPN228" s="1"/>
      <c r="IPO228" s="1"/>
      <c r="IPP228" s="1"/>
      <c r="IPQ228" s="1"/>
      <c r="IPR228" s="1"/>
      <c r="IPS228" s="1"/>
      <c r="IPT228" s="1"/>
      <c r="IPU228" s="1"/>
      <c r="IPV228" s="1"/>
      <c r="IPW228" s="1"/>
      <c r="IPX228" s="1"/>
      <c r="IPY228" s="1"/>
      <c r="IPZ228" s="1"/>
      <c r="IQA228" s="1"/>
      <c r="IQB228" s="1"/>
      <c r="IQC228" s="1"/>
      <c r="IQD228" s="1"/>
      <c r="IQE228" s="1"/>
      <c r="IQF228" s="1"/>
      <c r="IQG228" s="1"/>
      <c r="IQH228" s="1"/>
      <c r="IQI228" s="1"/>
      <c r="IQJ228" s="1"/>
      <c r="IQK228" s="1"/>
      <c r="IQL228" s="1"/>
      <c r="IQM228" s="1"/>
      <c r="IQN228" s="1"/>
      <c r="IQO228" s="1"/>
      <c r="IQP228" s="1"/>
      <c r="IQQ228" s="1"/>
      <c r="IQR228" s="1"/>
      <c r="IQS228" s="1"/>
      <c r="IQT228" s="1"/>
      <c r="IQU228" s="1"/>
      <c r="IQV228" s="1"/>
      <c r="IQW228" s="1"/>
      <c r="IQX228" s="1"/>
      <c r="IQY228" s="1"/>
      <c r="IQZ228" s="1"/>
      <c r="IRA228" s="1"/>
      <c r="IRB228" s="1"/>
      <c r="IRC228" s="1"/>
      <c r="IRD228" s="1"/>
      <c r="IRE228" s="1"/>
      <c r="IRF228" s="1"/>
      <c r="IRG228" s="1"/>
      <c r="IRH228" s="1"/>
      <c r="IRI228" s="1"/>
      <c r="IRJ228" s="1"/>
      <c r="IRK228" s="1"/>
      <c r="IRL228" s="1"/>
      <c r="IRM228" s="1"/>
      <c r="IRN228" s="1"/>
      <c r="IRO228" s="1"/>
      <c r="IRP228" s="1"/>
      <c r="IRQ228" s="1"/>
      <c r="IRR228" s="1"/>
      <c r="IRS228" s="1"/>
      <c r="IRT228" s="1"/>
      <c r="IRU228" s="1"/>
      <c r="IRV228" s="1"/>
      <c r="IRW228" s="1"/>
      <c r="IRX228" s="1"/>
      <c r="IRY228" s="1"/>
      <c r="IRZ228" s="1"/>
      <c r="ISA228" s="1"/>
      <c r="ISB228" s="1"/>
      <c r="ISC228" s="1"/>
      <c r="ISD228" s="1"/>
      <c r="ISE228" s="1"/>
      <c r="ISF228" s="1"/>
      <c r="ISG228" s="1"/>
      <c r="ISH228" s="1"/>
      <c r="ISI228" s="1"/>
      <c r="ISJ228" s="1"/>
      <c r="ISK228" s="1"/>
      <c r="ISL228" s="1"/>
      <c r="ISM228" s="1"/>
      <c r="ISN228" s="1"/>
      <c r="ISO228" s="1"/>
      <c r="ISP228" s="1"/>
      <c r="ISQ228" s="1"/>
      <c r="ISR228" s="1"/>
      <c r="ISS228" s="1"/>
      <c r="IST228" s="1"/>
      <c r="ISU228" s="1"/>
      <c r="ISV228" s="1"/>
      <c r="ISW228" s="1"/>
      <c r="ISX228" s="1"/>
      <c r="ISY228" s="1"/>
      <c r="ISZ228" s="1"/>
      <c r="ITA228" s="1"/>
      <c r="ITB228" s="1"/>
      <c r="ITC228" s="1"/>
      <c r="ITD228" s="1"/>
      <c r="ITE228" s="1"/>
      <c r="ITF228" s="1"/>
      <c r="ITG228" s="1"/>
      <c r="ITH228" s="1"/>
      <c r="ITI228" s="1"/>
      <c r="ITJ228" s="1"/>
      <c r="ITK228" s="1"/>
      <c r="ITL228" s="1"/>
      <c r="ITM228" s="1"/>
      <c r="ITN228" s="1"/>
      <c r="ITO228" s="1"/>
      <c r="ITP228" s="1"/>
      <c r="ITQ228" s="1"/>
      <c r="ITR228" s="1"/>
      <c r="ITS228" s="1"/>
      <c r="ITT228" s="1"/>
      <c r="ITU228" s="1"/>
      <c r="ITV228" s="1"/>
      <c r="ITW228" s="1"/>
      <c r="ITX228" s="1"/>
      <c r="ITY228" s="1"/>
      <c r="ITZ228" s="1"/>
      <c r="IUA228" s="1"/>
      <c r="IUB228" s="1"/>
      <c r="IUC228" s="1"/>
      <c r="IUD228" s="1"/>
      <c r="IUE228" s="1"/>
      <c r="IUF228" s="1"/>
      <c r="IUG228" s="1"/>
      <c r="IUH228" s="1"/>
      <c r="IUI228" s="1"/>
      <c r="IUJ228" s="1"/>
      <c r="IUK228" s="1"/>
      <c r="IUL228" s="1"/>
      <c r="IUM228" s="1"/>
      <c r="IUN228" s="1"/>
      <c r="IUO228" s="1"/>
      <c r="IUP228" s="1"/>
      <c r="IUQ228" s="1"/>
      <c r="IUR228" s="1"/>
      <c r="IUS228" s="1"/>
      <c r="IUT228" s="1"/>
      <c r="IUU228" s="1"/>
      <c r="IUV228" s="1"/>
      <c r="IUW228" s="1"/>
      <c r="IUX228" s="1"/>
      <c r="IUY228" s="1"/>
      <c r="IUZ228" s="1"/>
      <c r="IVA228" s="1"/>
      <c r="IVB228" s="1"/>
      <c r="IVC228" s="1"/>
      <c r="IVD228" s="1"/>
      <c r="IVE228" s="1"/>
      <c r="IVF228" s="1"/>
      <c r="IVG228" s="1"/>
      <c r="IVH228" s="1"/>
      <c r="IVI228" s="1"/>
      <c r="IVJ228" s="1"/>
      <c r="IVK228" s="1"/>
      <c r="IVL228" s="1"/>
      <c r="IVM228" s="1"/>
      <c r="IVN228" s="1"/>
      <c r="IVO228" s="1"/>
      <c r="IVP228" s="1"/>
      <c r="IVQ228" s="1"/>
      <c r="IVR228" s="1"/>
      <c r="IVS228" s="1"/>
      <c r="IVT228" s="1"/>
      <c r="IVU228" s="1"/>
      <c r="IVV228" s="1"/>
      <c r="IVW228" s="1"/>
      <c r="IVX228" s="1"/>
      <c r="IVY228" s="1"/>
      <c r="IVZ228" s="1"/>
      <c r="IWA228" s="1"/>
      <c r="IWB228" s="1"/>
      <c r="IWC228" s="1"/>
      <c r="IWD228" s="1"/>
      <c r="IWE228" s="1"/>
      <c r="IWF228" s="1"/>
      <c r="IWG228" s="1"/>
      <c r="IWH228" s="1"/>
      <c r="IWI228" s="1"/>
      <c r="IWJ228" s="1"/>
      <c r="IWK228" s="1"/>
      <c r="IWL228" s="1"/>
      <c r="IWM228" s="1"/>
      <c r="IWN228" s="1"/>
      <c r="IWO228" s="1"/>
      <c r="IWP228" s="1"/>
      <c r="IWQ228" s="1"/>
      <c r="IWR228" s="1"/>
      <c r="IWS228" s="1"/>
      <c r="IWT228" s="1"/>
      <c r="IWU228" s="1"/>
      <c r="IWV228" s="1"/>
      <c r="IWW228" s="1"/>
      <c r="IWX228" s="1"/>
      <c r="IWY228" s="1"/>
      <c r="IWZ228" s="1"/>
      <c r="IXA228" s="1"/>
      <c r="IXB228" s="1"/>
      <c r="IXC228" s="1"/>
      <c r="IXD228" s="1"/>
      <c r="IXE228" s="1"/>
      <c r="IXF228" s="1"/>
      <c r="IXG228" s="1"/>
      <c r="IXH228" s="1"/>
      <c r="IXI228" s="1"/>
      <c r="IXJ228" s="1"/>
      <c r="IXK228" s="1"/>
      <c r="IXL228" s="1"/>
      <c r="IXM228" s="1"/>
      <c r="IXN228" s="1"/>
      <c r="IXO228" s="1"/>
      <c r="IXP228" s="1"/>
      <c r="IXQ228" s="1"/>
      <c r="IXR228" s="1"/>
      <c r="IXS228" s="1"/>
      <c r="IXT228" s="1"/>
      <c r="IXU228" s="1"/>
      <c r="IXV228" s="1"/>
      <c r="IXW228" s="1"/>
      <c r="IXX228" s="1"/>
      <c r="IXY228" s="1"/>
      <c r="IXZ228" s="1"/>
      <c r="IYA228" s="1"/>
      <c r="IYB228" s="1"/>
      <c r="IYC228" s="1"/>
      <c r="IYD228" s="1"/>
      <c r="IYE228" s="1"/>
      <c r="IYF228" s="1"/>
      <c r="IYG228" s="1"/>
      <c r="IYH228" s="1"/>
      <c r="IYI228" s="1"/>
      <c r="IYJ228" s="1"/>
      <c r="IYK228" s="1"/>
      <c r="IYL228" s="1"/>
      <c r="IYM228" s="1"/>
      <c r="IYN228" s="1"/>
      <c r="IYO228" s="1"/>
      <c r="IYP228" s="1"/>
      <c r="IYQ228" s="1"/>
      <c r="IYR228" s="1"/>
      <c r="IYS228" s="1"/>
      <c r="IYT228" s="1"/>
      <c r="IYU228" s="1"/>
      <c r="IYV228" s="1"/>
      <c r="IYW228" s="1"/>
      <c r="IYX228" s="1"/>
      <c r="IYY228" s="1"/>
      <c r="IYZ228" s="1"/>
      <c r="IZA228" s="1"/>
      <c r="IZB228" s="1"/>
      <c r="IZC228" s="1"/>
      <c r="IZD228" s="1"/>
      <c r="IZE228" s="1"/>
      <c r="IZF228" s="1"/>
      <c r="IZG228" s="1"/>
      <c r="IZH228" s="1"/>
      <c r="IZI228" s="1"/>
      <c r="IZJ228" s="1"/>
      <c r="IZK228" s="1"/>
      <c r="IZL228" s="1"/>
      <c r="IZM228" s="1"/>
      <c r="IZN228" s="1"/>
      <c r="IZO228" s="1"/>
      <c r="IZP228" s="1"/>
      <c r="IZQ228" s="1"/>
      <c r="IZR228" s="1"/>
      <c r="IZS228" s="1"/>
      <c r="IZT228" s="1"/>
      <c r="IZU228" s="1"/>
      <c r="IZV228" s="1"/>
      <c r="IZW228" s="1"/>
      <c r="IZX228" s="1"/>
      <c r="IZY228" s="1"/>
      <c r="IZZ228" s="1"/>
      <c r="JAA228" s="1"/>
      <c r="JAB228" s="1"/>
      <c r="JAC228" s="1"/>
      <c r="JAD228" s="1"/>
      <c r="JAE228" s="1"/>
      <c r="JAF228" s="1"/>
      <c r="JAG228" s="1"/>
      <c r="JAH228" s="1"/>
      <c r="JAI228" s="1"/>
      <c r="JAJ228" s="1"/>
      <c r="JAK228" s="1"/>
      <c r="JAL228" s="1"/>
      <c r="JAM228" s="1"/>
      <c r="JAN228" s="1"/>
      <c r="JAO228" s="1"/>
      <c r="JAP228" s="1"/>
      <c r="JAQ228" s="1"/>
      <c r="JAR228" s="1"/>
      <c r="JAS228" s="1"/>
      <c r="JAT228" s="1"/>
      <c r="JAU228" s="1"/>
      <c r="JAV228" s="1"/>
      <c r="JAW228" s="1"/>
      <c r="JAX228" s="1"/>
      <c r="JAY228" s="1"/>
      <c r="JAZ228" s="1"/>
      <c r="JBA228" s="1"/>
      <c r="JBB228" s="1"/>
      <c r="JBC228" s="1"/>
      <c r="JBD228" s="1"/>
      <c r="JBE228" s="1"/>
      <c r="JBF228" s="1"/>
      <c r="JBG228" s="1"/>
      <c r="JBH228" s="1"/>
      <c r="JBI228" s="1"/>
      <c r="JBJ228" s="1"/>
      <c r="JBK228" s="1"/>
      <c r="JBL228" s="1"/>
      <c r="JBM228" s="1"/>
      <c r="JBN228" s="1"/>
      <c r="JBO228" s="1"/>
      <c r="JBP228" s="1"/>
      <c r="JBQ228" s="1"/>
      <c r="JBR228" s="1"/>
      <c r="JBS228" s="1"/>
      <c r="JBT228" s="1"/>
      <c r="JBU228" s="1"/>
      <c r="JBV228" s="1"/>
      <c r="JBW228" s="1"/>
      <c r="JBX228" s="1"/>
      <c r="JBY228" s="1"/>
      <c r="JBZ228" s="1"/>
      <c r="JCA228" s="1"/>
      <c r="JCB228" s="1"/>
      <c r="JCC228" s="1"/>
      <c r="JCD228" s="1"/>
      <c r="JCE228" s="1"/>
      <c r="JCF228" s="1"/>
      <c r="JCG228" s="1"/>
      <c r="JCH228" s="1"/>
      <c r="JCI228" s="1"/>
      <c r="JCJ228" s="1"/>
      <c r="JCK228" s="1"/>
      <c r="JCL228" s="1"/>
      <c r="JCM228" s="1"/>
      <c r="JCN228" s="1"/>
      <c r="JCO228" s="1"/>
      <c r="JCP228" s="1"/>
      <c r="JCQ228" s="1"/>
      <c r="JCR228" s="1"/>
      <c r="JCS228" s="1"/>
      <c r="JCT228" s="1"/>
      <c r="JCU228" s="1"/>
      <c r="JCV228" s="1"/>
      <c r="JCW228" s="1"/>
      <c r="JCX228" s="1"/>
      <c r="JCY228" s="1"/>
      <c r="JCZ228" s="1"/>
      <c r="JDA228" s="1"/>
      <c r="JDB228" s="1"/>
      <c r="JDC228" s="1"/>
      <c r="JDD228" s="1"/>
      <c r="JDE228" s="1"/>
      <c r="JDF228" s="1"/>
      <c r="JDG228" s="1"/>
      <c r="JDH228" s="1"/>
      <c r="JDI228" s="1"/>
      <c r="JDJ228" s="1"/>
      <c r="JDK228" s="1"/>
      <c r="JDL228" s="1"/>
      <c r="JDM228" s="1"/>
      <c r="JDN228" s="1"/>
      <c r="JDO228" s="1"/>
      <c r="JDP228" s="1"/>
      <c r="JDQ228" s="1"/>
      <c r="JDR228" s="1"/>
      <c r="JDS228" s="1"/>
      <c r="JDT228" s="1"/>
      <c r="JDU228" s="1"/>
      <c r="JDV228" s="1"/>
      <c r="JDW228" s="1"/>
      <c r="JDX228" s="1"/>
      <c r="JDY228" s="1"/>
      <c r="JDZ228" s="1"/>
      <c r="JEA228" s="1"/>
      <c r="JEB228" s="1"/>
      <c r="JEC228" s="1"/>
      <c r="JED228" s="1"/>
      <c r="JEE228" s="1"/>
      <c r="JEF228" s="1"/>
      <c r="JEG228" s="1"/>
      <c r="JEH228" s="1"/>
      <c r="JEI228" s="1"/>
      <c r="JEJ228" s="1"/>
      <c r="JEK228" s="1"/>
      <c r="JEL228" s="1"/>
      <c r="JEM228" s="1"/>
      <c r="JEN228" s="1"/>
      <c r="JEO228" s="1"/>
      <c r="JEP228" s="1"/>
      <c r="JEQ228" s="1"/>
      <c r="JER228" s="1"/>
      <c r="JES228" s="1"/>
      <c r="JET228" s="1"/>
      <c r="JEU228" s="1"/>
      <c r="JEV228" s="1"/>
      <c r="JEW228" s="1"/>
      <c r="JEX228" s="1"/>
      <c r="JEY228" s="1"/>
      <c r="JEZ228" s="1"/>
      <c r="JFA228" s="1"/>
      <c r="JFB228" s="1"/>
      <c r="JFC228" s="1"/>
      <c r="JFD228" s="1"/>
      <c r="JFE228" s="1"/>
      <c r="JFF228" s="1"/>
      <c r="JFG228" s="1"/>
      <c r="JFH228" s="1"/>
      <c r="JFI228" s="1"/>
      <c r="JFJ228" s="1"/>
      <c r="JFK228" s="1"/>
      <c r="JFL228" s="1"/>
      <c r="JFM228" s="1"/>
      <c r="JFN228" s="1"/>
      <c r="JFO228" s="1"/>
      <c r="JFP228" s="1"/>
      <c r="JFQ228" s="1"/>
      <c r="JFR228" s="1"/>
      <c r="JFS228" s="1"/>
      <c r="JFT228" s="1"/>
      <c r="JFU228" s="1"/>
      <c r="JFV228" s="1"/>
      <c r="JFW228" s="1"/>
      <c r="JFX228" s="1"/>
      <c r="JFY228" s="1"/>
      <c r="JFZ228" s="1"/>
      <c r="JGA228" s="1"/>
      <c r="JGB228" s="1"/>
      <c r="JGC228" s="1"/>
      <c r="JGD228" s="1"/>
      <c r="JGE228" s="1"/>
      <c r="JGF228" s="1"/>
      <c r="JGG228" s="1"/>
      <c r="JGH228" s="1"/>
      <c r="JGI228" s="1"/>
      <c r="JGJ228" s="1"/>
      <c r="JGK228" s="1"/>
      <c r="JGL228" s="1"/>
      <c r="JGM228" s="1"/>
      <c r="JGN228" s="1"/>
      <c r="JGO228" s="1"/>
      <c r="JGP228" s="1"/>
      <c r="JGQ228" s="1"/>
      <c r="JGR228" s="1"/>
      <c r="JGS228" s="1"/>
      <c r="JGT228" s="1"/>
      <c r="JGU228" s="1"/>
      <c r="JGV228" s="1"/>
      <c r="JGW228" s="1"/>
      <c r="JGX228" s="1"/>
      <c r="JGY228" s="1"/>
      <c r="JGZ228" s="1"/>
      <c r="JHA228" s="1"/>
      <c r="JHB228" s="1"/>
      <c r="JHC228" s="1"/>
      <c r="JHD228" s="1"/>
      <c r="JHE228" s="1"/>
      <c r="JHF228" s="1"/>
      <c r="JHG228" s="1"/>
      <c r="JHH228" s="1"/>
      <c r="JHI228" s="1"/>
      <c r="JHJ228" s="1"/>
      <c r="JHK228" s="1"/>
      <c r="JHL228" s="1"/>
      <c r="JHM228" s="1"/>
      <c r="JHN228" s="1"/>
      <c r="JHO228" s="1"/>
      <c r="JHP228" s="1"/>
      <c r="JHQ228" s="1"/>
      <c r="JHR228" s="1"/>
      <c r="JHS228" s="1"/>
      <c r="JHT228" s="1"/>
      <c r="JHU228" s="1"/>
      <c r="JHV228" s="1"/>
      <c r="JHW228" s="1"/>
      <c r="JHX228" s="1"/>
      <c r="JHY228" s="1"/>
      <c r="JHZ228" s="1"/>
      <c r="JIA228" s="1"/>
      <c r="JIB228" s="1"/>
      <c r="JIC228" s="1"/>
      <c r="JID228" s="1"/>
      <c r="JIE228" s="1"/>
      <c r="JIF228" s="1"/>
      <c r="JIG228" s="1"/>
      <c r="JIH228" s="1"/>
      <c r="JII228" s="1"/>
      <c r="JIJ228" s="1"/>
      <c r="JIK228" s="1"/>
      <c r="JIL228" s="1"/>
      <c r="JIM228" s="1"/>
      <c r="JIN228" s="1"/>
      <c r="JIO228" s="1"/>
      <c r="JIP228" s="1"/>
      <c r="JIQ228" s="1"/>
      <c r="JIR228" s="1"/>
      <c r="JIS228" s="1"/>
      <c r="JIT228" s="1"/>
      <c r="JIU228" s="1"/>
      <c r="JIV228" s="1"/>
      <c r="JIW228" s="1"/>
      <c r="JIX228" s="1"/>
      <c r="JIY228" s="1"/>
      <c r="JIZ228" s="1"/>
      <c r="JJA228" s="1"/>
      <c r="JJB228" s="1"/>
      <c r="JJC228" s="1"/>
      <c r="JJD228" s="1"/>
      <c r="JJE228" s="1"/>
      <c r="JJF228" s="1"/>
      <c r="JJG228" s="1"/>
      <c r="JJH228" s="1"/>
      <c r="JJI228" s="1"/>
      <c r="JJJ228" s="1"/>
      <c r="JJK228" s="1"/>
      <c r="JJL228" s="1"/>
      <c r="JJM228" s="1"/>
      <c r="JJN228" s="1"/>
      <c r="JJO228" s="1"/>
      <c r="JJP228" s="1"/>
      <c r="JJQ228" s="1"/>
      <c r="JJR228" s="1"/>
      <c r="JJS228" s="1"/>
      <c r="JJT228" s="1"/>
      <c r="JJU228" s="1"/>
      <c r="JJV228" s="1"/>
      <c r="JJW228" s="1"/>
      <c r="JJX228" s="1"/>
      <c r="JJY228" s="1"/>
      <c r="JJZ228" s="1"/>
      <c r="JKA228" s="1"/>
      <c r="JKB228" s="1"/>
      <c r="JKC228" s="1"/>
      <c r="JKD228" s="1"/>
      <c r="JKE228" s="1"/>
      <c r="JKF228" s="1"/>
      <c r="JKG228" s="1"/>
      <c r="JKH228" s="1"/>
      <c r="JKI228" s="1"/>
      <c r="JKJ228" s="1"/>
      <c r="JKK228" s="1"/>
      <c r="JKL228" s="1"/>
      <c r="JKM228" s="1"/>
      <c r="JKN228" s="1"/>
      <c r="JKO228" s="1"/>
      <c r="JKP228" s="1"/>
      <c r="JKQ228" s="1"/>
      <c r="JKR228" s="1"/>
      <c r="JKS228" s="1"/>
      <c r="JKT228" s="1"/>
      <c r="JKU228" s="1"/>
      <c r="JKV228" s="1"/>
      <c r="JKW228" s="1"/>
      <c r="JKX228" s="1"/>
      <c r="JKY228" s="1"/>
      <c r="JKZ228" s="1"/>
      <c r="JLA228" s="1"/>
      <c r="JLB228" s="1"/>
      <c r="JLC228" s="1"/>
      <c r="JLD228" s="1"/>
      <c r="JLE228" s="1"/>
      <c r="JLF228" s="1"/>
      <c r="JLG228" s="1"/>
      <c r="JLH228" s="1"/>
      <c r="JLI228" s="1"/>
      <c r="JLJ228" s="1"/>
      <c r="JLK228" s="1"/>
      <c r="JLL228" s="1"/>
      <c r="JLM228" s="1"/>
      <c r="JLN228" s="1"/>
      <c r="JLO228" s="1"/>
      <c r="JLP228" s="1"/>
      <c r="JLQ228" s="1"/>
      <c r="JLR228" s="1"/>
      <c r="JLS228" s="1"/>
      <c r="JLT228" s="1"/>
      <c r="JLU228" s="1"/>
      <c r="JLV228" s="1"/>
      <c r="JLW228" s="1"/>
      <c r="JLX228" s="1"/>
      <c r="JLY228" s="1"/>
      <c r="JLZ228" s="1"/>
      <c r="JMA228" s="1"/>
      <c r="JMB228" s="1"/>
      <c r="JMC228" s="1"/>
      <c r="JMD228" s="1"/>
      <c r="JME228" s="1"/>
      <c r="JMF228" s="1"/>
      <c r="JMG228" s="1"/>
      <c r="JMH228" s="1"/>
      <c r="JMI228" s="1"/>
      <c r="JMJ228" s="1"/>
      <c r="JMK228" s="1"/>
      <c r="JML228" s="1"/>
      <c r="JMM228" s="1"/>
      <c r="JMN228" s="1"/>
      <c r="JMO228" s="1"/>
      <c r="JMP228" s="1"/>
      <c r="JMQ228" s="1"/>
      <c r="JMR228" s="1"/>
      <c r="JMS228" s="1"/>
      <c r="JMT228" s="1"/>
      <c r="JMU228" s="1"/>
      <c r="JMV228" s="1"/>
      <c r="JMW228" s="1"/>
      <c r="JMX228" s="1"/>
      <c r="JMY228" s="1"/>
      <c r="JMZ228" s="1"/>
      <c r="JNA228" s="1"/>
      <c r="JNB228" s="1"/>
      <c r="JNC228" s="1"/>
      <c r="JND228" s="1"/>
      <c r="JNE228" s="1"/>
      <c r="JNF228" s="1"/>
      <c r="JNG228" s="1"/>
      <c r="JNH228" s="1"/>
      <c r="JNI228" s="1"/>
      <c r="JNJ228" s="1"/>
      <c r="JNK228" s="1"/>
      <c r="JNL228" s="1"/>
      <c r="JNM228" s="1"/>
      <c r="JNN228" s="1"/>
      <c r="JNO228" s="1"/>
      <c r="JNP228" s="1"/>
      <c r="JNQ228" s="1"/>
      <c r="JNR228" s="1"/>
      <c r="JNS228" s="1"/>
      <c r="JNT228" s="1"/>
      <c r="JNU228" s="1"/>
      <c r="JNV228" s="1"/>
      <c r="JNW228" s="1"/>
      <c r="JNX228" s="1"/>
      <c r="JNY228" s="1"/>
      <c r="JNZ228" s="1"/>
      <c r="JOA228" s="1"/>
      <c r="JOB228" s="1"/>
      <c r="JOC228" s="1"/>
      <c r="JOD228" s="1"/>
      <c r="JOE228" s="1"/>
      <c r="JOF228" s="1"/>
      <c r="JOG228" s="1"/>
      <c r="JOH228" s="1"/>
      <c r="JOI228" s="1"/>
      <c r="JOJ228" s="1"/>
      <c r="JOK228" s="1"/>
      <c r="JOL228" s="1"/>
      <c r="JOM228" s="1"/>
      <c r="JON228" s="1"/>
      <c r="JOO228" s="1"/>
      <c r="JOP228" s="1"/>
      <c r="JOQ228" s="1"/>
      <c r="JOR228" s="1"/>
      <c r="JOS228" s="1"/>
      <c r="JOT228" s="1"/>
      <c r="JOU228" s="1"/>
      <c r="JOV228" s="1"/>
      <c r="JOW228" s="1"/>
      <c r="JOX228" s="1"/>
      <c r="JOY228" s="1"/>
      <c r="JOZ228" s="1"/>
      <c r="JPA228" s="1"/>
      <c r="JPB228" s="1"/>
      <c r="JPC228" s="1"/>
      <c r="JPD228" s="1"/>
      <c r="JPE228" s="1"/>
      <c r="JPF228" s="1"/>
      <c r="JPG228" s="1"/>
      <c r="JPH228" s="1"/>
      <c r="JPI228" s="1"/>
      <c r="JPJ228" s="1"/>
      <c r="JPK228" s="1"/>
      <c r="JPL228" s="1"/>
      <c r="JPM228" s="1"/>
      <c r="JPN228" s="1"/>
      <c r="JPO228" s="1"/>
      <c r="JPP228" s="1"/>
      <c r="JPQ228" s="1"/>
      <c r="JPR228" s="1"/>
      <c r="JPS228" s="1"/>
      <c r="JPT228" s="1"/>
      <c r="JPU228" s="1"/>
      <c r="JPV228" s="1"/>
      <c r="JPW228" s="1"/>
      <c r="JPX228" s="1"/>
      <c r="JPY228" s="1"/>
      <c r="JPZ228" s="1"/>
      <c r="JQA228" s="1"/>
      <c r="JQB228" s="1"/>
      <c r="JQC228" s="1"/>
      <c r="JQD228" s="1"/>
      <c r="JQE228" s="1"/>
      <c r="JQF228" s="1"/>
      <c r="JQG228" s="1"/>
      <c r="JQH228" s="1"/>
      <c r="JQI228" s="1"/>
      <c r="JQJ228" s="1"/>
      <c r="JQK228" s="1"/>
      <c r="JQL228" s="1"/>
      <c r="JQM228" s="1"/>
      <c r="JQN228" s="1"/>
      <c r="JQO228" s="1"/>
      <c r="JQP228" s="1"/>
      <c r="JQQ228" s="1"/>
      <c r="JQR228" s="1"/>
      <c r="JQS228" s="1"/>
      <c r="JQT228" s="1"/>
      <c r="JQU228" s="1"/>
      <c r="JQV228" s="1"/>
      <c r="JQW228" s="1"/>
      <c r="JQX228" s="1"/>
      <c r="JQY228" s="1"/>
      <c r="JQZ228" s="1"/>
      <c r="JRA228" s="1"/>
      <c r="JRB228" s="1"/>
      <c r="JRC228" s="1"/>
      <c r="JRD228" s="1"/>
      <c r="JRE228" s="1"/>
      <c r="JRF228" s="1"/>
      <c r="JRG228" s="1"/>
      <c r="JRH228" s="1"/>
      <c r="JRI228" s="1"/>
      <c r="JRJ228" s="1"/>
      <c r="JRK228" s="1"/>
      <c r="JRL228" s="1"/>
      <c r="JRM228" s="1"/>
      <c r="JRN228" s="1"/>
      <c r="JRO228" s="1"/>
      <c r="JRP228" s="1"/>
      <c r="JRQ228" s="1"/>
      <c r="JRR228" s="1"/>
      <c r="JRS228" s="1"/>
      <c r="JRT228" s="1"/>
      <c r="JRU228" s="1"/>
      <c r="JRV228" s="1"/>
      <c r="JRW228" s="1"/>
      <c r="JRX228" s="1"/>
      <c r="JRY228" s="1"/>
      <c r="JRZ228" s="1"/>
      <c r="JSA228" s="1"/>
      <c r="JSB228" s="1"/>
      <c r="JSC228" s="1"/>
      <c r="JSD228" s="1"/>
      <c r="JSE228" s="1"/>
      <c r="JSF228" s="1"/>
      <c r="JSG228" s="1"/>
      <c r="JSH228" s="1"/>
      <c r="JSI228" s="1"/>
      <c r="JSJ228" s="1"/>
      <c r="JSK228" s="1"/>
      <c r="JSL228" s="1"/>
      <c r="JSM228" s="1"/>
      <c r="JSN228" s="1"/>
      <c r="JSO228" s="1"/>
      <c r="JSP228" s="1"/>
      <c r="JSQ228" s="1"/>
      <c r="JSR228" s="1"/>
      <c r="JSS228" s="1"/>
      <c r="JST228" s="1"/>
      <c r="JSU228" s="1"/>
      <c r="JSV228" s="1"/>
      <c r="JSW228" s="1"/>
      <c r="JSX228" s="1"/>
      <c r="JSY228" s="1"/>
      <c r="JSZ228" s="1"/>
      <c r="JTA228" s="1"/>
      <c r="JTB228" s="1"/>
      <c r="JTC228" s="1"/>
      <c r="JTD228" s="1"/>
      <c r="JTE228" s="1"/>
      <c r="JTF228" s="1"/>
      <c r="JTG228" s="1"/>
      <c r="JTH228" s="1"/>
      <c r="JTI228" s="1"/>
      <c r="JTJ228" s="1"/>
      <c r="JTK228" s="1"/>
      <c r="JTL228" s="1"/>
      <c r="JTM228" s="1"/>
      <c r="JTN228" s="1"/>
      <c r="JTO228" s="1"/>
      <c r="JTP228" s="1"/>
      <c r="JTQ228" s="1"/>
      <c r="JTR228" s="1"/>
      <c r="JTS228" s="1"/>
      <c r="JTT228" s="1"/>
      <c r="JTU228" s="1"/>
      <c r="JTV228" s="1"/>
      <c r="JTW228" s="1"/>
      <c r="JTX228" s="1"/>
      <c r="JTY228" s="1"/>
      <c r="JTZ228" s="1"/>
      <c r="JUA228" s="1"/>
      <c r="JUB228" s="1"/>
      <c r="JUC228" s="1"/>
      <c r="JUD228" s="1"/>
      <c r="JUE228" s="1"/>
      <c r="JUF228" s="1"/>
      <c r="JUG228" s="1"/>
      <c r="JUH228" s="1"/>
      <c r="JUI228" s="1"/>
      <c r="JUJ228" s="1"/>
      <c r="JUK228" s="1"/>
      <c r="JUL228" s="1"/>
      <c r="JUM228" s="1"/>
      <c r="JUN228" s="1"/>
      <c r="JUO228" s="1"/>
      <c r="JUP228" s="1"/>
      <c r="JUQ228" s="1"/>
      <c r="JUR228" s="1"/>
      <c r="JUS228" s="1"/>
      <c r="JUT228" s="1"/>
      <c r="JUU228" s="1"/>
      <c r="JUV228" s="1"/>
      <c r="JUW228" s="1"/>
      <c r="JUX228" s="1"/>
      <c r="JUY228" s="1"/>
      <c r="JUZ228" s="1"/>
      <c r="JVA228" s="1"/>
      <c r="JVB228" s="1"/>
      <c r="JVC228" s="1"/>
      <c r="JVD228" s="1"/>
      <c r="JVE228" s="1"/>
      <c r="JVF228" s="1"/>
      <c r="JVG228" s="1"/>
      <c r="JVH228" s="1"/>
      <c r="JVI228" s="1"/>
      <c r="JVJ228" s="1"/>
      <c r="JVK228" s="1"/>
      <c r="JVL228" s="1"/>
      <c r="JVM228" s="1"/>
      <c r="JVN228" s="1"/>
      <c r="JVO228" s="1"/>
      <c r="JVP228" s="1"/>
      <c r="JVQ228" s="1"/>
      <c r="JVR228" s="1"/>
      <c r="JVS228" s="1"/>
      <c r="JVT228" s="1"/>
      <c r="JVU228" s="1"/>
      <c r="JVV228" s="1"/>
      <c r="JVW228" s="1"/>
      <c r="JVX228" s="1"/>
      <c r="JVY228" s="1"/>
      <c r="JVZ228" s="1"/>
      <c r="JWA228" s="1"/>
      <c r="JWB228" s="1"/>
      <c r="JWC228" s="1"/>
      <c r="JWD228" s="1"/>
      <c r="JWE228" s="1"/>
      <c r="JWF228" s="1"/>
      <c r="JWG228" s="1"/>
      <c r="JWH228" s="1"/>
      <c r="JWI228" s="1"/>
      <c r="JWJ228" s="1"/>
      <c r="JWK228" s="1"/>
      <c r="JWL228" s="1"/>
      <c r="JWM228" s="1"/>
      <c r="JWN228" s="1"/>
      <c r="JWO228" s="1"/>
      <c r="JWP228" s="1"/>
      <c r="JWQ228" s="1"/>
      <c r="JWR228" s="1"/>
      <c r="JWS228" s="1"/>
      <c r="JWT228" s="1"/>
      <c r="JWU228" s="1"/>
      <c r="JWV228" s="1"/>
      <c r="JWW228" s="1"/>
      <c r="JWX228" s="1"/>
      <c r="JWY228" s="1"/>
      <c r="JWZ228" s="1"/>
      <c r="JXA228" s="1"/>
      <c r="JXB228" s="1"/>
      <c r="JXC228" s="1"/>
      <c r="JXD228" s="1"/>
      <c r="JXE228" s="1"/>
      <c r="JXF228" s="1"/>
      <c r="JXG228" s="1"/>
      <c r="JXH228" s="1"/>
      <c r="JXI228" s="1"/>
      <c r="JXJ228" s="1"/>
      <c r="JXK228" s="1"/>
      <c r="JXL228" s="1"/>
      <c r="JXM228" s="1"/>
      <c r="JXN228" s="1"/>
      <c r="JXO228" s="1"/>
      <c r="JXP228" s="1"/>
      <c r="JXQ228" s="1"/>
      <c r="JXR228" s="1"/>
      <c r="JXS228" s="1"/>
      <c r="JXT228" s="1"/>
      <c r="JXU228" s="1"/>
      <c r="JXV228" s="1"/>
      <c r="JXW228" s="1"/>
      <c r="JXX228" s="1"/>
      <c r="JXY228" s="1"/>
      <c r="JXZ228" s="1"/>
      <c r="JYA228" s="1"/>
      <c r="JYB228" s="1"/>
      <c r="JYC228" s="1"/>
      <c r="JYD228" s="1"/>
      <c r="JYE228" s="1"/>
      <c r="JYF228" s="1"/>
      <c r="JYG228" s="1"/>
      <c r="JYH228" s="1"/>
      <c r="JYI228" s="1"/>
      <c r="JYJ228" s="1"/>
      <c r="JYK228" s="1"/>
      <c r="JYL228" s="1"/>
      <c r="JYM228" s="1"/>
      <c r="JYN228" s="1"/>
      <c r="JYO228" s="1"/>
      <c r="JYP228" s="1"/>
      <c r="JYQ228" s="1"/>
      <c r="JYR228" s="1"/>
      <c r="JYS228" s="1"/>
      <c r="JYT228" s="1"/>
      <c r="JYU228" s="1"/>
      <c r="JYV228" s="1"/>
      <c r="JYW228" s="1"/>
      <c r="JYX228" s="1"/>
      <c r="JYY228" s="1"/>
      <c r="JYZ228" s="1"/>
      <c r="JZA228" s="1"/>
      <c r="JZB228" s="1"/>
      <c r="JZC228" s="1"/>
      <c r="JZD228" s="1"/>
      <c r="JZE228" s="1"/>
      <c r="JZF228" s="1"/>
      <c r="JZG228" s="1"/>
      <c r="JZH228" s="1"/>
      <c r="JZI228" s="1"/>
      <c r="JZJ228" s="1"/>
      <c r="JZK228" s="1"/>
      <c r="JZL228" s="1"/>
      <c r="JZM228" s="1"/>
      <c r="JZN228" s="1"/>
      <c r="JZO228" s="1"/>
      <c r="JZP228" s="1"/>
      <c r="JZQ228" s="1"/>
      <c r="JZR228" s="1"/>
      <c r="JZS228" s="1"/>
      <c r="JZT228" s="1"/>
      <c r="JZU228" s="1"/>
      <c r="JZV228" s="1"/>
      <c r="JZW228" s="1"/>
      <c r="JZX228" s="1"/>
      <c r="JZY228" s="1"/>
      <c r="JZZ228" s="1"/>
      <c r="KAA228" s="1"/>
      <c r="KAB228" s="1"/>
      <c r="KAC228" s="1"/>
      <c r="KAD228" s="1"/>
      <c r="KAE228" s="1"/>
      <c r="KAF228" s="1"/>
      <c r="KAG228" s="1"/>
      <c r="KAH228" s="1"/>
      <c r="KAI228" s="1"/>
      <c r="KAJ228" s="1"/>
      <c r="KAK228" s="1"/>
      <c r="KAL228" s="1"/>
      <c r="KAM228" s="1"/>
      <c r="KAN228" s="1"/>
      <c r="KAO228" s="1"/>
      <c r="KAP228" s="1"/>
      <c r="KAQ228" s="1"/>
      <c r="KAR228" s="1"/>
      <c r="KAS228" s="1"/>
      <c r="KAT228" s="1"/>
      <c r="KAU228" s="1"/>
      <c r="KAV228" s="1"/>
      <c r="KAW228" s="1"/>
      <c r="KAX228" s="1"/>
      <c r="KAY228" s="1"/>
      <c r="KAZ228" s="1"/>
      <c r="KBA228" s="1"/>
      <c r="KBB228" s="1"/>
      <c r="KBC228" s="1"/>
      <c r="KBD228" s="1"/>
      <c r="KBE228" s="1"/>
      <c r="KBF228" s="1"/>
      <c r="KBG228" s="1"/>
      <c r="KBH228" s="1"/>
      <c r="KBI228" s="1"/>
      <c r="KBJ228" s="1"/>
      <c r="KBK228" s="1"/>
      <c r="KBL228" s="1"/>
      <c r="KBM228" s="1"/>
      <c r="KBN228" s="1"/>
      <c r="KBO228" s="1"/>
      <c r="KBP228" s="1"/>
      <c r="KBQ228" s="1"/>
      <c r="KBR228" s="1"/>
      <c r="KBS228" s="1"/>
      <c r="KBT228" s="1"/>
      <c r="KBU228" s="1"/>
      <c r="KBV228" s="1"/>
      <c r="KBW228" s="1"/>
      <c r="KBX228" s="1"/>
      <c r="KBY228" s="1"/>
      <c r="KBZ228" s="1"/>
      <c r="KCA228" s="1"/>
      <c r="KCB228" s="1"/>
      <c r="KCC228" s="1"/>
      <c r="KCD228" s="1"/>
      <c r="KCE228" s="1"/>
      <c r="KCF228" s="1"/>
      <c r="KCG228" s="1"/>
      <c r="KCH228" s="1"/>
      <c r="KCI228" s="1"/>
      <c r="KCJ228" s="1"/>
      <c r="KCK228" s="1"/>
      <c r="KCL228" s="1"/>
      <c r="KCM228" s="1"/>
      <c r="KCN228" s="1"/>
      <c r="KCO228" s="1"/>
      <c r="KCP228" s="1"/>
      <c r="KCQ228" s="1"/>
      <c r="KCR228" s="1"/>
      <c r="KCS228" s="1"/>
      <c r="KCT228" s="1"/>
      <c r="KCU228" s="1"/>
      <c r="KCV228" s="1"/>
      <c r="KCW228" s="1"/>
      <c r="KCX228" s="1"/>
      <c r="KCY228" s="1"/>
      <c r="KCZ228" s="1"/>
      <c r="KDA228" s="1"/>
      <c r="KDB228" s="1"/>
      <c r="KDC228" s="1"/>
      <c r="KDD228" s="1"/>
      <c r="KDE228" s="1"/>
      <c r="KDF228" s="1"/>
      <c r="KDG228" s="1"/>
      <c r="KDH228" s="1"/>
      <c r="KDI228" s="1"/>
      <c r="KDJ228" s="1"/>
      <c r="KDK228" s="1"/>
      <c r="KDL228" s="1"/>
      <c r="KDM228" s="1"/>
      <c r="KDN228" s="1"/>
      <c r="KDO228" s="1"/>
      <c r="KDP228" s="1"/>
      <c r="KDQ228" s="1"/>
      <c r="KDR228" s="1"/>
      <c r="KDS228" s="1"/>
      <c r="KDT228" s="1"/>
      <c r="KDU228" s="1"/>
      <c r="KDV228" s="1"/>
      <c r="KDW228" s="1"/>
      <c r="KDX228" s="1"/>
      <c r="KDY228" s="1"/>
      <c r="KDZ228" s="1"/>
      <c r="KEA228" s="1"/>
      <c r="KEB228" s="1"/>
      <c r="KEC228" s="1"/>
      <c r="KED228" s="1"/>
      <c r="KEE228" s="1"/>
      <c r="KEF228" s="1"/>
      <c r="KEG228" s="1"/>
      <c r="KEH228" s="1"/>
      <c r="KEI228" s="1"/>
      <c r="KEJ228" s="1"/>
      <c r="KEK228" s="1"/>
      <c r="KEL228" s="1"/>
      <c r="KEM228" s="1"/>
      <c r="KEN228" s="1"/>
      <c r="KEO228" s="1"/>
      <c r="KEP228" s="1"/>
      <c r="KEQ228" s="1"/>
      <c r="KER228" s="1"/>
      <c r="KES228" s="1"/>
      <c r="KET228" s="1"/>
      <c r="KEU228" s="1"/>
      <c r="KEV228" s="1"/>
      <c r="KEW228" s="1"/>
      <c r="KEX228" s="1"/>
      <c r="KEY228" s="1"/>
      <c r="KEZ228" s="1"/>
      <c r="KFA228" s="1"/>
      <c r="KFB228" s="1"/>
      <c r="KFC228" s="1"/>
      <c r="KFD228" s="1"/>
      <c r="KFE228" s="1"/>
      <c r="KFF228" s="1"/>
      <c r="KFG228" s="1"/>
      <c r="KFH228" s="1"/>
      <c r="KFI228" s="1"/>
      <c r="KFJ228" s="1"/>
      <c r="KFK228" s="1"/>
      <c r="KFL228" s="1"/>
      <c r="KFM228" s="1"/>
      <c r="KFN228" s="1"/>
      <c r="KFO228" s="1"/>
      <c r="KFP228" s="1"/>
      <c r="KFQ228" s="1"/>
      <c r="KFR228" s="1"/>
      <c r="KFS228" s="1"/>
      <c r="KFT228" s="1"/>
      <c r="KFU228" s="1"/>
      <c r="KFV228" s="1"/>
      <c r="KFW228" s="1"/>
      <c r="KFX228" s="1"/>
      <c r="KFY228" s="1"/>
      <c r="KFZ228" s="1"/>
      <c r="KGA228" s="1"/>
      <c r="KGB228" s="1"/>
      <c r="KGC228" s="1"/>
      <c r="KGD228" s="1"/>
      <c r="KGE228" s="1"/>
      <c r="KGF228" s="1"/>
      <c r="KGG228" s="1"/>
      <c r="KGH228" s="1"/>
      <c r="KGI228" s="1"/>
      <c r="KGJ228" s="1"/>
      <c r="KGK228" s="1"/>
      <c r="KGL228" s="1"/>
      <c r="KGM228" s="1"/>
      <c r="KGN228" s="1"/>
      <c r="KGO228" s="1"/>
      <c r="KGP228" s="1"/>
      <c r="KGQ228" s="1"/>
      <c r="KGR228" s="1"/>
      <c r="KGS228" s="1"/>
      <c r="KGT228" s="1"/>
      <c r="KGU228" s="1"/>
      <c r="KGV228" s="1"/>
      <c r="KGW228" s="1"/>
      <c r="KGX228" s="1"/>
      <c r="KGY228" s="1"/>
      <c r="KGZ228" s="1"/>
      <c r="KHA228" s="1"/>
      <c r="KHB228" s="1"/>
      <c r="KHC228" s="1"/>
      <c r="KHD228" s="1"/>
      <c r="KHE228" s="1"/>
      <c r="KHF228" s="1"/>
      <c r="KHG228" s="1"/>
      <c r="KHH228" s="1"/>
      <c r="KHI228" s="1"/>
      <c r="KHJ228" s="1"/>
      <c r="KHK228" s="1"/>
      <c r="KHL228" s="1"/>
      <c r="KHM228" s="1"/>
      <c r="KHN228" s="1"/>
      <c r="KHO228" s="1"/>
      <c r="KHP228" s="1"/>
      <c r="KHQ228" s="1"/>
      <c r="KHR228" s="1"/>
      <c r="KHS228" s="1"/>
      <c r="KHT228" s="1"/>
      <c r="KHU228" s="1"/>
      <c r="KHV228" s="1"/>
      <c r="KHW228" s="1"/>
      <c r="KHX228" s="1"/>
      <c r="KHY228" s="1"/>
      <c r="KHZ228" s="1"/>
      <c r="KIA228" s="1"/>
      <c r="KIB228" s="1"/>
      <c r="KIC228" s="1"/>
      <c r="KID228" s="1"/>
      <c r="KIE228" s="1"/>
      <c r="KIF228" s="1"/>
      <c r="KIG228" s="1"/>
      <c r="KIH228" s="1"/>
      <c r="KII228" s="1"/>
      <c r="KIJ228" s="1"/>
      <c r="KIK228" s="1"/>
      <c r="KIL228" s="1"/>
      <c r="KIM228" s="1"/>
      <c r="KIN228" s="1"/>
      <c r="KIO228" s="1"/>
      <c r="KIP228" s="1"/>
      <c r="KIQ228" s="1"/>
      <c r="KIR228" s="1"/>
      <c r="KIS228" s="1"/>
      <c r="KIT228" s="1"/>
      <c r="KIU228" s="1"/>
      <c r="KIV228" s="1"/>
      <c r="KIW228" s="1"/>
      <c r="KIX228" s="1"/>
      <c r="KIY228" s="1"/>
      <c r="KIZ228" s="1"/>
      <c r="KJA228" s="1"/>
      <c r="KJB228" s="1"/>
      <c r="KJC228" s="1"/>
      <c r="KJD228" s="1"/>
      <c r="KJE228" s="1"/>
      <c r="KJF228" s="1"/>
      <c r="KJG228" s="1"/>
      <c r="KJH228" s="1"/>
      <c r="KJI228" s="1"/>
      <c r="KJJ228" s="1"/>
      <c r="KJK228" s="1"/>
      <c r="KJL228" s="1"/>
      <c r="KJM228" s="1"/>
      <c r="KJN228" s="1"/>
      <c r="KJO228" s="1"/>
      <c r="KJP228" s="1"/>
      <c r="KJQ228" s="1"/>
      <c r="KJR228" s="1"/>
      <c r="KJS228" s="1"/>
      <c r="KJT228" s="1"/>
      <c r="KJU228" s="1"/>
      <c r="KJV228" s="1"/>
      <c r="KJW228" s="1"/>
      <c r="KJX228" s="1"/>
      <c r="KJY228" s="1"/>
      <c r="KJZ228" s="1"/>
      <c r="KKA228" s="1"/>
      <c r="KKB228" s="1"/>
      <c r="KKC228" s="1"/>
      <c r="KKD228" s="1"/>
      <c r="KKE228" s="1"/>
      <c r="KKF228" s="1"/>
      <c r="KKG228" s="1"/>
      <c r="KKH228" s="1"/>
      <c r="KKI228" s="1"/>
      <c r="KKJ228" s="1"/>
      <c r="KKK228" s="1"/>
      <c r="KKL228" s="1"/>
      <c r="KKM228" s="1"/>
      <c r="KKN228" s="1"/>
      <c r="KKO228" s="1"/>
      <c r="KKP228" s="1"/>
      <c r="KKQ228" s="1"/>
      <c r="KKR228" s="1"/>
      <c r="KKS228" s="1"/>
      <c r="KKT228" s="1"/>
      <c r="KKU228" s="1"/>
      <c r="KKV228" s="1"/>
      <c r="KKW228" s="1"/>
      <c r="KKX228" s="1"/>
      <c r="KKY228" s="1"/>
      <c r="KKZ228" s="1"/>
      <c r="KLA228" s="1"/>
      <c r="KLB228" s="1"/>
      <c r="KLC228" s="1"/>
      <c r="KLD228" s="1"/>
      <c r="KLE228" s="1"/>
      <c r="KLF228" s="1"/>
      <c r="KLG228" s="1"/>
      <c r="KLH228" s="1"/>
      <c r="KLI228" s="1"/>
      <c r="KLJ228" s="1"/>
      <c r="KLK228" s="1"/>
      <c r="KLL228" s="1"/>
      <c r="KLM228" s="1"/>
      <c r="KLN228" s="1"/>
      <c r="KLO228" s="1"/>
      <c r="KLP228" s="1"/>
      <c r="KLQ228" s="1"/>
      <c r="KLR228" s="1"/>
      <c r="KLS228" s="1"/>
      <c r="KLT228" s="1"/>
      <c r="KLU228" s="1"/>
      <c r="KLV228" s="1"/>
      <c r="KLW228" s="1"/>
      <c r="KLX228" s="1"/>
      <c r="KLY228" s="1"/>
      <c r="KLZ228" s="1"/>
      <c r="KMA228" s="1"/>
      <c r="KMB228" s="1"/>
      <c r="KMC228" s="1"/>
      <c r="KMD228" s="1"/>
      <c r="KME228" s="1"/>
      <c r="KMF228" s="1"/>
      <c r="KMG228" s="1"/>
      <c r="KMH228" s="1"/>
      <c r="KMI228" s="1"/>
      <c r="KMJ228" s="1"/>
      <c r="KMK228" s="1"/>
      <c r="KML228" s="1"/>
      <c r="KMM228" s="1"/>
      <c r="KMN228" s="1"/>
      <c r="KMO228" s="1"/>
      <c r="KMP228" s="1"/>
      <c r="KMQ228" s="1"/>
      <c r="KMR228" s="1"/>
      <c r="KMS228" s="1"/>
      <c r="KMT228" s="1"/>
      <c r="KMU228" s="1"/>
      <c r="KMV228" s="1"/>
      <c r="KMW228" s="1"/>
      <c r="KMX228" s="1"/>
      <c r="KMY228" s="1"/>
      <c r="KMZ228" s="1"/>
      <c r="KNA228" s="1"/>
      <c r="KNB228" s="1"/>
      <c r="KNC228" s="1"/>
      <c r="KND228" s="1"/>
      <c r="KNE228" s="1"/>
      <c r="KNF228" s="1"/>
      <c r="KNG228" s="1"/>
      <c r="KNH228" s="1"/>
      <c r="KNI228" s="1"/>
      <c r="KNJ228" s="1"/>
      <c r="KNK228" s="1"/>
      <c r="KNL228" s="1"/>
      <c r="KNM228" s="1"/>
      <c r="KNN228" s="1"/>
      <c r="KNO228" s="1"/>
      <c r="KNP228" s="1"/>
      <c r="KNQ228" s="1"/>
      <c r="KNR228" s="1"/>
      <c r="KNS228" s="1"/>
      <c r="KNT228" s="1"/>
      <c r="KNU228" s="1"/>
      <c r="KNV228" s="1"/>
      <c r="KNW228" s="1"/>
      <c r="KNX228" s="1"/>
      <c r="KNY228" s="1"/>
      <c r="KNZ228" s="1"/>
      <c r="KOA228" s="1"/>
      <c r="KOB228" s="1"/>
      <c r="KOC228" s="1"/>
      <c r="KOD228" s="1"/>
      <c r="KOE228" s="1"/>
      <c r="KOF228" s="1"/>
      <c r="KOG228" s="1"/>
      <c r="KOH228" s="1"/>
      <c r="KOI228" s="1"/>
      <c r="KOJ228" s="1"/>
      <c r="KOK228" s="1"/>
      <c r="KOL228" s="1"/>
      <c r="KOM228" s="1"/>
      <c r="KON228" s="1"/>
      <c r="KOO228" s="1"/>
      <c r="KOP228" s="1"/>
      <c r="KOQ228" s="1"/>
      <c r="KOR228" s="1"/>
      <c r="KOS228" s="1"/>
      <c r="KOT228" s="1"/>
      <c r="KOU228" s="1"/>
      <c r="KOV228" s="1"/>
      <c r="KOW228" s="1"/>
      <c r="KOX228" s="1"/>
      <c r="KOY228" s="1"/>
      <c r="KOZ228" s="1"/>
      <c r="KPA228" s="1"/>
      <c r="KPB228" s="1"/>
      <c r="KPC228" s="1"/>
      <c r="KPD228" s="1"/>
      <c r="KPE228" s="1"/>
      <c r="KPF228" s="1"/>
      <c r="KPG228" s="1"/>
      <c r="KPH228" s="1"/>
      <c r="KPI228" s="1"/>
      <c r="KPJ228" s="1"/>
      <c r="KPK228" s="1"/>
      <c r="KPL228" s="1"/>
      <c r="KPM228" s="1"/>
      <c r="KPN228" s="1"/>
      <c r="KPO228" s="1"/>
      <c r="KPP228" s="1"/>
      <c r="KPQ228" s="1"/>
      <c r="KPR228" s="1"/>
      <c r="KPS228" s="1"/>
      <c r="KPT228" s="1"/>
      <c r="KPU228" s="1"/>
      <c r="KPV228" s="1"/>
      <c r="KPW228" s="1"/>
      <c r="KPX228" s="1"/>
      <c r="KPY228" s="1"/>
      <c r="KPZ228" s="1"/>
      <c r="KQA228" s="1"/>
      <c r="KQB228" s="1"/>
      <c r="KQC228" s="1"/>
      <c r="KQD228" s="1"/>
      <c r="KQE228" s="1"/>
      <c r="KQF228" s="1"/>
      <c r="KQG228" s="1"/>
      <c r="KQH228" s="1"/>
      <c r="KQI228" s="1"/>
      <c r="KQJ228" s="1"/>
      <c r="KQK228" s="1"/>
      <c r="KQL228" s="1"/>
      <c r="KQM228" s="1"/>
      <c r="KQN228" s="1"/>
      <c r="KQO228" s="1"/>
      <c r="KQP228" s="1"/>
      <c r="KQQ228" s="1"/>
      <c r="KQR228" s="1"/>
      <c r="KQS228" s="1"/>
      <c r="KQT228" s="1"/>
      <c r="KQU228" s="1"/>
      <c r="KQV228" s="1"/>
      <c r="KQW228" s="1"/>
      <c r="KQX228" s="1"/>
      <c r="KQY228" s="1"/>
      <c r="KQZ228" s="1"/>
      <c r="KRA228" s="1"/>
      <c r="KRB228" s="1"/>
      <c r="KRC228" s="1"/>
      <c r="KRD228" s="1"/>
      <c r="KRE228" s="1"/>
      <c r="KRF228" s="1"/>
      <c r="KRG228" s="1"/>
      <c r="KRH228" s="1"/>
      <c r="KRI228" s="1"/>
      <c r="KRJ228" s="1"/>
      <c r="KRK228" s="1"/>
      <c r="KRL228" s="1"/>
      <c r="KRM228" s="1"/>
      <c r="KRN228" s="1"/>
      <c r="KRO228" s="1"/>
      <c r="KRP228" s="1"/>
      <c r="KRQ228" s="1"/>
      <c r="KRR228" s="1"/>
      <c r="KRS228" s="1"/>
      <c r="KRT228" s="1"/>
      <c r="KRU228" s="1"/>
      <c r="KRV228" s="1"/>
      <c r="KRW228" s="1"/>
      <c r="KRX228" s="1"/>
      <c r="KRY228" s="1"/>
      <c r="KRZ228" s="1"/>
      <c r="KSA228" s="1"/>
      <c r="KSB228" s="1"/>
      <c r="KSC228" s="1"/>
      <c r="KSD228" s="1"/>
      <c r="KSE228" s="1"/>
      <c r="KSF228" s="1"/>
      <c r="KSG228" s="1"/>
      <c r="KSH228" s="1"/>
      <c r="KSI228" s="1"/>
      <c r="KSJ228" s="1"/>
      <c r="KSK228" s="1"/>
      <c r="KSL228" s="1"/>
      <c r="KSM228" s="1"/>
      <c r="KSN228" s="1"/>
      <c r="KSO228" s="1"/>
      <c r="KSP228" s="1"/>
      <c r="KSQ228" s="1"/>
      <c r="KSR228" s="1"/>
      <c r="KSS228" s="1"/>
      <c r="KST228" s="1"/>
      <c r="KSU228" s="1"/>
      <c r="KSV228" s="1"/>
      <c r="KSW228" s="1"/>
      <c r="KSX228" s="1"/>
      <c r="KSY228" s="1"/>
      <c r="KSZ228" s="1"/>
      <c r="KTA228" s="1"/>
      <c r="KTB228" s="1"/>
      <c r="KTC228" s="1"/>
      <c r="KTD228" s="1"/>
      <c r="KTE228" s="1"/>
      <c r="KTF228" s="1"/>
      <c r="KTG228" s="1"/>
      <c r="KTH228" s="1"/>
      <c r="KTI228" s="1"/>
      <c r="KTJ228" s="1"/>
      <c r="KTK228" s="1"/>
      <c r="KTL228" s="1"/>
      <c r="KTM228" s="1"/>
      <c r="KTN228" s="1"/>
      <c r="KTO228" s="1"/>
      <c r="KTP228" s="1"/>
      <c r="KTQ228" s="1"/>
      <c r="KTR228" s="1"/>
      <c r="KTS228" s="1"/>
      <c r="KTT228" s="1"/>
      <c r="KTU228" s="1"/>
      <c r="KTV228" s="1"/>
      <c r="KTW228" s="1"/>
      <c r="KTX228" s="1"/>
      <c r="KTY228" s="1"/>
      <c r="KTZ228" s="1"/>
      <c r="KUA228" s="1"/>
      <c r="KUB228" s="1"/>
      <c r="KUC228" s="1"/>
      <c r="KUD228" s="1"/>
      <c r="KUE228" s="1"/>
      <c r="KUF228" s="1"/>
      <c r="KUG228" s="1"/>
      <c r="KUH228" s="1"/>
      <c r="KUI228" s="1"/>
      <c r="KUJ228" s="1"/>
      <c r="KUK228" s="1"/>
      <c r="KUL228" s="1"/>
      <c r="KUM228" s="1"/>
      <c r="KUN228" s="1"/>
      <c r="KUO228" s="1"/>
      <c r="KUP228" s="1"/>
      <c r="KUQ228" s="1"/>
      <c r="KUR228" s="1"/>
      <c r="KUS228" s="1"/>
      <c r="KUT228" s="1"/>
      <c r="KUU228" s="1"/>
      <c r="KUV228" s="1"/>
      <c r="KUW228" s="1"/>
      <c r="KUX228" s="1"/>
      <c r="KUY228" s="1"/>
      <c r="KUZ228" s="1"/>
      <c r="KVA228" s="1"/>
      <c r="KVB228" s="1"/>
      <c r="KVC228" s="1"/>
      <c r="KVD228" s="1"/>
      <c r="KVE228" s="1"/>
      <c r="KVF228" s="1"/>
      <c r="KVG228" s="1"/>
      <c r="KVH228" s="1"/>
      <c r="KVI228" s="1"/>
      <c r="KVJ228" s="1"/>
      <c r="KVK228" s="1"/>
      <c r="KVL228" s="1"/>
      <c r="KVM228" s="1"/>
      <c r="KVN228" s="1"/>
      <c r="KVO228" s="1"/>
      <c r="KVP228" s="1"/>
      <c r="KVQ228" s="1"/>
      <c r="KVR228" s="1"/>
      <c r="KVS228" s="1"/>
      <c r="KVT228" s="1"/>
      <c r="KVU228" s="1"/>
      <c r="KVV228" s="1"/>
      <c r="KVW228" s="1"/>
      <c r="KVX228" s="1"/>
      <c r="KVY228" s="1"/>
      <c r="KVZ228" s="1"/>
      <c r="KWA228" s="1"/>
      <c r="KWB228" s="1"/>
      <c r="KWC228" s="1"/>
      <c r="KWD228" s="1"/>
      <c r="KWE228" s="1"/>
      <c r="KWF228" s="1"/>
      <c r="KWG228" s="1"/>
      <c r="KWH228" s="1"/>
      <c r="KWI228" s="1"/>
      <c r="KWJ228" s="1"/>
      <c r="KWK228" s="1"/>
      <c r="KWL228" s="1"/>
      <c r="KWM228" s="1"/>
      <c r="KWN228" s="1"/>
      <c r="KWO228" s="1"/>
      <c r="KWP228" s="1"/>
      <c r="KWQ228" s="1"/>
      <c r="KWR228" s="1"/>
      <c r="KWS228" s="1"/>
      <c r="KWT228" s="1"/>
      <c r="KWU228" s="1"/>
      <c r="KWV228" s="1"/>
      <c r="KWW228" s="1"/>
      <c r="KWX228" s="1"/>
      <c r="KWY228" s="1"/>
      <c r="KWZ228" s="1"/>
      <c r="KXA228" s="1"/>
      <c r="KXB228" s="1"/>
      <c r="KXC228" s="1"/>
      <c r="KXD228" s="1"/>
      <c r="KXE228" s="1"/>
      <c r="KXF228" s="1"/>
      <c r="KXG228" s="1"/>
      <c r="KXH228" s="1"/>
      <c r="KXI228" s="1"/>
      <c r="KXJ228" s="1"/>
      <c r="KXK228" s="1"/>
      <c r="KXL228" s="1"/>
      <c r="KXM228" s="1"/>
      <c r="KXN228" s="1"/>
      <c r="KXO228" s="1"/>
      <c r="KXP228" s="1"/>
      <c r="KXQ228" s="1"/>
      <c r="KXR228" s="1"/>
      <c r="KXS228" s="1"/>
      <c r="KXT228" s="1"/>
      <c r="KXU228" s="1"/>
      <c r="KXV228" s="1"/>
      <c r="KXW228" s="1"/>
      <c r="KXX228" s="1"/>
      <c r="KXY228" s="1"/>
      <c r="KXZ228" s="1"/>
      <c r="KYA228" s="1"/>
      <c r="KYB228" s="1"/>
      <c r="KYC228" s="1"/>
      <c r="KYD228" s="1"/>
      <c r="KYE228" s="1"/>
      <c r="KYF228" s="1"/>
      <c r="KYG228" s="1"/>
      <c r="KYH228" s="1"/>
      <c r="KYI228" s="1"/>
      <c r="KYJ228" s="1"/>
      <c r="KYK228" s="1"/>
      <c r="KYL228" s="1"/>
      <c r="KYM228" s="1"/>
      <c r="KYN228" s="1"/>
      <c r="KYO228" s="1"/>
      <c r="KYP228" s="1"/>
      <c r="KYQ228" s="1"/>
      <c r="KYR228" s="1"/>
      <c r="KYS228" s="1"/>
      <c r="KYT228" s="1"/>
      <c r="KYU228" s="1"/>
      <c r="KYV228" s="1"/>
      <c r="KYW228" s="1"/>
      <c r="KYX228" s="1"/>
      <c r="KYY228" s="1"/>
      <c r="KYZ228" s="1"/>
      <c r="KZA228" s="1"/>
      <c r="KZB228" s="1"/>
      <c r="KZC228" s="1"/>
      <c r="KZD228" s="1"/>
      <c r="KZE228" s="1"/>
      <c r="KZF228" s="1"/>
      <c r="KZG228" s="1"/>
      <c r="KZH228" s="1"/>
      <c r="KZI228" s="1"/>
      <c r="KZJ228" s="1"/>
      <c r="KZK228" s="1"/>
      <c r="KZL228" s="1"/>
      <c r="KZM228" s="1"/>
      <c r="KZN228" s="1"/>
      <c r="KZO228" s="1"/>
      <c r="KZP228" s="1"/>
      <c r="KZQ228" s="1"/>
      <c r="KZR228" s="1"/>
      <c r="KZS228" s="1"/>
      <c r="KZT228" s="1"/>
      <c r="KZU228" s="1"/>
      <c r="KZV228" s="1"/>
      <c r="KZW228" s="1"/>
      <c r="KZX228" s="1"/>
      <c r="KZY228" s="1"/>
      <c r="KZZ228" s="1"/>
      <c r="LAA228" s="1"/>
      <c r="LAB228" s="1"/>
      <c r="LAC228" s="1"/>
      <c r="LAD228" s="1"/>
      <c r="LAE228" s="1"/>
      <c r="LAF228" s="1"/>
      <c r="LAG228" s="1"/>
      <c r="LAH228" s="1"/>
      <c r="LAI228" s="1"/>
      <c r="LAJ228" s="1"/>
      <c r="LAK228" s="1"/>
      <c r="LAL228" s="1"/>
      <c r="LAM228" s="1"/>
      <c r="LAN228" s="1"/>
      <c r="LAO228" s="1"/>
      <c r="LAP228" s="1"/>
      <c r="LAQ228" s="1"/>
      <c r="LAR228" s="1"/>
      <c r="LAS228" s="1"/>
      <c r="LAT228" s="1"/>
      <c r="LAU228" s="1"/>
      <c r="LAV228" s="1"/>
      <c r="LAW228" s="1"/>
      <c r="LAX228" s="1"/>
      <c r="LAY228" s="1"/>
      <c r="LAZ228" s="1"/>
      <c r="LBA228" s="1"/>
      <c r="LBB228" s="1"/>
      <c r="LBC228" s="1"/>
      <c r="LBD228" s="1"/>
      <c r="LBE228" s="1"/>
      <c r="LBF228" s="1"/>
      <c r="LBG228" s="1"/>
      <c r="LBH228" s="1"/>
      <c r="LBI228" s="1"/>
      <c r="LBJ228" s="1"/>
      <c r="LBK228" s="1"/>
      <c r="LBL228" s="1"/>
      <c r="LBM228" s="1"/>
      <c r="LBN228" s="1"/>
      <c r="LBO228" s="1"/>
      <c r="LBP228" s="1"/>
      <c r="LBQ228" s="1"/>
      <c r="LBR228" s="1"/>
      <c r="LBS228" s="1"/>
      <c r="LBT228" s="1"/>
      <c r="LBU228" s="1"/>
      <c r="LBV228" s="1"/>
      <c r="LBW228" s="1"/>
      <c r="LBX228" s="1"/>
      <c r="LBY228" s="1"/>
      <c r="LBZ228" s="1"/>
      <c r="LCA228" s="1"/>
      <c r="LCB228" s="1"/>
      <c r="LCC228" s="1"/>
      <c r="LCD228" s="1"/>
      <c r="LCE228" s="1"/>
      <c r="LCF228" s="1"/>
      <c r="LCG228" s="1"/>
      <c r="LCH228" s="1"/>
      <c r="LCI228" s="1"/>
      <c r="LCJ228" s="1"/>
      <c r="LCK228" s="1"/>
      <c r="LCL228" s="1"/>
      <c r="LCM228" s="1"/>
      <c r="LCN228" s="1"/>
      <c r="LCO228" s="1"/>
      <c r="LCP228" s="1"/>
      <c r="LCQ228" s="1"/>
      <c r="LCR228" s="1"/>
      <c r="LCS228" s="1"/>
      <c r="LCT228" s="1"/>
      <c r="LCU228" s="1"/>
      <c r="LCV228" s="1"/>
      <c r="LCW228" s="1"/>
      <c r="LCX228" s="1"/>
      <c r="LCY228" s="1"/>
      <c r="LCZ228" s="1"/>
      <c r="LDA228" s="1"/>
      <c r="LDB228" s="1"/>
      <c r="LDC228" s="1"/>
      <c r="LDD228" s="1"/>
      <c r="LDE228" s="1"/>
      <c r="LDF228" s="1"/>
      <c r="LDG228" s="1"/>
      <c r="LDH228" s="1"/>
      <c r="LDI228" s="1"/>
      <c r="LDJ228" s="1"/>
      <c r="LDK228" s="1"/>
      <c r="LDL228" s="1"/>
      <c r="LDM228" s="1"/>
      <c r="LDN228" s="1"/>
      <c r="LDO228" s="1"/>
      <c r="LDP228" s="1"/>
      <c r="LDQ228" s="1"/>
      <c r="LDR228" s="1"/>
      <c r="LDS228" s="1"/>
      <c r="LDT228" s="1"/>
      <c r="LDU228" s="1"/>
      <c r="LDV228" s="1"/>
      <c r="LDW228" s="1"/>
      <c r="LDX228" s="1"/>
      <c r="LDY228" s="1"/>
      <c r="LDZ228" s="1"/>
      <c r="LEA228" s="1"/>
      <c r="LEB228" s="1"/>
      <c r="LEC228" s="1"/>
      <c r="LED228" s="1"/>
      <c r="LEE228" s="1"/>
      <c r="LEF228" s="1"/>
      <c r="LEG228" s="1"/>
      <c r="LEH228" s="1"/>
      <c r="LEI228" s="1"/>
      <c r="LEJ228" s="1"/>
      <c r="LEK228" s="1"/>
      <c r="LEL228" s="1"/>
      <c r="LEM228" s="1"/>
      <c r="LEN228" s="1"/>
      <c r="LEO228" s="1"/>
      <c r="LEP228" s="1"/>
      <c r="LEQ228" s="1"/>
      <c r="LER228" s="1"/>
      <c r="LES228" s="1"/>
      <c r="LET228" s="1"/>
      <c r="LEU228" s="1"/>
      <c r="LEV228" s="1"/>
      <c r="LEW228" s="1"/>
      <c r="LEX228" s="1"/>
      <c r="LEY228" s="1"/>
      <c r="LEZ228" s="1"/>
      <c r="LFA228" s="1"/>
      <c r="LFB228" s="1"/>
      <c r="LFC228" s="1"/>
      <c r="LFD228" s="1"/>
      <c r="LFE228" s="1"/>
      <c r="LFF228" s="1"/>
      <c r="LFG228" s="1"/>
      <c r="LFH228" s="1"/>
      <c r="LFI228" s="1"/>
      <c r="LFJ228" s="1"/>
      <c r="LFK228" s="1"/>
      <c r="LFL228" s="1"/>
      <c r="LFM228" s="1"/>
      <c r="LFN228" s="1"/>
      <c r="LFO228" s="1"/>
      <c r="LFP228" s="1"/>
      <c r="LFQ228" s="1"/>
      <c r="LFR228" s="1"/>
      <c r="LFS228" s="1"/>
      <c r="LFT228" s="1"/>
      <c r="LFU228" s="1"/>
      <c r="LFV228" s="1"/>
      <c r="LFW228" s="1"/>
      <c r="LFX228" s="1"/>
      <c r="LFY228" s="1"/>
      <c r="LFZ228" s="1"/>
      <c r="LGA228" s="1"/>
      <c r="LGB228" s="1"/>
      <c r="LGC228" s="1"/>
      <c r="LGD228" s="1"/>
      <c r="LGE228" s="1"/>
      <c r="LGF228" s="1"/>
      <c r="LGG228" s="1"/>
      <c r="LGH228" s="1"/>
      <c r="LGI228" s="1"/>
      <c r="LGJ228" s="1"/>
      <c r="LGK228" s="1"/>
      <c r="LGL228" s="1"/>
      <c r="LGM228" s="1"/>
      <c r="LGN228" s="1"/>
      <c r="LGO228" s="1"/>
      <c r="LGP228" s="1"/>
      <c r="LGQ228" s="1"/>
      <c r="LGR228" s="1"/>
      <c r="LGS228" s="1"/>
      <c r="LGT228" s="1"/>
      <c r="LGU228" s="1"/>
      <c r="LGV228" s="1"/>
      <c r="LGW228" s="1"/>
      <c r="LGX228" s="1"/>
      <c r="LGY228" s="1"/>
      <c r="LGZ228" s="1"/>
      <c r="LHA228" s="1"/>
      <c r="LHB228" s="1"/>
      <c r="LHC228" s="1"/>
      <c r="LHD228" s="1"/>
      <c r="LHE228" s="1"/>
      <c r="LHF228" s="1"/>
      <c r="LHG228" s="1"/>
      <c r="LHH228" s="1"/>
      <c r="LHI228" s="1"/>
      <c r="LHJ228" s="1"/>
      <c r="LHK228" s="1"/>
      <c r="LHL228" s="1"/>
      <c r="LHM228" s="1"/>
      <c r="LHN228" s="1"/>
      <c r="LHO228" s="1"/>
      <c r="LHP228" s="1"/>
      <c r="LHQ228" s="1"/>
      <c r="LHR228" s="1"/>
      <c r="LHS228" s="1"/>
      <c r="LHT228" s="1"/>
      <c r="LHU228" s="1"/>
      <c r="LHV228" s="1"/>
      <c r="LHW228" s="1"/>
      <c r="LHX228" s="1"/>
      <c r="LHY228" s="1"/>
      <c r="LHZ228" s="1"/>
      <c r="LIA228" s="1"/>
      <c r="LIB228" s="1"/>
      <c r="LIC228" s="1"/>
      <c r="LID228" s="1"/>
      <c r="LIE228" s="1"/>
      <c r="LIF228" s="1"/>
      <c r="LIG228" s="1"/>
      <c r="LIH228" s="1"/>
      <c r="LII228" s="1"/>
      <c r="LIJ228" s="1"/>
      <c r="LIK228" s="1"/>
      <c r="LIL228" s="1"/>
      <c r="LIM228" s="1"/>
      <c r="LIN228" s="1"/>
      <c r="LIO228" s="1"/>
      <c r="LIP228" s="1"/>
      <c r="LIQ228" s="1"/>
      <c r="LIR228" s="1"/>
      <c r="LIS228" s="1"/>
      <c r="LIT228" s="1"/>
      <c r="LIU228" s="1"/>
      <c r="LIV228" s="1"/>
      <c r="LIW228" s="1"/>
      <c r="LIX228" s="1"/>
      <c r="LIY228" s="1"/>
      <c r="LIZ228" s="1"/>
      <c r="LJA228" s="1"/>
      <c r="LJB228" s="1"/>
      <c r="LJC228" s="1"/>
      <c r="LJD228" s="1"/>
      <c r="LJE228" s="1"/>
      <c r="LJF228" s="1"/>
      <c r="LJG228" s="1"/>
      <c r="LJH228" s="1"/>
      <c r="LJI228" s="1"/>
      <c r="LJJ228" s="1"/>
      <c r="LJK228" s="1"/>
      <c r="LJL228" s="1"/>
      <c r="LJM228" s="1"/>
      <c r="LJN228" s="1"/>
      <c r="LJO228" s="1"/>
      <c r="LJP228" s="1"/>
      <c r="LJQ228" s="1"/>
      <c r="LJR228" s="1"/>
      <c r="LJS228" s="1"/>
      <c r="LJT228" s="1"/>
      <c r="LJU228" s="1"/>
      <c r="LJV228" s="1"/>
      <c r="LJW228" s="1"/>
      <c r="LJX228" s="1"/>
      <c r="LJY228" s="1"/>
      <c r="LJZ228" s="1"/>
      <c r="LKA228" s="1"/>
      <c r="LKB228" s="1"/>
      <c r="LKC228" s="1"/>
      <c r="LKD228" s="1"/>
      <c r="LKE228" s="1"/>
      <c r="LKF228" s="1"/>
      <c r="LKG228" s="1"/>
      <c r="LKH228" s="1"/>
      <c r="LKI228" s="1"/>
      <c r="LKJ228" s="1"/>
      <c r="LKK228" s="1"/>
      <c r="LKL228" s="1"/>
      <c r="LKM228" s="1"/>
      <c r="LKN228" s="1"/>
      <c r="LKO228" s="1"/>
      <c r="LKP228" s="1"/>
      <c r="LKQ228" s="1"/>
      <c r="LKR228" s="1"/>
      <c r="LKS228" s="1"/>
      <c r="LKT228" s="1"/>
      <c r="LKU228" s="1"/>
      <c r="LKV228" s="1"/>
      <c r="LKW228" s="1"/>
      <c r="LKX228" s="1"/>
      <c r="LKY228" s="1"/>
      <c r="LKZ228" s="1"/>
      <c r="LLA228" s="1"/>
      <c r="LLB228" s="1"/>
      <c r="LLC228" s="1"/>
      <c r="LLD228" s="1"/>
      <c r="LLE228" s="1"/>
      <c r="LLF228" s="1"/>
      <c r="LLG228" s="1"/>
      <c r="LLH228" s="1"/>
      <c r="LLI228" s="1"/>
      <c r="LLJ228" s="1"/>
      <c r="LLK228" s="1"/>
      <c r="LLL228" s="1"/>
      <c r="LLM228" s="1"/>
      <c r="LLN228" s="1"/>
      <c r="LLO228" s="1"/>
      <c r="LLP228" s="1"/>
      <c r="LLQ228" s="1"/>
      <c r="LLR228" s="1"/>
      <c r="LLS228" s="1"/>
      <c r="LLT228" s="1"/>
      <c r="LLU228" s="1"/>
      <c r="LLV228" s="1"/>
      <c r="LLW228" s="1"/>
      <c r="LLX228" s="1"/>
      <c r="LLY228" s="1"/>
      <c r="LLZ228" s="1"/>
      <c r="LMA228" s="1"/>
      <c r="LMB228" s="1"/>
      <c r="LMC228" s="1"/>
      <c r="LMD228" s="1"/>
      <c r="LME228" s="1"/>
      <c r="LMF228" s="1"/>
      <c r="LMG228" s="1"/>
      <c r="LMH228" s="1"/>
      <c r="LMI228" s="1"/>
      <c r="LMJ228" s="1"/>
      <c r="LMK228" s="1"/>
      <c r="LML228" s="1"/>
      <c r="LMM228" s="1"/>
      <c r="LMN228" s="1"/>
      <c r="LMO228" s="1"/>
      <c r="LMP228" s="1"/>
      <c r="LMQ228" s="1"/>
      <c r="LMR228" s="1"/>
      <c r="LMS228" s="1"/>
      <c r="LMT228" s="1"/>
      <c r="LMU228" s="1"/>
      <c r="LMV228" s="1"/>
      <c r="LMW228" s="1"/>
      <c r="LMX228" s="1"/>
      <c r="LMY228" s="1"/>
      <c r="LMZ228" s="1"/>
      <c r="LNA228" s="1"/>
      <c r="LNB228" s="1"/>
      <c r="LNC228" s="1"/>
      <c r="LND228" s="1"/>
      <c r="LNE228" s="1"/>
      <c r="LNF228" s="1"/>
      <c r="LNG228" s="1"/>
      <c r="LNH228" s="1"/>
      <c r="LNI228" s="1"/>
      <c r="LNJ228" s="1"/>
      <c r="LNK228" s="1"/>
      <c r="LNL228" s="1"/>
      <c r="LNM228" s="1"/>
      <c r="LNN228" s="1"/>
      <c r="LNO228" s="1"/>
      <c r="LNP228" s="1"/>
      <c r="LNQ228" s="1"/>
      <c r="LNR228" s="1"/>
      <c r="LNS228" s="1"/>
      <c r="LNT228" s="1"/>
      <c r="LNU228" s="1"/>
      <c r="LNV228" s="1"/>
      <c r="LNW228" s="1"/>
      <c r="LNX228" s="1"/>
      <c r="LNY228" s="1"/>
      <c r="LNZ228" s="1"/>
      <c r="LOA228" s="1"/>
      <c r="LOB228" s="1"/>
      <c r="LOC228" s="1"/>
      <c r="LOD228" s="1"/>
      <c r="LOE228" s="1"/>
      <c r="LOF228" s="1"/>
      <c r="LOG228" s="1"/>
      <c r="LOH228" s="1"/>
      <c r="LOI228" s="1"/>
      <c r="LOJ228" s="1"/>
      <c r="LOK228" s="1"/>
      <c r="LOL228" s="1"/>
      <c r="LOM228" s="1"/>
      <c r="LON228" s="1"/>
      <c r="LOO228" s="1"/>
      <c r="LOP228" s="1"/>
      <c r="LOQ228" s="1"/>
      <c r="LOR228" s="1"/>
      <c r="LOS228" s="1"/>
      <c r="LOT228" s="1"/>
      <c r="LOU228" s="1"/>
      <c r="LOV228" s="1"/>
      <c r="LOW228" s="1"/>
      <c r="LOX228" s="1"/>
      <c r="LOY228" s="1"/>
      <c r="LOZ228" s="1"/>
      <c r="LPA228" s="1"/>
      <c r="LPB228" s="1"/>
      <c r="LPC228" s="1"/>
      <c r="LPD228" s="1"/>
      <c r="LPE228" s="1"/>
      <c r="LPF228" s="1"/>
      <c r="LPG228" s="1"/>
      <c r="LPH228" s="1"/>
      <c r="LPI228" s="1"/>
      <c r="LPJ228" s="1"/>
      <c r="LPK228" s="1"/>
      <c r="LPL228" s="1"/>
      <c r="LPM228" s="1"/>
      <c r="LPN228" s="1"/>
      <c r="LPO228" s="1"/>
      <c r="LPP228" s="1"/>
      <c r="LPQ228" s="1"/>
      <c r="LPR228" s="1"/>
      <c r="LPS228" s="1"/>
      <c r="LPT228" s="1"/>
      <c r="LPU228" s="1"/>
      <c r="LPV228" s="1"/>
      <c r="LPW228" s="1"/>
      <c r="LPX228" s="1"/>
      <c r="LPY228" s="1"/>
      <c r="LPZ228" s="1"/>
      <c r="LQA228" s="1"/>
      <c r="LQB228" s="1"/>
      <c r="LQC228" s="1"/>
      <c r="LQD228" s="1"/>
      <c r="LQE228" s="1"/>
      <c r="LQF228" s="1"/>
      <c r="LQG228" s="1"/>
      <c r="LQH228" s="1"/>
      <c r="LQI228" s="1"/>
      <c r="LQJ228" s="1"/>
      <c r="LQK228" s="1"/>
      <c r="LQL228" s="1"/>
      <c r="LQM228" s="1"/>
      <c r="LQN228" s="1"/>
      <c r="LQO228" s="1"/>
      <c r="LQP228" s="1"/>
      <c r="LQQ228" s="1"/>
      <c r="LQR228" s="1"/>
      <c r="LQS228" s="1"/>
      <c r="LQT228" s="1"/>
      <c r="LQU228" s="1"/>
      <c r="LQV228" s="1"/>
      <c r="LQW228" s="1"/>
      <c r="LQX228" s="1"/>
      <c r="LQY228" s="1"/>
      <c r="LQZ228" s="1"/>
      <c r="LRA228" s="1"/>
      <c r="LRB228" s="1"/>
      <c r="LRC228" s="1"/>
      <c r="LRD228" s="1"/>
      <c r="LRE228" s="1"/>
      <c r="LRF228" s="1"/>
      <c r="LRG228" s="1"/>
      <c r="LRH228" s="1"/>
      <c r="LRI228" s="1"/>
      <c r="LRJ228" s="1"/>
      <c r="LRK228" s="1"/>
      <c r="LRL228" s="1"/>
      <c r="LRM228" s="1"/>
      <c r="LRN228" s="1"/>
      <c r="LRO228" s="1"/>
      <c r="LRP228" s="1"/>
      <c r="LRQ228" s="1"/>
      <c r="LRR228" s="1"/>
      <c r="LRS228" s="1"/>
      <c r="LRT228" s="1"/>
      <c r="LRU228" s="1"/>
      <c r="LRV228" s="1"/>
      <c r="LRW228" s="1"/>
      <c r="LRX228" s="1"/>
      <c r="LRY228" s="1"/>
      <c r="LRZ228" s="1"/>
      <c r="LSA228" s="1"/>
      <c r="LSB228" s="1"/>
      <c r="LSC228" s="1"/>
      <c r="LSD228" s="1"/>
      <c r="LSE228" s="1"/>
      <c r="LSF228" s="1"/>
      <c r="LSG228" s="1"/>
      <c r="LSH228" s="1"/>
      <c r="LSI228" s="1"/>
      <c r="LSJ228" s="1"/>
      <c r="LSK228" s="1"/>
      <c r="LSL228" s="1"/>
      <c r="LSM228" s="1"/>
      <c r="LSN228" s="1"/>
      <c r="LSO228" s="1"/>
      <c r="LSP228" s="1"/>
      <c r="LSQ228" s="1"/>
      <c r="LSR228" s="1"/>
      <c r="LSS228" s="1"/>
      <c r="LST228" s="1"/>
      <c r="LSU228" s="1"/>
      <c r="LSV228" s="1"/>
      <c r="LSW228" s="1"/>
      <c r="LSX228" s="1"/>
      <c r="LSY228" s="1"/>
      <c r="LSZ228" s="1"/>
      <c r="LTA228" s="1"/>
      <c r="LTB228" s="1"/>
      <c r="LTC228" s="1"/>
      <c r="LTD228" s="1"/>
      <c r="LTE228" s="1"/>
      <c r="LTF228" s="1"/>
      <c r="LTG228" s="1"/>
      <c r="LTH228" s="1"/>
      <c r="LTI228" s="1"/>
      <c r="LTJ228" s="1"/>
      <c r="LTK228" s="1"/>
      <c r="LTL228" s="1"/>
      <c r="LTM228" s="1"/>
      <c r="LTN228" s="1"/>
      <c r="LTO228" s="1"/>
      <c r="LTP228" s="1"/>
      <c r="LTQ228" s="1"/>
      <c r="LTR228" s="1"/>
      <c r="LTS228" s="1"/>
      <c r="LTT228" s="1"/>
      <c r="LTU228" s="1"/>
      <c r="LTV228" s="1"/>
      <c r="LTW228" s="1"/>
      <c r="LTX228" s="1"/>
      <c r="LTY228" s="1"/>
      <c r="LTZ228" s="1"/>
      <c r="LUA228" s="1"/>
      <c r="LUB228" s="1"/>
      <c r="LUC228" s="1"/>
      <c r="LUD228" s="1"/>
      <c r="LUE228" s="1"/>
      <c r="LUF228" s="1"/>
      <c r="LUG228" s="1"/>
      <c r="LUH228" s="1"/>
      <c r="LUI228" s="1"/>
      <c r="LUJ228" s="1"/>
      <c r="LUK228" s="1"/>
      <c r="LUL228" s="1"/>
      <c r="LUM228" s="1"/>
      <c r="LUN228" s="1"/>
      <c r="LUO228" s="1"/>
      <c r="LUP228" s="1"/>
      <c r="LUQ228" s="1"/>
      <c r="LUR228" s="1"/>
      <c r="LUS228" s="1"/>
      <c r="LUT228" s="1"/>
      <c r="LUU228" s="1"/>
      <c r="LUV228" s="1"/>
      <c r="LUW228" s="1"/>
      <c r="LUX228" s="1"/>
      <c r="LUY228" s="1"/>
      <c r="LUZ228" s="1"/>
      <c r="LVA228" s="1"/>
      <c r="LVB228" s="1"/>
      <c r="LVC228" s="1"/>
      <c r="LVD228" s="1"/>
      <c r="LVE228" s="1"/>
      <c r="LVF228" s="1"/>
      <c r="LVG228" s="1"/>
      <c r="LVH228" s="1"/>
      <c r="LVI228" s="1"/>
      <c r="LVJ228" s="1"/>
      <c r="LVK228" s="1"/>
      <c r="LVL228" s="1"/>
      <c r="LVM228" s="1"/>
      <c r="LVN228" s="1"/>
      <c r="LVO228" s="1"/>
      <c r="LVP228" s="1"/>
      <c r="LVQ228" s="1"/>
      <c r="LVR228" s="1"/>
      <c r="LVS228" s="1"/>
      <c r="LVT228" s="1"/>
      <c r="LVU228" s="1"/>
      <c r="LVV228" s="1"/>
      <c r="LVW228" s="1"/>
      <c r="LVX228" s="1"/>
      <c r="LVY228" s="1"/>
      <c r="LVZ228" s="1"/>
      <c r="LWA228" s="1"/>
      <c r="LWB228" s="1"/>
      <c r="LWC228" s="1"/>
      <c r="LWD228" s="1"/>
      <c r="LWE228" s="1"/>
      <c r="LWF228" s="1"/>
      <c r="LWG228" s="1"/>
      <c r="LWH228" s="1"/>
      <c r="LWI228" s="1"/>
      <c r="LWJ228" s="1"/>
      <c r="LWK228" s="1"/>
      <c r="LWL228" s="1"/>
      <c r="LWM228" s="1"/>
      <c r="LWN228" s="1"/>
      <c r="LWO228" s="1"/>
      <c r="LWP228" s="1"/>
      <c r="LWQ228" s="1"/>
      <c r="LWR228" s="1"/>
      <c r="LWS228" s="1"/>
      <c r="LWT228" s="1"/>
      <c r="LWU228" s="1"/>
      <c r="LWV228" s="1"/>
      <c r="LWW228" s="1"/>
      <c r="LWX228" s="1"/>
      <c r="LWY228" s="1"/>
      <c r="LWZ228" s="1"/>
      <c r="LXA228" s="1"/>
      <c r="LXB228" s="1"/>
      <c r="LXC228" s="1"/>
      <c r="LXD228" s="1"/>
      <c r="LXE228" s="1"/>
      <c r="LXF228" s="1"/>
      <c r="LXG228" s="1"/>
      <c r="LXH228" s="1"/>
      <c r="LXI228" s="1"/>
      <c r="LXJ228" s="1"/>
      <c r="LXK228" s="1"/>
      <c r="LXL228" s="1"/>
      <c r="LXM228" s="1"/>
      <c r="LXN228" s="1"/>
      <c r="LXO228" s="1"/>
      <c r="LXP228" s="1"/>
      <c r="LXQ228" s="1"/>
      <c r="LXR228" s="1"/>
      <c r="LXS228" s="1"/>
      <c r="LXT228" s="1"/>
      <c r="LXU228" s="1"/>
      <c r="LXV228" s="1"/>
      <c r="LXW228" s="1"/>
      <c r="LXX228" s="1"/>
      <c r="LXY228" s="1"/>
      <c r="LXZ228" s="1"/>
      <c r="LYA228" s="1"/>
      <c r="LYB228" s="1"/>
      <c r="LYC228" s="1"/>
      <c r="LYD228" s="1"/>
      <c r="LYE228" s="1"/>
      <c r="LYF228" s="1"/>
      <c r="LYG228" s="1"/>
      <c r="LYH228" s="1"/>
      <c r="LYI228" s="1"/>
      <c r="LYJ228" s="1"/>
      <c r="LYK228" s="1"/>
      <c r="LYL228" s="1"/>
      <c r="LYM228" s="1"/>
      <c r="LYN228" s="1"/>
      <c r="LYO228" s="1"/>
      <c r="LYP228" s="1"/>
      <c r="LYQ228" s="1"/>
      <c r="LYR228" s="1"/>
      <c r="LYS228" s="1"/>
      <c r="LYT228" s="1"/>
      <c r="LYU228" s="1"/>
      <c r="LYV228" s="1"/>
      <c r="LYW228" s="1"/>
      <c r="LYX228" s="1"/>
      <c r="LYY228" s="1"/>
      <c r="LYZ228" s="1"/>
      <c r="LZA228" s="1"/>
      <c r="LZB228" s="1"/>
      <c r="LZC228" s="1"/>
      <c r="LZD228" s="1"/>
      <c r="LZE228" s="1"/>
      <c r="LZF228" s="1"/>
      <c r="LZG228" s="1"/>
      <c r="LZH228" s="1"/>
      <c r="LZI228" s="1"/>
      <c r="LZJ228" s="1"/>
      <c r="LZK228" s="1"/>
      <c r="LZL228" s="1"/>
      <c r="LZM228" s="1"/>
      <c r="LZN228" s="1"/>
      <c r="LZO228" s="1"/>
      <c r="LZP228" s="1"/>
      <c r="LZQ228" s="1"/>
      <c r="LZR228" s="1"/>
      <c r="LZS228" s="1"/>
      <c r="LZT228" s="1"/>
      <c r="LZU228" s="1"/>
      <c r="LZV228" s="1"/>
      <c r="LZW228" s="1"/>
      <c r="LZX228" s="1"/>
      <c r="LZY228" s="1"/>
      <c r="LZZ228" s="1"/>
      <c r="MAA228" s="1"/>
      <c r="MAB228" s="1"/>
      <c r="MAC228" s="1"/>
      <c r="MAD228" s="1"/>
      <c r="MAE228" s="1"/>
      <c r="MAF228" s="1"/>
      <c r="MAG228" s="1"/>
      <c r="MAH228" s="1"/>
      <c r="MAI228" s="1"/>
      <c r="MAJ228" s="1"/>
      <c r="MAK228" s="1"/>
      <c r="MAL228" s="1"/>
      <c r="MAM228" s="1"/>
      <c r="MAN228" s="1"/>
      <c r="MAO228" s="1"/>
      <c r="MAP228" s="1"/>
      <c r="MAQ228" s="1"/>
      <c r="MAR228" s="1"/>
      <c r="MAS228" s="1"/>
      <c r="MAT228" s="1"/>
      <c r="MAU228" s="1"/>
      <c r="MAV228" s="1"/>
      <c r="MAW228" s="1"/>
      <c r="MAX228" s="1"/>
      <c r="MAY228" s="1"/>
      <c r="MAZ228" s="1"/>
      <c r="MBA228" s="1"/>
      <c r="MBB228" s="1"/>
      <c r="MBC228" s="1"/>
      <c r="MBD228" s="1"/>
      <c r="MBE228" s="1"/>
      <c r="MBF228" s="1"/>
      <c r="MBG228" s="1"/>
      <c r="MBH228" s="1"/>
      <c r="MBI228" s="1"/>
      <c r="MBJ228" s="1"/>
      <c r="MBK228" s="1"/>
      <c r="MBL228" s="1"/>
      <c r="MBM228" s="1"/>
      <c r="MBN228" s="1"/>
      <c r="MBO228" s="1"/>
      <c r="MBP228" s="1"/>
      <c r="MBQ228" s="1"/>
      <c r="MBR228" s="1"/>
      <c r="MBS228" s="1"/>
      <c r="MBT228" s="1"/>
      <c r="MBU228" s="1"/>
      <c r="MBV228" s="1"/>
      <c r="MBW228" s="1"/>
      <c r="MBX228" s="1"/>
      <c r="MBY228" s="1"/>
      <c r="MBZ228" s="1"/>
      <c r="MCA228" s="1"/>
      <c r="MCB228" s="1"/>
      <c r="MCC228" s="1"/>
      <c r="MCD228" s="1"/>
      <c r="MCE228" s="1"/>
      <c r="MCF228" s="1"/>
      <c r="MCG228" s="1"/>
      <c r="MCH228" s="1"/>
      <c r="MCI228" s="1"/>
      <c r="MCJ228" s="1"/>
      <c r="MCK228" s="1"/>
      <c r="MCL228" s="1"/>
      <c r="MCM228" s="1"/>
      <c r="MCN228" s="1"/>
      <c r="MCO228" s="1"/>
      <c r="MCP228" s="1"/>
      <c r="MCQ228" s="1"/>
      <c r="MCR228" s="1"/>
      <c r="MCS228" s="1"/>
      <c r="MCT228" s="1"/>
      <c r="MCU228" s="1"/>
      <c r="MCV228" s="1"/>
      <c r="MCW228" s="1"/>
      <c r="MCX228" s="1"/>
      <c r="MCY228" s="1"/>
      <c r="MCZ228" s="1"/>
      <c r="MDA228" s="1"/>
      <c r="MDB228" s="1"/>
      <c r="MDC228" s="1"/>
      <c r="MDD228" s="1"/>
      <c r="MDE228" s="1"/>
      <c r="MDF228" s="1"/>
      <c r="MDG228" s="1"/>
      <c r="MDH228" s="1"/>
      <c r="MDI228" s="1"/>
      <c r="MDJ228" s="1"/>
      <c r="MDK228" s="1"/>
      <c r="MDL228" s="1"/>
      <c r="MDM228" s="1"/>
      <c r="MDN228" s="1"/>
      <c r="MDO228" s="1"/>
      <c r="MDP228" s="1"/>
      <c r="MDQ228" s="1"/>
      <c r="MDR228" s="1"/>
      <c r="MDS228" s="1"/>
      <c r="MDT228" s="1"/>
      <c r="MDU228" s="1"/>
      <c r="MDV228" s="1"/>
      <c r="MDW228" s="1"/>
      <c r="MDX228" s="1"/>
      <c r="MDY228" s="1"/>
      <c r="MDZ228" s="1"/>
      <c r="MEA228" s="1"/>
      <c r="MEB228" s="1"/>
      <c r="MEC228" s="1"/>
      <c r="MED228" s="1"/>
      <c r="MEE228" s="1"/>
      <c r="MEF228" s="1"/>
      <c r="MEG228" s="1"/>
      <c r="MEH228" s="1"/>
      <c r="MEI228" s="1"/>
      <c r="MEJ228" s="1"/>
      <c r="MEK228" s="1"/>
      <c r="MEL228" s="1"/>
      <c r="MEM228" s="1"/>
      <c r="MEN228" s="1"/>
      <c r="MEO228" s="1"/>
      <c r="MEP228" s="1"/>
      <c r="MEQ228" s="1"/>
      <c r="MER228" s="1"/>
      <c r="MES228" s="1"/>
      <c r="MET228" s="1"/>
      <c r="MEU228" s="1"/>
      <c r="MEV228" s="1"/>
      <c r="MEW228" s="1"/>
      <c r="MEX228" s="1"/>
      <c r="MEY228" s="1"/>
      <c r="MEZ228" s="1"/>
      <c r="MFA228" s="1"/>
      <c r="MFB228" s="1"/>
      <c r="MFC228" s="1"/>
      <c r="MFD228" s="1"/>
      <c r="MFE228" s="1"/>
      <c r="MFF228" s="1"/>
      <c r="MFG228" s="1"/>
      <c r="MFH228" s="1"/>
      <c r="MFI228" s="1"/>
      <c r="MFJ228" s="1"/>
      <c r="MFK228" s="1"/>
      <c r="MFL228" s="1"/>
      <c r="MFM228" s="1"/>
      <c r="MFN228" s="1"/>
      <c r="MFO228" s="1"/>
      <c r="MFP228" s="1"/>
      <c r="MFQ228" s="1"/>
      <c r="MFR228" s="1"/>
      <c r="MFS228" s="1"/>
      <c r="MFT228" s="1"/>
      <c r="MFU228" s="1"/>
      <c r="MFV228" s="1"/>
      <c r="MFW228" s="1"/>
      <c r="MFX228" s="1"/>
      <c r="MFY228" s="1"/>
      <c r="MFZ228" s="1"/>
      <c r="MGA228" s="1"/>
      <c r="MGB228" s="1"/>
      <c r="MGC228" s="1"/>
      <c r="MGD228" s="1"/>
      <c r="MGE228" s="1"/>
      <c r="MGF228" s="1"/>
      <c r="MGG228" s="1"/>
      <c r="MGH228" s="1"/>
      <c r="MGI228" s="1"/>
      <c r="MGJ228" s="1"/>
      <c r="MGK228" s="1"/>
      <c r="MGL228" s="1"/>
      <c r="MGM228" s="1"/>
      <c r="MGN228" s="1"/>
      <c r="MGO228" s="1"/>
      <c r="MGP228" s="1"/>
      <c r="MGQ228" s="1"/>
      <c r="MGR228" s="1"/>
      <c r="MGS228" s="1"/>
      <c r="MGT228" s="1"/>
      <c r="MGU228" s="1"/>
      <c r="MGV228" s="1"/>
      <c r="MGW228" s="1"/>
      <c r="MGX228" s="1"/>
      <c r="MGY228" s="1"/>
      <c r="MGZ228" s="1"/>
      <c r="MHA228" s="1"/>
      <c r="MHB228" s="1"/>
      <c r="MHC228" s="1"/>
      <c r="MHD228" s="1"/>
      <c r="MHE228" s="1"/>
      <c r="MHF228" s="1"/>
      <c r="MHG228" s="1"/>
      <c r="MHH228" s="1"/>
      <c r="MHI228" s="1"/>
      <c r="MHJ228" s="1"/>
      <c r="MHK228" s="1"/>
      <c r="MHL228" s="1"/>
      <c r="MHM228" s="1"/>
      <c r="MHN228" s="1"/>
      <c r="MHO228" s="1"/>
      <c r="MHP228" s="1"/>
      <c r="MHQ228" s="1"/>
      <c r="MHR228" s="1"/>
      <c r="MHS228" s="1"/>
      <c r="MHT228" s="1"/>
      <c r="MHU228" s="1"/>
      <c r="MHV228" s="1"/>
      <c r="MHW228" s="1"/>
      <c r="MHX228" s="1"/>
      <c r="MHY228" s="1"/>
      <c r="MHZ228" s="1"/>
      <c r="MIA228" s="1"/>
      <c r="MIB228" s="1"/>
      <c r="MIC228" s="1"/>
      <c r="MID228" s="1"/>
      <c r="MIE228" s="1"/>
      <c r="MIF228" s="1"/>
      <c r="MIG228" s="1"/>
      <c r="MIH228" s="1"/>
      <c r="MII228" s="1"/>
      <c r="MIJ228" s="1"/>
      <c r="MIK228" s="1"/>
      <c r="MIL228" s="1"/>
      <c r="MIM228" s="1"/>
      <c r="MIN228" s="1"/>
      <c r="MIO228" s="1"/>
      <c r="MIP228" s="1"/>
      <c r="MIQ228" s="1"/>
      <c r="MIR228" s="1"/>
      <c r="MIS228" s="1"/>
      <c r="MIT228" s="1"/>
      <c r="MIU228" s="1"/>
      <c r="MIV228" s="1"/>
      <c r="MIW228" s="1"/>
      <c r="MIX228" s="1"/>
      <c r="MIY228" s="1"/>
      <c r="MIZ228" s="1"/>
      <c r="MJA228" s="1"/>
      <c r="MJB228" s="1"/>
      <c r="MJC228" s="1"/>
      <c r="MJD228" s="1"/>
      <c r="MJE228" s="1"/>
      <c r="MJF228" s="1"/>
      <c r="MJG228" s="1"/>
      <c r="MJH228" s="1"/>
      <c r="MJI228" s="1"/>
      <c r="MJJ228" s="1"/>
      <c r="MJK228" s="1"/>
      <c r="MJL228" s="1"/>
      <c r="MJM228" s="1"/>
      <c r="MJN228" s="1"/>
      <c r="MJO228" s="1"/>
      <c r="MJP228" s="1"/>
      <c r="MJQ228" s="1"/>
      <c r="MJR228" s="1"/>
      <c r="MJS228" s="1"/>
      <c r="MJT228" s="1"/>
      <c r="MJU228" s="1"/>
      <c r="MJV228" s="1"/>
      <c r="MJW228" s="1"/>
      <c r="MJX228" s="1"/>
      <c r="MJY228" s="1"/>
      <c r="MJZ228" s="1"/>
      <c r="MKA228" s="1"/>
      <c r="MKB228" s="1"/>
      <c r="MKC228" s="1"/>
      <c r="MKD228" s="1"/>
      <c r="MKE228" s="1"/>
      <c r="MKF228" s="1"/>
      <c r="MKG228" s="1"/>
      <c r="MKH228" s="1"/>
      <c r="MKI228" s="1"/>
      <c r="MKJ228" s="1"/>
      <c r="MKK228" s="1"/>
      <c r="MKL228" s="1"/>
      <c r="MKM228" s="1"/>
      <c r="MKN228" s="1"/>
      <c r="MKO228" s="1"/>
      <c r="MKP228" s="1"/>
      <c r="MKQ228" s="1"/>
      <c r="MKR228" s="1"/>
      <c r="MKS228" s="1"/>
      <c r="MKT228" s="1"/>
      <c r="MKU228" s="1"/>
      <c r="MKV228" s="1"/>
      <c r="MKW228" s="1"/>
      <c r="MKX228" s="1"/>
      <c r="MKY228" s="1"/>
      <c r="MKZ228" s="1"/>
      <c r="MLA228" s="1"/>
      <c r="MLB228" s="1"/>
      <c r="MLC228" s="1"/>
      <c r="MLD228" s="1"/>
      <c r="MLE228" s="1"/>
      <c r="MLF228" s="1"/>
      <c r="MLG228" s="1"/>
      <c r="MLH228" s="1"/>
      <c r="MLI228" s="1"/>
      <c r="MLJ228" s="1"/>
      <c r="MLK228" s="1"/>
      <c r="MLL228" s="1"/>
      <c r="MLM228" s="1"/>
      <c r="MLN228" s="1"/>
      <c r="MLO228" s="1"/>
      <c r="MLP228" s="1"/>
      <c r="MLQ228" s="1"/>
      <c r="MLR228" s="1"/>
      <c r="MLS228" s="1"/>
      <c r="MLT228" s="1"/>
      <c r="MLU228" s="1"/>
      <c r="MLV228" s="1"/>
      <c r="MLW228" s="1"/>
      <c r="MLX228" s="1"/>
      <c r="MLY228" s="1"/>
      <c r="MLZ228" s="1"/>
      <c r="MMA228" s="1"/>
      <c r="MMB228" s="1"/>
      <c r="MMC228" s="1"/>
      <c r="MMD228" s="1"/>
      <c r="MME228" s="1"/>
      <c r="MMF228" s="1"/>
      <c r="MMG228" s="1"/>
      <c r="MMH228" s="1"/>
      <c r="MMI228" s="1"/>
      <c r="MMJ228" s="1"/>
      <c r="MMK228" s="1"/>
      <c r="MML228" s="1"/>
      <c r="MMM228" s="1"/>
      <c r="MMN228" s="1"/>
      <c r="MMO228" s="1"/>
      <c r="MMP228" s="1"/>
      <c r="MMQ228" s="1"/>
      <c r="MMR228" s="1"/>
      <c r="MMS228" s="1"/>
      <c r="MMT228" s="1"/>
      <c r="MMU228" s="1"/>
      <c r="MMV228" s="1"/>
      <c r="MMW228" s="1"/>
      <c r="MMX228" s="1"/>
      <c r="MMY228" s="1"/>
      <c r="MMZ228" s="1"/>
      <c r="MNA228" s="1"/>
      <c r="MNB228" s="1"/>
      <c r="MNC228" s="1"/>
      <c r="MND228" s="1"/>
      <c r="MNE228" s="1"/>
      <c r="MNF228" s="1"/>
      <c r="MNG228" s="1"/>
      <c r="MNH228" s="1"/>
      <c r="MNI228" s="1"/>
      <c r="MNJ228" s="1"/>
      <c r="MNK228" s="1"/>
      <c r="MNL228" s="1"/>
      <c r="MNM228" s="1"/>
      <c r="MNN228" s="1"/>
      <c r="MNO228" s="1"/>
      <c r="MNP228" s="1"/>
      <c r="MNQ228" s="1"/>
      <c r="MNR228" s="1"/>
      <c r="MNS228" s="1"/>
      <c r="MNT228" s="1"/>
      <c r="MNU228" s="1"/>
      <c r="MNV228" s="1"/>
      <c r="MNW228" s="1"/>
      <c r="MNX228" s="1"/>
      <c r="MNY228" s="1"/>
      <c r="MNZ228" s="1"/>
      <c r="MOA228" s="1"/>
      <c r="MOB228" s="1"/>
      <c r="MOC228" s="1"/>
      <c r="MOD228" s="1"/>
      <c r="MOE228" s="1"/>
      <c r="MOF228" s="1"/>
      <c r="MOG228" s="1"/>
      <c r="MOH228" s="1"/>
      <c r="MOI228" s="1"/>
      <c r="MOJ228" s="1"/>
      <c r="MOK228" s="1"/>
      <c r="MOL228" s="1"/>
      <c r="MOM228" s="1"/>
      <c r="MON228" s="1"/>
      <c r="MOO228" s="1"/>
      <c r="MOP228" s="1"/>
      <c r="MOQ228" s="1"/>
      <c r="MOR228" s="1"/>
      <c r="MOS228" s="1"/>
      <c r="MOT228" s="1"/>
      <c r="MOU228" s="1"/>
      <c r="MOV228" s="1"/>
      <c r="MOW228" s="1"/>
      <c r="MOX228" s="1"/>
      <c r="MOY228" s="1"/>
      <c r="MOZ228" s="1"/>
      <c r="MPA228" s="1"/>
      <c r="MPB228" s="1"/>
      <c r="MPC228" s="1"/>
      <c r="MPD228" s="1"/>
      <c r="MPE228" s="1"/>
      <c r="MPF228" s="1"/>
      <c r="MPG228" s="1"/>
      <c r="MPH228" s="1"/>
      <c r="MPI228" s="1"/>
      <c r="MPJ228" s="1"/>
      <c r="MPK228" s="1"/>
      <c r="MPL228" s="1"/>
      <c r="MPM228" s="1"/>
      <c r="MPN228" s="1"/>
      <c r="MPO228" s="1"/>
      <c r="MPP228" s="1"/>
      <c r="MPQ228" s="1"/>
      <c r="MPR228" s="1"/>
      <c r="MPS228" s="1"/>
      <c r="MPT228" s="1"/>
      <c r="MPU228" s="1"/>
      <c r="MPV228" s="1"/>
      <c r="MPW228" s="1"/>
      <c r="MPX228" s="1"/>
      <c r="MPY228" s="1"/>
      <c r="MPZ228" s="1"/>
      <c r="MQA228" s="1"/>
      <c r="MQB228" s="1"/>
      <c r="MQC228" s="1"/>
      <c r="MQD228" s="1"/>
      <c r="MQE228" s="1"/>
      <c r="MQF228" s="1"/>
      <c r="MQG228" s="1"/>
      <c r="MQH228" s="1"/>
      <c r="MQI228" s="1"/>
      <c r="MQJ228" s="1"/>
      <c r="MQK228" s="1"/>
      <c r="MQL228" s="1"/>
      <c r="MQM228" s="1"/>
      <c r="MQN228" s="1"/>
      <c r="MQO228" s="1"/>
      <c r="MQP228" s="1"/>
      <c r="MQQ228" s="1"/>
      <c r="MQR228" s="1"/>
      <c r="MQS228" s="1"/>
      <c r="MQT228" s="1"/>
      <c r="MQU228" s="1"/>
      <c r="MQV228" s="1"/>
      <c r="MQW228" s="1"/>
      <c r="MQX228" s="1"/>
      <c r="MQY228" s="1"/>
      <c r="MQZ228" s="1"/>
      <c r="MRA228" s="1"/>
      <c r="MRB228" s="1"/>
      <c r="MRC228" s="1"/>
      <c r="MRD228" s="1"/>
      <c r="MRE228" s="1"/>
      <c r="MRF228" s="1"/>
      <c r="MRG228" s="1"/>
      <c r="MRH228" s="1"/>
      <c r="MRI228" s="1"/>
      <c r="MRJ228" s="1"/>
      <c r="MRK228" s="1"/>
      <c r="MRL228" s="1"/>
      <c r="MRM228" s="1"/>
      <c r="MRN228" s="1"/>
      <c r="MRO228" s="1"/>
      <c r="MRP228" s="1"/>
      <c r="MRQ228" s="1"/>
      <c r="MRR228" s="1"/>
      <c r="MRS228" s="1"/>
      <c r="MRT228" s="1"/>
      <c r="MRU228" s="1"/>
      <c r="MRV228" s="1"/>
      <c r="MRW228" s="1"/>
      <c r="MRX228" s="1"/>
      <c r="MRY228" s="1"/>
      <c r="MRZ228" s="1"/>
      <c r="MSA228" s="1"/>
      <c r="MSB228" s="1"/>
      <c r="MSC228" s="1"/>
      <c r="MSD228" s="1"/>
      <c r="MSE228" s="1"/>
      <c r="MSF228" s="1"/>
      <c r="MSG228" s="1"/>
      <c r="MSH228" s="1"/>
      <c r="MSI228" s="1"/>
      <c r="MSJ228" s="1"/>
      <c r="MSK228" s="1"/>
      <c r="MSL228" s="1"/>
      <c r="MSM228" s="1"/>
      <c r="MSN228" s="1"/>
      <c r="MSO228" s="1"/>
      <c r="MSP228" s="1"/>
      <c r="MSQ228" s="1"/>
      <c r="MSR228" s="1"/>
      <c r="MSS228" s="1"/>
      <c r="MST228" s="1"/>
      <c r="MSU228" s="1"/>
      <c r="MSV228" s="1"/>
      <c r="MSW228" s="1"/>
      <c r="MSX228" s="1"/>
      <c r="MSY228" s="1"/>
      <c r="MSZ228" s="1"/>
      <c r="MTA228" s="1"/>
      <c r="MTB228" s="1"/>
      <c r="MTC228" s="1"/>
      <c r="MTD228" s="1"/>
      <c r="MTE228" s="1"/>
      <c r="MTF228" s="1"/>
      <c r="MTG228" s="1"/>
      <c r="MTH228" s="1"/>
      <c r="MTI228" s="1"/>
      <c r="MTJ228" s="1"/>
      <c r="MTK228" s="1"/>
      <c r="MTL228" s="1"/>
      <c r="MTM228" s="1"/>
      <c r="MTN228" s="1"/>
      <c r="MTO228" s="1"/>
      <c r="MTP228" s="1"/>
      <c r="MTQ228" s="1"/>
      <c r="MTR228" s="1"/>
      <c r="MTS228" s="1"/>
      <c r="MTT228" s="1"/>
      <c r="MTU228" s="1"/>
      <c r="MTV228" s="1"/>
      <c r="MTW228" s="1"/>
      <c r="MTX228" s="1"/>
      <c r="MTY228" s="1"/>
      <c r="MTZ228" s="1"/>
      <c r="MUA228" s="1"/>
      <c r="MUB228" s="1"/>
      <c r="MUC228" s="1"/>
      <c r="MUD228" s="1"/>
      <c r="MUE228" s="1"/>
      <c r="MUF228" s="1"/>
      <c r="MUG228" s="1"/>
      <c r="MUH228" s="1"/>
      <c r="MUI228" s="1"/>
      <c r="MUJ228" s="1"/>
      <c r="MUK228" s="1"/>
      <c r="MUL228" s="1"/>
      <c r="MUM228" s="1"/>
      <c r="MUN228" s="1"/>
      <c r="MUO228" s="1"/>
      <c r="MUP228" s="1"/>
      <c r="MUQ228" s="1"/>
      <c r="MUR228" s="1"/>
      <c r="MUS228" s="1"/>
      <c r="MUT228" s="1"/>
      <c r="MUU228" s="1"/>
      <c r="MUV228" s="1"/>
      <c r="MUW228" s="1"/>
      <c r="MUX228" s="1"/>
      <c r="MUY228" s="1"/>
      <c r="MUZ228" s="1"/>
      <c r="MVA228" s="1"/>
      <c r="MVB228" s="1"/>
      <c r="MVC228" s="1"/>
      <c r="MVD228" s="1"/>
      <c r="MVE228" s="1"/>
      <c r="MVF228" s="1"/>
      <c r="MVG228" s="1"/>
      <c r="MVH228" s="1"/>
      <c r="MVI228" s="1"/>
      <c r="MVJ228" s="1"/>
      <c r="MVK228" s="1"/>
      <c r="MVL228" s="1"/>
      <c r="MVM228" s="1"/>
      <c r="MVN228" s="1"/>
      <c r="MVO228" s="1"/>
      <c r="MVP228" s="1"/>
      <c r="MVQ228" s="1"/>
      <c r="MVR228" s="1"/>
      <c r="MVS228" s="1"/>
      <c r="MVT228" s="1"/>
      <c r="MVU228" s="1"/>
      <c r="MVV228" s="1"/>
      <c r="MVW228" s="1"/>
      <c r="MVX228" s="1"/>
      <c r="MVY228" s="1"/>
      <c r="MVZ228" s="1"/>
      <c r="MWA228" s="1"/>
      <c r="MWB228" s="1"/>
      <c r="MWC228" s="1"/>
      <c r="MWD228" s="1"/>
      <c r="MWE228" s="1"/>
      <c r="MWF228" s="1"/>
      <c r="MWG228" s="1"/>
      <c r="MWH228" s="1"/>
      <c r="MWI228" s="1"/>
      <c r="MWJ228" s="1"/>
      <c r="MWK228" s="1"/>
      <c r="MWL228" s="1"/>
      <c r="MWM228" s="1"/>
      <c r="MWN228" s="1"/>
      <c r="MWO228" s="1"/>
      <c r="MWP228" s="1"/>
      <c r="MWQ228" s="1"/>
      <c r="MWR228" s="1"/>
      <c r="MWS228" s="1"/>
      <c r="MWT228" s="1"/>
      <c r="MWU228" s="1"/>
      <c r="MWV228" s="1"/>
      <c r="MWW228" s="1"/>
      <c r="MWX228" s="1"/>
      <c r="MWY228" s="1"/>
      <c r="MWZ228" s="1"/>
      <c r="MXA228" s="1"/>
      <c r="MXB228" s="1"/>
      <c r="MXC228" s="1"/>
      <c r="MXD228" s="1"/>
      <c r="MXE228" s="1"/>
      <c r="MXF228" s="1"/>
      <c r="MXG228" s="1"/>
      <c r="MXH228" s="1"/>
      <c r="MXI228" s="1"/>
      <c r="MXJ228" s="1"/>
      <c r="MXK228" s="1"/>
      <c r="MXL228" s="1"/>
      <c r="MXM228" s="1"/>
      <c r="MXN228" s="1"/>
      <c r="MXO228" s="1"/>
      <c r="MXP228" s="1"/>
      <c r="MXQ228" s="1"/>
      <c r="MXR228" s="1"/>
      <c r="MXS228" s="1"/>
      <c r="MXT228" s="1"/>
      <c r="MXU228" s="1"/>
      <c r="MXV228" s="1"/>
      <c r="MXW228" s="1"/>
      <c r="MXX228" s="1"/>
      <c r="MXY228" s="1"/>
      <c r="MXZ228" s="1"/>
      <c r="MYA228" s="1"/>
      <c r="MYB228" s="1"/>
      <c r="MYC228" s="1"/>
      <c r="MYD228" s="1"/>
      <c r="MYE228" s="1"/>
      <c r="MYF228" s="1"/>
      <c r="MYG228" s="1"/>
      <c r="MYH228" s="1"/>
      <c r="MYI228" s="1"/>
      <c r="MYJ228" s="1"/>
      <c r="MYK228" s="1"/>
      <c r="MYL228" s="1"/>
      <c r="MYM228" s="1"/>
      <c r="MYN228" s="1"/>
      <c r="MYO228" s="1"/>
      <c r="MYP228" s="1"/>
      <c r="MYQ228" s="1"/>
      <c r="MYR228" s="1"/>
      <c r="MYS228" s="1"/>
      <c r="MYT228" s="1"/>
      <c r="MYU228" s="1"/>
      <c r="MYV228" s="1"/>
      <c r="MYW228" s="1"/>
      <c r="MYX228" s="1"/>
      <c r="MYY228" s="1"/>
      <c r="MYZ228" s="1"/>
      <c r="MZA228" s="1"/>
      <c r="MZB228" s="1"/>
      <c r="MZC228" s="1"/>
      <c r="MZD228" s="1"/>
      <c r="MZE228" s="1"/>
      <c r="MZF228" s="1"/>
      <c r="MZG228" s="1"/>
      <c r="MZH228" s="1"/>
      <c r="MZI228" s="1"/>
      <c r="MZJ228" s="1"/>
      <c r="MZK228" s="1"/>
      <c r="MZL228" s="1"/>
      <c r="MZM228" s="1"/>
      <c r="MZN228" s="1"/>
      <c r="MZO228" s="1"/>
      <c r="MZP228" s="1"/>
      <c r="MZQ228" s="1"/>
      <c r="MZR228" s="1"/>
      <c r="MZS228" s="1"/>
      <c r="MZT228" s="1"/>
      <c r="MZU228" s="1"/>
      <c r="MZV228" s="1"/>
      <c r="MZW228" s="1"/>
      <c r="MZX228" s="1"/>
      <c r="MZY228" s="1"/>
      <c r="MZZ228" s="1"/>
      <c r="NAA228" s="1"/>
      <c r="NAB228" s="1"/>
      <c r="NAC228" s="1"/>
      <c r="NAD228" s="1"/>
      <c r="NAE228" s="1"/>
      <c r="NAF228" s="1"/>
      <c r="NAG228" s="1"/>
      <c r="NAH228" s="1"/>
      <c r="NAI228" s="1"/>
      <c r="NAJ228" s="1"/>
      <c r="NAK228" s="1"/>
      <c r="NAL228" s="1"/>
      <c r="NAM228" s="1"/>
      <c r="NAN228" s="1"/>
      <c r="NAO228" s="1"/>
      <c r="NAP228" s="1"/>
      <c r="NAQ228" s="1"/>
      <c r="NAR228" s="1"/>
      <c r="NAS228" s="1"/>
      <c r="NAT228" s="1"/>
      <c r="NAU228" s="1"/>
      <c r="NAV228" s="1"/>
      <c r="NAW228" s="1"/>
      <c r="NAX228" s="1"/>
      <c r="NAY228" s="1"/>
      <c r="NAZ228" s="1"/>
      <c r="NBA228" s="1"/>
      <c r="NBB228" s="1"/>
      <c r="NBC228" s="1"/>
      <c r="NBD228" s="1"/>
      <c r="NBE228" s="1"/>
      <c r="NBF228" s="1"/>
      <c r="NBG228" s="1"/>
      <c r="NBH228" s="1"/>
      <c r="NBI228" s="1"/>
      <c r="NBJ228" s="1"/>
      <c r="NBK228" s="1"/>
      <c r="NBL228" s="1"/>
      <c r="NBM228" s="1"/>
      <c r="NBN228" s="1"/>
      <c r="NBO228" s="1"/>
      <c r="NBP228" s="1"/>
      <c r="NBQ228" s="1"/>
      <c r="NBR228" s="1"/>
      <c r="NBS228" s="1"/>
      <c r="NBT228" s="1"/>
      <c r="NBU228" s="1"/>
      <c r="NBV228" s="1"/>
      <c r="NBW228" s="1"/>
      <c r="NBX228" s="1"/>
      <c r="NBY228" s="1"/>
      <c r="NBZ228" s="1"/>
      <c r="NCA228" s="1"/>
      <c r="NCB228" s="1"/>
      <c r="NCC228" s="1"/>
      <c r="NCD228" s="1"/>
      <c r="NCE228" s="1"/>
      <c r="NCF228" s="1"/>
      <c r="NCG228" s="1"/>
      <c r="NCH228" s="1"/>
      <c r="NCI228" s="1"/>
      <c r="NCJ228" s="1"/>
      <c r="NCK228" s="1"/>
      <c r="NCL228" s="1"/>
      <c r="NCM228" s="1"/>
      <c r="NCN228" s="1"/>
      <c r="NCO228" s="1"/>
      <c r="NCP228" s="1"/>
      <c r="NCQ228" s="1"/>
      <c r="NCR228" s="1"/>
      <c r="NCS228" s="1"/>
      <c r="NCT228" s="1"/>
      <c r="NCU228" s="1"/>
      <c r="NCV228" s="1"/>
      <c r="NCW228" s="1"/>
      <c r="NCX228" s="1"/>
      <c r="NCY228" s="1"/>
      <c r="NCZ228" s="1"/>
      <c r="NDA228" s="1"/>
      <c r="NDB228" s="1"/>
      <c r="NDC228" s="1"/>
      <c r="NDD228" s="1"/>
      <c r="NDE228" s="1"/>
      <c r="NDF228" s="1"/>
      <c r="NDG228" s="1"/>
      <c r="NDH228" s="1"/>
      <c r="NDI228" s="1"/>
      <c r="NDJ228" s="1"/>
      <c r="NDK228" s="1"/>
      <c r="NDL228" s="1"/>
      <c r="NDM228" s="1"/>
      <c r="NDN228" s="1"/>
      <c r="NDO228" s="1"/>
      <c r="NDP228" s="1"/>
      <c r="NDQ228" s="1"/>
      <c r="NDR228" s="1"/>
      <c r="NDS228" s="1"/>
      <c r="NDT228" s="1"/>
      <c r="NDU228" s="1"/>
      <c r="NDV228" s="1"/>
      <c r="NDW228" s="1"/>
      <c r="NDX228" s="1"/>
      <c r="NDY228" s="1"/>
      <c r="NDZ228" s="1"/>
      <c r="NEA228" s="1"/>
      <c r="NEB228" s="1"/>
      <c r="NEC228" s="1"/>
      <c r="NED228" s="1"/>
      <c r="NEE228" s="1"/>
      <c r="NEF228" s="1"/>
      <c r="NEG228" s="1"/>
      <c r="NEH228" s="1"/>
      <c r="NEI228" s="1"/>
      <c r="NEJ228" s="1"/>
      <c r="NEK228" s="1"/>
      <c r="NEL228" s="1"/>
      <c r="NEM228" s="1"/>
      <c r="NEN228" s="1"/>
      <c r="NEO228" s="1"/>
      <c r="NEP228" s="1"/>
      <c r="NEQ228" s="1"/>
      <c r="NER228" s="1"/>
      <c r="NES228" s="1"/>
      <c r="NET228" s="1"/>
      <c r="NEU228" s="1"/>
      <c r="NEV228" s="1"/>
      <c r="NEW228" s="1"/>
      <c r="NEX228" s="1"/>
      <c r="NEY228" s="1"/>
      <c r="NEZ228" s="1"/>
      <c r="NFA228" s="1"/>
      <c r="NFB228" s="1"/>
      <c r="NFC228" s="1"/>
      <c r="NFD228" s="1"/>
      <c r="NFE228" s="1"/>
      <c r="NFF228" s="1"/>
      <c r="NFG228" s="1"/>
      <c r="NFH228" s="1"/>
      <c r="NFI228" s="1"/>
      <c r="NFJ228" s="1"/>
      <c r="NFK228" s="1"/>
      <c r="NFL228" s="1"/>
      <c r="NFM228" s="1"/>
      <c r="NFN228" s="1"/>
      <c r="NFO228" s="1"/>
      <c r="NFP228" s="1"/>
      <c r="NFQ228" s="1"/>
      <c r="NFR228" s="1"/>
      <c r="NFS228" s="1"/>
      <c r="NFT228" s="1"/>
      <c r="NFU228" s="1"/>
      <c r="NFV228" s="1"/>
      <c r="NFW228" s="1"/>
      <c r="NFX228" s="1"/>
      <c r="NFY228" s="1"/>
      <c r="NFZ228" s="1"/>
      <c r="NGA228" s="1"/>
      <c r="NGB228" s="1"/>
      <c r="NGC228" s="1"/>
      <c r="NGD228" s="1"/>
      <c r="NGE228" s="1"/>
      <c r="NGF228" s="1"/>
      <c r="NGG228" s="1"/>
      <c r="NGH228" s="1"/>
      <c r="NGI228" s="1"/>
      <c r="NGJ228" s="1"/>
      <c r="NGK228" s="1"/>
      <c r="NGL228" s="1"/>
      <c r="NGM228" s="1"/>
      <c r="NGN228" s="1"/>
      <c r="NGO228" s="1"/>
      <c r="NGP228" s="1"/>
      <c r="NGQ228" s="1"/>
      <c r="NGR228" s="1"/>
      <c r="NGS228" s="1"/>
      <c r="NGT228" s="1"/>
      <c r="NGU228" s="1"/>
      <c r="NGV228" s="1"/>
      <c r="NGW228" s="1"/>
      <c r="NGX228" s="1"/>
      <c r="NGY228" s="1"/>
      <c r="NGZ228" s="1"/>
      <c r="NHA228" s="1"/>
      <c r="NHB228" s="1"/>
      <c r="NHC228" s="1"/>
      <c r="NHD228" s="1"/>
      <c r="NHE228" s="1"/>
      <c r="NHF228" s="1"/>
      <c r="NHG228" s="1"/>
      <c r="NHH228" s="1"/>
      <c r="NHI228" s="1"/>
      <c r="NHJ228" s="1"/>
      <c r="NHK228" s="1"/>
      <c r="NHL228" s="1"/>
      <c r="NHM228" s="1"/>
      <c r="NHN228" s="1"/>
      <c r="NHO228" s="1"/>
      <c r="NHP228" s="1"/>
      <c r="NHQ228" s="1"/>
      <c r="NHR228" s="1"/>
      <c r="NHS228" s="1"/>
      <c r="NHT228" s="1"/>
      <c r="NHU228" s="1"/>
      <c r="NHV228" s="1"/>
      <c r="NHW228" s="1"/>
      <c r="NHX228" s="1"/>
      <c r="NHY228" s="1"/>
      <c r="NHZ228" s="1"/>
      <c r="NIA228" s="1"/>
      <c r="NIB228" s="1"/>
      <c r="NIC228" s="1"/>
      <c r="NID228" s="1"/>
      <c r="NIE228" s="1"/>
      <c r="NIF228" s="1"/>
      <c r="NIG228" s="1"/>
      <c r="NIH228" s="1"/>
      <c r="NII228" s="1"/>
      <c r="NIJ228" s="1"/>
      <c r="NIK228" s="1"/>
      <c r="NIL228" s="1"/>
      <c r="NIM228" s="1"/>
      <c r="NIN228" s="1"/>
      <c r="NIO228" s="1"/>
      <c r="NIP228" s="1"/>
      <c r="NIQ228" s="1"/>
      <c r="NIR228" s="1"/>
      <c r="NIS228" s="1"/>
      <c r="NIT228" s="1"/>
      <c r="NIU228" s="1"/>
      <c r="NIV228" s="1"/>
      <c r="NIW228" s="1"/>
      <c r="NIX228" s="1"/>
      <c r="NIY228" s="1"/>
      <c r="NIZ228" s="1"/>
      <c r="NJA228" s="1"/>
      <c r="NJB228" s="1"/>
      <c r="NJC228" s="1"/>
      <c r="NJD228" s="1"/>
      <c r="NJE228" s="1"/>
      <c r="NJF228" s="1"/>
      <c r="NJG228" s="1"/>
      <c r="NJH228" s="1"/>
      <c r="NJI228" s="1"/>
      <c r="NJJ228" s="1"/>
      <c r="NJK228" s="1"/>
      <c r="NJL228" s="1"/>
      <c r="NJM228" s="1"/>
      <c r="NJN228" s="1"/>
      <c r="NJO228" s="1"/>
      <c r="NJP228" s="1"/>
      <c r="NJQ228" s="1"/>
      <c r="NJR228" s="1"/>
      <c r="NJS228" s="1"/>
      <c r="NJT228" s="1"/>
      <c r="NJU228" s="1"/>
      <c r="NJV228" s="1"/>
      <c r="NJW228" s="1"/>
      <c r="NJX228" s="1"/>
      <c r="NJY228" s="1"/>
      <c r="NJZ228" s="1"/>
      <c r="NKA228" s="1"/>
      <c r="NKB228" s="1"/>
      <c r="NKC228" s="1"/>
      <c r="NKD228" s="1"/>
      <c r="NKE228" s="1"/>
      <c r="NKF228" s="1"/>
      <c r="NKG228" s="1"/>
      <c r="NKH228" s="1"/>
      <c r="NKI228" s="1"/>
      <c r="NKJ228" s="1"/>
      <c r="NKK228" s="1"/>
      <c r="NKL228" s="1"/>
      <c r="NKM228" s="1"/>
      <c r="NKN228" s="1"/>
      <c r="NKO228" s="1"/>
      <c r="NKP228" s="1"/>
      <c r="NKQ228" s="1"/>
      <c r="NKR228" s="1"/>
      <c r="NKS228" s="1"/>
      <c r="NKT228" s="1"/>
      <c r="NKU228" s="1"/>
      <c r="NKV228" s="1"/>
      <c r="NKW228" s="1"/>
      <c r="NKX228" s="1"/>
      <c r="NKY228" s="1"/>
      <c r="NKZ228" s="1"/>
      <c r="NLA228" s="1"/>
      <c r="NLB228" s="1"/>
      <c r="NLC228" s="1"/>
      <c r="NLD228" s="1"/>
      <c r="NLE228" s="1"/>
      <c r="NLF228" s="1"/>
      <c r="NLG228" s="1"/>
      <c r="NLH228" s="1"/>
      <c r="NLI228" s="1"/>
      <c r="NLJ228" s="1"/>
      <c r="NLK228" s="1"/>
      <c r="NLL228" s="1"/>
      <c r="NLM228" s="1"/>
      <c r="NLN228" s="1"/>
      <c r="NLO228" s="1"/>
      <c r="NLP228" s="1"/>
      <c r="NLQ228" s="1"/>
      <c r="NLR228" s="1"/>
      <c r="NLS228" s="1"/>
      <c r="NLT228" s="1"/>
      <c r="NLU228" s="1"/>
      <c r="NLV228" s="1"/>
      <c r="NLW228" s="1"/>
      <c r="NLX228" s="1"/>
      <c r="NLY228" s="1"/>
      <c r="NLZ228" s="1"/>
      <c r="NMA228" s="1"/>
      <c r="NMB228" s="1"/>
      <c r="NMC228" s="1"/>
      <c r="NMD228" s="1"/>
      <c r="NME228" s="1"/>
      <c r="NMF228" s="1"/>
      <c r="NMG228" s="1"/>
      <c r="NMH228" s="1"/>
      <c r="NMI228" s="1"/>
      <c r="NMJ228" s="1"/>
      <c r="NMK228" s="1"/>
      <c r="NML228" s="1"/>
      <c r="NMM228" s="1"/>
      <c r="NMN228" s="1"/>
      <c r="NMO228" s="1"/>
      <c r="NMP228" s="1"/>
      <c r="NMQ228" s="1"/>
      <c r="NMR228" s="1"/>
      <c r="NMS228" s="1"/>
      <c r="NMT228" s="1"/>
      <c r="NMU228" s="1"/>
      <c r="NMV228" s="1"/>
      <c r="NMW228" s="1"/>
      <c r="NMX228" s="1"/>
      <c r="NMY228" s="1"/>
      <c r="NMZ228" s="1"/>
      <c r="NNA228" s="1"/>
      <c r="NNB228" s="1"/>
      <c r="NNC228" s="1"/>
      <c r="NND228" s="1"/>
      <c r="NNE228" s="1"/>
      <c r="NNF228" s="1"/>
      <c r="NNG228" s="1"/>
      <c r="NNH228" s="1"/>
      <c r="NNI228" s="1"/>
      <c r="NNJ228" s="1"/>
      <c r="NNK228" s="1"/>
      <c r="NNL228" s="1"/>
      <c r="NNM228" s="1"/>
      <c r="NNN228" s="1"/>
      <c r="NNO228" s="1"/>
      <c r="NNP228" s="1"/>
      <c r="NNQ228" s="1"/>
      <c r="NNR228" s="1"/>
      <c r="NNS228" s="1"/>
      <c r="NNT228" s="1"/>
      <c r="NNU228" s="1"/>
      <c r="NNV228" s="1"/>
      <c r="NNW228" s="1"/>
      <c r="NNX228" s="1"/>
      <c r="NNY228" s="1"/>
      <c r="NNZ228" s="1"/>
      <c r="NOA228" s="1"/>
      <c r="NOB228" s="1"/>
      <c r="NOC228" s="1"/>
      <c r="NOD228" s="1"/>
      <c r="NOE228" s="1"/>
      <c r="NOF228" s="1"/>
      <c r="NOG228" s="1"/>
      <c r="NOH228" s="1"/>
      <c r="NOI228" s="1"/>
      <c r="NOJ228" s="1"/>
      <c r="NOK228" s="1"/>
      <c r="NOL228" s="1"/>
      <c r="NOM228" s="1"/>
      <c r="NON228" s="1"/>
      <c r="NOO228" s="1"/>
      <c r="NOP228" s="1"/>
      <c r="NOQ228" s="1"/>
      <c r="NOR228" s="1"/>
      <c r="NOS228" s="1"/>
      <c r="NOT228" s="1"/>
      <c r="NOU228" s="1"/>
      <c r="NOV228" s="1"/>
      <c r="NOW228" s="1"/>
      <c r="NOX228" s="1"/>
      <c r="NOY228" s="1"/>
      <c r="NOZ228" s="1"/>
      <c r="NPA228" s="1"/>
      <c r="NPB228" s="1"/>
      <c r="NPC228" s="1"/>
      <c r="NPD228" s="1"/>
      <c r="NPE228" s="1"/>
      <c r="NPF228" s="1"/>
      <c r="NPG228" s="1"/>
      <c r="NPH228" s="1"/>
      <c r="NPI228" s="1"/>
      <c r="NPJ228" s="1"/>
      <c r="NPK228" s="1"/>
      <c r="NPL228" s="1"/>
      <c r="NPM228" s="1"/>
      <c r="NPN228" s="1"/>
      <c r="NPO228" s="1"/>
      <c r="NPP228" s="1"/>
      <c r="NPQ228" s="1"/>
      <c r="NPR228" s="1"/>
      <c r="NPS228" s="1"/>
      <c r="NPT228" s="1"/>
      <c r="NPU228" s="1"/>
      <c r="NPV228" s="1"/>
      <c r="NPW228" s="1"/>
      <c r="NPX228" s="1"/>
      <c r="NPY228" s="1"/>
      <c r="NPZ228" s="1"/>
      <c r="NQA228" s="1"/>
      <c r="NQB228" s="1"/>
      <c r="NQC228" s="1"/>
      <c r="NQD228" s="1"/>
      <c r="NQE228" s="1"/>
      <c r="NQF228" s="1"/>
      <c r="NQG228" s="1"/>
      <c r="NQH228" s="1"/>
      <c r="NQI228" s="1"/>
      <c r="NQJ228" s="1"/>
      <c r="NQK228" s="1"/>
      <c r="NQL228" s="1"/>
      <c r="NQM228" s="1"/>
      <c r="NQN228" s="1"/>
      <c r="NQO228" s="1"/>
      <c r="NQP228" s="1"/>
      <c r="NQQ228" s="1"/>
      <c r="NQR228" s="1"/>
      <c r="NQS228" s="1"/>
      <c r="NQT228" s="1"/>
      <c r="NQU228" s="1"/>
      <c r="NQV228" s="1"/>
      <c r="NQW228" s="1"/>
      <c r="NQX228" s="1"/>
      <c r="NQY228" s="1"/>
      <c r="NQZ228" s="1"/>
      <c r="NRA228" s="1"/>
      <c r="NRB228" s="1"/>
      <c r="NRC228" s="1"/>
      <c r="NRD228" s="1"/>
      <c r="NRE228" s="1"/>
      <c r="NRF228" s="1"/>
      <c r="NRG228" s="1"/>
      <c r="NRH228" s="1"/>
      <c r="NRI228" s="1"/>
      <c r="NRJ228" s="1"/>
      <c r="NRK228" s="1"/>
      <c r="NRL228" s="1"/>
      <c r="NRM228" s="1"/>
      <c r="NRN228" s="1"/>
      <c r="NRO228" s="1"/>
      <c r="NRP228" s="1"/>
      <c r="NRQ228" s="1"/>
      <c r="NRR228" s="1"/>
      <c r="NRS228" s="1"/>
      <c r="NRT228" s="1"/>
      <c r="NRU228" s="1"/>
      <c r="NRV228" s="1"/>
      <c r="NRW228" s="1"/>
      <c r="NRX228" s="1"/>
      <c r="NRY228" s="1"/>
      <c r="NRZ228" s="1"/>
      <c r="NSA228" s="1"/>
      <c r="NSB228" s="1"/>
      <c r="NSC228" s="1"/>
      <c r="NSD228" s="1"/>
      <c r="NSE228" s="1"/>
      <c r="NSF228" s="1"/>
      <c r="NSG228" s="1"/>
      <c r="NSH228" s="1"/>
      <c r="NSI228" s="1"/>
      <c r="NSJ228" s="1"/>
      <c r="NSK228" s="1"/>
      <c r="NSL228" s="1"/>
      <c r="NSM228" s="1"/>
      <c r="NSN228" s="1"/>
      <c r="NSO228" s="1"/>
      <c r="NSP228" s="1"/>
      <c r="NSQ228" s="1"/>
      <c r="NSR228" s="1"/>
      <c r="NSS228" s="1"/>
      <c r="NST228" s="1"/>
      <c r="NSU228" s="1"/>
      <c r="NSV228" s="1"/>
      <c r="NSW228" s="1"/>
      <c r="NSX228" s="1"/>
      <c r="NSY228" s="1"/>
      <c r="NSZ228" s="1"/>
      <c r="NTA228" s="1"/>
      <c r="NTB228" s="1"/>
      <c r="NTC228" s="1"/>
      <c r="NTD228" s="1"/>
      <c r="NTE228" s="1"/>
      <c r="NTF228" s="1"/>
      <c r="NTG228" s="1"/>
      <c r="NTH228" s="1"/>
      <c r="NTI228" s="1"/>
      <c r="NTJ228" s="1"/>
      <c r="NTK228" s="1"/>
      <c r="NTL228" s="1"/>
      <c r="NTM228" s="1"/>
      <c r="NTN228" s="1"/>
      <c r="NTO228" s="1"/>
      <c r="NTP228" s="1"/>
      <c r="NTQ228" s="1"/>
      <c r="NTR228" s="1"/>
      <c r="NTS228" s="1"/>
      <c r="NTT228" s="1"/>
      <c r="NTU228" s="1"/>
      <c r="NTV228" s="1"/>
      <c r="NTW228" s="1"/>
      <c r="NTX228" s="1"/>
      <c r="NTY228" s="1"/>
      <c r="NTZ228" s="1"/>
      <c r="NUA228" s="1"/>
      <c r="NUB228" s="1"/>
      <c r="NUC228" s="1"/>
      <c r="NUD228" s="1"/>
      <c r="NUE228" s="1"/>
      <c r="NUF228" s="1"/>
      <c r="NUG228" s="1"/>
      <c r="NUH228" s="1"/>
      <c r="NUI228" s="1"/>
      <c r="NUJ228" s="1"/>
      <c r="NUK228" s="1"/>
      <c r="NUL228" s="1"/>
      <c r="NUM228" s="1"/>
      <c r="NUN228" s="1"/>
      <c r="NUO228" s="1"/>
      <c r="NUP228" s="1"/>
      <c r="NUQ228" s="1"/>
      <c r="NUR228" s="1"/>
      <c r="NUS228" s="1"/>
      <c r="NUT228" s="1"/>
      <c r="NUU228" s="1"/>
      <c r="NUV228" s="1"/>
      <c r="NUW228" s="1"/>
      <c r="NUX228" s="1"/>
      <c r="NUY228" s="1"/>
      <c r="NUZ228" s="1"/>
      <c r="NVA228" s="1"/>
      <c r="NVB228" s="1"/>
      <c r="NVC228" s="1"/>
      <c r="NVD228" s="1"/>
      <c r="NVE228" s="1"/>
      <c r="NVF228" s="1"/>
      <c r="NVG228" s="1"/>
      <c r="NVH228" s="1"/>
      <c r="NVI228" s="1"/>
      <c r="NVJ228" s="1"/>
      <c r="NVK228" s="1"/>
      <c r="NVL228" s="1"/>
      <c r="NVM228" s="1"/>
      <c r="NVN228" s="1"/>
      <c r="NVO228" s="1"/>
      <c r="NVP228" s="1"/>
      <c r="NVQ228" s="1"/>
      <c r="NVR228" s="1"/>
      <c r="NVS228" s="1"/>
      <c r="NVT228" s="1"/>
      <c r="NVU228" s="1"/>
      <c r="NVV228" s="1"/>
      <c r="NVW228" s="1"/>
      <c r="NVX228" s="1"/>
      <c r="NVY228" s="1"/>
      <c r="NVZ228" s="1"/>
      <c r="NWA228" s="1"/>
      <c r="NWB228" s="1"/>
      <c r="NWC228" s="1"/>
      <c r="NWD228" s="1"/>
      <c r="NWE228" s="1"/>
      <c r="NWF228" s="1"/>
      <c r="NWG228" s="1"/>
      <c r="NWH228" s="1"/>
      <c r="NWI228" s="1"/>
      <c r="NWJ228" s="1"/>
      <c r="NWK228" s="1"/>
      <c r="NWL228" s="1"/>
      <c r="NWM228" s="1"/>
      <c r="NWN228" s="1"/>
      <c r="NWO228" s="1"/>
      <c r="NWP228" s="1"/>
      <c r="NWQ228" s="1"/>
      <c r="NWR228" s="1"/>
      <c r="NWS228" s="1"/>
      <c r="NWT228" s="1"/>
      <c r="NWU228" s="1"/>
      <c r="NWV228" s="1"/>
      <c r="NWW228" s="1"/>
      <c r="NWX228" s="1"/>
      <c r="NWY228" s="1"/>
      <c r="NWZ228" s="1"/>
      <c r="NXA228" s="1"/>
      <c r="NXB228" s="1"/>
      <c r="NXC228" s="1"/>
      <c r="NXD228" s="1"/>
      <c r="NXE228" s="1"/>
      <c r="NXF228" s="1"/>
      <c r="NXG228" s="1"/>
      <c r="NXH228" s="1"/>
      <c r="NXI228" s="1"/>
      <c r="NXJ228" s="1"/>
      <c r="NXK228" s="1"/>
      <c r="NXL228" s="1"/>
      <c r="NXM228" s="1"/>
      <c r="NXN228" s="1"/>
      <c r="NXO228" s="1"/>
      <c r="NXP228" s="1"/>
      <c r="NXQ228" s="1"/>
      <c r="NXR228" s="1"/>
      <c r="NXS228" s="1"/>
      <c r="NXT228" s="1"/>
      <c r="NXU228" s="1"/>
      <c r="NXV228" s="1"/>
      <c r="NXW228" s="1"/>
      <c r="NXX228" s="1"/>
      <c r="NXY228" s="1"/>
      <c r="NXZ228" s="1"/>
      <c r="NYA228" s="1"/>
      <c r="NYB228" s="1"/>
      <c r="NYC228" s="1"/>
      <c r="NYD228" s="1"/>
      <c r="NYE228" s="1"/>
      <c r="NYF228" s="1"/>
      <c r="NYG228" s="1"/>
      <c r="NYH228" s="1"/>
      <c r="NYI228" s="1"/>
      <c r="NYJ228" s="1"/>
      <c r="NYK228" s="1"/>
      <c r="NYL228" s="1"/>
      <c r="NYM228" s="1"/>
      <c r="NYN228" s="1"/>
      <c r="NYO228" s="1"/>
      <c r="NYP228" s="1"/>
      <c r="NYQ228" s="1"/>
      <c r="NYR228" s="1"/>
      <c r="NYS228" s="1"/>
      <c r="NYT228" s="1"/>
      <c r="NYU228" s="1"/>
      <c r="NYV228" s="1"/>
      <c r="NYW228" s="1"/>
      <c r="NYX228" s="1"/>
      <c r="NYY228" s="1"/>
      <c r="NYZ228" s="1"/>
      <c r="NZA228" s="1"/>
      <c r="NZB228" s="1"/>
      <c r="NZC228" s="1"/>
      <c r="NZD228" s="1"/>
      <c r="NZE228" s="1"/>
      <c r="NZF228" s="1"/>
      <c r="NZG228" s="1"/>
      <c r="NZH228" s="1"/>
      <c r="NZI228" s="1"/>
      <c r="NZJ228" s="1"/>
      <c r="NZK228" s="1"/>
      <c r="NZL228" s="1"/>
      <c r="NZM228" s="1"/>
      <c r="NZN228" s="1"/>
      <c r="NZO228" s="1"/>
      <c r="NZP228" s="1"/>
      <c r="NZQ228" s="1"/>
      <c r="NZR228" s="1"/>
      <c r="NZS228" s="1"/>
      <c r="NZT228" s="1"/>
      <c r="NZU228" s="1"/>
      <c r="NZV228" s="1"/>
      <c r="NZW228" s="1"/>
      <c r="NZX228" s="1"/>
      <c r="NZY228" s="1"/>
      <c r="NZZ228" s="1"/>
      <c r="OAA228" s="1"/>
      <c r="OAB228" s="1"/>
      <c r="OAC228" s="1"/>
      <c r="OAD228" s="1"/>
      <c r="OAE228" s="1"/>
      <c r="OAF228" s="1"/>
      <c r="OAG228" s="1"/>
      <c r="OAH228" s="1"/>
      <c r="OAI228" s="1"/>
      <c r="OAJ228" s="1"/>
      <c r="OAK228" s="1"/>
      <c r="OAL228" s="1"/>
      <c r="OAM228" s="1"/>
      <c r="OAN228" s="1"/>
      <c r="OAO228" s="1"/>
      <c r="OAP228" s="1"/>
      <c r="OAQ228" s="1"/>
      <c r="OAR228" s="1"/>
      <c r="OAS228" s="1"/>
      <c r="OAT228" s="1"/>
      <c r="OAU228" s="1"/>
      <c r="OAV228" s="1"/>
      <c r="OAW228" s="1"/>
      <c r="OAX228" s="1"/>
      <c r="OAY228" s="1"/>
      <c r="OAZ228" s="1"/>
      <c r="OBA228" s="1"/>
      <c r="OBB228" s="1"/>
      <c r="OBC228" s="1"/>
      <c r="OBD228" s="1"/>
      <c r="OBE228" s="1"/>
      <c r="OBF228" s="1"/>
      <c r="OBG228" s="1"/>
      <c r="OBH228" s="1"/>
      <c r="OBI228" s="1"/>
      <c r="OBJ228" s="1"/>
      <c r="OBK228" s="1"/>
      <c r="OBL228" s="1"/>
      <c r="OBM228" s="1"/>
      <c r="OBN228" s="1"/>
      <c r="OBO228" s="1"/>
      <c r="OBP228" s="1"/>
      <c r="OBQ228" s="1"/>
      <c r="OBR228" s="1"/>
      <c r="OBS228" s="1"/>
      <c r="OBT228" s="1"/>
      <c r="OBU228" s="1"/>
      <c r="OBV228" s="1"/>
      <c r="OBW228" s="1"/>
      <c r="OBX228" s="1"/>
      <c r="OBY228" s="1"/>
      <c r="OBZ228" s="1"/>
      <c r="OCA228" s="1"/>
      <c r="OCB228" s="1"/>
      <c r="OCC228" s="1"/>
      <c r="OCD228" s="1"/>
      <c r="OCE228" s="1"/>
      <c r="OCF228" s="1"/>
      <c r="OCG228" s="1"/>
      <c r="OCH228" s="1"/>
      <c r="OCI228" s="1"/>
      <c r="OCJ228" s="1"/>
      <c r="OCK228" s="1"/>
      <c r="OCL228" s="1"/>
      <c r="OCM228" s="1"/>
      <c r="OCN228" s="1"/>
      <c r="OCO228" s="1"/>
      <c r="OCP228" s="1"/>
      <c r="OCQ228" s="1"/>
      <c r="OCR228" s="1"/>
      <c r="OCS228" s="1"/>
      <c r="OCT228" s="1"/>
      <c r="OCU228" s="1"/>
      <c r="OCV228" s="1"/>
      <c r="OCW228" s="1"/>
      <c r="OCX228" s="1"/>
      <c r="OCY228" s="1"/>
      <c r="OCZ228" s="1"/>
      <c r="ODA228" s="1"/>
      <c r="ODB228" s="1"/>
      <c r="ODC228" s="1"/>
      <c r="ODD228" s="1"/>
      <c r="ODE228" s="1"/>
      <c r="ODF228" s="1"/>
      <c r="ODG228" s="1"/>
      <c r="ODH228" s="1"/>
      <c r="ODI228" s="1"/>
      <c r="ODJ228" s="1"/>
      <c r="ODK228" s="1"/>
      <c r="ODL228" s="1"/>
      <c r="ODM228" s="1"/>
      <c r="ODN228" s="1"/>
      <c r="ODO228" s="1"/>
      <c r="ODP228" s="1"/>
      <c r="ODQ228" s="1"/>
      <c r="ODR228" s="1"/>
      <c r="ODS228" s="1"/>
      <c r="ODT228" s="1"/>
      <c r="ODU228" s="1"/>
      <c r="ODV228" s="1"/>
      <c r="ODW228" s="1"/>
      <c r="ODX228" s="1"/>
      <c r="ODY228" s="1"/>
      <c r="ODZ228" s="1"/>
      <c r="OEA228" s="1"/>
      <c r="OEB228" s="1"/>
      <c r="OEC228" s="1"/>
      <c r="OED228" s="1"/>
      <c r="OEE228" s="1"/>
      <c r="OEF228" s="1"/>
      <c r="OEG228" s="1"/>
      <c r="OEH228" s="1"/>
      <c r="OEI228" s="1"/>
      <c r="OEJ228" s="1"/>
      <c r="OEK228" s="1"/>
      <c r="OEL228" s="1"/>
      <c r="OEM228" s="1"/>
      <c r="OEN228" s="1"/>
      <c r="OEO228" s="1"/>
      <c r="OEP228" s="1"/>
      <c r="OEQ228" s="1"/>
      <c r="OER228" s="1"/>
      <c r="OES228" s="1"/>
      <c r="OET228" s="1"/>
      <c r="OEU228" s="1"/>
      <c r="OEV228" s="1"/>
      <c r="OEW228" s="1"/>
      <c r="OEX228" s="1"/>
      <c r="OEY228" s="1"/>
      <c r="OEZ228" s="1"/>
      <c r="OFA228" s="1"/>
      <c r="OFB228" s="1"/>
      <c r="OFC228" s="1"/>
      <c r="OFD228" s="1"/>
      <c r="OFE228" s="1"/>
      <c r="OFF228" s="1"/>
      <c r="OFG228" s="1"/>
      <c r="OFH228" s="1"/>
      <c r="OFI228" s="1"/>
      <c r="OFJ228" s="1"/>
      <c r="OFK228" s="1"/>
      <c r="OFL228" s="1"/>
      <c r="OFM228" s="1"/>
      <c r="OFN228" s="1"/>
      <c r="OFO228" s="1"/>
      <c r="OFP228" s="1"/>
      <c r="OFQ228" s="1"/>
      <c r="OFR228" s="1"/>
      <c r="OFS228" s="1"/>
      <c r="OFT228" s="1"/>
      <c r="OFU228" s="1"/>
      <c r="OFV228" s="1"/>
      <c r="OFW228" s="1"/>
      <c r="OFX228" s="1"/>
      <c r="OFY228" s="1"/>
      <c r="OFZ228" s="1"/>
      <c r="OGA228" s="1"/>
      <c r="OGB228" s="1"/>
      <c r="OGC228" s="1"/>
      <c r="OGD228" s="1"/>
      <c r="OGE228" s="1"/>
      <c r="OGF228" s="1"/>
      <c r="OGG228" s="1"/>
      <c r="OGH228" s="1"/>
      <c r="OGI228" s="1"/>
      <c r="OGJ228" s="1"/>
      <c r="OGK228" s="1"/>
      <c r="OGL228" s="1"/>
      <c r="OGM228" s="1"/>
      <c r="OGN228" s="1"/>
      <c r="OGO228" s="1"/>
      <c r="OGP228" s="1"/>
      <c r="OGQ228" s="1"/>
      <c r="OGR228" s="1"/>
      <c r="OGS228" s="1"/>
      <c r="OGT228" s="1"/>
      <c r="OGU228" s="1"/>
      <c r="OGV228" s="1"/>
      <c r="OGW228" s="1"/>
      <c r="OGX228" s="1"/>
      <c r="OGY228" s="1"/>
      <c r="OGZ228" s="1"/>
      <c r="OHA228" s="1"/>
      <c r="OHB228" s="1"/>
      <c r="OHC228" s="1"/>
      <c r="OHD228" s="1"/>
      <c r="OHE228" s="1"/>
      <c r="OHF228" s="1"/>
      <c r="OHG228" s="1"/>
      <c r="OHH228" s="1"/>
      <c r="OHI228" s="1"/>
      <c r="OHJ228" s="1"/>
      <c r="OHK228" s="1"/>
      <c r="OHL228" s="1"/>
      <c r="OHM228" s="1"/>
      <c r="OHN228" s="1"/>
      <c r="OHO228" s="1"/>
      <c r="OHP228" s="1"/>
      <c r="OHQ228" s="1"/>
      <c r="OHR228" s="1"/>
      <c r="OHS228" s="1"/>
      <c r="OHT228" s="1"/>
      <c r="OHU228" s="1"/>
      <c r="OHV228" s="1"/>
      <c r="OHW228" s="1"/>
      <c r="OHX228" s="1"/>
      <c r="OHY228" s="1"/>
      <c r="OHZ228" s="1"/>
      <c r="OIA228" s="1"/>
      <c r="OIB228" s="1"/>
      <c r="OIC228" s="1"/>
      <c r="OID228" s="1"/>
      <c r="OIE228" s="1"/>
      <c r="OIF228" s="1"/>
      <c r="OIG228" s="1"/>
      <c r="OIH228" s="1"/>
      <c r="OII228" s="1"/>
      <c r="OIJ228" s="1"/>
      <c r="OIK228" s="1"/>
      <c r="OIL228" s="1"/>
      <c r="OIM228" s="1"/>
      <c r="OIN228" s="1"/>
      <c r="OIO228" s="1"/>
      <c r="OIP228" s="1"/>
      <c r="OIQ228" s="1"/>
      <c r="OIR228" s="1"/>
      <c r="OIS228" s="1"/>
      <c r="OIT228" s="1"/>
      <c r="OIU228" s="1"/>
      <c r="OIV228" s="1"/>
      <c r="OIW228" s="1"/>
      <c r="OIX228" s="1"/>
      <c r="OIY228" s="1"/>
      <c r="OIZ228" s="1"/>
      <c r="OJA228" s="1"/>
      <c r="OJB228" s="1"/>
      <c r="OJC228" s="1"/>
      <c r="OJD228" s="1"/>
      <c r="OJE228" s="1"/>
      <c r="OJF228" s="1"/>
      <c r="OJG228" s="1"/>
      <c r="OJH228" s="1"/>
      <c r="OJI228" s="1"/>
      <c r="OJJ228" s="1"/>
      <c r="OJK228" s="1"/>
      <c r="OJL228" s="1"/>
      <c r="OJM228" s="1"/>
      <c r="OJN228" s="1"/>
      <c r="OJO228" s="1"/>
      <c r="OJP228" s="1"/>
      <c r="OJQ228" s="1"/>
      <c r="OJR228" s="1"/>
      <c r="OJS228" s="1"/>
      <c r="OJT228" s="1"/>
      <c r="OJU228" s="1"/>
      <c r="OJV228" s="1"/>
      <c r="OJW228" s="1"/>
      <c r="OJX228" s="1"/>
      <c r="OJY228" s="1"/>
      <c r="OJZ228" s="1"/>
      <c r="OKA228" s="1"/>
      <c r="OKB228" s="1"/>
      <c r="OKC228" s="1"/>
      <c r="OKD228" s="1"/>
      <c r="OKE228" s="1"/>
      <c r="OKF228" s="1"/>
      <c r="OKG228" s="1"/>
      <c r="OKH228" s="1"/>
      <c r="OKI228" s="1"/>
      <c r="OKJ228" s="1"/>
      <c r="OKK228" s="1"/>
      <c r="OKL228" s="1"/>
      <c r="OKM228" s="1"/>
      <c r="OKN228" s="1"/>
      <c r="OKO228" s="1"/>
      <c r="OKP228" s="1"/>
      <c r="OKQ228" s="1"/>
      <c r="OKR228" s="1"/>
      <c r="OKS228" s="1"/>
      <c r="OKT228" s="1"/>
      <c r="OKU228" s="1"/>
      <c r="OKV228" s="1"/>
      <c r="OKW228" s="1"/>
      <c r="OKX228" s="1"/>
      <c r="OKY228" s="1"/>
      <c r="OKZ228" s="1"/>
      <c r="OLA228" s="1"/>
      <c r="OLB228" s="1"/>
      <c r="OLC228" s="1"/>
      <c r="OLD228" s="1"/>
      <c r="OLE228" s="1"/>
      <c r="OLF228" s="1"/>
      <c r="OLG228" s="1"/>
      <c r="OLH228" s="1"/>
      <c r="OLI228" s="1"/>
      <c r="OLJ228" s="1"/>
      <c r="OLK228" s="1"/>
      <c r="OLL228" s="1"/>
      <c r="OLM228" s="1"/>
      <c r="OLN228" s="1"/>
      <c r="OLO228" s="1"/>
      <c r="OLP228" s="1"/>
      <c r="OLQ228" s="1"/>
      <c r="OLR228" s="1"/>
      <c r="OLS228" s="1"/>
      <c r="OLT228" s="1"/>
      <c r="OLU228" s="1"/>
      <c r="OLV228" s="1"/>
      <c r="OLW228" s="1"/>
      <c r="OLX228" s="1"/>
      <c r="OLY228" s="1"/>
      <c r="OLZ228" s="1"/>
      <c r="OMA228" s="1"/>
      <c r="OMB228" s="1"/>
      <c r="OMC228" s="1"/>
      <c r="OMD228" s="1"/>
      <c r="OME228" s="1"/>
      <c r="OMF228" s="1"/>
      <c r="OMG228" s="1"/>
      <c r="OMH228" s="1"/>
      <c r="OMI228" s="1"/>
      <c r="OMJ228" s="1"/>
      <c r="OMK228" s="1"/>
      <c r="OML228" s="1"/>
      <c r="OMM228" s="1"/>
      <c r="OMN228" s="1"/>
      <c r="OMO228" s="1"/>
      <c r="OMP228" s="1"/>
      <c r="OMQ228" s="1"/>
      <c r="OMR228" s="1"/>
      <c r="OMS228" s="1"/>
      <c r="OMT228" s="1"/>
      <c r="OMU228" s="1"/>
      <c r="OMV228" s="1"/>
      <c r="OMW228" s="1"/>
      <c r="OMX228" s="1"/>
      <c r="OMY228" s="1"/>
      <c r="OMZ228" s="1"/>
      <c r="ONA228" s="1"/>
      <c r="ONB228" s="1"/>
      <c r="ONC228" s="1"/>
      <c r="OND228" s="1"/>
      <c r="ONE228" s="1"/>
      <c r="ONF228" s="1"/>
      <c r="ONG228" s="1"/>
      <c r="ONH228" s="1"/>
      <c r="ONI228" s="1"/>
      <c r="ONJ228" s="1"/>
      <c r="ONK228" s="1"/>
      <c r="ONL228" s="1"/>
      <c r="ONM228" s="1"/>
      <c r="ONN228" s="1"/>
      <c r="ONO228" s="1"/>
      <c r="ONP228" s="1"/>
      <c r="ONQ228" s="1"/>
      <c r="ONR228" s="1"/>
      <c r="ONS228" s="1"/>
      <c r="ONT228" s="1"/>
      <c r="ONU228" s="1"/>
      <c r="ONV228" s="1"/>
      <c r="ONW228" s="1"/>
      <c r="ONX228" s="1"/>
      <c r="ONY228" s="1"/>
      <c r="ONZ228" s="1"/>
      <c r="OOA228" s="1"/>
      <c r="OOB228" s="1"/>
      <c r="OOC228" s="1"/>
      <c r="OOD228" s="1"/>
      <c r="OOE228" s="1"/>
      <c r="OOF228" s="1"/>
      <c r="OOG228" s="1"/>
      <c r="OOH228" s="1"/>
      <c r="OOI228" s="1"/>
      <c r="OOJ228" s="1"/>
      <c r="OOK228" s="1"/>
      <c r="OOL228" s="1"/>
      <c r="OOM228" s="1"/>
      <c r="OON228" s="1"/>
      <c r="OOO228" s="1"/>
      <c r="OOP228" s="1"/>
      <c r="OOQ228" s="1"/>
      <c r="OOR228" s="1"/>
      <c r="OOS228" s="1"/>
      <c r="OOT228" s="1"/>
      <c r="OOU228" s="1"/>
      <c r="OOV228" s="1"/>
      <c r="OOW228" s="1"/>
      <c r="OOX228" s="1"/>
      <c r="OOY228" s="1"/>
      <c r="OOZ228" s="1"/>
      <c r="OPA228" s="1"/>
      <c r="OPB228" s="1"/>
      <c r="OPC228" s="1"/>
      <c r="OPD228" s="1"/>
      <c r="OPE228" s="1"/>
      <c r="OPF228" s="1"/>
      <c r="OPG228" s="1"/>
      <c r="OPH228" s="1"/>
      <c r="OPI228" s="1"/>
      <c r="OPJ228" s="1"/>
      <c r="OPK228" s="1"/>
      <c r="OPL228" s="1"/>
      <c r="OPM228" s="1"/>
      <c r="OPN228" s="1"/>
      <c r="OPO228" s="1"/>
      <c r="OPP228" s="1"/>
      <c r="OPQ228" s="1"/>
      <c r="OPR228" s="1"/>
      <c r="OPS228" s="1"/>
      <c r="OPT228" s="1"/>
      <c r="OPU228" s="1"/>
      <c r="OPV228" s="1"/>
      <c r="OPW228" s="1"/>
      <c r="OPX228" s="1"/>
      <c r="OPY228" s="1"/>
      <c r="OPZ228" s="1"/>
      <c r="OQA228" s="1"/>
      <c r="OQB228" s="1"/>
      <c r="OQC228" s="1"/>
      <c r="OQD228" s="1"/>
      <c r="OQE228" s="1"/>
      <c r="OQF228" s="1"/>
      <c r="OQG228" s="1"/>
      <c r="OQH228" s="1"/>
      <c r="OQI228" s="1"/>
      <c r="OQJ228" s="1"/>
      <c r="OQK228" s="1"/>
      <c r="OQL228" s="1"/>
      <c r="OQM228" s="1"/>
      <c r="OQN228" s="1"/>
      <c r="OQO228" s="1"/>
      <c r="OQP228" s="1"/>
      <c r="OQQ228" s="1"/>
      <c r="OQR228" s="1"/>
      <c r="OQS228" s="1"/>
      <c r="OQT228" s="1"/>
      <c r="OQU228" s="1"/>
      <c r="OQV228" s="1"/>
      <c r="OQW228" s="1"/>
      <c r="OQX228" s="1"/>
      <c r="OQY228" s="1"/>
      <c r="OQZ228" s="1"/>
      <c r="ORA228" s="1"/>
      <c r="ORB228" s="1"/>
      <c r="ORC228" s="1"/>
      <c r="ORD228" s="1"/>
      <c r="ORE228" s="1"/>
      <c r="ORF228" s="1"/>
      <c r="ORG228" s="1"/>
      <c r="ORH228" s="1"/>
      <c r="ORI228" s="1"/>
      <c r="ORJ228" s="1"/>
      <c r="ORK228" s="1"/>
      <c r="ORL228" s="1"/>
      <c r="ORM228" s="1"/>
      <c r="ORN228" s="1"/>
      <c r="ORO228" s="1"/>
      <c r="ORP228" s="1"/>
      <c r="ORQ228" s="1"/>
      <c r="ORR228" s="1"/>
      <c r="ORS228" s="1"/>
      <c r="ORT228" s="1"/>
      <c r="ORU228" s="1"/>
      <c r="ORV228" s="1"/>
      <c r="ORW228" s="1"/>
      <c r="ORX228" s="1"/>
      <c r="ORY228" s="1"/>
      <c r="ORZ228" s="1"/>
      <c r="OSA228" s="1"/>
      <c r="OSB228" s="1"/>
      <c r="OSC228" s="1"/>
      <c r="OSD228" s="1"/>
      <c r="OSE228" s="1"/>
      <c r="OSF228" s="1"/>
      <c r="OSG228" s="1"/>
      <c r="OSH228" s="1"/>
      <c r="OSI228" s="1"/>
      <c r="OSJ228" s="1"/>
      <c r="OSK228" s="1"/>
      <c r="OSL228" s="1"/>
      <c r="OSM228" s="1"/>
      <c r="OSN228" s="1"/>
      <c r="OSO228" s="1"/>
      <c r="OSP228" s="1"/>
      <c r="OSQ228" s="1"/>
      <c r="OSR228" s="1"/>
      <c r="OSS228" s="1"/>
      <c r="OST228" s="1"/>
      <c r="OSU228" s="1"/>
      <c r="OSV228" s="1"/>
      <c r="OSW228" s="1"/>
      <c r="OSX228" s="1"/>
      <c r="OSY228" s="1"/>
      <c r="OSZ228" s="1"/>
      <c r="OTA228" s="1"/>
      <c r="OTB228" s="1"/>
      <c r="OTC228" s="1"/>
      <c r="OTD228" s="1"/>
      <c r="OTE228" s="1"/>
      <c r="OTF228" s="1"/>
      <c r="OTG228" s="1"/>
      <c r="OTH228" s="1"/>
      <c r="OTI228" s="1"/>
      <c r="OTJ228" s="1"/>
      <c r="OTK228" s="1"/>
      <c r="OTL228" s="1"/>
      <c r="OTM228" s="1"/>
      <c r="OTN228" s="1"/>
      <c r="OTO228" s="1"/>
      <c r="OTP228" s="1"/>
      <c r="OTQ228" s="1"/>
      <c r="OTR228" s="1"/>
      <c r="OTS228" s="1"/>
      <c r="OTT228" s="1"/>
      <c r="OTU228" s="1"/>
      <c r="OTV228" s="1"/>
      <c r="OTW228" s="1"/>
      <c r="OTX228" s="1"/>
      <c r="OTY228" s="1"/>
      <c r="OTZ228" s="1"/>
      <c r="OUA228" s="1"/>
      <c r="OUB228" s="1"/>
      <c r="OUC228" s="1"/>
      <c r="OUD228" s="1"/>
      <c r="OUE228" s="1"/>
      <c r="OUF228" s="1"/>
      <c r="OUG228" s="1"/>
      <c r="OUH228" s="1"/>
      <c r="OUI228" s="1"/>
      <c r="OUJ228" s="1"/>
      <c r="OUK228" s="1"/>
      <c r="OUL228" s="1"/>
      <c r="OUM228" s="1"/>
      <c r="OUN228" s="1"/>
      <c r="OUO228" s="1"/>
      <c r="OUP228" s="1"/>
      <c r="OUQ228" s="1"/>
      <c r="OUR228" s="1"/>
      <c r="OUS228" s="1"/>
      <c r="OUT228" s="1"/>
      <c r="OUU228" s="1"/>
      <c r="OUV228" s="1"/>
      <c r="OUW228" s="1"/>
      <c r="OUX228" s="1"/>
      <c r="OUY228" s="1"/>
      <c r="OUZ228" s="1"/>
      <c r="OVA228" s="1"/>
      <c r="OVB228" s="1"/>
      <c r="OVC228" s="1"/>
      <c r="OVD228" s="1"/>
      <c r="OVE228" s="1"/>
      <c r="OVF228" s="1"/>
      <c r="OVG228" s="1"/>
      <c r="OVH228" s="1"/>
      <c r="OVI228" s="1"/>
      <c r="OVJ228" s="1"/>
      <c r="OVK228" s="1"/>
      <c r="OVL228" s="1"/>
      <c r="OVM228" s="1"/>
      <c r="OVN228" s="1"/>
      <c r="OVO228" s="1"/>
      <c r="OVP228" s="1"/>
      <c r="OVQ228" s="1"/>
      <c r="OVR228" s="1"/>
      <c r="OVS228" s="1"/>
      <c r="OVT228" s="1"/>
      <c r="OVU228" s="1"/>
      <c r="OVV228" s="1"/>
      <c r="OVW228" s="1"/>
      <c r="OVX228" s="1"/>
      <c r="OVY228" s="1"/>
      <c r="OVZ228" s="1"/>
      <c r="OWA228" s="1"/>
      <c r="OWB228" s="1"/>
      <c r="OWC228" s="1"/>
      <c r="OWD228" s="1"/>
      <c r="OWE228" s="1"/>
      <c r="OWF228" s="1"/>
      <c r="OWG228" s="1"/>
      <c r="OWH228" s="1"/>
      <c r="OWI228" s="1"/>
      <c r="OWJ228" s="1"/>
      <c r="OWK228" s="1"/>
      <c r="OWL228" s="1"/>
      <c r="OWM228" s="1"/>
      <c r="OWN228" s="1"/>
      <c r="OWO228" s="1"/>
      <c r="OWP228" s="1"/>
      <c r="OWQ228" s="1"/>
      <c r="OWR228" s="1"/>
      <c r="OWS228" s="1"/>
      <c r="OWT228" s="1"/>
      <c r="OWU228" s="1"/>
      <c r="OWV228" s="1"/>
      <c r="OWW228" s="1"/>
      <c r="OWX228" s="1"/>
      <c r="OWY228" s="1"/>
      <c r="OWZ228" s="1"/>
      <c r="OXA228" s="1"/>
      <c r="OXB228" s="1"/>
      <c r="OXC228" s="1"/>
      <c r="OXD228" s="1"/>
      <c r="OXE228" s="1"/>
      <c r="OXF228" s="1"/>
      <c r="OXG228" s="1"/>
      <c r="OXH228" s="1"/>
      <c r="OXI228" s="1"/>
      <c r="OXJ228" s="1"/>
      <c r="OXK228" s="1"/>
      <c r="OXL228" s="1"/>
      <c r="OXM228" s="1"/>
      <c r="OXN228" s="1"/>
      <c r="OXO228" s="1"/>
      <c r="OXP228" s="1"/>
      <c r="OXQ228" s="1"/>
      <c r="OXR228" s="1"/>
      <c r="OXS228" s="1"/>
      <c r="OXT228" s="1"/>
      <c r="OXU228" s="1"/>
      <c r="OXV228" s="1"/>
      <c r="OXW228" s="1"/>
      <c r="OXX228" s="1"/>
      <c r="OXY228" s="1"/>
      <c r="OXZ228" s="1"/>
      <c r="OYA228" s="1"/>
      <c r="OYB228" s="1"/>
      <c r="OYC228" s="1"/>
      <c r="OYD228" s="1"/>
      <c r="OYE228" s="1"/>
      <c r="OYF228" s="1"/>
      <c r="OYG228" s="1"/>
      <c r="OYH228" s="1"/>
      <c r="OYI228" s="1"/>
      <c r="OYJ228" s="1"/>
      <c r="OYK228" s="1"/>
      <c r="OYL228" s="1"/>
      <c r="OYM228" s="1"/>
      <c r="OYN228" s="1"/>
      <c r="OYO228" s="1"/>
      <c r="OYP228" s="1"/>
      <c r="OYQ228" s="1"/>
      <c r="OYR228" s="1"/>
      <c r="OYS228" s="1"/>
      <c r="OYT228" s="1"/>
      <c r="OYU228" s="1"/>
      <c r="OYV228" s="1"/>
      <c r="OYW228" s="1"/>
      <c r="OYX228" s="1"/>
      <c r="OYY228" s="1"/>
      <c r="OYZ228" s="1"/>
      <c r="OZA228" s="1"/>
      <c r="OZB228" s="1"/>
      <c r="OZC228" s="1"/>
      <c r="OZD228" s="1"/>
      <c r="OZE228" s="1"/>
      <c r="OZF228" s="1"/>
      <c r="OZG228" s="1"/>
      <c r="OZH228" s="1"/>
      <c r="OZI228" s="1"/>
      <c r="OZJ228" s="1"/>
      <c r="OZK228" s="1"/>
      <c r="OZL228" s="1"/>
      <c r="OZM228" s="1"/>
      <c r="OZN228" s="1"/>
      <c r="OZO228" s="1"/>
      <c r="OZP228" s="1"/>
      <c r="OZQ228" s="1"/>
      <c r="OZR228" s="1"/>
      <c r="OZS228" s="1"/>
      <c r="OZT228" s="1"/>
      <c r="OZU228" s="1"/>
      <c r="OZV228" s="1"/>
      <c r="OZW228" s="1"/>
      <c r="OZX228" s="1"/>
      <c r="OZY228" s="1"/>
      <c r="OZZ228" s="1"/>
      <c r="PAA228" s="1"/>
      <c r="PAB228" s="1"/>
      <c r="PAC228" s="1"/>
      <c r="PAD228" s="1"/>
      <c r="PAE228" s="1"/>
      <c r="PAF228" s="1"/>
      <c r="PAG228" s="1"/>
      <c r="PAH228" s="1"/>
      <c r="PAI228" s="1"/>
      <c r="PAJ228" s="1"/>
      <c r="PAK228" s="1"/>
      <c r="PAL228" s="1"/>
      <c r="PAM228" s="1"/>
      <c r="PAN228" s="1"/>
      <c r="PAO228" s="1"/>
      <c r="PAP228" s="1"/>
      <c r="PAQ228" s="1"/>
      <c r="PAR228" s="1"/>
      <c r="PAS228" s="1"/>
      <c r="PAT228" s="1"/>
      <c r="PAU228" s="1"/>
      <c r="PAV228" s="1"/>
      <c r="PAW228" s="1"/>
      <c r="PAX228" s="1"/>
      <c r="PAY228" s="1"/>
      <c r="PAZ228" s="1"/>
      <c r="PBA228" s="1"/>
      <c r="PBB228" s="1"/>
      <c r="PBC228" s="1"/>
      <c r="PBD228" s="1"/>
      <c r="PBE228" s="1"/>
      <c r="PBF228" s="1"/>
      <c r="PBG228" s="1"/>
      <c r="PBH228" s="1"/>
      <c r="PBI228" s="1"/>
      <c r="PBJ228" s="1"/>
      <c r="PBK228" s="1"/>
      <c r="PBL228" s="1"/>
      <c r="PBM228" s="1"/>
      <c r="PBN228" s="1"/>
      <c r="PBO228" s="1"/>
      <c r="PBP228" s="1"/>
      <c r="PBQ228" s="1"/>
      <c r="PBR228" s="1"/>
      <c r="PBS228" s="1"/>
      <c r="PBT228" s="1"/>
      <c r="PBU228" s="1"/>
      <c r="PBV228" s="1"/>
      <c r="PBW228" s="1"/>
      <c r="PBX228" s="1"/>
      <c r="PBY228" s="1"/>
      <c r="PBZ228" s="1"/>
      <c r="PCA228" s="1"/>
      <c r="PCB228" s="1"/>
      <c r="PCC228" s="1"/>
      <c r="PCD228" s="1"/>
      <c r="PCE228" s="1"/>
      <c r="PCF228" s="1"/>
      <c r="PCG228" s="1"/>
      <c r="PCH228" s="1"/>
      <c r="PCI228" s="1"/>
      <c r="PCJ228" s="1"/>
      <c r="PCK228" s="1"/>
      <c r="PCL228" s="1"/>
      <c r="PCM228" s="1"/>
      <c r="PCN228" s="1"/>
      <c r="PCO228" s="1"/>
      <c r="PCP228" s="1"/>
      <c r="PCQ228" s="1"/>
      <c r="PCR228" s="1"/>
      <c r="PCS228" s="1"/>
      <c r="PCT228" s="1"/>
      <c r="PCU228" s="1"/>
      <c r="PCV228" s="1"/>
      <c r="PCW228" s="1"/>
      <c r="PCX228" s="1"/>
      <c r="PCY228" s="1"/>
      <c r="PCZ228" s="1"/>
      <c r="PDA228" s="1"/>
      <c r="PDB228" s="1"/>
      <c r="PDC228" s="1"/>
      <c r="PDD228" s="1"/>
      <c r="PDE228" s="1"/>
      <c r="PDF228" s="1"/>
      <c r="PDG228" s="1"/>
      <c r="PDH228" s="1"/>
      <c r="PDI228" s="1"/>
      <c r="PDJ228" s="1"/>
      <c r="PDK228" s="1"/>
      <c r="PDL228" s="1"/>
      <c r="PDM228" s="1"/>
      <c r="PDN228" s="1"/>
      <c r="PDO228" s="1"/>
      <c r="PDP228" s="1"/>
      <c r="PDQ228" s="1"/>
      <c r="PDR228" s="1"/>
      <c r="PDS228" s="1"/>
      <c r="PDT228" s="1"/>
      <c r="PDU228" s="1"/>
      <c r="PDV228" s="1"/>
      <c r="PDW228" s="1"/>
      <c r="PDX228" s="1"/>
      <c r="PDY228" s="1"/>
      <c r="PDZ228" s="1"/>
      <c r="PEA228" s="1"/>
      <c r="PEB228" s="1"/>
      <c r="PEC228" s="1"/>
      <c r="PED228" s="1"/>
      <c r="PEE228" s="1"/>
      <c r="PEF228" s="1"/>
      <c r="PEG228" s="1"/>
      <c r="PEH228" s="1"/>
      <c r="PEI228" s="1"/>
      <c r="PEJ228" s="1"/>
      <c r="PEK228" s="1"/>
      <c r="PEL228" s="1"/>
      <c r="PEM228" s="1"/>
      <c r="PEN228" s="1"/>
      <c r="PEO228" s="1"/>
      <c r="PEP228" s="1"/>
      <c r="PEQ228" s="1"/>
      <c r="PER228" s="1"/>
      <c r="PES228" s="1"/>
      <c r="PET228" s="1"/>
      <c r="PEU228" s="1"/>
      <c r="PEV228" s="1"/>
      <c r="PEW228" s="1"/>
      <c r="PEX228" s="1"/>
      <c r="PEY228" s="1"/>
      <c r="PEZ228" s="1"/>
      <c r="PFA228" s="1"/>
      <c r="PFB228" s="1"/>
      <c r="PFC228" s="1"/>
      <c r="PFD228" s="1"/>
      <c r="PFE228" s="1"/>
      <c r="PFF228" s="1"/>
      <c r="PFG228" s="1"/>
      <c r="PFH228" s="1"/>
      <c r="PFI228" s="1"/>
      <c r="PFJ228" s="1"/>
      <c r="PFK228" s="1"/>
      <c r="PFL228" s="1"/>
      <c r="PFM228" s="1"/>
      <c r="PFN228" s="1"/>
      <c r="PFO228" s="1"/>
      <c r="PFP228" s="1"/>
      <c r="PFQ228" s="1"/>
      <c r="PFR228" s="1"/>
      <c r="PFS228" s="1"/>
      <c r="PFT228" s="1"/>
      <c r="PFU228" s="1"/>
      <c r="PFV228" s="1"/>
      <c r="PFW228" s="1"/>
      <c r="PFX228" s="1"/>
      <c r="PFY228" s="1"/>
      <c r="PFZ228" s="1"/>
      <c r="PGA228" s="1"/>
      <c r="PGB228" s="1"/>
      <c r="PGC228" s="1"/>
      <c r="PGD228" s="1"/>
      <c r="PGE228" s="1"/>
      <c r="PGF228" s="1"/>
      <c r="PGG228" s="1"/>
      <c r="PGH228" s="1"/>
      <c r="PGI228" s="1"/>
      <c r="PGJ228" s="1"/>
      <c r="PGK228" s="1"/>
      <c r="PGL228" s="1"/>
      <c r="PGM228" s="1"/>
      <c r="PGN228" s="1"/>
      <c r="PGO228" s="1"/>
      <c r="PGP228" s="1"/>
      <c r="PGQ228" s="1"/>
      <c r="PGR228" s="1"/>
      <c r="PGS228" s="1"/>
      <c r="PGT228" s="1"/>
      <c r="PGU228" s="1"/>
      <c r="PGV228" s="1"/>
      <c r="PGW228" s="1"/>
      <c r="PGX228" s="1"/>
      <c r="PGY228" s="1"/>
      <c r="PGZ228" s="1"/>
      <c r="PHA228" s="1"/>
      <c r="PHB228" s="1"/>
      <c r="PHC228" s="1"/>
      <c r="PHD228" s="1"/>
      <c r="PHE228" s="1"/>
      <c r="PHF228" s="1"/>
      <c r="PHG228" s="1"/>
      <c r="PHH228" s="1"/>
      <c r="PHI228" s="1"/>
      <c r="PHJ228" s="1"/>
      <c r="PHK228" s="1"/>
      <c r="PHL228" s="1"/>
      <c r="PHM228" s="1"/>
      <c r="PHN228" s="1"/>
      <c r="PHO228" s="1"/>
      <c r="PHP228" s="1"/>
      <c r="PHQ228" s="1"/>
      <c r="PHR228" s="1"/>
      <c r="PHS228" s="1"/>
      <c r="PHT228" s="1"/>
      <c r="PHU228" s="1"/>
      <c r="PHV228" s="1"/>
      <c r="PHW228" s="1"/>
      <c r="PHX228" s="1"/>
      <c r="PHY228" s="1"/>
      <c r="PHZ228" s="1"/>
      <c r="PIA228" s="1"/>
      <c r="PIB228" s="1"/>
      <c r="PIC228" s="1"/>
      <c r="PID228" s="1"/>
      <c r="PIE228" s="1"/>
      <c r="PIF228" s="1"/>
      <c r="PIG228" s="1"/>
      <c r="PIH228" s="1"/>
      <c r="PII228" s="1"/>
      <c r="PIJ228" s="1"/>
      <c r="PIK228" s="1"/>
      <c r="PIL228" s="1"/>
      <c r="PIM228" s="1"/>
      <c r="PIN228" s="1"/>
      <c r="PIO228" s="1"/>
      <c r="PIP228" s="1"/>
      <c r="PIQ228" s="1"/>
      <c r="PIR228" s="1"/>
      <c r="PIS228" s="1"/>
      <c r="PIT228" s="1"/>
      <c r="PIU228" s="1"/>
      <c r="PIV228" s="1"/>
      <c r="PIW228" s="1"/>
      <c r="PIX228" s="1"/>
      <c r="PIY228" s="1"/>
      <c r="PIZ228" s="1"/>
      <c r="PJA228" s="1"/>
      <c r="PJB228" s="1"/>
      <c r="PJC228" s="1"/>
      <c r="PJD228" s="1"/>
      <c r="PJE228" s="1"/>
      <c r="PJF228" s="1"/>
      <c r="PJG228" s="1"/>
      <c r="PJH228" s="1"/>
      <c r="PJI228" s="1"/>
      <c r="PJJ228" s="1"/>
      <c r="PJK228" s="1"/>
      <c r="PJL228" s="1"/>
      <c r="PJM228" s="1"/>
      <c r="PJN228" s="1"/>
      <c r="PJO228" s="1"/>
      <c r="PJP228" s="1"/>
      <c r="PJQ228" s="1"/>
      <c r="PJR228" s="1"/>
      <c r="PJS228" s="1"/>
      <c r="PJT228" s="1"/>
      <c r="PJU228" s="1"/>
      <c r="PJV228" s="1"/>
      <c r="PJW228" s="1"/>
      <c r="PJX228" s="1"/>
      <c r="PJY228" s="1"/>
      <c r="PJZ228" s="1"/>
      <c r="PKA228" s="1"/>
      <c r="PKB228" s="1"/>
      <c r="PKC228" s="1"/>
      <c r="PKD228" s="1"/>
      <c r="PKE228" s="1"/>
      <c r="PKF228" s="1"/>
      <c r="PKG228" s="1"/>
      <c r="PKH228" s="1"/>
      <c r="PKI228" s="1"/>
      <c r="PKJ228" s="1"/>
      <c r="PKK228" s="1"/>
      <c r="PKL228" s="1"/>
      <c r="PKM228" s="1"/>
      <c r="PKN228" s="1"/>
      <c r="PKO228" s="1"/>
      <c r="PKP228" s="1"/>
      <c r="PKQ228" s="1"/>
      <c r="PKR228" s="1"/>
      <c r="PKS228" s="1"/>
      <c r="PKT228" s="1"/>
      <c r="PKU228" s="1"/>
      <c r="PKV228" s="1"/>
      <c r="PKW228" s="1"/>
      <c r="PKX228" s="1"/>
      <c r="PKY228" s="1"/>
      <c r="PKZ228" s="1"/>
      <c r="PLA228" s="1"/>
      <c r="PLB228" s="1"/>
      <c r="PLC228" s="1"/>
      <c r="PLD228" s="1"/>
      <c r="PLE228" s="1"/>
      <c r="PLF228" s="1"/>
      <c r="PLG228" s="1"/>
      <c r="PLH228" s="1"/>
      <c r="PLI228" s="1"/>
      <c r="PLJ228" s="1"/>
      <c r="PLK228" s="1"/>
      <c r="PLL228" s="1"/>
      <c r="PLM228" s="1"/>
      <c r="PLN228" s="1"/>
      <c r="PLO228" s="1"/>
      <c r="PLP228" s="1"/>
      <c r="PLQ228" s="1"/>
      <c r="PLR228" s="1"/>
      <c r="PLS228" s="1"/>
      <c r="PLT228" s="1"/>
      <c r="PLU228" s="1"/>
      <c r="PLV228" s="1"/>
      <c r="PLW228" s="1"/>
      <c r="PLX228" s="1"/>
      <c r="PLY228" s="1"/>
      <c r="PLZ228" s="1"/>
      <c r="PMA228" s="1"/>
      <c r="PMB228" s="1"/>
      <c r="PMC228" s="1"/>
      <c r="PMD228" s="1"/>
      <c r="PME228" s="1"/>
      <c r="PMF228" s="1"/>
      <c r="PMG228" s="1"/>
      <c r="PMH228" s="1"/>
      <c r="PMI228" s="1"/>
      <c r="PMJ228" s="1"/>
      <c r="PMK228" s="1"/>
      <c r="PML228" s="1"/>
      <c r="PMM228" s="1"/>
      <c r="PMN228" s="1"/>
      <c r="PMO228" s="1"/>
      <c r="PMP228" s="1"/>
      <c r="PMQ228" s="1"/>
      <c r="PMR228" s="1"/>
      <c r="PMS228" s="1"/>
      <c r="PMT228" s="1"/>
      <c r="PMU228" s="1"/>
      <c r="PMV228" s="1"/>
      <c r="PMW228" s="1"/>
      <c r="PMX228" s="1"/>
      <c r="PMY228" s="1"/>
      <c r="PMZ228" s="1"/>
      <c r="PNA228" s="1"/>
      <c r="PNB228" s="1"/>
      <c r="PNC228" s="1"/>
      <c r="PND228" s="1"/>
      <c r="PNE228" s="1"/>
      <c r="PNF228" s="1"/>
      <c r="PNG228" s="1"/>
      <c r="PNH228" s="1"/>
      <c r="PNI228" s="1"/>
      <c r="PNJ228" s="1"/>
      <c r="PNK228" s="1"/>
      <c r="PNL228" s="1"/>
      <c r="PNM228" s="1"/>
      <c r="PNN228" s="1"/>
      <c r="PNO228" s="1"/>
      <c r="PNP228" s="1"/>
      <c r="PNQ228" s="1"/>
      <c r="PNR228" s="1"/>
      <c r="PNS228" s="1"/>
      <c r="PNT228" s="1"/>
      <c r="PNU228" s="1"/>
      <c r="PNV228" s="1"/>
      <c r="PNW228" s="1"/>
      <c r="PNX228" s="1"/>
      <c r="PNY228" s="1"/>
      <c r="PNZ228" s="1"/>
      <c r="POA228" s="1"/>
      <c r="POB228" s="1"/>
      <c r="POC228" s="1"/>
      <c r="POD228" s="1"/>
      <c r="POE228" s="1"/>
      <c r="POF228" s="1"/>
      <c r="POG228" s="1"/>
      <c r="POH228" s="1"/>
      <c r="POI228" s="1"/>
      <c r="POJ228" s="1"/>
      <c r="POK228" s="1"/>
      <c r="POL228" s="1"/>
      <c r="POM228" s="1"/>
      <c r="PON228" s="1"/>
      <c r="POO228" s="1"/>
      <c r="POP228" s="1"/>
      <c r="POQ228" s="1"/>
      <c r="POR228" s="1"/>
      <c r="POS228" s="1"/>
      <c r="POT228" s="1"/>
      <c r="POU228" s="1"/>
      <c r="POV228" s="1"/>
      <c r="POW228" s="1"/>
      <c r="POX228" s="1"/>
      <c r="POY228" s="1"/>
      <c r="POZ228" s="1"/>
      <c r="PPA228" s="1"/>
      <c r="PPB228" s="1"/>
      <c r="PPC228" s="1"/>
      <c r="PPD228" s="1"/>
      <c r="PPE228" s="1"/>
      <c r="PPF228" s="1"/>
      <c r="PPG228" s="1"/>
      <c r="PPH228" s="1"/>
      <c r="PPI228" s="1"/>
      <c r="PPJ228" s="1"/>
      <c r="PPK228" s="1"/>
      <c r="PPL228" s="1"/>
      <c r="PPM228" s="1"/>
      <c r="PPN228" s="1"/>
      <c r="PPO228" s="1"/>
      <c r="PPP228" s="1"/>
      <c r="PPQ228" s="1"/>
      <c r="PPR228" s="1"/>
      <c r="PPS228" s="1"/>
      <c r="PPT228" s="1"/>
      <c r="PPU228" s="1"/>
      <c r="PPV228" s="1"/>
      <c r="PPW228" s="1"/>
      <c r="PPX228" s="1"/>
      <c r="PPY228" s="1"/>
      <c r="PPZ228" s="1"/>
      <c r="PQA228" s="1"/>
      <c r="PQB228" s="1"/>
      <c r="PQC228" s="1"/>
      <c r="PQD228" s="1"/>
      <c r="PQE228" s="1"/>
      <c r="PQF228" s="1"/>
      <c r="PQG228" s="1"/>
      <c r="PQH228" s="1"/>
      <c r="PQI228" s="1"/>
      <c r="PQJ228" s="1"/>
      <c r="PQK228" s="1"/>
      <c r="PQL228" s="1"/>
      <c r="PQM228" s="1"/>
      <c r="PQN228" s="1"/>
      <c r="PQO228" s="1"/>
      <c r="PQP228" s="1"/>
      <c r="PQQ228" s="1"/>
      <c r="PQR228" s="1"/>
      <c r="PQS228" s="1"/>
      <c r="PQT228" s="1"/>
      <c r="PQU228" s="1"/>
      <c r="PQV228" s="1"/>
      <c r="PQW228" s="1"/>
      <c r="PQX228" s="1"/>
      <c r="PQY228" s="1"/>
      <c r="PQZ228" s="1"/>
      <c r="PRA228" s="1"/>
      <c r="PRB228" s="1"/>
      <c r="PRC228" s="1"/>
      <c r="PRD228" s="1"/>
      <c r="PRE228" s="1"/>
      <c r="PRF228" s="1"/>
      <c r="PRG228" s="1"/>
      <c r="PRH228" s="1"/>
      <c r="PRI228" s="1"/>
      <c r="PRJ228" s="1"/>
      <c r="PRK228" s="1"/>
      <c r="PRL228" s="1"/>
      <c r="PRM228" s="1"/>
      <c r="PRN228" s="1"/>
      <c r="PRO228" s="1"/>
      <c r="PRP228" s="1"/>
      <c r="PRQ228" s="1"/>
      <c r="PRR228" s="1"/>
      <c r="PRS228" s="1"/>
      <c r="PRT228" s="1"/>
      <c r="PRU228" s="1"/>
      <c r="PRV228" s="1"/>
      <c r="PRW228" s="1"/>
      <c r="PRX228" s="1"/>
      <c r="PRY228" s="1"/>
      <c r="PRZ228" s="1"/>
      <c r="PSA228" s="1"/>
      <c r="PSB228" s="1"/>
      <c r="PSC228" s="1"/>
      <c r="PSD228" s="1"/>
      <c r="PSE228" s="1"/>
      <c r="PSF228" s="1"/>
      <c r="PSG228" s="1"/>
      <c r="PSH228" s="1"/>
      <c r="PSI228" s="1"/>
      <c r="PSJ228" s="1"/>
      <c r="PSK228" s="1"/>
      <c r="PSL228" s="1"/>
      <c r="PSM228" s="1"/>
      <c r="PSN228" s="1"/>
      <c r="PSO228" s="1"/>
      <c r="PSP228" s="1"/>
      <c r="PSQ228" s="1"/>
      <c r="PSR228" s="1"/>
      <c r="PSS228" s="1"/>
      <c r="PST228" s="1"/>
      <c r="PSU228" s="1"/>
      <c r="PSV228" s="1"/>
      <c r="PSW228" s="1"/>
      <c r="PSX228" s="1"/>
      <c r="PSY228" s="1"/>
      <c r="PSZ228" s="1"/>
      <c r="PTA228" s="1"/>
      <c r="PTB228" s="1"/>
      <c r="PTC228" s="1"/>
      <c r="PTD228" s="1"/>
      <c r="PTE228" s="1"/>
      <c r="PTF228" s="1"/>
      <c r="PTG228" s="1"/>
      <c r="PTH228" s="1"/>
      <c r="PTI228" s="1"/>
      <c r="PTJ228" s="1"/>
      <c r="PTK228" s="1"/>
      <c r="PTL228" s="1"/>
      <c r="PTM228" s="1"/>
      <c r="PTN228" s="1"/>
      <c r="PTO228" s="1"/>
      <c r="PTP228" s="1"/>
      <c r="PTQ228" s="1"/>
      <c r="PTR228" s="1"/>
      <c r="PTS228" s="1"/>
      <c r="PTT228" s="1"/>
      <c r="PTU228" s="1"/>
      <c r="PTV228" s="1"/>
      <c r="PTW228" s="1"/>
      <c r="PTX228" s="1"/>
      <c r="PTY228" s="1"/>
      <c r="PTZ228" s="1"/>
      <c r="PUA228" s="1"/>
      <c r="PUB228" s="1"/>
      <c r="PUC228" s="1"/>
      <c r="PUD228" s="1"/>
      <c r="PUE228" s="1"/>
      <c r="PUF228" s="1"/>
      <c r="PUG228" s="1"/>
      <c r="PUH228" s="1"/>
      <c r="PUI228" s="1"/>
      <c r="PUJ228" s="1"/>
      <c r="PUK228" s="1"/>
      <c r="PUL228" s="1"/>
      <c r="PUM228" s="1"/>
      <c r="PUN228" s="1"/>
      <c r="PUO228" s="1"/>
      <c r="PUP228" s="1"/>
      <c r="PUQ228" s="1"/>
      <c r="PUR228" s="1"/>
      <c r="PUS228" s="1"/>
      <c r="PUT228" s="1"/>
      <c r="PUU228" s="1"/>
      <c r="PUV228" s="1"/>
      <c r="PUW228" s="1"/>
      <c r="PUX228" s="1"/>
      <c r="PUY228" s="1"/>
      <c r="PUZ228" s="1"/>
      <c r="PVA228" s="1"/>
      <c r="PVB228" s="1"/>
      <c r="PVC228" s="1"/>
      <c r="PVD228" s="1"/>
      <c r="PVE228" s="1"/>
      <c r="PVF228" s="1"/>
      <c r="PVG228" s="1"/>
      <c r="PVH228" s="1"/>
      <c r="PVI228" s="1"/>
      <c r="PVJ228" s="1"/>
      <c r="PVK228" s="1"/>
      <c r="PVL228" s="1"/>
      <c r="PVM228" s="1"/>
      <c r="PVN228" s="1"/>
      <c r="PVO228" s="1"/>
      <c r="PVP228" s="1"/>
      <c r="PVQ228" s="1"/>
      <c r="PVR228" s="1"/>
      <c r="PVS228" s="1"/>
      <c r="PVT228" s="1"/>
      <c r="PVU228" s="1"/>
      <c r="PVV228" s="1"/>
      <c r="PVW228" s="1"/>
      <c r="PVX228" s="1"/>
      <c r="PVY228" s="1"/>
      <c r="PVZ228" s="1"/>
      <c r="PWA228" s="1"/>
      <c r="PWB228" s="1"/>
      <c r="PWC228" s="1"/>
      <c r="PWD228" s="1"/>
      <c r="PWE228" s="1"/>
      <c r="PWF228" s="1"/>
      <c r="PWG228" s="1"/>
      <c r="PWH228" s="1"/>
      <c r="PWI228" s="1"/>
      <c r="PWJ228" s="1"/>
      <c r="PWK228" s="1"/>
      <c r="PWL228" s="1"/>
      <c r="PWM228" s="1"/>
      <c r="PWN228" s="1"/>
      <c r="PWO228" s="1"/>
      <c r="PWP228" s="1"/>
      <c r="PWQ228" s="1"/>
      <c r="PWR228" s="1"/>
      <c r="PWS228" s="1"/>
      <c r="PWT228" s="1"/>
      <c r="PWU228" s="1"/>
      <c r="PWV228" s="1"/>
      <c r="PWW228" s="1"/>
      <c r="PWX228" s="1"/>
      <c r="PWY228" s="1"/>
      <c r="PWZ228" s="1"/>
      <c r="PXA228" s="1"/>
      <c r="PXB228" s="1"/>
      <c r="PXC228" s="1"/>
      <c r="PXD228" s="1"/>
      <c r="PXE228" s="1"/>
      <c r="PXF228" s="1"/>
      <c r="PXG228" s="1"/>
      <c r="PXH228" s="1"/>
      <c r="PXI228" s="1"/>
      <c r="PXJ228" s="1"/>
      <c r="PXK228" s="1"/>
      <c r="PXL228" s="1"/>
      <c r="PXM228" s="1"/>
      <c r="PXN228" s="1"/>
      <c r="PXO228" s="1"/>
      <c r="PXP228" s="1"/>
      <c r="PXQ228" s="1"/>
      <c r="PXR228" s="1"/>
      <c r="PXS228" s="1"/>
      <c r="PXT228" s="1"/>
      <c r="PXU228" s="1"/>
      <c r="PXV228" s="1"/>
      <c r="PXW228" s="1"/>
      <c r="PXX228" s="1"/>
      <c r="PXY228" s="1"/>
      <c r="PXZ228" s="1"/>
      <c r="PYA228" s="1"/>
      <c r="PYB228" s="1"/>
      <c r="PYC228" s="1"/>
      <c r="PYD228" s="1"/>
      <c r="PYE228" s="1"/>
      <c r="PYF228" s="1"/>
      <c r="PYG228" s="1"/>
      <c r="PYH228" s="1"/>
      <c r="PYI228" s="1"/>
      <c r="PYJ228" s="1"/>
      <c r="PYK228" s="1"/>
      <c r="PYL228" s="1"/>
      <c r="PYM228" s="1"/>
      <c r="PYN228" s="1"/>
      <c r="PYO228" s="1"/>
      <c r="PYP228" s="1"/>
      <c r="PYQ228" s="1"/>
      <c r="PYR228" s="1"/>
      <c r="PYS228" s="1"/>
      <c r="PYT228" s="1"/>
      <c r="PYU228" s="1"/>
      <c r="PYV228" s="1"/>
      <c r="PYW228" s="1"/>
      <c r="PYX228" s="1"/>
      <c r="PYY228" s="1"/>
      <c r="PYZ228" s="1"/>
      <c r="PZA228" s="1"/>
      <c r="PZB228" s="1"/>
      <c r="PZC228" s="1"/>
      <c r="PZD228" s="1"/>
      <c r="PZE228" s="1"/>
      <c r="PZF228" s="1"/>
      <c r="PZG228" s="1"/>
      <c r="PZH228" s="1"/>
      <c r="PZI228" s="1"/>
      <c r="PZJ228" s="1"/>
      <c r="PZK228" s="1"/>
      <c r="PZL228" s="1"/>
      <c r="PZM228" s="1"/>
      <c r="PZN228" s="1"/>
      <c r="PZO228" s="1"/>
      <c r="PZP228" s="1"/>
      <c r="PZQ228" s="1"/>
      <c r="PZR228" s="1"/>
      <c r="PZS228" s="1"/>
      <c r="PZT228" s="1"/>
      <c r="PZU228" s="1"/>
      <c r="PZV228" s="1"/>
      <c r="PZW228" s="1"/>
      <c r="PZX228" s="1"/>
      <c r="PZY228" s="1"/>
      <c r="PZZ228" s="1"/>
      <c r="QAA228" s="1"/>
      <c r="QAB228" s="1"/>
      <c r="QAC228" s="1"/>
      <c r="QAD228" s="1"/>
      <c r="QAE228" s="1"/>
      <c r="QAF228" s="1"/>
      <c r="QAG228" s="1"/>
      <c r="QAH228" s="1"/>
      <c r="QAI228" s="1"/>
      <c r="QAJ228" s="1"/>
      <c r="QAK228" s="1"/>
      <c r="QAL228" s="1"/>
      <c r="QAM228" s="1"/>
      <c r="QAN228" s="1"/>
      <c r="QAO228" s="1"/>
      <c r="QAP228" s="1"/>
      <c r="QAQ228" s="1"/>
      <c r="QAR228" s="1"/>
      <c r="QAS228" s="1"/>
      <c r="QAT228" s="1"/>
      <c r="QAU228" s="1"/>
      <c r="QAV228" s="1"/>
      <c r="QAW228" s="1"/>
      <c r="QAX228" s="1"/>
      <c r="QAY228" s="1"/>
      <c r="QAZ228" s="1"/>
      <c r="QBA228" s="1"/>
      <c r="QBB228" s="1"/>
      <c r="QBC228" s="1"/>
      <c r="QBD228" s="1"/>
      <c r="QBE228" s="1"/>
      <c r="QBF228" s="1"/>
      <c r="QBG228" s="1"/>
      <c r="QBH228" s="1"/>
      <c r="QBI228" s="1"/>
      <c r="QBJ228" s="1"/>
      <c r="QBK228" s="1"/>
      <c r="QBL228" s="1"/>
      <c r="QBM228" s="1"/>
      <c r="QBN228" s="1"/>
      <c r="QBO228" s="1"/>
      <c r="QBP228" s="1"/>
      <c r="QBQ228" s="1"/>
      <c r="QBR228" s="1"/>
      <c r="QBS228" s="1"/>
      <c r="QBT228" s="1"/>
      <c r="QBU228" s="1"/>
      <c r="QBV228" s="1"/>
      <c r="QBW228" s="1"/>
      <c r="QBX228" s="1"/>
      <c r="QBY228" s="1"/>
      <c r="QBZ228" s="1"/>
      <c r="QCA228" s="1"/>
      <c r="QCB228" s="1"/>
      <c r="QCC228" s="1"/>
      <c r="QCD228" s="1"/>
      <c r="QCE228" s="1"/>
      <c r="QCF228" s="1"/>
      <c r="QCG228" s="1"/>
      <c r="QCH228" s="1"/>
      <c r="QCI228" s="1"/>
      <c r="QCJ228" s="1"/>
      <c r="QCK228" s="1"/>
      <c r="QCL228" s="1"/>
      <c r="QCM228" s="1"/>
      <c r="QCN228" s="1"/>
      <c r="QCO228" s="1"/>
      <c r="QCP228" s="1"/>
      <c r="QCQ228" s="1"/>
      <c r="QCR228" s="1"/>
      <c r="QCS228" s="1"/>
      <c r="QCT228" s="1"/>
      <c r="QCU228" s="1"/>
      <c r="QCV228" s="1"/>
      <c r="QCW228" s="1"/>
      <c r="QCX228" s="1"/>
      <c r="QCY228" s="1"/>
      <c r="QCZ228" s="1"/>
      <c r="QDA228" s="1"/>
      <c r="QDB228" s="1"/>
      <c r="QDC228" s="1"/>
      <c r="QDD228" s="1"/>
      <c r="QDE228" s="1"/>
      <c r="QDF228" s="1"/>
      <c r="QDG228" s="1"/>
      <c r="QDH228" s="1"/>
      <c r="QDI228" s="1"/>
      <c r="QDJ228" s="1"/>
      <c r="QDK228" s="1"/>
      <c r="QDL228" s="1"/>
      <c r="QDM228" s="1"/>
      <c r="QDN228" s="1"/>
      <c r="QDO228" s="1"/>
      <c r="QDP228" s="1"/>
      <c r="QDQ228" s="1"/>
      <c r="QDR228" s="1"/>
      <c r="QDS228" s="1"/>
      <c r="QDT228" s="1"/>
      <c r="QDU228" s="1"/>
      <c r="QDV228" s="1"/>
      <c r="QDW228" s="1"/>
      <c r="QDX228" s="1"/>
      <c r="QDY228" s="1"/>
      <c r="QDZ228" s="1"/>
      <c r="QEA228" s="1"/>
      <c r="QEB228" s="1"/>
      <c r="QEC228" s="1"/>
      <c r="QED228" s="1"/>
      <c r="QEE228" s="1"/>
      <c r="QEF228" s="1"/>
      <c r="QEG228" s="1"/>
      <c r="QEH228" s="1"/>
      <c r="QEI228" s="1"/>
      <c r="QEJ228" s="1"/>
      <c r="QEK228" s="1"/>
      <c r="QEL228" s="1"/>
      <c r="QEM228" s="1"/>
      <c r="QEN228" s="1"/>
      <c r="QEO228" s="1"/>
      <c r="QEP228" s="1"/>
      <c r="QEQ228" s="1"/>
      <c r="QER228" s="1"/>
      <c r="QES228" s="1"/>
      <c r="QET228" s="1"/>
      <c r="QEU228" s="1"/>
      <c r="QEV228" s="1"/>
      <c r="QEW228" s="1"/>
      <c r="QEX228" s="1"/>
      <c r="QEY228" s="1"/>
      <c r="QEZ228" s="1"/>
      <c r="QFA228" s="1"/>
      <c r="QFB228" s="1"/>
      <c r="QFC228" s="1"/>
      <c r="QFD228" s="1"/>
      <c r="QFE228" s="1"/>
      <c r="QFF228" s="1"/>
      <c r="QFG228" s="1"/>
      <c r="QFH228" s="1"/>
      <c r="QFI228" s="1"/>
      <c r="QFJ228" s="1"/>
      <c r="QFK228" s="1"/>
      <c r="QFL228" s="1"/>
      <c r="QFM228" s="1"/>
      <c r="QFN228" s="1"/>
      <c r="QFO228" s="1"/>
      <c r="QFP228" s="1"/>
      <c r="QFQ228" s="1"/>
      <c r="QFR228" s="1"/>
      <c r="QFS228" s="1"/>
      <c r="QFT228" s="1"/>
      <c r="QFU228" s="1"/>
      <c r="QFV228" s="1"/>
      <c r="QFW228" s="1"/>
      <c r="QFX228" s="1"/>
      <c r="QFY228" s="1"/>
      <c r="QFZ228" s="1"/>
      <c r="QGA228" s="1"/>
      <c r="QGB228" s="1"/>
      <c r="QGC228" s="1"/>
      <c r="QGD228" s="1"/>
      <c r="QGE228" s="1"/>
      <c r="QGF228" s="1"/>
      <c r="QGG228" s="1"/>
      <c r="QGH228" s="1"/>
      <c r="QGI228" s="1"/>
      <c r="QGJ228" s="1"/>
      <c r="QGK228" s="1"/>
      <c r="QGL228" s="1"/>
      <c r="QGM228" s="1"/>
      <c r="QGN228" s="1"/>
      <c r="QGO228" s="1"/>
      <c r="QGP228" s="1"/>
      <c r="QGQ228" s="1"/>
      <c r="QGR228" s="1"/>
      <c r="QGS228" s="1"/>
      <c r="QGT228" s="1"/>
      <c r="QGU228" s="1"/>
      <c r="QGV228" s="1"/>
      <c r="QGW228" s="1"/>
      <c r="QGX228" s="1"/>
      <c r="QGY228" s="1"/>
      <c r="QGZ228" s="1"/>
      <c r="QHA228" s="1"/>
      <c r="QHB228" s="1"/>
      <c r="QHC228" s="1"/>
      <c r="QHD228" s="1"/>
      <c r="QHE228" s="1"/>
      <c r="QHF228" s="1"/>
      <c r="QHG228" s="1"/>
      <c r="QHH228" s="1"/>
      <c r="QHI228" s="1"/>
      <c r="QHJ228" s="1"/>
      <c r="QHK228" s="1"/>
      <c r="QHL228" s="1"/>
      <c r="QHM228" s="1"/>
      <c r="QHN228" s="1"/>
      <c r="QHO228" s="1"/>
      <c r="QHP228" s="1"/>
      <c r="QHQ228" s="1"/>
      <c r="QHR228" s="1"/>
      <c r="QHS228" s="1"/>
      <c r="QHT228" s="1"/>
      <c r="QHU228" s="1"/>
      <c r="QHV228" s="1"/>
      <c r="QHW228" s="1"/>
      <c r="QHX228" s="1"/>
      <c r="QHY228" s="1"/>
      <c r="QHZ228" s="1"/>
      <c r="QIA228" s="1"/>
      <c r="QIB228" s="1"/>
      <c r="QIC228" s="1"/>
      <c r="QID228" s="1"/>
      <c r="QIE228" s="1"/>
      <c r="QIF228" s="1"/>
      <c r="QIG228" s="1"/>
      <c r="QIH228" s="1"/>
      <c r="QII228" s="1"/>
      <c r="QIJ228" s="1"/>
      <c r="QIK228" s="1"/>
      <c r="QIL228" s="1"/>
      <c r="QIM228" s="1"/>
      <c r="QIN228" s="1"/>
      <c r="QIO228" s="1"/>
      <c r="QIP228" s="1"/>
      <c r="QIQ228" s="1"/>
      <c r="QIR228" s="1"/>
      <c r="QIS228" s="1"/>
      <c r="QIT228" s="1"/>
      <c r="QIU228" s="1"/>
      <c r="QIV228" s="1"/>
      <c r="QIW228" s="1"/>
      <c r="QIX228" s="1"/>
      <c r="QIY228" s="1"/>
      <c r="QIZ228" s="1"/>
      <c r="QJA228" s="1"/>
      <c r="QJB228" s="1"/>
      <c r="QJC228" s="1"/>
      <c r="QJD228" s="1"/>
      <c r="QJE228" s="1"/>
      <c r="QJF228" s="1"/>
      <c r="QJG228" s="1"/>
      <c r="QJH228" s="1"/>
      <c r="QJI228" s="1"/>
      <c r="QJJ228" s="1"/>
      <c r="QJK228" s="1"/>
      <c r="QJL228" s="1"/>
      <c r="QJM228" s="1"/>
      <c r="QJN228" s="1"/>
      <c r="QJO228" s="1"/>
      <c r="QJP228" s="1"/>
      <c r="QJQ228" s="1"/>
      <c r="QJR228" s="1"/>
      <c r="QJS228" s="1"/>
      <c r="QJT228" s="1"/>
      <c r="QJU228" s="1"/>
      <c r="QJV228" s="1"/>
      <c r="QJW228" s="1"/>
      <c r="QJX228" s="1"/>
      <c r="QJY228" s="1"/>
      <c r="QJZ228" s="1"/>
      <c r="QKA228" s="1"/>
      <c r="QKB228" s="1"/>
      <c r="QKC228" s="1"/>
      <c r="QKD228" s="1"/>
      <c r="QKE228" s="1"/>
      <c r="QKF228" s="1"/>
      <c r="QKG228" s="1"/>
      <c r="QKH228" s="1"/>
      <c r="QKI228" s="1"/>
      <c r="QKJ228" s="1"/>
      <c r="QKK228" s="1"/>
      <c r="QKL228" s="1"/>
      <c r="QKM228" s="1"/>
      <c r="QKN228" s="1"/>
      <c r="QKO228" s="1"/>
      <c r="QKP228" s="1"/>
      <c r="QKQ228" s="1"/>
      <c r="QKR228" s="1"/>
      <c r="QKS228" s="1"/>
      <c r="QKT228" s="1"/>
      <c r="QKU228" s="1"/>
      <c r="QKV228" s="1"/>
      <c r="QKW228" s="1"/>
      <c r="QKX228" s="1"/>
      <c r="QKY228" s="1"/>
      <c r="QKZ228" s="1"/>
      <c r="QLA228" s="1"/>
      <c r="QLB228" s="1"/>
      <c r="QLC228" s="1"/>
      <c r="QLD228" s="1"/>
      <c r="QLE228" s="1"/>
      <c r="QLF228" s="1"/>
      <c r="QLG228" s="1"/>
      <c r="QLH228" s="1"/>
      <c r="QLI228" s="1"/>
      <c r="QLJ228" s="1"/>
      <c r="QLK228" s="1"/>
      <c r="QLL228" s="1"/>
      <c r="QLM228" s="1"/>
      <c r="QLN228" s="1"/>
      <c r="QLO228" s="1"/>
      <c r="QLP228" s="1"/>
      <c r="QLQ228" s="1"/>
      <c r="QLR228" s="1"/>
      <c r="QLS228" s="1"/>
      <c r="QLT228" s="1"/>
      <c r="QLU228" s="1"/>
      <c r="QLV228" s="1"/>
      <c r="QLW228" s="1"/>
      <c r="QLX228" s="1"/>
      <c r="QLY228" s="1"/>
      <c r="QLZ228" s="1"/>
      <c r="QMA228" s="1"/>
      <c r="QMB228" s="1"/>
      <c r="QMC228" s="1"/>
      <c r="QMD228" s="1"/>
      <c r="QME228" s="1"/>
      <c r="QMF228" s="1"/>
      <c r="QMG228" s="1"/>
      <c r="QMH228" s="1"/>
      <c r="QMI228" s="1"/>
      <c r="QMJ228" s="1"/>
      <c r="QMK228" s="1"/>
      <c r="QML228" s="1"/>
      <c r="QMM228" s="1"/>
      <c r="QMN228" s="1"/>
      <c r="QMO228" s="1"/>
      <c r="QMP228" s="1"/>
      <c r="QMQ228" s="1"/>
      <c r="QMR228" s="1"/>
      <c r="QMS228" s="1"/>
      <c r="QMT228" s="1"/>
      <c r="QMU228" s="1"/>
      <c r="QMV228" s="1"/>
      <c r="QMW228" s="1"/>
      <c r="QMX228" s="1"/>
      <c r="QMY228" s="1"/>
      <c r="QMZ228" s="1"/>
      <c r="QNA228" s="1"/>
      <c r="QNB228" s="1"/>
      <c r="QNC228" s="1"/>
      <c r="QND228" s="1"/>
      <c r="QNE228" s="1"/>
      <c r="QNF228" s="1"/>
      <c r="QNG228" s="1"/>
      <c r="QNH228" s="1"/>
      <c r="QNI228" s="1"/>
      <c r="QNJ228" s="1"/>
      <c r="QNK228" s="1"/>
      <c r="QNL228" s="1"/>
      <c r="QNM228" s="1"/>
      <c r="QNN228" s="1"/>
      <c r="QNO228" s="1"/>
      <c r="QNP228" s="1"/>
      <c r="QNQ228" s="1"/>
      <c r="QNR228" s="1"/>
      <c r="QNS228" s="1"/>
      <c r="QNT228" s="1"/>
      <c r="QNU228" s="1"/>
      <c r="QNV228" s="1"/>
      <c r="QNW228" s="1"/>
      <c r="QNX228" s="1"/>
      <c r="QNY228" s="1"/>
      <c r="QNZ228" s="1"/>
      <c r="QOA228" s="1"/>
      <c r="QOB228" s="1"/>
      <c r="QOC228" s="1"/>
      <c r="QOD228" s="1"/>
      <c r="QOE228" s="1"/>
      <c r="QOF228" s="1"/>
      <c r="QOG228" s="1"/>
      <c r="QOH228" s="1"/>
      <c r="QOI228" s="1"/>
      <c r="QOJ228" s="1"/>
      <c r="QOK228" s="1"/>
      <c r="QOL228" s="1"/>
      <c r="QOM228" s="1"/>
      <c r="QON228" s="1"/>
      <c r="QOO228" s="1"/>
      <c r="QOP228" s="1"/>
      <c r="QOQ228" s="1"/>
      <c r="QOR228" s="1"/>
      <c r="QOS228" s="1"/>
      <c r="QOT228" s="1"/>
      <c r="QOU228" s="1"/>
      <c r="QOV228" s="1"/>
      <c r="QOW228" s="1"/>
      <c r="QOX228" s="1"/>
      <c r="QOY228" s="1"/>
      <c r="QOZ228" s="1"/>
      <c r="QPA228" s="1"/>
      <c r="QPB228" s="1"/>
      <c r="QPC228" s="1"/>
      <c r="QPD228" s="1"/>
      <c r="QPE228" s="1"/>
      <c r="QPF228" s="1"/>
      <c r="QPG228" s="1"/>
      <c r="QPH228" s="1"/>
      <c r="QPI228" s="1"/>
      <c r="QPJ228" s="1"/>
      <c r="QPK228" s="1"/>
      <c r="QPL228" s="1"/>
      <c r="QPM228" s="1"/>
      <c r="QPN228" s="1"/>
      <c r="QPO228" s="1"/>
      <c r="QPP228" s="1"/>
      <c r="QPQ228" s="1"/>
      <c r="QPR228" s="1"/>
      <c r="QPS228" s="1"/>
      <c r="QPT228" s="1"/>
      <c r="QPU228" s="1"/>
      <c r="QPV228" s="1"/>
      <c r="QPW228" s="1"/>
      <c r="QPX228" s="1"/>
      <c r="QPY228" s="1"/>
      <c r="QPZ228" s="1"/>
      <c r="QQA228" s="1"/>
      <c r="QQB228" s="1"/>
      <c r="QQC228" s="1"/>
      <c r="QQD228" s="1"/>
      <c r="QQE228" s="1"/>
      <c r="QQF228" s="1"/>
      <c r="QQG228" s="1"/>
      <c r="QQH228" s="1"/>
      <c r="QQI228" s="1"/>
      <c r="QQJ228" s="1"/>
      <c r="QQK228" s="1"/>
      <c r="QQL228" s="1"/>
      <c r="QQM228" s="1"/>
      <c r="QQN228" s="1"/>
      <c r="QQO228" s="1"/>
      <c r="QQP228" s="1"/>
      <c r="QQQ228" s="1"/>
      <c r="QQR228" s="1"/>
      <c r="QQS228" s="1"/>
      <c r="QQT228" s="1"/>
      <c r="QQU228" s="1"/>
      <c r="QQV228" s="1"/>
      <c r="QQW228" s="1"/>
      <c r="QQX228" s="1"/>
      <c r="QQY228" s="1"/>
      <c r="QQZ228" s="1"/>
      <c r="QRA228" s="1"/>
      <c r="QRB228" s="1"/>
      <c r="QRC228" s="1"/>
      <c r="QRD228" s="1"/>
      <c r="QRE228" s="1"/>
      <c r="QRF228" s="1"/>
      <c r="QRG228" s="1"/>
      <c r="QRH228" s="1"/>
      <c r="QRI228" s="1"/>
      <c r="QRJ228" s="1"/>
      <c r="QRK228" s="1"/>
      <c r="QRL228" s="1"/>
      <c r="QRM228" s="1"/>
      <c r="QRN228" s="1"/>
      <c r="QRO228" s="1"/>
      <c r="QRP228" s="1"/>
      <c r="QRQ228" s="1"/>
      <c r="QRR228" s="1"/>
      <c r="QRS228" s="1"/>
      <c r="QRT228" s="1"/>
      <c r="QRU228" s="1"/>
      <c r="QRV228" s="1"/>
      <c r="QRW228" s="1"/>
      <c r="QRX228" s="1"/>
      <c r="QRY228" s="1"/>
      <c r="QRZ228" s="1"/>
      <c r="QSA228" s="1"/>
      <c r="QSB228" s="1"/>
      <c r="QSC228" s="1"/>
      <c r="QSD228" s="1"/>
      <c r="QSE228" s="1"/>
      <c r="QSF228" s="1"/>
      <c r="QSG228" s="1"/>
      <c r="QSH228" s="1"/>
      <c r="QSI228" s="1"/>
      <c r="QSJ228" s="1"/>
      <c r="QSK228" s="1"/>
      <c r="QSL228" s="1"/>
      <c r="QSM228" s="1"/>
      <c r="QSN228" s="1"/>
      <c r="QSO228" s="1"/>
      <c r="QSP228" s="1"/>
      <c r="QSQ228" s="1"/>
      <c r="QSR228" s="1"/>
      <c r="QSS228" s="1"/>
      <c r="QST228" s="1"/>
      <c r="QSU228" s="1"/>
      <c r="QSV228" s="1"/>
      <c r="QSW228" s="1"/>
      <c r="QSX228" s="1"/>
      <c r="QSY228" s="1"/>
      <c r="QSZ228" s="1"/>
      <c r="QTA228" s="1"/>
      <c r="QTB228" s="1"/>
      <c r="QTC228" s="1"/>
      <c r="QTD228" s="1"/>
      <c r="QTE228" s="1"/>
      <c r="QTF228" s="1"/>
      <c r="QTG228" s="1"/>
      <c r="QTH228" s="1"/>
      <c r="QTI228" s="1"/>
      <c r="QTJ228" s="1"/>
      <c r="QTK228" s="1"/>
      <c r="QTL228" s="1"/>
      <c r="QTM228" s="1"/>
      <c r="QTN228" s="1"/>
      <c r="QTO228" s="1"/>
      <c r="QTP228" s="1"/>
      <c r="QTQ228" s="1"/>
      <c r="QTR228" s="1"/>
      <c r="QTS228" s="1"/>
      <c r="QTT228" s="1"/>
      <c r="QTU228" s="1"/>
      <c r="QTV228" s="1"/>
      <c r="QTW228" s="1"/>
      <c r="QTX228" s="1"/>
      <c r="QTY228" s="1"/>
      <c r="QTZ228" s="1"/>
      <c r="QUA228" s="1"/>
      <c r="QUB228" s="1"/>
      <c r="QUC228" s="1"/>
      <c r="QUD228" s="1"/>
      <c r="QUE228" s="1"/>
      <c r="QUF228" s="1"/>
      <c r="QUG228" s="1"/>
      <c r="QUH228" s="1"/>
      <c r="QUI228" s="1"/>
      <c r="QUJ228" s="1"/>
      <c r="QUK228" s="1"/>
      <c r="QUL228" s="1"/>
      <c r="QUM228" s="1"/>
      <c r="QUN228" s="1"/>
      <c r="QUO228" s="1"/>
      <c r="QUP228" s="1"/>
      <c r="QUQ228" s="1"/>
      <c r="QUR228" s="1"/>
      <c r="QUS228" s="1"/>
      <c r="QUT228" s="1"/>
      <c r="QUU228" s="1"/>
      <c r="QUV228" s="1"/>
      <c r="QUW228" s="1"/>
      <c r="QUX228" s="1"/>
      <c r="QUY228" s="1"/>
      <c r="QUZ228" s="1"/>
      <c r="QVA228" s="1"/>
      <c r="QVB228" s="1"/>
      <c r="QVC228" s="1"/>
      <c r="QVD228" s="1"/>
      <c r="QVE228" s="1"/>
      <c r="QVF228" s="1"/>
      <c r="QVG228" s="1"/>
      <c r="QVH228" s="1"/>
      <c r="QVI228" s="1"/>
      <c r="QVJ228" s="1"/>
      <c r="QVK228" s="1"/>
      <c r="QVL228" s="1"/>
      <c r="QVM228" s="1"/>
      <c r="QVN228" s="1"/>
      <c r="QVO228" s="1"/>
      <c r="QVP228" s="1"/>
      <c r="QVQ228" s="1"/>
      <c r="QVR228" s="1"/>
      <c r="QVS228" s="1"/>
      <c r="QVT228" s="1"/>
      <c r="QVU228" s="1"/>
      <c r="QVV228" s="1"/>
      <c r="QVW228" s="1"/>
      <c r="QVX228" s="1"/>
      <c r="QVY228" s="1"/>
      <c r="QVZ228" s="1"/>
      <c r="QWA228" s="1"/>
      <c r="QWB228" s="1"/>
      <c r="QWC228" s="1"/>
      <c r="QWD228" s="1"/>
      <c r="QWE228" s="1"/>
      <c r="QWF228" s="1"/>
      <c r="QWG228" s="1"/>
      <c r="QWH228" s="1"/>
      <c r="QWI228" s="1"/>
      <c r="QWJ228" s="1"/>
      <c r="QWK228" s="1"/>
      <c r="QWL228" s="1"/>
      <c r="QWM228" s="1"/>
      <c r="QWN228" s="1"/>
      <c r="QWO228" s="1"/>
      <c r="QWP228" s="1"/>
      <c r="QWQ228" s="1"/>
      <c r="QWR228" s="1"/>
      <c r="QWS228" s="1"/>
      <c r="QWT228" s="1"/>
      <c r="QWU228" s="1"/>
      <c r="QWV228" s="1"/>
      <c r="QWW228" s="1"/>
      <c r="QWX228" s="1"/>
      <c r="QWY228" s="1"/>
      <c r="QWZ228" s="1"/>
      <c r="QXA228" s="1"/>
      <c r="QXB228" s="1"/>
      <c r="QXC228" s="1"/>
      <c r="QXD228" s="1"/>
      <c r="QXE228" s="1"/>
      <c r="QXF228" s="1"/>
      <c r="QXG228" s="1"/>
      <c r="QXH228" s="1"/>
      <c r="QXI228" s="1"/>
      <c r="QXJ228" s="1"/>
      <c r="QXK228" s="1"/>
      <c r="QXL228" s="1"/>
      <c r="QXM228" s="1"/>
      <c r="QXN228" s="1"/>
      <c r="QXO228" s="1"/>
      <c r="QXP228" s="1"/>
      <c r="QXQ228" s="1"/>
      <c r="QXR228" s="1"/>
      <c r="QXS228" s="1"/>
      <c r="QXT228" s="1"/>
      <c r="QXU228" s="1"/>
      <c r="QXV228" s="1"/>
      <c r="QXW228" s="1"/>
      <c r="QXX228" s="1"/>
      <c r="QXY228" s="1"/>
      <c r="QXZ228" s="1"/>
      <c r="QYA228" s="1"/>
      <c r="QYB228" s="1"/>
      <c r="QYC228" s="1"/>
      <c r="QYD228" s="1"/>
      <c r="QYE228" s="1"/>
      <c r="QYF228" s="1"/>
      <c r="QYG228" s="1"/>
      <c r="QYH228" s="1"/>
      <c r="QYI228" s="1"/>
      <c r="QYJ228" s="1"/>
      <c r="QYK228" s="1"/>
      <c r="QYL228" s="1"/>
      <c r="QYM228" s="1"/>
      <c r="QYN228" s="1"/>
      <c r="QYO228" s="1"/>
      <c r="QYP228" s="1"/>
      <c r="QYQ228" s="1"/>
      <c r="QYR228" s="1"/>
      <c r="QYS228" s="1"/>
      <c r="QYT228" s="1"/>
      <c r="QYU228" s="1"/>
      <c r="QYV228" s="1"/>
      <c r="QYW228" s="1"/>
      <c r="QYX228" s="1"/>
      <c r="QYY228" s="1"/>
      <c r="QYZ228" s="1"/>
      <c r="QZA228" s="1"/>
      <c r="QZB228" s="1"/>
      <c r="QZC228" s="1"/>
      <c r="QZD228" s="1"/>
      <c r="QZE228" s="1"/>
      <c r="QZF228" s="1"/>
      <c r="QZG228" s="1"/>
      <c r="QZH228" s="1"/>
      <c r="QZI228" s="1"/>
      <c r="QZJ228" s="1"/>
      <c r="QZK228" s="1"/>
      <c r="QZL228" s="1"/>
      <c r="QZM228" s="1"/>
      <c r="QZN228" s="1"/>
      <c r="QZO228" s="1"/>
      <c r="QZP228" s="1"/>
      <c r="QZQ228" s="1"/>
      <c r="QZR228" s="1"/>
      <c r="QZS228" s="1"/>
      <c r="QZT228" s="1"/>
      <c r="QZU228" s="1"/>
      <c r="QZV228" s="1"/>
      <c r="QZW228" s="1"/>
      <c r="QZX228" s="1"/>
      <c r="QZY228" s="1"/>
      <c r="QZZ228" s="1"/>
      <c r="RAA228" s="1"/>
      <c r="RAB228" s="1"/>
      <c r="RAC228" s="1"/>
      <c r="RAD228" s="1"/>
      <c r="RAE228" s="1"/>
      <c r="RAF228" s="1"/>
      <c r="RAG228" s="1"/>
      <c r="RAH228" s="1"/>
      <c r="RAI228" s="1"/>
      <c r="RAJ228" s="1"/>
      <c r="RAK228" s="1"/>
      <c r="RAL228" s="1"/>
      <c r="RAM228" s="1"/>
      <c r="RAN228" s="1"/>
      <c r="RAO228" s="1"/>
      <c r="RAP228" s="1"/>
      <c r="RAQ228" s="1"/>
      <c r="RAR228" s="1"/>
      <c r="RAS228" s="1"/>
      <c r="RAT228" s="1"/>
      <c r="RAU228" s="1"/>
      <c r="RAV228" s="1"/>
      <c r="RAW228" s="1"/>
      <c r="RAX228" s="1"/>
      <c r="RAY228" s="1"/>
      <c r="RAZ228" s="1"/>
      <c r="RBA228" s="1"/>
      <c r="RBB228" s="1"/>
      <c r="RBC228" s="1"/>
      <c r="RBD228" s="1"/>
      <c r="RBE228" s="1"/>
      <c r="RBF228" s="1"/>
      <c r="RBG228" s="1"/>
      <c r="RBH228" s="1"/>
      <c r="RBI228" s="1"/>
      <c r="RBJ228" s="1"/>
      <c r="RBK228" s="1"/>
      <c r="RBL228" s="1"/>
      <c r="RBM228" s="1"/>
      <c r="RBN228" s="1"/>
      <c r="RBO228" s="1"/>
      <c r="RBP228" s="1"/>
      <c r="RBQ228" s="1"/>
      <c r="RBR228" s="1"/>
      <c r="RBS228" s="1"/>
      <c r="RBT228" s="1"/>
      <c r="RBU228" s="1"/>
      <c r="RBV228" s="1"/>
      <c r="RBW228" s="1"/>
      <c r="RBX228" s="1"/>
      <c r="RBY228" s="1"/>
      <c r="RBZ228" s="1"/>
      <c r="RCA228" s="1"/>
      <c r="RCB228" s="1"/>
      <c r="RCC228" s="1"/>
      <c r="RCD228" s="1"/>
      <c r="RCE228" s="1"/>
      <c r="RCF228" s="1"/>
      <c r="RCG228" s="1"/>
      <c r="RCH228" s="1"/>
      <c r="RCI228" s="1"/>
      <c r="RCJ228" s="1"/>
      <c r="RCK228" s="1"/>
      <c r="RCL228" s="1"/>
      <c r="RCM228" s="1"/>
      <c r="RCN228" s="1"/>
      <c r="RCO228" s="1"/>
      <c r="RCP228" s="1"/>
      <c r="RCQ228" s="1"/>
      <c r="RCR228" s="1"/>
      <c r="RCS228" s="1"/>
      <c r="RCT228" s="1"/>
      <c r="RCU228" s="1"/>
      <c r="RCV228" s="1"/>
      <c r="RCW228" s="1"/>
      <c r="RCX228" s="1"/>
      <c r="RCY228" s="1"/>
      <c r="RCZ228" s="1"/>
      <c r="RDA228" s="1"/>
      <c r="RDB228" s="1"/>
      <c r="RDC228" s="1"/>
      <c r="RDD228" s="1"/>
      <c r="RDE228" s="1"/>
      <c r="RDF228" s="1"/>
      <c r="RDG228" s="1"/>
      <c r="RDH228" s="1"/>
      <c r="RDI228" s="1"/>
      <c r="RDJ228" s="1"/>
      <c r="RDK228" s="1"/>
      <c r="RDL228" s="1"/>
      <c r="RDM228" s="1"/>
      <c r="RDN228" s="1"/>
      <c r="RDO228" s="1"/>
      <c r="RDP228" s="1"/>
      <c r="RDQ228" s="1"/>
      <c r="RDR228" s="1"/>
      <c r="RDS228" s="1"/>
      <c r="RDT228" s="1"/>
      <c r="RDU228" s="1"/>
      <c r="RDV228" s="1"/>
      <c r="RDW228" s="1"/>
      <c r="RDX228" s="1"/>
      <c r="RDY228" s="1"/>
      <c r="RDZ228" s="1"/>
      <c r="REA228" s="1"/>
      <c r="REB228" s="1"/>
      <c r="REC228" s="1"/>
      <c r="RED228" s="1"/>
      <c r="REE228" s="1"/>
      <c r="REF228" s="1"/>
      <c r="REG228" s="1"/>
      <c r="REH228" s="1"/>
      <c r="REI228" s="1"/>
      <c r="REJ228" s="1"/>
      <c r="REK228" s="1"/>
      <c r="REL228" s="1"/>
      <c r="REM228" s="1"/>
      <c r="REN228" s="1"/>
      <c r="REO228" s="1"/>
      <c r="REP228" s="1"/>
      <c r="REQ228" s="1"/>
      <c r="RER228" s="1"/>
      <c r="RES228" s="1"/>
      <c r="RET228" s="1"/>
      <c r="REU228" s="1"/>
      <c r="REV228" s="1"/>
      <c r="REW228" s="1"/>
      <c r="REX228" s="1"/>
      <c r="REY228" s="1"/>
      <c r="REZ228" s="1"/>
      <c r="RFA228" s="1"/>
      <c r="RFB228" s="1"/>
      <c r="RFC228" s="1"/>
      <c r="RFD228" s="1"/>
      <c r="RFE228" s="1"/>
      <c r="RFF228" s="1"/>
      <c r="RFG228" s="1"/>
      <c r="RFH228" s="1"/>
      <c r="RFI228" s="1"/>
      <c r="RFJ228" s="1"/>
      <c r="RFK228" s="1"/>
      <c r="RFL228" s="1"/>
      <c r="RFM228" s="1"/>
      <c r="RFN228" s="1"/>
      <c r="RFO228" s="1"/>
      <c r="RFP228" s="1"/>
      <c r="RFQ228" s="1"/>
      <c r="RFR228" s="1"/>
      <c r="RFS228" s="1"/>
      <c r="RFT228" s="1"/>
      <c r="RFU228" s="1"/>
      <c r="RFV228" s="1"/>
      <c r="RFW228" s="1"/>
      <c r="RFX228" s="1"/>
      <c r="RFY228" s="1"/>
      <c r="RFZ228" s="1"/>
      <c r="RGA228" s="1"/>
      <c r="RGB228" s="1"/>
      <c r="RGC228" s="1"/>
      <c r="RGD228" s="1"/>
      <c r="RGE228" s="1"/>
      <c r="RGF228" s="1"/>
      <c r="RGG228" s="1"/>
      <c r="RGH228" s="1"/>
      <c r="RGI228" s="1"/>
      <c r="RGJ228" s="1"/>
      <c r="RGK228" s="1"/>
      <c r="RGL228" s="1"/>
      <c r="RGM228" s="1"/>
      <c r="RGN228" s="1"/>
      <c r="RGO228" s="1"/>
      <c r="RGP228" s="1"/>
      <c r="RGQ228" s="1"/>
      <c r="RGR228" s="1"/>
      <c r="RGS228" s="1"/>
      <c r="RGT228" s="1"/>
      <c r="RGU228" s="1"/>
      <c r="RGV228" s="1"/>
      <c r="RGW228" s="1"/>
      <c r="RGX228" s="1"/>
      <c r="RGY228" s="1"/>
      <c r="RGZ228" s="1"/>
      <c r="RHA228" s="1"/>
      <c r="RHB228" s="1"/>
      <c r="RHC228" s="1"/>
      <c r="RHD228" s="1"/>
      <c r="RHE228" s="1"/>
      <c r="RHF228" s="1"/>
      <c r="RHG228" s="1"/>
      <c r="RHH228" s="1"/>
      <c r="RHI228" s="1"/>
      <c r="RHJ228" s="1"/>
      <c r="RHK228" s="1"/>
      <c r="RHL228" s="1"/>
      <c r="RHM228" s="1"/>
      <c r="RHN228" s="1"/>
      <c r="RHO228" s="1"/>
      <c r="RHP228" s="1"/>
      <c r="RHQ228" s="1"/>
      <c r="RHR228" s="1"/>
      <c r="RHS228" s="1"/>
      <c r="RHT228" s="1"/>
      <c r="RHU228" s="1"/>
      <c r="RHV228" s="1"/>
      <c r="RHW228" s="1"/>
      <c r="RHX228" s="1"/>
      <c r="RHY228" s="1"/>
      <c r="RHZ228" s="1"/>
      <c r="RIA228" s="1"/>
      <c r="RIB228" s="1"/>
      <c r="RIC228" s="1"/>
      <c r="RID228" s="1"/>
      <c r="RIE228" s="1"/>
      <c r="RIF228" s="1"/>
      <c r="RIG228" s="1"/>
      <c r="RIH228" s="1"/>
      <c r="RII228" s="1"/>
      <c r="RIJ228" s="1"/>
      <c r="RIK228" s="1"/>
      <c r="RIL228" s="1"/>
      <c r="RIM228" s="1"/>
      <c r="RIN228" s="1"/>
      <c r="RIO228" s="1"/>
      <c r="RIP228" s="1"/>
      <c r="RIQ228" s="1"/>
      <c r="RIR228" s="1"/>
      <c r="RIS228" s="1"/>
      <c r="RIT228" s="1"/>
      <c r="RIU228" s="1"/>
      <c r="RIV228" s="1"/>
      <c r="RIW228" s="1"/>
      <c r="RIX228" s="1"/>
      <c r="RIY228" s="1"/>
      <c r="RIZ228" s="1"/>
      <c r="RJA228" s="1"/>
      <c r="RJB228" s="1"/>
      <c r="RJC228" s="1"/>
      <c r="RJD228" s="1"/>
      <c r="RJE228" s="1"/>
      <c r="RJF228" s="1"/>
      <c r="RJG228" s="1"/>
      <c r="RJH228" s="1"/>
      <c r="RJI228" s="1"/>
      <c r="RJJ228" s="1"/>
      <c r="RJK228" s="1"/>
      <c r="RJL228" s="1"/>
      <c r="RJM228" s="1"/>
      <c r="RJN228" s="1"/>
      <c r="RJO228" s="1"/>
      <c r="RJP228" s="1"/>
      <c r="RJQ228" s="1"/>
      <c r="RJR228" s="1"/>
      <c r="RJS228" s="1"/>
      <c r="RJT228" s="1"/>
      <c r="RJU228" s="1"/>
      <c r="RJV228" s="1"/>
      <c r="RJW228" s="1"/>
      <c r="RJX228" s="1"/>
      <c r="RJY228" s="1"/>
      <c r="RJZ228" s="1"/>
      <c r="RKA228" s="1"/>
      <c r="RKB228" s="1"/>
      <c r="RKC228" s="1"/>
      <c r="RKD228" s="1"/>
      <c r="RKE228" s="1"/>
      <c r="RKF228" s="1"/>
      <c r="RKG228" s="1"/>
      <c r="RKH228" s="1"/>
      <c r="RKI228" s="1"/>
      <c r="RKJ228" s="1"/>
      <c r="RKK228" s="1"/>
      <c r="RKL228" s="1"/>
      <c r="RKM228" s="1"/>
      <c r="RKN228" s="1"/>
      <c r="RKO228" s="1"/>
      <c r="RKP228" s="1"/>
      <c r="RKQ228" s="1"/>
      <c r="RKR228" s="1"/>
      <c r="RKS228" s="1"/>
      <c r="RKT228" s="1"/>
      <c r="RKU228" s="1"/>
      <c r="RKV228" s="1"/>
      <c r="RKW228" s="1"/>
      <c r="RKX228" s="1"/>
      <c r="RKY228" s="1"/>
      <c r="RKZ228" s="1"/>
      <c r="RLA228" s="1"/>
      <c r="RLB228" s="1"/>
      <c r="RLC228" s="1"/>
      <c r="RLD228" s="1"/>
      <c r="RLE228" s="1"/>
      <c r="RLF228" s="1"/>
      <c r="RLG228" s="1"/>
      <c r="RLH228" s="1"/>
      <c r="RLI228" s="1"/>
      <c r="RLJ228" s="1"/>
      <c r="RLK228" s="1"/>
      <c r="RLL228" s="1"/>
      <c r="RLM228" s="1"/>
      <c r="RLN228" s="1"/>
      <c r="RLO228" s="1"/>
      <c r="RLP228" s="1"/>
      <c r="RLQ228" s="1"/>
      <c r="RLR228" s="1"/>
      <c r="RLS228" s="1"/>
      <c r="RLT228" s="1"/>
      <c r="RLU228" s="1"/>
      <c r="RLV228" s="1"/>
      <c r="RLW228" s="1"/>
      <c r="RLX228" s="1"/>
      <c r="RLY228" s="1"/>
      <c r="RLZ228" s="1"/>
      <c r="RMA228" s="1"/>
      <c r="RMB228" s="1"/>
      <c r="RMC228" s="1"/>
      <c r="RMD228" s="1"/>
      <c r="RME228" s="1"/>
      <c r="RMF228" s="1"/>
      <c r="RMG228" s="1"/>
      <c r="RMH228" s="1"/>
      <c r="RMI228" s="1"/>
      <c r="RMJ228" s="1"/>
      <c r="RMK228" s="1"/>
      <c r="RML228" s="1"/>
      <c r="RMM228" s="1"/>
      <c r="RMN228" s="1"/>
      <c r="RMO228" s="1"/>
      <c r="RMP228" s="1"/>
      <c r="RMQ228" s="1"/>
      <c r="RMR228" s="1"/>
      <c r="RMS228" s="1"/>
      <c r="RMT228" s="1"/>
      <c r="RMU228" s="1"/>
      <c r="RMV228" s="1"/>
      <c r="RMW228" s="1"/>
      <c r="RMX228" s="1"/>
      <c r="RMY228" s="1"/>
      <c r="RMZ228" s="1"/>
      <c r="RNA228" s="1"/>
      <c r="RNB228" s="1"/>
      <c r="RNC228" s="1"/>
      <c r="RND228" s="1"/>
      <c r="RNE228" s="1"/>
      <c r="RNF228" s="1"/>
      <c r="RNG228" s="1"/>
      <c r="RNH228" s="1"/>
      <c r="RNI228" s="1"/>
      <c r="RNJ228" s="1"/>
      <c r="RNK228" s="1"/>
      <c r="RNL228" s="1"/>
      <c r="RNM228" s="1"/>
      <c r="RNN228" s="1"/>
      <c r="RNO228" s="1"/>
      <c r="RNP228" s="1"/>
      <c r="RNQ228" s="1"/>
      <c r="RNR228" s="1"/>
      <c r="RNS228" s="1"/>
      <c r="RNT228" s="1"/>
      <c r="RNU228" s="1"/>
      <c r="RNV228" s="1"/>
      <c r="RNW228" s="1"/>
      <c r="RNX228" s="1"/>
      <c r="RNY228" s="1"/>
      <c r="RNZ228" s="1"/>
      <c r="ROA228" s="1"/>
      <c r="ROB228" s="1"/>
      <c r="ROC228" s="1"/>
      <c r="ROD228" s="1"/>
      <c r="ROE228" s="1"/>
      <c r="ROF228" s="1"/>
      <c r="ROG228" s="1"/>
      <c r="ROH228" s="1"/>
      <c r="ROI228" s="1"/>
      <c r="ROJ228" s="1"/>
      <c r="ROK228" s="1"/>
      <c r="ROL228" s="1"/>
      <c r="ROM228" s="1"/>
      <c r="RON228" s="1"/>
      <c r="ROO228" s="1"/>
      <c r="ROP228" s="1"/>
      <c r="ROQ228" s="1"/>
      <c r="ROR228" s="1"/>
      <c r="ROS228" s="1"/>
      <c r="ROT228" s="1"/>
      <c r="ROU228" s="1"/>
      <c r="ROV228" s="1"/>
      <c r="ROW228" s="1"/>
      <c r="ROX228" s="1"/>
      <c r="ROY228" s="1"/>
      <c r="ROZ228" s="1"/>
      <c r="RPA228" s="1"/>
      <c r="RPB228" s="1"/>
      <c r="RPC228" s="1"/>
      <c r="RPD228" s="1"/>
      <c r="RPE228" s="1"/>
      <c r="RPF228" s="1"/>
      <c r="RPG228" s="1"/>
      <c r="RPH228" s="1"/>
      <c r="RPI228" s="1"/>
      <c r="RPJ228" s="1"/>
      <c r="RPK228" s="1"/>
      <c r="RPL228" s="1"/>
      <c r="RPM228" s="1"/>
      <c r="RPN228" s="1"/>
      <c r="RPO228" s="1"/>
      <c r="RPP228" s="1"/>
      <c r="RPQ228" s="1"/>
      <c r="RPR228" s="1"/>
      <c r="RPS228" s="1"/>
      <c r="RPT228" s="1"/>
      <c r="RPU228" s="1"/>
      <c r="RPV228" s="1"/>
      <c r="RPW228" s="1"/>
      <c r="RPX228" s="1"/>
      <c r="RPY228" s="1"/>
      <c r="RPZ228" s="1"/>
      <c r="RQA228" s="1"/>
      <c r="RQB228" s="1"/>
      <c r="RQC228" s="1"/>
      <c r="RQD228" s="1"/>
      <c r="RQE228" s="1"/>
      <c r="RQF228" s="1"/>
      <c r="RQG228" s="1"/>
      <c r="RQH228" s="1"/>
      <c r="RQI228" s="1"/>
      <c r="RQJ228" s="1"/>
      <c r="RQK228" s="1"/>
      <c r="RQL228" s="1"/>
      <c r="RQM228" s="1"/>
      <c r="RQN228" s="1"/>
      <c r="RQO228" s="1"/>
      <c r="RQP228" s="1"/>
      <c r="RQQ228" s="1"/>
      <c r="RQR228" s="1"/>
      <c r="RQS228" s="1"/>
      <c r="RQT228" s="1"/>
      <c r="RQU228" s="1"/>
      <c r="RQV228" s="1"/>
      <c r="RQW228" s="1"/>
      <c r="RQX228" s="1"/>
      <c r="RQY228" s="1"/>
      <c r="RQZ228" s="1"/>
      <c r="RRA228" s="1"/>
      <c r="RRB228" s="1"/>
      <c r="RRC228" s="1"/>
      <c r="RRD228" s="1"/>
      <c r="RRE228" s="1"/>
      <c r="RRF228" s="1"/>
      <c r="RRG228" s="1"/>
      <c r="RRH228" s="1"/>
      <c r="RRI228" s="1"/>
      <c r="RRJ228" s="1"/>
      <c r="RRK228" s="1"/>
      <c r="RRL228" s="1"/>
      <c r="RRM228" s="1"/>
      <c r="RRN228" s="1"/>
      <c r="RRO228" s="1"/>
      <c r="RRP228" s="1"/>
      <c r="RRQ228" s="1"/>
      <c r="RRR228" s="1"/>
      <c r="RRS228" s="1"/>
      <c r="RRT228" s="1"/>
      <c r="RRU228" s="1"/>
      <c r="RRV228" s="1"/>
      <c r="RRW228" s="1"/>
      <c r="RRX228" s="1"/>
      <c r="RRY228" s="1"/>
      <c r="RRZ228" s="1"/>
      <c r="RSA228" s="1"/>
      <c r="RSB228" s="1"/>
      <c r="RSC228" s="1"/>
      <c r="RSD228" s="1"/>
      <c r="RSE228" s="1"/>
      <c r="RSF228" s="1"/>
      <c r="RSG228" s="1"/>
      <c r="RSH228" s="1"/>
      <c r="RSI228" s="1"/>
      <c r="RSJ228" s="1"/>
      <c r="RSK228" s="1"/>
      <c r="RSL228" s="1"/>
      <c r="RSM228" s="1"/>
      <c r="RSN228" s="1"/>
      <c r="RSO228" s="1"/>
      <c r="RSP228" s="1"/>
      <c r="RSQ228" s="1"/>
      <c r="RSR228" s="1"/>
      <c r="RSS228" s="1"/>
      <c r="RST228" s="1"/>
      <c r="RSU228" s="1"/>
      <c r="RSV228" s="1"/>
      <c r="RSW228" s="1"/>
      <c r="RSX228" s="1"/>
      <c r="RSY228" s="1"/>
      <c r="RSZ228" s="1"/>
      <c r="RTA228" s="1"/>
      <c r="RTB228" s="1"/>
      <c r="RTC228" s="1"/>
      <c r="RTD228" s="1"/>
      <c r="RTE228" s="1"/>
      <c r="RTF228" s="1"/>
      <c r="RTG228" s="1"/>
      <c r="RTH228" s="1"/>
      <c r="RTI228" s="1"/>
      <c r="RTJ228" s="1"/>
      <c r="RTK228" s="1"/>
      <c r="RTL228" s="1"/>
      <c r="RTM228" s="1"/>
      <c r="RTN228" s="1"/>
      <c r="RTO228" s="1"/>
      <c r="RTP228" s="1"/>
      <c r="RTQ228" s="1"/>
      <c r="RTR228" s="1"/>
      <c r="RTS228" s="1"/>
      <c r="RTT228" s="1"/>
      <c r="RTU228" s="1"/>
      <c r="RTV228" s="1"/>
      <c r="RTW228" s="1"/>
      <c r="RTX228" s="1"/>
      <c r="RTY228" s="1"/>
      <c r="RTZ228" s="1"/>
      <c r="RUA228" s="1"/>
      <c r="RUB228" s="1"/>
      <c r="RUC228" s="1"/>
      <c r="RUD228" s="1"/>
      <c r="RUE228" s="1"/>
      <c r="RUF228" s="1"/>
      <c r="RUG228" s="1"/>
      <c r="RUH228" s="1"/>
      <c r="RUI228" s="1"/>
      <c r="RUJ228" s="1"/>
      <c r="RUK228" s="1"/>
      <c r="RUL228" s="1"/>
      <c r="RUM228" s="1"/>
      <c r="RUN228" s="1"/>
      <c r="RUO228" s="1"/>
      <c r="RUP228" s="1"/>
      <c r="RUQ228" s="1"/>
      <c r="RUR228" s="1"/>
      <c r="RUS228" s="1"/>
      <c r="RUT228" s="1"/>
      <c r="RUU228" s="1"/>
      <c r="RUV228" s="1"/>
      <c r="RUW228" s="1"/>
      <c r="RUX228" s="1"/>
      <c r="RUY228" s="1"/>
      <c r="RUZ228" s="1"/>
      <c r="RVA228" s="1"/>
      <c r="RVB228" s="1"/>
      <c r="RVC228" s="1"/>
      <c r="RVD228" s="1"/>
      <c r="RVE228" s="1"/>
      <c r="RVF228" s="1"/>
      <c r="RVG228" s="1"/>
      <c r="RVH228" s="1"/>
      <c r="RVI228" s="1"/>
      <c r="RVJ228" s="1"/>
      <c r="RVK228" s="1"/>
      <c r="RVL228" s="1"/>
      <c r="RVM228" s="1"/>
      <c r="RVN228" s="1"/>
      <c r="RVO228" s="1"/>
      <c r="RVP228" s="1"/>
      <c r="RVQ228" s="1"/>
      <c r="RVR228" s="1"/>
      <c r="RVS228" s="1"/>
      <c r="RVT228" s="1"/>
      <c r="RVU228" s="1"/>
      <c r="RVV228" s="1"/>
      <c r="RVW228" s="1"/>
      <c r="RVX228" s="1"/>
      <c r="RVY228" s="1"/>
      <c r="RVZ228" s="1"/>
      <c r="RWA228" s="1"/>
      <c r="RWB228" s="1"/>
      <c r="RWC228" s="1"/>
      <c r="RWD228" s="1"/>
      <c r="RWE228" s="1"/>
      <c r="RWF228" s="1"/>
      <c r="RWG228" s="1"/>
      <c r="RWH228" s="1"/>
      <c r="RWI228" s="1"/>
      <c r="RWJ228" s="1"/>
      <c r="RWK228" s="1"/>
      <c r="RWL228" s="1"/>
      <c r="RWM228" s="1"/>
      <c r="RWN228" s="1"/>
      <c r="RWO228" s="1"/>
      <c r="RWP228" s="1"/>
      <c r="RWQ228" s="1"/>
      <c r="RWR228" s="1"/>
      <c r="RWS228" s="1"/>
      <c r="RWT228" s="1"/>
      <c r="RWU228" s="1"/>
      <c r="RWV228" s="1"/>
      <c r="RWW228" s="1"/>
      <c r="RWX228" s="1"/>
      <c r="RWY228" s="1"/>
      <c r="RWZ228" s="1"/>
      <c r="RXA228" s="1"/>
      <c r="RXB228" s="1"/>
      <c r="RXC228" s="1"/>
      <c r="RXD228" s="1"/>
      <c r="RXE228" s="1"/>
      <c r="RXF228" s="1"/>
      <c r="RXG228" s="1"/>
      <c r="RXH228" s="1"/>
      <c r="RXI228" s="1"/>
      <c r="RXJ228" s="1"/>
      <c r="RXK228" s="1"/>
      <c r="RXL228" s="1"/>
      <c r="RXM228" s="1"/>
      <c r="RXN228" s="1"/>
      <c r="RXO228" s="1"/>
      <c r="RXP228" s="1"/>
      <c r="RXQ228" s="1"/>
      <c r="RXR228" s="1"/>
      <c r="RXS228" s="1"/>
      <c r="RXT228" s="1"/>
      <c r="RXU228" s="1"/>
      <c r="RXV228" s="1"/>
      <c r="RXW228" s="1"/>
      <c r="RXX228" s="1"/>
      <c r="RXY228" s="1"/>
      <c r="RXZ228" s="1"/>
      <c r="RYA228" s="1"/>
      <c r="RYB228" s="1"/>
      <c r="RYC228" s="1"/>
      <c r="RYD228" s="1"/>
      <c r="RYE228" s="1"/>
      <c r="RYF228" s="1"/>
      <c r="RYG228" s="1"/>
      <c r="RYH228" s="1"/>
      <c r="RYI228" s="1"/>
      <c r="RYJ228" s="1"/>
      <c r="RYK228" s="1"/>
      <c r="RYL228" s="1"/>
      <c r="RYM228" s="1"/>
      <c r="RYN228" s="1"/>
      <c r="RYO228" s="1"/>
      <c r="RYP228" s="1"/>
      <c r="RYQ228" s="1"/>
      <c r="RYR228" s="1"/>
      <c r="RYS228" s="1"/>
      <c r="RYT228" s="1"/>
      <c r="RYU228" s="1"/>
      <c r="RYV228" s="1"/>
      <c r="RYW228" s="1"/>
      <c r="RYX228" s="1"/>
      <c r="RYY228" s="1"/>
      <c r="RYZ228" s="1"/>
      <c r="RZA228" s="1"/>
      <c r="RZB228" s="1"/>
      <c r="RZC228" s="1"/>
      <c r="RZD228" s="1"/>
      <c r="RZE228" s="1"/>
      <c r="RZF228" s="1"/>
      <c r="RZG228" s="1"/>
      <c r="RZH228" s="1"/>
      <c r="RZI228" s="1"/>
      <c r="RZJ228" s="1"/>
      <c r="RZK228" s="1"/>
      <c r="RZL228" s="1"/>
      <c r="RZM228" s="1"/>
      <c r="RZN228" s="1"/>
      <c r="RZO228" s="1"/>
      <c r="RZP228" s="1"/>
      <c r="RZQ228" s="1"/>
      <c r="RZR228" s="1"/>
      <c r="RZS228" s="1"/>
      <c r="RZT228" s="1"/>
      <c r="RZU228" s="1"/>
      <c r="RZV228" s="1"/>
      <c r="RZW228" s="1"/>
      <c r="RZX228" s="1"/>
      <c r="RZY228" s="1"/>
      <c r="RZZ228" s="1"/>
      <c r="SAA228" s="1"/>
      <c r="SAB228" s="1"/>
      <c r="SAC228" s="1"/>
      <c r="SAD228" s="1"/>
      <c r="SAE228" s="1"/>
      <c r="SAF228" s="1"/>
      <c r="SAG228" s="1"/>
      <c r="SAH228" s="1"/>
      <c r="SAI228" s="1"/>
      <c r="SAJ228" s="1"/>
      <c r="SAK228" s="1"/>
      <c r="SAL228" s="1"/>
      <c r="SAM228" s="1"/>
      <c r="SAN228" s="1"/>
      <c r="SAO228" s="1"/>
      <c r="SAP228" s="1"/>
      <c r="SAQ228" s="1"/>
      <c r="SAR228" s="1"/>
      <c r="SAS228" s="1"/>
      <c r="SAT228" s="1"/>
      <c r="SAU228" s="1"/>
      <c r="SAV228" s="1"/>
      <c r="SAW228" s="1"/>
      <c r="SAX228" s="1"/>
      <c r="SAY228" s="1"/>
      <c r="SAZ228" s="1"/>
      <c r="SBA228" s="1"/>
      <c r="SBB228" s="1"/>
      <c r="SBC228" s="1"/>
      <c r="SBD228" s="1"/>
      <c r="SBE228" s="1"/>
      <c r="SBF228" s="1"/>
      <c r="SBG228" s="1"/>
      <c r="SBH228" s="1"/>
      <c r="SBI228" s="1"/>
      <c r="SBJ228" s="1"/>
      <c r="SBK228" s="1"/>
      <c r="SBL228" s="1"/>
      <c r="SBM228" s="1"/>
      <c r="SBN228" s="1"/>
      <c r="SBO228" s="1"/>
      <c r="SBP228" s="1"/>
      <c r="SBQ228" s="1"/>
      <c r="SBR228" s="1"/>
      <c r="SBS228" s="1"/>
      <c r="SBT228" s="1"/>
      <c r="SBU228" s="1"/>
      <c r="SBV228" s="1"/>
      <c r="SBW228" s="1"/>
      <c r="SBX228" s="1"/>
      <c r="SBY228" s="1"/>
      <c r="SBZ228" s="1"/>
      <c r="SCA228" s="1"/>
      <c r="SCB228" s="1"/>
      <c r="SCC228" s="1"/>
      <c r="SCD228" s="1"/>
      <c r="SCE228" s="1"/>
      <c r="SCF228" s="1"/>
      <c r="SCG228" s="1"/>
      <c r="SCH228" s="1"/>
      <c r="SCI228" s="1"/>
      <c r="SCJ228" s="1"/>
      <c r="SCK228" s="1"/>
      <c r="SCL228" s="1"/>
      <c r="SCM228" s="1"/>
      <c r="SCN228" s="1"/>
      <c r="SCO228" s="1"/>
      <c r="SCP228" s="1"/>
      <c r="SCQ228" s="1"/>
      <c r="SCR228" s="1"/>
      <c r="SCS228" s="1"/>
      <c r="SCT228" s="1"/>
      <c r="SCU228" s="1"/>
      <c r="SCV228" s="1"/>
      <c r="SCW228" s="1"/>
      <c r="SCX228" s="1"/>
      <c r="SCY228" s="1"/>
      <c r="SCZ228" s="1"/>
      <c r="SDA228" s="1"/>
      <c r="SDB228" s="1"/>
      <c r="SDC228" s="1"/>
      <c r="SDD228" s="1"/>
      <c r="SDE228" s="1"/>
      <c r="SDF228" s="1"/>
      <c r="SDG228" s="1"/>
      <c r="SDH228" s="1"/>
      <c r="SDI228" s="1"/>
      <c r="SDJ228" s="1"/>
      <c r="SDK228" s="1"/>
      <c r="SDL228" s="1"/>
      <c r="SDM228" s="1"/>
      <c r="SDN228" s="1"/>
      <c r="SDO228" s="1"/>
      <c r="SDP228" s="1"/>
      <c r="SDQ228" s="1"/>
      <c r="SDR228" s="1"/>
      <c r="SDS228" s="1"/>
      <c r="SDT228" s="1"/>
      <c r="SDU228" s="1"/>
      <c r="SDV228" s="1"/>
      <c r="SDW228" s="1"/>
      <c r="SDX228" s="1"/>
      <c r="SDY228" s="1"/>
      <c r="SDZ228" s="1"/>
      <c r="SEA228" s="1"/>
      <c r="SEB228" s="1"/>
      <c r="SEC228" s="1"/>
      <c r="SED228" s="1"/>
      <c r="SEE228" s="1"/>
      <c r="SEF228" s="1"/>
      <c r="SEG228" s="1"/>
      <c r="SEH228" s="1"/>
      <c r="SEI228" s="1"/>
      <c r="SEJ228" s="1"/>
      <c r="SEK228" s="1"/>
      <c r="SEL228" s="1"/>
      <c r="SEM228" s="1"/>
      <c r="SEN228" s="1"/>
      <c r="SEO228" s="1"/>
      <c r="SEP228" s="1"/>
      <c r="SEQ228" s="1"/>
      <c r="SER228" s="1"/>
      <c r="SES228" s="1"/>
      <c r="SET228" s="1"/>
      <c r="SEU228" s="1"/>
      <c r="SEV228" s="1"/>
      <c r="SEW228" s="1"/>
      <c r="SEX228" s="1"/>
      <c r="SEY228" s="1"/>
      <c r="SEZ228" s="1"/>
      <c r="SFA228" s="1"/>
      <c r="SFB228" s="1"/>
      <c r="SFC228" s="1"/>
      <c r="SFD228" s="1"/>
      <c r="SFE228" s="1"/>
      <c r="SFF228" s="1"/>
      <c r="SFG228" s="1"/>
      <c r="SFH228" s="1"/>
      <c r="SFI228" s="1"/>
      <c r="SFJ228" s="1"/>
      <c r="SFK228" s="1"/>
      <c r="SFL228" s="1"/>
      <c r="SFM228" s="1"/>
      <c r="SFN228" s="1"/>
      <c r="SFO228" s="1"/>
      <c r="SFP228" s="1"/>
      <c r="SFQ228" s="1"/>
      <c r="SFR228" s="1"/>
      <c r="SFS228" s="1"/>
      <c r="SFT228" s="1"/>
      <c r="SFU228" s="1"/>
      <c r="SFV228" s="1"/>
      <c r="SFW228" s="1"/>
      <c r="SFX228" s="1"/>
      <c r="SFY228" s="1"/>
      <c r="SFZ228" s="1"/>
      <c r="SGA228" s="1"/>
      <c r="SGB228" s="1"/>
      <c r="SGC228" s="1"/>
      <c r="SGD228" s="1"/>
      <c r="SGE228" s="1"/>
      <c r="SGF228" s="1"/>
      <c r="SGG228" s="1"/>
      <c r="SGH228" s="1"/>
      <c r="SGI228" s="1"/>
      <c r="SGJ228" s="1"/>
      <c r="SGK228" s="1"/>
      <c r="SGL228" s="1"/>
      <c r="SGM228" s="1"/>
      <c r="SGN228" s="1"/>
      <c r="SGO228" s="1"/>
      <c r="SGP228" s="1"/>
      <c r="SGQ228" s="1"/>
      <c r="SGR228" s="1"/>
      <c r="SGS228" s="1"/>
      <c r="SGT228" s="1"/>
      <c r="SGU228" s="1"/>
      <c r="SGV228" s="1"/>
      <c r="SGW228" s="1"/>
      <c r="SGX228" s="1"/>
      <c r="SGY228" s="1"/>
      <c r="SGZ228" s="1"/>
      <c r="SHA228" s="1"/>
      <c r="SHB228" s="1"/>
      <c r="SHC228" s="1"/>
      <c r="SHD228" s="1"/>
      <c r="SHE228" s="1"/>
      <c r="SHF228" s="1"/>
      <c r="SHG228" s="1"/>
      <c r="SHH228" s="1"/>
      <c r="SHI228" s="1"/>
      <c r="SHJ228" s="1"/>
      <c r="SHK228" s="1"/>
      <c r="SHL228" s="1"/>
      <c r="SHM228" s="1"/>
      <c r="SHN228" s="1"/>
      <c r="SHO228" s="1"/>
      <c r="SHP228" s="1"/>
      <c r="SHQ228" s="1"/>
      <c r="SHR228" s="1"/>
      <c r="SHS228" s="1"/>
      <c r="SHT228" s="1"/>
      <c r="SHU228" s="1"/>
      <c r="SHV228" s="1"/>
      <c r="SHW228" s="1"/>
      <c r="SHX228" s="1"/>
      <c r="SHY228" s="1"/>
      <c r="SHZ228" s="1"/>
      <c r="SIA228" s="1"/>
      <c r="SIB228" s="1"/>
      <c r="SIC228" s="1"/>
      <c r="SID228" s="1"/>
      <c r="SIE228" s="1"/>
      <c r="SIF228" s="1"/>
      <c r="SIG228" s="1"/>
      <c r="SIH228" s="1"/>
      <c r="SII228" s="1"/>
      <c r="SIJ228" s="1"/>
      <c r="SIK228" s="1"/>
      <c r="SIL228" s="1"/>
      <c r="SIM228" s="1"/>
      <c r="SIN228" s="1"/>
      <c r="SIO228" s="1"/>
      <c r="SIP228" s="1"/>
      <c r="SIQ228" s="1"/>
      <c r="SIR228" s="1"/>
      <c r="SIS228" s="1"/>
      <c r="SIT228" s="1"/>
      <c r="SIU228" s="1"/>
      <c r="SIV228" s="1"/>
      <c r="SIW228" s="1"/>
      <c r="SIX228" s="1"/>
      <c r="SIY228" s="1"/>
      <c r="SIZ228" s="1"/>
      <c r="SJA228" s="1"/>
      <c r="SJB228" s="1"/>
      <c r="SJC228" s="1"/>
      <c r="SJD228" s="1"/>
      <c r="SJE228" s="1"/>
      <c r="SJF228" s="1"/>
      <c r="SJG228" s="1"/>
      <c r="SJH228" s="1"/>
      <c r="SJI228" s="1"/>
      <c r="SJJ228" s="1"/>
      <c r="SJK228" s="1"/>
      <c r="SJL228" s="1"/>
      <c r="SJM228" s="1"/>
      <c r="SJN228" s="1"/>
      <c r="SJO228" s="1"/>
      <c r="SJP228" s="1"/>
      <c r="SJQ228" s="1"/>
      <c r="SJR228" s="1"/>
      <c r="SJS228" s="1"/>
      <c r="SJT228" s="1"/>
      <c r="SJU228" s="1"/>
      <c r="SJV228" s="1"/>
      <c r="SJW228" s="1"/>
      <c r="SJX228" s="1"/>
      <c r="SJY228" s="1"/>
      <c r="SJZ228" s="1"/>
      <c r="SKA228" s="1"/>
      <c r="SKB228" s="1"/>
      <c r="SKC228" s="1"/>
      <c r="SKD228" s="1"/>
      <c r="SKE228" s="1"/>
      <c r="SKF228" s="1"/>
      <c r="SKG228" s="1"/>
      <c r="SKH228" s="1"/>
      <c r="SKI228" s="1"/>
      <c r="SKJ228" s="1"/>
      <c r="SKK228" s="1"/>
      <c r="SKL228" s="1"/>
      <c r="SKM228" s="1"/>
      <c r="SKN228" s="1"/>
      <c r="SKO228" s="1"/>
      <c r="SKP228" s="1"/>
      <c r="SKQ228" s="1"/>
      <c r="SKR228" s="1"/>
      <c r="SKS228" s="1"/>
      <c r="SKT228" s="1"/>
      <c r="SKU228" s="1"/>
      <c r="SKV228" s="1"/>
      <c r="SKW228" s="1"/>
      <c r="SKX228" s="1"/>
      <c r="SKY228" s="1"/>
      <c r="SKZ228" s="1"/>
      <c r="SLA228" s="1"/>
      <c r="SLB228" s="1"/>
      <c r="SLC228" s="1"/>
      <c r="SLD228" s="1"/>
      <c r="SLE228" s="1"/>
      <c r="SLF228" s="1"/>
      <c r="SLG228" s="1"/>
      <c r="SLH228" s="1"/>
      <c r="SLI228" s="1"/>
      <c r="SLJ228" s="1"/>
      <c r="SLK228" s="1"/>
      <c r="SLL228" s="1"/>
      <c r="SLM228" s="1"/>
      <c r="SLN228" s="1"/>
      <c r="SLO228" s="1"/>
      <c r="SLP228" s="1"/>
      <c r="SLQ228" s="1"/>
      <c r="SLR228" s="1"/>
      <c r="SLS228" s="1"/>
      <c r="SLT228" s="1"/>
      <c r="SLU228" s="1"/>
      <c r="SLV228" s="1"/>
      <c r="SLW228" s="1"/>
      <c r="SLX228" s="1"/>
      <c r="SLY228" s="1"/>
      <c r="SLZ228" s="1"/>
      <c r="SMA228" s="1"/>
      <c r="SMB228" s="1"/>
      <c r="SMC228" s="1"/>
      <c r="SMD228" s="1"/>
      <c r="SME228" s="1"/>
      <c r="SMF228" s="1"/>
      <c r="SMG228" s="1"/>
      <c r="SMH228" s="1"/>
      <c r="SMI228" s="1"/>
      <c r="SMJ228" s="1"/>
      <c r="SMK228" s="1"/>
      <c r="SML228" s="1"/>
      <c r="SMM228" s="1"/>
      <c r="SMN228" s="1"/>
      <c r="SMO228" s="1"/>
      <c r="SMP228" s="1"/>
      <c r="SMQ228" s="1"/>
      <c r="SMR228" s="1"/>
      <c r="SMS228" s="1"/>
      <c r="SMT228" s="1"/>
      <c r="SMU228" s="1"/>
      <c r="SMV228" s="1"/>
      <c r="SMW228" s="1"/>
      <c r="SMX228" s="1"/>
      <c r="SMY228" s="1"/>
      <c r="SMZ228" s="1"/>
      <c r="SNA228" s="1"/>
      <c r="SNB228" s="1"/>
      <c r="SNC228" s="1"/>
      <c r="SND228" s="1"/>
      <c r="SNE228" s="1"/>
      <c r="SNF228" s="1"/>
      <c r="SNG228" s="1"/>
      <c r="SNH228" s="1"/>
      <c r="SNI228" s="1"/>
      <c r="SNJ228" s="1"/>
      <c r="SNK228" s="1"/>
      <c r="SNL228" s="1"/>
      <c r="SNM228" s="1"/>
      <c r="SNN228" s="1"/>
      <c r="SNO228" s="1"/>
      <c r="SNP228" s="1"/>
      <c r="SNQ228" s="1"/>
      <c r="SNR228" s="1"/>
      <c r="SNS228" s="1"/>
      <c r="SNT228" s="1"/>
      <c r="SNU228" s="1"/>
      <c r="SNV228" s="1"/>
      <c r="SNW228" s="1"/>
      <c r="SNX228" s="1"/>
      <c r="SNY228" s="1"/>
      <c r="SNZ228" s="1"/>
      <c r="SOA228" s="1"/>
      <c r="SOB228" s="1"/>
      <c r="SOC228" s="1"/>
      <c r="SOD228" s="1"/>
      <c r="SOE228" s="1"/>
      <c r="SOF228" s="1"/>
      <c r="SOG228" s="1"/>
      <c r="SOH228" s="1"/>
      <c r="SOI228" s="1"/>
      <c r="SOJ228" s="1"/>
      <c r="SOK228" s="1"/>
      <c r="SOL228" s="1"/>
      <c r="SOM228" s="1"/>
      <c r="SON228" s="1"/>
      <c r="SOO228" s="1"/>
      <c r="SOP228" s="1"/>
      <c r="SOQ228" s="1"/>
      <c r="SOR228" s="1"/>
      <c r="SOS228" s="1"/>
      <c r="SOT228" s="1"/>
      <c r="SOU228" s="1"/>
      <c r="SOV228" s="1"/>
      <c r="SOW228" s="1"/>
      <c r="SOX228" s="1"/>
      <c r="SOY228" s="1"/>
      <c r="SOZ228" s="1"/>
      <c r="SPA228" s="1"/>
      <c r="SPB228" s="1"/>
      <c r="SPC228" s="1"/>
      <c r="SPD228" s="1"/>
      <c r="SPE228" s="1"/>
      <c r="SPF228" s="1"/>
      <c r="SPG228" s="1"/>
      <c r="SPH228" s="1"/>
      <c r="SPI228" s="1"/>
      <c r="SPJ228" s="1"/>
      <c r="SPK228" s="1"/>
      <c r="SPL228" s="1"/>
      <c r="SPM228" s="1"/>
      <c r="SPN228" s="1"/>
      <c r="SPO228" s="1"/>
      <c r="SPP228" s="1"/>
      <c r="SPQ228" s="1"/>
      <c r="SPR228" s="1"/>
      <c r="SPS228" s="1"/>
      <c r="SPT228" s="1"/>
      <c r="SPU228" s="1"/>
      <c r="SPV228" s="1"/>
      <c r="SPW228" s="1"/>
      <c r="SPX228" s="1"/>
      <c r="SPY228" s="1"/>
      <c r="SPZ228" s="1"/>
      <c r="SQA228" s="1"/>
      <c r="SQB228" s="1"/>
      <c r="SQC228" s="1"/>
      <c r="SQD228" s="1"/>
      <c r="SQE228" s="1"/>
      <c r="SQF228" s="1"/>
      <c r="SQG228" s="1"/>
      <c r="SQH228" s="1"/>
      <c r="SQI228" s="1"/>
      <c r="SQJ228" s="1"/>
      <c r="SQK228" s="1"/>
      <c r="SQL228" s="1"/>
      <c r="SQM228" s="1"/>
      <c r="SQN228" s="1"/>
      <c r="SQO228" s="1"/>
      <c r="SQP228" s="1"/>
      <c r="SQQ228" s="1"/>
      <c r="SQR228" s="1"/>
      <c r="SQS228" s="1"/>
      <c r="SQT228" s="1"/>
      <c r="SQU228" s="1"/>
      <c r="SQV228" s="1"/>
      <c r="SQW228" s="1"/>
      <c r="SQX228" s="1"/>
      <c r="SQY228" s="1"/>
      <c r="SQZ228" s="1"/>
      <c r="SRA228" s="1"/>
      <c r="SRB228" s="1"/>
      <c r="SRC228" s="1"/>
      <c r="SRD228" s="1"/>
      <c r="SRE228" s="1"/>
      <c r="SRF228" s="1"/>
      <c r="SRG228" s="1"/>
      <c r="SRH228" s="1"/>
      <c r="SRI228" s="1"/>
      <c r="SRJ228" s="1"/>
      <c r="SRK228" s="1"/>
      <c r="SRL228" s="1"/>
      <c r="SRM228" s="1"/>
      <c r="SRN228" s="1"/>
      <c r="SRO228" s="1"/>
      <c r="SRP228" s="1"/>
      <c r="SRQ228" s="1"/>
      <c r="SRR228" s="1"/>
      <c r="SRS228" s="1"/>
      <c r="SRT228" s="1"/>
      <c r="SRU228" s="1"/>
      <c r="SRV228" s="1"/>
      <c r="SRW228" s="1"/>
      <c r="SRX228" s="1"/>
      <c r="SRY228" s="1"/>
      <c r="SRZ228" s="1"/>
      <c r="SSA228" s="1"/>
      <c r="SSB228" s="1"/>
      <c r="SSC228" s="1"/>
      <c r="SSD228" s="1"/>
      <c r="SSE228" s="1"/>
      <c r="SSF228" s="1"/>
      <c r="SSG228" s="1"/>
      <c r="SSH228" s="1"/>
      <c r="SSI228" s="1"/>
      <c r="SSJ228" s="1"/>
      <c r="SSK228" s="1"/>
      <c r="SSL228" s="1"/>
      <c r="SSM228" s="1"/>
      <c r="SSN228" s="1"/>
      <c r="SSO228" s="1"/>
      <c r="SSP228" s="1"/>
      <c r="SSQ228" s="1"/>
      <c r="SSR228" s="1"/>
      <c r="SSS228" s="1"/>
      <c r="SST228" s="1"/>
      <c r="SSU228" s="1"/>
      <c r="SSV228" s="1"/>
      <c r="SSW228" s="1"/>
      <c r="SSX228" s="1"/>
      <c r="SSY228" s="1"/>
      <c r="SSZ228" s="1"/>
      <c r="STA228" s="1"/>
      <c r="STB228" s="1"/>
      <c r="STC228" s="1"/>
      <c r="STD228" s="1"/>
      <c r="STE228" s="1"/>
      <c r="STF228" s="1"/>
      <c r="STG228" s="1"/>
      <c r="STH228" s="1"/>
      <c r="STI228" s="1"/>
      <c r="STJ228" s="1"/>
      <c r="STK228" s="1"/>
      <c r="STL228" s="1"/>
      <c r="STM228" s="1"/>
      <c r="STN228" s="1"/>
      <c r="STO228" s="1"/>
      <c r="STP228" s="1"/>
      <c r="STQ228" s="1"/>
      <c r="STR228" s="1"/>
      <c r="STS228" s="1"/>
      <c r="STT228" s="1"/>
      <c r="STU228" s="1"/>
      <c r="STV228" s="1"/>
      <c r="STW228" s="1"/>
      <c r="STX228" s="1"/>
      <c r="STY228" s="1"/>
      <c r="STZ228" s="1"/>
      <c r="SUA228" s="1"/>
      <c r="SUB228" s="1"/>
      <c r="SUC228" s="1"/>
      <c r="SUD228" s="1"/>
      <c r="SUE228" s="1"/>
      <c r="SUF228" s="1"/>
      <c r="SUG228" s="1"/>
      <c r="SUH228" s="1"/>
      <c r="SUI228" s="1"/>
      <c r="SUJ228" s="1"/>
      <c r="SUK228" s="1"/>
      <c r="SUL228" s="1"/>
      <c r="SUM228" s="1"/>
      <c r="SUN228" s="1"/>
      <c r="SUO228" s="1"/>
      <c r="SUP228" s="1"/>
      <c r="SUQ228" s="1"/>
      <c r="SUR228" s="1"/>
      <c r="SUS228" s="1"/>
      <c r="SUT228" s="1"/>
      <c r="SUU228" s="1"/>
      <c r="SUV228" s="1"/>
      <c r="SUW228" s="1"/>
      <c r="SUX228" s="1"/>
      <c r="SUY228" s="1"/>
      <c r="SUZ228" s="1"/>
      <c r="SVA228" s="1"/>
      <c r="SVB228" s="1"/>
      <c r="SVC228" s="1"/>
      <c r="SVD228" s="1"/>
      <c r="SVE228" s="1"/>
      <c r="SVF228" s="1"/>
      <c r="SVG228" s="1"/>
      <c r="SVH228" s="1"/>
      <c r="SVI228" s="1"/>
      <c r="SVJ228" s="1"/>
      <c r="SVK228" s="1"/>
      <c r="SVL228" s="1"/>
      <c r="SVM228" s="1"/>
      <c r="SVN228" s="1"/>
      <c r="SVO228" s="1"/>
      <c r="SVP228" s="1"/>
      <c r="SVQ228" s="1"/>
      <c r="SVR228" s="1"/>
      <c r="SVS228" s="1"/>
      <c r="SVT228" s="1"/>
      <c r="SVU228" s="1"/>
      <c r="SVV228" s="1"/>
      <c r="SVW228" s="1"/>
      <c r="SVX228" s="1"/>
      <c r="SVY228" s="1"/>
      <c r="SVZ228" s="1"/>
      <c r="SWA228" s="1"/>
      <c r="SWB228" s="1"/>
      <c r="SWC228" s="1"/>
      <c r="SWD228" s="1"/>
      <c r="SWE228" s="1"/>
      <c r="SWF228" s="1"/>
      <c r="SWG228" s="1"/>
      <c r="SWH228" s="1"/>
      <c r="SWI228" s="1"/>
      <c r="SWJ228" s="1"/>
      <c r="SWK228" s="1"/>
      <c r="SWL228" s="1"/>
      <c r="SWM228" s="1"/>
      <c r="SWN228" s="1"/>
      <c r="SWO228" s="1"/>
      <c r="SWP228" s="1"/>
      <c r="SWQ228" s="1"/>
      <c r="SWR228" s="1"/>
      <c r="SWS228" s="1"/>
      <c r="SWT228" s="1"/>
      <c r="SWU228" s="1"/>
      <c r="SWV228" s="1"/>
      <c r="SWW228" s="1"/>
      <c r="SWX228" s="1"/>
      <c r="SWY228" s="1"/>
      <c r="SWZ228" s="1"/>
      <c r="SXA228" s="1"/>
      <c r="SXB228" s="1"/>
      <c r="SXC228" s="1"/>
      <c r="SXD228" s="1"/>
      <c r="SXE228" s="1"/>
      <c r="SXF228" s="1"/>
      <c r="SXG228" s="1"/>
      <c r="SXH228" s="1"/>
      <c r="SXI228" s="1"/>
      <c r="SXJ228" s="1"/>
      <c r="SXK228" s="1"/>
      <c r="SXL228" s="1"/>
      <c r="SXM228" s="1"/>
      <c r="SXN228" s="1"/>
      <c r="SXO228" s="1"/>
      <c r="SXP228" s="1"/>
      <c r="SXQ228" s="1"/>
      <c r="SXR228" s="1"/>
      <c r="SXS228" s="1"/>
      <c r="SXT228" s="1"/>
      <c r="SXU228" s="1"/>
      <c r="SXV228" s="1"/>
      <c r="SXW228" s="1"/>
      <c r="SXX228" s="1"/>
      <c r="SXY228" s="1"/>
      <c r="SXZ228" s="1"/>
      <c r="SYA228" s="1"/>
      <c r="SYB228" s="1"/>
      <c r="SYC228" s="1"/>
      <c r="SYD228" s="1"/>
      <c r="SYE228" s="1"/>
      <c r="SYF228" s="1"/>
      <c r="SYG228" s="1"/>
      <c r="SYH228" s="1"/>
      <c r="SYI228" s="1"/>
      <c r="SYJ228" s="1"/>
      <c r="SYK228" s="1"/>
      <c r="SYL228" s="1"/>
      <c r="SYM228" s="1"/>
      <c r="SYN228" s="1"/>
      <c r="SYO228" s="1"/>
      <c r="SYP228" s="1"/>
      <c r="SYQ228" s="1"/>
      <c r="SYR228" s="1"/>
      <c r="SYS228" s="1"/>
      <c r="SYT228" s="1"/>
      <c r="SYU228" s="1"/>
      <c r="SYV228" s="1"/>
      <c r="SYW228" s="1"/>
      <c r="SYX228" s="1"/>
      <c r="SYY228" s="1"/>
      <c r="SYZ228" s="1"/>
      <c r="SZA228" s="1"/>
      <c r="SZB228" s="1"/>
      <c r="SZC228" s="1"/>
      <c r="SZD228" s="1"/>
      <c r="SZE228" s="1"/>
      <c r="SZF228" s="1"/>
      <c r="SZG228" s="1"/>
      <c r="SZH228" s="1"/>
      <c r="SZI228" s="1"/>
      <c r="SZJ228" s="1"/>
      <c r="SZK228" s="1"/>
      <c r="SZL228" s="1"/>
      <c r="SZM228" s="1"/>
      <c r="SZN228" s="1"/>
      <c r="SZO228" s="1"/>
      <c r="SZP228" s="1"/>
      <c r="SZQ228" s="1"/>
      <c r="SZR228" s="1"/>
      <c r="SZS228" s="1"/>
      <c r="SZT228" s="1"/>
      <c r="SZU228" s="1"/>
      <c r="SZV228" s="1"/>
      <c r="SZW228" s="1"/>
      <c r="SZX228" s="1"/>
      <c r="SZY228" s="1"/>
      <c r="SZZ228" s="1"/>
      <c r="TAA228" s="1"/>
      <c r="TAB228" s="1"/>
      <c r="TAC228" s="1"/>
      <c r="TAD228" s="1"/>
      <c r="TAE228" s="1"/>
      <c r="TAF228" s="1"/>
      <c r="TAG228" s="1"/>
      <c r="TAH228" s="1"/>
      <c r="TAI228" s="1"/>
      <c r="TAJ228" s="1"/>
      <c r="TAK228" s="1"/>
      <c r="TAL228" s="1"/>
      <c r="TAM228" s="1"/>
      <c r="TAN228" s="1"/>
      <c r="TAO228" s="1"/>
      <c r="TAP228" s="1"/>
      <c r="TAQ228" s="1"/>
      <c r="TAR228" s="1"/>
      <c r="TAS228" s="1"/>
      <c r="TAT228" s="1"/>
      <c r="TAU228" s="1"/>
      <c r="TAV228" s="1"/>
      <c r="TAW228" s="1"/>
      <c r="TAX228" s="1"/>
      <c r="TAY228" s="1"/>
      <c r="TAZ228" s="1"/>
      <c r="TBA228" s="1"/>
      <c r="TBB228" s="1"/>
      <c r="TBC228" s="1"/>
      <c r="TBD228" s="1"/>
      <c r="TBE228" s="1"/>
      <c r="TBF228" s="1"/>
      <c r="TBG228" s="1"/>
      <c r="TBH228" s="1"/>
      <c r="TBI228" s="1"/>
      <c r="TBJ228" s="1"/>
      <c r="TBK228" s="1"/>
      <c r="TBL228" s="1"/>
      <c r="TBM228" s="1"/>
      <c r="TBN228" s="1"/>
      <c r="TBO228" s="1"/>
      <c r="TBP228" s="1"/>
      <c r="TBQ228" s="1"/>
      <c r="TBR228" s="1"/>
      <c r="TBS228" s="1"/>
      <c r="TBT228" s="1"/>
      <c r="TBU228" s="1"/>
      <c r="TBV228" s="1"/>
      <c r="TBW228" s="1"/>
      <c r="TBX228" s="1"/>
      <c r="TBY228" s="1"/>
      <c r="TBZ228" s="1"/>
      <c r="TCA228" s="1"/>
      <c r="TCB228" s="1"/>
      <c r="TCC228" s="1"/>
      <c r="TCD228" s="1"/>
      <c r="TCE228" s="1"/>
      <c r="TCF228" s="1"/>
      <c r="TCG228" s="1"/>
      <c r="TCH228" s="1"/>
      <c r="TCI228" s="1"/>
      <c r="TCJ228" s="1"/>
      <c r="TCK228" s="1"/>
      <c r="TCL228" s="1"/>
      <c r="TCM228" s="1"/>
      <c r="TCN228" s="1"/>
      <c r="TCO228" s="1"/>
      <c r="TCP228" s="1"/>
      <c r="TCQ228" s="1"/>
      <c r="TCR228" s="1"/>
      <c r="TCS228" s="1"/>
      <c r="TCT228" s="1"/>
      <c r="TCU228" s="1"/>
      <c r="TCV228" s="1"/>
      <c r="TCW228" s="1"/>
      <c r="TCX228" s="1"/>
      <c r="TCY228" s="1"/>
      <c r="TCZ228" s="1"/>
      <c r="TDA228" s="1"/>
      <c r="TDB228" s="1"/>
      <c r="TDC228" s="1"/>
      <c r="TDD228" s="1"/>
      <c r="TDE228" s="1"/>
      <c r="TDF228" s="1"/>
      <c r="TDG228" s="1"/>
      <c r="TDH228" s="1"/>
      <c r="TDI228" s="1"/>
      <c r="TDJ228" s="1"/>
      <c r="TDK228" s="1"/>
      <c r="TDL228" s="1"/>
      <c r="TDM228" s="1"/>
      <c r="TDN228" s="1"/>
      <c r="TDO228" s="1"/>
      <c r="TDP228" s="1"/>
      <c r="TDQ228" s="1"/>
      <c r="TDR228" s="1"/>
      <c r="TDS228" s="1"/>
      <c r="TDT228" s="1"/>
      <c r="TDU228" s="1"/>
      <c r="TDV228" s="1"/>
      <c r="TDW228" s="1"/>
      <c r="TDX228" s="1"/>
      <c r="TDY228" s="1"/>
      <c r="TDZ228" s="1"/>
      <c r="TEA228" s="1"/>
      <c r="TEB228" s="1"/>
      <c r="TEC228" s="1"/>
      <c r="TED228" s="1"/>
      <c r="TEE228" s="1"/>
      <c r="TEF228" s="1"/>
      <c r="TEG228" s="1"/>
      <c r="TEH228" s="1"/>
      <c r="TEI228" s="1"/>
      <c r="TEJ228" s="1"/>
      <c r="TEK228" s="1"/>
      <c r="TEL228" s="1"/>
      <c r="TEM228" s="1"/>
      <c r="TEN228" s="1"/>
      <c r="TEO228" s="1"/>
      <c r="TEP228" s="1"/>
      <c r="TEQ228" s="1"/>
      <c r="TER228" s="1"/>
      <c r="TES228" s="1"/>
      <c r="TET228" s="1"/>
      <c r="TEU228" s="1"/>
      <c r="TEV228" s="1"/>
      <c r="TEW228" s="1"/>
      <c r="TEX228" s="1"/>
      <c r="TEY228" s="1"/>
      <c r="TEZ228" s="1"/>
      <c r="TFA228" s="1"/>
      <c r="TFB228" s="1"/>
      <c r="TFC228" s="1"/>
      <c r="TFD228" s="1"/>
      <c r="TFE228" s="1"/>
      <c r="TFF228" s="1"/>
      <c r="TFG228" s="1"/>
      <c r="TFH228" s="1"/>
      <c r="TFI228" s="1"/>
      <c r="TFJ228" s="1"/>
      <c r="TFK228" s="1"/>
      <c r="TFL228" s="1"/>
      <c r="TFM228" s="1"/>
      <c r="TFN228" s="1"/>
      <c r="TFO228" s="1"/>
      <c r="TFP228" s="1"/>
      <c r="TFQ228" s="1"/>
      <c r="TFR228" s="1"/>
      <c r="TFS228" s="1"/>
      <c r="TFT228" s="1"/>
      <c r="TFU228" s="1"/>
      <c r="TFV228" s="1"/>
      <c r="TFW228" s="1"/>
      <c r="TFX228" s="1"/>
      <c r="TFY228" s="1"/>
      <c r="TFZ228" s="1"/>
      <c r="TGA228" s="1"/>
      <c r="TGB228" s="1"/>
      <c r="TGC228" s="1"/>
      <c r="TGD228" s="1"/>
      <c r="TGE228" s="1"/>
      <c r="TGF228" s="1"/>
      <c r="TGG228" s="1"/>
      <c r="TGH228" s="1"/>
      <c r="TGI228" s="1"/>
      <c r="TGJ228" s="1"/>
      <c r="TGK228" s="1"/>
      <c r="TGL228" s="1"/>
      <c r="TGM228" s="1"/>
      <c r="TGN228" s="1"/>
      <c r="TGO228" s="1"/>
      <c r="TGP228" s="1"/>
      <c r="TGQ228" s="1"/>
      <c r="TGR228" s="1"/>
      <c r="TGS228" s="1"/>
      <c r="TGT228" s="1"/>
      <c r="TGU228" s="1"/>
      <c r="TGV228" s="1"/>
      <c r="TGW228" s="1"/>
      <c r="TGX228" s="1"/>
      <c r="TGY228" s="1"/>
      <c r="TGZ228" s="1"/>
      <c r="THA228" s="1"/>
      <c r="THB228" s="1"/>
      <c r="THC228" s="1"/>
      <c r="THD228" s="1"/>
      <c r="THE228" s="1"/>
      <c r="THF228" s="1"/>
      <c r="THG228" s="1"/>
      <c r="THH228" s="1"/>
      <c r="THI228" s="1"/>
      <c r="THJ228" s="1"/>
      <c r="THK228" s="1"/>
      <c r="THL228" s="1"/>
      <c r="THM228" s="1"/>
      <c r="THN228" s="1"/>
      <c r="THO228" s="1"/>
      <c r="THP228" s="1"/>
      <c r="THQ228" s="1"/>
      <c r="THR228" s="1"/>
      <c r="THS228" s="1"/>
      <c r="THT228" s="1"/>
      <c r="THU228" s="1"/>
      <c r="THV228" s="1"/>
      <c r="THW228" s="1"/>
      <c r="THX228" s="1"/>
      <c r="THY228" s="1"/>
      <c r="THZ228" s="1"/>
      <c r="TIA228" s="1"/>
      <c r="TIB228" s="1"/>
      <c r="TIC228" s="1"/>
      <c r="TID228" s="1"/>
      <c r="TIE228" s="1"/>
      <c r="TIF228" s="1"/>
      <c r="TIG228" s="1"/>
      <c r="TIH228" s="1"/>
      <c r="TII228" s="1"/>
      <c r="TIJ228" s="1"/>
      <c r="TIK228" s="1"/>
      <c r="TIL228" s="1"/>
      <c r="TIM228" s="1"/>
      <c r="TIN228" s="1"/>
      <c r="TIO228" s="1"/>
      <c r="TIP228" s="1"/>
      <c r="TIQ228" s="1"/>
      <c r="TIR228" s="1"/>
      <c r="TIS228" s="1"/>
      <c r="TIT228" s="1"/>
      <c r="TIU228" s="1"/>
      <c r="TIV228" s="1"/>
      <c r="TIW228" s="1"/>
      <c r="TIX228" s="1"/>
      <c r="TIY228" s="1"/>
      <c r="TIZ228" s="1"/>
      <c r="TJA228" s="1"/>
      <c r="TJB228" s="1"/>
      <c r="TJC228" s="1"/>
      <c r="TJD228" s="1"/>
      <c r="TJE228" s="1"/>
      <c r="TJF228" s="1"/>
      <c r="TJG228" s="1"/>
      <c r="TJH228" s="1"/>
      <c r="TJI228" s="1"/>
      <c r="TJJ228" s="1"/>
      <c r="TJK228" s="1"/>
      <c r="TJL228" s="1"/>
      <c r="TJM228" s="1"/>
      <c r="TJN228" s="1"/>
      <c r="TJO228" s="1"/>
      <c r="TJP228" s="1"/>
      <c r="TJQ228" s="1"/>
      <c r="TJR228" s="1"/>
      <c r="TJS228" s="1"/>
      <c r="TJT228" s="1"/>
      <c r="TJU228" s="1"/>
      <c r="TJV228" s="1"/>
      <c r="TJW228" s="1"/>
      <c r="TJX228" s="1"/>
      <c r="TJY228" s="1"/>
      <c r="TJZ228" s="1"/>
      <c r="TKA228" s="1"/>
      <c r="TKB228" s="1"/>
      <c r="TKC228" s="1"/>
      <c r="TKD228" s="1"/>
      <c r="TKE228" s="1"/>
      <c r="TKF228" s="1"/>
      <c r="TKG228" s="1"/>
      <c r="TKH228" s="1"/>
      <c r="TKI228" s="1"/>
      <c r="TKJ228" s="1"/>
      <c r="TKK228" s="1"/>
      <c r="TKL228" s="1"/>
      <c r="TKM228" s="1"/>
      <c r="TKN228" s="1"/>
      <c r="TKO228" s="1"/>
      <c r="TKP228" s="1"/>
      <c r="TKQ228" s="1"/>
      <c r="TKR228" s="1"/>
      <c r="TKS228" s="1"/>
      <c r="TKT228" s="1"/>
      <c r="TKU228" s="1"/>
      <c r="TKV228" s="1"/>
      <c r="TKW228" s="1"/>
      <c r="TKX228" s="1"/>
      <c r="TKY228" s="1"/>
      <c r="TKZ228" s="1"/>
      <c r="TLA228" s="1"/>
      <c r="TLB228" s="1"/>
      <c r="TLC228" s="1"/>
      <c r="TLD228" s="1"/>
      <c r="TLE228" s="1"/>
      <c r="TLF228" s="1"/>
      <c r="TLG228" s="1"/>
      <c r="TLH228" s="1"/>
      <c r="TLI228" s="1"/>
      <c r="TLJ228" s="1"/>
      <c r="TLK228" s="1"/>
      <c r="TLL228" s="1"/>
      <c r="TLM228" s="1"/>
      <c r="TLN228" s="1"/>
      <c r="TLO228" s="1"/>
      <c r="TLP228" s="1"/>
      <c r="TLQ228" s="1"/>
      <c r="TLR228" s="1"/>
      <c r="TLS228" s="1"/>
      <c r="TLT228" s="1"/>
      <c r="TLU228" s="1"/>
      <c r="TLV228" s="1"/>
      <c r="TLW228" s="1"/>
      <c r="TLX228" s="1"/>
      <c r="TLY228" s="1"/>
      <c r="TLZ228" s="1"/>
      <c r="TMA228" s="1"/>
      <c r="TMB228" s="1"/>
      <c r="TMC228" s="1"/>
      <c r="TMD228" s="1"/>
      <c r="TME228" s="1"/>
      <c r="TMF228" s="1"/>
      <c r="TMG228" s="1"/>
      <c r="TMH228" s="1"/>
      <c r="TMI228" s="1"/>
      <c r="TMJ228" s="1"/>
      <c r="TMK228" s="1"/>
      <c r="TML228" s="1"/>
      <c r="TMM228" s="1"/>
      <c r="TMN228" s="1"/>
      <c r="TMO228" s="1"/>
      <c r="TMP228" s="1"/>
      <c r="TMQ228" s="1"/>
      <c r="TMR228" s="1"/>
      <c r="TMS228" s="1"/>
      <c r="TMT228" s="1"/>
      <c r="TMU228" s="1"/>
      <c r="TMV228" s="1"/>
      <c r="TMW228" s="1"/>
      <c r="TMX228" s="1"/>
      <c r="TMY228" s="1"/>
      <c r="TMZ228" s="1"/>
      <c r="TNA228" s="1"/>
      <c r="TNB228" s="1"/>
      <c r="TNC228" s="1"/>
      <c r="TND228" s="1"/>
      <c r="TNE228" s="1"/>
      <c r="TNF228" s="1"/>
      <c r="TNG228" s="1"/>
      <c r="TNH228" s="1"/>
      <c r="TNI228" s="1"/>
      <c r="TNJ228" s="1"/>
      <c r="TNK228" s="1"/>
      <c r="TNL228" s="1"/>
      <c r="TNM228" s="1"/>
      <c r="TNN228" s="1"/>
      <c r="TNO228" s="1"/>
      <c r="TNP228" s="1"/>
      <c r="TNQ228" s="1"/>
      <c r="TNR228" s="1"/>
      <c r="TNS228" s="1"/>
      <c r="TNT228" s="1"/>
      <c r="TNU228" s="1"/>
      <c r="TNV228" s="1"/>
      <c r="TNW228" s="1"/>
      <c r="TNX228" s="1"/>
      <c r="TNY228" s="1"/>
      <c r="TNZ228" s="1"/>
      <c r="TOA228" s="1"/>
      <c r="TOB228" s="1"/>
      <c r="TOC228" s="1"/>
      <c r="TOD228" s="1"/>
      <c r="TOE228" s="1"/>
      <c r="TOF228" s="1"/>
      <c r="TOG228" s="1"/>
      <c r="TOH228" s="1"/>
      <c r="TOI228" s="1"/>
      <c r="TOJ228" s="1"/>
      <c r="TOK228" s="1"/>
      <c r="TOL228" s="1"/>
      <c r="TOM228" s="1"/>
      <c r="TON228" s="1"/>
      <c r="TOO228" s="1"/>
      <c r="TOP228" s="1"/>
      <c r="TOQ228" s="1"/>
      <c r="TOR228" s="1"/>
      <c r="TOS228" s="1"/>
      <c r="TOT228" s="1"/>
      <c r="TOU228" s="1"/>
      <c r="TOV228" s="1"/>
      <c r="TOW228" s="1"/>
      <c r="TOX228" s="1"/>
      <c r="TOY228" s="1"/>
      <c r="TOZ228" s="1"/>
      <c r="TPA228" s="1"/>
      <c r="TPB228" s="1"/>
      <c r="TPC228" s="1"/>
      <c r="TPD228" s="1"/>
      <c r="TPE228" s="1"/>
      <c r="TPF228" s="1"/>
      <c r="TPG228" s="1"/>
      <c r="TPH228" s="1"/>
      <c r="TPI228" s="1"/>
      <c r="TPJ228" s="1"/>
      <c r="TPK228" s="1"/>
      <c r="TPL228" s="1"/>
      <c r="TPM228" s="1"/>
      <c r="TPN228" s="1"/>
      <c r="TPO228" s="1"/>
      <c r="TPP228" s="1"/>
      <c r="TPQ228" s="1"/>
      <c r="TPR228" s="1"/>
      <c r="TPS228" s="1"/>
      <c r="TPT228" s="1"/>
      <c r="TPU228" s="1"/>
      <c r="TPV228" s="1"/>
      <c r="TPW228" s="1"/>
      <c r="TPX228" s="1"/>
      <c r="TPY228" s="1"/>
      <c r="TPZ228" s="1"/>
      <c r="TQA228" s="1"/>
      <c r="TQB228" s="1"/>
      <c r="TQC228" s="1"/>
      <c r="TQD228" s="1"/>
      <c r="TQE228" s="1"/>
      <c r="TQF228" s="1"/>
      <c r="TQG228" s="1"/>
      <c r="TQH228" s="1"/>
      <c r="TQI228" s="1"/>
      <c r="TQJ228" s="1"/>
      <c r="TQK228" s="1"/>
      <c r="TQL228" s="1"/>
      <c r="TQM228" s="1"/>
      <c r="TQN228" s="1"/>
      <c r="TQO228" s="1"/>
      <c r="TQP228" s="1"/>
      <c r="TQQ228" s="1"/>
      <c r="TQR228" s="1"/>
      <c r="TQS228" s="1"/>
      <c r="TQT228" s="1"/>
      <c r="TQU228" s="1"/>
      <c r="TQV228" s="1"/>
      <c r="TQW228" s="1"/>
      <c r="TQX228" s="1"/>
      <c r="TQY228" s="1"/>
      <c r="TQZ228" s="1"/>
      <c r="TRA228" s="1"/>
      <c r="TRB228" s="1"/>
      <c r="TRC228" s="1"/>
      <c r="TRD228" s="1"/>
      <c r="TRE228" s="1"/>
      <c r="TRF228" s="1"/>
      <c r="TRG228" s="1"/>
      <c r="TRH228" s="1"/>
      <c r="TRI228" s="1"/>
      <c r="TRJ228" s="1"/>
      <c r="TRK228" s="1"/>
      <c r="TRL228" s="1"/>
      <c r="TRM228" s="1"/>
      <c r="TRN228" s="1"/>
      <c r="TRO228" s="1"/>
      <c r="TRP228" s="1"/>
      <c r="TRQ228" s="1"/>
      <c r="TRR228" s="1"/>
      <c r="TRS228" s="1"/>
      <c r="TRT228" s="1"/>
      <c r="TRU228" s="1"/>
      <c r="TRV228" s="1"/>
      <c r="TRW228" s="1"/>
      <c r="TRX228" s="1"/>
      <c r="TRY228" s="1"/>
      <c r="TRZ228" s="1"/>
      <c r="TSA228" s="1"/>
      <c r="TSB228" s="1"/>
      <c r="TSC228" s="1"/>
      <c r="TSD228" s="1"/>
      <c r="TSE228" s="1"/>
      <c r="TSF228" s="1"/>
      <c r="TSG228" s="1"/>
      <c r="TSH228" s="1"/>
      <c r="TSI228" s="1"/>
      <c r="TSJ228" s="1"/>
      <c r="TSK228" s="1"/>
      <c r="TSL228" s="1"/>
      <c r="TSM228" s="1"/>
      <c r="TSN228" s="1"/>
      <c r="TSO228" s="1"/>
      <c r="TSP228" s="1"/>
      <c r="TSQ228" s="1"/>
      <c r="TSR228" s="1"/>
      <c r="TSS228" s="1"/>
      <c r="TST228" s="1"/>
      <c r="TSU228" s="1"/>
      <c r="TSV228" s="1"/>
      <c r="TSW228" s="1"/>
      <c r="TSX228" s="1"/>
      <c r="TSY228" s="1"/>
      <c r="TSZ228" s="1"/>
      <c r="TTA228" s="1"/>
      <c r="TTB228" s="1"/>
      <c r="TTC228" s="1"/>
      <c r="TTD228" s="1"/>
      <c r="TTE228" s="1"/>
      <c r="TTF228" s="1"/>
      <c r="TTG228" s="1"/>
      <c r="TTH228" s="1"/>
      <c r="TTI228" s="1"/>
      <c r="TTJ228" s="1"/>
      <c r="TTK228" s="1"/>
      <c r="TTL228" s="1"/>
      <c r="TTM228" s="1"/>
      <c r="TTN228" s="1"/>
      <c r="TTO228" s="1"/>
      <c r="TTP228" s="1"/>
      <c r="TTQ228" s="1"/>
      <c r="TTR228" s="1"/>
      <c r="TTS228" s="1"/>
      <c r="TTT228" s="1"/>
      <c r="TTU228" s="1"/>
      <c r="TTV228" s="1"/>
      <c r="TTW228" s="1"/>
      <c r="TTX228" s="1"/>
      <c r="TTY228" s="1"/>
      <c r="TTZ228" s="1"/>
      <c r="TUA228" s="1"/>
      <c r="TUB228" s="1"/>
      <c r="TUC228" s="1"/>
      <c r="TUD228" s="1"/>
      <c r="TUE228" s="1"/>
      <c r="TUF228" s="1"/>
      <c r="TUG228" s="1"/>
      <c r="TUH228" s="1"/>
      <c r="TUI228" s="1"/>
      <c r="TUJ228" s="1"/>
      <c r="TUK228" s="1"/>
      <c r="TUL228" s="1"/>
      <c r="TUM228" s="1"/>
      <c r="TUN228" s="1"/>
      <c r="TUO228" s="1"/>
      <c r="TUP228" s="1"/>
      <c r="TUQ228" s="1"/>
      <c r="TUR228" s="1"/>
      <c r="TUS228" s="1"/>
      <c r="TUT228" s="1"/>
      <c r="TUU228" s="1"/>
      <c r="TUV228" s="1"/>
      <c r="TUW228" s="1"/>
      <c r="TUX228" s="1"/>
      <c r="TUY228" s="1"/>
      <c r="TUZ228" s="1"/>
      <c r="TVA228" s="1"/>
      <c r="TVB228" s="1"/>
      <c r="TVC228" s="1"/>
      <c r="TVD228" s="1"/>
      <c r="TVE228" s="1"/>
      <c r="TVF228" s="1"/>
      <c r="TVG228" s="1"/>
      <c r="TVH228" s="1"/>
      <c r="TVI228" s="1"/>
      <c r="TVJ228" s="1"/>
      <c r="TVK228" s="1"/>
      <c r="TVL228" s="1"/>
      <c r="TVM228" s="1"/>
      <c r="TVN228" s="1"/>
      <c r="TVO228" s="1"/>
      <c r="TVP228" s="1"/>
      <c r="TVQ228" s="1"/>
      <c r="TVR228" s="1"/>
      <c r="TVS228" s="1"/>
      <c r="TVT228" s="1"/>
      <c r="TVU228" s="1"/>
      <c r="TVV228" s="1"/>
      <c r="TVW228" s="1"/>
      <c r="TVX228" s="1"/>
      <c r="TVY228" s="1"/>
      <c r="TVZ228" s="1"/>
      <c r="TWA228" s="1"/>
      <c r="TWB228" s="1"/>
      <c r="TWC228" s="1"/>
      <c r="TWD228" s="1"/>
      <c r="TWE228" s="1"/>
      <c r="TWF228" s="1"/>
      <c r="TWG228" s="1"/>
      <c r="TWH228" s="1"/>
      <c r="TWI228" s="1"/>
      <c r="TWJ228" s="1"/>
      <c r="TWK228" s="1"/>
      <c r="TWL228" s="1"/>
      <c r="TWM228" s="1"/>
      <c r="TWN228" s="1"/>
      <c r="TWO228" s="1"/>
      <c r="TWP228" s="1"/>
      <c r="TWQ228" s="1"/>
      <c r="TWR228" s="1"/>
      <c r="TWS228" s="1"/>
      <c r="TWT228" s="1"/>
      <c r="TWU228" s="1"/>
      <c r="TWV228" s="1"/>
      <c r="TWW228" s="1"/>
      <c r="TWX228" s="1"/>
      <c r="TWY228" s="1"/>
      <c r="TWZ228" s="1"/>
      <c r="TXA228" s="1"/>
      <c r="TXB228" s="1"/>
      <c r="TXC228" s="1"/>
      <c r="TXD228" s="1"/>
      <c r="TXE228" s="1"/>
      <c r="TXF228" s="1"/>
      <c r="TXG228" s="1"/>
      <c r="TXH228" s="1"/>
      <c r="TXI228" s="1"/>
      <c r="TXJ228" s="1"/>
      <c r="TXK228" s="1"/>
      <c r="TXL228" s="1"/>
      <c r="TXM228" s="1"/>
      <c r="TXN228" s="1"/>
      <c r="TXO228" s="1"/>
      <c r="TXP228" s="1"/>
      <c r="TXQ228" s="1"/>
      <c r="TXR228" s="1"/>
      <c r="TXS228" s="1"/>
      <c r="TXT228" s="1"/>
      <c r="TXU228" s="1"/>
      <c r="TXV228" s="1"/>
      <c r="TXW228" s="1"/>
      <c r="TXX228" s="1"/>
      <c r="TXY228" s="1"/>
      <c r="TXZ228" s="1"/>
      <c r="TYA228" s="1"/>
      <c r="TYB228" s="1"/>
      <c r="TYC228" s="1"/>
      <c r="TYD228" s="1"/>
      <c r="TYE228" s="1"/>
      <c r="TYF228" s="1"/>
      <c r="TYG228" s="1"/>
      <c r="TYH228" s="1"/>
      <c r="TYI228" s="1"/>
      <c r="TYJ228" s="1"/>
      <c r="TYK228" s="1"/>
      <c r="TYL228" s="1"/>
      <c r="TYM228" s="1"/>
      <c r="TYN228" s="1"/>
      <c r="TYO228" s="1"/>
      <c r="TYP228" s="1"/>
      <c r="TYQ228" s="1"/>
      <c r="TYR228" s="1"/>
      <c r="TYS228" s="1"/>
      <c r="TYT228" s="1"/>
      <c r="TYU228" s="1"/>
      <c r="TYV228" s="1"/>
      <c r="TYW228" s="1"/>
      <c r="TYX228" s="1"/>
      <c r="TYY228" s="1"/>
      <c r="TYZ228" s="1"/>
      <c r="TZA228" s="1"/>
      <c r="TZB228" s="1"/>
      <c r="TZC228" s="1"/>
      <c r="TZD228" s="1"/>
      <c r="TZE228" s="1"/>
      <c r="TZF228" s="1"/>
      <c r="TZG228" s="1"/>
      <c r="TZH228" s="1"/>
      <c r="TZI228" s="1"/>
      <c r="TZJ228" s="1"/>
      <c r="TZK228" s="1"/>
      <c r="TZL228" s="1"/>
      <c r="TZM228" s="1"/>
      <c r="TZN228" s="1"/>
      <c r="TZO228" s="1"/>
      <c r="TZP228" s="1"/>
      <c r="TZQ228" s="1"/>
      <c r="TZR228" s="1"/>
      <c r="TZS228" s="1"/>
      <c r="TZT228" s="1"/>
      <c r="TZU228" s="1"/>
      <c r="TZV228" s="1"/>
      <c r="TZW228" s="1"/>
      <c r="TZX228" s="1"/>
      <c r="TZY228" s="1"/>
      <c r="TZZ228" s="1"/>
      <c r="UAA228" s="1"/>
      <c r="UAB228" s="1"/>
      <c r="UAC228" s="1"/>
      <c r="UAD228" s="1"/>
      <c r="UAE228" s="1"/>
      <c r="UAF228" s="1"/>
      <c r="UAG228" s="1"/>
      <c r="UAH228" s="1"/>
      <c r="UAI228" s="1"/>
      <c r="UAJ228" s="1"/>
      <c r="UAK228" s="1"/>
      <c r="UAL228" s="1"/>
      <c r="UAM228" s="1"/>
      <c r="UAN228" s="1"/>
      <c r="UAO228" s="1"/>
      <c r="UAP228" s="1"/>
      <c r="UAQ228" s="1"/>
      <c r="UAR228" s="1"/>
      <c r="UAS228" s="1"/>
      <c r="UAT228" s="1"/>
      <c r="UAU228" s="1"/>
      <c r="UAV228" s="1"/>
      <c r="UAW228" s="1"/>
      <c r="UAX228" s="1"/>
      <c r="UAY228" s="1"/>
      <c r="UAZ228" s="1"/>
      <c r="UBA228" s="1"/>
      <c r="UBB228" s="1"/>
      <c r="UBC228" s="1"/>
      <c r="UBD228" s="1"/>
      <c r="UBE228" s="1"/>
      <c r="UBF228" s="1"/>
      <c r="UBG228" s="1"/>
      <c r="UBH228" s="1"/>
      <c r="UBI228" s="1"/>
      <c r="UBJ228" s="1"/>
      <c r="UBK228" s="1"/>
      <c r="UBL228" s="1"/>
      <c r="UBM228" s="1"/>
      <c r="UBN228" s="1"/>
      <c r="UBO228" s="1"/>
      <c r="UBP228" s="1"/>
      <c r="UBQ228" s="1"/>
      <c r="UBR228" s="1"/>
      <c r="UBS228" s="1"/>
      <c r="UBT228" s="1"/>
      <c r="UBU228" s="1"/>
      <c r="UBV228" s="1"/>
      <c r="UBW228" s="1"/>
      <c r="UBX228" s="1"/>
      <c r="UBY228" s="1"/>
      <c r="UBZ228" s="1"/>
      <c r="UCA228" s="1"/>
      <c r="UCB228" s="1"/>
      <c r="UCC228" s="1"/>
      <c r="UCD228" s="1"/>
      <c r="UCE228" s="1"/>
      <c r="UCF228" s="1"/>
      <c r="UCG228" s="1"/>
      <c r="UCH228" s="1"/>
      <c r="UCI228" s="1"/>
      <c r="UCJ228" s="1"/>
      <c r="UCK228" s="1"/>
      <c r="UCL228" s="1"/>
      <c r="UCM228" s="1"/>
      <c r="UCN228" s="1"/>
      <c r="UCO228" s="1"/>
      <c r="UCP228" s="1"/>
      <c r="UCQ228" s="1"/>
      <c r="UCR228" s="1"/>
      <c r="UCS228" s="1"/>
      <c r="UCT228" s="1"/>
      <c r="UCU228" s="1"/>
      <c r="UCV228" s="1"/>
      <c r="UCW228" s="1"/>
      <c r="UCX228" s="1"/>
      <c r="UCY228" s="1"/>
      <c r="UCZ228" s="1"/>
      <c r="UDA228" s="1"/>
      <c r="UDB228" s="1"/>
      <c r="UDC228" s="1"/>
      <c r="UDD228" s="1"/>
      <c r="UDE228" s="1"/>
      <c r="UDF228" s="1"/>
      <c r="UDG228" s="1"/>
      <c r="UDH228" s="1"/>
      <c r="UDI228" s="1"/>
      <c r="UDJ228" s="1"/>
      <c r="UDK228" s="1"/>
      <c r="UDL228" s="1"/>
      <c r="UDM228" s="1"/>
      <c r="UDN228" s="1"/>
      <c r="UDO228" s="1"/>
      <c r="UDP228" s="1"/>
      <c r="UDQ228" s="1"/>
      <c r="UDR228" s="1"/>
      <c r="UDS228" s="1"/>
      <c r="UDT228" s="1"/>
      <c r="UDU228" s="1"/>
      <c r="UDV228" s="1"/>
      <c r="UDW228" s="1"/>
      <c r="UDX228" s="1"/>
      <c r="UDY228" s="1"/>
      <c r="UDZ228" s="1"/>
      <c r="UEA228" s="1"/>
      <c r="UEB228" s="1"/>
      <c r="UEC228" s="1"/>
      <c r="UED228" s="1"/>
      <c r="UEE228" s="1"/>
      <c r="UEF228" s="1"/>
      <c r="UEG228" s="1"/>
      <c r="UEH228" s="1"/>
      <c r="UEI228" s="1"/>
      <c r="UEJ228" s="1"/>
      <c r="UEK228" s="1"/>
      <c r="UEL228" s="1"/>
      <c r="UEM228" s="1"/>
      <c r="UEN228" s="1"/>
      <c r="UEO228" s="1"/>
      <c r="UEP228" s="1"/>
      <c r="UEQ228" s="1"/>
      <c r="UER228" s="1"/>
      <c r="UES228" s="1"/>
      <c r="UET228" s="1"/>
      <c r="UEU228" s="1"/>
      <c r="UEV228" s="1"/>
      <c r="UEW228" s="1"/>
      <c r="UEX228" s="1"/>
      <c r="UEY228" s="1"/>
      <c r="UEZ228" s="1"/>
      <c r="UFA228" s="1"/>
      <c r="UFB228" s="1"/>
      <c r="UFC228" s="1"/>
      <c r="UFD228" s="1"/>
      <c r="UFE228" s="1"/>
      <c r="UFF228" s="1"/>
      <c r="UFG228" s="1"/>
      <c r="UFH228" s="1"/>
      <c r="UFI228" s="1"/>
      <c r="UFJ228" s="1"/>
      <c r="UFK228" s="1"/>
      <c r="UFL228" s="1"/>
      <c r="UFM228" s="1"/>
      <c r="UFN228" s="1"/>
      <c r="UFO228" s="1"/>
      <c r="UFP228" s="1"/>
      <c r="UFQ228" s="1"/>
      <c r="UFR228" s="1"/>
      <c r="UFS228" s="1"/>
      <c r="UFT228" s="1"/>
      <c r="UFU228" s="1"/>
      <c r="UFV228" s="1"/>
      <c r="UFW228" s="1"/>
      <c r="UFX228" s="1"/>
      <c r="UFY228" s="1"/>
      <c r="UFZ228" s="1"/>
      <c r="UGA228" s="1"/>
      <c r="UGB228" s="1"/>
      <c r="UGC228" s="1"/>
      <c r="UGD228" s="1"/>
      <c r="UGE228" s="1"/>
      <c r="UGF228" s="1"/>
      <c r="UGG228" s="1"/>
      <c r="UGH228" s="1"/>
      <c r="UGI228" s="1"/>
      <c r="UGJ228" s="1"/>
      <c r="UGK228" s="1"/>
      <c r="UGL228" s="1"/>
      <c r="UGM228" s="1"/>
      <c r="UGN228" s="1"/>
      <c r="UGO228" s="1"/>
      <c r="UGP228" s="1"/>
      <c r="UGQ228" s="1"/>
      <c r="UGR228" s="1"/>
      <c r="UGS228" s="1"/>
      <c r="UGT228" s="1"/>
      <c r="UGU228" s="1"/>
      <c r="UGV228" s="1"/>
      <c r="UGW228" s="1"/>
      <c r="UGX228" s="1"/>
      <c r="UGY228" s="1"/>
      <c r="UGZ228" s="1"/>
      <c r="UHA228" s="1"/>
      <c r="UHB228" s="1"/>
      <c r="UHC228" s="1"/>
      <c r="UHD228" s="1"/>
      <c r="UHE228" s="1"/>
      <c r="UHF228" s="1"/>
      <c r="UHG228" s="1"/>
      <c r="UHH228" s="1"/>
      <c r="UHI228" s="1"/>
      <c r="UHJ228" s="1"/>
      <c r="UHK228" s="1"/>
      <c r="UHL228" s="1"/>
      <c r="UHM228" s="1"/>
      <c r="UHN228" s="1"/>
      <c r="UHO228" s="1"/>
      <c r="UHP228" s="1"/>
      <c r="UHQ228" s="1"/>
      <c r="UHR228" s="1"/>
      <c r="UHS228" s="1"/>
      <c r="UHT228" s="1"/>
      <c r="UHU228" s="1"/>
      <c r="UHV228" s="1"/>
      <c r="UHW228" s="1"/>
      <c r="UHX228" s="1"/>
      <c r="UHY228" s="1"/>
      <c r="UHZ228" s="1"/>
      <c r="UIA228" s="1"/>
      <c r="UIB228" s="1"/>
      <c r="UIC228" s="1"/>
      <c r="UID228" s="1"/>
      <c r="UIE228" s="1"/>
      <c r="UIF228" s="1"/>
      <c r="UIG228" s="1"/>
      <c r="UIH228" s="1"/>
      <c r="UII228" s="1"/>
      <c r="UIJ228" s="1"/>
      <c r="UIK228" s="1"/>
      <c r="UIL228" s="1"/>
      <c r="UIM228" s="1"/>
      <c r="UIN228" s="1"/>
      <c r="UIO228" s="1"/>
      <c r="UIP228" s="1"/>
      <c r="UIQ228" s="1"/>
      <c r="UIR228" s="1"/>
      <c r="UIS228" s="1"/>
      <c r="UIT228" s="1"/>
      <c r="UIU228" s="1"/>
      <c r="UIV228" s="1"/>
      <c r="UIW228" s="1"/>
      <c r="UIX228" s="1"/>
      <c r="UIY228" s="1"/>
      <c r="UIZ228" s="1"/>
      <c r="UJA228" s="1"/>
      <c r="UJB228" s="1"/>
      <c r="UJC228" s="1"/>
      <c r="UJD228" s="1"/>
      <c r="UJE228" s="1"/>
      <c r="UJF228" s="1"/>
      <c r="UJG228" s="1"/>
      <c r="UJH228" s="1"/>
      <c r="UJI228" s="1"/>
      <c r="UJJ228" s="1"/>
      <c r="UJK228" s="1"/>
      <c r="UJL228" s="1"/>
      <c r="UJM228" s="1"/>
      <c r="UJN228" s="1"/>
      <c r="UJO228" s="1"/>
      <c r="UJP228" s="1"/>
      <c r="UJQ228" s="1"/>
      <c r="UJR228" s="1"/>
      <c r="UJS228" s="1"/>
      <c r="UJT228" s="1"/>
      <c r="UJU228" s="1"/>
      <c r="UJV228" s="1"/>
      <c r="UJW228" s="1"/>
      <c r="UJX228" s="1"/>
      <c r="UJY228" s="1"/>
      <c r="UJZ228" s="1"/>
      <c r="UKA228" s="1"/>
      <c r="UKB228" s="1"/>
      <c r="UKC228" s="1"/>
      <c r="UKD228" s="1"/>
      <c r="UKE228" s="1"/>
      <c r="UKF228" s="1"/>
      <c r="UKG228" s="1"/>
      <c r="UKH228" s="1"/>
      <c r="UKI228" s="1"/>
      <c r="UKJ228" s="1"/>
      <c r="UKK228" s="1"/>
      <c r="UKL228" s="1"/>
      <c r="UKM228" s="1"/>
      <c r="UKN228" s="1"/>
      <c r="UKO228" s="1"/>
      <c r="UKP228" s="1"/>
      <c r="UKQ228" s="1"/>
      <c r="UKR228" s="1"/>
      <c r="UKS228" s="1"/>
      <c r="UKT228" s="1"/>
      <c r="UKU228" s="1"/>
      <c r="UKV228" s="1"/>
      <c r="UKW228" s="1"/>
      <c r="UKX228" s="1"/>
      <c r="UKY228" s="1"/>
      <c r="UKZ228" s="1"/>
      <c r="ULA228" s="1"/>
      <c r="ULB228" s="1"/>
      <c r="ULC228" s="1"/>
      <c r="ULD228" s="1"/>
      <c r="ULE228" s="1"/>
      <c r="ULF228" s="1"/>
      <c r="ULG228" s="1"/>
      <c r="ULH228" s="1"/>
      <c r="ULI228" s="1"/>
      <c r="ULJ228" s="1"/>
      <c r="ULK228" s="1"/>
      <c r="ULL228" s="1"/>
      <c r="ULM228" s="1"/>
      <c r="ULN228" s="1"/>
      <c r="ULO228" s="1"/>
      <c r="ULP228" s="1"/>
      <c r="ULQ228" s="1"/>
      <c r="ULR228" s="1"/>
      <c r="ULS228" s="1"/>
      <c r="ULT228" s="1"/>
      <c r="ULU228" s="1"/>
      <c r="ULV228" s="1"/>
      <c r="ULW228" s="1"/>
      <c r="ULX228" s="1"/>
      <c r="ULY228" s="1"/>
      <c r="ULZ228" s="1"/>
      <c r="UMA228" s="1"/>
      <c r="UMB228" s="1"/>
      <c r="UMC228" s="1"/>
      <c r="UMD228" s="1"/>
      <c r="UME228" s="1"/>
      <c r="UMF228" s="1"/>
      <c r="UMG228" s="1"/>
      <c r="UMH228" s="1"/>
      <c r="UMI228" s="1"/>
      <c r="UMJ228" s="1"/>
      <c r="UMK228" s="1"/>
      <c r="UML228" s="1"/>
      <c r="UMM228" s="1"/>
      <c r="UMN228" s="1"/>
      <c r="UMO228" s="1"/>
      <c r="UMP228" s="1"/>
      <c r="UMQ228" s="1"/>
      <c r="UMR228" s="1"/>
      <c r="UMS228" s="1"/>
      <c r="UMT228" s="1"/>
      <c r="UMU228" s="1"/>
      <c r="UMV228" s="1"/>
      <c r="UMW228" s="1"/>
      <c r="UMX228" s="1"/>
      <c r="UMY228" s="1"/>
      <c r="UMZ228" s="1"/>
      <c r="UNA228" s="1"/>
      <c r="UNB228" s="1"/>
      <c r="UNC228" s="1"/>
      <c r="UND228" s="1"/>
      <c r="UNE228" s="1"/>
      <c r="UNF228" s="1"/>
      <c r="UNG228" s="1"/>
      <c r="UNH228" s="1"/>
      <c r="UNI228" s="1"/>
      <c r="UNJ228" s="1"/>
      <c r="UNK228" s="1"/>
      <c r="UNL228" s="1"/>
      <c r="UNM228" s="1"/>
      <c r="UNN228" s="1"/>
      <c r="UNO228" s="1"/>
      <c r="UNP228" s="1"/>
      <c r="UNQ228" s="1"/>
      <c r="UNR228" s="1"/>
      <c r="UNS228" s="1"/>
      <c r="UNT228" s="1"/>
      <c r="UNU228" s="1"/>
      <c r="UNV228" s="1"/>
      <c r="UNW228" s="1"/>
      <c r="UNX228" s="1"/>
      <c r="UNY228" s="1"/>
      <c r="UNZ228" s="1"/>
      <c r="UOA228" s="1"/>
      <c r="UOB228" s="1"/>
      <c r="UOC228" s="1"/>
      <c r="UOD228" s="1"/>
      <c r="UOE228" s="1"/>
      <c r="UOF228" s="1"/>
      <c r="UOG228" s="1"/>
      <c r="UOH228" s="1"/>
      <c r="UOI228" s="1"/>
      <c r="UOJ228" s="1"/>
      <c r="UOK228" s="1"/>
      <c r="UOL228" s="1"/>
      <c r="UOM228" s="1"/>
      <c r="UON228" s="1"/>
      <c r="UOO228" s="1"/>
      <c r="UOP228" s="1"/>
      <c r="UOQ228" s="1"/>
      <c r="UOR228" s="1"/>
      <c r="UOS228" s="1"/>
      <c r="UOT228" s="1"/>
      <c r="UOU228" s="1"/>
      <c r="UOV228" s="1"/>
      <c r="UOW228" s="1"/>
      <c r="UOX228" s="1"/>
      <c r="UOY228" s="1"/>
      <c r="UOZ228" s="1"/>
      <c r="UPA228" s="1"/>
      <c r="UPB228" s="1"/>
      <c r="UPC228" s="1"/>
      <c r="UPD228" s="1"/>
      <c r="UPE228" s="1"/>
      <c r="UPF228" s="1"/>
      <c r="UPG228" s="1"/>
      <c r="UPH228" s="1"/>
      <c r="UPI228" s="1"/>
      <c r="UPJ228" s="1"/>
      <c r="UPK228" s="1"/>
      <c r="UPL228" s="1"/>
      <c r="UPM228" s="1"/>
      <c r="UPN228" s="1"/>
      <c r="UPO228" s="1"/>
      <c r="UPP228" s="1"/>
      <c r="UPQ228" s="1"/>
      <c r="UPR228" s="1"/>
      <c r="UPS228" s="1"/>
      <c r="UPT228" s="1"/>
      <c r="UPU228" s="1"/>
      <c r="UPV228" s="1"/>
      <c r="UPW228" s="1"/>
      <c r="UPX228" s="1"/>
      <c r="UPY228" s="1"/>
      <c r="UPZ228" s="1"/>
      <c r="UQA228" s="1"/>
      <c r="UQB228" s="1"/>
      <c r="UQC228" s="1"/>
      <c r="UQD228" s="1"/>
      <c r="UQE228" s="1"/>
      <c r="UQF228" s="1"/>
      <c r="UQG228" s="1"/>
      <c r="UQH228" s="1"/>
      <c r="UQI228" s="1"/>
      <c r="UQJ228" s="1"/>
      <c r="UQK228" s="1"/>
      <c r="UQL228" s="1"/>
      <c r="UQM228" s="1"/>
      <c r="UQN228" s="1"/>
      <c r="UQO228" s="1"/>
      <c r="UQP228" s="1"/>
      <c r="UQQ228" s="1"/>
      <c r="UQR228" s="1"/>
      <c r="UQS228" s="1"/>
      <c r="UQT228" s="1"/>
      <c r="UQU228" s="1"/>
      <c r="UQV228" s="1"/>
      <c r="UQW228" s="1"/>
      <c r="UQX228" s="1"/>
      <c r="UQY228" s="1"/>
      <c r="UQZ228" s="1"/>
      <c r="URA228" s="1"/>
      <c r="URB228" s="1"/>
      <c r="URC228" s="1"/>
      <c r="URD228" s="1"/>
      <c r="URE228" s="1"/>
      <c r="URF228" s="1"/>
      <c r="URG228" s="1"/>
      <c r="URH228" s="1"/>
      <c r="URI228" s="1"/>
      <c r="URJ228" s="1"/>
      <c r="URK228" s="1"/>
      <c r="URL228" s="1"/>
      <c r="URM228" s="1"/>
      <c r="URN228" s="1"/>
      <c r="URO228" s="1"/>
      <c r="URP228" s="1"/>
      <c r="URQ228" s="1"/>
      <c r="URR228" s="1"/>
      <c r="URS228" s="1"/>
      <c r="URT228" s="1"/>
      <c r="URU228" s="1"/>
      <c r="URV228" s="1"/>
      <c r="URW228" s="1"/>
      <c r="URX228" s="1"/>
      <c r="URY228" s="1"/>
      <c r="URZ228" s="1"/>
      <c r="USA228" s="1"/>
      <c r="USB228" s="1"/>
      <c r="USC228" s="1"/>
      <c r="USD228" s="1"/>
      <c r="USE228" s="1"/>
      <c r="USF228" s="1"/>
      <c r="USG228" s="1"/>
      <c r="USH228" s="1"/>
      <c r="USI228" s="1"/>
      <c r="USJ228" s="1"/>
      <c r="USK228" s="1"/>
      <c r="USL228" s="1"/>
      <c r="USM228" s="1"/>
      <c r="USN228" s="1"/>
      <c r="USO228" s="1"/>
      <c r="USP228" s="1"/>
      <c r="USQ228" s="1"/>
      <c r="USR228" s="1"/>
      <c r="USS228" s="1"/>
      <c r="UST228" s="1"/>
      <c r="USU228" s="1"/>
      <c r="USV228" s="1"/>
      <c r="USW228" s="1"/>
      <c r="USX228" s="1"/>
      <c r="USY228" s="1"/>
      <c r="USZ228" s="1"/>
      <c r="UTA228" s="1"/>
      <c r="UTB228" s="1"/>
      <c r="UTC228" s="1"/>
      <c r="UTD228" s="1"/>
      <c r="UTE228" s="1"/>
      <c r="UTF228" s="1"/>
      <c r="UTG228" s="1"/>
      <c r="UTH228" s="1"/>
      <c r="UTI228" s="1"/>
      <c r="UTJ228" s="1"/>
      <c r="UTK228" s="1"/>
      <c r="UTL228" s="1"/>
      <c r="UTM228" s="1"/>
      <c r="UTN228" s="1"/>
      <c r="UTO228" s="1"/>
      <c r="UTP228" s="1"/>
      <c r="UTQ228" s="1"/>
      <c r="UTR228" s="1"/>
      <c r="UTS228" s="1"/>
      <c r="UTT228" s="1"/>
      <c r="UTU228" s="1"/>
      <c r="UTV228" s="1"/>
      <c r="UTW228" s="1"/>
      <c r="UTX228" s="1"/>
      <c r="UTY228" s="1"/>
      <c r="UTZ228" s="1"/>
      <c r="UUA228" s="1"/>
      <c r="UUB228" s="1"/>
      <c r="UUC228" s="1"/>
      <c r="UUD228" s="1"/>
      <c r="UUE228" s="1"/>
      <c r="UUF228" s="1"/>
      <c r="UUG228" s="1"/>
      <c r="UUH228" s="1"/>
      <c r="UUI228" s="1"/>
      <c r="UUJ228" s="1"/>
      <c r="UUK228" s="1"/>
      <c r="UUL228" s="1"/>
      <c r="UUM228" s="1"/>
      <c r="UUN228" s="1"/>
      <c r="UUO228" s="1"/>
      <c r="UUP228" s="1"/>
      <c r="UUQ228" s="1"/>
      <c r="UUR228" s="1"/>
      <c r="UUS228" s="1"/>
      <c r="UUT228" s="1"/>
      <c r="UUU228" s="1"/>
      <c r="UUV228" s="1"/>
      <c r="UUW228" s="1"/>
      <c r="UUX228" s="1"/>
      <c r="UUY228" s="1"/>
      <c r="UUZ228" s="1"/>
      <c r="UVA228" s="1"/>
      <c r="UVB228" s="1"/>
      <c r="UVC228" s="1"/>
      <c r="UVD228" s="1"/>
      <c r="UVE228" s="1"/>
      <c r="UVF228" s="1"/>
      <c r="UVG228" s="1"/>
      <c r="UVH228" s="1"/>
      <c r="UVI228" s="1"/>
      <c r="UVJ228" s="1"/>
      <c r="UVK228" s="1"/>
      <c r="UVL228" s="1"/>
      <c r="UVM228" s="1"/>
      <c r="UVN228" s="1"/>
      <c r="UVO228" s="1"/>
      <c r="UVP228" s="1"/>
      <c r="UVQ228" s="1"/>
      <c r="UVR228" s="1"/>
      <c r="UVS228" s="1"/>
      <c r="UVT228" s="1"/>
      <c r="UVU228" s="1"/>
      <c r="UVV228" s="1"/>
      <c r="UVW228" s="1"/>
      <c r="UVX228" s="1"/>
      <c r="UVY228" s="1"/>
      <c r="UVZ228" s="1"/>
      <c r="UWA228" s="1"/>
      <c r="UWB228" s="1"/>
      <c r="UWC228" s="1"/>
      <c r="UWD228" s="1"/>
      <c r="UWE228" s="1"/>
      <c r="UWF228" s="1"/>
      <c r="UWG228" s="1"/>
      <c r="UWH228" s="1"/>
      <c r="UWI228" s="1"/>
      <c r="UWJ228" s="1"/>
      <c r="UWK228" s="1"/>
      <c r="UWL228" s="1"/>
      <c r="UWM228" s="1"/>
      <c r="UWN228" s="1"/>
      <c r="UWO228" s="1"/>
      <c r="UWP228" s="1"/>
      <c r="UWQ228" s="1"/>
      <c r="UWR228" s="1"/>
      <c r="UWS228" s="1"/>
      <c r="UWT228" s="1"/>
      <c r="UWU228" s="1"/>
      <c r="UWV228" s="1"/>
      <c r="UWW228" s="1"/>
      <c r="UWX228" s="1"/>
      <c r="UWY228" s="1"/>
      <c r="UWZ228" s="1"/>
      <c r="UXA228" s="1"/>
      <c r="UXB228" s="1"/>
      <c r="UXC228" s="1"/>
      <c r="UXD228" s="1"/>
      <c r="UXE228" s="1"/>
      <c r="UXF228" s="1"/>
      <c r="UXG228" s="1"/>
      <c r="UXH228" s="1"/>
      <c r="UXI228" s="1"/>
      <c r="UXJ228" s="1"/>
      <c r="UXK228" s="1"/>
      <c r="UXL228" s="1"/>
      <c r="UXM228" s="1"/>
      <c r="UXN228" s="1"/>
      <c r="UXO228" s="1"/>
      <c r="UXP228" s="1"/>
      <c r="UXQ228" s="1"/>
      <c r="UXR228" s="1"/>
      <c r="UXS228" s="1"/>
      <c r="UXT228" s="1"/>
      <c r="UXU228" s="1"/>
      <c r="UXV228" s="1"/>
      <c r="UXW228" s="1"/>
      <c r="UXX228" s="1"/>
      <c r="UXY228" s="1"/>
      <c r="UXZ228" s="1"/>
      <c r="UYA228" s="1"/>
      <c r="UYB228" s="1"/>
      <c r="UYC228" s="1"/>
      <c r="UYD228" s="1"/>
      <c r="UYE228" s="1"/>
      <c r="UYF228" s="1"/>
      <c r="UYG228" s="1"/>
      <c r="UYH228" s="1"/>
      <c r="UYI228" s="1"/>
      <c r="UYJ228" s="1"/>
      <c r="UYK228" s="1"/>
      <c r="UYL228" s="1"/>
      <c r="UYM228" s="1"/>
      <c r="UYN228" s="1"/>
      <c r="UYO228" s="1"/>
      <c r="UYP228" s="1"/>
      <c r="UYQ228" s="1"/>
      <c r="UYR228" s="1"/>
      <c r="UYS228" s="1"/>
      <c r="UYT228" s="1"/>
      <c r="UYU228" s="1"/>
      <c r="UYV228" s="1"/>
      <c r="UYW228" s="1"/>
      <c r="UYX228" s="1"/>
      <c r="UYY228" s="1"/>
      <c r="UYZ228" s="1"/>
      <c r="UZA228" s="1"/>
      <c r="UZB228" s="1"/>
      <c r="UZC228" s="1"/>
      <c r="UZD228" s="1"/>
      <c r="UZE228" s="1"/>
      <c r="UZF228" s="1"/>
      <c r="UZG228" s="1"/>
      <c r="UZH228" s="1"/>
      <c r="UZI228" s="1"/>
      <c r="UZJ228" s="1"/>
      <c r="UZK228" s="1"/>
      <c r="UZL228" s="1"/>
      <c r="UZM228" s="1"/>
      <c r="UZN228" s="1"/>
      <c r="UZO228" s="1"/>
      <c r="UZP228" s="1"/>
      <c r="UZQ228" s="1"/>
      <c r="UZR228" s="1"/>
      <c r="UZS228" s="1"/>
      <c r="UZT228" s="1"/>
      <c r="UZU228" s="1"/>
      <c r="UZV228" s="1"/>
      <c r="UZW228" s="1"/>
      <c r="UZX228" s="1"/>
      <c r="UZY228" s="1"/>
      <c r="UZZ228" s="1"/>
      <c r="VAA228" s="1"/>
      <c r="VAB228" s="1"/>
      <c r="VAC228" s="1"/>
      <c r="VAD228" s="1"/>
      <c r="VAE228" s="1"/>
      <c r="VAF228" s="1"/>
      <c r="VAG228" s="1"/>
      <c r="VAH228" s="1"/>
      <c r="VAI228" s="1"/>
      <c r="VAJ228" s="1"/>
      <c r="VAK228" s="1"/>
      <c r="VAL228" s="1"/>
      <c r="VAM228" s="1"/>
      <c r="VAN228" s="1"/>
      <c r="VAO228" s="1"/>
      <c r="VAP228" s="1"/>
      <c r="VAQ228" s="1"/>
      <c r="VAR228" s="1"/>
      <c r="VAS228" s="1"/>
      <c r="VAT228" s="1"/>
      <c r="VAU228" s="1"/>
      <c r="VAV228" s="1"/>
      <c r="VAW228" s="1"/>
      <c r="VAX228" s="1"/>
      <c r="VAY228" s="1"/>
      <c r="VAZ228" s="1"/>
      <c r="VBA228" s="1"/>
      <c r="VBB228" s="1"/>
      <c r="VBC228" s="1"/>
      <c r="VBD228" s="1"/>
      <c r="VBE228" s="1"/>
      <c r="VBF228" s="1"/>
      <c r="VBG228" s="1"/>
      <c r="VBH228" s="1"/>
      <c r="VBI228" s="1"/>
      <c r="VBJ228" s="1"/>
      <c r="VBK228" s="1"/>
      <c r="VBL228" s="1"/>
      <c r="VBM228" s="1"/>
      <c r="VBN228" s="1"/>
      <c r="VBO228" s="1"/>
      <c r="VBP228" s="1"/>
      <c r="VBQ228" s="1"/>
      <c r="VBR228" s="1"/>
      <c r="VBS228" s="1"/>
      <c r="VBT228" s="1"/>
      <c r="VBU228" s="1"/>
      <c r="VBV228" s="1"/>
      <c r="VBW228" s="1"/>
      <c r="VBX228" s="1"/>
      <c r="VBY228" s="1"/>
      <c r="VBZ228" s="1"/>
      <c r="VCA228" s="1"/>
      <c r="VCB228" s="1"/>
      <c r="VCC228" s="1"/>
      <c r="VCD228" s="1"/>
      <c r="VCE228" s="1"/>
      <c r="VCF228" s="1"/>
      <c r="VCG228" s="1"/>
      <c r="VCH228" s="1"/>
      <c r="VCI228" s="1"/>
      <c r="VCJ228" s="1"/>
      <c r="VCK228" s="1"/>
      <c r="VCL228" s="1"/>
      <c r="VCM228" s="1"/>
      <c r="VCN228" s="1"/>
      <c r="VCO228" s="1"/>
      <c r="VCP228" s="1"/>
      <c r="VCQ228" s="1"/>
      <c r="VCR228" s="1"/>
      <c r="VCS228" s="1"/>
      <c r="VCT228" s="1"/>
      <c r="VCU228" s="1"/>
      <c r="VCV228" s="1"/>
      <c r="VCW228" s="1"/>
    </row>
    <row r="229" spans="5:14973" s="2" customFormat="1" x14ac:dyDescent="0.3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43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4"/>
      <c r="AO229" s="1"/>
      <c r="AP229" s="1"/>
      <c r="AQ229" s="1"/>
      <c r="AR229" s="1"/>
      <c r="AT229" s="3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  <c r="AMK229" s="1"/>
      <c r="AML229" s="1"/>
      <c r="AMM229" s="1"/>
      <c r="AMN229" s="1"/>
      <c r="AMO229" s="1"/>
      <c r="AMP229" s="1"/>
      <c r="AMQ229" s="1"/>
      <c r="AMR229" s="1"/>
      <c r="AMS229" s="1"/>
      <c r="AMT229" s="1"/>
      <c r="AMU229" s="1"/>
      <c r="AMV229" s="1"/>
      <c r="AMW229" s="1"/>
      <c r="AMX229" s="1"/>
      <c r="AMY229" s="1"/>
      <c r="AMZ229" s="1"/>
      <c r="ANA229" s="1"/>
      <c r="ANB229" s="1"/>
      <c r="ANC229" s="1"/>
      <c r="AND229" s="1"/>
      <c r="ANE229" s="1"/>
      <c r="ANF229" s="1"/>
      <c r="ANG229" s="1"/>
      <c r="ANH229" s="1"/>
      <c r="ANI229" s="1"/>
      <c r="ANJ229" s="1"/>
      <c r="ANK229" s="1"/>
      <c r="ANL229" s="1"/>
      <c r="ANM229" s="1"/>
      <c r="ANN229" s="1"/>
      <c r="ANO229" s="1"/>
      <c r="ANP229" s="1"/>
      <c r="ANQ229" s="1"/>
      <c r="ANR229" s="1"/>
      <c r="ANS229" s="1"/>
      <c r="ANT229" s="1"/>
      <c r="ANU229" s="1"/>
      <c r="ANV229" s="1"/>
      <c r="ANW229" s="1"/>
      <c r="ANX229" s="1"/>
      <c r="ANY229" s="1"/>
      <c r="ANZ229" s="1"/>
      <c r="AOA229" s="1"/>
      <c r="AOB229" s="1"/>
      <c r="AOC229" s="1"/>
      <c r="AOD229" s="1"/>
      <c r="AOE229" s="1"/>
      <c r="AOF229" s="1"/>
      <c r="AOG229" s="1"/>
      <c r="AOH229" s="1"/>
      <c r="AOI229" s="1"/>
      <c r="AOJ229" s="1"/>
      <c r="AOK229" s="1"/>
      <c r="AOL229" s="1"/>
      <c r="AOM229" s="1"/>
      <c r="AON229" s="1"/>
      <c r="AOO229" s="1"/>
      <c r="AOP229" s="1"/>
      <c r="AOQ229" s="1"/>
      <c r="AOR229" s="1"/>
      <c r="AOS229" s="1"/>
      <c r="AOT229" s="1"/>
      <c r="AOU229" s="1"/>
      <c r="AOV229" s="1"/>
      <c r="AOW229" s="1"/>
      <c r="AOX229" s="1"/>
      <c r="AOY229" s="1"/>
      <c r="AOZ229" s="1"/>
      <c r="APA229" s="1"/>
      <c r="APB229" s="1"/>
      <c r="APC229" s="1"/>
      <c r="APD229" s="1"/>
      <c r="APE229" s="1"/>
      <c r="APF229" s="1"/>
      <c r="APG229" s="1"/>
      <c r="APH229" s="1"/>
      <c r="API229" s="1"/>
      <c r="APJ229" s="1"/>
      <c r="APK229" s="1"/>
      <c r="APL229" s="1"/>
      <c r="APM229" s="1"/>
      <c r="APN229" s="1"/>
      <c r="APO229" s="1"/>
      <c r="APP229" s="1"/>
      <c r="APQ229" s="1"/>
      <c r="APR229" s="1"/>
      <c r="APS229" s="1"/>
      <c r="APT229" s="1"/>
      <c r="APU229" s="1"/>
      <c r="APV229" s="1"/>
      <c r="APW229" s="1"/>
      <c r="APX229" s="1"/>
      <c r="APY229" s="1"/>
      <c r="APZ229" s="1"/>
      <c r="AQA229" s="1"/>
      <c r="AQB229" s="1"/>
      <c r="AQC229" s="1"/>
      <c r="AQD229" s="1"/>
      <c r="AQE229" s="1"/>
      <c r="AQF229" s="1"/>
      <c r="AQG229" s="1"/>
      <c r="AQH229" s="1"/>
      <c r="AQI229" s="1"/>
      <c r="AQJ229" s="1"/>
      <c r="AQK229" s="1"/>
      <c r="AQL229" s="1"/>
      <c r="AQM229" s="1"/>
      <c r="AQN229" s="1"/>
      <c r="AQO229" s="1"/>
      <c r="AQP229" s="1"/>
      <c r="AQQ229" s="1"/>
      <c r="AQR229" s="1"/>
      <c r="AQS229" s="1"/>
      <c r="AQT229" s="1"/>
      <c r="AQU229" s="1"/>
      <c r="AQV229" s="1"/>
      <c r="AQW229" s="1"/>
      <c r="AQX229" s="1"/>
      <c r="AQY229" s="1"/>
      <c r="AQZ229" s="1"/>
      <c r="ARA229" s="1"/>
      <c r="ARB229" s="1"/>
      <c r="ARC229" s="1"/>
      <c r="ARD229" s="1"/>
      <c r="ARE229" s="1"/>
      <c r="ARF229" s="1"/>
      <c r="ARG229" s="1"/>
      <c r="ARH229" s="1"/>
      <c r="ARI229" s="1"/>
      <c r="ARJ229" s="1"/>
      <c r="ARK229" s="1"/>
      <c r="ARL229" s="1"/>
      <c r="ARM229" s="1"/>
      <c r="ARN229" s="1"/>
      <c r="ARO229" s="1"/>
      <c r="ARP229" s="1"/>
      <c r="ARQ229" s="1"/>
      <c r="ARR229" s="1"/>
      <c r="ARS229" s="1"/>
      <c r="ART229" s="1"/>
      <c r="ARU229" s="1"/>
      <c r="ARV229" s="1"/>
      <c r="ARW229" s="1"/>
      <c r="ARX229" s="1"/>
      <c r="ARY229" s="1"/>
      <c r="ARZ229" s="1"/>
      <c r="ASA229" s="1"/>
      <c r="ASB229" s="1"/>
      <c r="ASC229" s="1"/>
      <c r="ASD229" s="1"/>
      <c r="ASE229" s="1"/>
      <c r="ASF229" s="1"/>
      <c r="ASG229" s="1"/>
      <c r="ASH229" s="1"/>
      <c r="ASI229" s="1"/>
      <c r="ASJ229" s="1"/>
      <c r="ASK229" s="1"/>
      <c r="ASL229" s="1"/>
      <c r="ASM229" s="1"/>
      <c r="ASN229" s="1"/>
      <c r="ASO229" s="1"/>
      <c r="ASP229" s="1"/>
      <c r="ASQ229" s="1"/>
      <c r="ASR229" s="1"/>
      <c r="ASS229" s="1"/>
      <c r="AST229" s="1"/>
      <c r="ASU229" s="1"/>
      <c r="ASV229" s="1"/>
      <c r="ASW229" s="1"/>
      <c r="ASX229" s="1"/>
      <c r="ASY229" s="1"/>
      <c r="ASZ229" s="1"/>
      <c r="ATA229" s="1"/>
      <c r="ATB229" s="1"/>
      <c r="ATC229" s="1"/>
      <c r="ATD229" s="1"/>
      <c r="ATE229" s="1"/>
      <c r="ATF229" s="1"/>
      <c r="ATG229" s="1"/>
      <c r="ATH229" s="1"/>
      <c r="ATI229" s="1"/>
      <c r="ATJ229" s="1"/>
      <c r="ATK229" s="1"/>
      <c r="ATL229" s="1"/>
      <c r="ATM229" s="1"/>
      <c r="ATN229" s="1"/>
      <c r="ATO229" s="1"/>
      <c r="ATP229" s="1"/>
      <c r="ATQ229" s="1"/>
      <c r="ATR229" s="1"/>
      <c r="ATS229" s="1"/>
      <c r="ATT229" s="1"/>
      <c r="ATU229" s="1"/>
      <c r="ATV229" s="1"/>
      <c r="ATW229" s="1"/>
      <c r="ATX229" s="1"/>
      <c r="ATY229" s="1"/>
      <c r="ATZ229" s="1"/>
      <c r="AUA229" s="1"/>
      <c r="AUB229" s="1"/>
      <c r="AUC229" s="1"/>
      <c r="AUD229" s="1"/>
      <c r="AUE229" s="1"/>
      <c r="AUF229" s="1"/>
      <c r="AUG229" s="1"/>
      <c r="AUH229" s="1"/>
      <c r="AUI229" s="1"/>
      <c r="AUJ229" s="1"/>
      <c r="AUK229" s="1"/>
      <c r="AUL229" s="1"/>
      <c r="AUM229" s="1"/>
      <c r="AUN229" s="1"/>
      <c r="AUO229" s="1"/>
      <c r="AUP229" s="1"/>
      <c r="AUQ229" s="1"/>
      <c r="AUR229" s="1"/>
      <c r="AUS229" s="1"/>
      <c r="AUT229" s="1"/>
      <c r="AUU229" s="1"/>
      <c r="AUV229" s="1"/>
      <c r="AUW229" s="1"/>
      <c r="AUX229" s="1"/>
      <c r="AUY229" s="1"/>
      <c r="AUZ229" s="1"/>
      <c r="AVA229" s="1"/>
      <c r="AVB229" s="1"/>
      <c r="AVC229" s="1"/>
      <c r="AVD229" s="1"/>
      <c r="AVE229" s="1"/>
      <c r="AVF229" s="1"/>
      <c r="AVG229" s="1"/>
      <c r="AVH229" s="1"/>
      <c r="AVI229" s="1"/>
      <c r="AVJ229" s="1"/>
      <c r="AVK229" s="1"/>
      <c r="AVL229" s="1"/>
      <c r="AVM229" s="1"/>
      <c r="AVN229" s="1"/>
      <c r="AVO229" s="1"/>
      <c r="AVP229" s="1"/>
      <c r="AVQ229" s="1"/>
      <c r="AVR229" s="1"/>
      <c r="AVS229" s="1"/>
      <c r="AVT229" s="1"/>
      <c r="AVU229" s="1"/>
      <c r="AVV229" s="1"/>
      <c r="AVW229" s="1"/>
      <c r="AVX229" s="1"/>
      <c r="AVY229" s="1"/>
      <c r="AVZ229" s="1"/>
      <c r="AWA229" s="1"/>
      <c r="AWB229" s="1"/>
      <c r="AWC229" s="1"/>
      <c r="AWD229" s="1"/>
      <c r="AWE229" s="1"/>
      <c r="AWF229" s="1"/>
      <c r="AWG229" s="1"/>
      <c r="AWH229" s="1"/>
      <c r="AWI229" s="1"/>
      <c r="AWJ229" s="1"/>
      <c r="AWK229" s="1"/>
      <c r="AWL229" s="1"/>
      <c r="AWM229" s="1"/>
      <c r="AWN229" s="1"/>
      <c r="AWO229" s="1"/>
      <c r="AWP229" s="1"/>
      <c r="AWQ229" s="1"/>
      <c r="AWR229" s="1"/>
      <c r="AWS229" s="1"/>
      <c r="AWT229" s="1"/>
      <c r="AWU229" s="1"/>
      <c r="AWV229" s="1"/>
      <c r="AWW229" s="1"/>
      <c r="AWX229" s="1"/>
      <c r="AWY229" s="1"/>
      <c r="AWZ229" s="1"/>
      <c r="AXA229" s="1"/>
      <c r="AXB229" s="1"/>
      <c r="AXC229" s="1"/>
      <c r="AXD229" s="1"/>
      <c r="AXE229" s="1"/>
      <c r="AXF229" s="1"/>
      <c r="AXG229" s="1"/>
      <c r="AXH229" s="1"/>
      <c r="AXI229" s="1"/>
      <c r="AXJ229" s="1"/>
      <c r="AXK229" s="1"/>
      <c r="AXL229" s="1"/>
      <c r="AXM229" s="1"/>
      <c r="AXN229" s="1"/>
      <c r="AXO229" s="1"/>
      <c r="AXP229" s="1"/>
      <c r="AXQ229" s="1"/>
      <c r="AXR229" s="1"/>
      <c r="AXS229" s="1"/>
      <c r="AXT229" s="1"/>
      <c r="AXU229" s="1"/>
      <c r="AXV229" s="1"/>
      <c r="AXW229" s="1"/>
      <c r="AXX229" s="1"/>
      <c r="AXY229" s="1"/>
      <c r="AXZ229" s="1"/>
      <c r="AYA229" s="1"/>
      <c r="AYB229" s="1"/>
      <c r="AYC229" s="1"/>
      <c r="AYD229" s="1"/>
      <c r="AYE229" s="1"/>
      <c r="AYF229" s="1"/>
      <c r="AYG229" s="1"/>
      <c r="AYH229" s="1"/>
      <c r="AYI229" s="1"/>
      <c r="AYJ229" s="1"/>
      <c r="AYK229" s="1"/>
      <c r="AYL229" s="1"/>
      <c r="AYM229" s="1"/>
      <c r="AYN229" s="1"/>
      <c r="AYO229" s="1"/>
      <c r="AYP229" s="1"/>
      <c r="AYQ229" s="1"/>
      <c r="AYR229" s="1"/>
      <c r="AYS229" s="1"/>
      <c r="AYT229" s="1"/>
      <c r="AYU229" s="1"/>
      <c r="AYV229" s="1"/>
      <c r="AYW229" s="1"/>
      <c r="AYX229" s="1"/>
      <c r="AYY229" s="1"/>
      <c r="AYZ229" s="1"/>
      <c r="AZA229" s="1"/>
      <c r="AZB229" s="1"/>
      <c r="AZC229" s="1"/>
      <c r="AZD229" s="1"/>
      <c r="AZE229" s="1"/>
      <c r="AZF229" s="1"/>
      <c r="AZG229" s="1"/>
      <c r="AZH229" s="1"/>
      <c r="AZI229" s="1"/>
      <c r="AZJ229" s="1"/>
      <c r="AZK229" s="1"/>
      <c r="AZL229" s="1"/>
      <c r="AZM229" s="1"/>
      <c r="AZN229" s="1"/>
      <c r="AZO229" s="1"/>
      <c r="AZP229" s="1"/>
      <c r="AZQ229" s="1"/>
      <c r="AZR229" s="1"/>
      <c r="AZS229" s="1"/>
      <c r="AZT229" s="1"/>
      <c r="AZU229" s="1"/>
      <c r="AZV229" s="1"/>
      <c r="AZW229" s="1"/>
      <c r="AZX229" s="1"/>
      <c r="AZY229" s="1"/>
      <c r="AZZ229" s="1"/>
      <c r="BAA229" s="1"/>
      <c r="BAB229" s="1"/>
      <c r="BAC229" s="1"/>
      <c r="BAD229" s="1"/>
      <c r="BAE229" s="1"/>
      <c r="BAF229" s="1"/>
      <c r="BAG229" s="1"/>
      <c r="BAH229" s="1"/>
      <c r="BAI229" s="1"/>
      <c r="BAJ229" s="1"/>
      <c r="BAK229" s="1"/>
      <c r="BAL229" s="1"/>
      <c r="BAM229" s="1"/>
      <c r="BAN229" s="1"/>
      <c r="BAO229" s="1"/>
      <c r="BAP229" s="1"/>
      <c r="BAQ229" s="1"/>
      <c r="BAR229" s="1"/>
      <c r="BAS229" s="1"/>
      <c r="BAT229" s="1"/>
      <c r="BAU229" s="1"/>
      <c r="BAV229" s="1"/>
      <c r="BAW229" s="1"/>
      <c r="BAX229" s="1"/>
      <c r="BAY229" s="1"/>
      <c r="BAZ229" s="1"/>
      <c r="BBA229" s="1"/>
      <c r="BBB229" s="1"/>
      <c r="BBC229" s="1"/>
      <c r="BBD229" s="1"/>
      <c r="BBE229" s="1"/>
      <c r="BBF229" s="1"/>
      <c r="BBG229" s="1"/>
      <c r="BBH229" s="1"/>
      <c r="BBI229" s="1"/>
      <c r="BBJ229" s="1"/>
      <c r="BBK229" s="1"/>
      <c r="BBL229" s="1"/>
      <c r="BBM229" s="1"/>
      <c r="BBN229" s="1"/>
      <c r="BBO229" s="1"/>
      <c r="BBP229" s="1"/>
      <c r="BBQ229" s="1"/>
      <c r="BBR229" s="1"/>
      <c r="BBS229" s="1"/>
      <c r="BBT229" s="1"/>
      <c r="BBU229" s="1"/>
      <c r="BBV229" s="1"/>
      <c r="BBW229" s="1"/>
      <c r="BBX229" s="1"/>
      <c r="BBY229" s="1"/>
      <c r="BBZ229" s="1"/>
      <c r="BCA229" s="1"/>
      <c r="BCB229" s="1"/>
      <c r="BCC229" s="1"/>
      <c r="BCD229" s="1"/>
      <c r="BCE229" s="1"/>
      <c r="BCF229" s="1"/>
      <c r="BCG229" s="1"/>
      <c r="BCH229" s="1"/>
      <c r="BCI229" s="1"/>
      <c r="BCJ229" s="1"/>
      <c r="BCK229" s="1"/>
      <c r="BCL229" s="1"/>
      <c r="BCM229" s="1"/>
      <c r="BCN229" s="1"/>
      <c r="BCO229" s="1"/>
      <c r="BCP229" s="1"/>
      <c r="BCQ229" s="1"/>
      <c r="BCR229" s="1"/>
      <c r="BCS229" s="1"/>
      <c r="BCT229" s="1"/>
      <c r="BCU229" s="1"/>
      <c r="BCV229" s="1"/>
      <c r="BCW229" s="1"/>
      <c r="BCX229" s="1"/>
      <c r="BCY229" s="1"/>
      <c r="BCZ229" s="1"/>
      <c r="BDA229" s="1"/>
      <c r="BDB229" s="1"/>
      <c r="BDC229" s="1"/>
      <c r="BDD229" s="1"/>
      <c r="BDE229" s="1"/>
      <c r="BDF229" s="1"/>
      <c r="BDG229" s="1"/>
      <c r="BDH229" s="1"/>
      <c r="BDI229" s="1"/>
      <c r="BDJ229" s="1"/>
      <c r="BDK229" s="1"/>
      <c r="BDL229" s="1"/>
      <c r="BDM229" s="1"/>
      <c r="BDN229" s="1"/>
      <c r="BDO229" s="1"/>
      <c r="BDP229" s="1"/>
      <c r="BDQ229" s="1"/>
      <c r="BDR229" s="1"/>
      <c r="BDS229" s="1"/>
      <c r="BDT229" s="1"/>
      <c r="BDU229" s="1"/>
      <c r="BDV229" s="1"/>
      <c r="BDW229" s="1"/>
      <c r="BDX229" s="1"/>
      <c r="BDY229" s="1"/>
      <c r="BDZ229" s="1"/>
      <c r="BEA229" s="1"/>
      <c r="BEB229" s="1"/>
      <c r="BEC229" s="1"/>
      <c r="BED229" s="1"/>
      <c r="BEE229" s="1"/>
      <c r="BEF229" s="1"/>
      <c r="BEG229" s="1"/>
      <c r="BEH229" s="1"/>
      <c r="BEI229" s="1"/>
      <c r="BEJ229" s="1"/>
      <c r="BEK229" s="1"/>
      <c r="BEL229" s="1"/>
      <c r="BEM229" s="1"/>
      <c r="BEN229" s="1"/>
      <c r="BEO229" s="1"/>
      <c r="BEP229" s="1"/>
      <c r="BEQ229" s="1"/>
      <c r="BER229" s="1"/>
      <c r="BES229" s="1"/>
      <c r="BET229" s="1"/>
      <c r="BEU229" s="1"/>
      <c r="BEV229" s="1"/>
      <c r="BEW229" s="1"/>
      <c r="BEX229" s="1"/>
      <c r="BEY229" s="1"/>
      <c r="BEZ229" s="1"/>
      <c r="BFA229" s="1"/>
      <c r="BFB229" s="1"/>
      <c r="BFC229" s="1"/>
      <c r="BFD229" s="1"/>
      <c r="BFE229" s="1"/>
      <c r="BFF229" s="1"/>
      <c r="BFG229" s="1"/>
      <c r="BFH229" s="1"/>
      <c r="BFI229" s="1"/>
      <c r="BFJ229" s="1"/>
      <c r="BFK229" s="1"/>
      <c r="BFL229" s="1"/>
      <c r="BFM229" s="1"/>
      <c r="BFN229" s="1"/>
      <c r="BFO229" s="1"/>
      <c r="BFP229" s="1"/>
      <c r="BFQ229" s="1"/>
      <c r="BFR229" s="1"/>
      <c r="BFS229" s="1"/>
      <c r="BFT229" s="1"/>
      <c r="BFU229" s="1"/>
      <c r="BFV229" s="1"/>
      <c r="BFW229" s="1"/>
      <c r="BFX229" s="1"/>
      <c r="BFY229" s="1"/>
      <c r="BFZ229" s="1"/>
      <c r="BGA229" s="1"/>
      <c r="BGB229" s="1"/>
      <c r="BGC229" s="1"/>
      <c r="BGD229" s="1"/>
      <c r="BGE229" s="1"/>
      <c r="BGF229" s="1"/>
      <c r="BGG229" s="1"/>
      <c r="BGH229" s="1"/>
      <c r="BGI229" s="1"/>
      <c r="BGJ229" s="1"/>
      <c r="BGK229" s="1"/>
      <c r="BGL229" s="1"/>
      <c r="BGM229" s="1"/>
      <c r="BGN229" s="1"/>
      <c r="BGO229" s="1"/>
      <c r="BGP229" s="1"/>
      <c r="BGQ229" s="1"/>
      <c r="BGR229" s="1"/>
      <c r="BGS229" s="1"/>
      <c r="BGT229" s="1"/>
      <c r="BGU229" s="1"/>
      <c r="BGV229" s="1"/>
      <c r="BGW229" s="1"/>
      <c r="BGX229" s="1"/>
      <c r="BGY229" s="1"/>
      <c r="BGZ229" s="1"/>
      <c r="BHA229" s="1"/>
      <c r="BHB229" s="1"/>
      <c r="BHC229" s="1"/>
      <c r="BHD229" s="1"/>
      <c r="BHE229" s="1"/>
      <c r="BHF229" s="1"/>
      <c r="BHG229" s="1"/>
      <c r="BHH229" s="1"/>
      <c r="BHI229" s="1"/>
      <c r="BHJ229" s="1"/>
      <c r="BHK229" s="1"/>
      <c r="BHL229" s="1"/>
      <c r="BHM229" s="1"/>
      <c r="BHN229" s="1"/>
      <c r="BHO229" s="1"/>
      <c r="BHP229" s="1"/>
      <c r="BHQ229" s="1"/>
      <c r="BHR229" s="1"/>
      <c r="BHS229" s="1"/>
      <c r="BHT229" s="1"/>
      <c r="BHU229" s="1"/>
      <c r="BHV229" s="1"/>
      <c r="BHW229" s="1"/>
      <c r="BHX229" s="1"/>
      <c r="BHY229" s="1"/>
      <c r="BHZ229" s="1"/>
      <c r="BIA229" s="1"/>
      <c r="BIB229" s="1"/>
      <c r="BIC229" s="1"/>
      <c r="BID229" s="1"/>
      <c r="BIE229" s="1"/>
      <c r="BIF229" s="1"/>
      <c r="BIG229" s="1"/>
      <c r="BIH229" s="1"/>
      <c r="BII229" s="1"/>
      <c r="BIJ229" s="1"/>
      <c r="BIK229" s="1"/>
      <c r="BIL229" s="1"/>
      <c r="BIM229" s="1"/>
      <c r="BIN229" s="1"/>
      <c r="BIO229" s="1"/>
      <c r="BIP229" s="1"/>
      <c r="BIQ229" s="1"/>
      <c r="BIR229" s="1"/>
      <c r="BIS229" s="1"/>
      <c r="BIT229" s="1"/>
      <c r="BIU229" s="1"/>
      <c r="BIV229" s="1"/>
      <c r="BIW229" s="1"/>
      <c r="BIX229" s="1"/>
      <c r="BIY229" s="1"/>
      <c r="BIZ229" s="1"/>
      <c r="BJA229" s="1"/>
      <c r="BJB229" s="1"/>
      <c r="BJC229" s="1"/>
      <c r="BJD229" s="1"/>
      <c r="BJE229" s="1"/>
      <c r="BJF229" s="1"/>
      <c r="BJG229" s="1"/>
      <c r="BJH229" s="1"/>
      <c r="BJI229" s="1"/>
      <c r="BJJ229" s="1"/>
      <c r="BJK229" s="1"/>
      <c r="BJL229" s="1"/>
      <c r="BJM229" s="1"/>
      <c r="BJN229" s="1"/>
      <c r="BJO229" s="1"/>
      <c r="BJP229" s="1"/>
      <c r="BJQ229" s="1"/>
      <c r="BJR229" s="1"/>
      <c r="BJS229" s="1"/>
      <c r="BJT229" s="1"/>
      <c r="BJU229" s="1"/>
      <c r="BJV229" s="1"/>
      <c r="BJW229" s="1"/>
      <c r="BJX229" s="1"/>
      <c r="BJY229" s="1"/>
      <c r="BJZ229" s="1"/>
      <c r="BKA229" s="1"/>
      <c r="BKB229" s="1"/>
      <c r="BKC229" s="1"/>
      <c r="BKD229" s="1"/>
      <c r="BKE229" s="1"/>
      <c r="BKF229" s="1"/>
      <c r="BKG229" s="1"/>
      <c r="BKH229" s="1"/>
      <c r="BKI229" s="1"/>
      <c r="BKJ229" s="1"/>
      <c r="BKK229" s="1"/>
      <c r="BKL229" s="1"/>
      <c r="BKM229" s="1"/>
      <c r="BKN229" s="1"/>
      <c r="BKO229" s="1"/>
      <c r="BKP229" s="1"/>
      <c r="BKQ229" s="1"/>
      <c r="BKR229" s="1"/>
      <c r="BKS229" s="1"/>
      <c r="BKT229" s="1"/>
      <c r="BKU229" s="1"/>
      <c r="BKV229" s="1"/>
      <c r="BKW229" s="1"/>
      <c r="BKX229" s="1"/>
      <c r="BKY229" s="1"/>
      <c r="BKZ229" s="1"/>
      <c r="BLA229" s="1"/>
      <c r="BLB229" s="1"/>
      <c r="BLC229" s="1"/>
      <c r="BLD229" s="1"/>
      <c r="BLE229" s="1"/>
      <c r="BLF229" s="1"/>
      <c r="BLG229" s="1"/>
      <c r="BLH229" s="1"/>
      <c r="BLI229" s="1"/>
      <c r="BLJ229" s="1"/>
      <c r="BLK229" s="1"/>
      <c r="BLL229" s="1"/>
      <c r="BLM229" s="1"/>
      <c r="BLN229" s="1"/>
      <c r="BLO229" s="1"/>
      <c r="BLP229" s="1"/>
      <c r="BLQ229" s="1"/>
      <c r="BLR229" s="1"/>
      <c r="BLS229" s="1"/>
      <c r="BLT229" s="1"/>
      <c r="BLU229" s="1"/>
      <c r="BLV229" s="1"/>
      <c r="BLW229" s="1"/>
      <c r="BLX229" s="1"/>
      <c r="BLY229" s="1"/>
      <c r="BLZ229" s="1"/>
      <c r="BMA229" s="1"/>
      <c r="BMB229" s="1"/>
      <c r="BMC229" s="1"/>
      <c r="BMD229" s="1"/>
      <c r="BME229" s="1"/>
      <c r="BMF229" s="1"/>
      <c r="BMG229" s="1"/>
      <c r="BMH229" s="1"/>
      <c r="BMI229" s="1"/>
      <c r="BMJ229" s="1"/>
      <c r="BMK229" s="1"/>
      <c r="BML229" s="1"/>
      <c r="BMM229" s="1"/>
      <c r="BMN229" s="1"/>
      <c r="BMO229" s="1"/>
      <c r="BMP229" s="1"/>
      <c r="BMQ229" s="1"/>
      <c r="BMR229" s="1"/>
      <c r="BMS229" s="1"/>
      <c r="BMT229" s="1"/>
      <c r="BMU229" s="1"/>
      <c r="BMV229" s="1"/>
      <c r="BMW229" s="1"/>
      <c r="BMX229" s="1"/>
      <c r="BMY229" s="1"/>
      <c r="BMZ229" s="1"/>
      <c r="BNA229" s="1"/>
      <c r="BNB229" s="1"/>
      <c r="BNC229" s="1"/>
      <c r="BND229" s="1"/>
      <c r="BNE229" s="1"/>
      <c r="BNF229" s="1"/>
      <c r="BNG229" s="1"/>
      <c r="BNH229" s="1"/>
      <c r="BNI229" s="1"/>
      <c r="BNJ229" s="1"/>
      <c r="BNK229" s="1"/>
      <c r="BNL229" s="1"/>
      <c r="BNM229" s="1"/>
      <c r="BNN229" s="1"/>
      <c r="BNO229" s="1"/>
      <c r="BNP229" s="1"/>
      <c r="BNQ229" s="1"/>
      <c r="BNR229" s="1"/>
      <c r="BNS229" s="1"/>
      <c r="BNT229" s="1"/>
      <c r="BNU229" s="1"/>
      <c r="BNV229" s="1"/>
      <c r="BNW229" s="1"/>
      <c r="BNX229" s="1"/>
      <c r="BNY229" s="1"/>
      <c r="BNZ229" s="1"/>
      <c r="BOA229" s="1"/>
      <c r="BOB229" s="1"/>
      <c r="BOC229" s="1"/>
      <c r="BOD229" s="1"/>
      <c r="BOE229" s="1"/>
      <c r="BOF229" s="1"/>
      <c r="BOG229" s="1"/>
      <c r="BOH229" s="1"/>
      <c r="BOI229" s="1"/>
      <c r="BOJ229" s="1"/>
      <c r="BOK229" s="1"/>
      <c r="BOL229" s="1"/>
      <c r="BOM229" s="1"/>
      <c r="BON229" s="1"/>
      <c r="BOO229" s="1"/>
      <c r="BOP229" s="1"/>
      <c r="BOQ229" s="1"/>
      <c r="BOR229" s="1"/>
      <c r="BOS229" s="1"/>
      <c r="BOT229" s="1"/>
      <c r="BOU229" s="1"/>
      <c r="BOV229" s="1"/>
      <c r="BOW229" s="1"/>
      <c r="BOX229" s="1"/>
      <c r="BOY229" s="1"/>
      <c r="BOZ229" s="1"/>
      <c r="BPA229" s="1"/>
      <c r="BPB229" s="1"/>
      <c r="BPC229" s="1"/>
      <c r="BPD229" s="1"/>
      <c r="BPE229" s="1"/>
      <c r="BPF229" s="1"/>
      <c r="BPG229" s="1"/>
      <c r="BPH229" s="1"/>
      <c r="BPI229" s="1"/>
      <c r="BPJ229" s="1"/>
      <c r="BPK229" s="1"/>
      <c r="BPL229" s="1"/>
      <c r="BPM229" s="1"/>
      <c r="BPN229" s="1"/>
      <c r="BPO229" s="1"/>
      <c r="BPP229" s="1"/>
      <c r="BPQ229" s="1"/>
      <c r="BPR229" s="1"/>
      <c r="BPS229" s="1"/>
      <c r="BPT229" s="1"/>
      <c r="BPU229" s="1"/>
      <c r="BPV229" s="1"/>
      <c r="BPW229" s="1"/>
      <c r="BPX229" s="1"/>
      <c r="BPY229" s="1"/>
      <c r="BPZ229" s="1"/>
      <c r="BQA229" s="1"/>
      <c r="BQB229" s="1"/>
      <c r="BQC229" s="1"/>
      <c r="BQD229" s="1"/>
      <c r="BQE229" s="1"/>
      <c r="BQF229" s="1"/>
      <c r="BQG229" s="1"/>
      <c r="BQH229" s="1"/>
      <c r="BQI229" s="1"/>
      <c r="BQJ229" s="1"/>
      <c r="BQK229" s="1"/>
      <c r="BQL229" s="1"/>
      <c r="BQM229" s="1"/>
      <c r="BQN229" s="1"/>
      <c r="BQO229" s="1"/>
      <c r="BQP229" s="1"/>
      <c r="BQQ229" s="1"/>
      <c r="BQR229" s="1"/>
      <c r="BQS229" s="1"/>
      <c r="BQT229" s="1"/>
      <c r="BQU229" s="1"/>
      <c r="BQV229" s="1"/>
      <c r="BQW229" s="1"/>
      <c r="BQX229" s="1"/>
      <c r="BQY229" s="1"/>
      <c r="BQZ229" s="1"/>
      <c r="BRA229" s="1"/>
      <c r="BRB229" s="1"/>
      <c r="BRC229" s="1"/>
      <c r="BRD229" s="1"/>
      <c r="BRE229" s="1"/>
      <c r="BRF229" s="1"/>
      <c r="BRG229" s="1"/>
      <c r="BRH229" s="1"/>
      <c r="BRI229" s="1"/>
      <c r="BRJ229" s="1"/>
      <c r="BRK229" s="1"/>
      <c r="BRL229" s="1"/>
      <c r="BRM229" s="1"/>
      <c r="BRN229" s="1"/>
      <c r="BRO229" s="1"/>
      <c r="BRP229" s="1"/>
      <c r="BRQ229" s="1"/>
      <c r="BRR229" s="1"/>
      <c r="BRS229" s="1"/>
      <c r="BRT229" s="1"/>
      <c r="BRU229" s="1"/>
      <c r="BRV229" s="1"/>
      <c r="BRW229" s="1"/>
      <c r="BRX229" s="1"/>
      <c r="BRY229" s="1"/>
      <c r="BRZ229" s="1"/>
      <c r="BSA229" s="1"/>
      <c r="BSB229" s="1"/>
      <c r="BSC229" s="1"/>
      <c r="BSD229" s="1"/>
      <c r="BSE229" s="1"/>
      <c r="BSF229" s="1"/>
      <c r="BSG229" s="1"/>
      <c r="BSH229" s="1"/>
      <c r="BSI229" s="1"/>
      <c r="BSJ229" s="1"/>
      <c r="BSK229" s="1"/>
      <c r="BSL229" s="1"/>
      <c r="BSM229" s="1"/>
      <c r="BSN229" s="1"/>
      <c r="BSO229" s="1"/>
      <c r="BSP229" s="1"/>
      <c r="BSQ229" s="1"/>
      <c r="BSR229" s="1"/>
      <c r="BSS229" s="1"/>
      <c r="BST229" s="1"/>
      <c r="BSU229" s="1"/>
      <c r="BSV229" s="1"/>
      <c r="BSW229" s="1"/>
      <c r="BSX229" s="1"/>
      <c r="BSY229" s="1"/>
      <c r="BSZ229" s="1"/>
      <c r="BTA229" s="1"/>
      <c r="BTB229" s="1"/>
      <c r="BTC229" s="1"/>
      <c r="BTD229" s="1"/>
      <c r="BTE229" s="1"/>
      <c r="BTF229" s="1"/>
      <c r="BTG229" s="1"/>
      <c r="BTH229" s="1"/>
      <c r="BTI229" s="1"/>
      <c r="BTJ229" s="1"/>
      <c r="BTK229" s="1"/>
      <c r="BTL229" s="1"/>
      <c r="BTM229" s="1"/>
      <c r="BTN229" s="1"/>
      <c r="BTO229" s="1"/>
      <c r="BTP229" s="1"/>
      <c r="BTQ229" s="1"/>
      <c r="BTR229" s="1"/>
      <c r="BTS229" s="1"/>
      <c r="BTT229" s="1"/>
      <c r="BTU229" s="1"/>
      <c r="BTV229" s="1"/>
      <c r="BTW229" s="1"/>
      <c r="BTX229" s="1"/>
      <c r="BTY229" s="1"/>
      <c r="BTZ229" s="1"/>
      <c r="BUA229" s="1"/>
      <c r="BUB229" s="1"/>
      <c r="BUC229" s="1"/>
      <c r="BUD229" s="1"/>
      <c r="BUE229" s="1"/>
      <c r="BUF229" s="1"/>
      <c r="BUG229" s="1"/>
      <c r="BUH229" s="1"/>
      <c r="BUI229" s="1"/>
      <c r="BUJ229" s="1"/>
      <c r="BUK229" s="1"/>
      <c r="BUL229" s="1"/>
      <c r="BUM229" s="1"/>
      <c r="BUN229" s="1"/>
      <c r="BUO229" s="1"/>
      <c r="BUP229" s="1"/>
      <c r="BUQ229" s="1"/>
      <c r="BUR229" s="1"/>
      <c r="BUS229" s="1"/>
      <c r="BUT229" s="1"/>
      <c r="BUU229" s="1"/>
      <c r="BUV229" s="1"/>
      <c r="BUW229" s="1"/>
      <c r="BUX229" s="1"/>
      <c r="BUY229" s="1"/>
      <c r="BUZ229" s="1"/>
      <c r="BVA229" s="1"/>
      <c r="BVB229" s="1"/>
      <c r="BVC229" s="1"/>
      <c r="BVD229" s="1"/>
      <c r="BVE229" s="1"/>
      <c r="BVF229" s="1"/>
      <c r="BVG229" s="1"/>
      <c r="BVH229" s="1"/>
      <c r="BVI229" s="1"/>
      <c r="BVJ229" s="1"/>
      <c r="BVK229" s="1"/>
      <c r="BVL229" s="1"/>
      <c r="BVM229" s="1"/>
      <c r="BVN229" s="1"/>
      <c r="BVO229" s="1"/>
      <c r="BVP229" s="1"/>
      <c r="BVQ229" s="1"/>
      <c r="BVR229" s="1"/>
      <c r="BVS229" s="1"/>
      <c r="BVT229" s="1"/>
      <c r="BVU229" s="1"/>
      <c r="BVV229" s="1"/>
      <c r="BVW229" s="1"/>
      <c r="BVX229" s="1"/>
      <c r="BVY229" s="1"/>
      <c r="BVZ229" s="1"/>
      <c r="BWA229" s="1"/>
      <c r="BWB229" s="1"/>
      <c r="BWC229" s="1"/>
      <c r="BWD229" s="1"/>
      <c r="BWE229" s="1"/>
      <c r="BWF229" s="1"/>
      <c r="BWG229" s="1"/>
      <c r="BWH229" s="1"/>
      <c r="BWI229" s="1"/>
      <c r="BWJ229" s="1"/>
      <c r="BWK229" s="1"/>
      <c r="BWL229" s="1"/>
      <c r="BWM229" s="1"/>
      <c r="BWN229" s="1"/>
      <c r="BWO229" s="1"/>
      <c r="BWP229" s="1"/>
      <c r="BWQ229" s="1"/>
      <c r="BWR229" s="1"/>
      <c r="BWS229" s="1"/>
      <c r="BWT229" s="1"/>
      <c r="BWU229" s="1"/>
      <c r="BWV229" s="1"/>
      <c r="BWW229" s="1"/>
      <c r="BWX229" s="1"/>
      <c r="BWY229" s="1"/>
      <c r="BWZ229" s="1"/>
      <c r="BXA229" s="1"/>
      <c r="BXB229" s="1"/>
      <c r="BXC229" s="1"/>
      <c r="BXD229" s="1"/>
      <c r="BXE229" s="1"/>
      <c r="BXF229" s="1"/>
      <c r="BXG229" s="1"/>
      <c r="BXH229" s="1"/>
      <c r="BXI229" s="1"/>
      <c r="BXJ229" s="1"/>
      <c r="BXK229" s="1"/>
      <c r="BXL229" s="1"/>
      <c r="BXM229" s="1"/>
      <c r="BXN229" s="1"/>
      <c r="BXO229" s="1"/>
      <c r="BXP229" s="1"/>
      <c r="BXQ229" s="1"/>
      <c r="BXR229" s="1"/>
      <c r="BXS229" s="1"/>
      <c r="BXT229" s="1"/>
      <c r="BXU229" s="1"/>
      <c r="BXV229" s="1"/>
      <c r="BXW229" s="1"/>
      <c r="BXX229" s="1"/>
      <c r="BXY229" s="1"/>
      <c r="BXZ229" s="1"/>
      <c r="BYA229" s="1"/>
      <c r="BYB229" s="1"/>
      <c r="BYC229" s="1"/>
      <c r="BYD229" s="1"/>
      <c r="BYE229" s="1"/>
      <c r="BYF229" s="1"/>
      <c r="BYG229" s="1"/>
      <c r="BYH229" s="1"/>
      <c r="BYI229" s="1"/>
      <c r="BYJ229" s="1"/>
      <c r="BYK229" s="1"/>
      <c r="BYL229" s="1"/>
      <c r="BYM229" s="1"/>
      <c r="BYN229" s="1"/>
      <c r="BYO229" s="1"/>
      <c r="BYP229" s="1"/>
      <c r="BYQ229" s="1"/>
      <c r="BYR229" s="1"/>
      <c r="BYS229" s="1"/>
      <c r="BYT229" s="1"/>
      <c r="BYU229" s="1"/>
      <c r="BYV229" s="1"/>
      <c r="BYW229" s="1"/>
      <c r="BYX229" s="1"/>
      <c r="BYY229" s="1"/>
      <c r="BYZ229" s="1"/>
      <c r="BZA229" s="1"/>
      <c r="BZB229" s="1"/>
      <c r="BZC229" s="1"/>
      <c r="BZD229" s="1"/>
      <c r="BZE229" s="1"/>
      <c r="BZF229" s="1"/>
      <c r="BZG229" s="1"/>
      <c r="BZH229" s="1"/>
      <c r="BZI229" s="1"/>
      <c r="BZJ229" s="1"/>
      <c r="BZK229" s="1"/>
      <c r="BZL229" s="1"/>
      <c r="BZM229" s="1"/>
      <c r="BZN229" s="1"/>
      <c r="BZO229" s="1"/>
      <c r="BZP229" s="1"/>
      <c r="BZQ229" s="1"/>
      <c r="BZR229" s="1"/>
      <c r="BZS229" s="1"/>
      <c r="BZT229" s="1"/>
      <c r="BZU229" s="1"/>
      <c r="BZV229" s="1"/>
      <c r="BZW229" s="1"/>
      <c r="BZX229" s="1"/>
      <c r="BZY229" s="1"/>
      <c r="BZZ229" s="1"/>
      <c r="CAA229" s="1"/>
      <c r="CAB229" s="1"/>
      <c r="CAC229" s="1"/>
      <c r="CAD229" s="1"/>
      <c r="CAE229" s="1"/>
      <c r="CAF229" s="1"/>
      <c r="CAG229" s="1"/>
      <c r="CAH229" s="1"/>
      <c r="CAI229" s="1"/>
      <c r="CAJ229" s="1"/>
      <c r="CAK229" s="1"/>
      <c r="CAL229" s="1"/>
      <c r="CAM229" s="1"/>
      <c r="CAN229" s="1"/>
      <c r="CAO229" s="1"/>
      <c r="CAP229" s="1"/>
      <c r="CAQ229" s="1"/>
      <c r="CAR229" s="1"/>
      <c r="CAS229" s="1"/>
      <c r="CAT229" s="1"/>
      <c r="CAU229" s="1"/>
      <c r="CAV229" s="1"/>
      <c r="CAW229" s="1"/>
      <c r="CAX229" s="1"/>
      <c r="CAY229" s="1"/>
      <c r="CAZ229" s="1"/>
      <c r="CBA229" s="1"/>
      <c r="CBB229" s="1"/>
      <c r="CBC229" s="1"/>
      <c r="CBD229" s="1"/>
      <c r="CBE229" s="1"/>
      <c r="CBF229" s="1"/>
      <c r="CBG229" s="1"/>
      <c r="CBH229" s="1"/>
      <c r="CBI229" s="1"/>
      <c r="CBJ229" s="1"/>
      <c r="CBK229" s="1"/>
      <c r="CBL229" s="1"/>
      <c r="CBM229" s="1"/>
      <c r="CBN229" s="1"/>
      <c r="CBO229" s="1"/>
      <c r="CBP229" s="1"/>
      <c r="CBQ229" s="1"/>
      <c r="CBR229" s="1"/>
      <c r="CBS229" s="1"/>
      <c r="CBT229" s="1"/>
      <c r="CBU229" s="1"/>
      <c r="CBV229" s="1"/>
      <c r="CBW229" s="1"/>
      <c r="CBX229" s="1"/>
      <c r="CBY229" s="1"/>
      <c r="CBZ229" s="1"/>
      <c r="CCA229" s="1"/>
      <c r="CCB229" s="1"/>
      <c r="CCC229" s="1"/>
      <c r="CCD229" s="1"/>
      <c r="CCE229" s="1"/>
      <c r="CCF229" s="1"/>
      <c r="CCG229" s="1"/>
      <c r="CCH229" s="1"/>
      <c r="CCI229" s="1"/>
      <c r="CCJ229" s="1"/>
      <c r="CCK229" s="1"/>
      <c r="CCL229" s="1"/>
      <c r="CCM229" s="1"/>
      <c r="CCN229" s="1"/>
      <c r="CCO229" s="1"/>
      <c r="CCP229" s="1"/>
      <c r="CCQ229" s="1"/>
      <c r="CCR229" s="1"/>
      <c r="CCS229" s="1"/>
      <c r="CCT229" s="1"/>
      <c r="CCU229" s="1"/>
      <c r="CCV229" s="1"/>
      <c r="CCW229" s="1"/>
      <c r="CCX229" s="1"/>
      <c r="CCY229" s="1"/>
      <c r="CCZ229" s="1"/>
      <c r="CDA229" s="1"/>
      <c r="CDB229" s="1"/>
      <c r="CDC229" s="1"/>
      <c r="CDD229" s="1"/>
      <c r="CDE229" s="1"/>
      <c r="CDF229" s="1"/>
      <c r="CDG229" s="1"/>
      <c r="CDH229" s="1"/>
      <c r="CDI229" s="1"/>
      <c r="CDJ229" s="1"/>
      <c r="CDK229" s="1"/>
      <c r="CDL229" s="1"/>
      <c r="CDM229" s="1"/>
      <c r="CDN229" s="1"/>
      <c r="CDO229" s="1"/>
      <c r="CDP229" s="1"/>
      <c r="CDQ229" s="1"/>
      <c r="CDR229" s="1"/>
      <c r="CDS229" s="1"/>
      <c r="CDT229" s="1"/>
      <c r="CDU229" s="1"/>
      <c r="CDV229" s="1"/>
      <c r="CDW229" s="1"/>
      <c r="CDX229" s="1"/>
      <c r="CDY229" s="1"/>
      <c r="CDZ229" s="1"/>
      <c r="CEA229" s="1"/>
      <c r="CEB229" s="1"/>
      <c r="CEC229" s="1"/>
      <c r="CED229" s="1"/>
      <c r="CEE229" s="1"/>
      <c r="CEF229" s="1"/>
      <c r="CEG229" s="1"/>
      <c r="CEH229" s="1"/>
      <c r="CEI229" s="1"/>
      <c r="CEJ229" s="1"/>
      <c r="CEK229" s="1"/>
      <c r="CEL229" s="1"/>
      <c r="CEM229" s="1"/>
      <c r="CEN229" s="1"/>
      <c r="CEO229" s="1"/>
      <c r="CEP229" s="1"/>
      <c r="CEQ229" s="1"/>
      <c r="CER229" s="1"/>
      <c r="CES229" s="1"/>
      <c r="CET229" s="1"/>
      <c r="CEU229" s="1"/>
      <c r="CEV229" s="1"/>
      <c r="CEW229" s="1"/>
      <c r="CEX229" s="1"/>
      <c r="CEY229" s="1"/>
      <c r="CEZ229" s="1"/>
      <c r="CFA229" s="1"/>
      <c r="CFB229" s="1"/>
      <c r="CFC229" s="1"/>
      <c r="CFD229" s="1"/>
      <c r="CFE229" s="1"/>
      <c r="CFF229" s="1"/>
      <c r="CFG229" s="1"/>
      <c r="CFH229" s="1"/>
      <c r="CFI229" s="1"/>
      <c r="CFJ229" s="1"/>
      <c r="CFK229" s="1"/>
      <c r="CFL229" s="1"/>
      <c r="CFM229" s="1"/>
      <c r="CFN229" s="1"/>
      <c r="CFO229" s="1"/>
      <c r="CFP229" s="1"/>
      <c r="CFQ229" s="1"/>
      <c r="CFR229" s="1"/>
      <c r="CFS229" s="1"/>
      <c r="CFT229" s="1"/>
      <c r="CFU229" s="1"/>
      <c r="CFV229" s="1"/>
      <c r="CFW229" s="1"/>
      <c r="CFX229" s="1"/>
      <c r="CFY229" s="1"/>
      <c r="CFZ229" s="1"/>
      <c r="CGA229" s="1"/>
      <c r="CGB229" s="1"/>
      <c r="CGC229" s="1"/>
      <c r="CGD229" s="1"/>
      <c r="CGE229" s="1"/>
      <c r="CGF229" s="1"/>
      <c r="CGG229" s="1"/>
      <c r="CGH229" s="1"/>
      <c r="CGI229" s="1"/>
      <c r="CGJ229" s="1"/>
      <c r="CGK229" s="1"/>
      <c r="CGL229" s="1"/>
      <c r="CGM229" s="1"/>
      <c r="CGN229" s="1"/>
      <c r="CGO229" s="1"/>
      <c r="CGP229" s="1"/>
      <c r="CGQ229" s="1"/>
      <c r="CGR229" s="1"/>
      <c r="CGS229" s="1"/>
      <c r="CGT229" s="1"/>
      <c r="CGU229" s="1"/>
      <c r="CGV229" s="1"/>
      <c r="CGW229" s="1"/>
      <c r="CGX229" s="1"/>
      <c r="CGY229" s="1"/>
      <c r="CGZ229" s="1"/>
      <c r="CHA229" s="1"/>
      <c r="CHB229" s="1"/>
      <c r="CHC229" s="1"/>
      <c r="CHD229" s="1"/>
      <c r="CHE229" s="1"/>
      <c r="CHF229" s="1"/>
      <c r="CHG229" s="1"/>
      <c r="CHH229" s="1"/>
      <c r="CHI229" s="1"/>
      <c r="CHJ229" s="1"/>
      <c r="CHK229" s="1"/>
      <c r="CHL229" s="1"/>
      <c r="CHM229" s="1"/>
      <c r="CHN229" s="1"/>
      <c r="CHO229" s="1"/>
      <c r="CHP229" s="1"/>
      <c r="CHQ229" s="1"/>
      <c r="CHR229" s="1"/>
      <c r="CHS229" s="1"/>
      <c r="CHT229" s="1"/>
      <c r="CHU229" s="1"/>
      <c r="CHV229" s="1"/>
      <c r="CHW229" s="1"/>
      <c r="CHX229" s="1"/>
      <c r="CHY229" s="1"/>
      <c r="CHZ229" s="1"/>
      <c r="CIA229" s="1"/>
      <c r="CIB229" s="1"/>
      <c r="CIC229" s="1"/>
      <c r="CID229" s="1"/>
      <c r="CIE229" s="1"/>
      <c r="CIF229" s="1"/>
      <c r="CIG229" s="1"/>
      <c r="CIH229" s="1"/>
      <c r="CII229" s="1"/>
      <c r="CIJ229" s="1"/>
      <c r="CIK229" s="1"/>
      <c r="CIL229" s="1"/>
      <c r="CIM229" s="1"/>
      <c r="CIN229" s="1"/>
      <c r="CIO229" s="1"/>
      <c r="CIP229" s="1"/>
      <c r="CIQ229" s="1"/>
      <c r="CIR229" s="1"/>
      <c r="CIS229" s="1"/>
      <c r="CIT229" s="1"/>
      <c r="CIU229" s="1"/>
      <c r="CIV229" s="1"/>
      <c r="CIW229" s="1"/>
      <c r="CIX229" s="1"/>
      <c r="CIY229" s="1"/>
      <c r="CIZ229" s="1"/>
      <c r="CJA229" s="1"/>
      <c r="CJB229" s="1"/>
      <c r="CJC229" s="1"/>
      <c r="CJD229" s="1"/>
      <c r="CJE229" s="1"/>
      <c r="CJF229" s="1"/>
      <c r="CJG229" s="1"/>
      <c r="CJH229" s="1"/>
      <c r="CJI229" s="1"/>
      <c r="CJJ229" s="1"/>
      <c r="CJK229" s="1"/>
      <c r="CJL229" s="1"/>
      <c r="CJM229" s="1"/>
      <c r="CJN229" s="1"/>
      <c r="CJO229" s="1"/>
      <c r="CJP229" s="1"/>
      <c r="CJQ229" s="1"/>
      <c r="CJR229" s="1"/>
      <c r="CJS229" s="1"/>
      <c r="CJT229" s="1"/>
      <c r="CJU229" s="1"/>
      <c r="CJV229" s="1"/>
      <c r="CJW229" s="1"/>
      <c r="CJX229" s="1"/>
      <c r="CJY229" s="1"/>
      <c r="CJZ229" s="1"/>
      <c r="CKA229" s="1"/>
      <c r="CKB229" s="1"/>
      <c r="CKC229" s="1"/>
      <c r="CKD229" s="1"/>
      <c r="CKE229" s="1"/>
      <c r="CKF229" s="1"/>
      <c r="CKG229" s="1"/>
      <c r="CKH229" s="1"/>
      <c r="CKI229" s="1"/>
      <c r="CKJ229" s="1"/>
      <c r="CKK229" s="1"/>
      <c r="CKL229" s="1"/>
      <c r="CKM229" s="1"/>
      <c r="CKN229" s="1"/>
      <c r="CKO229" s="1"/>
      <c r="CKP229" s="1"/>
      <c r="CKQ229" s="1"/>
      <c r="CKR229" s="1"/>
      <c r="CKS229" s="1"/>
      <c r="CKT229" s="1"/>
      <c r="CKU229" s="1"/>
      <c r="CKV229" s="1"/>
      <c r="CKW229" s="1"/>
      <c r="CKX229" s="1"/>
      <c r="CKY229" s="1"/>
      <c r="CKZ229" s="1"/>
      <c r="CLA229" s="1"/>
      <c r="CLB229" s="1"/>
      <c r="CLC229" s="1"/>
      <c r="CLD229" s="1"/>
      <c r="CLE229" s="1"/>
      <c r="CLF229" s="1"/>
      <c r="CLG229" s="1"/>
      <c r="CLH229" s="1"/>
      <c r="CLI229" s="1"/>
      <c r="CLJ229" s="1"/>
      <c r="CLK229" s="1"/>
      <c r="CLL229" s="1"/>
      <c r="CLM229" s="1"/>
      <c r="CLN229" s="1"/>
      <c r="CLO229" s="1"/>
      <c r="CLP229" s="1"/>
      <c r="CLQ229" s="1"/>
      <c r="CLR229" s="1"/>
      <c r="CLS229" s="1"/>
      <c r="CLT229" s="1"/>
      <c r="CLU229" s="1"/>
      <c r="CLV229" s="1"/>
      <c r="CLW229" s="1"/>
      <c r="CLX229" s="1"/>
      <c r="CLY229" s="1"/>
      <c r="CLZ229" s="1"/>
      <c r="CMA229" s="1"/>
      <c r="CMB229" s="1"/>
      <c r="CMC229" s="1"/>
      <c r="CMD229" s="1"/>
      <c r="CME229" s="1"/>
      <c r="CMF229" s="1"/>
      <c r="CMG229" s="1"/>
      <c r="CMH229" s="1"/>
      <c r="CMI229" s="1"/>
      <c r="CMJ229" s="1"/>
      <c r="CMK229" s="1"/>
      <c r="CML229" s="1"/>
      <c r="CMM229" s="1"/>
      <c r="CMN229" s="1"/>
      <c r="CMO229" s="1"/>
      <c r="CMP229" s="1"/>
      <c r="CMQ229" s="1"/>
      <c r="CMR229" s="1"/>
      <c r="CMS229" s="1"/>
      <c r="CMT229" s="1"/>
      <c r="CMU229" s="1"/>
      <c r="CMV229" s="1"/>
      <c r="CMW229" s="1"/>
      <c r="CMX229" s="1"/>
      <c r="CMY229" s="1"/>
      <c r="CMZ229" s="1"/>
      <c r="CNA229" s="1"/>
      <c r="CNB229" s="1"/>
      <c r="CNC229" s="1"/>
      <c r="CND229" s="1"/>
      <c r="CNE229" s="1"/>
      <c r="CNF229" s="1"/>
      <c r="CNG229" s="1"/>
      <c r="CNH229" s="1"/>
      <c r="CNI229" s="1"/>
      <c r="CNJ229" s="1"/>
      <c r="CNK229" s="1"/>
      <c r="CNL229" s="1"/>
      <c r="CNM229" s="1"/>
      <c r="CNN229" s="1"/>
      <c r="CNO229" s="1"/>
      <c r="CNP229" s="1"/>
      <c r="CNQ229" s="1"/>
      <c r="CNR229" s="1"/>
      <c r="CNS229" s="1"/>
      <c r="CNT229" s="1"/>
      <c r="CNU229" s="1"/>
      <c r="CNV229" s="1"/>
      <c r="CNW229" s="1"/>
      <c r="CNX229" s="1"/>
      <c r="CNY229" s="1"/>
      <c r="CNZ229" s="1"/>
      <c r="COA229" s="1"/>
      <c r="COB229" s="1"/>
      <c r="COC229" s="1"/>
      <c r="COD229" s="1"/>
      <c r="COE229" s="1"/>
      <c r="COF229" s="1"/>
      <c r="COG229" s="1"/>
      <c r="COH229" s="1"/>
      <c r="COI229" s="1"/>
      <c r="COJ229" s="1"/>
      <c r="COK229" s="1"/>
      <c r="COL229" s="1"/>
      <c r="COM229" s="1"/>
      <c r="CON229" s="1"/>
      <c r="COO229" s="1"/>
      <c r="COP229" s="1"/>
      <c r="COQ229" s="1"/>
      <c r="COR229" s="1"/>
      <c r="COS229" s="1"/>
      <c r="COT229" s="1"/>
      <c r="COU229" s="1"/>
      <c r="COV229" s="1"/>
      <c r="COW229" s="1"/>
      <c r="COX229" s="1"/>
      <c r="COY229" s="1"/>
      <c r="COZ229" s="1"/>
      <c r="CPA229" s="1"/>
      <c r="CPB229" s="1"/>
      <c r="CPC229" s="1"/>
      <c r="CPD229" s="1"/>
      <c r="CPE229" s="1"/>
      <c r="CPF229" s="1"/>
      <c r="CPG229" s="1"/>
      <c r="CPH229" s="1"/>
      <c r="CPI229" s="1"/>
      <c r="CPJ229" s="1"/>
      <c r="CPK229" s="1"/>
      <c r="CPL229" s="1"/>
      <c r="CPM229" s="1"/>
      <c r="CPN229" s="1"/>
      <c r="CPO229" s="1"/>
      <c r="CPP229" s="1"/>
      <c r="CPQ229" s="1"/>
      <c r="CPR229" s="1"/>
      <c r="CPS229" s="1"/>
      <c r="CPT229" s="1"/>
      <c r="CPU229" s="1"/>
      <c r="CPV229" s="1"/>
      <c r="CPW229" s="1"/>
      <c r="CPX229" s="1"/>
      <c r="CPY229" s="1"/>
      <c r="CPZ229" s="1"/>
      <c r="CQA229" s="1"/>
      <c r="CQB229" s="1"/>
      <c r="CQC229" s="1"/>
      <c r="CQD229" s="1"/>
      <c r="CQE229" s="1"/>
      <c r="CQF229" s="1"/>
      <c r="CQG229" s="1"/>
      <c r="CQH229" s="1"/>
      <c r="CQI229" s="1"/>
      <c r="CQJ229" s="1"/>
      <c r="CQK229" s="1"/>
      <c r="CQL229" s="1"/>
      <c r="CQM229" s="1"/>
      <c r="CQN229" s="1"/>
      <c r="CQO229" s="1"/>
      <c r="CQP229" s="1"/>
      <c r="CQQ229" s="1"/>
      <c r="CQR229" s="1"/>
      <c r="CQS229" s="1"/>
      <c r="CQT229" s="1"/>
      <c r="CQU229" s="1"/>
      <c r="CQV229" s="1"/>
      <c r="CQW229" s="1"/>
      <c r="CQX229" s="1"/>
      <c r="CQY229" s="1"/>
      <c r="CQZ229" s="1"/>
      <c r="CRA229" s="1"/>
      <c r="CRB229" s="1"/>
      <c r="CRC229" s="1"/>
      <c r="CRD229" s="1"/>
      <c r="CRE229" s="1"/>
      <c r="CRF229" s="1"/>
      <c r="CRG229" s="1"/>
      <c r="CRH229" s="1"/>
      <c r="CRI229" s="1"/>
      <c r="CRJ229" s="1"/>
      <c r="CRK229" s="1"/>
      <c r="CRL229" s="1"/>
      <c r="CRM229" s="1"/>
      <c r="CRN229" s="1"/>
      <c r="CRO229" s="1"/>
      <c r="CRP229" s="1"/>
      <c r="CRQ229" s="1"/>
      <c r="CRR229" s="1"/>
      <c r="CRS229" s="1"/>
      <c r="CRT229" s="1"/>
      <c r="CRU229" s="1"/>
      <c r="CRV229" s="1"/>
      <c r="CRW229" s="1"/>
      <c r="CRX229" s="1"/>
      <c r="CRY229" s="1"/>
      <c r="CRZ229" s="1"/>
      <c r="CSA229" s="1"/>
      <c r="CSB229" s="1"/>
      <c r="CSC229" s="1"/>
      <c r="CSD229" s="1"/>
      <c r="CSE229" s="1"/>
      <c r="CSF229" s="1"/>
      <c r="CSG229" s="1"/>
      <c r="CSH229" s="1"/>
      <c r="CSI229" s="1"/>
      <c r="CSJ229" s="1"/>
      <c r="CSK229" s="1"/>
      <c r="CSL229" s="1"/>
      <c r="CSM229" s="1"/>
      <c r="CSN229" s="1"/>
      <c r="CSO229" s="1"/>
      <c r="CSP229" s="1"/>
      <c r="CSQ229" s="1"/>
      <c r="CSR229" s="1"/>
      <c r="CSS229" s="1"/>
      <c r="CST229" s="1"/>
      <c r="CSU229" s="1"/>
      <c r="CSV229" s="1"/>
      <c r="CSW229" s="1"/>
      <c r="CSX229" s="1"/>
      <c r="CSY229" s="1"/>
      <c r="CSZ229" s="1"/>
      <c r="CTA229" s="1"/>
      <c r="CTB229" s="1"/>
      <c r="CTC229" s="1"/>
      <c r="CTD229" s="1"/>
      <c r="CTE229" s="1"/>
      <c r="CTF229" s="1"/>
      <c r="CTG229" s="1"/>
      <c r="CTH229" s="1"/>
      <c r="CTI229" s="1"/>
      <c r="CTJ229" s="1"/>
      <c r="CTK229" s="1"/>
      <c r="CTL229" s="1"/>
      <c r="CTM229" s="1"/>
      <c r="CTN229" s="1"/>
      <c r="CTO229" s="1"/>
      <c r="CTP229" s="1"/>
      <c r="CTQ229" s="1"/>
      <c r="CTR229" s="1"/>
      <c r="CTS229" s="1"/>
      <c r="CTT229" s="1"/>
      <c r="CTU229" s="1"/>
      <c r="CTV229" s="1"/>
      <c r="CTW229" s="1"/>
      <c r="CTX229" s="1"/>
      <c r="CTY229" s="1"/>
      <c r="CTZ229" s="1"/>
      <c r="CUA229" s="1"/>
      <c r="CUB229" s="1"/>
      <c r="CUC229" s="1"/>
      <c r="CUD229" s="1"/>
      <c r="CUE229" s="1"/>
      <c r="CUF229" s="1"/>
      <c r="CUG229" s="1"/>
      <c r="CUH229" s="1"/>
      <c r="CUI229" s="1"/>
      <c r="CUJ229" s="1"/>
      <c r="CUK229" s="1"/>
      <c r="CUL229" s="1"/>
      <c r="CUM229" s="1"/>
      <c r="CUN229" s="1"/>
      <c r="CUO229" s="1"/>
      <c r="CUP229" s="1"/>
      <c r="CUQ229" s="1"/>
      <c r="CUR229" s="1"/>
      <c r="CUS229" s="1"/>
      <c r="CUT229" s="1"/>
      <c r="CUU229" s="1"/>
      <c r="CUV229" s="1"/>
      <c r="CUW229" s="1"/>
      <c r="CUX229" s="1"/>
      <c r="CUY229" s="1"/>
      <c r="CUZ229" s="1"/>
      <c r="CVA229" s="1"/>
      <c r="CVB229" s="1"/>
      <c r="CVC229" s="1"/>
      <c r="CVD229" s="1"/>
      <c r="CVE229" s="1"/>
      <c r="CVF229" s="1"/>
      <c r="CVG229" s="1"/>
      <c r="CVH229" s="1"/>
      <c r="CVI229" s="1"/>
      <c r="CVJ229" s="1"/>
      <c r="CVK229" s="1"/>
      <c r="CVL229" s="1"/>
      <c r="CVM229" s="1"/>
      <c r="CVN229" s="1"/>
      <c r="CVO229" s="1"/>
      <c r="CVP229" s="1"/>
      <c r="CVQ229" s="1"/>
      <c r="CVR229" s="1"/>
      <c r="CVS229" s="1"/>
      <c r="CVT229" s="1"/>
      <c r="CVU229" s="1"/>
      <c r="CVV229" s="1"/>
      <c r="CVW229" s="1"/>
      <c r="CVX229" s="1"/>
      <c r="CVY229" s="1"/>
      <c r="CVZ229" s="1"/>
      <c r="CWA229" s="1"/>
      <c r="CWB229" s="1"/>
      <c r="CWC229" s="1"/>
      <c r="CWD229" s="1"/>
      <c r="CWE229" s="1"/>
      <c r="CWF229" s="1"/>
      <c r="CWG229" s="1"/>
      <c r="CWH229" s="1"/>
      <c r="CWI229" s="1"/>
      <c r="CWJ229" s="1"/>
      <c r="CWK229" s="1"/>
      <c r="CWL229" s="1"/>
      <c r="CWM229" s="1"/>
      <c r="CWN229" s="1"/>
      <c r="CWO229" s="1"/>
      <c r="CWP229" s="1"/>
      <c r="CWQ229" s="1"/>
      <c r="CWR229" s="1"/>
      <c r="CWS229" s="1"/>
      <c r="CWT229" s="1"/>
      <c r="CWU229" s="1"/>
      <c r="CWV229" s="1"/>
      <c r="CWW229" s="1"/>
      <c r="CWX229" s="1"/>
      <c r="CWY229" s="1"/>
      <c r="CWZ229" s="1"/>
      <c r="CXA229" s="1"/>
      <c r="CXB229" s="1"/>
      <c r="CXC229" s="1"/>
      <c r="CXD229" s="1"/>
      <c r="CXE229" s="1"/>
      <c r="CXF229" s="1"/>
      <c r="CXG229" s="1"/>
      <c r="CXH229" s="1"/>
      <c r="CXI229" s="1"/>
      <c r="CXJ229" s="1"/>
      <c r="CXK229" s="1"/>
      <c r="CXL229" s="1"/>
      <c r="CXM229" s="1"/>
      <c r="CXN229" s="1"/>
      <c r="CXO229" s="1"/>
      <c r="CXP229" s="1"/>
      <c r="CXQ229" s="1"/>
      <c r="CXR229" s="1"/>
      <c r="CXS229" s="1"/>
      <c r="CXT229" s="1"/>
      <c r="CXU229" s="1"/>
      <c r="CXV229" s="1"/>
      <c r="CXW229" s="1"/>
      <c r="CXX229" s="1"/>
      <c r="CXY229" s="1"/>
      <c r="CXZ229" s="1"/>
      <c r="CYA229" s="1"/>
      <c r="CYB229" s="1"/>
      <c r="CYC229" s="1"/>
      <c r="CYD229" s="1"/>
      <c r="CYE229" s="1"/>
      <c r="CYF229" s="1"/>
      <c r="CYG229" s="1"/>
      <c r="CYH229" s="1"/>
      <c r="CYI229" s="1"/>
      <c r="CYJ229" s="1"/>
      <c r="CYK229" s="1"/>
      <c r="CYL229" s="1"/>
      <c r="CYM229" s="1"/>
      <c r="CYN229" s="1"/>
      <c r="CYO229" s="1"/>
      <c r="CYP229" s="1"/>
      <c r="CYQ229" s="1"/>
      <c r="CYR229" s="1"/>
      <c r="CYS229" s="1"/>
      <c r="CYT229" s="1"/>
      <c r="CYU229" s="1"/>
      <c r="CYV229" s="1"/>
      <c r="CYW229" s="1"/>
      <c r="CYX229" s="1"/>
      <c r="CYY229" s="1"/>
      <c r="CYZ229" s="1"/>
      <c r="CZA229" s="1"/>
      <c r="CZB229" s="1"/>
      <c r="CZC229" s="1"/>
      <c r="CZD229" s="1"/>
      <c r="CZE229" s="1"/>
      <c r="CZF229" s="1"/>
      <c r="CZG229" s="1"/>
      <c r="CZH229" s="1"/>
      <c r="CZI229" s="1"/>
      <c r="CZJ229" s="1"/>
      <c r="CZK229" s="1"/>
      <c r="CZL229" s="1"/>
      <c r="CZM229" s="1"/>
      <c r="CZN229" s="1"/>
      <c r="CZO229" s="1"/>
      <c r="CZP229" s="1"/>
      <c r="CZQ229" s="1"/>
      <c r="CZR229" s="1"/>
      <c r="CZS229" s="1"/>
      <c r="CZT229" s="1"/>
      <c r="CZU229" s="1"/>
      <c r="CZV229" s="1"/>
      <c r="CZW229" s="1"/>
      <c r="CZX229" s="1"/>
      <c r="CZY229" s="1"/>
      <c r="CZZ229" s="1"/>
      <c r="DAA229" s="1"/>
      <c r="DAB229" s="1"/>
      <c r="DAC229" s="1"/>
      <c r="DAD229" s="1"/>
      <c r="DAE229" s="1"/>
      <c r="DAF229" s="1"/>
      <c r="DAG229" s="1"/>
      <c r="DAH229" s="1"/>
      <c r="DAI229" s="1"/>
      <c r="DAJ229" s="1"/>
      <c r="DAK229" s="1"/>
      <c r="DAL229" s="1"/>
      <c r="DAM229" s="1"/>
      <c r="DAN229" s="1"/>
      <c r="DAO229" s="1"/>
      <c r="DAP229" s="1"/>
      <c r="DAQ229" s="1"/>
      <c r="DAR229" s="1"/>
      <c r="DAS229" s="1"/>
      <c r="DAT229" s="1"/>
      <c r="DAU229" s="1"/>
      <c r="DAV229" s="1"/>
      <c r="DAW229" s="1"/>
      <c r="DAX229" s="1"/>
      <c r="DAY229" s="1"/>
      <c r="DAZ229" s="1"/>
      <c r="DBA229" s="1"/>
      <c r="DBB229" s="1"/>
      <c r="DBC229" s="1"/>
      <c r="DBD229" s="1"/>
      <c r="DBE229" s="1"/>
      <c r="DBF229" s="1"/>
      <c r="DBG229" s="1"/>
      <c r="DBH229" s="1"/>
      <c r="DBI229" s="1"/>
      <c r="DBJ229" s="1"/>
      <c r="DBK229" s="1"/>
      <c r="DBL229" s="1"/>
      <c r="DBM229" s="1"/>
      <c r="DBN229" s="1"/>
      <c r="DBO229" s="1"/>
      <c r="DBP229" s="1"/>
      <c r="DBQ229" s="1"/>
      <c r="DBR229" s="1"/>
      <c r="DBS229" s="1"/>
      <c r="DBT229" s="1"/>
      <c r="DBU229" s="1"/>
      <c r="DBV229" s="1"/>
      <c r="DBW229" s="1"/>
      <c r="DBX229" s="1"/>
      <c r="DBY229" s="1"/>
      <c r="DBZ229" s="1"/>
      <c r="DCA229" s="1"/>
      <c r="DCB229" s="1"/>
      <c r="DCC229" s="1"/>
      <c r="DCD229" s="1"/>
      <c r="DCE229" s="1"/>
      <c r="DCF229" s="1"/>
      <c r="DCG229" s="1"/>
      <c r="DCH229" s="1"/>
      <c r="DCI229" s="1"/>
      <c r="DCJ229" s="1"/>
      <c r="DCK229" s="1"/>
      <c r="DCL229" s="1"/>
      <c r="DCM229" s="1"/>
      <c r="DCN229" s="1"/>
      <c r="DCO229" s="1"/>
      <c r="DCP229" s="1"/>
      <c r="DCQ229" s="1"/>
      <c r="DCR229" s="1"/>
      <c r="DCS229" s="1"/>
      <c r="DCT229" s="1"/>
      <c r="DCU229" s="1"/>
      <c r="DCV229" s="1"/>
      <c r="DCW229" s="1"/>
      <c r="DCX229" s="1"/>
      <c r="DCY229" s="1"/>
      <c r="DCZ229" s="1"/>
      <c r="DDA229" s="1"/>
      <c r="DDB229" s="1"/>
      <c r="DDC229" s="1"/>
      <c r="DDD229" s="1"/>
      <c r="DDE229" s="1"/>
      <c r="DDF229" s="1"/>
      <c r="DDG229" s="1"/>
      <c r="DDH229" s="1"/>
      <c r="DDI229" s="1"/>
      <c r="DDJ229" s="1"/>
      <c r="DDK229" s="1"/>
      <c r="DDL229" s="1"/>
      <c r="DDM229" s="1"/>
      <c r="DDN229" s="1"/>
      <c r="DDO229" s="1"/>
      <c r="DDP229" s="1"/>
      <c r="DDQ229" s="1"/>
      <c r="DDR229" s="1"/>
      <c r="DDS229" s="1"/>
      <c r="DDT229" s="1"/>
      <c r="DDU229" s="1"/>
      <c r="DDV229" s="1"/>
      <c r="DDW229" s="1"/>
      <c r="DDX229" s="1"/>
      <c r="DDY229" s="1"/>
      <c r="DDZ229" s="1"/>
      <c r="DEA229" s="1"/>
      <c r="DEB229" s="1"/>
      <c r="DEC229" s="1"/>
      <c r="DED229" s="1"/>
      <c r="DEE229" s="1"/>
      <c r="DEF229" s="1"/>
      <c r="DEG229" s="1"/>
      <c r="DEH229" s="1"/>
      <c r="DEI229" s="1"/>
      <c r="DEJ229" s="1"/>
      <c r="DEK229" s="1"/>
      <c r="DEL229" s="1"/>
      <c r="DEM229" s="1"/>
      <c r="DEN229" s="1"/>
      <c r="DEO229" s="1"/>
      <c r="DEP229" s="1"/>
      <c r="DEQ229" s="1"/>
      <c r="DER229" s="1"/>
      <c r="DES229" s="1"/>
      <c r="DET229" s="1"/>
      <c r="DEU229" s="1"/>
      <c r="DEV229" s="1"/>
      <c r="DEW229" s="1"/>
      <c r="DEX229" s="1"/>
      <c r="DEY229" s="1"/>
      <c r="DEZ229" s="1"/>
      <c r="DFA229" s="1"/>
      <c r="DFB229" s="1"/>
      <c r="DFC229" s="1"/>
      <c r="DFD229" s="1"/>
      <c r="DFE229" s="1"/>
      <c r="DFF229" s="1"/>
      <c r="DFG229" s="1"/>
      <c r="DFH229" s="1"/>
      <c r="DFI229" s="1"/>
      <c r="DFJ229" s="1"/>
      <c r="DFK229" s="1"/>
      <c r="DFL229" s="1"/>
      <c r="DFM229" s="1"/>
      <c r="DFN229" s="1"/>
      <c r="DFO229" s="1"/>
      <c r="DFP229" s="1"/>
      <c r="DFQ229" s="1"/>
      <c r="DFR229" s="1"/>
      <c r="DFS229" s="1"/>
      <c r="DFT229" s="1"/>
      <c r="DFU229" s="1"/>
      <c r="DFV229" s="1"/>
      <c r="DFW229" s="1"/>
      <c r="DFX229" s="1"/>
      <c r="DFY229" s="1"/>
      <c r="DFZ229" s="1"/>
      <c r="DGA229" s="1"/>
      <c r="DGB229" s="1"/>
      <c r="DGC229" s="1"/>
      <c r="DGD229" s="1"/>
      <c r="DGE229" s="1"/>
      <c r="DGF229" s="1"/>
      <c r="DGG229" s="1"/>
      <c r="DGH229" s="1"/>
      <c r="DGI229" s="1"/>
      <c r="DGJ229" s="1"/>
      <c r="DGK229" s="1"/>
      <c r="DGL229" s="1"/>
      <c r="DGM229" s="1"/>
      <c r="DGN229" s="1"/>
      <c r="DGO229" s="1"/>
      <c r="DGP229" s="1"/>
      <c r="DGQ229" s="1"/>
      <c r="DGR229" s="1"/>
      <c r="DGS229" s="1"/>
      <c r="DGT229" s="1"/>
      <c r="DGU229" s="1"/>
      <c r="DGV229" s="1"/>
      <c r="DGW229" s="1"/>
      <c r="DGX229" s="1"/>
      <c r="DGY229" s="1"/>
      <c r="DGZ229" s="1"/>
      <c r="DHA229" s="1"/>
      <c r="DHB229" s="1"/>
      <c r="DHC229" s="1"/>
      <c r="DHD229" s="1"/>
      <c r="DHE229" s="1"/>
      <c r="DHF229" s="1"/>
      <c r="DHG229" s="1"/>
      <c r="DHH229" s="1"/>
      <c r="DHI229" s="1"/>
      <c r="DHJ229" s="1"/>
      <c r="DHK229" s="1"/>
      <c r="DHL229" s="1"/>
      <c r="DHM229" s="1"/>
      <c r="DHN229" s="1"/>
      <c r="DHO229" s="1"/>
      <c r="DHP229" s="1"/>
      <c r="DHQ229" s="1"/>
      <c r="DHR229" s="1"/>
      <c r="DHS229" s="1"/>
      <c r="DHT229" s="1"/>
      <c r="DHU229" s="1"/>
      <c r="DHV229" s="1"/>
      <c r="DHW229" s="1"/>
      <c r="DHX229" s="1"/>
      <c r="DHY229" s="1"/>
      <c r="DHZ229" s="1"/>
      <c r="DIA229" s="1"/>
      <c r="DIB229" s="1"/>
      <c r="DIC229" s="1"/>
      <c r="DID229" s="1"/>
      <c r="DIE229" s="1"/>
      <c r="DIF229" s="1"/>
      <c r="DIG229" s="1"/>
      <c r="DIH229" s="1"/>
      <c r="DII229" s="1"/>
      <c r="DIJ229" s="1"/>
      <c r="DIK229" s="1"/>
      <c r="DIL229" s="1"/>
      <c r="DIM229" s="1"/>
      <c r="DIN229" s="1"/>
      <c r="DIO229" s="1"/>
      <c r="DIP229" s="1"/>
      <c r="DIQ229" s="1"/>
      <c r="DIR229" s="1"/>
      <c r="DIS229" s="1"/>
      <c r="DIT229" s="1"/>
      <c r="DIU229" s="1"/>
      <c r="DIV229" s="1"/>
      <c r="DIW229" s="1"/>
      <c r="DIX229" s="1"/>
      <c r="DIY229" s="1"/>
      <c r="DIZ229" s="1"/>
      <c r="DJA229" s="1"/>
      <c r="DJB229" s="1"/>
      <c r="DJC229" s="1"/>
      <c r="DJD229" s="1"/>
      <c r="DJE229" s="1"/>
      <c r="DJF229" s="1"/>
      <c r="DJG229" s="1"/>
      <c r="DJH229" s="1"/>
      <c r="DJI229" s="1"/>
      <c r="DJJ229" s="1"/>
      <c r="DJK229" s="1"/>
      <c r="DJL229" s="1"/>
      <c r="DJM229" s="1"/>
      <c r="DJN229" s="1"/>
      <c r="DJO229" s="1"/>
      <c r="DJP229" s="1"/>
      <c r="DJQ229" s="1"/>
      <c r="DJR229" s="1"/>
      <c r="DJS229" s="1"/>
      <c r="DJT229" s="1"/>
      <c r="DJU229" s="1"/>
      <c r="DJV229" s="1"/>
      <c r="DJW229" s="1"/>
      <c r="DJX229" s="1"/>
      <c r="DJY229" s="1"/>
      <c r="DJZ229" s="1"/>
      <c r="DKA229" s="1"/>
      <c r="DKB229" s="1"/>
      <c r="DKC229" s="1"/>
      <c r="DKD229" s="1"/>
      <c r="DKE229" s="1"/>
      <c r="DKF229" s="1"/>
      <c r="DKG229" s="1"/>
      <c r="DKH229" s="1"/>
      <c r="DKI229" s="1"/>
      <c r="DKJ229" s="1"/>
      <c r="DKK229" s="1"/>
      <c r="DKL229" s="1"/>
      <c r="DKM229" s="1"/>
      <c r="DKN229" s="1"/>
      <c r="DKO229" s="1"/>
      <c r="DKP229" s="1"/>
      <c r="DKQ229" s="1"/>
      <c r="DKR229" s="1"/>
      <c r="DKS229" s="1"/>
      <c r="DKT229" s="1"/>
      <c r="DKU229" s="1"/>
      <c r="DKV229" s="1"/>
      <c r="DKW229" s="1"/>
      <c r="DKX229" s="1"/>
      <c r="DKY229" s="1"/>
      <c r="DKZ229" s="1"/>
      <c r="DLA229" s="1"/>
      <c r="DLB229" s="1"/>
      <c r="DLC229" s="1"/>
      <c r="DLD229" s="1"/>
      <c r="DLE229" s="1"/>
      <c r="DLF229" s="1"/>
      <c r="DLG229" s="1"/>
      <c r="DLH229" s="1"/>
      <c r="DLI229" s="1"/>
      <c r="DLJ229" s="1"/>
      <c r="DLK229" s="1"/>
      <c r="DLL229" s="1"/>
      <c r="DLM229" s="1"/>
      <c r="DLN229" s="1"/>
      <c r="DLO229" s="1"/>
      <c r="DLP229" s="1"/>
      <c r="DLQ229" s="1"/>
      <c r="DLR229" s="1"/>
      <c r="DLS229" s="1"/>
      <c r="DLT229" s="1"/>
      <c r="DLU229" s="1"/>
      <c r="DLV229" s="1"/>
      <c r="DLW229" s="1"/>
      <c r="DLX229" s="1"/>
      <c r="DLY229" s="1"/>
      <c r="DLZ229" s="1"/>
      <c r="DMA229" s="1"/>
      <c r="DMB229" s="1"/>
      <c r="DMC229" s="1"/>
      <c r="DMD229" s="1"/>
      <c r="DME229" s="1"/>
      <c r="DMF229" s="1"/>
      <c r="DMG229" s="1"/>
      <c r="DMH229" s="1"/>
      <c r="DMI229" s="1"/>
      <c r="DMJ229" s="1"/>
      <c r="DMK229" s="1"/>
      <c r="DML229" s="1"/>
      <c r="DMM229" s="1"/>
      <c r="DMN229" s="1"/>
      <c r="DMO229" s="1"/>
      <c r="DMP229" s="1"/>
      <c r="DMQ229" s="1"/>
      <c r="DMR229" s="1"/>
      <c r="DMS229" s="1"/>
      <c r="DMT229" s="1"/>
      <c r="DMU229" s="1"/>
      <c r="DMV229" s="1"/>
      <c r="DMW229" s="1"/>
      <c r="DMX229" s="1"/>
      <c r="DMY229" s="1"/>
      <c r="DMZ229" s="1"/>
      <c r="DNA229" s="1"/>
      <c r="DNB229" s="1"/>
      <c r="DNC229" s="1"/>
      <c r="DND229" s="1"/>
      <c r="DNE229" s="1"/>
      <c r="DNF229" s="1"/>
      <c r="DNG229" s="1"/>
      <c r="DNH229" s="1"/>
      <c r="DNI229" s="1"/>
      <c r="DNJ229" s="1"/>
      <c r="DNK229" s="1"/>
      <c r="DNL229" s="1"/>
      <c r="DNM229" s="1"/>
      <c r="DNN229" s="1"/>
      <c r="DNO229" s="1"/>
      <c r="DNP229" s="1"/>
      <c r="DNQ229" s="1"/>
      <c r="DNR229" s="1"/>
      <c r="DNS229" s="1"/>
      <c r="DNT229" s="1"/>
      <c r="DNU229" s="1"/>
      <c r="DNV229" s="1"/>
      <c r="DNW229" s="1"/>
      <c r="DNX229" s="1"/>
      <c r="DNY229" s="1"/>
      <c r="DNZ229" s="1"/>
      <c r="DOA229" s="1"/>
      <c r="DOB229" s="1"/>
      <c r="DOC229" s="1"/>
      <c r="DOD229" s="1"/>
      <c r="DOE229" s="1"/>
      <c r="DOF229" s="1"/>
      <c r="DOG229" s="1"/>
      <c r="DOH229" s="1"/>
      <c r="DOI229" s="1"/>
      <c r="DOJ229" s="1"/>
      <c r="DOK229" s="1"/>
      <c r="DOL229" s="1"/>
      <c r="DOM229" s="1"/>
      <c r="DON229" s="1"/>
      <c r="DOO229" s="1"/>
      <c r="DOP229" s="1"/>
      <c r="DOQ229" s="1"/>
      <c r="DOR229" s="1"/>
      <c r="DOS229" s="1"/>
      <c r="DOT229" s="1"/>
      <c r="DOU229" s="1"/>
      <c r="DOV229" s="1"/>
      <c r="DOW229" s="1"/>
      <c r="DOX229" s="1"/>
      <c r="DOY229" s="1"/>
      <c r="DOZ229" s="1"/>
      <c r="DPA229" s="1"/>
      <c r="DPB229" s="1"/>
      <c r="DPC229" s="1"/>
      <c r="DPD229" s="1"/>
      <c r="DPE229" s="1"/>
      <c r="DPF229" s="1"/>
      <c r="DPG229" s="1"/>
      <c r="DPH229" s="1"/>
      <c r="DPI229" s="1"/>
      <c r="DPJ229" s="1"/>
      <c r="DPK229" s="1"/>
      <c r="DPL229" s="1"/>
      <c r="DPM229" s="1"/>
      <c r="DPN229" s="1"/>
      <c r="DPO229" s="1"/>
      <c r="DPP229" s="1"/>
      <c r="DPQ229" s="1"/>
      <c r="DPR229" s="1"/>
      <c r="DPS229" s="1"/>
      <c r="DPT229" s="1"/>
      <c r="DPU229" s="1"/>
      <c r="DPV229" s="1"/>
      <c r="DPW229" s="1"/>
      <c r="DPX229" s="1"/>
      <c r="DPY229" s="1"/>
      <c r="DPZ229" s="1"/>
      <c r="DQA229" s="1"/>
      <c r="DQB229" s="1"/>
      <c r="DQC229" s="1"/>
      <c r="DQD229" s="1"/>
      <c r="DQE229" s="1"/>
      <c r="DQF229" s="1"/>
      <c r="DQG229" s="1"/>
      <c r="DQH229" s="1"/>
      <c r="DQI229" s="1"/>
      <c r="DQJ229" s="1"/>
      <c r="DQK229" s="1"/>
      <c r="DQL229" s="1"/>
      <c r="DQM229" s="1"/>
      <c r="DQN229" s="1"/>
      <c r="DQO229" s="1"/>
      <c r="DQP229" s="1"/>
      <c r="DQQ229" s="1"/>
      <c r="DQR229" s="1"/>
      <c r="DQS229" s="1"/>
      <c r="DQT229" s="1"/>
      <c r="DQU229" s="1"/>
      <c r="DQV229" s="1"/>
      <c r="DQW229" s="1"/>
      <c r="DQX229" s="1"/>
      <c r="DQY229" s="1"/>
      <c r="DQZ229" s="1"/>
      <c r="DRA229" s="1"/>
      <c r="DRB229" s="1"/>
      <c r="DRC229" s="1"/>
      <c r="DRD229" s="1"/>
      <c r="DRE229" s="1"/>
      <c r="DRF229" s="1"/>
      <c r="DRG229" s="1"/>
      <c r="DRH229" s="1"/>
      <c r="DRI229" s="1"/>
      <c r="DRJ229" s="1"/>
      <c r="DRK229" s="1"/>
      <c r="DRL229" s="1"/>
      <c r="DRM229" s="1"/>
      <c r="DRN229" s="1"/>
      <c r="DRO229" s="1"/>
      <c r="DRP229" s="1"/>
      <c r="DRQ229" s="1"/>
      <c r="DRR229" s="1"/>
      <c r="DRS229" s="1"/>
      <c r="DRT229" s="1"/>
      <c r="DRU229" s="1"/>
      <c r="DRV229" s="1"/>
      <c r="DRW229" s="1"/>
      <c r="DRX229" s="1"/>
      <c r="DRY229" s="1"/>
      <c r="DRZ229" s="1"/>
      <c r="DSA229" s="1"/>
      <c r="DSB229" s="1"/>
      <c r="DSC229" s="1"/>
      <c r="DSD229" s="1"/>
      <c r="DSE229" s="1"/>
      <c r="DSF229" s="1"/>
      <c r="DSG229" s="1"/>
      <c r="DSH229" s="1"/>
      <c r="DSI229" s="1"/>
      <c r="DSJ229" s="1"/>
      <c r="DSK229" s="1"/>
      <c r="DSL229" s="1"/>
      <c r="DSM229" s="1"/>
      <c r="DSN229" s="1"/>
      <c r="DSO229" s="1"/>
      <c r="DSP229" s="1"/>
      <c r="DSQ229" s="1"/>
      <c r="DSR229" s="1"/>
      <c r="DSS229" s="1"/>
      <c r="DST229" s="1"/>
      <c r="DSU229" s="1"/>
      <c r="DSV229" s="1"/>
      <c r="DSW229" s="1"/>
      <c r="DSX229" s="1"/>
      <c r="DSY229" s="1"/>
      <c r="DSZ229" s="1"/>
      <c r="DTA229" s="1"/>
      <c r="DTB229" s="1"/>
      <c r="DTC229" s="1"/>
      <c r="DTD229" s="1"/>
      <c r="DTE229" s="1"/>
      <c r="DTF229" s="1"/>
      <c r="DTG229" s="1"/>
      <c r="DTH229" s="1"/>
      <c r="DTI229" s="1"/>
      <c r="DTJ229" s="1"/>
      <c r="DTK229" s="1"/>
      <c r="DTL229" s="1"/>
      <c r="DTM229" s="1"/>
      <c r="DTN229" s="1"/>
      <c r="DTO229" s="1"/>
      <c r="DTP229" s="1"/>
      <c r="DTQ229" s="1"/>
      <c r="DTR229" s="1"/>
      <c r="DTS229" s="1"/>
      <c r="DTT229" s="1"/>
      <c r="DTU229" s="1"/>
      <c r="DTV229" s="1"/>
      <c r="DTW229" s="1"/>
      <c r="DTX229" s="1"/>
      <c r="DTY229" s="1"/>
      <c r="DTZ229" s="1"/>
      <c r="DUA229" s="1"/>
      <c r="DUB229" s="1"/>
      <c r="DUC229" s="1"/>
      <c r="DUD229" s="1"/>
      <c r="DUE229" s="1"/>
      <c r="DUF229" s="1"/>
      <c r="DUG229" s="1"/>
      <c r="DUH229" s="1"/>
      <c r="DUI229" s="1"/>
      <c r="DUJ229" s="1"/>
      <c r="DUK229" s="1"/>
      <c r="DUL229" s="1"/>
      <c r="DUM229" s="1"/>
      <c r="DUN229" s="1"/>
      <c r="DUO229" s="1"/>
      <c r="DUP229" s="1"/>
      <c r="DUQ229" s="1"/>
      <c r="DUR229" s="1"/>
      <c r="DUS229" s="1"/>
      <c r="DUT229" s="1"/>
      <c r="DUU229" s="1"/>
      <c r="DUV229" s="1"/>
      <c r="DUW229" s="1"/>
      <c r="DUX229" s="1"/>
      <c r="DUY229" s="1"/>
      <c r="DUZ229" s="1"/>
      <c r="DVA229" s="1"/>
      <c r="DVB229" s="1"/>
      <c r="DVC229" s="1"/>
      <c r="DVD229" s="1"/>
      <c r="DVE229" s="1"/>
      <c r="DVF229" s="1"/>
      <c r="DVG229" s="1"/>
      <c r="DVH229" s="1"/>
      <c r="DVI229" s="1"/>
      <c r="DVJ229" s="1"/>
      <c r="DVK229" s="1"/>
      <c r="DVL229" s="1"/>
      <c r="DVM229" s="1"/>
      <c r="DVN229" s="1"/>
      <c r="DVO229" s="1"/>
      <c r="DVP229" s="1"/>
      <c r="DVQ229" s="1"/>
      <c r="DVR229" s="1"/>
      <c r="DVS229" s="1"/>
      <c r="DVT229" s="1"/>
      <c r="DVU229" s="1"/>
      <c r="DVV229" s="1"/>
      <c r="DVW229" s="1"/>
      <c r="DVX229" s="1"/>
      <c r="DVY229" s="1"/>
      <c r="DVZ229" s="1"/>
      <c r="DWA229" s="1"/>
      <c r="DWB229" s="1"/>
      <c r="DWC229" s="1"/>
      <c r="DWD229" s="1"/>
      <c r="DWE229" s="1"/>
      <c r="DWF229" s="1"/>
      <c r="DWG229" s="1"/>
      <c r="DWH229" s="1"/>
      <c r="DWI229" s="1"/>
      <c r="DWJ229" s="1"/>
      <c r="DWK229" s="1"/>
      <c r="DWL229" s="1"/>
      <c r="DWM229" s="1"/>
      <c r="DWN229" s="1"/>
      <c r="DWO229" s="1"/>
      <c r="DWP229" s="1"/>
      <c r="DWQ229" s="1"/>
      <c r="DWR229" s="1"/>
      <c r="DWS229" s="1"/>
      <c r="DWT229" s="1"/>
      <c r="DWU229" s="1"/>
      <c r="DWV229" s="1"/>
      <c r="DWW229" s="1"/>
      <c r="DWX229" s="1"/>
      <c r="DWY229" s="1"/>
      <c r="DWZ229" s="1"/>
      <c r="DXA229" s="1"/>
      <c r="DXB229" s="1"/>
      <c r="DXC229" s="1"/>
      <c r="DXD229" s="1"/>
      <c r="DXE229" s="1"/>
      <c r="DXF229" s="1"/>
      <c r="DXG229" s="1"/>
      <c r="DXH229" s="1"/>
      <c r="DXI229" s="1"/>
      <c r="DXJ229" s="1"/>
      <c r="DXK229" s="1"/>
      <c r="DXL229" s="1"/>
      <c r="DXM229" s="1"/>
      <c r="DXN229" s="1"/>
      <c r="DXO229" s="1"/>
      <c r="DXP229" s="1"/>
      <c r="DXQ229" s="1"/>
      <c r="DXR229" s="1"/>
      <c r="DXS229" s="1"/>
      <c r="DXT229" s="1"/>
      <c r="DXU229" s="1"/>
      <c r="DXV229" s="1"/>
      <c r="DXW229" s="1"/>
      <c r="DXX229" s="1"/>
      <c r="DXY229" s="1"/>
      <c r="DXZ229" s="1"/>
      <c r="DYA229" s="1"/>
      <c r="DYB229" s="1"/>
      <c r="DYC229" s="1"/>
      <c r="DYD229" s="1"/>
      <c r="DYE229" s="1"/>
      <c r="DYF229" s="1"/>
      <c r="DYG229" s="1"/>
      <c r="DYH229" s="1"/>
      <c r="DYI229" s="1"/>
      <c r="DYJ229" s="1"/>
      <c r="DYK229" s="1"/>
      <c r="DYL229" s="1"/>
      <c r="DYM229" s="1"/>
      <c r="DYN229" s="1"/>
      <c r="DYO229" s="1"/>
      <c r="DYP229" s="1"/>
      <c r="DYQ229" s="1"/>
      <c r="DYR229" s="1"/>
      <c r="DYS229" s="1"/>
      <c r="DYT229" s="1"/>
      <c r="DYU229" s="1"/>
      <c r="DYV229" s="1"/>
      <c r="DYW229" s="1"/>
      <c r="DYX229" s="1"/>
      <c r="DYY229" s="1"/>
      <c r="DYZ229" s="1"/>
      <c r="DZA229" s="1"/>
      <c r="DZB229" s="1"/>
      <c r="DZC229" s="1"/>
      <c r="DZD229" s="1"/>
      <c r="DZE229" s="1"/>
      <c r="DZF229" s="1"/>
      <c r="DZG229" s="1"/>
      <c r="DZH229" s="1"/>
      <c r="DZI229" s="1"/>
      <c r="DZJ229" s="1"/>
      <c r="DZK229" s="1"/>
      <c r="DZL229" s="1"/>
      <c r="DZM229" s="1"/>
      <c r="DZN229" s="1"/>
      <c r="DZO229" s="1"/>
      <c r="DZP229" s="1"/>
      <c r="DZQ229" s="1"/>
      <c r="DZR229" s="1"/>
      <c r="DZS229" s="1"/>
      <c r="DZT229" s="1"/>
      <c r="DZU229" s="1"/>
      <c r="DZV229" s="1"/>
      <c r="DZW229" s="1"/>
      <c r="DZX229" s="1"/>
      <c r="DZY229" s="1"/>
      <c r="DZZ229" s="1"/>
      <c r="EAA229" s="1"/>
      <c r="EAB229" s="1"/>
      <c r="EAC229" s="1"/>
      <c r="EAD229" s="1"/>
      <c r="EAE229" s="1"/>
      <c r="EAF229" s="1"/>
      <c r="EAG229" s="1"/>
      <c r="EAH229" s="1"/>
      <c r="EAI229" s="1"/>
      <c r="EAJ229" s="1"/>
      <c r="EAK229" s="1"/>
      <c r="EAL229" s="1"/>
      <c r="EAM229" s="1"/>
      <c r="EAN229" s="1"/>
      <c r="EAO229" s="1"/>
      <c r="EAP229" s="1"/>
      <c r="EAQ229" s="1"/>
      <c r="EAR229" s="1"/>
      <c r="EAS229" s="1"/>
      <c r="EAT229" s="1"/>
      <c r="EAU229" s="1"/>
      <c r="EAV229" s="1"/>
      <c r="EAW229" s="1"/>
      <c r="EAX229" s="1"/>
      <c r="EAY229" s="1"/>
      <c r="EAZ229" s="1"/>
      <c r="EBA229" s="1"/>
      <c r="EBB229" s="1"/>
      <c r="EBC229" s="1"/>
      <c r="EBD229" s="1"/>
      <c r="EBE229" s="1"/>
      <c r="EBF229" s="1"/>
      <c r="EBG229" s="1"/>
      <c r="EBH229" s="1"/>
      <c r="EBI229" s="1"/>
      <c r="EBJ229" s="1"/>
      <c r="EBK229" s="1"/>
      <c r="EBL229" s="1"/>
      <c r="EBM229" s="1"/>
      <c r="EBN229" s="1"/>
      <c r="EBO229" s="1"/>
      <c r="EBP229" s="1"/>
      <c r="EBQ229" s="1"/>
      <c r="EBR229" s="1"/>
      <c r="EBS229" s="1"/>
      <c r="EBT229" s="1"/>
      <c r="EBU229" s="1"/>
      <c r="EBV229" s="1"/>
      <c r="EBW229" s="1"/>
      <c r="EBX229" s="1"/>
      <c r="EBY229" s="1"/>
      <c r="EBZ229" s="1"/>
      <c r="ECA229" s="1"/>
      <c r="ECB229" s="1"/>
      <c r="ECC229" s="1"/>
      <c r="ECD229" s="1"/>
      <c r="ECE229" s="1"/>
      <c r="ECF229" s="1"/>
      <c r="ECG229" s="1"/>
      <c r="ECH229" s="1"/>
      <c r="ECI229" s="1"/>
      <c r="ECJ229" s="1"/>
      <c r="ECK229" s="1"/>
      <c r="ECL229" s="1"/>
      <c r="ECM229" s="1"/>
      <c r="ECN229" s="1"/>
      <c r="ECO229" s="1"/>
      <c r="ECP229" s="1"/>
      <c r="ECQ229" s="1"/>
      <c r="ECR229" s="1"/>
      <c r="ECS229" s="1"/>
      <c r="ECT229" s="1"/>
      <c r="ECU229" s="1"/>
      <c r="ECV229" s="1"/>
      <c r="ECW229" s="1"/>
      <c r="ECX229" s="1"/>
      <c r="ECY229" s="1"/>
      <c r="ECZ229" s="1"/>
      <c r="EDA229" s="1"/>
      <c r="EDB229" s="1"/>
      <c r="EDC229" s="1"/>
      <c r="EDD229" s="1"/>
      <c r="EDE229" s="1"/>
      <c r="EDF229" s="1"/>
      <c r="EDG229" s="1"/>
      <c r="EDH229" s="1"/>
      <c r="EDI229" s="1"/>
      <c r="EDJ229" s="1"/>
      <c r="EDK229" s="1"/>
      <c r="EDL229" s="1"/>
      <c r="EDM229" s="1"/>
      <c r="EDN229" s="1"/>
      <c r="EDO229" s="1"/>
      <c r="EDP229" s="1"/>
      <c r="EDQ229" s="1"/>
      <c r="EDR229" s="1"/>
      <c r="EDS229" s="1"/>
      <c r="EDT229" s="1"/>
      <c r="EDU229" s="1"/>
      <c r="EDV229" s="1"/>
      <c r="EDW229" s="1"/>
      <c r="EDX229" s="1"/>
      <c r="EDY229" s="1"/>
      <c r="EDZ229" s="1"/>
      <c r="EEA229" s="1"/>
      <c r="EEB229" s="1"/>
      <c r="EEC229" s="1"/>
      <c r="EED229" s="1"/>
      <c r="EEE229" s="1"/>
      <c r="EEF229" s="1"/>
      <c r="EEG229" s="1"/>
      <c r="EEH229" s="1"/>
      <c r="EEI229" s="1"/>
      <c r="EEJ229" s="1"/>
      <c r="EEK229" s="1"/>
      <c r="EEL229" s="1"/>
      <c r="EEM229" s="1"/>
      <c r="EEN229" s="1"/>
      <c r="EEO229" s="1"/>
      <c r="EEP229" s="1"/>
      <c r="EEQ229" s="1"/>
      <c r="EER229" s="1"/>
      <c r="EES229" s="1"/>
      <c r="EET229" s="1"/>
      <c r="EEU229" s="1"/>
      <c r="EEV229" s="1"/>
      <c r="EEW229" s="1"/>
      <c r="EEX229" s="1"/>
      <c r="EEY229" s="1"/>
      <c r="EEZ229" s="1"/>
      <c r="EFA229" s="1"/>
      <c r="EFB229" s="1"/>
      <c r="EFC229" s="1"/>
      <c r="EFD229" s="1"/>
      <c r="EFE229" s="1"/>
      <c r="EFF229" s="1"/>
      <c r="EFG229" s="1"/>
      <c r="EFH229" s="1"/>
      <c r="EFI229" s="1"/>
      <c r="EFJ229" s="1"/>
      <c r="EFK229" s="1"/>
      <c r="EFL229" s="1"/>
      <c r="EFM229" s="1"/>
      <c r="EFN229" s="1"/>
      <c r="EFO229" s="1"/>
      <c r="EFP229" s="1"/>
      <c r="EFQ229" s="1"/>
      <c r="EFR229" s="1"/>
      <c r="EFS229" s="1"/>
      <c r="EFT229" s="1"/>
      <c r="EFU229" s="1"/>
      <c r="EFV229" s="1"/>
      <c r="EFW229" s="1"/>
      <c r="EFX229" s="1"/>
      <c r="EFY229" s="1"/>
      <c r="EFZ229" s="1"/>
      <c r="EGA229" s="1"/>
      <c r="EGB229" s="1"/>
      <c r="EGC229" s="1"/>
      <c r="EGD229" s="1"/>
      <c r="EGE229" s="1"/>
      <c r="EGF229" s="1"/>
      <c r="EGG229" s="1"/>
      <c r="EGH229" s="1"/>
      <c r="EGI229" s="1"/>
      <c r="EGJ229" s="1"/>
      <c r="EGK229" s="1"/>
      <c r="EGL229" s="1"/>
      <c r="EGM229" s="1"/>
      <c r="EGN229" s="1"/>
      <c r="EGO229" s="1"/>
      <c r="EGP229" s="1"/>
      <c r="EGQ229" s="1"/>
      <c r="EGR229" s="1"/>
      <c r="EGS229" s="1"/>
      <c r="EGT229" s="1"/>
      <c r="EGU229" s="1"/>
      <c r="EGV229" s="1"/>
      <c r="EGW229" s="1"/>
      <c r="EGX229" s="1"/>
      <c r="EGY229" s="1"/>
      <c r="EGZ229" s="1"/>
      <c r="EHA229" s="1"/>
      <c r="EHB229" s="1"/>
      <c r="EHC229" s="1"/>
      <c r="EHD229" s="1"/>
      <c r="EHE229" s="1"/>
      <c r="EHF229" s="1"/>
      <c r="EHG229" s="1"/>
      <c r="EHH229" s="1"/>
      <c r="EHI229" s="1"/>
      <c r="EHJ229" s="1"/>
      <c r="EHK229" s="1"/>
      <c r="EHL229" s="1"/>
      <c r="EHM229" s="1"/>
      <c r="EHN229" s="1"/>
      <c r="EHO229" s="1"/>
      <c r="EHP229" s="1"/>
      <c r="EHQ229" s="1"/>
      <c r="EHR229" s="1"/>
      <c r="EHS229" s="1"/>
      <c r="EHT229" s="1"/>
      <c r="EHU229" s="1"/>
      <c r="EHV229" s="1"/>
      <c r="EHW229" s="1"/>
      <c r="EHX229" s="1"/>
      <c r="EHY229" s="1"/>
      <c r="EHZ229" s="1"/>
      <c r="EIA229" s="1"/>
      <c r="EIB229" s="1"/>
      <c r="EIC229" s="1"/>
      <c r="EID229" s="1"/>
      <c r="EIE229" s="1"/>
      <c r="EIF229" s="1"/>
      <c r="EIG229" s="1"/>
      <c r="EIH229" s="1"/>
      <c r="EII229" s="1"/>
      <c r="EIJ229" s="1"/>
      <c r="EIK229" s="1"/>
      <c r="EIL229" s="1"/>
      <c r="EIM229" s="1"/>
      <c r="EIN229" s="1"/>
      <c r="EIO229" s="1"/>
      <c r="EIP229" s="1"/>
      <c r="EIQ229" s="1"/>
      <c r="EIR229" s="1"/>
      <c r="EIS229" s="1"/>
      <c r="EIT229" s="1"/>
      <c r="EIU229" s="1"/>
      <c r="EIV229" s="1"/>
      <c r="EIW229" s="1"/>
      <c r="EIX229" s="1"/>
      <c r="EIY229" s="1"/>
      <c r="EIZ229" s="1"/>
      <c r="EJA229" s="1"/>
      <c r="EJB229" s="1"/>
      <c r="EJC229" s="1"/>
      <c r="EJD229" s="1"/>
      <c r="EJE229" s="1"/>
      <c r="EJF229" s="1"/>
      <c r="EJG229" s="1"/>
      <c r="EJH229" s="1"/>
      <c r="EJI229" s="1"/>
      <c r="EJJ229" s="1"/>
      <c r="EJK229" s="1"/>
      <c r="EJL229" s="1"/>
      <c r="EJM229" s="1"/>
      <c r="EJN229" s="1"/>
      <c r="EJO229" s="1"/>
      <c r="EJP229" s="1"/>
      <c r="EJQ229" s="1"/>
      <c r="EJR229" s="1"/>
      <c r="EJS229" s="1"/>
      <c r="EJT229" s="1"/>
      <c r="EJU229" s="1"/>
      <c r="EJV229" s="1"/>
      <c r="EJW229" s="1"/>
      <c r="EJX229" s="1"/>
      <c r="EJY229" s="1"/>
      <c r="EJZ229" s="1"/>
      <c r="EKA229" s="1"/>
      <c r="EKB229" s="1"/>
      <c r="EKC229" s="1"/>
      <c r="EKD229" s="1"/>
      <c r="EKE229" s="1"/>
      <c r="EKF229" s="1"/>
      <c r="EKG229" s="1"/>
      <c r="EKH229" s="1"/>
      <c r="EKI229" s="1"/>
      <c r="EKJ229" s="1"/>
      <c r="EKK229" s="1"/>
      <c r="EKL229" s="1"/>
      <c r="EKM229" s="1"/>
      <c r="EKN229" s="1"/>
      <c r="EKO229" s="1"/>
      <c r="EKP229" s="1"/>
      <c r="EKQ229" s="1"/>
      <c r="EKR229" s="1"/>
      <c r="EKS229" s="1"/>
      <c r="EKT229" s="1"/>
      <c r="EKU229" s="1"/>
      <c r="EKV229" s="1"/>
      <c r="EKW229" s="1"/>
      <c r="EKX229" s="1"/>
      <c r="EKY229" s="1"/>
      <c r="EKZ229" s="1"/>
      <c r="ELA229" s="1"/>
      <c r="ELB229" s="1"/>
      <c r="ELC229" s="1"/>
      <c r="ELD229" s="1"/>
      <c r="ELE229" s="1"/>
      <c r="ELF229" s="1"/>
      <c r="ELG229" s="1"/>
      <c r="ELH229" s="1"/>
      <c r="ELI229" s="1"/>
      <c r="ELJ229" s="1"/>
      <c r="ELK229" s="1"/>
      <c r="ELL229" s="1"/>
      <c r="ELM229" s="1"/>
      <c r="ELN229" s="1"/>
      <c r="ELO229" s="1"/>
      <c r="ELP229" s="1"/>
      <c r="ELQ229" s="1"/>
      <c r="ELR229" s="1"/>
      <c r="ELS229" s="1"/>
      <c r="ELT229" s="1"/>
      <c r="ELU229" s="1"/>
      <c r="ELV229" s="1"/>
      <c r="ELW229" s="1"/>
      <c r="ELX229" s="1"/>
      <c r="ELY229" s="1"/>
      <c r="ELZ229" s="1"/>
      <c r="EMA229" s="1"/>
      <c r="EMB229" s="1"/>
      <c r="EMC229" s="1"/>
      <c r="EMD229" s="1"/>
      <c r="EME229" s="1"/>
      <c r="EMF229" s="1"/>
      <c r="EMG229" s="1"/>
      <c r="EMH229" s="1"/>
      <c r="EMI229" s="1"/>
      <c r="EMJ229" s="1"/>
      <c r="EMK229" s="1"/>
      <c r="EML229" s="1"/>
      <c r="EMM229" s="1"/>
      <c r="EMN229" s="1"/>
      <c r="EMO229" s="1"/>
      <c r="EMP229" s="1"/>
      <c r="EMQ229" s="1"/>
      <c r="EMR229" s="1"/>
      <c r="EMS229" s="1"/>
      <c r="EMT229" s="1"/>
      <c r="EMU229" s="1"/>
      <c r="EMV229" s="1"/>
      <c r="EMW229" s="1"/>
      <c r="EMX229" s="1"/>
      <c r="EMY229" s="1"/>
      <c r="EMZ229" s="1"/>
      <c r="ENA229" s="1"/>
      <c r="ENB229" s="1"/>
      <c r="ENC229" s="1"/>
      <c r="END229" s="1"/>
      <c r="ENE229" s="1"/>
      <c r="ENF229" s="1"/>
      <c r="ENG229" s="1"/>
      <c r="ENH229" s="1"/>
      <c r="ENI229" s="1"/>
      <c r="ENJ229" s="1"/>
      <c r="ENK229" s="1"/>
      <c r="ENL229" s="1"/>
      <c r="ENM229" s="1"/>
      <c r="ENN229" s="1"/>
      <c r="ENO229" s="1"/>
      <c r="ENP229" s="1"/>
      <c r="ENQ229" s="1"/>
      <c r="ENR229" s="1"/>
      <c r="ENS229" s="1"/>
      <c r="ENT229" s="1"/>
      <c r="ENU229" s="1"/>
      <c r="ENV229" s="1"/>
      <c r="ENW229" s="1"/>
      <c r="ENX229" s="1"/>
      <c r="ENY229" s="1"/>
      <c r="ENZ229" s="1"/>
      <c r="EOA229" s="1"/>
      <c r="EOB229" s="1"/>
      <c r="EOC229" s="1"/>
      <c r="EOD229" s="1"/>
      <c r="EOE229" s="1"/>
      <c r="EOF229" s="1"/>
      <c r="EOG229" s="1"/>
      <c r="EOH229" s="1"/>
      <c r="EOI229" s="1"/>
      <c r="EOJ229" s="1"/>
      <c r="EOK229" s="1"/>
      <c r="EOL229" s="1"/>
      <c r="EOM229" s="1"/>
      <c r="EON229" s="1"/>
      <c r="EOO229" s="1"/>
      <c r="EOP229" s="1"/>
      <c r="EOQ229" s="1"/>
      <c r="EOR229" s="1"/>
      <c r="EOS229" s="1"/>
      <c r="EOT229" s="1"/>
      <c r="EOU229" s="1"/>
      <c r="EOV229" s="1"/>
      <c r="EOW229" s="1"/>
      <c r="EOX229" s="1"/>
      <c r="EOY229" s="1"/>
      <c r="EOZ229" s="1"/>
      <c r="EPA229" s="1"/>
      <c r="EPB229" s="1"/>
      <c r="EPC229" s="1"/>
      <c r="EPD229" s="1"/>
      <c r="EPE229" s="1"/>
      <c r="EPF229" s="1"/>
      <c r="EPG229" s="1"/>
      <c r="EPH229" s="1"/>
      <c r="EPI229" s="1"/>
      <c r="EPJ229" s="1"/>
      <c r="EPK229" s="1"/>
      <c r="EPL229" s="1"/>
      <c r="EPM229" s="1"/>
      <c r="EPN229" s="1"/>
      <c r="EPO229" s="1"/>
      <c r="EPP229" s="1"/>
      <c r="EPQ229" s="1"/>
      <c r="EPR229" s="1"/>
      <c r="EPS229" s="1"/>
      <c r="EPT229" s="1"/>
      <c r="EPU229" s="1"/>
      <c r="EPV229" s="1"/>
      <c r="EPW229" s="1"/>
      <c r="EPX229" s="1"/>
      <c r="EPY229" s="1"/>
      <c r="EPZ229" s="1"/>
      <c r="EQA229" s="1"/>
      <c r="EQB229" s="1"/>
      <c r="EQC229" s="1"/>
      <c r="EQD229" s="1"/>
      <c r="EQE229" s="1"/>
      <c r="EQF229" s="1"/>
      <c r="EQG229" s="1"/>
      <c r="EQH229" s="1"/>
      <c r="EQI229" s="1"/>
      <c r="EQJ229" s="1"/>
      <c r="EQK229" s="1"/>
      <c r="EQL229" s="1"/>
      <c r="EQM229" s="1"/>
      <c r="EQN229" s="1"/>
      <c r="EQO229" s="1"/>
      <c r="EQP229" s="1"/>
      <c r="EQQ229" s="1"/>
      <c r="EQR229" s="1"/>
      <c r="EQS229" s="1"/>
      <c r="EQT229" s="1"/>
      <c r="EQU229" s="1"/>
      <c r="EQV229" s="1"/>
      <c r="EQW229" s="1"/>
      <c r="EQX229" s="1"/>
      <c r="EQY229" s="1"/>
      <c r="EQZ229" s="1"/>
      <c r="ERA229" s="1"/>
      <c r="ERB229" s="1"/>
      <c r="ERC229" s="1"/>
      <c r="ERD229" s="1"/>
      <c r="ERE229" s="1"/>
      <c r="ERF229" s="1"/>
      <c r="ERG229" s="1"/>
      <c r="ERH229" s="1"/>
      <c r="ERI229" s="1"/>
      <c r="ERJ229" s="1"/>
      <c r="ERK229" s="1"/>
      <c r="ERL229" s="1"/>
      <c r="ERM229" s="1"/>
      <c r="ERN229" s="1"/>
      <c r="ERO229" s="1"/>
      <c r="ERP229" s="1"/>
      <c r="ERQ229" s="1"/>
      <c r="ERR229" s="1"/>
      <c r="ERS229" s="1"/>
      <c r="ERT229" s="1"/>
      <c r="ERU229" s="1"/>
      <c r="ERV229" s="1"/>
      <c r="ERW229" s="1"/>
      <c r="ERX229" s="1"/>
      <c r="ERY229" s="1"/>
      <c r="ERZ229" s="1"/>
      <c r="ESA229" s="1"/>
      <c r="ESB229" s="1"/>
      <c r="ESC229" s="1"/>
      <c r="ESD229" s="1"/>
      <c r="ESE229" s="1"/>
      <c r="ESF229" s="1"/>
      <c r="ESG229" s="1"/>
      <c r="ESH229" s="1"/>
      <c r="ESI229" s="1"/>
      <c r="ESJ229" s="1"/>
      <c r="ESK229" s="1"/>
      <c r="ESL229" s="1"/>
      <c r="ESM229" s="1"/>
      <c r="ESN229" s="1"/>
      <c r="ESO229" s="1"/>
      <c r="ESP229" s="1"/>
      <c r="ESQ229" s="1"/>
      <c r="ESR229" s="1"/>
      <c r="ESS229" s="1"/>
      <c r="EST229" s="1"/>
      <c r="ESU229" s="1"/>
      <c r="ESV229" s="1"/>
      <c r="ESW229" s="1"/>
      <c r="ESX229" s="1"/>
      <c r="ESY229" s="1"/>
      <c r="ESZ229" s="1"/>
      <c r="ETA229" s="1"/>
      <c r="ETB229" s="1"/>
      <c r="ETC229" s="1"/>
      <c r="ETD229" s="1"/>
      <c r="ETE229" s="1"/>
      <c r="ETF229" s="1"/>
      <c r="ETG229" s="1"/>
      <c r="ETH229" s="1"/>
      <c r="ETI229" s="1"/>
      <c r="ETJ229" s="1"/>
      <c r="ETK229" s="1"/>
      <c r="ETL229" s="1"/>
      <c r="ETM229" s="1"/>
      <c r="ETN229" s="1"/>
      <c r="ETO229" s="1"/>
      <c r="ETP229" s="1"/>
      <c r="ETQ229" s="1"/>
      <c r="ETR229" s="1"/>
      <c r="ETS229" s="1"/>
      <c r="ETT229" s="1"/>
      <c r="ETU229" s="1"/>
      <c r="ETV229" s="1"/>
      <c r="ETW229" s="1"/>
      <c r="ETX229" s="1"/>
      <c r="ETY229" s="1"/>
      <c r="ETZ229" s="1"/>
      <c r="EUA229" s="1"/>
      <c r="EUB229" s="1"/>
      <c r="EUC229" s="1"/>
      <c r="EUD229" s="1"/>
      <c r="EUE229" s="1"/>
      <c r="EUF229" s="1"/>
      <c r="EUG229" s="1"/>
      <c r="EUH229" s="1"/>
      <c r="EUI229" s="1"/>
      <c r="EUJ229" s="1"/>
      <c r="EUK229" s="1"/>
      <c r="EUL229" s="1"/>
      <c r="EUM229" s="1"/>
      <c r="EUN229" s="1"/>
      <c r="EUO229" s="1"/>
      <c r="EUP229" s="1"/>
      <c r="EUQ229" s="1"/>
      <c r="EUR229" s="1"/>
      <c r="EUS229" s="1"/>
      <c r="EUT229" s="1"/>
      <c r="EUU229" s="1"/>
      <c r="EUV229" s="1"/>
      <c r="EUW229" s="1"/>
      <c r="EUX229" s="1"/>
      <c r="EUY229" s="1"/>
      <c r="EUZ229" s="1"/>
      <c r="EVA229" s="1"/>
      <c r="EVB229" s="1"/>
      <c r="EVC229" s="1"/>
      <c r="EVD229" s="1"/>
      <c r="EVE229" s="1"/>
      <c r="EVF229" s="1"/>
      <c r="EVG229" s="1"/>
      <c r="EVH229" s="1"/>
      <c r="EVI229" s="1"/>
      <c r="EVJ229" s="1"/>
      <c r="EVK229" s="1"/>
      <c r="EVL229" s="1"/>
      <c r="EVM229" s="1"/>
      <c r="EVN229" s="1"/>
      <c r="EVO229" s="1"/>
      <c r="EVP229" s="1"/>
      <c r="EVQ229" s="1"/>
      <c r="EVR229" s="1"/>
      <c r="EVS229" s="1"/>
      <c r="EVT229" s="1"/>
      <c r="EVU229" s="1"/>
      <c r="EVV229" s="1"/>
      <c r="EVW229" s="1"/>
      <c r="EVX229" s="1"/>
      <c r="EVY229" s="1"/>
      <c r="EVZ229" s="1"/>
      <c r="EWA229" s="1"/>
      <c r="EWB229" s="1"/>
      <c r="EWC229" s="1"/>
      <c r="EWD229" s="1"/>
      <c r="EWE229" s="1"/>
      <c r="EWF229" s="1"/>
      <c r="EWG229" s="1"/>
      <c r="EWH229" s="1"/>
      <c r="EWI229" s="1"/>
      <c r="EWJ229" s="1"/>
      <c r="EWK229" s="1"/>
      <c r="EWL229" s="1"/>
      <c r="EWM229" s="1"/>
      <c r="EWN229" s="1"/>
      <c r="EWO229" s="1"/>
      <c r="EWP229" s="1"/>
      <c r="EWQ229" s="1"/>
      <c r="EWR229" s="1"/>
      <c r="EWS229" s="1"/>
      <c r="EWT229" s="1"/>
      <c r="EWU229" s="1"/>
      <c r="EWV229" s="1"/>
      <c r="EWW229" s="1"/>
      <c r="EWX229" s="1"/>
      <c r="EWY229" s="1"/>
      <c r="EWZ229" s="1"/>
      <c r="EXA229" s="1"/>
      <c r="EXB229" s="1"/>
      <c r="EXC229" s="1"/>
      <c r="EXD229" s="1"/>
      <c r="EXE229" s="1"/>
      <c r="EXF229" s="1"/>
      <c r="EXG229" s="1"/>
      <c r="EXH229" s="1"/>
      <c r="EXI229" s="1"/>
      <c r="EXJ229" s="1"/>
      <c r="EXK229" s="1"/>
      <c r="EXL229" s="1"/>
      <c r="EXM229" s="1"/>
      <c r="EXN229" s="1"/>
      <c r="EXO229" s="1"/>
      <c r="EXP229" s="1"/>
      <c r="EXQ229" s="1"/>
      <c r="EXR229" s="1"/>
      <c r="EXS229" s="1"/>
      <c r="EXT229" s="1"/>
      <c r="EXU229" s="1"/>
      <c r="EXV229" s="1"/>
      <c r="EXW229" s="1"/>
      <c r="EXX229" s="1"/>
      <c r="EXY229" s="1"/>
      <c r="EXZ229" s="1"/>
      <c r="EYA229" s="1"/>
      <c r="EYB229" s="1"/>
      <c r="EYC229" s="1"/>
      <c r="EYD229" s="1"/>
      <c r="EYE229" s="1"/>
      <c r="EYF229" s="1"/>
      <c r="EYG229" s="1"/>
      <c r="EYH229" s="1"/>
      <c r="EYI229" s="1"/>
      <c r="EYJ229" s="1"/>
      <c r="EYK229" s="1"/>
      <c r="EYL229" s="1"/>
      <c r="EYM229" s="1"/>
      <c r="EYN229" s="1"/>
      <c r="EYO229" s="1"/>
      <c r="EYP229" s="1"/>
      <c r="EYQ229" s="1"/>
      <c r="EYR229" s="1"/>
      <c r="EYS229" s="1"/>
      <c r="EYT229" s="1"/>
      <c r="EYU229" s="1"/>
      <c r="EYV229" s="1"/>
      <c r="EYW229" s="1"/>
      <c r="EYX229" s="1"/>
      <c r="EYY229" s="1"/>
      <c r="EYZ229" s="1"/>
      <c r="EZA229" s="1"/>
      <c r="EZB229" s="1"/>
      <c r="EZC229" s="1"/>
      <c r="EZD229" s="1"/>
      <c r="EZE229" s="1"/>
      <c r="EZF229" s="1"/>
      <c r="EZG229" s="1"/>
      <c r="EZH229" s="1"/>
      <c r="EZI229" s="1"/>
      <c r="EZJ229" s="1"/>
      <c r="EZK229" s="1"/>
      <c r="EZL229" s="1"/>
      <c r="EZM229" s="1"/>
      <c r="EZN229" s="1"/>
      <c r="EZO229" s="1"/>
      <c r="EZP229" s="1"/>
      <c r="EZQ229" s="1"/>
      <c r="EZR229" s="1"/>
      <c r="EZS229" s="1"/>
      <c r="EZT229" s="1"/>
      <c r="EZU229" s="1"/>
      <c r="EZV229" s="1"/>
      <c r="EZW229" s="1"/>
      <c r="EZX229" s="1"/>
      <c r="EZY229" s="1"/>
      <c r="EZZ229" s="1"/>
      <c r="FAA229" s="1"/>
      <c r="FAB229" s="1"/>
      <c r="FAC229" s="1"/>
      <c r="FAD229" s="1"/>
      <c r="FAE229" s="1"/>
      <c r="FAF229" s="1"/>
      <c r="FAG229" s="1"/>
      <c r="FAH229" s="1"/>
      <c r="FAI229" s="1"/>
      <c r="FAJ229" s="1"/>
      <c r="FAK229" s="1"/>
      <c r="FAL229" s="1"/>
      <c r="FAM229" s="1"/>
      <c r="FAN229" s="1"/>
      <c r="FAO229" s="1"/>
      <c r="FAP229" s="1"/>
      <c r="FAQ229" s="1"/>
      <c r="FAR229" s="1"/>
      <c r="FAS229" s="1"/>
      <c r="FAT229" s="1"/>
      <c r="FAU229" s="1"/>
      <c r="FAV229" s="1"/>
      <c r="FAW229" s="1"/>
      <c r="FAX229" s="1"/>
      <c r="FAY229" s="1"/>
      <c r="FAZ229" s="1"/>
      <c r="FBA229" s="1"/>
      <c r="FBB229" s="1"/>
      <c r="FBC229" s="1"/>
      <c r="FBD229" s="1"/>
      <c r="FBE229" s="1"/>
      <c r="FBF229" s="1"/>
      <c r="FBG229" s="1"/>
      <c r="FBH229" s="1"/>
      <c r="FBI229" s="1"/>
      <c r="FBJ229" s="1"/>
      <c r="FBK229" s="1"/>
      <c r="FBL229" s="1"/>
      <c r="FBM229" s="1"/>
      <c r="FBN229" s="1"/>
      <c r="FBO229" s="1"/>
      <c r="FBP229" s="1"/>
      <c r="FBQ229" s="1"/>
      <c r="FBR229" s="1"/>
      <c r="FBS229" s="1"/>
      <c r="FBT229" s="1"/>
      <c r="FBU229" s="1"/>
      <c r="FBV229" s="1"/>
      <c r="FBW229" s="1"/>
      <c r="FBX229" s="1"/>
      <c r="FBY229" s="1"/>
      <c r="FBZ229" s="1"/>
      <c r="FCA229" s="1"/>
      <c r="FCB229" s="1"/>
      <c r="FCC229" s="1"/>
      <c r="FCD229" s="1"/>
      <c r="FCE229" s="1"/>
      <c r="FCF229" s="1"/>
      <c r="FCG229" s="1"/>
      <c r="FCH229" s="1"/>
      <c r="FCI229" s="1"/>
      <c r="FCJ229" s="1"/>
      <c r="FCK229" s="1"/>
      <c r="FCL229" s="1"/>
      <c r="FCM229" s="1"/>
      <c r="FCN229" s="1"/>
      <c r="FCO229" s="1"/>
      <c r="FCP229" s="1"/>
      <c r="FCQ229" s="1"/>
      <c r="FCR229" s="1"/>
      <c r="FCS229" s="1"/>
      <c r="FCT229" s="1"/>
      <c r="FCU229" s="1"/>
      <c r="FCV229" s="1"/>
      <c r="FCW229" s="1"/>
      <c r="FCX229" s="1"/>
      <c r="FCY229" s="1"/>
      <c r="FCZ229" s="1"/>
      <c r="FDA229" s="1"/>
      <c r="FDB229" s="1"/>
      <c r="FDC229" s="1"/>
      <c r="FDD229" s="1"/>
      <c r="FDE229" s="1"/>
      <c r="FDF229" s="1"/>
      <c r="FDG229" s="1"/>
      <c r="FDH229" s="1"/>
      <c r="FDI229" s="1"/>
      <c r="FDJ229" s="1"/>
      <c r="FDK229" s="1"/>
      <c r="FDL229" s="1"/>
      <c r="FDM229" s="1"/>
      <c r="FDN229" s="1"/>
      <c r="FDO229" s="1"/>
      <c r="FDP229" s="1"/>
      <c r="FDQ229" s="1"/>
      <c r="FDR229" s="1"/>
      <c r="FDS229" s="1"/>
      <c r="FDT229" s="1"/>
      <c r="FDU229" s="1"/>
      <c r="FDV229" s="1"/>
      <c r="FDW229" s="1"/>
      <c r="FDX229" s="1"/>
      <c r="FDY229" s="1"/>
      <c r="FDZ229" s="1"/>
      <c r="FEA229" s="1"/>
      <c r="FEB229" s="1"/>
      <c r="FEC229" s="1"/>
      <c r="FED229" s="1"/>
      <c r="FEE229" s="1"/>
      <c r="FEF229" s="1"/>
      <c r="FEG229" s="1"/>
      <c r="FEH229" s="1"/>
      <c r="FEI229" s="1"/>
      <c r="FEJ229" s="1"/>
      <c r="FEK229" s="1"/>
      <c r="FEL229" s="1"/>
      <c r="FEM229" s="1"/>
      <c r="FEN229" s="1"/>
      <c r="FEO229" s="1"/>
      <c r="FEP229" s="1"/>
      <c r="FEQ229" s="1"/>
      <c r="FER229" s="1"/>
      <c r="FES229" s="1"/>
      <c r="FET229" s="1"/>
      <c r="FEU229" s="1"/>
      <c r="FEV229" s="1"/>
      <c r="FEW229" s="1"/>
      <c r="FEX229" s="1"/>
      <c r="FEY229" s="1"/>
      <c r="FEZ229" s="1"/>
      <c r="FFA229" s="1"/>
      <c r="FFB229" s="1"/>
      <c r="FFC229" s="1"/>
      <c r="FFD229" s="1"/>
      <c r="FFE229" s="1"/>
      <c r="FFF229" s="1"/>
      <c r="FFG229" s="1"/>
      <c r="FFH229" s="1"/>
      <c r="FFI229" s="1"/>
      <c r="FFJ229" s="1"/>
      <c r="FFK229" s="1"/>
      <c r="FFL229" s="1"/>
      <c r="FFM229" s="1"/>
      <c r="FFN229" s="1"/>
      <c r="FFO229" s="1"/>
      <c r="FFP229" s="1"/>
      <c r="FFQ229" s="1"/>
      <c r="FFR229" s="1"/>
      <c r="FFS229" s="1"/>
      <c r="FFT229" s="1"/>
      <c r="FFU229" s="1"/>
      <c r="FFV229" s="1"/>
      <c r="FFW229" s="1"/>
      <c r="FFX229" s="1"/>
      <c r="FFY229" s="1"/>
      <c r="FFZ229" s="1"/>
      <c r="FGA229" s="1"/>
      <c r="FGB229" s="1"/>
      <c r="FGC229" s="1"/>
      <c r="FGD229" s="1"/>
      <c r="FGE229" s="1"/>
      <c r="FGF229" s="1"/>
      <c r="FGG229" s="1"/>
      <c r="FGH229" s="1"/>
      <c r="FGI229" s="1"/>
      <c r="FGJ229" s="1"/>
      <c r="FGK229" s="1"/>
      <c r="FGL229" s="1"/>
      <c r="FGM229" s="1"/>
      <c r="FGN229" s="1"/>
      <c r="FGO229" s="1"/>
      <c r="FGP229" s="1"/>
      <c r="FGQ229" s="1"/>
      <c r="FGR229" s="1"/>
      <c r="FGS229" s="1"/>
      <c r="FGT229" s="1"/>
      <c r="FGU229" s="1"/>
      <c r="FGV229" s="1"/>
      <c r="FGW229" s="1"/>
      <c r="FGX229" s="1"/>
      <c r="FGY229" s="1"/>
      <c r="FGZ229" s="1"/>
      <c r="FHA229" s="1"/>
      <c r="FHB229" s="1"/>
      <c r="FHC229" s="1"/>
      <c r="FHD229" s="1"/>
      <c r="FHE229" s="1"/>
      <c r="FHF229" s="1"/>
      <c r="FHG229" s="1"/>
      <c r="FHH229" s="1"/>
      <c r="FHI229" s="1"/>
      <c r="FHJ229" s="1"/>
      <c r="FHK229" s="1"/>
      <c r="FHL229" s="1"/>
      <c r="FHM229" s="1"/>
      <c r="FHN229" s="1"/>
      <c r="FHO229" s="1"/>
      <c r="FHP229" s="1"/>
      <c r="FHQ229" s="1"/>
      <c r="FHR229" s="1"/>
      <c r="FHS229" s="1"/>
      <c r="FHT229" s="1"/>
      <c r="FHU229" s="1"/>
      <c r="FHV229" s="1"/>
      <c r="FHW229" s="1"/>
      <c r="FHX229" s="1"/>
      <c r="FHY229" s="1"/>
      <c r="FHZ229" s="1"/>
      <c r="FIA229" s="1"/>
      <c r="FIB229" s="1"/>
      <c r="FIC229" s="1"/>
      <c r="FID229" s="1"/>
      <c r="FIE229" s="1"/>
      <c r="FIF229" s="1"/>
      <c r="FIG229" s="1"/>
      <c r="FIH229" s="1"/>
      <c r="FII229" s="1"/>
      <c r="FIJ229" s="1"/>
      <c r="FIK229" s="1"/>
      <c r="FIL229" s="1"/>
      <c r="FIM229" s="1"/>
      <c r="FIN229" s="1"/>
      <c r="FIO229" s="1"/>
      <c r="FIP229" s="1"/>
      <c r="FIQ229" s="1"/>
      <c r="FIR229" s="1"/>
      <c r="FIS229" s="1"/>
      <c r="FIT229" s="1"/>
      <c r="FIU229" s="1"/>
      <c r="FIV229" s="1"/>
      <c r="FIW229" s="1"/>
      <c r="FIX229" s="1"/>
      <c r="FIY229" s="1"/>
      <c r="FIZ229" s="1"/>
      <c r="FJA229" s="1"/>
      <c r="FJB229" s="1"/>
      <c r="FJC229" s="1"/>
      <c r="FJD229" s="1"/>
      <c r="FJE229" s="1"/>
      <c r="FJF229" s="1"/>
      <c r="FJG229" s="1"/>
      <c r="FJH229" s="1"/>
      <c r="FJI229" s="1"/>
      <c r="FJJ229" s="1"/>
      <c r="FJK229" s="1"/>
      <c r="FJL229" s="1"/>
      <c r="FJM229" s="1"/>
      <c r="FJN229" s="1"/>
      <c r="FJO229" s="1"/>
      <c r="FJP229" s="1"/>
      <c r="FJQ229" s="1"/>
      <c r="FJR229" s="1"/>
      <c r="FJS229" s="1"/>
      <c r="FJT229" s="1"/>
      <c r="FJU229" s="1"/>
      <c r="FJV229" s="1"/>
      <c r="FJW229" s="1"/>
      <c r="FJX229" s="1"/>
      <c r="FJY229" s="1"/>
      <c r="FJZ229" s="1"/>
      <c r="FKA229" s="1"/>
      <c r="FKB229" s="1"/>
      <c r="FKC229" s="1"/>
      <c r="FKD229" s="1"/>
      <c r="FKE229" s="1"/>
      <c r="FKF229" s="1"/>
      <c r="FKG229" s="1"/>
      <c r="FKH229" s="1"/>
      <c r="FKI229" s="1"/>
      <c r="FKJ229" s="1"/>
      <c r="FKK229" s="1"/>
      <c r="FKL229" s="1"/>
      <c r="FKM229" s="1"/>
      <c r="FKN229" s="1"/>
      <c r="FKO229" s="1"/>
      <c r="FKP229" s="1"/>
      <c r="FKQ229" s="1"/>
      <c r="FKR229" s="1"/>
      <c r="FKS229" s="1"/>
      <c r="FKT229" s="1"/>
      <c r="FKU229" s="1"/>
      <c r="FKV229" s="1"/>
      <c r="FKW229" s="1"/>
      <c r="FKX229" s="1"/>
      <c r="FKY229" s="1"/>
      <c r="FKZ229" s="1"/>
      <c r="FLA229" s="1"/>
      <c r="FLB229" s="1"/>
      <c r="FLC229" s="1"/>
      <c r="FLD229" s="1"/>
      <c r="FLE229" s="1"/>
      <c r="FLF229" s="1"/>
      <c r="FLG229" s="1"/>
      <c r="FLH229" s="1"/>
      <c r="FLI229" s="1"/>
      <c r="FLJ229" s="1"/>
      <c r="FLK229" s="1"/>
      <c r="FLL229" s="1"/>
      <c r="FLM229" s="1"/>
      <c r="FLN229" s="1"/>
      <c r="FLO229" s="1"/>
      <c r="FLP229" s="1"/>
      <c r="FLQ229" s="1"/>
      <c r="FLR229" s="1"/>
      <c r="FLS229" s="1"/>
      <c r="FLT229" s="1"/>
      <c r="FLU229" s="1"/>
      <c r="FLV229" s="1"/>
      <c r="FLW229" s="1"/>
      <c r="FLX229" s="1"/>
      <c r="FLY229" s="1"/>
      <c r="FLZ229" s="1"/>
      <c r="FMA229" s="1"/>
      <c r="FMB229" s="1"/>
      <c r="FMC229" s="1"/>
      <c r="FMD229" s="1"/>
      <c r="FME229" s="1"/>
      <c r="FMF229" s="1"/>
      <c r="FMG229" s="1"/>
      <c r="FMH229" s="1"/>
      <c r="FMI229" s="1"/>
      <c r="FMJ229" s="1"/>
      <c r="FMK229" s="1"/>
      <c r="FML229" s="1"/>
      <c r="FMM229" s="1"/>
      <c r="FMN229" s="1"/>
      <c r="FMO229" s="1"/>
      <c r="FMP229" s="1"/>
      <c r="FMQ229" s="1"/>
      <c r="FMR229" s="1"/>
      <c r="FMS229" s="1"/>
      <c r="FMT229" s="1"/>
      <c r="FMU229" s="1"/>
      <c r="FMV229" s="1"/>
      <c r="FMW229" s="1"/>
      <c r="FMX229" s="1"/>
      <c r="FMY229" s="1"/>
      <c r="FMZ229" s="1"/>
      <c r="FNA229" s="1"/>
      <c r="FNB229" s="1"/>
      <c r="FNC229" s="1"/>
      <c r="FND229" s="1"/>
      <c r="FNE229" s="1"/>
      <c r="FNF229" s="1"/>
      <c r="FNG229" s="1"/>
      <c r="FNH229" s="1"/>
      <c r="FNI229" s="1"/>
      <c r="FNJ229" s="1"/>
      <c r="FNK229" s="1"/>
      <c r="FNL229" s="1"/>
      <c r="FNM229" s="1"/>
      <c r="FNN229" s="1"/>
      <c r="FNO229" s="1"/>
      <c r="FNP229" s="1"/>
      <c r="FNQ229" s="1"/>
      <c r="FNR229" s="1"/>
      <c r="FNS229" s="1"/>
      <c r="FNT229" s="1"/>
      <c r="FNU229" s="1"/>
      <c r="FNV229" s="1"/>
      <c r="FNW229" s="1"/>
      <c r="FNX229" s="1"/>
      <c r="FNY229" s="1"/>
      <c r="FNZ229" s="1"/>
      <c r="FOA229" s="1"/>
      <c r="FOB229" s="1"/>
      <c r="FOC229" s="1"/>
      <c r="FOD229" s="1"/>
      <c r="FOE229" s="1"/>
      <c r="FOF229" s="1"/>
      <c r="FOG229" s="1"/>
      <c r="FOH229" s="1"/>
      <c r="FOI229" s="1"/>
      <c r="FOJ229" s="1"/>
      <c r="FOK229" s="1"/>
      <c r="FOL229" s="1"/>
      <c r="FOM229" s="1"/>
      <c r="FON229" s="1"/>
      <c r="FOO229" s="1"/>
      <c r="FOP229" s="1"/>
      <c r="FOQ229" s="1"/>
      <c r="FOR229" s="1"/>
      <c r="FOS229" s="1"/>
      <c r="FOT229" s="1"/>
      <c r="FOU229" s="1"/>
      <c r="FOV229" s="1"/>
      <c r="FOW229" s="1"/>
      <c r="FOX229" s="1"/>
      <c r="FOY229" s="1"/>
      <c r="FOZ229" s="1"/>
      <c r="FPA229" s="1"/>
      <c r="FPB229" s="1"/>
      <c r="FPC229" s="1"/>
      <c r="FPD229" s="1"/>
      <c r="FPE229" s="1"/>
      <c r="FPF229" s="1"/>
      <c r="FPG229" s="1"/>
      <c r="FPH229" s="1"/>
      <c r="FPI229" s="1"/>
      <c r="FPJ229" s="1"/>
      <c r="FPK229" s="1"/>
      <c r="FPL229" s="1"/>
      <c r="FPM229" s="1"/>
      <c r="FPN229" s="1"/>
      <c r="FPO229" s="1"/>
      <c r="FPP229" s="1"/>
      <c r="FPQ229" s="1"/>
      <c r="FPR229" s="1"/>
      <c r="FPS229" s="1"/>
      <c r="FPT229" s="1"/>
      <c r="FPU229" s="1"/>
      <c r="FPV229" s="1"/>
      <c r="FPW229" s="1"/>
      <c r="FPX229" s="1"/>
      <c r="FPY229" s="1"/>
      <c r="FPZ229" s="1"/>
      <c r="FQA229" s="1"/>
      <c r="FQB229" s="1"/>
      <c r="FQC229" s="1"/>
      <c r="FQD229" s="1"/>
      <c r="FQE229" s="1"/>
      <c r="FQF229" s="1"/>
      <c r="FQG229" s="1"/>
      <c r="FQH229" s="1"/>
      <c r="FQI229" s="1"/>
      <c r="FQJ229" s="1"/>
      <c r="FQK229" s="1"/>
      <c r="FQL229" s="1"/>
      <c r="FQM229" s="1"/>
      <c r="FQN229" s="1"/>
      <c r="FQO229" s="1"/>
      <c r="FQP229" s="1"/>
      <c r="FQQ229" s="1"/>
      <c r="FQR229" s="1"/>
      <c r="FQS229" s="1"/>
      <c r="FQT229" s="1"/>
      <c r="FQU229" s="1"/>
      <c r="FQV229" s="1"/>
      <c r="FQW229" s="1"/>
      <c r="FQX229" s="1"/>
      <c r="FQY229" s="1"/>
      <c r="FQZ229" s="1"/>
      <c r="FRA229" s="1"/>
      <c r="FRB229" s="1"/>
      <c r="FRC229" s="1"/>
      <c r="FRD229" s="1"/>
      <c r="FRE229" s="1"/>
      <c r="FRF229" s="1"/>
      <c r="FRG229" s="1"/>
      <c r="FRH229" s="1"/>
      <c r="FRI229" s="1"/>
      <c r="FRJ229" s="1"/>
      <c r="FRK229" s="1"/>
      <c r="FRL229" s="1"/>
      <c r="FRM229" s="1"/>
      <c r="FRN229" s="1"/>
      <c r="FRO229" s="1"/>
      <c r="FRP229" s="1"/>
      <c r="FRQ229" s="1"/>
      <c r="FRR229" s="1"/>
      <c r="FRS229" s="1"/>
      <c r="FRT229" s="1"/>
      <c r="FRU229" s="1"/>
      <c r="FRV229" s="1"/>
      <c r="FRW229" s="1"/>
      <c r="FRX229" s="1"/>
      <c r="FRY229" s="1"/>
      <c r="FRZ229" s="1"/>
      <c r="FSA229" s="1"/>
      <c r="FSB229" s="1"/>
      <c r="FSC229" s="1"/>
      <c r="FSD229" s="1"/>
      <c r="FSE229" s="1"/>
      <c r="FSF229" s="1"/>
      <c r="FSG229" s="1"/>
      <c r="FSH229" s="1"/>
      <c r="FSI229" s="1"/>
      <c r="FSJ229" s="1"/>
      <c r="FSK229" s="1"/>
      <c r="FSL229" s="1"/>
      <c r="FSM229" s="1"/>
      <c r="FSN229" s="1"/>
      <c r="FSO229" s="1"/>
      <c r="FSP229" s="1"/>
      <c r="FSQ229" s="1"/>
      <c r="FSR229" s="1"/>
      <c r="FSS229" s="1"/>
      <c r="FST229" s="1"/>
      <c r="FSU229" s="1"/>
      <c r="FSV229" s="1"/>
      <c r="FSW229" s="1"/>
      <c r="FSX229" s="1"/>
      <c r="FSY229" s="1"/>
      <c r="FSZ229" s="1"/>
      <c r="FTA229" s="1"/>
      <c r="FTB229" s="1"/>
      <c r="FTC229" s="1"/>
      <c r="FTD229" s="1"/>
      <c r="FTE229" s="1"/>
      <c r="FTF229" s="1"/>
      <c r="FTG229" s="1"/>
      <c r="FTH229" s="1"/>
      <c r="FTI229" s="1"/>
      <c r="FTJ229" s="1"/>
      <c r="FTK229" s="1"/>
      <c r="FTL229" s="1"/>
      <c r="FTM229" s="1"/>
      <c r="FTN229" s="1"/>
      <c r="FTO229" s="1"/>
      <c r="FTP229" s="1"/>
      <c r="FTQ229" s="1"/>
      <c r="FTR229" s="1"/>
      <c r="FTS229" s="1"/>
      <c r="FTT229" s="1"/>
      <c r="FTU229" s="1"/>
      <c r="FTV229" s="1"/>
      <c r="FTW229" s="1"/>
      <c r="FTX229" s="1"/>
      <c r="FTY229" s="1"/>
      <c r="FTZ229" s="1"/>
      <c r="FUA229" s="1"/>
      <c r="FUB229" s="1"/>
      <c r="FUC229" s="1"/>
      <c r="FUD229" s="1"/>
      <c r="FUE229" s="1"/>
      <c r="FUF229" s="1"/>
      <c r="FUG229" s="1"/>
      <c r="FUH229" s="1"/>
      <c r="FUI229" s="1"/>
      <c r="FUJ229" s="1"/>
      <c r="FUK229" s="1"/>
      <c r="FUL229" s="1"/>
      <c r="FUM229" s="1"/>
      <c r="FUN229" s="1"/>
      <c r="FUO229" s="1"/>
      <c r="FUP229" s="1"/>
      <c r="FUQ229" s="1"/>
      <c r="FUR229" s="1"/>
      <c r="FUS229" s="1"/>
      <c r="FUT229" s="1"/>
      <c r="FUU229" s="1"/>
      <c r="FUV229" s="1"/>
      <c r="FUW229" s="1"/>
      <c r="FUX229" s="1"/>
      <c r="FUY229" s="1"/>
      <c r="FUZ229" s="1"/>
      <c r="FVA229" s="1"/>
      <c r="FVB229" s="1"/>
      <c r="FVC229" s="1"/>
      <c r="FVD229" s="1"/>
      <c r="FVE229" s="1"/>
      <c r="FVF229" s="1"/>
      <c r="FVG229" s="1"/>
      <c r="FVH229" s="1"/>
      <c r="FVI229" s="1"/>
      <c r="FVJ229" s="1"/>
      <c r="FVK229" s="1"/>
      <c r="FVL229" s="1"/>
      <c r="FVM229" s="1"/>
      <c r="FVN229" s="1"/>
      <c r="FVO229" s="1"/>
      <c r="FVP229" s="1"/>
      <c r="FVQ229" s="1"/>
      <c r="FVR229" s="1"/>
      <c r="FVS229" s="1"/>
      <c r="FVT229" s="1"/>
      <c r="FVU229" s="1"/>
      <c r="FVV229" s="1"/>
      <c r="FVW229" s="1"/>
      <c r="FVX229" s="1"/>
      <c r="FVY229" s="1"/>
      <c r="FVZ229" s="1"/>
      <c r="FWA229" s="1"/>
      <c r="FWB229" s="1"/>
      <c r="FWC229" s="1"/>
      <c r="FWD229" s="1"/>
      <c r="FWE229" s="1"/>
      <c r="FWF229" s="1"/>
      <c r="FWG229" s="1"/>
      <c r="FWH229" s="1"/>
      <c r="FWI229" s="1"/>
      <c r="FWJ229" s="1"/>
      <c r="FWK229" s="1"/>
      <c r="FWL229" s="1"/>
      <c r="FWM229" s="1"/>
      <c r="FWN229" s="1"/>
      <c r="FWO229" s="1"/>
      <c r="FWP229" s="1"/>
      <c r="FWQ229" s="1"/>
      <c r="FWR229" s="1"/>
      <c r="FWS229" s="1"/>
      <c r="FWT229" s="1"/>
      <c r="FWU229" s="1"/>
      <c r="FWV229" s="1"/>
      <c r="FWW229" s="1"/>
      <c r="FWX229" s="1"/>
      <c r="FWY229" s="1"/>
      <c r="FWZ229" s="1"/>
      <c r="FXA229" s="1"/>
      <c r="FXB229" s="1"/>
      <c r="FXC229" s="1"/>
      <c r="FXD229" s="1"/>
      <c r="FXE229" s="1"/>
      <c r="FXF229" s="1"/>
      <c r="FXG229" s="1"/>
      <c r="FXH229" s="1"/>
      <c r="FXI229" s="1"/>
      <c r="FXJ229" s="1"/>
      <c r="FXK229" s="1"/>
      <c r="FXL229" s="1"/>
      <c r="FXM229" s="1"/>
      <c r="FXN229" s="1"/>
      <c r="FXO229" s="1"/>
      <c r="FXP229" s="1"/>
      <c r="FXQ229" s="1"/>
      <c r="FXR229" s="1"/>
      <c r="FXS229" s="1"/>
      <c r="FXT229" s="1"/>
      <c r="FXU229" s="1"/>
      <c r="FXV229" s="1"/>
      <c r="FXW229" s="1"/>
      <c r="FXX229" s="1"/>
      <c r="FXY229" s="1"/>
      <c r="FXZ229" s="1"/>
      <c r="FYA229" s="1"/>
      <c r="FYB229" s="1"/>
      <c r="FYC229" s="1"/>
      <c r="FYD229" s="1"/>
      <c r="FYE229" s="1"/>
      <c r="FYF229" s="1"/>
      <c r="FYG229" s="1"/>
      <c r="FYH229" s="1"/>
      <c r="FYI229" s="1"/>
      <c r="FYJ229" s="1"/>
      <c r="FYK229" s="1"/>
      <c r="FYL229" s="1"/>
      <c r="FYM229" s="1"/>
      <c r="FYN229" s="1"/>
      <c r="FYO229" s="1"/>
      <c r="FYP229" s="1"/>
      <c r="FYQ229" s="1"/>
      <c r="FYR229" s="1"/>
      <c r="FYS229" s="1"/>
      <c r="FYT229" s="1"/>
      <c r="FYU229" s="1"/>
      <c r="FYV229" s="1"/>
      <c r="FYW229" s="1"/>
      <c r="FYX229" s="1"/>
      <c r="FYY229" s="1"/>
      <c r="FYZ229" s="1"/>
      <c r="FZA229" s="1"/>
      <c r="FZB229" s="1"/>
      <c r="FZC229" s="1"/>
      <c r="FZD229" s="1"/>
      <c r="FZE229" s="1"/>
      <c r="FZF229" s="1"/>
      <c r="FZG229" s="1"/>
      <c r="FZH229" s="1"/>
      <c r="FZI229" s="1"/>
      <c r="FZJ229" s="1"/>
      <c r="FZK229" s="1"/>
      <c r="FZL229" s="1"/>
      <c r="FZM229" s="1"/>
      <c r="FZN229" s="1"/>
      <c r="FZO229" s="1"/>
      <c r="FZP229" s="1"/>
      <c r="FZQ229" s="1"/>
      <c r="FZR229" s="1"/>
      <c r="FZS229" s="1"/>
      <c r="FZT229" s="1"/>
      <c r="FZU229" s="1"/>
      <c r="FZV229" s="1"/>
      <c r="FZW229" s="1"/>
      <c r="FZX229" s="1"/>
      <c r="FZY229" s="1"/>
      <c r="FZZ229" s="1"/>
      <c r="GAA229" s="1"/>
      <c r="GAB229" s="1"/>
      <c r="GAC229" s="1"/>
      <c r="GAD229" s="1"/>
      <c r="GAE229" s="1"/>
      <c r="GAF229" s="1"/>
      <c r="GAG229" s="1"/>
      <c r="GAH229" s="1"/>
      <c r="GAI229" s="1"/>
      <c r="GAJ229" s="1"/>
      <c r="GAK229" s="1"/>
      <c r="GAL229" s="1"/>
      <c r="GAM229" s="1"/>
      <c r="GAN229" s="1"/>
      <c r="GAO229" s="1"/>
      <c r="GAP229" s="1"/>
      <c r="GAQ229" s="1"/>
      <c r="GAR229" s="1"/>
      <c r="GAS229" s="1"/>
      <c r="GAT229" s="1"/>
      <c r="GAU229" s="1"/>
      <c r="GAV229" s="1"/>
      <c r="GAW229" s="1"/>
      <c r="GAX229" s="1"/>
      <c r="GAY229" s="1"/>
      <c r="GAZ229" s="1"/>
      <c r="GBA229" s="1"/>
      <c r="GBB229" s="1"/>
      <c r="GBC229" s="1"/>
      <c r="GBD229" s="1"/>
      <c r="GBE229" s="1"/>
      <c r="GBF229" s="1"/>
      <c r="GBG229" s="1"/>
      <c r="GBH229" s="1"/>
      <c r="GBI229" s="1"/>
      <c r="GBJ229" s="1"/>
      <c r="GBK229" s="1"/>
      <c r="GBL229" s="1"/>
      <c r="GBM229" s="1"/>
      <c r="GBN229" s="1"/>
      <c r="GBO229" s="1"/>
      <c r="GBP229" s="1"/>
      <c r="GBQ229" s="1"/>
      <c r="GBR229" s="1"/>
      <c r="GBS229" s="1"/>
      <c r="GBT229" s="1"/>
      <c r="GBU229" s="1"/>
      <c r="GBV229" s="1"/>
      <c r="GBW229" s="1"/>
      <c r="GBX229" s="1"/>
      <c r="GBY229" s="1"/>
      <c r="GBZ229" s="1"/>
      <c r="GCA229" s="1"/>
      <c r="GCB229" s="1"/>
      <c r="GCC229" s="1"/>
      <c r="GCD229" s="1"/>
      <c r="GCE229" s="1"/>
      <c r="GCF229" s="1"/>
      <c r="GCG229" s="1"/>
      <c r="GCH229" s="1"/>
      <c r="GCI229" s="1"/>
      <c r="GCJ229" s="1"/>
      <c r="GCK229" s="1"/>
      <c r="GCL229" s="1"/>
      <c r="GCM229" s="1"/>
      <c r="GCN229" s="1"/>
      <c r="GCO229" s="1"/>
      <c r="GCP229" s="1"/>
      <c r="GCQ229" s="1"/>
      <c r="GCR229" s="1"/>
      <c r="GCS229" s="1"/>
      <c r="GCT229" s="1"/>
      <c r="GCU229" s="1"/>
      <c r="GCV229" s="1"/>
      <c r="GCW229" s="1"/>
      <c r="GCX229" s="1"/>
      <c r="GCY229" s="1"/>
      <c r="GCZ229" s="1"/>
      <c r="GDA229" s="1"/>
      <c r="GDB229" s="1"/>
      <c r="GDC229" s="1"/>
      <c r="GDD229" s="1"/>
      <c r="GDE229" s="1"/>
      <c r="GDF229" s="1"/>
      <c r="GDG229" s="1"/>
      <c r="GDH229" s="1"/>
      <c r="GDI229" s="1"/>
      <c r="GDJ229" s="1"/>
      <c r="GDK229" s="1"/>
      <c r="GDL229" s="1"/>
      <c r="GDM229" s="1"/>
      <c r="GDN229" s="1"/>
      <c r="GDO229" s="1"/>
      <c r="GDP229" s="1"/>
      <c r="GDQ229" s="1"/>
      <c r="GDR229" s="1"/>
      <c r="GDS229" s="1"/>
      <c r="GDT229" s="1"/>
      <c r="GDU229" s="1"/>
      <c r="GDV229" s="1"/>
      <c r="GDW229" s="1"/>
      <c r="GDX229" s="1"/>
      <c r="GDY229" s="1"/>
      <c r="GDZ229" s="1"/>
      <c r="GEA229" s="1"/>
      <c r="GEB229" s="1"/>
      <c r="GEC229" s="1"/>
      <c r="GED229" s="1"/>
      <c r="GEE229" s="1"/>
      <c r="GEF229" s="1"/>
      <c r="GEG229" s="1"/>
      <c r="GEH229" s="1"/>
      <c r="GEI229" s="1"/>
      <c r="GEJ229" s="1"/>
      <c r="GEK229" s="1"/>
      <c r="GEL229" s="1"/>
      <c r="GEM229" s="1"/>
      <c r="GEN229" s="1"/>
      <c r="GEO229" s="1"/>
      <c r="GEP229" s="1"/>
      <c r="GEQ229" s="1"/>
      <c r="GER229" s="1"/>
      <c r="GES229" s="1"/>
      <c r="GET229" s="1"/>
      <c r="GEU229" s="1"/>
      <c r="GEV229" s="1"/>
      <c r="GEW229" s="1"/>
      <c r="GEX229" s="1"/>
      <c r="GEY229" s="1"/>
      <c r="GEZ229" s="1"/>
      <c r="GFA229" s="1"/>
      <c r="GFB229" s="1"/>
      <c r="GFC229" s="1"/>
      <c r="GFD229" s="1"/>
      <c r="GFE229" s="1"/>
      <c r="GFF229" s="1"/>
      <c r="GFG229" s="1"/>
      <c r="GFH229" s="1"/>
      <c r="GFI229" s="1"/>
      <c r="GFJ229" s="1"/>
      <c r="GFK229" s="1"/>
      <c r="GFL229" s="1"/>
      <c r="GFM229" s="1"/>
      <c r="GFN229" s="1"/>
      <c r="GFO229" s="1"/>
      <c r="GFP229" s="1"/>
      <c r="GFQ229" s="1"/>
      <c r="GFR229" s="1"/>
      <c r="GFS229" s="1"/>
      <c r="GFT229" s="1"/>
      <c r="GFU229" s="1"/>
      <c r="GFV229" s="1"/>
      <c r="GFW229" s="1"/>
      <c r="GFX229" s="1"/>
      <c r="GFY229" s="1"/>
      <c r="GFZ229" s="1"/>
      <c r="GGA229" s="1"/>
      <c r="GGB229" s="1"/>
      <c r="GGC229" s="1"/>
      <c r="GGD229" s="1"/>
      <c r="GGE229" s="1"/>
      <c r="GGF229" s="1"/>
      <c r="GGG229" s="1"/>
      <c r="GGH229" s="1"/>
      <c r="GGI229" s="1"/>
      <c r="GGJ229" s="1"/>
      <c r="GGK229" s="1"/>
      <c r="GGL229" s="1"/>
      <c r="GGM229" s="1"/>
      <c r="GGN229" s="1"/>
      <c r="GGO229" s="1"/>
      <c r="GGP229" s="1"/>
      <c r="GGQ229" s="1"/>
      <c r="GGR229" s="1"/>
      <c r="GGS229" s="1"/>
      <c r="GGT229" s="1"/>
      <c r="GGU229" s="1"/>
      <c r="GGV229" s="1"/>
      <c r="GGW229" s="1"/>
      <c r="GGX229" s="1"/>
      <c r="GGY229" s="1"/>
      <c r="GGZ229" s="1"/>
      <c r="GHA229" s="1"/>
      <c r="GHB229" s="1"/>
      <c r="GHC229" s="1"/>
      <c r="GHD229" s="1"/>
      <c r="GHE229" s="1"/>
      <c r="GHF229" s="1"/>
      <c r="GHG229" s="1"/>
      <c r="GHH229" s="1"/>
      <c r="GHI229" s="1"/>
      <c r="GHJ229" s="1"/>
      <c r="GHK229" s="1"/>
      <c r="GHL229" s="1"/>
      <c r="GHM229" s="1"/>
      <c r="GHN229" s="1"/>
      <c r="GHO229" s="1"/>
      <c r="GHP229" s="1"/>
      <c r="GHQ229" s="1"/>
      <c r="GHR229" s="1"/>
      <c r="GHS229" s="1"/>
      <c r="GHT229" s="1"/>
      <c r="GHU229" s="1"/>
      <c r="GHV229" s="1"/>
      <c r="GHW229" s="1"/>
      <c r="GHX229" s="1"/>
      <c r="GHY229" s="1"/>
      <c r="GHZ229" s="1"/>
      <c r="GIA229" s="1"/>
      <c r="GIB229" s="1"/>
      <c r="GIC229" s="1"/>
      <c r="GID229" s="1"/>
      <c r="GIE229" s="1"/>
      <c r="GIF229" s="1"/>
      <c r="GIG229" s="1"/>
      <c r="GIH229" s="1"/>
      <c r="GII229" s="1"/>
      <c r="GIJ229" s="1"/>
      <c r="GIK229" s="1"/>
      <c r="GIL229" s="1"/>
      <c r="GIM229" s="1"/>
      <c r="GIN229" s="1"/>
      <c r="GIO229" s="1"/>
      <c r="GIP229" s="1"/>
      <c r="GIQ229" s="1"/>
      <c r="GIR229" s="1"/>
      <c r="GIS229" s="1"/>
      <c r="GIT229" s="1"/>
      <c r="GIU229" s="1"/>
      <c r="GIV229" s="1"/>
      <c r="GIW229" s="1"/>
      <c r="GIX229" s="1"/>
      <c r="GIY229" s="1"/>
      <c r="GIZ229" s="1"/>
      <c r="GJA229" s="1"/>
      <c r="GJB229" s="1"/>
      <c r="GJC229" s="1"/>
      <c r="GJD229" s="1"/>
      <c r="GJE229" s="1"/>
      <c r="GJF229" s="1"/>
      <c r="GJG229" s="1"/>
      <c r="GJH229" s="1"/>
      <c r="GJI229" s="1"/>
      <c r="GJJ229" s="1"/>
      <c r="GJK229" s="1"/>
      <c r="GJL229" s="1"/>
      <c r="GJM229" s="1"/>
      <c r="GJN229" s="1"/>
      <c r="GJO229" s="1"/>
      <c r="GJP229" s="1"/>
      <c r="GJQ229" s="1"/>
      <c r="GJR229" s="1"/>
      <c r="GJS229" s="1"/>
      <c r="GJT229" s="1"/>
      <c r="GJU229" s="1"/>
      <c r="GJV229" s="1"/>
      <c r="GJW229" s="1"/>
      <c r="GJX229" s="1"/>
      <c r="GJY229" s="1"/>
      <c r="GJZ229" s="1"/>
      <c r="GKA229" s="1"/>
      <c r="GKB229" s="1"/>
      <c r="GKC229" s="1"/>
      <c r="GKD229" s="1"/>
      <c r="GKE229" s="1"/>
      <c r="GKF229" s="1"/>
      <c r="GKG229" s="1"/>
      <c r="GKH229" s="1"/>
      <c r="GKI229" s="1"/>
      <c r="GKJ229" s="1"/>
      <c r="GKK229" s="1"/>
      <c r="GKL229" s="1"/>
      <c r="GKM229" s="1"/>
      <c r="GKN229" s="1"/>
      <c r="GKO229" s="1"/>
      <c r="GKP229" s="1"/>
      <c r="GKQ229" s="1"/>
      <c r="GKR229" s="1"/>
      <c r="GKS229" s="1"/>
      <c r="GKT229" s="1"/>
      <c r="GKU229" s="1"/>
      <c r="GKV229" s="1"/>
      <c r="GKW229" s="1"/>
      <c r="GKX229" s="1"/>
      <c r="GKY229" s="1"/>
      <c r="GKZ229" s="1"/>
      <c r="GLA229" s="1"/>
      <c r="GLB229" s="1"/>
      <c r="GLC229" s="1"/>
      <c r="GLD229" s="1"/>
      <c r="GLE229" s="1"/>
      <c r="GLF229" s="1"/>
      <c r="GLG229" s="1"/>
      <c r="GLH229" s="1"/>
      <c r="GLI229" s="1"/>
      <c r="GLJ229" s="1"/>
      <c r="GLK229" s="1"/>
      <c r="GLL229" s="1"/>
      <c r="GLM229" s="1"/>
      <c r="GLN229" s="1"/>
      <c r="GLO229" s="1"/>
      <c r="GLP229" s="1"/>
      <c r="GLQ229" s="1"/>
      <c r="GLR229" s="1"/>
      <c r="GLS229" s="1"/>
      <c r="GLT229" s="1"/>
      <c r="GLU229" s="1"/>
      <c r="GLV229" s="1"/>
      <c r="GLW229" s="1"/>
      <c r="GLX229" s="1"/>
      <c r="GLY229" s="1"/>
      <c r="GLZ229" s="1"/>
      <c r="GMA229" s="1"/>
      <c r="GMB229" s="1"/>
      <c r="GMC229" s="1"/>
      <c r="GMD229" s="1"/>
      <c r="GME229" s="1"/>
      <c r="GMF229" s="1"/>
      <c r="GMG229" s="1"/>
      <c r="GMH229" s="1"/>
      <c r="GMI229" s="1"/>
      <c r="GMJ229" s="1"/>
      <c r="GMK229" s="1"/>
      <c r="GML229" s="1"/>
      <c r="GMM229" s="1"/>
      <c r="GMN229" s="1"/>
      <c r="GMO229" s="1"/>
      <c r="GMP229" s="1"/>
      <c r="GMQ229" s="1"/>
      <c r="GMR229" s="1"/>
      <c r="GMS229" s="1"/>
      <c r="GMT229" s="1"/>
      <c r="GMU229" s="1"/>
      <c r="GMV229" s="1"/>
      <c r="GMW229" s="1"/>
      <c r="GMX229" s="1"/>
      <c r="GMY229" s="1"/>
      <c r="GMZ229" s="1"/>
      <c r="GNA229" s="1"/>
      <c r="GNB229" s="1"/>
      <c r="GNC229" s="1"/>
      <c r="GND229" s="1"/>
      <c r="GNE229" s="1"/>
      <c r="GNF229" s="1"/>
      <c r="GNG229" s="1"/>
      <c r="GNH229" s="1"/>
      <c r="GNI229" s="1"/>
      <c r="GNJ229" s="1"/>
      <c r="GNK229" s="1"/>
      <c r="GNL229" s="1"/>
      <c r="GNM229" s="1"/>
      <c r="GNN229" s="1"/>
      <c r="GNO229" s="1"/>
      <c r="GNP229" s="1"/>
      <c r="GNQ229" s="1"/>
      <c r="GNR229" s="1"/>
      <c r="GNS229" s="1"/>
      <c r="GNT229" s="1"/>
      <c r="GNU229" s="1"/>
      <c r="GNV229" s="1"/>
      <c r="GNW229" s="1"/>
      <c r="GNX229" s="1"/>
      <c r="GNY229" s="1"/>
      <c r="GNZ229" s="1"/>
      <c r="GOA229" s="1"/>
      <c r="GOB229" s="1"/>
      <c r="GOC229" s="1"/>
      <c r="GOD229" s="1"/>
      <c r="GOE229" s="1"/>
      <c r="GOF229" s="1"/>
      <c r="GOG229" s="1"/>
      <c r="GOH229" s="1"/>
      <c r="GOI229" s="1"/>
      <c r="GOJ229" s="1"/>
      <c r="GOK229" s="1"/>
      <c r="GOL229" s="1"/>
      <c r="GOM229" s="1"/>
      <c r="GON229" s="1"/>
      <c r="GOO229" s="1"/>
      <c r="GOP229" s="1"/>
      <c r="GOQ229" s="1"/>
      <c r="GOR229" s="1"/>
      <c r="GOS229" s="1"/>
      <c r="GOT229" s="1"/>
      <c r="GOU229" s="1"/>
      <c r="GOV229" s="1"/>
      <c r="GOW229" s="1"/>
      <c r="GOX229" s="1"/>
      <c r="GOY229" s="1"/>
      <c r="GOZ229" s="1"/>
      <c r="GPA229" s="1"/>
      <c r="GPB229" s="1"/>
      <c r="GPC229" s="1"/>
      <c r="GPD229" s="1"/>
      <c r="GPE229" s="1"/>
      <c r="GPF229" s="1"/>
      <c r="GPG229" s="1"/>
      <c r="GPH229" s="1"/>
      <c r="GPI229" s="1"/>
      <c r="GPJ229" s="1"/>
      <c r="GPK229" s="1"/>
      <c r="GPL229" s="1"/>
      <c r="GPM229" s="1"/>
      <c r="GPN229" s="1"/>
      <c r="GPO229" s="1"/>
      <c r="GPP229" s="1"/>
      <c r="GPQ229" s="1"/>
      <c r="GPR229" s="1"/>
      <c r="GPS229" s="1"/>
      <c r="GPT229" s="1"/>
      <c r="GPU229" s="1"/>
      <c r="GPV229" s="1"/>
      <c r="GPW229" s="1"/>
      <c r="GPX229" s="1"/>
      <c r="GPY229" s="1"/>
      <c r="GPZ229" s="1"/>
      <c r="GQA229" s="1"/>
      <c r="GQB229" s="1"/>
      <c r="GQC229" s="1"/>
      <c r="GQD229" s="1"/>
      <c r="GQE229" s="1"/>
      <c r="GQF229" s="1"/>
      <c r="GQG229" s="1"/>
      <c r="GQH229" s="1"/>
      <c r="GQI229" s="1"/>
      <c r="GQJ229" s="1"/>
      <c r="GQK229" s="1"/>
      <c r="GQL229" s="1"/>
      <c r="GQM229" s="1"/>
      <c r="GQN229" s="1"/>
      <c r="GQO229" s="1"/>
      <c r="GQP229" s="1"/>
      <c r="GQQ229" s="1"/>
      <c r="GQR229" s="1"/>
      <c r="GQS229" s="1"/>
      <c r="GQT229" s="1"/>
      <c r="GQU229" s="1"/>
      <c r="GQV229" s="1"/>
      <c r="GQW229" s="1"/>
      <c r="GQX229" s="1"/>
      <c r="GQY229" s="1"/>
      <c r="GQZ229" s="1"/>
      <c r="GRA229" s="1"/>
      <c r="GRB229" s="1"/>
      <c r="GRC229" s="1"/>
      <c r="GRD229" s="1"/>
      <c r="GRE229" s="1"/>
      <c r="GRF229" s="1"/>
      <c r="GRG229" s="1"/>
      <c r="GRH229" s="1"/>
      <c r="GRI229" s="1"/>
      <c r="GRJ229" s="1"/>
      <c r="GRK229" s="1"/>
      <c r="GRL229" s="1"/>
      <c r="GRM229" s="1"/>
      <c r="GRN229" s="1"/>
      <c r="GRO229" s="1"/>
      <c r="GRP229" s="1"/>
      <c r="GRQ229" s="1"/>
      <c r="GRR229" s="1"/>
      <c r="GRS229" s="1"/>
      <c r="GRT229" s="1"/>
      <c r="GRU229" s="1"/>
      <c r="GRV229" s="1"/>
      <c r="GRW229" s="1"/>
      <c r="GRX229" s="1"/>
      <c r="GRY229" s="1"/>
      <c r="GRZ229" s="1"/>
      <c r="GSA229" s="1"/>
      <c r="GSB229" s="1"/>
      <c r="GSC229" s="1"/>
      <c r="GSD229" s="1"/>
      <c r="GSE229" s="1"/>
      <c r="GSF229" s="1"/>
      <c r="GSG229" s="1"/>
      <c r="GSH229" s="1"/>
      <c r="GSI229" s="1"/>
      <c r="GSJ229" s="1"/>
      <c r="GSK229" s="1"/>
      <c r="GSL229" s="1"/>
      <c r="GSM229" s="1"/>
      <c r="GSN229" s="1"/>
      <c r="GSO229" s="1"/>
      <c r="GSP229" s="1"/>
      <c r="GSQ229" s="1"/>
      <c r="GSR229" s="1"/>
      <c r="GSS229" s="1"/>
      <c r="GST229" s="1"/>
      <c r="GSU229" s="1"/>
      <c r="GSV229" s="1"/>
      <c r="GSW229" s="1"/>
      <c r="GSX229" s="1"/>
      <c r="GSY229" s="1"/>
      <c r="GSZ229" s="1"/>
      <c r="GTA229" s="1"/>
      <c r="GTB229" s="1"/>
      <c r="GTC229" s="1"/>
      <c r="GTD229" s="1"/>
      <c r="GTE229" s="1"/>
      <c r="GTF229" s="1"/>
      <c r="GTG229" s="1"/>
      <c r="GTH229" s="1"/>
      <c r="GTI229" s="1"/>
      <c r="GTJ229" s="1"/>
      <c r="GTK229" s="1"/>
      <c r="GTL229" s="1"/>
      <c r="GTM229" s="1"/>
      <c r="GTN229" s="1"/>
      <c r="GTO229" s="1"/>
      <c r="GTP229" s="1"/>
      <c r="GTQ229" s="1"/>
      <c r="GTR229" s="1"/>
      <c r="GTS229" s="1"/>
      <c r="GTT229" s="1"/>
      <c r="GTU229" s="1"/>
      <c r="GTV229" s="1"/>
      <c r="GTW229" s="1"/>
      <c r="GTX229" s="1"/>
      <c r="GTY229" s="1"/>
      <c r="GTZ229" s="1"/>
      <c r="GUA229" s="1"/>
      <c r="GUB229" s="1"/>
      <c r="GUC229" s="1"/>
      <c r="GUD229" s="1"/>
      <c r="GUE229" s="1"/>
      <c r="GUF229" s="1"/>
      <c r="GUG229" s="1"/>
      <c r="GUH229" s="1"/>
      <c r="GUI229" s="1"/>
      <c r="GUJ229" s="1"/>
      <c r="GUK229" s="1"/>
      <c r="GUL229" s="1"/>
      <c r="GUM229" s="1"/>
      <c r="GUN229" s="1"/>
      <c r="GUO229" s="1"/>
      <c r="GUP229" s="1"/>
      <c r="GUQ229" s="1"/>
      <c r="GUR229" s="1"/>
      <c r="GUS229" s="1"/>
      <c r="GUT229" s="1"/>
      <c r="GUU229" s="1"/>
      <c r="GUV229" s="1"/>
      <c r="GUW229" s="1"/>
      <c r="GUX229" s="1"/>
      <c r="GUY229" s="1"/>
      <c r="GUZ229" s="1"/>
      <c r="GVA229" s="1"/>
      <c r="GVB229" s="1"/>
      <c r="GVC229" s="1"/>
      <c r="GVD229" s="1"/>
      <c r="GVE229" s="1"/>
      <c r="GVF229" s="1"/>
      <c r="GVG229" s="1"/>
      <c r="GVH229" s="1"/>
      <c r="GVI229" s="1"/>
      <c r="GVJ229" s="1"/>
      <c r="GVK229" s="1"/>
      <c r="GVL229" s="1"/>
      <c r="GVM229" s="1"/>
      <c r="GVN229" s="1"/>
      <c r="GVO229" s="1"/>
      <c r="GVP229" s="1"/>
      <c r="GVQ229" s="1"/>
      <c r="GVR229" s="1"/>
      <c r="GVS229" s="1"/>
      <c r="GVT229" s="1"/>
      <c r="GVU229" s="1"/>
      <c r="GVV229" s="1"/>
      <c r="GVW229" s="1"/>
      <c r="GVX229" s="1"/>
      <c r="GVY229" s="1"/>
      <c r="GVZ229" s="1"/>
      <c r="GWA229" s="1"/>
      <c r="GWB229" s="1"/>
      <c r="GWC229" s="1"/>
      <c r="GWD229" s="1"/>
      <c r="GWE229" s="1"/>
      <c r="GWF229" s="1"/>
      <c r="GWG229" s="1"/>
      <c r="GWH229" s="1"/>
      <c r="GWI229" s="1"/>
      <c r="GWJ229" s="1"/>
      <c r="GWK229" s="1"/>
      <c r="GWL229" s="1"/>
      <c r="GWM229" s="1"/>
      <c r="GWN229" s="1"/>
      <c r="GWO229" s="1"/>
      <c r="GWP229" s="1"/>
      <c r="GWQ229" s="1"/>
      <c r="GWR229" s="1"/>
      <c r="GWS229" s="1"/>
      <c r="GWT229" s="1"/>
      <c r="GWU229" s="1"/>
      <c r="GWV229" s="1"/>
      <c r="GWW229" s="1"/>
      <c r="GWX229" s="1"/>
      <c r="GWY229" s="1"/>
      <c r="GWZ229" s="1"/>
      <c r="GXA229" s="1"/>
      <c r="GXB229" s="1"/>
      <c r="GXC229" s="1"/>
      <c r="GXD229" s="1"/>
      <c r="GXE229" s="1"/>
      <c r="GXF229" s="1"/>
      <c r="GXG229" s="1"/>
      <c r="GXH229" s="1"/>
      <c r="GXI229" s="1"/>
      <c r="GXJ229" s="1"/>
      <c r="GXK229" s="1"/>
      <c r="GXL229" s="1"/>
      <c r="GXM229" s="1"/>
      <c r="GXN229" s="1"/>
      <c r="GXO229" s="1"/>
      <c r="GXP229" s="1"/>
      <c r="GXQ229" s="1"/>
      <c r="GXR229" s="1"/>
      <c r="GXS229" s="1"/>
      <c r="GXT229" s="1"/>
      <c r="GXU229" s="1"/>
      <c r="GXV229" s="1"/>
      <c r="GXW229" s="1"/>
      <c r="GXX229" s="1"/>
      <c r="GXY229" s="1"/>
      <c r="GXZ229" s="1"/>
      <c r="GYA229" s="1"/>
      <c r="GYB229" s="1"/>
      <c r="GYC229" s="1"/>
      <c r="GYD229" s="1"/>
      <c r="GYE229" s="1"/>
      <c r="GYF229" s="1"/>
      <c r="GYG229" s="1"/>
      <c r="GYH229" s="1"/>
      <c r="GYI229" s="1"/>
      <c r="GYJ229" s="1"/>
      <c r="GYK229" s="1"/>
      <c r="GYL229" s="1"/>
      <c r="GYM229" s="1"/>
      <c r="GYN229" s="1"/>
      <c r="GYO229" s="1"/>
      <c r="GYP229" s="1"/>
      <c r="GYQ229" s="1"/>
      <c r="GYR229" s="1"/>
      <c r="GYS229" s="1"/>
      <c r="GYT229" s="1"/>
      <c r="GYU229" s="1"/>
      <c r="GYV229" s="1"/>
      <c r="GYW229" s="1"/>
      <c r="GYX229" s="1"/>
      <c r="GYY229" s="1"/>
      <c r="GYZ229" s="1"/>
      <c r="GZA229" s="1"/>
      <c r="GZB229" s="1"/>
      <c r="GZC229" s="1"/>
      <c r="GZD229" s="1"/>
      <c r="GZE229" s="1"/>
      <c r="GZF229" s="1"/>
      <c r="GZG229" s="1"/>
      <c r="GZH229" s="1"/>
      <c r="GZI229" s="1"/>
      <c r="GZJ229" s="1"/>
      <c r="GZK229" s="1"/>
      <c r="GZL229" s="1"/>
      <c r="GZM229" s="1"/>
      <c r="GZN229" s="1"/>
      <c r="GZO229" s="1"/>
      <c r="GZP229" s="1"/>
      <c r="GZQ229" s="1"/>
      <c r="GZR229" s="1"/>
      <c r="GZS229" s="1"/>
      <c r="GZT229" s="1"/>
      <c r="GZU229" s="1"/>
      <c r="GZV229" s="1"/>
      <c r="GZW229" s="1"/>
      <c r="GZX229" s="1"/>
      <c r="GZY229" s="1"/>
      <c r="GZZ229" s="1"/>
      <c r="HAA229" s="1"/>
      <c r="HAB229" s="1"/>
      <c r="HAC229" s="1"/>
      <c r="HAD229" s="1"/>
      <c r="HAE229" s="1"/>
      <c r="HAF229" s="1"/>
      <c r="HAG229" s="1"/>
      <c r="HAH229" s="1"/>
      <c r="HAI229" s="1"/>
      <c r="HAJ229" s="1"/>
      <c r="HAK229" s="1"/>
      <c r="HAL229" s="1"/>
      <c r="HAM229" s="1"/>
      <c r="HAN229" s="1"/>
      <c r="HAO229" s="1"/>
      <c r="HAP229" s="1"/>
      <c r="HAQ229" s="1"/>
      <c r="HAR229" s="1"/>
      <c r="HAS229" s="1"/>
      <c r="HAT229" s="1"/>
      <c r="HAU229" s="1"/>
      <c r="HAV229" s="1"/>
      <c r="HAW229" s="1"/>
      <c r="HAX229" s="1"/>
      <c r="HAY229" s="1"/>
      <c r="HAZ229" s="1"/>
      <c r="HBA229" s="1"/>
      <c r="HBB229" s="1"/>
      <c r="HBC229" s="1"/>
      <c r="HBD229" s="1"/>
      <c r="HBE229" s="1"/>
      <c r="HBF229" s="1"/>
      <c r="HBG229" s="1"/>
      <c r="HBH229" s="1"/>
      <c r="HBI229" s="1"/>
      <c r="HBJ229" s="1"/>
      <c r="HBK229" s="1"/>
      <c r="HBL229" s="1"/>
      <c r="HBM229" s="1"/>
      <c r="HBN229" s="1"/>
      <c r="HBO229" s="1"/>
      <c r="HBP229" s="1"/>
      <c r="HBQ229" s="1"/>
      <c r="HBR229" s="1"/>
      <c r="HBS229" s="1"/>
      <c r="HBT229" s="1"/>
      <c r="HBU229" s="1"/>
      <c r="HBV229" s="1"/>
      <c r="HBW229" s="1"/>
      <c r="HBX229" s="1"/>
      <c r="HBY229" s="1"/>
      <c r="HBZ229" s="1"/>
      <c r="HCA229" s="1"/>
      <c r="HCB229" s="1"/>
      <c r="HCC229" s="1"/>
      <c r="HCD229" s="1"/>
      <c r="HCE229" s="1"/>
      <c r="HCF229" s="1"/>
      <c r="HCG229" s="1"/>
      <c r="HCH229" s="1"/>
      <c r="HCI229" s="1"/>
      <c r="HCJ229" s="1"/>
      <c r="HCK229" s="1"/>
      <c r="HCL229" s="1"/>
      <c r="HCM229" s="1"/>
      <c r="HCN229" s="1"/>
      <c r="HCO229" s="1"/>
      <c r="HCP229" s="1"/>
      <c r="HCQ229" s="1"/>
      <c r="HCR229" s="1"/>
      <c r="HCS229" s="1"/>
      <c r="HCT229" s="1"/>
      <c r="HCU229" s="1"/>
      <c r="HCV229" s="1"/>
      <c r="HCW229" s="1"/>
      <c r="HCX229" s="1"/>
      <c r="HCY229" s="1"/>
      <c r="HCZ229" s="1"/>
      <c r="HDA229" s="1"/>
      <c r="HDB229" s="1"/>
      <c r="HDC229" s="1"/>
      <c r="HDD229" s="1"/>
      <c r="HDE229" s="1"/>
      <c r="HDF229" s="1"/>
      <c r="HDG229" s="1"/>
      <c r="HDH229" s="1"/>
      <c r="HDI229" s="1"/>
      <c r="HDJ229" s="1"/>
      <c r="HDK229" s="1"/>
      <c r="HDL229" s="1"/>
      <c r="HDM229" s="1"/>
      <c r="HDN229" s="1"/>
      <c r="HDO229" s="1"/>
      <c r="HDP229" s="1"/>
      <c r="HDQ229" s="1"/>
      <c r="HDR229" s="1"/>
      <c r="HDS229" s="1"/>
      <c r="HDT229" s="1"/>
      <c r="HDU229" s="1"/>
      <c r="HDV229" s="1"/>
      <c r="HDW229" s="1"/>
      <c r="HDX229" s="1"/>
      <c r="HDY229" s="1"/>
      <c r="HDZ229" s="1"/>
      <c r="HEA229" s="1"/>
      <c r="HEB229" s="1"/>
      <c r="HEC229" s="1"/>
      <c r="HED229" s="1"/>
      <c r="HEE229" s="1"/>
      <c r="HEF229" s="1"/>
      <c r="HEG229" s="1"/>
      <c r="HEH229" s="1"/>
      <c r="HEI229" s="1"/>
      <c r="HEJ229" s="1"/>
      <c r="HEK229" s="1"/>
      <c r="HEL229" s="1"/>
      <c r="HEM229" s="1"/>
      <c r="HEN229" s="1"/>
      <c r="HEO229" s="1"/>
      <c r="HEP229" s="1"/>
      <c r="HEQ229" s="1"/>
      <c r="HER229" s="1"/>
      <c r="HES229" s="1"/>
      <c r="HET229" s="1"/>
      <c r="HEU229" s="1"/>
      <c r="HEV229" s="1"/>
      <c r="HEW229" s="1"/>
      <c r="HEX229" s="1"/>
      <c r="HEY229" s="1"/>
      <c r="HEZ229" s="1"/>
      <c r="HFA229" s="1"/>
      <c r="HFB229" s="1"/>
      <c r="HFC229" s="1"/>
      <c r="HFD229" s="1"/>
      <c r="HFE229" s="1"/>
      <c r="HFF229" s="1"/>
      <c r="HFG229" s="1"/>
      <c r="HFH229" s="1"/>
      <c r="HFI229" s="1"/>
      <c r="HFJ229" s="1"/>
      <c r="HFK229" s="1"/>
      <c r="HFL229" s="1"/>
      <c r="HFM229" s="1"/>
      <c r="HFN229" s="1"/>
      <c r="HFO229" s="1"/>
      <c r="HFP229" s="1"/>
      <c r="HFQ229" s="1"/>
      <c r="HFR229" s="1"/>
      <c r="HFS229" s="1"/>
      <c r="HFT229" s="1"/>
      <c r="HFU229" s="1"/>
      <c r="HFV229" s="1"/>
      <c r="HFW229" s="1"/>
      <c r="HFX229" s="1"/>
      <c r="HFY229" s="1"/>
      <c r="HFZ229" s="1"/>
      <c r="HGA229" s="1"/>
      <c r="HGB229" s="1"/>
      <c r="HGC229" s="1"/>
      <c r="HGD229" s="1"/>
      <c r="HGE229" s="1"/>
      <c r="HGF229" s="1"/>
      <c r="HGG229" s="1"/>
      <c r="HGH229" s="1"/>
      <c r="HGI229" s="1"/>
      <c r="HGJ229" s="1"/>
      <c r="HGK229" s="1"/>
      <c r="HGL229" s="1"/>
      <c r="HGM229" s="1"/>
      <c r="HGN229" s="1"/>
      <c r="HGO229" s="1"/>
      <c r="HGP229" s="1"/>
      <c r="HGQ229" s="1"/>
      <c r="HGR229" s="1"/>
      <c r="HGS229" s="1"/>
      <c r="HGT229" s="1"/>
      <c r="HGU229" s="1"/>
      <c r="HGV229" s="1"/>
      <c r="HGW229" s="1"/>
      <c r="HGX229" s="1"/>
      <c r="HGY229" s="1"/>
      <c r="HGZ229" s="1"/>
      <c r="HHA229" s="1"/>
      <c r="HHB229" s="1"/>
      <c r="HHC229" s="1"/>
      <c r="HHD229" s="1"/>
      <c r="HHE229" s="1"/>
      <c r="HHF229" s="1"/>
      <c r="HHG229" s="1"/>
      <c r="HHH229" s="1"/>
      <c r="HHI229" s="1"/>
      <c r="HHJ229" s="1"/>
      <c r="HHK229" s="1"/>
      <c r="HHL229" s="1"/>
      <c r="HHM229" s="1"/>
      <c r="HHN229" s="1"/>
      <c r="HHO229" s="1"/>
      <c r="HHP229" s="1"/>
      <c r="HHQ229" s="1"/>
      <c r="HHR229" s="1"/>
      <c r="HHS229" s="1"/>
      <c r="HHT229" s="1"/>
      <c r="HHU229" s="1"/>
      <c r="HHV229" s="1"/>
      <c r="HHW229" s="1"/>
      <c r="HHX229" s="1"/>
      <c r="HHY229" s="1"/>
      <c r="HHZ229" s="1"/>
      <c r="HIA229" s="1"/>
      <c r="HIB229" s="1"/>
      <c r="HIC229" s="1"/>
      <c r="HID229" s="1"/>
      <c r="HIE229" s="1"/>
      <c r="HIF229" s="1"/>
      <c r="HIG229" s="1"/>
      <c r="HIH229" s="1"/>
      <c r="HII229" s="1"/>
      <c r="HIJ229" s="1"/>
      <c r="HIK229" s="1"/>
      <c r="HIL229" s="1"/>
      <c r="HIM229" s="1"/>
      <c r="HIN229" s="1"/>
      <c r="HIO229" s="1"/>
      <c r="HIP229" s="1"/>
      <c r="HIQ229" s="1"/>
      <c r="HIR229" s="1"/>
      <c r="HIS229" s="1"/>
      <c r="HIT229" s="1"/>
      <c r="HIU229" s="1"/>
      <c r="HIV229" s="1"/>
      <c r="HIW229" s="1"/>
      <c r="HIX229" s="1"/>
      <c r="HIY229" s="1"/>
      <c r="HIZ229" s="1"/>
      <c r="HJA229" s="1"/>
      <c r="HJB229" s="1"/>
      <c r="HJC229" s="1"/>
      <c r="HJD229" s="1"/>
      <c r="HJE229" s="1"/>
      <c r="HJF229" s="1"/>
      <c r="HJG229" s="1"/>
      <c r="HJH229" s="1"/>
      <c r="HJI229" s="1"/>
      <c r="HJJ229" s="1"/>
      <c r="HJK229" s="1"/>
      <c r="HJL229" s="1"/>
      <c r="HJM229" s="1"/>
      <c r="HJN229" s="1"/>
      <c r="HJO229" s="1"/>
      <c r="HJP229" s="1"/>
      <c r="HJQ229" s="1"/>
      <c r="HJR229" s="1"/>
      <c r="HJS229" s="1"/>
      <c r="HJT229" s="1"/>
      <c r="HJU229" s="1"/>
      <c r="HJV229" s="1"/>
      <c r="HJW229" s="1"/>
      <c r="HJX229" s="1"/>
      <c r="HJY229" s="1"/>
      <c r="HJZ229" s="1"/>
      <c r="HKA229" s="1"/>
      <c r="HKB229" s="1"/>
      <c r="HKC229" s="1"/>
      <c r="HKD229" s="1"/>
      <c r="HKE229" s="1"/>
      <c r="HKF229" s="1"/>
      <c r="HKG229" s="1"/>
      <c r="HKH229" s="1"/>
      <c r="HKI229" s="1"/>
      <c r="HKJ229" s="1"/>
      <c r="HKK229" s="1"/>
      <c r="HKL229" s="1"/>
      <c r="HKM229" s="1"/>
      <c r="HKN229" s="1"/>
      <c r="HKO229" s="1"/>
      <c r="HKP229" s="1"/>
      <c r="HKQ229" s="1"/>
      <c r="HKR229" s="1"/>
      <c r="HKS229" s="1"/>
      <c r="HKT229" s="1"/>
      <c r="HKU229" s="1"/>
      <c r="HKV229" s="1"/>
      <c r="HKW229" s="1"/>
      <c r="HKX229" s="1"/>
      <c r="HKY229" s="1"/>
      <c r="HKZ229" s="1"/>
      <c r="HLA229" s="1"/>
      <c r="HLB229" s="1"/>
      <c r="HLC229" s="1"/>
      <c r="HLD229" s="1"/>
      <c r="HLE229" s="1"/>
      <c r="HLF229" s="1"/>
      <c r="HLG229" s="1"/>
      <c r="HLH229" s="1"/>
      <c r="HLI229" s="1"/>
      <c r="HLJ229" s="1"/>
      <c r="HLK229" s="1"/>
      <c r="HLL229" s="1"/>
      <c r="HLM229" s="1"/>
      <c r="HLN229" s="1"/>
      <c r="HLO229" s="1"/>
      <c r="HLP229" s="1"/>
      <c r="HLQ229" s="1"/>
      <c r="HLR229" s="1"/>
      <c r="HLS229" s="1"/>
      <c r="HLT229" s="1"/>
      <c r="HLU229" s="1"/>
      <c r="HLV229" s="1"/>
      <c r="HLW229" s="1"/>
      <c r="HLX229" s="1"/>
      <c r="HLY229" s="1"/>
      <c r="HLZ229" s="1"/>
      <c r="HMA229" s="1"/>
      <c r="HMB229" s="1"/>
      <c r="HMC229" s="1"/>
      <c r="HMD229" s="1"/>
      <c r="HME229" s="1"/>
      <c r="HMF229" s="1"/>
      <c r="HMG229" s="1"/>
      <c r="HMH229" s="1"/>
      <c r="HMI229" s="1"/>
      <c r="HMJ229" s="1"/>
      <c r="HMK229" s="1"/>
      <c r="HML229" s="1"/>
      <c r="HMM229" s="1"/>
      <c r="HMN229" s="1"/>
      <c r="HMO229" s="1"/>
      <c r="HMP229" s="1"/>
      <c r="HMQ229" s="1"/>
      <c r="HMR229" s="1"/>
      <c r="HMS229" s="1"/>
      <c r="HMT229" s="1"/>
      <c r="HMU229" s="1"/>
      <c r="HMV229" s="1"/>
      <c r="HMW229" s="1"/>
      <c r="HMX229" s="1"/>
      <c r="HMY229" s="1"/>
      <c r="HMZ229" s="1"/>
      <c r="HNA229" s="1"/>
      <c r="HNB229" s="1"/>
      <c r="HNC229" s="1"/>
      <c r="HND229" s="1"/>
      <c r="HNE229" s="1"/>
      <c r="HNF229" s="1"/>
      <c r="HNG229" s="1"/>
      <c r="HNH229" s="1"/>
      <c r="HNI229" s="1"/>
      <c r="HNJ229" s="1"/>
      <c r="HNK229" s="1"/>
      <c r="HNL229" s="1"/>
      <c r="HNM229" s="1"/>
      <c r="HNN229" s="1"/>
      <c r="HNO229" s="1"/>
      <c r="HNP229" s="1"/>
      <c r="HNQ229" s="1"/>
      <c r="HNR229" s="1"/>
      <c r="HNS229" s="1"/>
      <c r="HNT229" s="1"/>
      <c r="HNU229" s="1"/>
      <c r="HNV229" s="1"/>
      <c r="HNW229" s="1"/>
      <c r="HNX229" s="1"/>
      <c r="HNY229" s="1"/>
      <c r="HNZ229" s="1"/>
      <c r="HOA229" s="1"/>
      <c r="HOB229" s="1"/>
      <c r="HOC229" s="1"/>
      <c r="HOD229" s="1"/>
      <c r="HOE229" s="1"/>
      <c r="HOF229" s="1"/>
      <c r="HOG229" s="1"/>
      <c r="HOH229" s="1"/>
      <c r="HOI229" s="1"/>
      <c r="HOJ229" s="1"/>
      <c r="HOK229" s="1"/>
      <c r="HOL229" s="1"/>
      <c r="HOM229" s="1"/>
      <c r="HON229" s="1"/>
      <c r="HOO229" s="1"/>
      <c r="HOP229" s="1"/>
      <c r="HOQ229" s="1"/>
      <c r="HOR229" s="1"/>
      <c r="HOS229" s="1"/>
      <c r="HOT229" s="1"/>
      <c r="HOU229" s="1"/>
      <c r="HOV229" s="1"/>
      <c r="HOW229" s="1"/>
      <c r="HOX229" s="1"/>
      <c r="HOY229" s="1"/>
      <c r="HOZ229" s="1"/>
      <c r="HPA229" s="1"/>
      <c r="HPB229" s="1"/>
      <c r="HPC229" s="1"/>
      <c r="HPD229" s="1"/>
      <c r="HPE229" s="1"/>
      <c r="HPF229" s="1"/>
      <c r="HPG229" s="1"/>
      <c r="HPH229" s="1"/>
      <c r="HPI229" s="1"/>
      <c r="HPJ229" s="1"/>
      <c r="HPK229" s="1"/>
      <c r="HPL229" s="1"/>
      <c r="HPM229" s="1"/>
      <c r="HPN229" s="1"/>
      <c r="HPO229" s="1"/>
      <c r="HPP229" s="1"/>
      <c r="HPQ229" s="1"/>
      <c r="HPR229" s="1"/>
      <c r="HPS229" s="1"/>
      <c r="HPT229" s="1"/>
      <c r="HPU229" s="1"/>
      <c r="HPV229" s="1"/>
      <c r="HPW229" s="1"/>
      <c r="HPX229" s="1"/>
      <c r="HPY229" s="1"/>
      <c r="HPZ229" s="1"/>
      <c r="HQA229" s="1"/>
      <c r="HQB229" s="1"/>
      <c r="HQC229" s="1"/>
      <c r="HQD229" s="1"/>
      <c r="HQE229" s="1"/>
      <c r="HQF229" s="1"/>
      <c r="HQG229" s="1"/>
      <c r="HQH229" s="1"/>
      <c r="HQI229" s="1"/>
      <c r="HQJ229" s="1"/>
      <c r="HQK229" s="1"/>
      <c r="HQL229" s="1"/>
      <c r="HQM229" s="1"/>
      <c r="HQN229" s="1"/>
      <c r="HQO229" s="1"/>
      <c r="HQP229" s="1"/>
      <c r="HQQ229" s="1"/>
      <c r="HQR229" s="1"/>
      <c r="HQS229" s="1"/>
      <c r="HQT229" s="1"/>
      <c r="HQU229" s="1"/>
      <c r="HQV229" s="1"/>
      <c r="HQW229" s="1"/>
      <c r="HQX229" s="1"/>
      <c r="HQY229" s="1"/>
      <c r="HQZ229" s="1"/>
      <c r="HRA229" s="1"/>
      <c r="HRB229" s="1"/>
      <c r="HRC229" s="1"/>
      <c r="HRD229" s="1"/>
      <c r="HRE229" s="1"/>
      <c r="HRF229" s="1"/>
      <c r="HRG229" s="1"/>
      <c r="HRH229" s="1"/>
      <c r="HRI229" s="1"/>
      <c r="HRJ229" s="1"/>
      <c r="HRK229" s="1"/>
      <c r="HRL229" s="1"/>
      <c r="HRM229" s="1"/>
      <c r="HRN229" s="1"/>
      <c r="HRO229" s="1"/>
      <c r="HRP229" s="1"/>
      <c r="HRQ229" s="1"/>
      <c r="HRR229" s="1"/>
      <c r="HRS229" s="1"/>
      <c r="HRT229" s="1"/>
      <c r="HRU229" s="1"/>
      <c r="HRV229" s="1"/>
      <c r="HRW229" s="1"/>
      <c r="HRX229" s="1"/>
      <c r="HRY229" s="1"/>
      <c r="HRZ229" s="1"/>
      <c r="HSA229" s="1"/>
      <c r="HSB229" s="1"/>
      <c r="HSC229" s="1"/>
      <c r="HSD229" s="1"/>
      <c r="HSE229" s="1"/>
      <c r="HSF229" s="1"/>
      <c r="HSG229" s="1"/>
      <c r="HSH229" s="1"/>
      <c r="HSI229" s="1"/>
      <c r="HSJ229" s="1"/>
      <c r="HSK229" s="1"/>
      <c r="HSL229" s="1"/>
      <c r="HSM229" s="1"/>
      <c r="HSN229" s="1"/>
      <c r="HSO229" s="1"/>
      <c r="HSP229" s="1"/>
      <c r="HSQ229" s="1"/>
      <c r="HSR229" s="1"/>
      <c r="HSS229" s="1"/>
      <c r="HST229" s="1"/>
      <c r="HSU229" s="1"/>
      <c r="HSV229" s="1"/>
      <c r="HSW229" s="1"/>
      <c r="HSX229" s="1"/>
      <c r="HSY229" s="1"/>
      <c r="HSZ229" s="1"/>
      <c r="HTA229" s="1"/>
      <c r="HTB229" s="1"/>
      <c r="HTC229" s="1"/>
      <c r="HTD229" s="1"/>
      <c r="HTE229" s="1"/>
      <c r="HTF229" s="1"/>
      <c r="HTG229" s="1"/>
      <c r="HTH229" s="1"/>
      <c r="HTI229" s="1"/>
      <c r="HTJ229" s="1"/>
      <c r="HTK229" s="1"/>
      <c r="HTL229" s="1"/>
      <c r="HTM229" s="1"/>
      <c r="HTN229" s="1"/>
      <c r="HTO229" s="1"/>
      <c r="HTP229" s="1"/>
      <c r="HTQ229" s="1"/>
      <c r="HTR229" s="1"/>
      <c r="HTS229" s="1"/>
      <c r="HTT229" s="1"/>
      <c r="HTU229" s="1"/>
      <c r="HTV229" s="1"/>
      <c r="HTW229" s="1"/>
      <c r="HTX229" s="1"/>
      <c r="HTY229" s="1"/>
      <c r="HTZ229" s="1"/>
      <c r="HUA229" s="1"/>
      <c r="HUB229" s="1"/>
      <c r="HUC229" s="1"/>
      <c r="HUD229" s="1"/>
      <c r="HUE229" s="1"/>
      <c r="HUF229" s="1"/>
      <c r="HUG229" s="1"/>
      <c r="HUH229" s="1"/>
      <c r="HUI229" s="1"/>
      <c r="HUJ229" s="1"/>
      <c r="HUK229" s="1"/>
      <c r="HUL229" s="1"/>
      <c r="HUM229" s="1"/>
      <c r="HUN229" s="1"/>
      <c r="HUO229" s="1"/>
      <c r="HUP229" s="1"/>
      <c r="HUQ229" s="1"/>
      <c r="HUR229" s="1"/>
      <c r="HUS229" s="1"/>
      <c r="HUT229" s="1"/>
      <c r="HUU229" s="1"/>
      <c r="HUV229" s="1"/>
      <c r="HUW229" s="1"/>
      <c r="HUX229" s="1"/>
      <c r="HUY229" s="1"/>
      <c r="HUZ229" s="1"/>
      <c r="HVA229" s="1"/>
      <c r="HVB229" s="1"/>
      <c r="HVC229" s="1"/>
      <c r="HVD229" s="1"/>
      <c r="HVE229" s="1"/>
      <c r="HVF229" s="1"/>
      <c r="HVG229" s="1"/>
      <c r="HVH229" s="1"/>
      <c r="HVI229" s="1"/>
      <c r="HVJ229" s="1"/>
      <c r="HVK229" s="1"/>
      <c r="HVL229" s="1"/>
      <c r="HVM229" s="1"/>
      <c r="HVN229" s="1"/>
      <c r="HVO229" s="1"/>
      <c r="HVP229" s="1"/>
      <c r="HVQ229" s="1"/>
      <c r="HVR229" s="1"/>
      <c r="HVS229" s="1"/>
      <c r="HVT229" s="1"/>
      <c r="HVU229" s="1"/>
      <c r="HVV229" s="1"/>
      <c r="HVW229" s="1"/>
      <c r="HVX229" s="1"/>
      <c r="HVY229" s="1"/>
      <c r="HVZ229" s="1"/>
      <c r="HWA229" s="1"/>
      <c r="HWB229" s="1"/>
      <c r="HWC229" s="1"/>
      <c r="HWD229" s="1"/>
      <c r="HWE229" s="1"/>
      <c r="HWF229" s="1"/>
      <c r="HWG229" s="1"/>
      <c r="HWH229" s="1"/>
      <c r="HWI229" s="1"/>
      <c r="HWJ229" s="1"/>
      <c r="HWK229" s="1"/>
      <c r="HWL229" s="1"/>
      <c r="HWM229" s="1"/>
      <c r="HWN229" s="1"/>
      <c r="HWO229" s="1"/>
      <c r="HWP229" s="1"/>
      <c r="HWQ229" s="1"/>
      <c r="HWR229" s="1"/>
      <c r="HWS229" s="1"/>
      <c r="HWT229" s="1"/>
      <c r="HWU229" s="1"/>
      <c r="HWV229" s="1"/>
      <c r="HWW229" s="1"/>
      <c r="HWX229" s="1"/>
      <c r="HWY229" s="1"/>
      <c r="HWZ229" s="1"/>
      <c r="HXA229" s="1"/>
      <c r="HXB229" s="1"/>
      <c r="HXC229" s="1"/>
      <c r="HXD229" s="1"/>
      <c r="HXE229" s="1"/>
      <c r="HXF229" s="1"/>
      <c r="HXG229" s="1"/>
      <c r="HXH229" s="1"/>
      <c r="HXI229" s="1"/>
      <c r="HXJ229" s="1"/>
      <c r="HXK229" s="1"/>
      <c r="HXL229" s="1"/>
      <c r="HXM229" s="1"/>
      <c r="HXN229" s="1"/>
      <c r="HXO229" s="1"/>
      <c r="HXP229" s="1"/>
      <c r="HXQ229" s="1"/>
      <c r="HXR229" s="1"/>
      <c r="HXS229" s="1"/>
      <c r="HXT229" s="1"/>
      <c r="HXU229" s="1"/>
      <c r="HXV229" s="1"/>
      <c r="HXW229" s="1"/>
      <c r="HXX229" s="1"/>
      <c r="HXY229" s="1"/>
      <c r="HXZ229" s="1"/>
      <c r="HYA229" s="1"/>
      <c r="HYB229" s="1"/>
      <c r="HYC229" s="1"/>
      <c r="HYD229" s="1"/>
      <c r="HYE229" s="1"/>
      <c r="HYF229" s="1"/>
      <c r="HYG229" s="1"/>
      <c r="HYH229" s="1"/>
      <c r="HYI229" s="1"/>
      <c r="HYJ229" s="1"/>
      <c r="HYK229" s="1"/>
      <c r="HYL229" s="1"/>
      <c r="HYM229" s="1"/>
      <c r="HYN229" s="1"/>
      <c r="HYO229" s="1"/>
      <c r="HYP229" s="1"/>
      <c r="HYQ229" s="1"/>
      <c r="HYR229" s="1"/>
      <c r="HYS229" s="1"/>
      <c r="HYT229" s="1"/>
      <c r="HYU229" s="1"/>
      <c r="HYV229" s="1"/>
      <c r="HYW229" s="1"/>
      <c r="HYX229" s="1"/>
      <c r="HYY229" s="1"/>
      <c r="HYZ229" s="1"/>
      <c r="HZA229" s="1"/>
      <c r="HZB229" s="1"/>
      <c r="HZC229" s="1"/>
      <c r="HZD229" s="1"/>
      <c r="HZE229" s="1"/>
      <c r="HZF229" s="1"/>
      <c r="HZG229" s="1"/>
      <c r="HZH229" s="1"/>
      <c r="HZI229" s="1"/>
      <c r="HZJ229" s="1"/>
      <c r="HZK229" s="1"/>
      <c r="HZL229" s="1"/>
      <c r="HZM229" s="1"/>
      <c r="HZN229" s="1"/>
      <c r="HZO229" s="1"/>
      <c r="HZP229" s="1"/>
      <c r="HZQ229" s="1"/>
      <c r="HZR229" s="1"/>
      <c r="HZS229" s="1"/>
      <c r="HZT229" s="1"/>
      <c r="HZU229" s="1"/>
      <c r="HZV229" s="1"/>
      <c r="HZW229" s="1"/>
      <c r="HZX229" s="1"/>
      <c r="HZY229" s="1"/>
      <c r="HZZ229" s="1"/>
      <c r="IAA229" s="1"/>
      <c r="IAB229" s="1"/>
      <c r="IAC229" s="1"/>
      <c r="IAD229" s="1"/>
      <c r="IAE229" s="1"/>
      <c r="IAF229" s="1"/>
      <c r="IAG229" s="1"/>
      <c r="IAH229" s="1"/>
      <c r="IAI229" s="1"/>
      <c r="IAJ229" s="1"/>
      <c r="IAK229" s="1"/>
      <c r="IAL229" s="1"/>
      <c r="IAM229" s="1"/>
      <c r="IAN229" s="1"/>
      <c r="IAO229" s="1"/>
      <c r="IAP229" s="1"/>
      <c r="IAQ229" s="1"/>
      <c r="IAR229" s="1"/>
      <c r="IAS229" s="1"/>
      <c r="IAT229" s="1"/>
      <c r="IAU229" s="1"/>
      <c r="IAV229" s="1"/>
      <c r="IAW229" s="1"/>
      <c r="IAX229" s="1"/>
      <c r="IAY229" s="1"/>
      <c r="IAZ229" s="1"/>
      <c r="IBA229" s="1"/>
      <c r="IBB229" s="1"/>
      <c r="IBC229" s="1"/>
      <c r="IBD229" s="1"/>
      <c r="IBE229" s="1"/>
      <c r="IBF229" s="1"/>
      <c r="IBG229" s="1"/>
      <c r="IBH229" s="1"/>
      <c r="IBI229" s="1"/>
      <c r="IBJ229" s="1"/>
      <c r="IBK229" s="1"/>
      <c r="IBL229" s="1"/>
      <c r="IBM229" s="1"/>
      <c r="IBN229" s="1"/>
      <c r="IBO229" s="1"/>
      <c r="IBP229" s="1"/>
      <c r="IBQ229" s="1"/>
      <c r="IBR229" s="1"/>
      <c r="IBS229" s="1"/>
      <c r="IBT229" s="1"/>
      <c r="IBU229" s="1"/>
      <c r="IBV229" s="1"/>
      <c r="IBW229" s="1"/>
      <c r="IBX229" s="1"/>
      <c r="IBY229" s="1"/>
      <c r="IBZ229" s="1"/>
      <c r="ICA229" s="1"/>
      <c r="ICB229" s="1"/>
      <c r="ICC229" s="1"/>
      <c r="ICD229" s="1"/>
      <c r="ICE229" s="1"/>
      <c r="ICF229" s="1"/>
      <c r="ICG229" s="1"/>
      <c r="ICH229" s="1"/>
      <c r="ICI229" s="1"/>
      <c r="ICJ229" s="1"/>
      <c r="ICK229" s="1"/>
      <c r="ICL229" s="1"/>
      <c r="ICM229" s="1"/>
      <c r="ICN229" s="1"/>
      <c r="ICO229" s="1"/>
      <c r="ICP229" s="1"/>
      <c r="ICQ229" s="1"/>
      <c r="ICR229" s="1"/>
      <c r="ICS229" s="1"/>
      <c r="ICT229" s="1"/>
      <c r="ICU229" s="1"/>
      <c r="ICV229" s="1"/>
      <c r="ICW229" s="1"/>
      <c r="ICX229" s="1"/>
      <c r="ICY229" s="1"/>
      <c r="ICZ229" s="1"/>
      <c r="IDA229" s="1"/>
      <c r="IDB229" s="1"/>
      <c r="IDC229" s="1"/>
      <c r="IDD229" s="1"/>
      <c r="IDE229" s="1"/>
      <c r="IDF229" s="1"/>
      <c r="IDG229" s="1"/>
      <c r="IDH229" s="1"/>
      <c r="IDI229" s="1"/>
      <c r="IDJ229" s="1"/>
      <c r="IDK229" s="1"/>
      <c r="IDL229" s="1"/>
      <c r="IDM229" s="1"/>
      <c r="IDN229" s="1"/>
      <c r="IDO229" s="1"/>
      <c r="IDP229" s="1"/>
      <c r="IDQ229" s="1"/>
      <c r="IDR229" s="1"/>
      <c r="IDS229" s="1"/>
      <c r="IDT229" s="1"/>
      <c r="IDU229" s="1"/>
      <c r="IDV229" s="1"/>
      <c r="IDW229" s="1"/>
      <c r="IDX229" s="1"/>
      <c r="IDY229" s="1"/>
      <c r="IDZ229" s="1"/>
      <c r="IEA229" s="1"/>
      <c r="IEB229" s="1"/>
      <c r="IEC229" s="1"/>
      <c r="IED229" s="1"/>
      <c r="IEE229" s="1"/>
      <c r="IEF229" s="1"/>
      <c r="IEG229" s="1"/>
      <c r="IEH229" s="1"/>
      <c r="IEI229" s="1"/>
      <c r="IEJ229" s="1"/>
      <c r="IEK229" s="1"/>
      <c r="IEL229" s="1"/>
      <c r="IEM229" s="1"/>
      <c r="IEN229" s="1"/>
      <c r="IEO229" s="1"/>
      <c r="IEP229" s="1"/>
      <c r="IEQ229" s="1"/>
      <c r="IER229" s="1"/>
      <c r="IES229" s="1"/>
      <c r="IET229" s="1"/>
      <c r="IEU229" s="1"/>
      <c r="IEV229" s="1"/>
      <c r="IEW229" s="1"/>
      <c r="IEX229" s="1"/>
      <c r="IEY229" s="1"/>
      <c r="IEZ229" s="1"/>
      <c r="IFA229" s="1"/>
      <c r="IFB229" s="1"/>
      <c r="IFC229" s="1"/>
      <c r="IFD229" s="1"/>
      <c r="IFE229" s="1"/>
      <c r="IFF229" s="1"/>
      <c r="IFG229" s="1"/>
      <c r="IFH229" s="1"/>
      <c r="IFI229" s="1"/>
      <c r="IFJ229" s="1"/>
      <c r="IFK229" s="1"/>
      <c r="IFL229" s="1"/>
      <c r="IFM229" s="1"/>
      <c r="IFN229" s="1"/>
      <c r="IFO229" s="1"/>
      <c r="IFP229" s="1"/>
      <c r="IFQ229" s="1"/>
      <c r="IFR229" s="1"/>
      <c r="IFS229" s="1"/>
      <c r="IFT229" s="1"/>
      <c r="IFU229" s="1"/>
      <c r="IFV229" s="1"/>
      <c r="IFW229" s="1"/>
      <c r="IFX229" s="1"/>
      <c r="IFY229" s="1"/>
      <c r="IFZ229" s="1"/>
      <c r="IGA229" s="1"/>
      <c r="IGB229" s="1"/>
      <c r="IGC229" s="1"/>
      <c r="IGD229" s="1"/>
      <c r="IGE229" s="1"/>
      <c r="IGF229" s="1"/>
      <c r="IGG229" s="1"/>
      <c r="IGH229" s="1"/>
      <c r="IGI229" s="1"/>
      <c r="IGJ229" s="1"/>
      <c r="IGK229" s="1"/>
      <c r="IGL229" s="1"/>
      <c r="IGM229" s="1"/>
      <c r="IGN229" s="1"/>
      <c r="IGO229" s="1"/>
      <c r="IGP229" s="1"/>
      <c r="IGQ229" s="1"/>
      <c r="IGR229" s="1"/>
      <c r="IGS229" s="1"/>
      <c r="IGT229" s="1"/>
      <c r="IGU229" s="1"/>
      <c r="IGV229" s="1"/>
      <c r="IGW229" s="1"/>
      <c r="IGX229" s="1"/>
      <c r="IGY229" s="1"/>
      <c r="IGZ229" s="1"/>
      <c r="IHA229" s="1"/>
      <c r="IHB229" s="1"/>
      <c r="IHC229" s="1"/>
      <c r="IHD229" s="1"/>
      <c r="IHE229" s="1"/>
      <c r="IHF229" s="1"/>
      <c r="IHG229" s="1"/>
      <c r="IHH229" s="1"/>
      <c r="IHI229" s="1"/>
      <c r="IHJ229" s="1"/>
      <c r="IHK229" s="1"/>
      <c r="IHL229" s="1"/>
      <c r="IHM229" s="1"/>
      <c r="IHN229" s="1"/>
      <c r="IHO229" s="1"/>
      <c r="IHP229" s="1"/>
      <c r="IHQ229" s="1"/>
      <c r="IHR229" s="1"/>
      <c r="IHS229" s="1"/>
      <c r="IHT229" s="1"/>
      <c r="IHU229" s="1"/>
      <c r="IHV229" s="1"/>
      <c r="IHW229" s="1"/>
      <c r="IHX229" s="1"/>
      <c r="IHY229" s="1"/>
      <c r="IHZ229" s="1"/>
      <c r="IIA229" s="1"/>
      <c r="IIB229" s="1"/>
      <c r="IIC229" s="1"/>
      <c r="IID229" s="1"/>
      <c r="IIE229" s="1"/>
      <c r="IIF229" s="1"/>
      <c r="IIG229" s="1"/>
      <c r="IIH229" s="1"/>
      <c r="III229" s="1"/>
      <c r="IIJ229" s="1"/>
      <c r="IIK229" s="1"/>
      <c r="IIL229" s="1"/>
      <c r="IIM229" s="1"/>
      <c r="IIN229" s="1"/>
      <c r="IIO229" s="1"/>
      <c r="IIP229" s="1"/>
      <c r="IIQ229" s="1"/>
      <c r="IIR229" s="1"/>
      <c r="IIS229" s="1"/>
      <c r="IIT229" s="1"/>
      <c r="IIU229" s="1"/>
      <c r="IIV229" s="1"/>
      <c r="IIW229" s="1"/>
      <c r="IIX229" s="1"/>
      <c r="IIY229" s="1"/>
      <c r="IIZ229" s="1"/>
      <c r="IJA229" s="1"/>
      <c r="IJB229" s="1"/>
      <c r="IJC229" s="1"/>
      <c r="IJD229" s="1"/>
      <c r="IJE229" s="1"/>
      <c r="IJF229" s="1"/>
      <c r="IJG229" s="1"/>
      <c r="IJH229" s="1"/>
      <c r="IJI229" s="1"/>
      <c r="IJJ229" s="1"/>
      <c r="IJK229" s="1"/>
      <c r="IJL229" s="1"/>
      <c r="IJM229" s="1"/>
      <c r="IJN229" s="1"/>
      <c r="IJO229" s="1"/>
      <c r="IJP229" s="1"/>
      <c r="IJQ229" s="1"/>
      <c r="IJR229" s="1"/>
      <c r="IJS229" s="1"/>
      <c r="IJT229" s="1"/>
      <c r="IJU229" s="1"/>
      <c r="IJV229" s="1"/>
      <c r="IJW229" s="1"/>
      <c r="IJX229" s="1"/>
      <c r="IJY229" s="1"/>
      <c r="IJZ229" s="1"/>
      <c r="IKA229" s="1"/>
      <c r="IKB229" s="1"/>
      <c r="IKC229" s="1"/>
      <c r="IKD229" s="1"/>
      <c r="IKE229" s="1"/>
      <c r="IKF229" s="1"/>
      <c r="IKG229" s="1"/>
      <c r="IKH229" s="1"/>
      <c r="IKI229" s="1"/>
      <c r="IKJ229" s="1"/>
      <c r="IKK229" s="1"/>
      <c r="IKL229" s="1"/>
      <c r="IKM229" s="1"/>
      <c r="IKN229" s="1"/>
      <c r="IKO229" s="1"/>
      <c r="IKP229" s="1"/>
      <c r="IKQ229" s="1"/>
      <c r="IKR229" s="1"/>
      <c r="IKS229" s="1"/>
      <c r="IKT229" s="1"/>
      <c r="IKU229" s="1"/>
      <c r="IKV229" s="1"/>
      <c r="IKW229" s="1"/>
      <c r="IKX229" s="1"/>
      <c r="IKY229" s="1"/>
      <c r="IKZ229" s="1"/>
      <c r="ILA229" s="1"/>
      <c r="ILB229" s="1"/>
      <c r="ILC229" s="1"/>
      <c r="ILD229" s="1"/>
      <c r="ILE229" s="1"/>
      <c r="ILF229" s="1"/>
      <c r="ILG229" s="1"/>
      <c r="ILH229" s="1"/>
      <c r="ILI229" s="1"/>
      <c r="ILJ229" s="1"/>
      <c r="ILK229" s="1"/>
      <c r="ILL229" s="1"/>
      <c r="ILM229" s="1"/>
      <c r="ILN229" s="1"/>
      <c r="ILO229" s="1"/>
      <c r="ILP229" s="1"/>
      <c r="ILQ229" s="1"/>
      <c r="ILR229" s="1"/>
      <c r="ILS229" s="1"/>
      <c r="ILT229" s="1"/>
      <c r="ILU229" s="1"/>
      <c r="ILV229" s="1"/>
      <c r="ILW229" s="1"/>
      <c r="ILX229" s="1"/>
      <c r="ILY229" s="1"/>
      <c r="ILZ229" s="1"/>
      <c r="IMA229" s="1"/>
      <c r="IMB229" s="1"/>
      <c r="IMC229" s="1"/>
      <c r="IMD229" s="1"/>
      <c r="IME229" s="1"/>
      <c r="IMF229" s="1"/>
      <c r="IMG229" s="1"/>
      <c r="IMH229" s="1"/>
      <c r="IMI229" s="1"/>
      <c r="IMJ229" s="1"/>
      <c r="IMK229" s="1"/>
      <c r="IML229" s="1"/>
      <c r="IMM229" s="1"/>
      <c r="IMN229" s="1"/>
      <c r="IMO229" s="1"/>
      <c r="IMP229" s="1"/>
      <c r="IMQ229" s="1"/>
      <c r="IMR229" s="1"/>
      <c r="IMS229" s="1"/>
      <c r="IMT229" s="1"/>
      <c r="IMU229" s="1"/>
      <c r="IMV229" s="1"/>
      <c r="IMW229" s="1"/>
      <c r="IMX229" s="1"/>
      <c r="IMY229" s="1"/>
      <c r="IMZ229" s="1"/>
      <c r="INA229" s="1"/>
      <c r="INB229" s="1"/>
      <c r="INC229" s="1"/>
      <c r="IND229" s="1"/>
      <c r="INE229" s="1"/>
      <c r="INF229" s="1"/>
      <c r="ING229" s="1"/>
      <c r="INH229" s="1"/>
      <c r="INI229" s="1"/>
      <c r="INJ229" s="1"/>
      <c r="INK229" s="1"/>
      <c r="INL229" s="1"/>
      <c r="INM229" s="1"/>
      <c r="INN229" s="1"/>
      <c r="INO229" s="1"/>
      <c r="INP229" s="1"/>
      <c r="INQ229" s="1"/>
      <c r="INR229" s="1"/>
      <c r="INS229" s="1"/>
      <c r="INT229" s="1"/>
      <c r="INU229" s="1"/>
      <c r="INV229" s="1"/>
      <c r="INW229" s="1"/>
      <c r="INX229" s="1"/>
      <c r="INY229" s="1"/>
      <c r="INZ229" s="1"/>
      <c r="IOA229" s="1"/>
      <c r="IOB229" s="1"/>
      <c r="IOC229" s="1"/>
      <c r="IOD229" s="1"/>
      <c r="IOE229" s="1"/>
      <c r="IOF229" s="1"/>
      <c r="IOG229" s="1"/>
      <c r="IOH229" s="1"/>
      <c r="IOI229" s="1"/>
      <c r="IOJ229" s="1"/>
      <c r="IOK229" s="1"/>
      <c r="IOL229" s="1"/>
      <c r="IOM229" s="1"/>
      <c r="ION229" s="1"/>
      <c r="IOO229" s="1"/>
      <c r="IOP229" s="1"/>
      <c r="IOQ229" s="1"/>
      <c r="IOR229" s="1"/>
      <c r="IOS229" s="1"/>
      <c r="IOT229" s="1"/>
      <c r="IOU229" s="1"/>
      <c r="IOV229" s="1"/>
      <c r="IOW229" s="1"/>
      <c r="IOX229" s="1"/>
      <c r="IOY229" s="1"/>
      <c r="IOZ229" s="1"/>
      <c r="IPA229" s="1"/>
      <c r="IPB229" s="1"/>
      <c r="IPC229" s="1"/>
      <c r="IPD229" s="1"/>
      <c r="IPE229" s="1"/>
      <c r="IPF229" s="1"/>
      <c r="IPG229" s="1"/>
      <c r="IPH229" s="1"/>
      <c r="IPI229" s="1"/>
      <c r="IPJ229" s="1"/>
      <c r="IPK229" s="1"/>
      <c r="IPL229" s="1"/>
      <c r="IPM229" s="1"/>
      <c r="IPN229" s="1"/>
      <c r="IPO229" s="1"/>
      <c r="IPP229" s="1"/>
      <c r="IPQ229" s="1"/>
      <c r="IPR229" s="1"/>
      <c r="IPS229" s="1"/>
      <c r="IPT229" s="1"/>
      <c r="IPU229" s="1"/>
      <c r="IPV229" s="1"/>
      <c r="IPW229" s="1"/>
      <c r="IPX229" s="1"/>
      <c r="IPY229" s="1"/>
      <c r="IPZ229" s="1"/>
      <c r="IQA229" s="1"/>
      <c r="IQB229" s="1"/>
      <c r="IQC229" s="1"/>
      <c r="IQD229" s="1"/>
      <c r="IQE229" s="1"/>
      <c r="IQF229" s="1"/>
      <c r="IQG229" s="1"/>
      <c r="IQH229" s="1"/>
      <c r="IQI229" s="1"/>
      <c r="IQJ229" s="1"/>
      <c r="IQK229" s="1"/>
      <c r="IQL229" s="1"/>
      <c r="IQM229" s="1"/>
      <c r="IQN229" s="1"/>
      <c r="IQO229" s="1"/>
      <c r="IQP229" s="1"/>
      <c r="IQQ229" s="1"/>
      <c r="IQR229" s="1"/>
      <c r="IQS229" s="1"/>
      <c r="IQT229" s="1"/>
      <c r="IQU229" s="1"/>
      <c r="IQV229" s="1"/>
      <c r="IQW229" s="1"/>
      <c r="IQX229" s="1"/>
      <c r="IQY229" s="1"/>
      <c r="IQZ229" s="1"/>
      <c r="IRA229" s="1"/>
      <c r="IRB229" s="1"/>
      <c r="IRC229" s="1"/>
      <c r="IRD229" s="1"/>
      <c r="IRE229" s="1"/>
      <c r="IRF229" s="1"/>
      <c r="IRG229" s="1"/>
      <c r="IRH229" s="1"/>
      <c r="IRI229" s="1"/>
      <c r="IRJ229" s="1"/>
      <c r="IRK229" s="1"/>
      <c r="IRL229" s="1"/>
      <c r="IRM229" s="1"/>
      <c r="IRN229" s="1"/>
      <c r="IRO229" s="1"/>
      <c r="IRP229" s="1"/>
      <c r="IRQ229" s="1"/>
      <c r="IRR229" s="1"/>
      <c r="IRS229" s="1"/>
      <c r="IRT229" s="1"/>
      <c r="IRU229" s="1"/>
      <c r="IRV229" s="1"/>
      <c r="IRW229" s="1"/>
      <c r="IRX229" s="1"/>
      <c r="IRY229" s="1"/>
      <c r="IRZ229" s="1"/>
      <c r="ISA229" s="1"/>
      <c r="ISB229" s="1"/>
      <c r="ISC229" s="1"/>
      <c r="ISD229" s="1"/>
      <c r="ISE229" s="1"/>
      <c r="ISF229" s="1"/>
      <c r="ISG229" s="1"/>
      <c r="ISH229" s="1"/>
      <c r="ISI229" s="1"/>
      <c r="ISJ229" s="1"/>
      <c r="ISK229" s="1"/>
      <c r="ISL229" s="1"/>
      <c r="ISM229" s="1"/>
      <c r="ISN229" s="1"/>
      <c r="ISO229" s="1"/>
      <c r="ISP229" s="1"/>
      <c r="ISQ229" s="1"/>
      <c r="ISR229" s="1"/>
      <c r="ISS229" s="1"/>
      <c r="IST229" s="1"/>
      <c r="ISU229" s="1"/>
      <c r="ISV229" s="1"/>
      <c r="ISW229" s="1"/>
      <c r="ISX229" s="1"/>
      <c r="ISY229" s="1"/>
      <c r="ISZ229" s="1"/>
      <c r="ITA229" s="1"/>
      <c r="ITB229" s="1"/>
      <c r="ITC229" s="1"/>
      <c r="ITD229" s="1"/>
      <c r="ITE229" s="1"/>
      <c r="ITF229" s="1"/>
      <c r="ITG229" s="1"/>
      <c r="ITH229" s="1"/>
      <c r="ITI229" s="1"/>
      <c r="ITJ229" s="1"/>
      <c r="ITK229" s="1"/>
      <c r="ITL229" s="1"/>
      <c r="ITM229" s="1"/>
      <c r="ITN229" s="1"/>
      <c r="ITO229" s="1"/>
      <c r="ITP229" s="1"/>
      <c r="ITQ229" s="1"/>
      <c r="ITR229" s="1"/>
      <c r="ITS229" s="1"/>
      <c r="ITT229" s="1"/>
      <c r="ITU229" s="1"/>
      <c r="ITV229" s="1"/>
      <c r="ITW229" s="1"/>
      <c r="ITX229" s="1"/>
      <c r="ITY229" s="1"/>
      <c r="ITZ229" s="1"/>
      <c r="IUA229" s="1"/>
      <c r="IUB229" s="1"/>
      <c r="IUC229" s="1"/>
      <c r="IUD229" s="1"/>
      <c r="IUE229" s="1"/>
      <c r="IUF229" s="1"/>
      <c r="IUG229" s="1"/>
      <c r="IUH229" s="1"/>
      <c r="IUI229" s="1"/>
      <c r="IUJ229" s="1"/>
      <c r="IUK229" s="1"/>
      <c r="IUL229" s="1"/>
      <c r="IUM229" s="1"/>
      <c r="IUN229" s="1"/>
      <c r="IUO229" s="1"/>
      <c r="IUP229" s="1"/>
      <c r="IUQ229" s="1"/>
      <c r="IUR229" s="1"/>
      <c r="IUS229" s="1"/>
      <c r="IUT229" s="1"/>
      <c r="IUU229" s="1"/>
      <c r="IUV229" s="1"/>
      <c r="IUW229" s="1"/>
      <c r="IUX229" s="1"/>
      <c r="IUY229" s="1"/>
      <c r="IUZ229" s="1"/>
      <c r="IVA229" s="1"/>
      <c r="IVB229" s="1"/>
      <c r="IVC229" s="1"/>
      <c r="IVD229" s="1"/>
      <c r="IVE229" s="1"/>
      <c r="IVF229" s="1"/>
      <c r="IVG229" s="1"/>
      <c r="IVH229" s="1"/>
      <c r="IVI229" s="1"/>
      <c r="IVJ229" s="1"/>
      <c r="IVK229" s="1"/>
      <c r="IVL229" s="1"/>
      <c r="IVM229" s="1"/>
      <c r="IVN229" s="1"/>
      <c r="IVO229" s="1"/>
      <c r="IVP229" s="1"/>
      <c r="IVQ229" s="1"/>
      <c r="IVR229" s="1"/>
      <c r="IVS229" s="1"/>
      <c r="IVT229" s="1"/>
      <c r="IVU229" s="1"/>
      <c r="IVV229" s="1"/>
      <c r="IVW229" s="1"/>
      <c r="IVX229" s="1"/>
      <c r="IVY229" s="1"/>
      <c r="IVZ229" s="1"/>
      <c r="IWA229" s="1"/>
      <c r="IWB229" s="1"/>
      <c r="IWC229" s="1"/>
      <c r="IWD229" s="1"/>
      <c r="IWE229" s="1"/>
      <c r="IWF229" s="1"/>
      <c r="IWG229" s="1"/>
      <c r="IWH229" s="1"/>
      <c r="IWI229" s="1"/>
      <c r="IWJ229" s="1"/>
      <c r="IWK229" s="1"/>
      <c r="IWL229" s="1"/>
      <c r="IWM229" s="1"/>
      <c r="IWN229" s="1"/>
      <c r="IWO229" s="1"/>
      <c r="IWP229" s="1"/>
      <c r="IWQ229" s="1"/>
      <c r="IWR229" s="1"/>
      <c r="IWS229" s="1"/>
      <c r="IWT229" s="1"/>
      <c r="IWU229" s="1"/>
      <c r="IWV229" s="1"/>
      <c r="IWW229" s="1"/>
      <c r="IWX229" s="1"/>
      <c r="IWY229" s="1"/>
      <c r="IWZ229" s="1"/>
      <c r="IXA229" s="1"/>
      <c r="IXB229" s="1"/>
      <c r="IXC229" s="1"/>
      <c r="IXD229" s="1"/>
      <c r="IXE229" s="1"/>
      <c r="IXF229" s="1"/>
      <c r="IXG229" s="1"/>
      <c r="IXH229" s="1"/>
      <c r="IXI229" s="1"/>
      <c r="IXJ229" s="1"/>
      <c r="IXK229" s="1"/>
      <c r="IXL229" s="1"/>
      <c r="IXM229" s="1"/>
      <c r="IXN229" s="1"/>
      <c r="IXO229" s="1"/>
      <c r="IXP229" s="1"/>
      <c r="IXQ229" s="1"/>
      <c r="IXR229" s="1"/>
      <c r="IXS229" s="1"/>
      <c r="IXT229" s="1"/>
      <c r="IXU229" s="1"/>
      <c r="IXV229" s="1"/>
      <c r="IXW229" s="1"/>
      <c r="IXX229" s="1"/>
      <c r="IXY229" s="1"/>
      <c r="IXZ229" s="1"/>
      <c r="IYA229" s="1"/>
      <c r="IYB229" s="1"/>
      <c r="IYC229" s="1"/>
      <c r="IYD229" s="1"/>
      <c r="IYE229" s="1"/>
      <c r="IYF229" s="1"/>
      <c r="IYG229" s="1"/>
      <c r="IYH229" s="1"/>
      <c r="IYI229" s="1"/>
      <c r="IYJ229" s="1"/>
      <c r="IYK229" s="1"/>
      <c r="IYL229" s="1"/>
      <c r="IYM229" s="1"/>
      <c r="IYN229" s="1"/>
      <c r="IYO229" s="1"/>
      <c r="IYP229" s="1"/>
      <c r="IYQ229" s="1"/>
      <c r="IYR229" s="1"/>
      <c r="IYS229" s="1"/>
      <c r="IYT229" s="1"/>
      <c r="IYU229" s="1"/>
      <c r="IYV229" s="1"/>
      <c r="IYW229" s="1"/>
      <c r="IYX229" s="1"/>
      <c r="IYY229" s="1"/>
      <c r="IYZ229" s="1"/>
      <c r="IZA229" s="1"/>
      <c r="IZB229" s="1"/>
      <c r="IZC229" s="1"/>
      <c r="IZD229" s="1"/>
      <c r="IZE229" s="1"/>
      <c r="IZF229" s="1"/>
      <c r="IZG229" s="1"/>
      <c r="IZH229" s="1"/>
      <c r="IZI229" s="1"/>
      <c r="IZJ229" s="1"/>
      <c r="IZK229" s="1"/>
      <c r="IZL229" s="1"/>
      <c r="IZM229" s="1"/>
      <c r="IZN229" s="1"/>
      <c r="IZO229" s="1"/>
      <c r="IZP229" s="1"/>
      <c r="IZQ229" s="1"/>
      <c r="IZR229" s="1"/>
      <c r="IZS229" s="1"/>
      <c r="IZT229" s="1"/>
      <c r="IZU229" s="1"/>
      <c r="IZV229" s="1"/>
      <c r="IZW229" s="1"/>
      <c r="IZX229" s="1"/>
      <c r="IZY229" s="1"/>
      <c r="IZZ229" s="1"/>
      <c r="JAA229" s="1"/>
      <c r="JAB229" s="1"/>
      <c r="JAC229" s="1"/>
      <c r="JAD229" s="1"/>
      <c r="JAE229" s="1"/>
      <c r="JAF229" s="1"/>
      <c r="JAG229" s="1"/>
      <c r="JAH229" s="1"/>
      <c r="JAI229" s="1"/>
      <c r="JAJ229" s="1"/>
      <c r="JAK229" s="1"/>
      <c r="JAL229" s="1"/>
      <c r="JAM229" s="1"/>
      <c r="JAN229" s="1"/>
      <c r="JAO229" s="1"/>
      <c r="JAP229" s="1"/>
      <c r="JAQ229" s="1"/>
      <c r="JAR229" s="1"/>
      <c r="JAS229" s="1"/>
      <c r="JAT229" s="1"/>
      <c r="JAU229" s="1"/>
      <c r="JAV229" s="1"/>
      <c r="JAW229" s="1"/>
      <c r="JAX229" s="1"/>
      <c r="JAY229" s="1"/>
      <c r="JAZ229" s="1"/>
      <c r="JBA229" s="1"/>
      <c r="JBB229" s="1"/>
      <c r="JBC229" s="1"/>
      <c r="JBD229" s="1"/>
      <c r="JBE229" s="1"/>
      <c r="JBF229" s="1"/>
      <c r="JBG229" s="1"/>
      <c r="JBH229" s="1"/>
      <c r="JBI229" s="1"/>
      <c r="JBJ229" s="1"/>
      <c r="JBK229" s="1"/>
      <c r="JBL229" s="1"/>
      <c r="JBM229" s="1"/>
      <c r="JBN229" s="1"/>
      <c r="JBO229" s="1"/>
      <c r="JBP229" s="1"/>
      <c r="JBQ229" s="1"/>
      <c r="JBR229" s="1"/>
      <c r="JBS229" s="1"/>
      <c r="JBT229" s="1"/>
      <c r="JBU229" s="1"/>
      <c r="JBV229" s="1"/>
      <c r="JBW229" s="1"/>
      <c r="JBX229" s="1"/>
      <c r="JBY229" s="1"/>
      <c r="JBZ229" s="1"/>
      <c r="JCA229" s="1"/>
      <c r="JCB229" s="1"/>
      <c r="JCC229" s="1"/>
      <c r="JCD229" s="1"/>
      <c r="JCE229" s="1"/>
      <c r="JCF229" s="1"/>
      <c r="JCG229" s="1"/>
      <c r="JCH229" s="1"/>
      <c r="JCI229" s="1"/>
      <c r="JCJ229" s="1"/>
      <c r="JCK229" s="1"/>
      <c r="JCL229" s="1"/>
      <c r="JCM229" s="1"/>
      <c r="JCN229" s="1"/>
      <c r="JCO229" s="1"/>
      <c r="JCP229" s="1"/>
      <c r="JCQ229" s="1"/>
      <c r="JCR229" s="1"/>
      <c r="JCS229" s="1"/>
      <c r="JCT229" s="1"/>
      <c r="JCU229" s="1"/>
      <c r="JCV229" s="1"/>
      <c r="JCW229" s="1"/>
      <c r="JCX229" s="1"/>
      <c r="JCY229" s="1"/>
      <c r="JCZ229" s="1"/>
      <c r="JDA229" s="1"/>
      <c r="JDB229" s="1"/>
      <c r="JDC229" s="1"/>
      <c r="JDD229" s="1"/>
      <c r="JDE229" s="1"/>
      <c r="JDF229" s="1"/>
      <c r="JDG229" s="1"/>
      <c r="JDH229" s="1"/>
      <c r="JDI229" s="1"/>
      <c r="JDJ229" s="1"/>
      <c r="JDK229" s="1"/>
      <c r="JDL229" s="1"/>
      <c r="JDM229" s="1"/>
      <c r="JDN229" s="1"/>
      <c r="JDO229" s="1"/>
      <c r="JDP229" s="1"/>
      <c r="JDQ229" s="1"/>
      <c r="JDR229" s="1"/>
      <c r="JDS229" s="1"/>
      <c r="JDT229" s="1"/>
      <c r="JDU229" s="1"/>
      <c r="JDV229" s="1"/>
      <c r="JDW229" s="1"/>
      <c r="JDX229" s="1"/>
      <c r="JDY229" s="1"/>
      <c r="JDZ229" s="1"/>
      <c r="JEA229" s="1"/>
      <c r="JEB229" s="1"/>
      <c r="JEC229" s="1"/>
      <c r="JED229" s="1"/>
      <c r="JEE229" s="1"/>
      <c r="JEF229" s="1"/>
      <c r="JEG229" s="1"/>
      <c r="JEH229" s="1"/>
      <c r="JEI229" s="1"/>
      <c r="JEJ229" s="1"/>
      <c r="JEK229" s="1"/>
      <c r="JEL229" s="1"/>
      <c r="JEM229" s="1"/>
      <c r="JEN229" s="1"/>
      <c r="JEO229" s="1"/>
      <c r="JEP229" s="1"/>
      <c r="JEQ229" s="1"/>
      <c r="JER229" s="1"/>
      <c r="JES229" s="1"/>
      <c r="JET229" s="1"/>
      <c r="JEU229" s="1"/>
      <c r="JEV229" s="1"/>
      <c r="JEW229" s="1"/>
      <c r="JEX229" s="1"/>
      <c r="JEY229" s="1"/>
      <c r="JEZ229" s="1"/>
      <c r="JFA229" s="1"/>
      <c r="JFB229" s="1"/>
      <c r="JFC229" s="1"/>
      <c r="JFD229" s="1"/>
      <c r="JFE229" s="1"/>
      <c r="JFF229" s="1"/>
      <c r="JFG229" s="1"/>
      <c r="JFH229" s="1"/>
      <c r="JFI229" s="1"/>
      <c r="JFJ229" s="1"/>
      <c r="JFK229" s="1"/>
      <c r="JFL229" s="1"/>
      <c r="JFM229" s="1"/>
      <c r="JFN229" s="1"/>
      <c r="JFO229" s="1"/>
      <c r="JFP229" s="1"/>
      <c r="JFQ229" s="1"/>
      <c r="JFR229" s="1"/>
      <c r="JFS229" s="1"/>
      <c r="JFT229" s="1"/>
      <c r="JFU229" s="1"/>
      <c r="JFV229" s="1"/>
      <c r="JFW229" s="1"/>
      <c r="JFX229" s="1"/>
      <c r="JFY229" s="1"/>
      <c r="JFZ229" s="1"/>
      <c r="JGA229" s="1"/>
      <c r="JGB229" s="1"/>
      <c r="JGC229" s="1"/>
      <c r="JGD229" s="1"/>
      <c r="JGE229" s="1"/>
      <c r="JGF229" s="1"/>
      <c r="JGG229" s="1"/>
      <c r="JGH229" s="1"/>
      <c r="JGI229" s="1"/>
      <c r="JGJ229" s="1"/>
      <c r="JGK229" s="1"/>
      <c r="JGL229" s="1"/>
      <c r="JGM229" s="1"/>
      <c r="JGN229" s="1"/>
      <c r="JGO229" s="1"/>
      <c r="JGP229" s="1"/>
      <c r="JGQ229" s="1"/>
      <c r="JGR229" s="1"/>
      <c r="JGS229" s="1"/>
      <c r="JGT229" s="1"/>
      <c r="JGU229" s="1"/>
      <c r="JGV229" s="1"/>
      <c r="JGW229" s="1"/>
      <c r="JGX229" s="1"/>
      <c r="JGY229" s="1"/>
      <c r="JGZ229" s="1"/>
      <c r="JHA229" s="1"/>
      <c r="JHB229" s="1"/>
      <c r="JHC229" s="1"/>
      <c r="JHD229" s="1"/>
      <c r="JHE229" s="1"/>
      <c r="JHF229" s="1"/>
      <c r="JHG229" s="1"/>
      <c r="JHH229" s="1"/>
      <c r="JHI229" s="1"/>
      <c r="JHJ229" s="1"/>
      <c r="JHK229" s="1"/>
      <c r="JHL229" s="1"/>
      <c r="JHM229" s="1"/>
      <c r="JHN229" s="1"/>
      <c r="JHO229" s="1"/>
      <c r="JHP229" s="1"/>
      <c r="JHQ229" s="1"/>
      <c r="JHR229" s="1"/>
      <c r="JHS229" s="1"/>
      <c r="JHT229" s="1"/>
      <c r="JHU229" s="1"/>
      <c r="JHV229" s="1"/>
      <c r="JHW229" s="1"/>
      <c r="JHX229" s="1"/>
      <c r="JHY229" s="1"/>
      <c r="JHZ229" s="1"/>
      <c r="JIA229" s="1"/>
      <c r="JIB229" s="1"/>
      <c r="JIC229" s="1"/>
      <c r="JID229" s="1"/>
      <c r="JIE229" s="1"/>
      <c r="JIF229" s="1"/>
      <c r="JIG229" s="1"/>
      <c r="JIH229" s="1"/>
      <c r="JII229" s="1"/>
      <c r="JIJ229" s="1"/>
      <c r="JIK229" s="1"/>
      <c r="JIL229" s="1"/>
      <c r="JIM229" s="1"/>
      <c r="JIN229" s="1"/>
      <c r="JIO229" s="1"/>
      <c r="JIP229" s="1"/>
      <c r="JIQ229" s="1"/>
      <c r="JIR229" s="1"/>
      <c r="JIS229" s="1"/>
      <c r="JIT229" s="1"/>
      <c r="JIU229" s="1"/>
      <c r="JIV229" s="1"/>
      <c r="JIW229" s="1"/>
      <c r="JIX229" s="1"/>
      <c r="JIY229" s="1"/>
      <c r="JIZ229" s="1"/>
      <c r="JJA229" s="1"/>
      <c r="JJB229" s="1"/>
      <c r="JJC229" s="1"/>
      <c r="JJD229" s="1"/>
      <c r="JJE229" s="1"/>
      <c r="JJF229" s="1"/>
      <c r="JJG229" s="1"/>
      <c r="JJH229" s="1"/>
      <c r="JJI229" s="1"/>
      <c r="JJJ229" s="1"/>
      <c r="JJK229" s="1"/>
      <c r="JJL229" s="1"/>
      <c r="JJM229" s="1"/>
      <c r="JJN229" s="1"/>
      <c r="JJO229" s="1"/>
      <c r="JJP229" s="1"/>
      <c r="JJQ229" s="1"/>
      <c r="JJR229" s="1"/>
      <c r="JJS229" s="1"/>
      <c r="JJT229" s="1"/>
      <c r="JJU229" s="1"/>
      <c r="JJV229" s="1"/>
      <c r="JJW229" s="1"/>
      <c r="JJX229" s="1"/>
      <c r="JJY229" s="1"/>
      <c r="JJZ229" s="1"/>
      <c r="JKA229" s="1"/>
      <c r="JKB229" s="1"/>
      <c r="JKC229" s="1"/>
      <c r="JKD229" s="1"/>
      <c r="JKE229" s="1"/>
      <c r="JKF229" s="1"/>
      <c r="JKG229" s="1"/>
      <c r="JKH229" s="1"/>
      <c r="JKI229" s="1"/>
      <c r="JKJ229" s="1"/>
      <c r="JKK229" s="1"/>
      <c r="JKL229" s="1"/>
      <c r="JKM229" s="1"/>
      <c r="JKN229" s="1"/>
      <c r="JKO229" s="1"/>
      <c r="JKP229" s="1"/>
      <c r="JKQ229" s="1"/>
      <c r="JKR229" s="1"/>
      <c r="JKS229" s="1"/>
      <c r="JKT229" s="1"/>
      <c r="JKU229" s="1"/>
      <c r="JKV229" s="1"/>
      <c r="JKW229" s="1"/>
      <c r="JKX229" s="1"/>
      <c r="JKY229" s="1"/>
      <c r="JKZ229" s="1"/>
      <c r="JLA229" s="1"/>
      <c r="JLB229" s="1"/>
      <c r="JLC229" s="1"/>
      <c r="JLD229" s="1"/>
      <c r="JLE229" s="1"/>
      <c r="JLF229" s="1"/>
      <c r="JLG229" s="1"/>
      <c r="JLH229" s="1"/>
      <c r="JLI229" s="1"/>
      <c r="JLJ229" s="1"/>
      <c r="JLK229" s="1"/>
      <c r="JLL229" s="1"/>
      <c r="JLM229" s="1"/>
      <c r="JLN229" s="1"/>
      <c r="JLO229" s="1"/>
      <c r="JLP229" s="1"/>
      <c r="JLQ229" s="1"/>
      <c r="JLR229" s="1"/>
      <c r="JLS229" s="1"/>
      <c r="JLT229" s="1"/>
      <c r="JLU229" s="1"/>
      <c r="JLV229" s="1"/>
      <c r="JLW229" s="1"/>
      <c r="JLX229" s="1"/>
      <c r="JLY229" s="1"/>
      <c r="JLZ229" s="1"/>
      <c r="JMA229" s="1"/>
      <c r="JMB229" s="1"/>
      <c r="JMC229" s="1"/>
      <c r="JMD229" s="1"/>
      <c r="JME229" s="1"/>
      <c r="JMF229" s="1"/>
      <c r="JMG229" s="1"/>
      <c r="JMH229" s="1"/>
      <c r="JMI229" s="1"/>
      <c r="JMJ229" s="1"/>
      <c r="JMK229" s="1"/>
      <c r="JML229" s="1"/>
      <c r="JMM229" s="1"/>
      <c r="JMN229" s="1"/>
      <c r="JMO229" s="1"/>
      <c r="JMP229" s="1"/>
      <c r="JMQ229" s="1"/>
      <c r="JMR229" s="1"/>
      <c r="JMS229" s="1"/>
      <c r="JMT229" s="1"/>
      <c r="JMU229" s="1"/>
      <c r="JMV229" s="1"/>
      <c r="JMW229" s="1"/>
      <c r="JMX229" s="1"/>
      <c r="JMY229" s="1"/>
      <c r="JMZ229" s="1"/>
      <c r="JNA229" s="1"/>
      <c r="JNB229" s="1"/>
      <c r="JNC229" s="1"/>
      <c r="JND229" s="1"/>
      <c r="JNE229" s="1"/>
      <c r="JNF229" s="1"/>
      <c r="JNG229" s="1"/>
      <c r="JNH229" s="1"/>
      <c r="JNI229" s="1"/>
      <c r="JNJ229" s="1"/>
      <c r="JNK229" s="1"/>
      <c r="JNL229" s="1"/>
      <c r="JNM229" s="1"/>
      <c r="JNN229" s="1"/>
      <c r="JNO229" s="1"/>
      <c r="JNP229" s="1"/>
      <c r="JNQ229" s="1"/>
      <c r="JNR229" s="1"/>
      <c r="JNS229" s="1"/>
      <c r="JNT229" s="1"/>
      <c r="JNU229" s="1"/>
      <c r="JNV229" s="1"/>
      <c r="JNW229" s="1"/>
      <c r="JNX229" s="1"/>
      <c r="JNY229" s="1"/>
      <c r="JNZ229" s="1"/>
      <c r="JOA229" s="1"/>
      <c r="JOB229" s="1"/>
      <c r="JOC229" s="1"/>
      <c r="JOD229" s="1"/>
      <c r="JOE229" s="1"/>
      <c r="JOF229" s="1"/>
      <c r="JOG229" s="1"/>
      <c r="JOH229" s="1"/>
      <c r="JOI229" s="1"/>
      <c r="JOJ229" s="1"/>
      <c r="JOK229" s="1"/>
      <c r="JOL229" s="1"/>
      <c r="JOM229" s="1"/>
      <c r="JON229" s="1"/>
      <c r="JOO229" s="1"/>
      <c r="JOP229" s="1"/>
      <c r="JOQ229" s="1"/>
      <c r="JOR229" s="1"/>
      <c r="JOS229" s="1"/>
      <c r="JOT229" s="1"/>
      <c r="JOU229" s="1"/>
      <c r="JOV229" s="1"/>
      <c r="JOW229" s="1"/>
      <c r="JOX229" s="1"/>
      <c r="JOY229" s="1"/>
      <c r="JOZ229" s="1"/>
      <c r="JPA229" s="1"/>
      <c r="JPB229" s="1"/>
      <c r="JPC229" s="1"/>
      <c r="JPD229" s="1"/>
      <c r="JPE229" s="1"/>
      <c r="JPF229" s="1"/>
      <c r="JPG229" s="1"/>
      <c r="JPH229" s="1"/>
      <c r="JPI229" s="1"/>
      <c r="JPJ229" s="1"/>
      <c r="JPK229" s="1"/>
      <c r="JPL229" s="1"/>
      <c r="JPM229" s="1"/>
      <c r="JPN229" s="1"/>
      <c r="JPO229" s="1"/>
      <c r="JPP229" s="1"/>
      <c r="JPQ229" s="1"/>
      <c r="JPR229" s="1"/>
      <c r="JPS229" s="1"/>
      <c r="JPT229" s="1"/>
      <c r="JPU229" s="1"/>
      <c r="JPV229" s="1"/>
      <c r="JPW229" s="1"/>
      <c r="JPX229" s="1"/>
      <c r="JPY229" s="1"/>
      <c r="JPZ229" s="1"/>
      <c r="JQA229" s="1"/>
      <c r="JQB229" s="1"/>
      <c r="JQC229" s="1"/>
      <c r="JQD229" s="1"/>
      <c r="JQE229" s="1"/>
      <c r="JQF229" s="1"/>
      <c r="JQG229" s="1"/>
      <c r="JQH229" s="1"/>
      <c r="JQI229" s="1"/>
      <c r="JQJ229" s="1"/>
      <c r="JQK229" s="1"/>
      <c r="JQL229" s="1"/>
      <c r="JQM229" s="1"/>
      <c r="JQN229" s="1"/>
      <c r="JQO229" s="1"/>
      <c r="JQP229" s="1"/>
      <c r="JQQ229" s="1"/>
      <c r="JQR229" s="1"/>
      <c r="JQS229" s="1"/>
      <c r="JQT229" s="1"/>
      <c r="JQU229" s="1"/>
      <c r="JQV229" s="1"/>
      <c r="JQW229" s="1"/>
      <c r="JQX229" s="1"/>
      <c r="JQY229" s="1"/>
      <c r="JQZ229" s="1"/>
      <c r="JRA229" s="1"/>
      <c r="JRB229" s="1"/>
      <c r="JRC229" s="1"/>
      <c r="JRD229" s="1"/>
      <c r="JRE229" s="1"/>
      <c r="JRF229" s="1"/>
      <c r="JRG229" s="1"/>
      <c r="JRH229" s="1"/>
      <c r="JRI229" s="1"/>
      <c r="JRJ229" s="1"/>
      <c r="JRK229" s="1"/>
      <c r="JRL229" s="1"/>
      <c r="JRM229" s="1"/>
      <c r="JRN229" s="1"/>
      <c r="JRO229" s="1"/>
      <c r="JRP229" s="1"/>
      <c r="JRQ229" s="1"/>
      <c r="JRR229" s="1"/>
      <c r="JRS229" s="1"/>
      <c r="JRT229" s="1"/>
      <c r="JRU229" s="1"/>
      <c r="JRV229" s="1"/>
      <c r="JRW229" s="1"/>
      <c r="JRX229" s="1"/>
      <c r="JRY229" s="1"/>
      <c r="JRZ229" s="1"/>
      <c r="JSA229" s="1"/>
      <c r="JSB229" s="1"/>
      <c r="JSC229" s="1"/>
      <c r="JSD229" s="1"/>
      <c r="JSE229" s="1"/>
      <c r="JSF229" s="1"/>
      <c r="JSG229" s="1"/>
      <c r="JSH229" s="1"/>
      <c r="JSI229" s="1"/>
      <c r="JSJ229" s="1"/>
      <c r="JSK229" s="1"/>
      <c r="JSL229" s="1"/>
      <c r="JSM229" s="1"/>
      <c r="JSN229" s="1"/>
      <c r="JSO229" s="1"/>
      <c r="JSP229" s="1"/>
      <c r="JSQ229" s="1"/>
      <c r="JSR229" s="1"/>
      <c r="JSS229" s="1"/>
      <c r="JST229" s="1"/>
      <c r="JSU229" s="1"/>
      <c r="JSV229" s="1"/>
      <c r="JSW229" s="1"/>
      <c r="JSX229" s="1"/>
      <c r="JSY229" s="1"/>
      <c r="JSZ229" s="1"/>
      <c r="JTA229" s="1"/>
      <c r="JTB229" s="1"/>
      <c r="JTC229" s="1"/>
      <c r="JTD229" s="1"/>
      <c r="JTE229" s="1"/>
      <c r="JTF229" s="1"/>
      <c r="JTG229" s="1"/>
      <c r="JTH229" s="1"/>
      <c r="JTI229" s="1"/>
      <c r="JTJ229" s="1"/>
      <c r="JTK229" s="1"/>
      <c r="JTL229" s="1"/>
      <c r="JTM229" s="1"/>
      <c r="JTN229" s="1"/>
      <c r="JTO229" s="1"/>
      <c r="JTP229" s="1"/>
      <c r="JTQ229" s="1"/>
      <c r="JTR229" s="1"/>
      <c r="JTS229" s="1"/>
      <c r="JTT229" s="1"/>
      <c r="JTU229" s="1"/>
      <c r="JTV229" s="1"/>
      <c r="JTW229" s="1"/>
      <c r="JTX229" s="1"/>
      <c r="JTY229" s="1"/>
      <c r="JTZ229" s="1"/>
      <c r="JUA229" s="1"/>
      <c r="JUB229" s="1"/>
      <c r="JUC229" s="1"/>
      <c r="JUD229" s="1"/>
      <c r="JUE229" s="1"/>
      <c r="JUF229" s="1"/>
      <c r="JUG229" s="1"/>
      <c r="JUH229" s="1"/>
      <c r="JUI229" s="1"/>
      <c r="JUJ229" s="1"/>
      <c r="JUK229" s="1"/>
      <c r="JUL229" s="1"/>
      <c r="JUM229" s="1"/>
      <c r="JUN229" s="1"/>
      <c r="JUO229" s="1"/>
      <c r="JUP229" s="1"/>
      <c r="JUQ229" s="1"/>
      <c r="JUR229" s="1"/>
      <c r="JUS229" s="1"/>
      <c r="JUT229" s="1"/>
      <c r="JUU229" s="1"/>
      <c r="JUV229" s="1"/>
      <c r="JUW229" s="1"/>
      <c r="JUX229" s="1"/>
      <c r="JUY229" s="1"/>
      <c r="JUZ229" s="1"/>
      <c r="JVA229" s="1"/>
      <c r="JVB229" s="1"/>
      <c r="JVC229" s="1"/>
      <c r="JVD229" s="1"/>
      <c r="JVE229" s="1"/>
      <c r="JVF229" s="1"/>
      <c r="JVG229" s="1"/>
      <c r="JVH229" s="1"/>
      <c r="JVI229" s="1"/>
      <c r="JVJ229" s="1"/>
      <c r="JVK229" s="1"/>
      <c r="JVL229" s="1"/>
      <c r="JVM229" s="1"/>
      <c r="JVN229" s="1"/>
      <c r="JVO229" s="1"/>
      <c r="JVP229" s="1"/>
      <c r="JVQ229" s="1"/>
      <c r="JVR229" s="1"/>
      <c r="JVS229" s="1"/>
      <c r="JVT229" s="1"/>
      <c r="JVU229" s="1"/>
      <c r="JVV229" s="1"/>
      <c r="JVW229" s="1"/>
      <c r="JVX229" s="1"/>
      <c r="JVY229" s="1"/>
      <c r="JVZ229" s="1"/>
      <c r="JWA229" s="1"/>
      <c r="JWB229" s="1"/>
      <c r="JWC229" s="1"/>
      <c r="JWD229" s="1"/>
      <c r="JWE229" s="1"/>
      <c r="JWF229" s="1"/>
      <c r="JWG229" s="1"/>
      <c r="JWH229" s="1"/>
      <c r="JWI229" s="1"/>
      <c r="JWJ229" s="1"/>
      <c r="JWK229" s="1"/>
      <c r="JWL229" s="1"/>
      <c r="JWM229" s="1"/>
      <c r="JWN229" s="1"/>
      <c r="JWO229" s="1"/>
      <c r="JWP229" s="1"/>
      <c r="JWQ229" s="1"/>
      <c r="JWR229" s="1"/>
      <c r="JWS229" s="1"/>
      <c r="JWT229" s="1"/>
      <c r="JWU229" s="1"/>
      <c r="JWV229" s="1"/>
      <c r="JWW229" s="1"/>
      <c r="JWX229" s="1"/>
      <c r="JWY229" s="1"/>
      <c r="JWZ229" s="1"/>
      <c r="JXA229" s="1"/>
      <c r="JXB229" s="1"/>
      <c r="JXC229" s="1"/>
      <c r="JXD229" s="1"/>
      <c r="JXE229" s="1"/>
      <c r="JXF229" s="1"/>
      <c r="JXG229" s="1"/>
      <c r="JXH229" s="1"/>
      <c r="JXI229" s="1"/>
      <c r="JXJ229" s="1"/>
      <c r="JXK229" s="1"/>
      <c r="JXL229" s="1"/>
      <c r="JXM229" s="1"/>
      <c r="JXN229" s="1"/>
      <c r="JXO229" s="1"/>
      <c r="JXP229" s="1"/>
      <c r="JXQ229" s="1"/>
      <c r="JXR229" s="1"/>
      <c r="JXS229" s="1"/>
      <c r="JXT229" s="1"/>
      <c r="JXU229" s="1"/>
      <c r="JXV229" s="1"/>
      <c r="JXW229" s="1"/>
      <c r="JXX229" s="1"/>
      <c r="JXY229" s="1"/>
      <c r="JXZ229" s="1"/>
      <c r="JYA229" s="1"/>
      <c r="JYB229" s="1"/>
      <c r="JYC229" s="1"/>
      <c r="JYD229" s="1"/>
      <c r="JYE229" s="1"/>
      <c r="JYF229" s="1"/>
      <c r="JYG229" s="1"/>
      <c r="JYH229" s="1"/>
      <c r="JYI229" s="1"/>
      <c r="JYJ229" s="1"/>
      <c r="JYK229" s="1"/>
      <c r="JYL229" s="1"/>
      <c r="JYM229" s="1"/>
      <c r="JYN229" s="1"/>
      <c r="JYO229" s="1"/>
      <c r="JYP229" s="1"/>
      <c r="JYQ229" s="1"/>
      <c r="JYR229" s="1"/>
      <c r="JYS229" s="1"/>
      <c r="JYT229" s="1"/>
      <c r="JYU229" s="1"/>
      <c r="JYV229" s="1"/>
      <c r="JYW229" s="1"/>
      <c r="JYX229" s="1"/>
      <c r="JYY229" s="1"/>
      <c r="JYZ229" s="1"/>
      <c r="JZA229" s="1"/>
      <c r="JZB229" s="1"/>
      <c r="JZC229" s="1"/>
      <c r="JZD229" s="1"/>
      <c r="JZE229" s="1"/>
      <c r="JZF229" s="1"/>
      <c r="JZG229" s="1"/>
      <c r="JZH229" s="1"/>
      <c r="JZI229" s="1"/>
      <c r="JZJ229" s="1"/>
      <c r="JZK229" s="1"/>
      <c r="JZL229" s="1"/>
      <c r="JZM229" s="1"/>
      <c r="JZN229" s="1"/>
      <c r="JZO229" s="1"/>
      <c r="JZP229" s="1"/>
      <c r="JZQ229" s="1"/>
      <c r="JZR229" s="1"/>
      <c r="JZS229" s="1"/>
      <c r="JZT229" s="1"/>
      <c r="JZU229" s="1"/>
      <c r="JZV229" s="1"/>
      <c r="JZW229" s="1"/>
      <c r="JZX229" s="1"/>
      <c r="JZY229" s="1"/>
      <c r="JZZ229" s="1"/>
      <c r="KAA229" s="1"/>
      <c r="KAB229" s="1"/>
      <c r="KAC229" s="1"/>
      <c r="KAD229" s="1"/>
      <c r="KAE229" s="1"/>
      <c r="KAF229" s="1"/>
      <c r="KAG229" s="1"/>
      <c r="KAH229" s="1"/>
      <c r="KAI229" s="1"/>
      <c r="KAJ229" s="1"/>
      <c r="KAK229" s="1"/>
      <c r="KAL229" s="1"/>
      <c r="KAM229" s="1"/>
      <c r="KAN229" s="1"/>
      <c r="KAO229" s="1"/>
      <c r="KAP229" s="1"/>
      <c r="KAQ229" s="1"/>
      <c r="KAR229" s="1"/>
      <c r="KAS229" s="1"/>
      <c r="KAT229" s="1"/>
      <c r="KAU229" s="1"/>
      <c r="KAV229" s="1"/>
      <c r="KAW229" s="1"/>
      <c r="KAX229" s="1"/>
      <c r="KAY229" s="1"/>
      <c r="KAZ229" s="1"/>
      <c r="KBA229" s="1"/>
      <c r="KBB229" s="1"/>
      <c r="KBC229" s="1"/>
      <c r="KBD229" s="1"/>
      <c r="KBE229" s="1"/>
      <c r="KBF229" s="1"/>
      <c r="KBG229" s="1"/>
      <c r="KBH229" s="1"/>
      <c r="KBI229" s="1"/>
      <c r="KBJ229" s="1"/>
      <c r="KBK229" s="1"/>
      <c r="KBL229" s="1"/>
      <c r="KBM229" s="1"/>
      <c r="KBN229" s="1"/>
      <c r="KBO229" s="1"/>
      <c r="KBP229" s="1"/>
      <c r="KBQ229" s="1"/>
      <c r="KBR229" s="1"/>
      <c r="KBS229" s="1"/>
      <c r="KBT229" s="1"/>
      <c r="KBU229" s="1"/>
      <c r="KBV229" s="1"/>
      <c r="KBW229" s="1"/>
      <c r="KBX229" s="1"/>
      <c r="KBY229" s="1"/>
      <c r="KBZ229" s="1"/>
      <c r="KCA229" s="1"/>
      <c r="KCB229" s="1"/>
      <c r="KCC229" s="1"/>
      <c r="KCD229" s="1"/>
      <c r="KCE229" s="1"/>
      <c r="KCF229" s="1"/>
      <c r="KCG229" s="1"/>
      <c r="KCH229" s="1"/>
      <c r="KCI229" s="1"/>
      <c r="KCJ229" s="1"/>
      <c r="KCK229" s="1"/>
      <c r="KCL229" s="1"/>
      <c r="KCM229" s="1"/>
      <c r="KCN229" s="1"/>
      <c r="KCO229" s="1"/>
      <c r="KCP229" s="1"/>
      <c r="KCQ229" s="1"/>
      <c r="KCR229" s="1"/>
      <c r="KCS229" s="1"/>
      <c r="KCT229" s="1"/>
      <c r="KCU229" s="1"/>
      <c r="KCV229" s="1"/>
      <c r="KCW229" s="1"/>
      <c r="KCX229" s="1"/>
      <c r="KCY229" s="1"/>
      <c r="KCZ229" s="1"/>
      <c r="KDA229" s="1"/>
      <c r="KDB229" s="1"/>
      <c r="KDC229" s="1"/>
      <c r="KDD229" s="1"/>
      <c r="KDE229" s="1"/>
      <c r="KDF229" s="1"/>
      <c r="KDG229" s="1"/>
      <c r="KDH229" s="1"/>
      <c r="KDI229" s="1"/>
      <c r="KDJ229" s="1"/>
      <c r="KDK229" s="1"/>
      <c r="KDL229" s="1"/>
      <c r="KDM229" s="1"/>
      <c r="KDN229" s="1"/>
      <c r="KDO229" s="1"/>
      <c r="KDP229" s="1"/>
      <c r="KDQ229" s="1"/>
      <c r="KDR229" s="1"/>
      <c r="KDS229" s="1"/>
      <c r="KDT229" s="1"/>
      <c r="KDU229" s="1"/>
      <c r="KDV229" s="1"/>
      <c r="KDW229" s="1"/>
      <c r="KDX229" s="1"/>
      <c r="KDY229" s="1"/>
      <c r="KDZ229" s="1"/>
      <c r="KEA229" s="1"/>
      <c r="KEB229" s="1"/>
      <c r="KEC229" s="1"/>
      <c r="KED229" s="1"/>
      <c r="KEE229" s="1"/>
      <c r="KEF229" s="1"/>
      <c r="KEG229" s="1"/>
      <c r="KEH229" s="1"/>
      <c r="KEI229" s="1"/>
      <c r="KEJ229" s="1"/>
      <c r="KEK229" s="1"/>
      <c r="KEL229" s="1"/>
      <c r="KEM229" s="1"/>
      <c r="KEN229" s="1"/>
      <c r="KEO229" s="1"/>
      <c r="KEP229" s="1"/>
      <c r="KEQ229" s="1"/>
      <c r="KER229" s="1"/>
      <c r="KES229" s="1"/>
      <c r="KET229" s="1"/>
      <c r="KEU229" s="1"/>
      <c r="KEV229" s="1"/>
      <c r="KEW229" s="1"/>
      <c r="KEX229" s="1"/>
      <c r="KEY229" s="1"/>
      <c r="KEZ229" s="1"/>
      <c r="KFA229" s="1"/>
      <c r="KFB229" s="1"/>
      <c r="KFC229" s="1"/>
      <c r="KFD229" s="1"/>
      <c r="KFE229" s="1"/>
      <c r="KFF229" s="1"/>
      <c r="KFG229" s="1"/>
      <c r="KFH229" s="1"/>
      <c r="KFI229" s="1"/>
      <c r="KFJ229" s="1"/>
      <c r="KFK229" s="1"/>
      <c r="KFL229" s="1"/>
      <c r="KFM229" s="1"/>
      <c r="KFN229" s="1"/>
      <c r="KFO229" s="1"/>
      <c r="KFP229" s="1"/>
      <c r="KFQ229" s="1"/>
      <c r="KFR229" s="1"/>
      <c r="KFS229" s="1"/>
      <c r="KFT229" s="1"/>
      <c r="KFU229" s="1"/>
      <c r="KFV229" s="1"/>
      <c r="KFW229" s="1"/>
      <c r="KFX229" s="1"/>
      <c r="KFY229" s="1"/>
      <c r="KFZ229" s="1"/>
      <c r="KGA229" s="1"/>
      <c r="KGB229" s="1"/>
      <c r="KGC229" s="1"/>
      <c r="KGD229" s="1"/>
      <c r="KGE229" s="1"/>
      <c r="KGF229" s="1"/>
      <c r="KGG229" s="1"/>
      <c r="KGH229" s="1"/>
      <c r="KGI229" s="1"/>
      <c r="KGJ229" s="1"/>
      <c r="KGK229" s="1"/>
      <c r="KGL229" s="1"/>
      <c r="KGM229" s="1"/>
      <c r="KGN229" s="1"/>
      <c r="KGO229" s="1"/>
      <c r="KGP229" s="1"/>
      <c r="KGQ229" s="1"/>
      <c r="KGR229" s="1"/>
      <c r="KGS229" s="1"/>
      <c r="KGT229" s="1"/>
      <c r="KGU229" s="1"/>
      <c r="KGV229" s="1"/>
      <c r="KGW229" s="1"/>
      <c r="KGX229" s="1"/>
      <c r="KGY229" s="1"/>
      <c r="KGZ229" s="1"/>
      <c r="KHA229" s="1"/>
      <c r="KHB229" s="1"/>
      <c r="KHC229" s="1"/>
      <c r="KHD229" s="1"/>
      <c r="KHE229" s="1"/>
      <c r="KHF229" s="1"/>
      <c r="KHG229" s="1"/>
      <c r="KHH229" s="1"/>
      <c r="KHI229" s="1"/>
      <c r="KHJ229" s="1"/>
      <c r="KHK229" s="1"/>
      <c r="KHL229" s="1"/>
      <c r="KHM229" s="1"/>
      <c r="KHN229" s="1"/>
      <c r="KHO229" s="1"/>
      <c r="KHP229" s="1"/>
      <c r="KHQ229" s="1"/>
      <c r="KHR229" s="1"/>
      <c r="KHS229" s="1"/>
      <c r="KHT229" s="1"/>
      <c r="KHU229" s="1"/>
      <c r="KHV229" s="1"/>
      <c r="KHW229" s="1"/>
      <c r="KHX229" s="1"/>
      <c r="KHY229" s="1"/>
      <c r="KHZ229" s="1"/>
      <c r="KIA229" s="1"/>
      <c r="KIB229" s="1"/>
      <c r="KIC229" s="1"/>
      <c r="KID229" s="1"/>
      <c r="KIE229" s="1"/>
      <c r="KIF229" s="1"/>
      <c r="KIG229" s="1"/>
      <c r="KIH229" s="1"/>
      <c r="KII229" s="1"/>
      <c r="KIJ229" s="1"/>
      <c r="KIK229" s="1"/>
      <c r="KIL229" s="1"/>
      <c r="KIM229" s="1"/>
      <c r="KIN229" s="1"/>
      <c r="KIO229" s="1"/>
      <c r="KIP229" s="1"/>
      <c r="KIQ229" s="1"/>
      <c r="KIR229" s="1"/>
      <c r="KIS229" s="1"/>
      <c r="KIT229" s="1"/>
      <c r="KIU229" s="1"/>
      <c r="KIV229" s="1"/>
      <c r="KIW229" s="1"/>
      <c r="KIX229" s="1"/>
      <c r="KIY229" s="1"/>
      <c r="KIZ229" s="1"/>
      <c r="KJA229" s="1"/>
      <c r="KJB229" s="1"/>
      <c r="KJC229" s="1"/>
      <c r="KJD229" s="1"/>
      <c r="KJE229" s="1"/>
      <c r="KJF229" s="1"/>
      <c r="KJG229" s="1"/>
      <c r="KJH229" s="1"/>
      <c r="KJI229" s="1"/>
      <c r="KJJ229" s="1"/>
      <c r="KJK229" s="1"/>
      <c r="KJL229" s="1"/>
      <c r="KJM229" s="1"/>
      <c r="KJN229" s="1"/>
      <c r="KJO229" s="1"/>
      <c r="KJP229" s="1"/>
      <c r="KJQ229" s="1"/>
      <c r="KJR229" s="1"/>
      <c r="KJS229" s="1"/>
      <c r="KJT229" s="1"/>
      <c r="KJU229" s="1"/>
      <c r="KJV229" s="1"/>
      <c r="KJW229" s="1"/>
      <c r="KJX229" s="1"/>
      <c r="KJY229" s="1"/>
      <c r="KJZ229" s="1"/>
      <c r="KKA229" s="1"/>
      <c r="KKB229" s="1"/>
      <c r="KKC229" s="1"/>
      <c r="KKD229" s="1"/>
      <c r="KKE229" s="1"/>
      <c r="KKF229" s="1"/>
      <c r="KKG229" s="1"/>
      <c r="KKH229" s="1"/>
      <c r="KKI229" s="1"/>
      <c r="KKJ229" s="1"/>
      <c r="KKK229" s="1"/>
      <c r="KKL229" s="1"/>
      <c r="KKM229" s="1"/>
      <c r="KKN229" s="1"/>
      <c r="KKO229" s="1"/>
      <c r="KKP229" s="1"/>
      <c r="KKQ229" s="1"/>
      <c r="KKR229" s="1"/>
      <c r="KKS229" s="1"/>
      <c r="KKT229" s="1"/>
      <c r="KKU229" s="1"/>
      <c r="KKV229" s="1"/>
      <c r="KKW229" s="1"/>
      <c r="KKX229" s="1"/>
      <c r="KKY229" s="1"/>
      <c r="KKZ229" s="1"/>
      <c r="KLA229" s="1"/>
      <c r="KLB229" s="1"/>
      <c r="KLC229" s="1"/>
      <c r="KLD229" s="1"/>
      <c r="KLE229" s="1"/>
      <c r="KLF229" s="1"/>
      <c r="KLG229" s="1"/>
      <c r="KLH229" s="1"/>
      <c r="KLI229" s="1"/>
      <c r="KLJ229" s="1"/>
      <c r="KLK229" s="1"/>
      <c r="KLL229" s="1"/>
      <c r="KLM229" s="1"/>
      <c r="KLN229" s="1"/>
      <c r="KLO229" s="1"/>
      <c r="KLP229" s="1"/>
      <c r="KLQ229" s="1"/>
      <c r="KLR229" s="1"/>
      <c r="KLS229" s="1"/>
      <c r="KLT229" s="1"/>
      <c r="KLU229" s="1"/>
      <c r="KLV229" s="1"/>
      <c r="KLW229" s="1"/>
      <c r="KLX229" s="1"/>
      <c r="KLY229" s="1"/>
      <c r="KLZ229" s="1"/>
      <c r="KMA229" s="1"/>
      <c r="KMB229" s="1"/>
      <c r="KMC229" s="1"/>
      <c r="KMD229" s="1"/>
      <c r="KME229" s="1"/>
      <c r="KMF229" s="1"/>
      <c r="KMG229" s="1"/>
      <c r="KMH229" s="1"/>
      <c r="KMI229" s="1"/>
      <c r="KMJ229" s="1"/>
      <c r="KMK229" s="1"/>
      <c r="KML229" s="1"/>
      <c r="KMM229" s="1"/>
      <c r="KMN229" s="1"/>
      <c r="KMO229" s="1"/>
      <c r="KMP229" s="1"/>
      <c r="KMQ229" s="1"/>
      <c r="KMR229" s="1"/>
      <c r="KMS229" s="1"/>
      <c r="KMT229" s="1"/>
      <c r="KMU229" s="1"/>
      <c r="KMV229" s="1"/>
      <c r="KMW229" s="1"/>
      <c r="KMX229" s="1"/>
      <c r="KMY229" s="1"/>
      <c r="KMZ229" s="1"/>
      <c r="KNA229" s="1"/>
      <c r="KNB229" s="1"/>
      <c r="KNC229" s="1"/>
      <c r="KND229" s="1"/>
      <c r="KNE229" s="1"/>
      <c r="KNF229" s="1"/>
      <c r="KNG229" s="1"/>
      <c r="KNH229" s="1"/>
      <c r="KNI229" s="1"/>
      <c r="KNJ229" s="1"/>
      <c r="KNK229" s="1"/>
      <c r="KNL229" s="1"/>
      <c r="KNM229" s="1"/>
      <c r="KNN229" s="1"/>
      <c r="KNO229" s="1"/>
      <c r="KNP229" s="1"/>
      <c r="KNQ229" s="1"/>
      <c r="KNR229" s="1"/>
      <c r="KNS229" s="1"/>
      <c r="KNT229" s="1"/>
      <c r="KNU229" s="1"/>
      <c r="KNV229" s="1"/>
      <c r="KNW229" s="1"/>
      <c r="KNX229" s="1"/>
      <c r="KNY229" s="1"/>
      <c r="KNZ229" s="1"/>
      <c r="KOA229" s="1"/>
      <c r="KOB229" s="1"/>
      <c r="KOC229" s="1"/>
      <c r="KOD229" s="1"/>
      <c r="KOE229" s="1"/>
      <c r="KOF229" s="1"/>
      <c r="KOG229" s="1"/>
      <c r="KOH229" s="1"/>
      <c r="KOI229" s="1"/>
      <c r="KOJ229" s="1"/>
      <c r="KOK229" s="1"/>
      <c r="KOL229" s="1"/>
      <c r="KOM229" s="1"/>
      <c r="KON229" s="1"/>
      <c r="KOO229" s="1"/>
      <c r="KOP229" s="1"/>
      <c r="KOQ229" s="1"/>
      <c r="KOR229" s="1"/>
      <c r="KOS229" s="1"/>
      <c r="KOT229" s="1"/>
      <c r="KOU229" s="1"/>
      <c r="KOV229" s="1"/>
      <c r="KOW229" s="1"/>
      <c r="KOX229" s="1"/>
      <c r="KOY229" s="1"/>
      <c r="KOZ229" s="1"/>
      <c r="KPA229" s="1"/>
      <c r="KPB229" s="1"/>
      <c r="KPC229" s="1"/>
      <c r="KPD229" s="1"/>
      <c r="KPE229" s="1"/>
      <c r="KPF229" s="1"/>
      <c r="KPG229" s="1"/>
      <c r="KPH229" s="1"/>
      <c r="KPI229" s="1"/>
      <c r="KPJ229" s="1"/>
      <c r="KPK229" s="1"/>
      <c r="KPL229" s="1"/>
      <c r="KPM229" s="1"/>
      <c r="KPN229" s="1"/>
      <c r="KPO229" s="1"/>
      <c r="KPP229" s="1"/>
      <c r="KPQ229" s="1"/>
      <c r="KPR229" s="1"/>
      <c r="KPS229" s="1"/>
      <c r="KPT229" s="1"/>
      <c r="KPU229" s="1"/>
      <c r="KPV229" s="1"/>
      <c r="KPW229" s="1"/>
      <c r="KPX229" s="1"/>
      <c r="KPY229" s="1"/>
      <c r="KPZ229" s="1"/>
      <c r="KQA229" s="1"/>
      <c r="KQB229" s="1"/>
      <c r="KQC229" s="1"/>
      <c r="KQD229" s="1"/>
      <c r="KQE229" s="1"/>
      <c r="KQF229" s="1"/>
      <c r="KQG229" s="1"/>
      <c r="KQH229" s="1"/>
      <c r="KQI229" s="1"/>
      <c r="KQJ229" s="1"/>
      <c r="KQK229" s="1"/>
      <c r="KQL229" s="1"/>
      <c r="KQM229" s="1"/>
      <c r="KQN229" s="1"/>
      <c r="KQO229" s="1"/>
      <c r="KQP229" s="1"/>
      <c r="KQQ229" s="1"/>
      <c r="KQR229" s="1"/>
      <c r="KQS229" s="1"/>
      <c r="KQT229" s="1"/>
      <c r="KQU229" s="1"/>
      <c r="KQV229" s="1"/>
      <c r="KQW229" s="1"/>
      <c r="KQX229" s="1"/>
      <c r="KQY229" s="1"/>
      <c r="KQZ229" s="1"/>
      <c r="KRA229" s="1"/>
      <c r="KRB229" s="1"/>
      <c r="KRC229" s="1"/>
      <c r="KRD229" s="1"/>
      <c r="KRE229" s="1"/>
      <c r="KRF229" s="1"/>
      <c r="KRG229" s="1"/>
      <c r="KRH229" s="1"/>
      <c r="KRI229" s="1"/>
      <c r="KRJ229" s="1"/>
      <c r="KRK229" s="1"/>
      <c r="KRL229" s="1"/>
      <c r="KRM229" s="1"/>
      <c r="KRN229" s="1"/>
      <c r="KRO229" s="1"/>
      <c r="KRP229" s="1"/>
      <c r="KRQ229" s="1"/>
      <c r="KRR229" s="1"/>
      <c r="KRS229" s="1"/>
      <c r="KRT229" s="1"/>
      <c r="KRU229" s="1"/>
      <c r="KRV229" s="1"/>
      <c r="KRW229" s="1"/>
      <c r="KRX229" s="1"/>
      <c r="KRY229" s="1"/>
      <c r="KRZ229" s="1"/>
      <c r="KSA229" s="1"/>
      <c r="KSB229" s="1"/>
      <c r="KSC229" s="1"/>
      <c r="KSD229" s="1"/>
      <c r="KSE229" s="1"/>
      <c r="KSF229" s="1"/>
      <c r="KSG229" s="1"/>
      <c r="KSH229" s="1"/>
      <c r="KSI229" s="1"/>
      <c r="KSJ229" s="1"/>
      <c r="KSK229" s="1"/>
      <c r="KSL229" s="1"/>
      <c r="KSM229" s="1"/>
      <c r="KSN229" s="1"/>
      <c r="KSO229" s="1"/>
      <c r="KSP229" s="1"/>
      <c r="KSQ229" s="1"/>
      <c r="KSR229" s="1"/>
      <c r="KSS229" s="1"/>
      <c r="KST229" s="1"/>
      <c r="KSU229" s="1"/>
      <c r="KSV229" s="1"/>
      <c r="KSW229" s="1"/>
      <c r="KSX229" s="1"/>
      <c r="KSY229" s="1"/>
      <c r="KSZ229" s="1"/>
      <c r="KTA229" s="1"/>
      <c r="KTB229" s="1"/>
      <c r="KTC229" s="1"/>
      <c r="KTD229" s="1"/>
      <c r="KTE229" s="1"/>
      <c r="KTF229" s="1"/>
      <c r="KTG229" s="1"/>
      <c r="KTH229" s="1"/>
      <c r="KTI229" s="1"/>
      <c r="KTJ229" s="1"/>
      <c r="KTK229" s="1"/>
      <c r="KTL229" s="1"/>
      <c r="KTM229" s="1"/>
      <c r="KTN229" s="1"/>
      <c r="KTO229" s="1"/>
      <c r="KTP229" s="1"/>
      <c r="KTQ229" s="1"/>
      <c r="KTR229" s="1"/>
      <c r="KTS229" s="1"/>
      <c r="KTT229" s="1"/>
      <c r="KTU229" s="1"/>
      <c r="KTV229" s="1"/>
      <c r="KTW229" s="1"/>
      <c r="KTX229" s="1"/>
      <c r="KTY229" s="1"/>
      <c r="KTZ229" s="1"/>
      <c r="KUA229" s="1"/>
      <c r="KUB229" s="1"/>
      <c r="KUC229" s="1"/>
      <c r="KUD229" s="1"/>
      <c r="KUE229" s="1"/>
      <c r="KUF229" s="1"/>
      <c r="KUG229" s="1"/>
      <c r="KUH229" s="1"/>
      <c r="KUI229" s="1"/>
      <c r="KUJ229" s="1"/>
      <c r="KUK229" s="1"/>
      <c r="KUL229" s="1"/>
      <c r="KUM229" s="1"/>
      <c r="KUN229" s="1"/>
      <c r="KUO229" s="1"/>
      <c r="KUP229" s="1"/>
      <c r="KUQ229" s="1"/>
      <c r="KUR229" s="1"/>
      <c r="KUS229" s="1"/>
      <c r="KUT229" s="1"/>
      <c r="KUU229" s="1"/>
      <c r="KUV229" s="1"/>
      <c r="KUW229" s="1"/>
      <c r="KUX229" s="1"/>
      <c r="KUY229" s="1"/>
      <c r="KUZ229" s="1"/>
      <c r="KVA229" s="1"/>
      <c r="KVB229" s="1"/>
      <c r="KVC229" s="1"/>
      <c r="KVD229" s="1"/>
      <c r="KVE229" s="1"/>
      <c r="KVF229" s="1"/>
      <c r="KVG229" s="1"/>
      <c r="KVH229" s="1"/>
      <c r="KVI229" s="1"/>
      <c r="KVJ229" s="1"/>
      <c r="KVK229" s="1"/>
      <c r="KVL229" s="1"/>
      <c r="KVM229" s="1"/>
      <c r="KVN229" s="1"/>
      <c r="KVO229" s="1"/>
      <c r="KVP229" s="1"/>
      <c r="KVQ229" s="1"/>
      <c r="KVR229" s="1"/>
      <c r="KVS229" s="1"/>
      <c r="KVT229" s="1"/>
      <c r="KVU229" s="1"/>
      <c r="KVV229" s="1"/>
      <c r="KVW229" s="1"/>
      <c r="KVX229" s="1"/>
      <c r="KVY229" s="1"/>
      <c r="KVZ229" s="1"/>
      <c r="KWA229" s="1"/>
      <c r="KWB229" s="1"/>
      <c r="KWC229" s="1"/>
      <c r="KWD229" s="1"/>
      <c r="KWE229" s="1"/>
      <c r="KWF229" s="1"/>
      <c r="KWG229" s="1"/>
      <c r="KWH229" s="1"/>
      <c r="KWI229" s="1"/>
      <c r="KWJ229" s="1"/>
      <c r="KWK229" s="1"/>
      <c r="KWL229" s="1"/>
      <c r="KWM229" s="1"/>
      <c r="KWN229" s="1"/>
      <c r="KWO229" s="1"/>
      <c r="KWP229" s="1"/>
      <c r="KWQ229" s="1"/>
      <c r="KWR229" s="1"/>
      <c r="KWS229" s="1"/>
      <c r="KWT229" s="1"/>
      <c r="KWU229" s="1"/>
      <c r="KWV229" s="1"/>
      <c r="KWW229" s="1"/>
      <c r="KWX229" s="1"/>
      <c r="KWY229" s="1"/>
      <c r="KWZ229" s="1"/>
      <c r="KXA229" s="1"/>
      <c r="KXB229" s="1"/>
      <c r="KXC229" s="1"/>
      <c r="KXD229" s="1"/>
      <c r="KXE229" s="1"/>
      <c r="KXF229" s="1"/>
      <c r="KXG229" s="1"/>
      <c r="KXH229" s="1"/>
      <c r="KXI229" s="1"/>
      <c r="KXJ229" s="1"/>
      <c r="KXK229" s="1"/>
      <c r="KXL229" s="1"/>
      <c r="KXM229" s="1"/>
      <c r="KXN229" s="1"/>
      <c r="KXO229" s="1"/>
      <c r="KXP229" s="1"/>
      <c r="KXQ229" s="1"/>
      <c r="KXR229" s="1"/>
      <c r="KXS229" s="1"/>
      <c r="KXT229" s="1"/>
      <c r="KXU229" s="1"/>
      <c r="KXV229" s="1"/>
      <c r="KXW229" s="1"/>
      <c r="KXX229" s="1"/>
      <c r="KXY229" s="1"/>
      <c r="KXZ229" s="1"/>
      <c r="KYA229" s="1"/>
      <c r="KYB229" s="1"/>
      <c r="KYC229" s="1"/>
      <c r="KYD229" s="1"/>
      <c r="KYE229" s="1"/>
      <c r="KYF229" s="1"/>
      <c r="KYG229" s="1"/>
      <c r="KYH229" s="1"/>
      <c r="KYI229" s="1"/>
      <c r="KYJ229" s="1"/>
      <c r="KYK229" s="1"/>
      <c r="KYL229" s="1"/>
      <c r="KYM229" s="1"/>
      <c r="KYN229" s="1"/>
      <c r="KYO229" s="1"/>
      <c r="KYP229" s="1"/>
      <c r="KYQ229" s="1"/>
      <c r="KYR229" s="1"/>
      <c r="KYS229" s="1"/>
      <c r="KYT229" s="1"/>
      <c r="KYU229" s="1"/>
      <c r="KYV229" s="1"/>
      <c r="KYW229" s="1"/>
      <c r="KYX229" s="1"/>
      <c r="KYY229" s="1"/>
      <c r="KYZ229" s="1"/>
      <c r="KZA229" s="1"/>
      <c r="KZB229" s="1"/>
      <c r="KZC229" s="1"/>
      <c r="KZD229" s="1"/>
      <c r="KZE229" s="1"/>
      <c r="KZF229" s="1"/>
      <c r="KZG229" s="1"/>
      <c r="KZH229" s="1"/>
      <c r="KZI229" s="1"/>
      <c r="KZJ229" s="1"/>
      <c r="KZK229" s="1"/>
      <c r="KZL229" s="1"/>
      <c r="KZM229" s="1"/>
      <c r="KZN229" s="1"/>
      <c r="KZO229" s="1"/>
      <c r="KZP229" s="1"/>
      <c r="KZQ229" s="1"/>
      <c r="KZR229" s="1"/>
      <c r="KZS229" s="1"/>
      <c r="KZT229" s="1"/>
      <c r="KZU229" s="1"/>
      <c r="KZV229" s="1"/>
      <c r="KZW229" s="1"/>
      <c r="KZX229" s="1"/>
      <c r="KZY229" s="1"/>
      <c r="KZZ229" s="1"/>
      <c r="LAA229" s="1"/>
      <c r="LAB229" s="1"/>
      <c r="LAC229" s="1"/>
      <c r="LAD229" s="1"/>
      <c r="LAE229" s="1"/>
      <c r="LAF229" s="1"/>
      <c r="LAG229" s="1"/>
      <c r="LAH229" s="1"/>
      <c r="LAI229" s="1"/>
      <c r="LAJ229" s="1"/>
      <c r="LAK229" s="1"/>
      <c r="LAL229" s="1"/>
      <c r="LAM229" s="1"/>
      <c r="LAN229" s="1"/>
      <c r="LAO229" s="1"/>
      <c r="LAP229" s="1"/>
      <c r="LAQ229" s="1"/>
      <c r="LAR229" s="1"/>
      <c r="LAS229" s="1"/>
      <c r="LAT229" s="1"/>
      <c r="LAU229" s="1"/>
      <c r="LAV229" s="1"/>
      <c r="LAW229" s="1"/>
      <c r="LAX229" s="1"/>
      <c r="LAY229" s="1"/>
      <c r="LAZ229" s="1"/>
      <c r="LBA229" s="1"/>
      <c r="LBB229" s="1"/>
      <c r="LBC229" s="1"/>
      <c r="LBD229" s="1"/>
      <c r="LBE229" s="1"/>
      <c r="LBF229" s="1"/>
      <c r="LBG229" s="1"/>
      <c r="LBH229" s="1"/>
      <c r="LBI229" s="1"/>
      <c r="LBJ229" s="1"/>
      <c r="LBK229" s="1"/>
      <c r="LBL229" s="1"/>
      <c r="LBM229" s="1"/>
      <c r="LBN229" s="1"/>
      <c r="LBO229" s="1"/>
      <c r="LBP229" s="1"/>
      <c r="LBQ229" s="1"/>
      <c r="LBR229" s="1"/>
      <c r="LBS229" s="1"/>
      <c r="LBT229" s="1"/>
      <c r="LBU229" s="1"/>
      <c r="LBV229" s="1"/>
      <c r="LBW229" s="1"/>
      <c r="LBX229" s="1"/>
      <c r="LBY229" s="1"/>
      <c r="LBZ229" s="1"/>
      <c r="LCA229" s="1"/>
      <c r="LCB229" s="1"/>
      <c r="LCC229" s="1"/>
      <c r="LCD229" s="1"/>
      <c r="LCE229" s="1"/>
      <c r="LCF229" s="1"/>
      <c r="LCG229" s="1"/>
      <c r="LCH229" s="1"/>
      <c r="LCI229" s="1"/>
      <c r="LCJ229" s="1"/>
      <c r="LCK229" s="1"/>
      <c r="LCL229" s="1"/>
      <c r="LCM229" s="1"/>
      <c r="LCN229" s="1"/>
      <c r="LCO229" s="1"/>
      <c r="LCP229" s="1"/>
      <c r="LCQ229" s="1"/>
      <c r="LCR229" s="1"/>
      <c r="LCS229" s="1"/>
      <c r="LCT229" s="1"/>
      <c r="LCU229" s="1"/>
      <c r="LCV229" s="1"/>
      <c r="LCW229" s="1"/>
      <c r="LCX229" s="1"/>
      <c r="LCY229" s="1"/>
      <c r="LCZ229" s="1"/>
      <c r="LDA229" s="1"/>
      <c r="LDB229" s="1"/>
      <c r="LDC229" s="1"/>
      <c r="LDD229" s="1"/>
      <c r="LDE229" s="1"/>
      <c r="LDF229" s="1"/>
      <c r="LDG229" s="1"/>
      <c r="LDH229" s="1"/>
      <c r="LDI229" s="1"/>
      <c r="LDJ229" s="1"/>
      <c r="LDK229" s="1"/>
      <c r="LDL229" s="1"/>
      <c r="LDM229" s="1"/>
      <c r="LDN229" s="1"/>
      <c r="LDO229" s="1"/>
      <c r="LDP229" s="1"/>
      <c r="LDQ229" s="1"/>
      <c r="LDR229" s="1"/>
      <c r="LDS229" s="1"/>
      <c r="LDT229" s="1"/>
      <c r="LDU229" s="1"/>
      <c r="LDV229" s="1"/>
      <c r="LDW229" s="1"/>
      <c r="LDX229" s="1"/>
      <c r="LDY229" s="1"/>
      <c r="LDZ229" s="1"/>
      <c r="LEA229" s="1"/>
      <c r="LEB229" s="1"/>
      <c r="LEC229" s="1"/>
      <c r="LED229" s="1"/>
      <c r="LEE229" s="1"/>
      <c r="LEF229" s="1"/>
      <c r="LEG229" s="1"/>
      <c r="LEH229" s="1"/>
      <c r="LEI229" s="1"/>
      <c r="LEJ229" s="1"/>
      <c r="LEK229" s="1"/>
      <c r="LEL229" s="1"/>
      <c r="LEM229" s="1"/>
      <c r="LEN229" s="1"/>
      <c r="LEO229" s="1"/>
      <c r="LEP229" s="1"/>
      <c r="LEQ229" s="1"/>
      <c r="LER229" s="1"/>
      <c r="LES229" s="1"/>
      <c r="LET229" s="1"/>
      <c r="LEU229" s="1"/>
      <c r="LEV229" s="1"/>
      <c r="LEW229" s="1"/>
      <c r="LEX229" s="1"/>
      <c r="LEY229" s="1"/>
      <c r="LEZ229" s="1"/>
      <c r="LFA229" s="1"/>
      <c r="LFB229" s="1"/>
      <c r="LFC229" s="1"/>
      <c r="LFD229" s="1"/>
      <c r="LFE229" s="1"/>
      <c r="LFF229" s="1"/>
      <c r="LFG229" s="1"/>
      <c r="LFH229" s="1"/>
      <c r="LFI229" s="1"/>
      <c r="LFJ229" s="1"/>
      <c r="LFK229" s="1"/>
      <c r="LFL229" s="1"/>
      <c r="LFM229" s="1"/>
      <c r="LFN229" s="1"/>
      <c r="LFO229" s="1"/>
      <c r="LFP229" s="1"/>
      <c r="LFQ229" s="1"/>
      <c r="LFR229" s="1"/>
      <c r="LFS229" s="1"/>
      <c r="LFT229" s="1"/>
      <c r="LFU229" s="1"/>
      <c r="LFV229" s="1"/>
      <c r="LFW229" s="1"/>
      <c r="LFX229" s="1"/>
      <c r="LFY229" s="1"/>
      <c r="LFZ229" s="1"/>
      <c r="LGA229" s="1"/>
      <c r="LGB229" s="1"/>
      <c r="LGC229" s="1"/>
      <c r="LGD229" s="1"/>
      <c r="LGE229" s="1"/>
      <c r="LGF229" s="1"/>
      <c r="LGG229" s="1"/>
      <c r="LGH229" s="1"/>
      <c r="LGI229" s="1"/>
      <c r="LGJ229" s="1"/>
      <c r="LGK229" s="1"/>
      <c r="LGL229" s="1"/>
      <c r="LGM229" s="1"/>
      <c r="LGN229" s="1"/>
      <c r="LGO229" s="1"/>
      <c r="LGP229" s="1"/>
      <c r="LGQ229" s="1"/>
      <c r="LGR229" s="1"/>
      <c r="LGS229" s="1"/>
      <c r="LGT229" s="1"/>
      <c r="LGU229" s="1"/>
      <c r="LGV229" s="1"/>
      <c r="LGW229" s="1"/>
      <c r="LGX229" s="1"/>
      <c r="LGY229" s="1"/>
      <c r="LGZ229" s="1"/>
      <c r="LHA229" s="1"/>
      <c r="LHB229" s="1"/>
      <c r="LHC229" s="1"/>
      <c r="LHD229" s="1"/>
      <c r="LHE229" s="1"/>
      <c r="LHF229" s="1"/>
      <c r="LHG229" s="1"/>
      <c r="LHH229" s="1"/>
      <c r="LHI229" s="1"/>
      <c r="LHJ229" s="1"/>
      <c r="LHK229" s="1"/>
      <c r="LHL229" s="1"/>
      <c r="LHM229" s="1"/>
      <c r="LHN229" s="1"/>
      <c r="LHO229" s="1"/>
      <c r="LHP229" s="1"/>
      <c r="LHQ229" s="1"/>
      <c r="LHR229" s="1"/>
      <c r="LHS229" s="1"/>
      <c r="LHT229" s="1"/>
      <c r="LHU229" s="1"/>
      <c r="LHV229" s="1"/>
      <c r="LHW229" s="1"/>
      <c r="LHX229" s="1"/>
      <c r="LHY229" s="1"/>
      <c r="LHZ229" s="1"/>
      <c r="LIA229" s="1"/>
      <c r="LIB229" s="1"/>
      <c r="LIC229" s="1"/>
      <c r="LID229" s="1"/>
      <c r="LIE229" s="1"/>
      <c r="LIF229" s="1"/>
      <c r="LIG229" s="1"/>
      <c r="LIH229" s="1"/>
      <c r="LII229" s="1"/>
      <c r="LIJ229" s="1"/>
      <c r="LIK229" s="1"/>
      <c r="LIL229" s="1"/>
      <c r="LIM229" s="1"/>
      <c r="LIN229" s="1"/>
      <c r="LIO229" s="1"/>
      <c r="LIP229" s="1"/>
      <c r="LIQ229" s="1"/>
      <c r="LIR229" s="1"/>
      <c r="LIS229" s="1"/>
      <c r="LIT229" s="1"/>
      <c r="LIU229" s="1"/>
      <c r="LIV229" s="1"/>
      <c r="LIW229" s="1"/>
      <c r="LIX229" s="1"/>
      <c r="LIY229" s="1"/>
      <c r="LIZ229" s="1"/>
      <c r="LJA229" s="1"/>
      <c r="LJB229" s="1"/>
      <c r="LJC229" s="1"/>
      <c r="LJD229" s="1"/>
      <c r="LJE229" s="1"/>
      <c r="LJF229" s="1"/>
      <c r="LJG229" s="1"/>
      <c r="LJH229" s="1"/>
      <c r="LJI229" s="1"/>
      <c r="LJJ229" s="1"/>
      <c r="LJK229" s="1"/>
      <c r="LJL229" s="1"/>
      <c r="LJM229" s="1"/>
      <c r="LJN229" s="1"/>
      <c r="LJO229" s="1"/>
      <c r="LJP229" s="1"/>
      <c r="LJQ229" s="1"/>
      <c r="LJR229" s="1"/>
      <c r="LJS229" s="1"/>
      <c r="LJT229" s="1"/>
      <c r="LJU229" s="1"/>
      <c r="LJV229" s="1"/>
      <c r="LJW229" s="1"/>
      <c r="LJX229" s="1"/>
      <c r="LJY229" s="1"/>
      <c r="LJZ229" s="1"/>
      <c r="LKA229" s="1"/>
      <c r="LKB229" s="1"/>
      <c r="LKC229" s="1"/>
      <c r="LKD229" s="1"/>
      <c r="LKE229" s="1"/>
      <c r="LKF229" s="1"/>
      <c r="LKG229" s="1"/>
      <c r="LKH229" s="1"/>
      <c r="LKI229" s="1"/>
      <c r="LKJ229" s="1"/>
      <c r="LKK229" s="1"/>
      <c r="LKL229" s="1"/>
      <c r="LKM229" s="1"/>
      <c r="LKN229" s="1"/>
      <c r="LKO229" s="1"/>
      <c r="LKP229" s="1"/>
      <c r="LKQ229" s="1"/>
      <c r="LKR229" s="1"/>
      <c r="LKS229" s="1"/>
      <c r="LKT229" s="1"/>
      <c r="LKU229" s="1"/>
      <c r="LKV229" s="1"/>
      <c r="LKW229" s="1"/>
      <c r="LKX229" s="1"/>
      <c r="LKY229" s="1"/>
      <c r="LKZ229" s="1"/>
      <c r="LLA229" s="1"/>
      <c r="LLB229" s="1"/>
      <c r="LLC229" s="1"/>
      <c r="LLD229" s="1"/>
      <c r="LLE229" s="1"/>
      <c r="LLF229" s="1"/>
      <c r="LLG229" s="1"/>
      <c r="LLH229" s="1"/>
      <c r="LLI229" s="1"/>
      <c r="LLJ229" s="1"/>
      <c r="LLK229" s="1"/>
      <c r="LLL229" s="1"/>
      <c r="LLM229" s="1"/>
      <c r="LLN229" s="1"/>
      <c r="LLO229" s="1"/>
      <c r="LLP229" s="1"/>
      <c r="LLQ229" s="1"/>
      <c r="LLR229" s="1"/>
      <c r="LLS229" s="1"/>
      <c r="LLT229" s="1"/>
      <c r="LLU229" s="1"/>
      <c r="LLV229" s="1"/>
      <c r="LLW229" s="1"/>
      <c r="LLX229" s="1"/>
      <c r="LLY229" s="1"/>
      <c r="LLZ229" s="1"/>
      <c r="LMA229" s="1"/>
      <c r="LMB229" s="1"/>
      <c r="LMC229" s="1"/>
      <c r="LMD229" s="1"/>
      <c r="LME229" s="1"/>
      <c r="LMF229" s="1"/>
      <c r="LMG229" s="1"/>
      <c r="LMH229" s="1"/>
      <c r="LMI229" s="1"/>
      <c r="LMJ229" s="1"/>
      <c r="LMK229" s="1"/>
      <c r="LML229" s="1"/>
      <c r="LMM229" s="1"/>
      <c r="LMN229" s="1"/>
      <c r="LMO229" s="1"/>
      <c r="LMP229" s="1"/>
      <c r="LMQ229" s="1"/>
      <c r="LMR229" s="1"/>
      <c r="LMS229" s="1"/>
      <c r="LMT229" s="1"/>
      <c r="LMU229" s="1"/>
      <c r="LMV229" s="1"/>
      <c r="LMW229" s="1"/>
      <c r="LMX229" s="1"/>
      <c r="LMY229" s="1"/>
      <c r="LMZ229" s="1"/>
      <c r="LNA229" s="1"/>
      <c r="LNB229" s="1"/>
      <c r="LNC229" s="1"/>
      <c r="LND229" s="1"/>
      <c r="LNE229" s="1"/>
      <c r="LNF229" s="1"/>
      <c r="LNG229" s="1"/>
      <c r="LNH229" s="1"/>
      <c r="LNI229" s="1"/>
      <c r="LNJ229" s="1"/>
      <c r="LNK229" s="1"/>
      <c r="LNL229" s="1"/>
      <c r="LNM229" s="1"/>
      <c r="LNN229" s="1"/>
      <c r="LNO229" s="1"/>
      <c r="LNP229" s="1"/>
      <c r="LNQ229" s="1"/>
      <c r="LNR229" s="1"/>
      <c r="LNS229" s="1"/>
      <c r="LNT229" s="1"/>
      <c r="LNU229" s="1"/>
      <c r="LNV229" s="1"/>
      <c r="LNW229" s="1"/>
      <c r="LNX229" s="1"/>
      <c r="LNY229" s="1"/>
      <c r="LNZ229" s="1"/>
      <c r="LOA229" s="1"/>
      <c r="LOB229" s="1"/>
      <c r="LOC229" s="1"/>
      <c r="LOD229" s="1"/>
      <c r="LOE229" s="1"/>
      <c r="LOF229" s="1"/>
      <c r="LOG229" s="1"/>
      <c r="LOH229" s="1"/>
      <c r="LOI229" s="1"/>
      <c r="LOJ229" s="1"/>
      <c r="LOK229" s="1"/>
      <c r="LOL229" s="1"/>
      <c r="LOM229" s="1"/>
      <c r="LON229" s="1"/>
      <c r="LOO229" s="1"/>
      <c r="LOP229" s="1"/>
      <c r="LOQ229" s="1"/>
      <c r="LOR229" s="1"/>
      <c r="LOS229" s="1"/>
      <c r="LOT229" s="1"/>
      <c r="LOU229" s="1"/>
      <c r="LOV229" s="1"/>
      <c r="LOW229" s="1"/>
      <c r="LOX229" s="1"/>
      <c r="LOY229" s="1"/>
      <c r="LOZ229" s="1"/>
      <c r="LPA229" s="1"/>
      <c r="LPB229" s="1"/>
      <c r="LPC229" s="1"/>
      <c r="LPD229" s="1"/>
      <c r="LPE229" s="1"/>
      <c r="LPF229" s="1"/>
      <c r="LPG229" s="1"/>
      <c r="LPH229" s="1"/>
      <c r="LPI229" s="1"/>
      <c r="LPJ229" s="1"/>
      <c r="LPK229" s="1"/>
      <c r="LPL229" s="1"/>
      <c r="LPM229" s="1"/>
      <c r="LPN229" s="1"/>
      <c r="LPO229" s="1"/>
      <c r="LPP229" s="1"/>
      <c r="LPQ229" s="1"/>
      <c r="LPR229" s="1"/>
      <c r="LPS229" s="1"/>
      <c r="LPT229" s="1"/>
      <c r="LPU229" s="1"/>
      <c r="LPV229" s="1"/>
      <c r="LPW229" s="1"/>
      <c r="LPX229" s="1"/>
      <c r="LPY229" s="1"/>
      <c r="LPZ229" s="1"/>
      <c r="LQA229" s="1"/>
      <c r="LQB229" s="1"/>
      <c r="LQC229" s="1"/>
      <c r="LQD229" s="1"/>
      <c r="LQE229" s="1"/>
      <c r="LQF229" s="1"/>
      <c r="LQG229" s="1"/>
      <c r="LQH229" s="1"/>
      <c r="LQI229" s="1"/>
      <c r="LQJ229" s="1"/>
      <c r="LQK229" s="1"/>
      <c r="LQL229" s="1"/>
      <c r="LQM229" s="1"/>
      <c r="LQN229" s="1"/>
      <c r="LQO229" s="1"/>
      <c r="LQP229" s="1"/>
      <c r="LQQ229" s="1"/>
      <c r="LQR229" s="1"/>
      <c r="LQS229" s="1"/>
      <c r="LQT229" s="1"/>
      <c r="LQU229" s="1"/>
      <c r="LQV229" s="1"/>
      <c r="LQW229" s="1"/>
      <c r="LQX229" s="1"/>
      <c r="LQY229" s="1"/>
      <c r="LQZ229" s="1"/>
      <c r="LRA229" s="1"/>
      <c r="LRB229" s="1"/>
      <c r="LRC229" s="1"/>
      <c r="LRD229" s="1"/>
      <c r="LRE229" s="1"/>
      <c r="LRF229" s="1"/>
      <c r="LRG229" s="1"/>
      <c r="LRH229" s="1"/>
      <c r="LRI229" s="1"/>
      <c r="LRJ229" s="1"/>
      <c r="LRK229" s="1"/>
      <c r="LRL229" s="1"/>
      <c r="LRM229" s="1"/>
      <c r="LRN229" s="1"/>
      <c r="LRO229" s="1"/>
      <c r="LRP229" s="1"/>
      <c r="LRQ229" s="1"/>
      <c r="LRR229" s="1"/>
      <c r="LRS229" s="1"/>
      <c r="LRT229" s="1"/>
      <c r="LRU229" s="1"/>
      <c r="LRV229" s="1"/>
      <c r="LRW229" s="1"/>
      <c r="LRX229" s="1"/>
      <c r="LRY229" s="1"/>
      <c r="LRZ229" s="1"/>
      <c r="LSA229" s="1"/>
      <c r="LSB229" s="1"/>
      <c r="LSC229" s="1"/>
      <c r="LSD229" s="1"/>
      <c r="LSE229" s="1"/>
      <c r="LSF229" s="1"/>
      <c r="LSG229" s="1"/>
      <c r="LSH229" s="1"/>
      <c r="LSI229" s="1"/>
      <c r="LSJ229" s="1"/>
      <c r="LSK229" s="1"/>
      <c r="LSL229" s="1"/>
      <c r="LSM229" s="1"/>
      <c r="LSN229" s="1"/>
      <c r="LSO229" s="1"/>
      <c r="LSP229" s="1"/>
      <c r="LSQ229" s="1"/>
      <c r="LSR229" s="1"/>
      <c r="LSS229" s="1"/>
      <c r="LST229" s="1"/>
      <c r="LSU229" s="1"/>
      <c r="LSV229" s="1"/>
      <c r="LSW229" s="1"/>
      <c r="LSX229" s="1"/>
      <c r="LSY229" s="1"/>
      <c r="LSZ229" s="1"/>
      <c r="LTA229" s="1"/>
      <c r="LTB229" s="1"/>
      <c r="LTC229" s="1"/>
      <c r="LTD229" s="1"/>
      <c r="LTE229" s="1"/>
      <c r="LTF229" s="1"/>
      <c r="LTG229" s="1"/>
      <c r="LTH229" s="1"/>
      <c r="LTI229" s="1"/>
      <c r="LTJ229" s="1"/>
      <c r="LTK229" s="1"/>
      <c r="LTL229" s="1"/>
      <c r="LTM229" s="1"/>
      <c r="LTN229" s="1"/>
      <c r="LTO229" s="1"/>
      <c r="LTP229" s="1"/>
      <c r="LTQ229" s="1"/>
      <c r="LTR229" s="1"/>
      <c r="LTS229" s="1"/>
      <c r="LTT229" s="1"/>
      <c r="LTU229" s="1"/>
      <c r="LTV229" s="1"/>
      <c r="LTW229" s="1"/>
      <c r="LTX229" s="1"/>
      <c r="LTY229" s="1"/>
      <c r="LTZ229" s="1"/>
      <c r="LUA229" s="1"/>
      <c r="LUB229" s="1"/>
      <c r="LUC229" s="1"/>
      <c r="LUD229" s="1"/>
      <c r="LUE229" s="1"/>
      <c r="LUF229" s="1"/>
      <c r="LUG229" s="1"/>
      <c r="LUH229" s="1"/>
      <c r="LUI229" s="1"/>
      <c r="LUJ229" s="1"/>
      <c r="LUK229" s="1"/>
      <c r="LUL229" s="1"/>
      <c r="LUM229" s="1"/>
      <c r="LUN229" s="1"/>
      <c r="LUO229" s="1"/>
      <c r="LUP229" s="1"/>
      <c r="LUQ229" s="1"/>
      <c r="LUR229" s="1"/>
      <c r="LUS229" s="1"/>
      <c r="LUT229" s="1"/>
      <c r="LUU229" s="1"/>
      <c r="LUV229" s="1"/>
      <c r="LUW229" s="1"/>
      <c r="LUX229" s="1"/>
      <c r="LUY229" s="1"/>
      <c r="LUZ229" s="1"/>
      <c r="LVA229" s="1"/>
      <c r="LVB229" s="1"/>
      <c r="LVC229" s="1"/>
      <c r="LVD229" s="1"/>
      <c r="LVE229" s="1"/>
      <c r="LVF229" s="1"/>
      <c r="LVG229" s="1"/>
      <c r="LVH229" s="1"/>
      <c r="LVI229" s="1"/>
      <c r="LVJ229" s="1"/>
      <c r="LVK229" s="1"/>
      <c r="LVL229" s="1"/>
      <c r="LVM229" s="1"/>
      <c r="LVN229" s="1"/>
      <c r="LVO229" s="1"/>
      <c r="LVP229" s="1"/>
      <c r="LVQ229" s="1"/>
      <c r="LVR229" s="1"/>
      <c r="LVS229" s="1"/>
      <c r="LVT229" s="1"/>
      <c r="LVU229" s="1"/>
      <c r="LVV229" s="1"/>
      <c r="LVW229" s="1"/>
      <c r="LVX229" s="1"/>
      <c r="LVY229" s="1"/>
      <c r="LVZ229" s="1"/>
      <c r="LWA229" s="1"/>
      <c r="LWB229" s="1"/>
      <c r="LWC229" s="1"/>
      <c r="LWD229" s="1"/>
      <c r="LWE229" s="1"/>
      <c r="LWF229" s="1"/>
      <c r="LWG229" s="1"/>
      <c r="LWH229" s="1"/>
      <c r="LWI229" s="1"/>
      <c r="LWJ229" s="1"/>
      <c r="LWK229" s="1"/>
      <c r="LWL229" s="1"/>
      <c r="LWM229" s="1"/>
      <c r="LWN229" s="1"/>
      <c r="LWO229" s="1"/>
      <c r="LWP229" s="1"/>
      <c r="LWQ229" s="1"/>
      <c r="LWR229" s="1"/>
      <c r="LWS229" s="1"/>
      <c r="LWT229" s="1"/>
      <c r="LWU229" s="1"/>
      <c r="LWV229" s="1"/>
      <c r="LWW229" s="1"/>
      <c r="LWX229" s="1"/>
      <c r="LWY229" s="1"/>
      <c r="LWZ229" s="1"/>
      <c r="LXA229" s="1"/>
      <c r="LXB229" s="1"/>
      <c r="LXC229" s="1"/>
      <c r="LXD229" s="1"/>
      <c r="LXE229" s="1"/>
      <c r="LXF229" s="1"/>
      <c r="LXG229" s="1"/>
      <c r="LXH229" s="1"/>
      <c r="LXI229" s="1"/>
      <c r="LXJ229" s="1"/>
      <c r="LXK229" s="1"/>
      <c r="LXL229" s="1"/>
      <c r="LXM229" s="1"/>
      <c r="LXN229" s="1"/>
      <c r="LXO229" s="1"/>
      <c r="LXP229" s="1"/>
      <c r="LXQ229" s="1"/>
      <c r="LXR229" s="1"/>
      <c r="LXS229" s="1"/>
      <c r="LXT229" s="1"/>
      <c r="LXU229" s="1"/>
      <c r="LXV229" s="1"/>
      <c r="LXW229" s="1"/>
      <c r="LXX229" s="1"/>
      <c r="LXY229" s="1"/>
      <c r="LXZ229" s="1"/>
      <c r="LYA229" s="1"/>
      <c r="LYB229" s="1"/>
      <c r="LYC229" s="1"/>
      <c r="LYD229" s="1"/>
      <c r="LYE229" s="1"/>
      <c r="LYF229" s="1"/>
      <c r="LYG229" s="1"/>
      <c r="LYH229" s="1"/>
      <c r="LYI229" s="1"/>
      <c r="LYJ229" s="1"/>
      <c r="LYK229" s="1"/>
      <c r="LYL229" s="1"/>
      <c r="LYM229" s="1"/>
      <c r="LYN229" s="1"/>
      <c r="LYO229" s="1"/>
      <c r="LYP229" s="1"/>
      <c r="LYQ229" s="1"/>
      <c r="LYR229" s="1"/>
      <c r="LYS229" s="1"/>
      <c r="LYT229" s="1"/>
      <c r="LYU229" s="1"/>
      <c r="LYV229" s="1"/>
      <c r="LYW229" s="1"/>
      <c r="LYX229" s="1"/>
      <c r="LYY229" s="1"/>
      <c r="LYZ229" s="1"/>
      <c r="LZA229" s="1"/>
      <c r="LZB229" s="1"/>
      <c r="LZC229" s="1"/>
      <c r="LZD229" s="1"/>
      <c r="LZE229" s="1"/>
      <c r="LZF229" s="1"/>
      <c r="LZG229" s="1"/>
      <c r="LZH229" s="1"/>
      <c r="LZI229" s="1"/>
      <c r="LZJ229" s="1"/>
      <c r="LZK229" s="1"/>
      <c r="LZL229" s="1"/>
      <c r="LZM229" s="1"/>
      <c r="LZN229" s="1"/>
      <c r="LZO229" s="1"/>
      <c r="LZP229" s="1"/>
      <c r="LZQ229" s="1"/>
      <c r="LZR229" s="1"/>
      <c r="LZS229" s="1"/>
      <c r="LZT229" s="1"/>
      <c r="LZU229" s="1"/>
      <c r="LZV229" s="1"/>
      <c r="LZW229" s="1"/>
      <c r="LZX229" s="1"/>
      <c r="LZY229" s="1"/>
      <c r="LZZ229" s="1"/>
      <c r="MAA229" s="1"/>
      <c r="MAB229" s="1"/>
      <c r="MAC229" s="1"/>
      <c r="MAD229" s="1"/>
      <c r="MAE229" s="1"/>
      <c r="MAF229" s="1"/>
      <c r="MAG229" s="1"/>
      <c r="MAH229" s="1"/>
      <c r="MAI229" s="1"/>
      <c r="MAJ229" s="1"/>
      <c r="MAK229" s="1"/>
      <c r="MAL229" s="1"/>
      <c r="MAM229" s="1"/>
      <c r="MAN229" s="1"/>
      <c r="MAO229" s="1"/>
      <c r="MAP229" s="1"/>
      <c r="MAQ229" s="1"/>
      <c r="MAR229" s="1"/>
      <c r="MAS229" s="1"/>
      <c r="MAT229" s="1"/>
      <c r="MAU229" s="1"/>
      <c r="MAV229" s="1"/>
      <c r="MAW229" s="1"/>
      <c r="MAX229" s="1"/>
      <c r="MAY229" s="1"/>
      <c r="MAZ229" s="1"/>
      <c r="MBA229" s="1"/>
      <c r="MBB229" s="1"/>
      <c r="MBC229" s="1"/>
      <c r="MBD229" s="1"/>
      <c r="MBE229" s="1"/>
      <c r="MBF229" s="1"/>
      <c r="MBG229" s="1"/>
      <c r="MBH229" s="1"/>
      <c r="MBI229" s="1"/>
      <c r="MBJ229" s="1"/>
      <c r="MBK229" s="1"/>
      <c r="MBL229" s="1"/>
      <c r="MBM229" s="1"/>
      <c r="MBN229" s="1"/>
      <c r="MBO229" s="1"/>
      <c r="MBP229" s="1"/>
      <c r="MBQ229" s="1"/>
      <c r="MBR229" s="1"/>
      <c r="MBS229" s="1"/>
      <c r="MBT229" s="1"/>
      <c r="MBU229" s="1"/>
      <c r="MBV229" s="1"/>
      <c r="MBW229" s="1"/>
      <c r="MBX229" s="1"/>
      <c r="MBY229" s="1"/>
      <c r="MBZ229" s="1"/>
      <c r="MCA229" s="1"/>
      <c r="MCB229" s="1"/>
      <c r="MCC229" s="1"/>
      <c r="MCD229" s="1"/>
      <c r="MCE229" s="1"/>
      <c r="MCF229" s="1"/>
      <c r="MCG229" s="1"/>
      <c r="MCH229" s="1"/>
      <c r="MCI229" s="1"/>
      <c r="MCJ229" s="1"/>
      <c r="MCK229" s="1"/>
      <c r="MCL229" s="1"/>
      <c r="MCM229" s="1"/>
      <c r="MCN229" s="1"/>
      <c r="MCO229" s="1"/>
      <c r="MCP229" s="1"/>
      <c r="MCQ229" s="1"/>
      <c r="MCR229" s="1"/>
      <c r="MCS229" s="1"/>
      <c r="MCT229" s="1"/>
      <c r="MCU229" s="1"/>
      <c r="MCV229" s="1"/>
      <c r="MCW229" s="1"/>
      <c r="MCX229" s="1"/>
      <c r="MCY229" s="1"/>
      <c r="MCZ229" s="1"/>
      <c r="MDA229" s="1"/>
      <c r="MDB229" s="1"/>
      <c r="MDC229" s="1"/>
      <c r="MDD229" s="1"/>
      <c r="MDE229" s="1"/>
      <c r="MDF229" s="1"/>
      <c r="MDG229" s="1"/>
      <c r="MDH229" s="1"/>
      <c r="MDI229" s="1"/>
      <c r="MDJ229" s="1"/>
      <c r="MDK229" s="1"/>
      <c r="MDL229" s="1"/>
      <c r="MDM229" s="1"/>
      <c r="MDN229" s="1"/>
      <c r="MDO229" s="1"/>
      <c r="MDP229" s="1"/>
      <c r="MDQ229" s="1"/>
      <c r="MDR229" s="1"/>
      <c r="MDS229" s="1"/>
      <c r="MDT229" s="1"/>
      <c r="MDU229" s="1"/>
      <c r="MDV229" s="1"/>
      <c r="MDW229" s="1"/>
      <c r="MDX229" s="1"/>
      <c r="MDY229" s="1"/>
      <c r="MDZ229" s="1"/>
      <c r="MEA229" s="1"/>
      <c r="MEB229" s="1"/>
      <c r="MEC229" s="1"/>
      <c r="MED229" s="1"/>
      <c r="MEE229" s="1"/>
      <c r="MEF229" s="1"/>
      <c r="MEG229" s="1"/>
      <c r="MEH229" s="1"/>
      <c r="MEI229" s="1"/>
      <c r="MEJ229" s="1"/>
      <c r="MEK229" s="1"/>
      <c r="MEL229" s="1"/>
      <c r="MEM229" s="1"/>
      <c r="MEN229" s="1"/>
      <c r="MEO229" s="1"/>
      <c r="MEP229" s="1"/>
      <c r="MEQ229" s="1"/>
      <c r="MER229" s="1"/>
      <c r="MES229" s="1"/>
      <c r="MET229" s="1"/>
      <c r="MEU229" s="1"/>
      <c r="MEV229" s="1"/>
      <c r="MEW229" s="1"/>
      <c r="MEX229" s="1"/>
      <c r="MEY229" s="1"/>
      <c r="MEZ229" s="1"/>
      <c r="MFA229" s="1"/>
      <c r="MFB229" s="1"/>
      <c r="MFC229" s="1"/>
      <c r="MFD229" s="1"/>
      <c r="MFE229" s="1"/>
      <c r="MFF229" s="1"/>
      <c r="MFG229" s="1"/>
      <c r="MFH229" s="1"/>
      <c r="MFI229" s="1"/>
      <c r="MFJ229" s="1"/>
      <c r="MFK229" s="1"/>
      <c r="MFL229" s="1"/>
      <c r="MFM229" s="1"/>
      <c r="MFN229" s="1"/>
      <c r="MFO229" s="1"/>
      <c r="MFP229" s="1"/>
      <c r="MFQ229" s="1"/>
      <c r="MFR229" s="1"/>
      <c r="MFS229" s="1"/>
      <c r="MFT229" s="1"/>
      <c r="MFU229" s="1"/>
      <c r="MFV229" s="1"/>
      <c r="MFW229" s="1"/>
      <c r="MFX229" s="1"/>
      <c r="MFY229" s="1"/>
      <c r="MFZ229" s="1"/>
      <c r="MGA229" s="1"/>
      <c r="MGB229" s="1"/>
      <c r="MGC229" s="1"/>
      <c r="MGD229" s="1"/>
      <c r="MGE229" s="1"/>
      <c r="MGF229" s="1"/>
      <c r="MGG229" s="1"/>
      <c r="MGH229" s="1"/>
      <c r="MGI229" s="1"/>
      <c r="MGJ229" s="1"/>
      <c r="MGK229" s="1"/>
      <c r="MGL229" s="1"/>
      <c r="MGM229" s="1"/>
      <c r="MGN229" s="1"/>
      <c r="MGO229" s="1"/>
      <c r="MGP229" s="1"/>
      <c r="MGQ229" s="1"/>
      <c r="MGR229" s="1"/>
      <c r="MGS229" s="1"/>
      <c r="MGT229" s="1"/>
      <c r="MGU229" s="1"/>
      <c r="MGV229" s="1"/>
      <c r="MGW229" s="1"/>
      <c r="MGX229" s="1"/>
      <c r="MGY229" s="1"/>
      <c r="MGZ229" s="1"/>
      <c r="MHA229" s="1"/>
      <c r="MHB229" s="1"/>
      <c r="MHC229" s="1"/>
      <c r="MHD229" s="1"/>
      <c r="MHE229" s="1"/>
      <c r="MHF229" s="1"/>
      <c r="MHG229" s="1"/>
      <c r="MHH229" s="1"/>
      <c r="MHI229" s="1"/>
      <c r="MHJ229" s="1"/>
      <c r="MHK229" s="1"/>
      <c r="MHL229" s="1"/>
      <c r="MHM229" s="1"/>
      <c r="MHN229" s="1"/>
      <c r="MHO229" s="1"/>
      <c r="MHP229" s="1"/>
      <c r="MHQ229" s="1"/>
      <c r="MHR229" s="1"/>
      <c r="MHS229" s="1"/>
      <c r="MHT229" s="1"/>
      <c r="MHU229" s="1"/>
      <c r="MHV229" s="1"/>
      <c r="MHW229" s="1"/>
      <c r="MHX229" s="1"/>
      <c r="MHY229" s="1"/>
      <c r="MHZ229" s="1"/>
      <c r="MIA229" s="1"/>
      <c r="MIB229" s="1"/>
      <c r="MIC229" s="1"/>
      <c r="MID229" s="1"/>
      <c r="MIE229" s="1"/>
      <c r="MIF229" s="1"/>
      <c r="MIG229" s="1"/>
      <c r="MIH229" s="1"/>
      <c r="MII229" s="1"/>
      <c r="MIJ229" s="1"/>
      <c r="MIK229" s="1"/>
      <c r="MIL229" s="1"/>
      <c r="MIM229" s="1"/>
      <c r="MIN229" s="1"/>
      <c r="MIO229" s="1"/>
      <c r="MIP229" s="1"/>
      <c r="MIQ229" s="1"/>
      <c r="MIR229" s="1"/>
      <c r="MIS229" s="1"/>
      <c r="MIT229" s="1"/>
      <c r="MIU229" s="1"/>
      <c r="MIV229" s="1"/>
      <c r="MIW229" s="1"/>
      <c r="MIX229" s="1"/>
      <c r="MIY229" s="1"/>
      <c r="MIZ229" s="1"/>
      <c r="MJA229" s="1"/>
      <c r="MJB229" s="1"/>
      <c r="MJC229" s="1"/>
      <c r="MJD229" s="1"/>
      <c r="MJE229" s="1"/>
      <c r="MJF229" s="1"/>
      <c r="MJG229" s="1"/>
      <c r="MJH229" s="1"/>
      <c r="MJI229" s="1"/>
      <c r="MJJ229" s="1"/>
      <c r="MJK229" s="1"/>
      <c r="MJL229" s="1"/>
      <c r="MJM229" s="1"/>
      <c r="MJN229" s="1"/>
      <c r="MJO229" s="1"/>
      <c r="MJP229" s="1"/>
      <c r="MJQ229" s="1"/>
      <c r="MJR229" s="1"/>
      <c r="MJS229" s="1"/>
      <c r="MJT229" s="1"/>
      <c r="MJU229" s="1"/>
      <c r="MJV229" s="1"/>
      <c r="MJW229" s="1"/>
      <c r="MJX229" s="1"/>
      <c r="MJY229" s="1"/>
      <c r="MJZ229" s="1"/>
      <c r="MKA229" s="1"/>
      <c r="MKB229" s="1"/>
      <c r="MKC229" s="1"/>
      <c r="MKD229" s="1"/>
      <c r="MKE229" s="1"/>
      <c r="MKF229" s="1"/>
      <c r="MKG229" s="1"/>
      <c r="MKH229" s="1"/>
      <c r="MKI229" s="1"/>
      <c r="MKJ229" s="1"/>
      <c r="MKK229" s="1"/>
      <c r="MKL229" s="1"/>
      <c r="MKM229" s="1"/>
      <c r="MKN229" s="1"/>
      <c r="MKO229" s="1"/>
      <c r="MKP229" s="1"/>
      <c r="MKQ229" s="1"/>
      <c r="MKR229" s="1"/>
      <c r="MKS229" s="1"/>
      <c r="MKT229" s="1"/>
      <c r="MKU229" s="1"/>
      <c r="MKV229" s="1"/>
      <c r="MKW229" s="1"/>
      <c r="MKX229" s="1"/>
      <c r="MKY229" s="1"/>
      <c r="MKZ229" s="1"/>
      <c r="MLA229" s="1"/>
      <c r="MLB229" s="1"/>
      <c r="MLC229" s="1"/>
      <c r="MLD229" s="1"/>
      <c r="MLE229" s="1"/>
      <c r="MLF229" s="1"/>
      <c r="MLG229" s="1"/>
      <c r="MLH229" s="1"/>
      <c r="MLI229" s="1"/>
      <c r="MLJ229" s="1"/>
      <c r="MLK229" s="1"/>
      <c r="MLL229" s="1"/>
      <c r="MLM229" s="1"/>
      <c r="MLN229" s="1"/>
      <c r="MLO229" s="1"/>
      <c r="MLP229" s="1"/>
      <c r="MLQ229" s="1"/>
      <c r="MLR229" s="1"/>
      <c r="MLS229" s="1"/>
      <c r="MLT229" s="1"/>
      <c r="MLU229" s="1"/>
      <c r="MLV229" s="1"/>
      <c r="MLW229" s="1"/>
      <c r="MLX229" s="1"/>
      <c r="MLY229" s="1"/>
      <c r="MLZ229" s="1"/>
      <c r="MMA229" s="1"/>
      <c r="MMB229" s="1"/>
      <c r="MMC229" s="1"/>
      <c r="MMD229" s="1"/>
      <c r="MME229" s="1"/>
      <c r="MMF229" s="1"/>
      <c r="MMG229" s="1"/>
      <c r="MMH229" s="1"/>
      <c r="MMI229" s="1"/>
      <c r="MMJ229" s="1"/>
      <c r="MMK229" s="1"/>
      <c r="MML229" s="1"/>
      <c r="MMM229" s="1"/>
      <c r="MMN229" s="1"/>
      <c r="MMO229" s="1"/>
      <c r="MMP229" s="1"/>
      <c r="MMQ229" s="1"/>
      <c r="MMR229" s="1"/>
      <c r="MMS229" s="1"/>
      <c r="MMT229" s="1"/>
      <c r="MMU229" s="1"/>
      <c r="MMV229" s="1"/>
      <c r="MMW229" s="1"/>
      <c r="MMX229" s="1"/>
      <c r="MMY229" s="1"/>
      <c r="MMZ229" s="1"/>
      <c r="MNA229" s="1"/>
      <c r="MNB229" s="1"/>
      <c r="MNC229" s="1"/>
      <c r="MND229" s="1"/>
      <c r="MNE229" s="1"/>
      <c r="MNF229" s="1"/>
      <c r="MNG229" s="1"/>
      <c r="MNH229" s="1"/>
      <c r="MNI229" s="1"/>
      <c r="MNJ229" s="1"/>
      <c r="MNK229" s="1"/>
      <c r="MNL229" s="1"/>
      <c r="MNM229" s="1"/>
      <c r="MNN229" s="1"/>
      <c r="MNO229" s="1"/>
      <c r="MNP229" s="1"/>
      <c r="MNQ229" s="1"/>
      <c r="MNR229" s="1"/>
      <c r="MNS229" s="1"/>
      <c r="MNT229" s="1"/>
      <c r="MNU229" s="1"/>
      <c r="MNV229" s="1"/>
      <c r="MNW229" s="1"/>
      <c r="MNX229" s="1"/>
      <c r="MNY229" s="1"/>
      <c r="MNZ229" s="1"/>
      <c r="MOA229" s="1"/>
      <c r="MOB229" s="1"/>
      <c r="MOC229" s="1"/>
      <c r="MOD229" s="1"/>
      <c r="MOE229" s="1"/>
      <c r="MOF229" s="1"/>
      <c r="MOG229" s="1"/>
      <c r="MOH229" s="1"/>
      <c r="MOI229" s="1"/>
      <c r="MOJ229" s="1"/>
      <c r="MOK229" s="1"/>
      <c r="MOL229" s="1"/>
      <c r="MOM229" s="1"/>
      <c r="MON229" s="1"/>
      <c r="MOO229" s="1"/>
      <c r="MOP229" s="1"/>
      <c r="MOQ229" s="1"/>
      <c r="MOR229" s="1"/>
      <c r="MOS229" s="1"/>
      <c r="MOT229" s="1"/>
      <c r="MOU229" s="1"/>
      <c r="MOV229" s="1"/>
      <c r="MOW229" s="1"/>
      <c r="MOX229" s="1"/>
      <c r="MOY229" s="1"/>
      <c r="MOZ229" s="1"/>
      <c r="MPA229" s="1"/>
      <c r="MPB229" s="1"/>
      <c r="MPC229" s="1"/>
      <c r="MPD229" s="1"/>
      <c r="MPE229" s="1"/>
      <c r="MPF229" s="1"/>
      <c r="MPG229" s="1"/>
      <c r="MPH229" s="1"/>
      <c r="MPI229" s="1"/>
      <c r="MPJ229" s="1"/>
      <c r="MPK229" s="1"/>
      <c r="MPL229" s="1"/>
      <c r="MPM229" s="1"/>
      <c r="MPN229" s="1"/>
      <c r="MPO229" s="1"/>
      <c r="MPP229" s="1"/>
      <c r="MPQ229" s="1"/>
      <c r="MPR229" s="1"/>
      <c r="MPS229" s="1"/>
      <c r="MPT229" s="1"/>
      <c r="MPU229" s="1"/>
      <c r="MPV229" s="1"/>
      <c r="MPW229" s="1"/>
      <c r="MPX229" s="1"/>
      <c r="MPY229" s="1"/>
      <c r="MPZ229" s="1"/>
      <c r="MQA229" s="1"/>
      <c r="MQB229" s="1"/>
      <c r="MQC229" s="1"/>
      <c r="MQD229" s="1"/>
      <c r="MQE229" s="1"/>
      <c r="MQF229" s="1"/>
      <c r="MQG229" s="1"/>
      <c r="MQH229" s="1"/>
      <c r="MQI229" s="1"/>
      <c r="MQJ229" s="1"/>
      <c r="MQK229" s="1"/>
      <c r="MQL229" s="1"/>
      <c r="MQM229" s="1"/>
      <c r="MQN229" s="1"/>
      <c r="MQO229" s="1"/>
      <c r="MQP229" s="1"/>
      <c r="MQQ229" s="1"/>
      <c r="MQR229" s="1"/>
      <c r="MQS229" s="1"/>
      <c r="MQT229" s="1"/>
      <c r="MQU229" s="1"/>
      <c r="MQV229" s="1"/>
      <c r="MQW229" s="1"/>
      <c r="MQX229" s="1"/>
      <c r="MQY229" s="1"/>
      <c r="MQZ229" s="1"/>
      <c r="MRA229" s="1"/>
      <c r="MRB229" s="1"/>
      <c r="MRC229" s="1"/>
      <c r="MRD229" s="1"/>
      <c r="MRE229" s="1"/>
      <c r="MRF229" s="1"/>
      <c r="MRG229" s="1"/>
      <c r="MRH229" s="1"/>
      <c r="MRI229" s="1"/>
      <c r="MRJ229" s="1"/>
      <c r="MRK229" s="1"/>
      <c r="MRL229" s="1"/>
      <c r="MRM229" s="1"/>
      <c r="MRN229" s="1"/>
      <c r="MRO229" s="1"/>
      <c r="MRP229" s="1"/>
      <c r="MRQ229" s="1"/>
      <c r="MRR229" s="1"/>
      <c r="MRS229" s="1"/>
      <c r="MRT229" s="1"/>
      <c r="MRU229" s="1"/>
      <c r="MRV229" s="1"/>
      <c r="MRW229" s="1"/>
      <c r="MRX229" s="1"/>
      <c r="MRY229" s="1"/>
      <c r="MRZ229" s="1"/>
      <c r="MSA229" s="1"/>
      <c r="MSB229" s="1"/>
      <c r="MSC229" s="1"/>
      <c r="MSD229" s="1"/>
      <c r="MSE229" s="1"/>
      <c r="MSF229" s="1"/>
      <c r="MSG229" s="1"/>
      <c r="MSH229" s="1"/>
      <c r="MSI229" s="1"/>
      <c r="MSJ229" s="1"/>
      <c r="MSK229" s="1"/>
      <c r="MSL229" s="1"/>
      <c r="MSM229" s="1"/>
      <c r="MSN229" s="1"/>
      <c r="MSO229" s="1"/>
      <c r="MSP229" s="1"/>
      <c r="MSQ229" s="1"/>
      <c r="MSR229" s="1"/>
      <c r="MSS229" s="1"/>
      <c r="MST229" s="1"/>
      <c r="MSU229" s="1"/>
      <c r="MSV229" s="1"/>
      <c r="MSW229" s="1"/>
      <c r="MSX229" s="1"/>
      <c r="MSY229" s="1"/>
      <c r="MSZ229" s="1"/>
      <c r="MTA229" s="1"/>
      <c r="MTB229" s="1"/>
      <c r="MTC229" s="1"/>
      <c r="MTD229" s="1"/>
      <c r="MTE229" s="1"/>
      <c r="MTF229" s="1"/>
      <c r="MTG229" s="1"/>
      <c r="MTH229" s="1"/>
      <c r="MTI229" s="1"/>
      <c r="MTJ229" s="1"/>
      <c r="MTK229" s="1"/>
      <c r="MTL229" s="1"/>
      <c r="MTM229" s="1"/>
      <c r="MTN229" s="1"/>
      <c r="MTO229" s="1"/>
      <c r="MTP229" s="1"/>
      <c r="MTQ229" s="1"/>
      <c r="MTR229" s="1"/>
      <c r="MTS229" s="1"/>
      <c r="MTT229" s="1"/>
      <c r="MTU229" s="1"/>
      <c r="MTV229" s="1"/>
      <c r="MTW229" s="1"/>
      <c r="MTX229" s="1"/>
      <c r="MTY229" s="1"/>
      <c r="MTZ229" s="1"/>
      <c r="MUA229" s="1"/>
      <c r="MUB229" s="1"/>
      <c r="MUC229" s="1"/>
      <c r="MUD229" s="1"/>
      <c r="MUE229" s="1"/>
      <c r="MUF229" s="1"/>
      <c r="MUG229" s="1"/>
      <c r="MUH229" s="1"/>
      <c r="MUI229" s="1"/>
      <c r="MUJ229" s="1"/>
      <c r="MUK229" s="1"/>
      <c r="MUL229" s="1"/>
      <c r="MUM229" s="1"/>
      <c r="MUN229" s="1"/>
      <c r="MUO229" s="1"/>
      <c r="MUP229" s="1"/>
      <c r="MUQ229" s="1"/>
      <c r="MUR229" s="1"/>
      <c r="MUS229" s="1"/>
      <c r="MUT229" s="1"/>
      <c r="MUU229" s="1"/>
      <c r="MUV229" s="1"/>
      <c r="MUW229" s="1"/>
      <c r="MUX229" s="1"/>
      <c r="MUY229" s="1"/>
      <c r="MUZ229" s="1"/>
      <c r="MVA229" s="1"/>
      <c r="MVB229" s="1"/>
      <c r="MVC229" s="1"/>
      <c r="MVD229" s="1"/>
      <c r="MVE229" s="1"/>
      <c r="MVF229" s="1"/>
      <c r="MVG229" s="1"/>
      <c r="MVH229" s="1"/>
      <c r="MVI229" s="1"/>
      <c r="MVJ229" s="1"/>
      <c r="MVK229" s="1"/>
      <c r="MVL229" s="1"/>
      <c r="MVM229" s="1"/>
      <c r="MVN229" s="1"/>
      <c r="MVO229" s="1"/>
      <c r="MVP229" s="1"/>
      <c r="MVQ229" s="1"/>
      <c r="MVR229" s="1"/>
      <c r="MVS229" s="1"/>
      <c r="MVT229" s="1"/>
      <c r="MVU229" s="1"/>
      <c r="MVV229" s="1"/>
      <c r="MVW229" s="1"/>
      <c r="MVX229" s="1"/>
      <c r="MVY229" s="1"/>
      <c r="MVZ229" s="1"/>
      <c r="MWA229" s="1"/>
      <c r="MWB229" s="1"/>
      <c r="MWC229" s="1"/>
      <c r="MWD229" s="1"/>
      <c r="MWE229" s="1"/>
      <c r="MWF229" s="1"/>
      <c r="MWG229" s="1"/>
      <c r="MWH229" s="1"/>
      <c r="MWI229" s="1"/>
      <c r="MWJ229" s="1"/>
      <c r="MWK229" s="1"/>
      <c r="MWL229" s="1"/>
      <c r="MWM229" s="1"/>
      <c r="MWN229" s="1"/>
      <c r="MWO229" s="1"/>
      <c r="MWP229" s="1"/>
      <c r="MWQ229" s="1"/>
      <c r="MWR229" s="1"/>
      <c r="MWS229" s="1"/>
      <c r="MWT229" s="1"/>
      <c r="MWU229" s="1"/>
      <c r="MWV229" s="1"/>
      <c r="MWW229" s="1"/>
      <c r="MWX229" s="1"/>
      <c r="MWY229" s="1"/>
      <c r="MWZ229" s="1"/>
      <c r="MXA229" s="1"/>
      <c r="MXB229" s="1"/>
      <c r="MXC229" s="1"/>
      <c r="MXD229" s="1"/>
      <c r="MXE229" s="1"/>
      <c r="MXF229" s="1"/>
      <c r="MXG229" s="1"/>
      <c r="MXH229" s="1"/>
      <c r="MXI229" s="1"/>
      <c r="MXJ229" s="1"/>
      <c r="MXK229" s="1"/>
      <c r="MXL229" s="1"/>
      <c r="MXM229" s="1"/>
      <c r="MXN229" s="1"/>
      <c r="MXO229" s="1"/>
      <c r="MXP229" s="1"/>
      <c r="MXQ229" s="1"/>
      <c r="MXR229" s="1"/>
      <c r="MXS229" s="1"/>
      <c r="MXT229" s="1"/>
      <c r="MXU229" s="1"/>
      <c r="MXV229" s="1"/>
      <c r="MXW229" s="1"/>
      <c r="MXX229" s="1"/>
      <c r="MXY229" s="1"/>
      <c r="MXZ229" s="1"/>
      <c r="MYA229" s="1"/>
      <c r="MYB229" s="1"/>
      <c r="MYC229" s="1"/>
      <c r="MYD229" s="1"/>
      <c r="MYE229" s="1"/>
      <c r="MYF229" s="1"/>
      <c r="MYG229" s="1"/>
      <c r="MYH229" s="1"/>
      <c r="MYI229" s="1"/>
      <c r="MYJ229" s="1"/>
      <c r="MYK229" s="1"/>
      <c r="MYL229" s="1"/>
      <c r="MYM229" s="1"/>
      <c r="MYN229" s="1"/>
      <c r="MYO229" s="1"/>
      <c r="MYP229" s="1"/>
      <c r="MYQ229" s="1"/>
      <c r="MYR229" s="1"/>
      <c r="MYS229" s="1"/>
      <c r="MYT229" s="1"/>
      <c r="MYU229" s="1"/>
      <c r="MYV229" s="1"/>
      <c r="MYW229" s="1"/>
      <c r="MYX229" s="1"/>
      <c r="MYY229" s="1"/>
      <c r="MYZ229" s="1"/>
      <c r="MZA229" s="1"/>
      <c r="MZB229" s="1"/>
      <c r="MZC229" s="1"/>
      <c r="MZD229" s="1"/>
      <c r="MZE229" s="1"/>
      <c r="MZF229" s="1"/>
      <c r="MZG229" s="1"/>
      <c r="MZH229" s="1"/>
      <c r="MZI229" s="1"/>
      <c r="MZJ229" s="1"/>
      <c r="MZK229" s="1"/>
      <c r="MZL229" s="1"/>
      <c r="MZM229" s="1"/>
      <c r="MZN229" s="1"/>
      <c r="MZO229" s="1"/>
      <c r="MZP229" s="1"/>
      <c r="MZQ229" s="1"/>
      <c r="MZR229" s="1"/>
      <c r="MZS229" s="1"/>
      <c r="MZT229" s="1"/>
      <c r="MZU229" s="1"/>
      <c r="MZV229" s="1"/>
      <c r="MZW229" s="1"/>
      <c r="MZX229" s="1"/>
      <c r="MZY229" s="1"/>
      <c r="MZZ229" s="1"/>
      <c r="NAA229" s="1"/>
      <c r="NAB229" s="1"/>
      <c r="NAC229" s="1"/>
      <c r="NAD229" s="1"/>
      <c r="NAE229" s="1"/>
      <c r="NAF229" s="1"/>
      <c r="NAG229" s="1"/>
      <c r="NAH229" s="1"/>
      <c r="NAI229" s="1"/>
      <c r="NAJ229" s="1"/>
      <c r="NAK229" s="1"/>
      <c r="NAL229" s="1"/>
      <c r="NAM229" s="1"/>
      <c r="NAN229" s="1"/>
      <c r="NAO229" s="1"/>
      <c r="NAP229" s="1"/>
      <c r="NAQ229" s="1"/>
      <c r="NAR229" s="1"/>
      <c r="NAS229" s="1"/>
      <c r="NAT229" s="1"/>
      <c r="NAU229" s="1"/>
      <c r="NAV229" s="1"/>
      <c r="NAW229" s="1"/>
      <c r="NAX229" s="1"/>
      <c r="NAY229" s="1"/>
      <c r="NAZ229" s="1"/>
      <c r="NBA229" s="1"/>
      <c r="NBB229" s="1"/>
      <c r="NBC229" s="1"/>
      <c r="NBD229" s="1"/>
      <c r="NBE229" s="1"/>
      <c r="NBF229" s="1"/>
      <c r="NBG229" s="1"/>
      <c r="NBH229" s="1"/>
      <c r="NBI229" s="1"/>
      <c r="NBJ229" s="1"/>
      <c r="NBK229" s="1"/>
      <c r="NBL229" s="1"/>
      <c r="NBM229" s="1"/>
      <c r="NBN229" s="1"/>
      <c r="NBO229" s="1"/>
      <c r="NBP229" s="1"/>
      <c r="NBQ229" s="1"/>
      <c r="NBR229" s="1"/>
      <c r="NBS229" s="1"/>
      <c r="NBT229" s="1"/>
      <c r="NBU229" s="1"/>
      <c r="NBV229" s="1"/>
      <c r="NBW229" s="1"/>
      <c r="NBX229" s="1"/>
      <c r="NBY229" s="1"/>
      <c r="NBZ229" s="1"/>
      <c r="NCA229" s="1"/>
      <c r="NCB229" s="1"/>
      <c r="NCC229" s="1"/>
      <c r="NCD229" s="1"/>
      <c r="NCE229" s="1"/>
      <c r="NCF229" s="1"/>
      <c r="NCG229" s="1"/>
      <c r="NCH229" s="1"/>
      <c r="NCI229" s="1"/>
      <c r="NCJ229" s="1"/>
      <c r="NCK229" s="1"/>
      <c r="NCL229" s="1"/>
      <c r="NCM229" s="1"/>
      <c r="NCN229" s="1"/>
      <c r="NCO229" s="1"/>
      <c r="NCP229" s="1"/>
      <c r="NCQ229" s="1"/>
      <c r="NCR229" s="1"/>
      <c r="NCS229" s="1"/>
      <c r="NCT229" s="1"/>
      <c r="NCU229" s="1"/>
      <c r="NCV229" s="1"/>
      <c r="NCW229" s="1"/>
      <c r="NCX229" s="1"/>
      <c r="NCY229" s="1"/>
      <c r="NCZ229" s="1"/>
      <c r="NDA229" s="1"/>
      <c r="NDB229" s="1"/>
      <c r="NDC229" s="1"/>
      <c r="NDD229" s="1"/>
      <c r="NDE229" s="1"/>
      <c r="NDF229" s="1"/>
      <c r="NDG229" s="1"/>
      <c r="NDH229" s="1"/>
      <c r="NDI229" s="1"/>
      <c r="NDJ229" s="1"/>
      <c r="NDK229" s="1"/>
      <c r="NDL229" s="1"/>
      <c r="NDM229" s="1"/>
      <c r="NDN229" s="1"/>
      <c r="NDO229" s="1"/>
      <c r="NDP229" s="1"/>
      <c r="NDQ229" s="1"/>
      <c r="NDR229" s="1"/>
      <c r="NDS229" s="1"/>
      <c r="NDT229" s="1"/>
      <c r="NDU229" s="1"/>
      <c r="NDV229" s="1"/>
      <c r="NDW229" s="1"/>
      <c r="NDX229" s="1"/>
      <c r="NDY229" s="1"/>
      <c r="NDZ229" s="1"/>
      <c r="NEA229" s="1"/>
      <c r="NEB229" s="1"/>
      <c r="NEC229" s="1"/>
      <c r="NED229" s="1"/>
      <c r="NEE229" s="1"/>
      <c r="NEF229" s="1"/>
      <c r="NEG229" s="1"/>
      <c r="NEH229" s="1"/>
      <c r="NEI229" s="1"/>
      <c r="NEJ229" s="1"/>
      <c r="NEK229" s="1"/>
      <c r="NEL229" s="1"/>
      <c r="NEM229" s="1"/>
      <c r="NEN229" s="1"/>
      <c r="NEO229" s="1"/>
      <c r="NEP229" s="1"/>
      <c r="NEQ229" s="1"/>
      <c r="NER229" s="1"/>
      <c r="NES229" s="1"/>
      <c r="NET229" s="1"/>
      <c r="NEU229" s="1"/>
      <c r="NEV229" s="1"/>
      <c r="NEW229" s="1"/>
      <c r="NEX229" s="1"/>
      <c r="NEY229" s="1"/>
      <c r="NEZ229" s="1"/>
      <c r="NFA229" s="1"/>
      <c r="NFB229" s="1"/>
      <c r="NFC229" s="1"/>
      <c r="NFD229" s="1"/>
      <c r="NFE229" s="1"/>
      <c r="NFF229" s="1"/>
      <c r="NFG229" s="1"/>
      <c r="NFH229" s="1"/>
      <c r="NFI229" s="1"/>
      <c r="NFJ229" s="1"/>
      <c r="NFK229" s="1"/>
      <c r="NFL229" s="1"/>
      <c r="NFM229" s="1"/>
      <c r="NFN229" s="1"/>
      <c r="NFO229" s="1"/>
      <c r="NFP229" s="1"/>
      <c r="NFQ229" s="1"/>
      <c r="NFR229" s="1"/>
      <c r="NFS229" s="1"/>
      <c r="NFT229" s="1"/>
      <c r="NFU229" s="1"/>
      <c r="NFV229" s="1"/>
      <c r="NFW229" s="1"/>
      <c r="NFX229" s="1"/>
      <c r="NFY229" s="1"/>
      <c r="NFZ229" s="1"/>
      <c r="NGA229" s="1"/>
      <c r="NGB229" s="1"/>
      <c r="NGC229" s="1"/>
      <c r="NGD229" s="1"/>
      <c r="NGE229" s="1"/>
      <c r="NGF229" s="1"/>
      <c r="NGG229" s="1"/>
      <c r="NGH229" s="1"/>
      <c r="NGI229" s="1"/>
      <c r="NGJ229" s="1"/>
      <c r="NGK229" s="1"/>
      <c r="NGL229" s="1"/>
      <c r="NGM229" s="1"/>
      <c r="NGN229" s="1"/>
      <c r="NGO229" s="1"/>
      <c r="NGP229" s="1"/>
      <c r="NGQ229" s="1"/>
      <c r="NGR229" s="1"/>
      <c r="NGS229" s="1"/>
      <c r="NGT229" s="1"/>
      <c r="NGU229" s="1"/>
      <c r="NGV229" s="1"/>
      <c r="NGW229" s="1"/>
      <c r="NGX229" s="1"/>
      <c r="NGY229" s="1"/>
      <c r="NGZ229" s="1"/>
      <c r="NHA229" s="1"/>
      <c r="NHB229" s="1"/>
      <c r="NHC229" s="1"/>
      <c r="NHD229" s="1"/>
      <c r="NHE229" s="1"/>
      <c r="NHF229" s="1"/>
      <c r="NHG229" s="1"/>
      <c r="NHH229" s="1"/>
      <c r="NHI229" s="1"/>
      <c r="NHJ229" s="1"/>
      <c r="NHK229" s="1"/>
      <c r="NHL229" s="1"/>
      <c r="NHM229" s="1"/>
      <c r="NHN229" s="1"/>
      <c r="NHO229" s="1"/>
      <c r="NHP229" s="1"/>
      <c r="NHQ229" s="1"/>
      <c r="NHR229" s="1"/>
      <c r="NHS229" s="1"/>
      <c r="NHT229" s="1"/>
      <c r="NHU229" s="1"/>
      <c r="NHV229" s="1"/>
      <c r="NHW229" s="1"/>
      <c r="NHX229" s="1"/>
      <c r="NHY229" s="1"/>
      <c r="NHZ229" s="1"/>
      <c r="NIA229" s="1"/>
      <c r="NIB229" s="1"/>
      <c r="NIC229" s="1"/>
      <c r="NID229" s="1"/>
      <c r="NIE229" s="1"/>
      <c r="NIF229" s="1"/>
      <c r="NIG229" s="1"/>
      <c r="NIH229" s="1"/>
      <c r="NII229" s="1"/>
      <c r="NIJ229" s="1"/>
      <c r="NIK229" s="1"/>
      <c r="NIL229" s="1"/>
      <c r="NIM229" s="1"/>
      <c r="NIN229" s="1"/>
      <c r="NIO229" s="1"/>
      <c r="NIP229" s="1"/>
      <c r="NIQ229" s="1"/>
      <c r="NIR229" s="1"/>
      <c r="NIS229" s="1"/>
      <c r="NIT229" s="1"/>
      <c r="NIU229" s="1"/>
      <c r="NIV229" s="1"/>
      <c r="NIW229" s="1"/>
      <c r="NIX229" s="1"/>
      <c r="NIY229" s="1"/>
      <c r="NIZ229" s="1"/>
      <c r="NJA229" s="1"/>
      <c r="NJB229" s="1"/>
      <c r="NJC229" s="1"/>
      <c r="NJD229" s="1"/>
      <c r="NJE229" s="1"/>
      <c r="NJF229" s="1"/>
      <c r="NJG229" s="1"/>
      <c r="NJH229" s="1"/>
      <c r="NJI229" s="1"/>
      <c r="NJJ229" s="1"/>
      <c r="NJK229" s="1"/>
      <c r="NJL229" s="1"/>
      <c r="NJM229" s="1"/>
      <c r="NJN229" s="1"/>
      <c r="NJO229" s="1"/>
      <c r="NJP229" s="1"/>
      <c r="NJQ229" s="1"/>
      <c r="NJR229" s="1"/>
      <c r="NJS229" s="1"/>
      <c r="NJT229" s="1"/>
      <c r="NJU229" s="1"/>
      <c r="NJV229" s="1"/>
      <c r="NJW229" s="1"/>
      <c r="NJX229" s="1"/>
      <c r="NJY229" s="1"/>
      <c r="NJZ229" s="1"/>
      <c r="NKA229" s="1"/>
      <c r="NKB229" s="1"/>
      <c r="NKC229" s="1"/>
      <c r="NKD229" s="1"/>
      <c r="NKE229" s="1"/>
      <c r="NKF229" s="1"/>
      <c r="NKG229" s="1"/>
      <c r="NKH229" s="1"/>
      <c r="NKI229" s="1"/>
      <c r="NKJ229" s="1"/>
      <c r="NKK229" s="1"/>
      <c r="NKL229" s="1"/>
      <c r="NKM229" s="1"/>
      <c r="NKN229" s="1"/>
      <c r="NKO229" s="1"/>
      <c r="NKP229" s="1"/>
      <c r="NKQ229" s="1"/>
      <c r="NKR229" s="1"/>
      <c r="NKS229" s="1"/>
      <c r="NKT229" s="1"/>
      <c r="NKU229" s="1"/>
      <c r="NKV229" s="1"/>
      <c r="NKW229" s="1"/>
      <c r="NKX229" s="1"/>
      <c r="NKY229" s="1"/>
      <c r="NKZ229" s="1"/>
      <c r="NLA229" s="1"/>
      <c r="NLB229" s="1"/>
      <c r="NLC229" s="1"/>
      <c r="NLD229" s="1"/>
      <c r="NLE229" s="1"/>
      <c r="NLF229" s="1"/>
      <c r="NLG229" s="1"/>
      <c r="NLH229" s="1"/>
      <c r="NLI229" s="1"/>
      <c r="NLJ229" s="1"/>
      <c r="NLK229" s="1"/>
      <c r="NLL229" s="1"/>
      <c r="NLM229" s="1"/>
      <c r="NLN229" s="1"/>
      <c r="NLO229" s="1"/>
      <c r="NLP229" s="1"/>
      <c r="NLQ229" s="1"/>
      <c r="NLR229" s="1"/>
      <c r="NLS229" s="1"/>
      <c r="NLT229" s="1"/>
      <c r="NLU229" s="1"/>
      <c r="NLV229" s="1"/>
      <c r="NLW229" s="1"/>
      <c r="NLX229" s="1"/>
      <c r="NLY229" s="1"/>
      <c r="NLZ229" s="1"/>
      <c r="NMA229" s="1"/>
      <c r="NMB229" s="1"/>
      <c r="NMC229" s="1"/>
      <c r="NMD229" s="1"/>
      <c r="NME229" s="1"/>
      <c r="NMF229" s="1"/>
      <c r="NMG229" s="1"/>
      <c r="NMH229" s="1"/>
      <c r="NMI229" s="1"/>
      <c r="NMJ229" s="1"/>
      <c r="NMK229" s="1"/>
      <c r="NML229" s="1"/>
      <c r="NMM229" s="1"/>
      <c r="NMN229" s="1"/>
      <c r="NMO229" s="1"/>
      <c r="NMP229" s="1"/>
      <c r="NMQ229" s="1"/>
      <c r="NMR229" s="1"/>
      <c r="NMS229" s="1"/>
      <c r="NMT229" s="1"/>
      <c r="NMU229" s="1"/>
      <c r="NMV229" s="1"/>
      <c r="NMW229" s="1"/>
      <c r="NMX229" s="1"/>
      <c r="NMY229" s="1"/>
      <c r="NMZ229" s="1"/>
      <c r="NNA229" s="1"/>
      <c r="NNB229" s="1"/>
      <c r="NNC229" s="1"/>
      <c r="NND229" s="1"/>
      <c r="NNE229" s="1"/>
      <c r="NNF229" s="1"/>
      <c r="NNG229" s="1"/>
      <c r="NNH229" s="1"/>
      <c r="NNI229" s="1"/>
      <c r="NNJ229" s="1"/>
      <c r="NNK229" s="1"/>
      <c r="NNL229" s="1"/>
      <c r="NNM229" s="1"/>
      <c r="NNN229" s="1"/>
      <c r="NNO229" s="1"/>
      <c r="NNP229" s="1"/>
      <c r="NNQ229" s="1"/>
      <c r="NNR229" s="1"/>
      <c r="NNS229" s="1"/>
      <c r="NNT229" s="1"/>
      <c r="NNU229" s="1"/>
      <c r="NNV229" s="1"/>
      <c r="NNW229" s="1"/>
      <c r="NNX229" s="1"/>
      <c r="NNY229" s="1"/>
      <c r="NNZ229" s="1"/>
      <c r="NOA229" s="1"/>
      <c r="NOB229" s="1"/>
      <c r="NOC229" s="1"/>
      <c r="NOD229" s="1"/>
      <c r="NOE229" s="1"/>
      <c r="NOF229" s="1"/>
      <c r="NOG229" s="1"/>
      <c r="NOH229" s="1"/>
      <c r="NOI229" s="1"/>
      <c r="NOJ229" s="1"/>
      <c r="NOK229" s="1"/>
      <c r="NOL229" s="1"/>
      <c r="NOM229" s="1"/>
      <c r="NON229" s="1"/>
      <c r="NOO229" s="1"/>
      <c r="NOP229" s="1"/>
      <c r="NOQ229" s="1"/>
      <c r="NOR229" s="1"/>
      <c r="NOS229" s="1"/>
      <c r="NOT229" s="1"/>
      <c r="NOU229" s="1"/>
      <c r="NOV229" s="1"/>
      <c r="NOW229" s="1"/>
      <c r="NOX229" s="1"/>
      <c r="NOY229" s="1"/>
      <c r="NOZ229" s="1"/>
      <c r="NPA229" s="1"/>
      <c r="NPB229" s="1"/>
      <c r="NPC229" s="1"/>
      <c r="NPD229" s="1"/>
      <c r="NPE229" s="1"/>
      <c r="NPF229" s="1"/>
      <c r="NPG229" s="1"/>
      <c r="NPH229" s="1"/>
      <c r="NPI229" s="1"/>
      <c r="NPJ229" s="1"/>
      <c r="NPK229" s="1"/>
      <c r="NPL229" s="1"/>
      <c r="NPM229" s="1"/>
      <c r="NPN229" s="1"/>
      <c r="NPO229" s="1"/>
      <c r="NPP229" s="1"/>
      <c r="NPQ229" s="1"/>
      <c r="NPR229" s="1"/>
      <c r="NPS229" s="1"/>
      <c r="NPT229" s="1"/>
      <c r="NPU229" s="1"/>
      <c r="NPV229" s="1"/>
      <c r="NPW229" s="1"/>
      <c r="NPX229" s="1"/>
      <c r="NPY229" s="1"/>
      <c r="NPZ229" s="1"/>
      <c r="NQA229" s="1"/>
      <c r="NQB229" s="1"/>
      <c r="NQC229" s="1"/>
      <c r="NQD229" s="1"/>
      <c r="NQE229" s="1"/>
      <c r="NQF229" s="1"/>
      <c r="NQG229" s="1"/>
      <c r="NQH229" s="1"/>
      <c r="NQI229" s="1"/>
      <c r="NQJ229" s="1"/>
      <c r="NQK229" s="1"/>
      <c r="NQL229" s="1"/>
      <c r="NQM229" s="1"/>
      <c r="NQN229" s="1"/>
      <c r="NQO229" s="1"/>
      <c r="NQP229" s="1"/>
      <c r="NQQ229" s="1"/>
      <c r="NQR229" s="1"/>
      <c r="NQS229" s="1"/>
      <c r="NQT229" s="1"/>
      <c r="NQU229" s="1"/>
      <c r="NQV229" s="1"/>
      <c r="NQW229" s="1"/>
      <c r="NQX229" s="1"/>
      <c r="NQY229" s="1"/>
      <c r="NQZ229" s="1"/>
      <c r="NRA229" s="1"/>
      <c r="NRB229" s="1"/>
      <c r="NRC229" s="1"/>
      <c r="NRD229" s="1"/>
      <c r="NRE229" s="1"/>
      <c r="NRF229" s="1"/>
      <c r="NRG229" s="1"/>
      <c r="NRH229" s="1"/>
      <c r="NRI229" s="1"/>
      <c r="NRJ229" s="1"/>
      <c r="NRK229" s="1"/>
      <c r="NRL229" s="1"/>
      <c r="NRM229" s="1"/>
      <c r="NRN229" s="1"/>
      <c r="NRO229" s="1"/>
      <c r="NRP229" s="1"/>
      <c r="NRQ229" s="1"/>
      <c r="NRR229" s="1"/>
      <c r="NRS229" s="1"/>
      <c r="NRT229" s="1"/>
      <c r="NRU229" s="1"/>
      <c r="NRV229" s="1"/>
      <c r="NRW229" s="1"/>
      <c r="NRX229" s="1"/>
      <c r="NRY229" s="1"/>
      <c r="NRZ229" s="1"/>
      <c r="NSA229" s="1"/>
      <c r="NSB229" s="1"/>
      <c r="NSC229" s="1"/>
      <c r="NSD229" s="1"/>
      <c r="NSE229" s="1"/>
      <c r="NSF229" s="1"/>
      <c r="NSG229" s="1"/>
      <c r="NSH229" s="1"/>
      <c r="NSI229" s="1"/>
      <c r="NSJ229" s="1"/>
      <c r="NSK229" s="1"/>
      <c r="NSL229" s="1"/>
      <c r="NSM229" s="1"/>
      <c r="NSN229" s="1"/>
      <c r="NSO229" s="1"/>
      <c r="NSP229" s="1"/>
      <c r="NSQ229" s="1"/>
      <c r="NSR229" s="1"/>
      <c r="NSS229" s="1"/>
      <c r="NST229" s="1"/>
      <c r="NSU229" s="1"/>
      <c r="NSV229" s="1"/>
      <c r="NSW229" s="1"/>
      <c r="NSX229" s="1"/>
      <c r="NSY229" s="1"/>
      <c r="NSZ229" s="1"/>
      <c r="NTA229" s="1"/>
      <c r="NTB229" s="1"/>
      <c r="NTC229" s="1"/>
      <c r="NTD229" s="1"/>
      <c r="NTE229" s="1"/>
      <c r="NTF229" s="1"/>
      <c r="NTG229" s="1"/>
      <c r="NTH229" s="1"/>
      <c r="NTI229" s="1"/>
      <c r="NTJ229" s="1"/>
      <c r="NTK229" s="1"/>
      <c r="NTL229" s="1"/>
      <c r="NTM229" s="1"/>
      <c r="NTN229" s="1"/>
      <c r="NTO229" s="1"/>
      <c r="NTP229" s="1"/>
      <c r="NTQ229" s="1"/>
      <c r="NTR229" s="1"/>
      <c r="NTS229" s="1"/>
      <c r="NTT229" s="1"/>
      <c r="NTU229" s="1"/>
      <c r="NTV229" s="1"/>
      <c r="NTW229" s="1"/>
      <c r="NTX229" s="1"/>
      <c r="NTY229" s="1"/>
      <c r="NTZ229" s="1"/>
      <c r="NUA229" s="1"/>
      <c r="NUB229" s="1"/>
      <c r="NUC229" s="1"/>
      <c r="NUD229" s="1"/>
      <c r="NUE229" s="1"/>
      <c r="NUF229" s="1"/>
      <c r="NUG229" s="1"/>
      <c r="NUH229" s="1"/>
      <c r="NUI229" s="1"/>
      <c r="NUJ229" s="1"/>
      <c r="NUK229" s="1"/>
      <c r="NUL229" s="1"/>
      <c r="NUM229" s="1"/>
      <c r="NUN229" s="1"/>
      <c r="NUO229" s="1"/>
      <c r="NUP229" s="1"/>
      <c r="NUQ229" s="1"/>
      <c r="NUR229" s="1"/>
      <c r="NUS229" s="1"/>
      <c r="NUT229" s="1"/>
      <c r="NUU229" s="1"/>
      <c r="NUV229" s="1"/>
      <c r="NUW229" s="1"/>
      <c r="NUX229" s="1"/>
      <c r="NUY229" s="1"/>
      <c r="NUZ229" s="1"/>
      <c r="NVA229" s="1"/>
      <c r="NVB229" s="1"/>
      <c r="NVC229" s="1"/>
      <c r="NVD229" s="1"/>
      <c r="NVE229" s="1"/>
      <c r="NVF229" s="1"/>
      <c r="NVG229" s="1"/>
      <c r="NVH229" s="1"/>
      <c r="NVI229" s="1"/>
      <c r="NVJ229" s="1"/>
      <c r="NVK229" s="1"/>
      <c r="NVL229" s="1"/>
      <c r="NVM229" s="1"/>
      <c r="NVN229" s="1"/>
      <c r="NVO229" s="1"/>
      <c r="NVP229" s="1"/>
      <c r="NVQ229" s="1"/>
      <c r="NVR229" s="1"/>
      <c r="NVS229" s="1"/>
      <c r="NVT229" s="1"/>
      <c r="NVU229" s="1"/>
      <c r="NVV229" s="1"/>
      <c r="NVW229" s="1"/>
      <c r="NVX229" s="1"/>
      <c r="NVY229" s="1"/>
      <c r="NVZ229" s="1"/>
      <c r="NWA229" s="1"/>
      <c r="NWB229" s="1"/>
      <c r="NWC229" s="1"/>
      <c r="NWD229" s="1"/>
      <c r="NWE229" s="1"/>
      <c r="NWF229" s="1"/>
      <c r="NWG229" s="1"/>
      <c r="NWH229" s="1"/>
      <c r="NWI229" s="1"/>
      <c r="NWJ229" s="1"/>
      <c r="NWK229" s="1"/>
      <c r="NWL229" s="1"/>
      <c r="NWM229" s="1"/>
      <c r="NWN229" s="1"/>
      <c r="NWO229" s="1"/>
      <c r="NWP229" s="1"/>
      <c r="NWQ229" s="1"/>
      <c r="NWR229" s="1"/>
      <c r="NWS229" s="1"/>
      <c r="NWT229" s="1"/>
      <c r="NWU229" s="1"/>
      <c r="NWV229" s="1"/>
      <c r="NWW229" s="1"/>
      <c r="NWX229" s="1"/>
      <c r="NWY229" s="1"/>
      <c r="NWZ229" s="1"/>
      <c r="NXA229" s="1"/>
      <c r="NXB229" s="1"/>
      <c r="NXC229" s="1"/>
      <c r="NXD229" s="1"/>
      <c r="NXE229" s="1"/>
      <c r="NXF229" s="1"/>
      <c r="NXG229" s="1"/>
      <c r="NXH229" s="1"/>
      <c r="NXI229" s="1"/>
      <c r="NXJ229" s="1"/>
      <c r="NXK229" s="1"/>
      <c r="NXL229" s="1"/>
      <c r="NXM229" s="1"/>
      <c r="NXN229" s="1"/>
      <c r="NXO229" s="1"/>
      <c r="NXP229" s="1"/>
      <c r="NXQ229" s="1"/>
      <c r="NXR229" s="1"/>
      <c r="NXS229" s="1"/>
      <c r="NXT229" s="1"/>
      <c r="NXU229" s="1"/>
      <c r="NXV229" s="1"/>
      <c r="NXW229" s="1"/>
      <c r="NXX229" s="1"/>
      <c r="NXY229" s="1"/>
      <c r="NXZ229" s="1"/>
      <c r="NYA229" s="1"/>
      <c r="NYB229" s="1"/>
      <c r="NYC229" s="1"/>
      <c r="NYD229" s="1"/>
      <c r="NYE229" s="1"/>
      <c r="NYF229" s="1"/>
      <c r="NYG229" s="1"/>
      <c r="NYH229" s="1"/>
      <c r="NYI229" s="1"/>
      <c r="NYJ229" s="1"/>
      <c r="NYK229" s="1"/>
      <c r="NYL229" s="1"/>
      <c r="NYM229" s="1"/>
      <c r="NYN229" s="1"/>
      <c r="NYO229" s="1"/>
      <c r="NYP229" s="1"/>
      <c r="NYQ229" s="1"/>
      <c r="NYR229" s="1"/>
      <c r="NYS229" s="1"/>
      <c r="NYT229" s="1"/>
      <c r="NYU229" s="1"/>
      <c r="NYV229" s="1"/>
      <c r="NYW229" s="1"/>
      <c r="NYX229" s="1"/>
      <c r="NYY229" s="1"/>
      <c r="NYZ229" s="1"/>
      <c r="NZA229" s="1"/>
      <c r="NZB229" s="1"/>
      <c r="NZC229" s="1"/>
      <c r="NZD229" s="1"/>
      <c r="NZE229" s="1"/>
      <c r="NZF229" s="1"/>
      <c r="NZG229" s="1"/>
      <c r="NZH229" s="1"/>
      <c r="NZI229" s="1"/>
      <c r="NZJ229" s="1"/>
      <c r="NZK229" s="1"/>
      <c r="NZL229" s="1"/>
      <c r="NZM229" s="1"/>
      <c r="NZN229" s="1"/>
      <c r="NZO229" s="1"/>
      <c r="NZP229" s="1"/>
      <c r="NZQ229" s="1"/>
      <c r="NZR229" s="1"/>
      <c r="NZS229" s="1"/>
      <c r="NZT229" s="1"/>
      <c r="NZU229" s="1"/>
      <c r="NZV229" s="1"/>
      <c r="NZW229" s="1"/>
      <c r="NZX229" s="1"/>
      <c r="NZY229" s="1"/>
      <c r="NZZ229" s="1"/>
      <c r="OAA229" s="1"/>
      <c r="OAB229" s="1"/>
      <c r="OAC229" s="1"/>
      <c r="OAD229" s="1"/>
      <c r="OAE229" s="1"/>
      <c r="OAF229" s="1"/>
      <c r="OAG229" s="1"/>
      <c r="OAH229" s="1"/>
      <c r="OAI229" s="1"/>
      <c r="OAJ229" s="1"/>
      <c r="OAK229" s="1"/>
      <c r="OAL229" s="1"/>
      <c r="OAM229" s="1"/>
      <c r="OAN229" s="1"/>
      <c r="OAO229" s="1"/>
      <c r="OAP229" s="1"/>
      <c r="OAQ229" s="1"/>
      <c r="OAR229" s="1"/>
      <c r="OAS229" s="1"/>
      <c r="OAT229" s="1"/>
      <c r="OAU229" s="1"/>
      <c r="OAV229" s="1"/>
      <c r="OAW229" s="1"/>
      <c r="OAX229" s="1"/>
      <c r="OAY229" s="1"/>
      <c r="OAZ229" s="1"/>
      <c r="OBA229" s="1"/>
      <c r="OBB229" s="1"/>
      <c r="OBC229" s="1"/>
      <c r="OBD229" s="1"/>
      <c r="OBE229" s="1"/>
      <c r="OBF229" s="1"/>
      <c r="OBG229" s="1"/>
      <c r="OBH229" s="1"/>
      <c r="OBI229" s="1"/>
      <c r="OBJ229" s="1"/>
      <c r="OBK229" s="1"/>
      <c r="OBL229" s="1"/>
      <c r="OBM229" s="1"/>
      <c r="OBN229" s="1"/>
      <c r="OBO229" s="1"/>
      <c r="OBP229" s="1"/>
      <c r="OBQ229" s="1"/>
      <c r="OBR229" s="1"/>
      <c r="OBS229" s="1"/>
      <c r="OBT229" s="1"/>
      <c r="OBU229" s="1"/>
      <c r="OBV229" s="1"/>
      <c r="OBW229" s="1"/>
      <c r="OBX229" s="1"/>
      <c r="OBY229" s="1"/>
      <c r="OBZ229" s="1"/>
      <c r="OCA229" s="1"/>
      <c r="OCB229" s="1"/>
      <c r="OCC229" s="1"/>
      <c r="OCD229" s="1"/>
      <c r="OCE229" s="1"/>
      <c r="OCF229" s="1"/>
      <c r="OCG229" s="1"/>
      <c r="OCH229" s="1"/>
      <c r="OCI229" s="1"/>
      <c r="OCJ229" s="1"/>
      <c r="OCK229" s="1"/>
      <c r="OCL229" s="1"/>
      <c r="OCM229" s="1"/>
      <c r="OCN229" s="1"/>
      <c r="OCO229" s="1"/>
      <c r="OCP229" s="1"/>
      <c r="OCQ229" s="1"/>
      <c r="OCR229" s="1"/>
      <c r="OCS229" s="1"/>
      <c r="OCT229" s="1"/>
      <c r="OCU229" s="1"/>
      <c r="OCV229" s="1"/>
      <c r="OCW229" s="1"/>
      <c r="OCX229" s="1"/>
      <c r="OCY229" s="1"/>
      <c r="OCZ229" s="1"/>
      <c r="ODA229" s="1"/>
      <c r="ODB229" s="1"/>
      <c r="ODC229" s="1"/>
      <c r="ODD229" s="1"/>
      <c r="ODE229" s="1"/>
      <c r="ODF229" s="1"/>
      <c r="ODG229" s="1"/>
      <c r="ODH229" s="1"/>
      <c r="ODI229" s="1"/>
      <c r="ODJ229" s="1"/>
      <c r="ODK229" s="1"/>
      <c r="ODL229" s="1"/>
      <c r="ODM229" s="1"/>
      <c r="ODN229" s="1"/>
      <c r="ODO229" s="1"/>
      <c r="ODP229" s="1"/>
      <c r="ODQ229" s="1"/>
      <c r="ODR229" s="1"/>
      <c r="ODS229" s="1"/>
      <c r="ODT229" s="1"/>
      <c r="ODU229" s="1"/>
      <c r="ODV229" s="1"/>
      <c r="ODW229" s="1"/>
      <c r="ODX229" s="1"/>
      <c r="ODY229" s="1"/>
      <c r="ODZ229" s="1"/>
      <c r="OEA229" s="1"/>
      <c r="OEB229" s="1"/>
      <c r="OEC229" s="1"/>
      <c r="OED229" s="1"/>
      <c r="OEE229" s="1"/>
      <c r="OEF229" s="1"/>
      <c r="OEG229" s="1"/>
      <c r="OEH229" s="1"/>
      <c r="OEI229" s="1"/>
      <c r="OEJ229" s="1"/>
      <c r="OEK229" s="1"/>
      <c r="OEL229" s="1"/>
      <c r="OEM229" s="1"/>
      <c r="OEN229" s="1"/>
      <c r="OEO229" s="1"/>
      <c r="OEP229" s="1"/>
      <c r="OEQ229" s="1"/>
      <c r="OER229" s="1"/>
      <c r="OES229" s="1"/>
      <c r="OET229" s="1"/>
      <c r="OEU229" s="1"/>
      <c r="OEV229" s="1"/>
      <c r="OEW229" s="1"/>
      <c r="OEX229" s="1"/>
      <c r="OEY229" s="1"/>
      <c r="OEZ229" s="1"/>
      <c r="OFA229" s="1"/>
      <c r="OFB229" s="1"/>
      <c r="OFC229" s="1"/>
      <c r="OFD229" s="1"/>
      <c r="OFE229" s="1"/>
      <c r="OFF229" s="1"/>
      <c r="OFG229" s="1"/>
      <c r="OFH229" s="1"/>
      <c r="OFI229" s="1"/>
      <c r="OFJ229" s="1"/>
      <c r="OFK229" s="1"/>
      <c r="OFL229" s="1"/>
      <c r="OFM229" s="1"/>
      <c r="OFN229" s="1"/>
      <c r="OFO229" s="1"/>
      <c r="OFP229" s="1"/>
      <c r="OFQ229" s="1"/>
      <c r="OFR229" s="1"/>
      <c r="OFS229" s="1"/>
      <c r="OFT229" s="1"/>
      <c r="OFU229" s="1"/>
      <c r="OFV229" s="1"/>
      <c r="OFW229" s="1"/>
      <c r="OFX229" s="1"/>
      <c r="OFY229" s="1"/>
      <c r="OFZ229" s="1"/>
      <c r="OGA229" s="1"/>
      <c r="OGB229" s="1"/>
      <c r="OGC229" s="1"/>
      <c r="OGD229" s="1"/>
      <c r="OGE229" s="1"/>
      <c r="OGF229" s="1"/>
      <c r="OGG229" s="1"/>
      <c r="OGH229" s="1"/>
      <c r="OGI229" s="1"/>
      <c r="OGJ229" s="1"/>
      <c r="OGK229" s="1"/>
      <c r="OGL229" s="1"/>
      <c r="OGM229" s="1"/>
      <c r="OGN229" s="1"/>
      <c r="OGO229" s="1"/>
      <c r="OGP229" s="1"/>
      <c r="OGQ229" s="1"/>
      <c r="OGR229" s="1"/>
      <c r="OGS229" s="1"/>
      <c r="OGT229" s="1"/>
      <c r="OGU229" s="1"/>
      <c r="OGV229" s="1"/>
      <c r="OGW229" s="1"/>
      <c r="OGX229" s="1"/>
      <c r="OGY229" s="1"/>
      <c r="OGZ229" s="1"/>
      <c r="OHA229" s="1"/>
      <c r="OHB229" s="1"/>
      <c r="OHC229" s="1"/>
      <c r="OHD229" s="1"/>
      <c r="OHE229" s="1"/>
      <c r="OHF229" s="1"/>
      <c r="OHG229" s="1"/>
      <c r="OHH229" s="1"/>
      <c r="OHI229" s="1"/>
      <c r="OHJ229" s="1"/>
      <c r="OHK229" s="1"/>
      <c r="OHL229" s="1"/>
      <c r="OHM229" s="1"/>
      <c r="OHN229" s="1"/>
      <c r="OHO229" s="1"/>
      <c r="OHP229" s="1"/>
      <c r="OHQ229" s="1"/>
      <c r="OHR229" s="1"/>
      <c r="OHS229" s="1"/>
      <c r="OHT229" s="1"/>
      <c r="OHU229" s="1"/>
      <c r="OHV229" s="1"/>
      <c r="OHW229" s="1"/>
      <c r="OHX229" s="1"/>
      <c r="OHY229" s="1"/>
      <c r="OHZ229" s="1"/>
      <c r="OIA229" s="1"/>
      <c r="OIB229" s="1"/>
      <c r="OIC229" s="1"/>
      <c r="OID229" s="1"/>
      <c r="OIE229" s="1"/>
      <c r="OIF229" s="1"/>
      <c r="OIG229" s="1"/>
      <c r="OIH229" s="1"/>
      <c r="OII229" s="1"/>
      <c r="OIJ229" s="1"/>
      <c r="OIK229" s="1"/>
      <c r="OIL229" s="1"/>
      <c r="OIM229" s="1"/>
      <c r="OIN229" s="1"/>
      <c r="OIO229" s="1"/>
      <c r="OIP229" s="1"/>
      <c r="OIQ229" s="1"/>
      <c r="OIR229" s="1"/>
      <c r="OIS229" s="1"/>
      <c r="OIT229" s="1"/>
      <c r="OIU229" s="1"/>
      <c r="OIV229" s="1"/>
      <c r="OIW229" s="1"/>
      <c r="OIX229" s="1"/>
      <c r="OIY229" s="1"/>
      <c r="OIZ229" s="1"/>
      <c r="OJA229" s="1"/>
      <c r="OJB229" s="1"/>
      <c r="OJC229" s="1"/>
      <c r="OJD229" s="1"/>
      <c r="OJE229" s="1"/>
      <c r="OJF229" s="1"/>
      <c r="OJG229" s="1"/>
      <c r="OJH229" s="1"/>
      <c r="OJI229" s="1"/>
      <c r="OJJ229" s="1"/>
      <c r="OJK229" s="1"/>
      <c r="OJL229" s="1"/>
      <c r="OJM229" s="1"/>
      <c r="OJN229" s="1"/>
      <c r="OJO229" s="1"/>
      <c r="OJP229" s="1"/>
      <c r="OJQ229" s="1"/>
      <c r="OJR229" s="1"/>
      <c r="OJS229" s="1"/>
      <c r="OJT229" s="1"/>
      <c r="OJU229" s="1"/>
      <c r="OJV229" s="1"/>
      <c r="OJW229" s="1"/>
      <c r="OJX229" s="1"/>
      <c r="OJY229" s="1"/>
      <c r="OJZ229" s="1"/>
      <c r="OKA229" s="1"/>
      <c r="OKB229" s="1"/>
      <c r="OKC229" s="1"/>
      <c r="OKD229" s="1"/>
      <c r="OKE229" s="1"/>
      <c r="OKF229" s="1"/>
      <c r="OKG229" s="1"/>
      <c r="OKH229" s="1"/>
      <c r="OKI229" s="1"/>
      <c r="OKJ229" s="1"/>
      <c r="OKK229" s="1"/>
      <c r="OKL229" s="1"/>
      <c r="OKM229" s="1"/>
      <c r="OKN229" s="1"/>
      <c r="OKO229" s="1"/>
      <c r="OKP229" s="1"/>
      <c r="OKQ229" s="1"/>
      <c r="OKR229" s="1"/>
      <c r="OKS229" s="1"/>
      <c r="OKT229" s="1"/>
      <c r="OKU229" s="1"/>
      <c r="OKV229" s="1"/>
      <c r="OKW229" s="1"/>
      <c r="OKX229" s="1"/>
      <c r="OKY229" s="1"/>
      <c r="OKZ229" s="1"/>
      <c r="OLA229" s="1"/>
      <c r="OLB229" s="1"/>
      <c r="OLC229" s="1"/>
      <c r="OLD229" s="1"/>
      <c r="OLE229" s="1"/>
      <c r="OLF229" s="1"/>
      <c r="OLG229" s="1"/>
      <c r="OLH229" s="1"/>
      <c r="OLI229" s="1"/>
      <c r="OLJ229" s="1"/>
      <c r="OLK229" s="1"/>
      <c r="OLL229" s="1"/>
      <c r="OLM229" s="1"/>
      <c r="OLN229" s="1"/>
      <c r="OLO229" s="1"/>
      <c r="OLP229" s="1"/>
      <c r="OLQ229" s="1"/>
      <c r="OLR229" s="1"/>
      <c r="OLS229" s="1"/>
      <c r="OLT229" s="1"/>
      <c r="OLU229" s="1"/>
      <c r="OLV229" s="1"/>
      <c r="OLW229" s="1"/>
      <c r="OLX229" s="1"/>
      <c r="OLY229" s="1"/>
      <c r="OLZ229" s="1"/>
      <c r="OMA229" s="1"/>
      <c r="OMB229" s="1"/>
      <c r="OMC229" s="1"/>
      <c r="OMD229" s="1"/>
      <c r="OME229" s="1"/>
      <c r="OMF229" s="1"/>
      <c r="OMG229" s="1"/>
      <c r="OMH229" s="1"/>
      <c r="OMI229" s="1"/>
      <c r="OMJ229" s="1"/>
      <c r="OMK229" s="1"/>
      <c r="OML229" s="1"/>
      <c r="OMM229" s="1"/>
      <c r="OMN229" s="1"/>
      <c r="OMO229" s="1"/>
      <c r="OMP229" s="1"/>
      <c r="OMQ229" s="1"/>
      <c r="OMR229" s="1"/>
      <c r="OMS229" s="1"/>
      <c r="OMT229" s="1"/>
      <c r="OMU229" s="1"/>
      <c r="OMV229" s="1"/>
      <c r="OMW229" s="1"/>
      <c r="OMX229" s="1"/>
      <c r="OMY229" s="1"/>
      <c r="OMZ229" s="1"/>
      <c r="ONA229" s="1"/>
      <c r="ONB229" s="1"/>
      <c r="ONC229" s="1"/>
      <c r="OND229" s="1"/>
      <c r="ONE229" s="1"/>
      <c r="ONF229" s="1"/>
      <c r="ONG229" s="1"/>
      <c r="ONH229" s="1"/>
      <c r="ONI229" s="1"/>
      <c r="ONJ229" s="1"/>
      <c r="ONK229" s="1"/>
      <c r="ONL229" s="1"/>
      <c r="ONM229" s="1"/>
      <c r="ONN229" s="1"/>
      <c r="ONO229" s="1"/>
      <c r="ONP229" s="1"/>
      <c r="ONQ229" s="1"/>
      <c r="ONR229" s="1"/>
      <c r="ONS229" s="1"/>
      <c r="ONT229" s="1"/>
      <c r="ONU229" s="1"/>
      <c r="ONV229" s="1"/>
      <c r="ONW229" s="1"/>
      <c r="ONX229" s="1"/>
      <c r="ONY229" s="1"/>
      <c r="ONZ229" s="1"/>
      <c r="OOA229" s="1"/>
      <c r="OOB229" s="1"/>
      <c r="OOC229" s="1"/>
      <c r="OOD229" s="1"/>
      <c r="OOE229" s="1"/>
      <c r="OOF229" s="1"/>
      <c r="OOG229" s="1"/>
      <c r="OOH229" s="1"/>
      <c r="OOI229" s="1"/>
      <c r="OOJ229" s="1"/>
      <c r="OOK229" s="1"/>
      <c r="OOL229" s="1"/>
      <c r="OOM229" s="1"/>
      <c r="OON229" s="1"/>
      <c r="OOO229" s="1"/>
      <c r="OOP229" s="1"/>
      <c r="OOQ229" s="1"/>
      <c r="OOR229" s="1"/>
      <c r="OOS229" s="1"/>
      <c r="OOT229" s="1"/>
      <c r="OOU229" s="1"/>
      <c r="OOV229" s="1"/>
      <c r="OOW229" s="1"/>
      <c r="OOX229" s="1"/>
      <c r="OOY229" s="1"/>
      <c r="OOZ229" s="1"/>
      <c r="OPA229" s="1"/>
      <c r="OPB229" s="1"/>
      <c r="OPC229" s="1"/>
      <c r="OPD229" s="1"/>
      <c r="OPE229" s="1"/>
      <c r="OPF229" s="1"/>
      <c r="OPG229" s="1"/>
      <c r="OPH229" s="1"/>
      <c r="OPI229" s="1"/>
      <c r="OPJ229" s="1"/>
      <c r="OPK229" s="1"/>
      <c r="OPL229" s="1"/>
      <c r="OPM229" s="1"/>
      <c r="OPN229" s="1"/>
      <c r="OPO229" s="1"/>
      <c r="OPP229" s="1"/>
      <c r="OPQ229" s="1"/>
      <c r="OPR229" s="1"/>
      <c r="OPS229" s="1"/>
      <c r="OPT229" s="1"/>
      <c r="OPU229" s="1"/>
      <c r="OPV229" s="1"/>
      <c r="OPW229" s="1"/>
      <c r="OPX229" s="1"/>
      <c r="OPY229" s="1"/>
      <c r="OPZ229" s="1"/>
      <c r="OQA229" s="1"/>
      <c r="OQB229" s="1"/>
      <c r="OQC229" s="1"/>
      <c r="OQD229" s="1"/>
      <c r="OQE229" s="1"/>
      <c r="OQF229" s="1"/>
      <c r="OQG229" s="1"/>
      <c r="OQH229" s="1"/>
      <c r="OQI229" s="1"/>
      <c r="OQJ229" s="1"/>
      <c r="OQK229" s="1"/>
      <c r="OQL229" s="1"/>
      <c r="OQM229" s="1"/>
      <c r="OQN229" s="1"/>
      <c r="OQO229" s="1"/>
      <c r="OQP229" s="1"/>
      <c r="OQQ229" s="1"/>
      <c r="OQR229" s="1"/>
      <c r="OQS229" s="1"/>
      <c r="OQT229" s="1"/>
      <c r="OQU229" s="1"/>
      <c r="OQV229" s="1"/>
      <c r="OQW229" s="1"/>
      <c r="OQX229" s="1"/>
      <c r="OQY229" s="1"/>
      <c r="OQZ229" s="1"/>
      <c r="ORA229" s="1"/>
      <c r="ORB229" s="1"/>
      <c r="ORC229" s="1"/>
      <c r="ORD229" s="1"/>
      <c r="ORE229" s="1"/>
      <c r="ORF229" s="1"/>
      <c r="ORG229" s="1"/>
      <c r="ORH229" s="1"/>
      <c r="ORI229" s="1"/>
      <c r="ORJ229" s="1"/>
      <c r="ORK229" s="1"/>
      <c r="ORL229" s="1"/>
      <c r="ORM229" s="1"/>
      <c r="ORN229" s="1"/>
      <c r="ORO229" s="1"/>
      <c r="ORP229" s="1"/>
      <c r="ORQ229" s="1"/>
      <c r="ORR229" s="1"/>
      <c r="ORS229" s="1"/>
      <c r="ORT229" s="1"/>
      <c r="ORU229" s="1"/>
      <c r="ORV229" s="1"/>
      <c r="ORW229" s="1"/>
      <c r="ORX229" s="1"/>
      <c r="ORY229" s="1"/>
      <c r="ORZ229" s="1"/>
      <c r="OSA229" s="1"/>
      <c r="OSB229" s="1"/>
      <c r="OSC229" s="1"/>
      <c r="OSD229" s="1"/>
      <c r="OSE229" s="1"/>
      <c r="OSF229" s="1"/>
      <c r="OSG229" s="1"/>
      <c r="OSH229" s="1"/>
      <c r="OSI229" s="1"/>
      <c r="OSJ229" s="1"/>
      <c r="OSK229" s="1"/>
      <c r="OSL229" s="1"/>
      <c r="OSM229" s="1"/>
      <c r="OSN229" s="1"/>
      <c r="OSO229" s="1"/>
      <c r="OSP229" s="1"/>
      <c r="OSQ229" s="1"/>
      <c r="OSR229" s="1"/>
      <c r="OSS229" s="1"/>
      <c r="OST229" s="1"/>
      <c r="OSU229" s="1"/>
      <c r="OSV229" s="1"/>
      <c r="OSW229" s="1"/>
      <c r="OSX229" s="1"/>
      <c r="OSY229" s="1"/>
      <c r="OSZ229" s="1"/>
      <c r="OTA229" s="1"/>
      <c r="OTB229" s="1"/>
      <c r="OTC229" s="1"/>
      <c r="OTD229" s="1"/>
      <c r="OTE229" s="1"/>
      <c r="OTF229" s="1"/>
      <c r="OTG229" s="1"/>
      <c r="OTH229" s="1"/>
      <c r="OTI229" s="1"/>
      <c r="OTJ229" s="1"/>
      <c r="OTK229" s="1"/>
      <c r="OTL229" s="1"/>
      <c r="OTM229" s="1"/>
      <c r="OTN229" s="1"/>
      <c r="OTO229" s="1"/>
      <c r="OTP229" s="1"/>
      <c r="OTQ229" s="1"/>
      <c r="OTR229" s="1"/>
      <c r="OTS229" s="1"/>
      <c r="OTT229" s="1"/>
      <c r="OTU229" s="1"/>
      <c r="OTV229" s="1"/>
      <c r="OTW229" s="1"/>
      <c r="OTX229" s="1"/>
      <c r="OTY229" s="1"/>
      <c r="OTZ229" s="1"/>
      <c r="OUA229" s="1"/>
      <c r="OUB229" s="1"/>
      <c r="OUC229" s="1"/>
      <c r="OUD229" s="1"/>
      <c r="OUE229" s="1"/>
      <c r="OUF229" s="1"/>
      <c r="OUG229" s="1"/>
      <c r="OUH229" s="1"/>
      <c r="OUI229" s="1"/>
      <c r="OUJ229" s="1"/>
      <c r="OUK229" s="1"/>
      <c r="OUL229" s="1"/>
      <c r="OUM229" s="1"/>
      <c r="OUN229" s="1"/>
      <c r="OUO229" s="1"/>
      <c r="OUP229" s="1"/>
      <c r="OUQ229" s="1"/>
      <c r="OUR229" s="1"/>
      <c r="OUS229" s="1"/>
      <c r="OUT229" s="1"/>
      <c r="OUU229" s="1"/>
      <c r="OUV229" s="1"/>
      <c r="OUW229" s="1"/>
      <c r="OUX229" s="1"/>
      <c r="OUY229" s="1"/>
      <c r="OUZ229" s="1"/>
      <c r="OVA229" s="1"/>
      <c r="OVB229" s="1"/>
      <c r="OVC229" s="1"/>
      <c r="OVD229" s="1"/>
      <c r="OVE229" s="1"/>
      <c r="OVF229" s="1"/>
      <c r="OVG229" s="1"/>
      <c r="OVH229" s="1"/>
      <c r="OVI229" s="1"/>
      <c r="OVJ229" s="1"/>
      <c r="OVK229" s="1"/>
      <c r="OVL229" s="1"/>
      <c r="OVM229" s="1"/>
      <c r="OVN229" s="1"/>
      <c r="OVO229" s="1"/>
      <c r="OVP229" s="1"/>
      <c r="OVQ229" s="1"/>
      <c r="OVR229" s="1"/>
      <c r="OVS229" s="1"/>
      <c r="OVT229" s="1"/>
      <c r="OVU229" s="1"/>
      <c r="OVV229" s="1"/>
      <c r="OVW229" s="1"/>
      <c r="OVX229" s="1"/>
      <c r="OVY229" s="1"/>
      <c r="OVZ229" s="1"/>
      <c r="OWA229" s="1"/>
      <c r="OWB229" s="1"/>
      <c r="OWC229" s="1"/>
      <c r="OWD229" s="1"/>
      <c r="OWE229" s="1"/>
      <c r="OWF229" s="1"/>
      <c r="OWG229" s="1"/>
      <c r="OWH229" s="1"/>
      <c r="OWI229" s="1"/>
      <c r="OWJ229" s="1"/>
      <c r="OWK229" s="1"/>
      <c r="OWL229" s="1"/>
      <c r="OWM229" s="1"/>
      <c r="OWN229" s="1"/>
      <c r="OWO229" s="1"/>
      <c r="OWP229" s="1"/>
      <c r="OWQ229" s="1"/>
      <c r="OWR229" s="1"/>
      <c r="OWS229" s="1"/>
      <c r="OWT229" s="1"/>
      <c r="OWU229" s="1"/>
      <c r="OWV229" s="1"/>
      <c r="OWW229" s="1"/>
      <c r="OWX229" s="1"/>
      <c r="OWY229" s="1"/>
      <c r="OWZ229" s="1"/>
      <c r="OXA229" s="1"/>
      <c r="OXB229" s="1"/>
      <c r="OXC229" s="1"/>
      <c r="OXD229" s="1"/>
      <c r="OXE229" s="1"/>
      <c r="OXF229" s="1"/>
      <c r="OXG229" s="1"/>
      <c r="OXH229" s="1"/>
      <c r="OXI229" s="1"/>
      <c r="OXJ229" s="1"/>
      <c r="OXK229" s="1"/>
      <c r="OXL229" s="1"/>
      <c r="OXM229" s="1"/>
      <c r="OXN229" s="1"/>
      <c r="OXO229" s="1"/>
      <c r="OXP229" s="1"/>
      <c r="OXQ229" s="1"/>
      <c r="OXR229" s="1"/>
      <c r="OXS229" s="1"/>
      <c r="OXT229" s="1"/>
      <c r="OXU229" s="1"/>
      <c r="OXV229" s="1"/>
      <c r="OXW229" s="1"/>
      <c r="OXX229" s="1"/>
      <c r="OXY229" s="1"/>
      <c r="OXZ229" s="1"/>
      <c r="OYA229" s="1"/>
      <c r="OYB229" s="1"/>
      <c r="OYC229" s="1"/>
      <c r="OYD229" s="1"/>
      <c r="OYE229" s="1"/>
      <c r="OYF229" s="1"/>
      <c r="OYG229" s="1"/>
      <c r="OYH229" s="1"/>
      <c r="OYI229" s="1"/>
      <c r="OYJ229" s="1"/>
      <c r="OYK229" s="1"/>
      <c r="OYL229" s="1"/>
      <c r="OYM229" s="1"/>
      <c r="OYN229" s="1"/>
      <c r="OYO229" s="1"/>
      <c r="OYP229" s="1"/>
      <c r="OYQ229" s="1"/>
      <c r="OYR229" s="1"/>
      <c r="OYS229" s="1"/>
      <c r="OYT229" s="1"/>
      <c r="OYU229" s="1"/>
      <c r="OYV229" s="1"/>
      <c r="OYW229" s="1"/>
      <c r="OYX229" s="1"/>
      <c r="OYY229" s="1"/>
      <c r="OYZ229" s="1"/>
      <c r="OZA229" s="1"/>
      <c r="OZB229" s="1"/>
      <c r="OZC229" s="1"/>
      <c r="OZD229" s="1"/>
      <c r="OZE229" s="1"/>
      <c r="OZF229" s="1"/>
      <c r="OZG229" s="1"/>
      <c r="OZH229" s="1"/>
      <c r="OZI229" s="1"/>
      <c r="OZJ229" s="1"/>
      <c r="OZK229" s="1"/>
      <c r="OZL229" s="1"/>
      <c r="OZM229" s="1"/>
      <c r="OZN229" s="1"/>
      <c r="OZO229" s="1"/>
      <c r="OZP229" s="1"/>
      <c r="OZQ229" s="1"/>
      <c r="OZR229" s="1"/>
      <c r="OZS229" s="1"/>
      <c r="OZT229" s="1"/>
      <c r="OZU229" s="1"/>
      <c r="OZV229" s="1"/>
      <c r="OZW229" s="1"/>
      <c r="OZX229" s="1"/>
      <c r="OZY229" s="1"/>
      <c r="OZZ229" s="1"/>
      <c r="PAA229" s="1"/>
      <c r="PAB229" s="1"/>
      <c r="PAC229" s="1"/>
      <c r="PAD229" s="1"/>
      <c r="PAE229" s="1"/>
      <c r="PAF229" s="1"/>
      <c r="PAG229" s="1"/>
      <c r="PAH229" s="1"/>
      <c r="PAI229" s="1"/>
      <c r="PAJ229" s="1"/>
      <c r="PAK229" s="1"/>
      <c r="PAL229" s="1"/>
      <c r="PAM229" s="1"/>
      <c r="PAN229" s="1"/>
      <c r="PAO229" s="1"/>
      <c r="PAP229" s="1"/>
      <c r="PAQ229" s="1"/>
      <c r="PAR229" s="1"/>
      <c r="PAS229" s="1"/>
      <c r="PAT229" s="1"/>
      <c r="PAU229" s="1"/>
      <c r="PAV229" s="1"/>
      <c r="PAW229" s="1"/>
      <c r="PAX229" s="1"/>
      <c r="PAY229" s="1"/>
      <c r="PAZ229" s="1"/>
      <c r="PBA229" s="1"/>
      <c r="PBB229" s="1"/>
      <c r="PBC229" s="1"/>
      <c r="PBD229" s="1"/>
      <c r="PBE229" s="1"/>
      <c r="PBF229" s="1"/>
      <c r="PBG229" s="1"/>
      <c r="PBH229" s="1"/>
      <c r="PBI229" s="1"/>
      <c r="PBJ229" s="1"/>
      <c r="PBK229" s="1"/>
      <c r="PBL229" s="1"/>
      <c r="PBM229" s="1"/>
      <c r="PBN229" s="1"/>
      <c r="PBO229" s="1"/>
      <c r="PBP229" s="1"/>
      <c r="PBQ229" s="1"/>
      <c r="PBR229" s="1"/>
      <c r="PBS229" s="1"/>
      <c r="PBT229" s="1"/>
      <c r="PBU229" s="1"/>
      <c r="PBV229" s="1"/>
      <c r="PBW229" s="1"/>
      <c r="PBX229" s="1"/>
      <c r="PBY229" s="1"/>
      <c r="PBZ229" s="1"/>
      <c r="PCA229" s="1"/>
      <c r="PCB229" s="1"/>
      <c r="PCC229" s="1"/>
      <c r="PCD229" s="1"/>
      <c r="PCE229" s="1"/>
      <c r="PCF229" s="1"/>
      <c r="PCG229" s="1"/>
      <c r="PCH229" s="1"/>
      <c r="PCI229" s="1"/>
      <c r="PCJ229" s="1"/>
      <c r="PCK229" s="1"/>
      <c r="PCL229" s="1"/>
      <c r="PCM229" s="1"/>
      <c r="PCN229" s="1"/>
      <c r="PCO229" s="1"/>
      <c r="PCP229" s="1"/>
      <c r="PCQ229" s="1"/>
      <c r="PCR229" s="1"/>
      <c r="PCS229" s="1"/>
      <c r="PCT229" s="1"/>
      <c r="PCU229" s="1"/>
      <c r="PCV229" s="1"/>
      <c r="PCW229" s="1"/>
      <c r="PCX229" s="1"/>
      <c r="PCY229" s="1"/>
      <c r="PCZ229" s="1"/>
      <c r="PDA229" s="1"/>
      <c r="PDB229" s="1"/>
      <c r="PDC229" s="1"/>
      <c r="PDD229" s="1"/>
      <c r="PDE229" s="1"/>
      <c r="PDF229" s="1"/>
      <c r="PDG229" s="1"/>
      <c r="PDH229" s="1"/>
      <c r="PDI229" s="1"/>
      <c r="PDJ229" s="1"/>
      <c r="PDK229" s="1"/>
      <c r="PDL229" s="1"/>
      <c r="PDM229" s="1"/>
      <c r="PDN229" s="1"/>
      <c r="PDO229" s="1"/>
      <c r="PDP229" s="1"/>
      <c r="PDQ229" s="1"/>
      <c r="PDR229" s="1"/>
      <c r="PDS229" s="1"/>
      <c r="PDT229" s="1"/>
      <c r="PDU229" s="1"/>
      <c r="PDV229" s="1"/>
      <c r="PDW229" s="1"/>
      <c r="PDX229" s="1"/>
      <c r="PDY229" s="1"/>
      <c r="PDZ229" s="1"/>
      <c r="PEA229" s="1"/>
      <c r="PEB229" s="1"/>
      <c r="PEC229" s="1"/>
      <c r="PED229" s="1"/>
      <c r="PEE229" s="1"/>
      <c r="PEF229" s="1"/>
      <c r="PEG229" s="1"/>
      <c r="PEH229" s="1"/>
      <c r="PEI229" s="1"/>
      <c r="PEJ229" s="1"/>
      <c r="PEK229" s="1"/>
      <c r="PEL229" s="1"/>
      <c r="PEM229" s="1"/>
      <c r="PEN229" s="1"/>
      <c r="PEO229" s="1"/>
      <c r="PEP229" s="1"/>
      <c r="PEQ229" s="1"/>
      <c r="PER229" s="1"/>
      <c r="PES229" s="1"/>
      <c r="PET229" s="1"/>
      <c r="PEU229" s="1"/>
      <c r="PEV229" s="1"/>
      <c r="PEW229" s="1"/>
      <c r="PEX229" s="1"/>
      <c r="PEY229" s="1"/>
      <c r="PEZ229" s="1"/>
      <c r="PFA229" s="1"/>
      <c r="PFB229" s="1"/>
      <c r="PFC229" s="1"/>
      <c r="PFD229" s="1"/>
      <c r="PFE229" s="1"/>
      <c r="PFF229" s="1"/>
      <c r="PFG229" s="1"/>
      <c r="PFH229" s="1"/>
      <c r="PFI229" s="1"/>
      <c r="PFJ229" s="1"/>
      <c r="PFK229" s="1"/>
      <c r="PFL229" s="1"/>
      <c r="PFM229" s="1"/>
      <c r="PFN229" s="1"/>
      <c r="PFO229" s="1"/>
      <c r="PFP229" s="1"/>
      <c r="PFQ229" s="1"/>
      <c r="PFR229" s="1"/>
      <c r="PFS229" s="1"/>
      <c r="PFT229" s="1"/>
      <c r="PFU229" s="1"/>
      <c r="PFV229" s="1"/>
      <c r="PFW229" s="1"/>
      <c r="PFX229" s="1"/>
      <c r="PFY229" s="1"/>
      <c r="PFZ229" s="1"/>
      <c r="PGA229" s="1"/>
      <c r="PGB229" s="1"/>
      <c r="PGC229" s="1"/>
      <c r="PGD229" s="1"/>
      <c r="PGE229" s="1"/>
      <c r="PGF229" s="1"/>
      <c r="PGG229" s="1"/>
      <c r="PGH229" s="1"/>
      <c r="PGI229" s="1"/>
      <c r="PGJ229" s="1"/>
      <c r="PGK229" s="1"/>
      <c r="PGL229" s="1"/>
      <c r="PGM229" s="1"/>
      <c r="PGN229" s="1"/>
      <c r="PGO229" s="1"/>
      <c r="PGP229" s="1"/>
      <c r="PGQ229" s="1"/>
      <c r="PGR229" s="1"/>
      <c r="PGS229" s="1"/>
      <c r="PGT229" s="1"/>
      <c r="PGU229" s="1"/>
      <c r="PGV229" s="1"/>
      <c r="PGW229" s="1"/>
      <c r="PGX229" s="1"/>
      <c r="PGY229" s="1"/>
      <c r="PGZ229" s="1"/>
      <c r="PHA229" s="1"/>
      <c r="PHB229" s="1"/>
      <c r="PHC229" s="1"/>
      <c r="PHD229" s="1"/>
      <c r="PHE229" s="1"/>
      <c r="PHF229" s="1"/>
      <c r="PHG229" s="1"/>
      <c r="PHH229" s="1"/>
      <c r="PHI229" s="1"/>
      <c r="PHJ229" s="1"/>
      <c r="PHK229" s="1"/>
      <c r="PHL229" s="1"/>
      <c r="PHM229" s="1"/>
      <c r="PHN229" s="1"/>
      <c r="PHO229" s="1"/>
      <c r="PHP229" s="1"/>
      <c r="PHQ229" s="1"/>
      <c r="PHR229" s="1"/>
      <c r="PHS229" s="1"/>
      <c r="PHT229" s="1"/>
      <c r="PHU229" s="1"/>
      <c r="PHV229" s="1"/>
      <c r="PHW229" s="1"/>
      <c r="PHX229" s="1"/>
      <c r="PHY229" s="1"/>
      <c r="PHZ229" s="1"/>
      <c r="PIA229" s="1"/>
      <c r="PIB229" s="1"/>
      <c r="PIC229" s="1"/>
      <c r="PID229" s="1"/>
      <c r="PIE229" s="1"/>
      <c r="PIF229" s="1"/>
      <c r="PIG229" s="1"/>
      <c r="PIH229" s="1"/>
      <c r="PII229" s="1"/>
      <c r="PIJ229" s="1"/>
      <c r="PIK229" s="1"/>
      <c r="PIL229" s="1"/>
      <c r="PIM229" s="1"/>
      <c r="PIN229" s="1"/>
      <c r="PIO229" s="1"/>
      <c r="PIP229" s="1"/>
      <c r="PIQ229" s="1"/>
      <c r="PIR229" s="1"/>
      <c r="PIS229" s="1"/>
      <c r="PIT229" s="1"/>
      <c r="PIU229" s="1"/>
      <c r="PIV229" s="1"/>
      <c r="PIW229" s="1"/>
      <c r="PIX229" s="1"/>
      <c r="PIY229" s="1"/>
      <c r="PIZ229" s="1"/>
      <c r="PJA229" s="1"/>
      <c r="PJB229" s="1"/>
      <c r="PJC229" s="1"/>
      <c r="PJD229" s="1"/>
      <c r="PJE229" s="1"/>
      <c r="PJF229" s="1"/>
      <c r="PJG229" s="1"/>
      <c r="PJH229" s="1"/>
      <c r="PJI229" s="1"/>
      <c r="PJJ229" s="1"/>
      <c r="PJK229" s="1"/>
      <c r="PJL229" s="1"/>
      <c r="PJM229" s="1"/>
      <c r="PJN229" s="1"/>
      <c r="PJO229" s="1"/>
      <c r="PJP229" s="1"/>
      <c r="PJQ229" s="1"/>
      <c r="PJR229" s="1"/>
      <c r="PJS229" s="1"/>
      <c r="PJT229" s="1"/>
      <c r="PJU229" s="1"/>
      <c r="PJV229" s="1"/>
      <c r="PJW229" s="1"/>
      <c r="PJX229" s="1"/>
      <c r="PJY229" s="1"/>
      <c r="PJZ229" s="1"/>
      <c r="PKA229" s="1"/>
      <c r="PKB229" s="1"/>
      <c r="PKC229" s="1"/>
      <c r="PKD229" s="1"/>
      <c r="PKE229" s="1"/>
      <c r="PKF229" s="1"/>
      <c r="PKG229" s="1"/>
      <c r="PKH229" s="1"/>
      <c r="PKI229" s="1"/>
      <c r="PKJ229" s="1"/>
      <c r="PKK229" s="1"/>
      <c r="PKL229" s="1"/>
      <c r="PKM229" s="1"/>
      <c r="PKN229" s="1"/>
      <c r="PKO229" s="1"/>
      <c r="PKP229" s="1"/>
      <c r="PKQ229" s="1"/>
      <c r="PKR229" s="1"/>
      <c r="PKS229" s="1"/>
      <c r="PKT229" s="1"/>
      <c r="PKU229" s="1"/>
      <c r="PKV229" s="1"/>
      <c r="PKW229" s="1"/>
      <c r="PKX229" s="1"/>
      <c r="PKY229" s="1"/>
      <c r="PKZ229" s="1"/>
      <c r="PLA229" s="1"/>
      <c r="PLB229" s="1"/>
      <c r="PLC229" s="1"/>
      <c r="PLD229" s="1"/>
      <c r="PLE229" s="1"/>
      <c r="PLF229" s="1"/>
      <c r="PLG229" s="1"/>
      <c r="PLH229" s="1"/>
      <c r="PLI229" s="1"/>
      <c r="PLJ229" s="1"/>
      <c r="PLK229" s="1"/>
      <c r="PLL229" s="1"/>
      <c r="PLM229" s="1"/>
      <c r="PLN229" s="1"/>
      <c r="PLO229" s="1"/>
      <c r="PLP229" s="1"/>
      <c r="PLQ229" s="1"/>
      <c r="PLR229" s="1"/>
      <c r="PLS229" s="1"/>
      <c r="PLT229" s="1"/>
      <c r="PLU229" s="1"/>
      <c r="PLV229" s="1"/>
      <c r="PLW229" s="1"/>
      <c r="PLX229" s="1"/>
      <c r="PLY229" s="1"/>
      <c r="PLZ229" s="1"/>
      <c r="PMA229" s="1"/>
      <c r="PMB229" s="1"/>
      <c r="PMC229" s="1"/>
      <c r="PMD229" s="1"/>
      <c r="PME229" s="1"/>
      <c r="PMF229" s="1"/>
      <c r="PMG229" s="1"/>
      <c r="PMH229" s="1"/>
      <c r="PMI229" s="1"/>
      <c r="PMJ229" s="1"/>
      <c r="PMK229" s="1"/>
      <c r="PML229" s="1"/>
      <c r="PMM229" s="1"/>
      <c r="PMN229" s="1"/>
      <c r="PMO229" s="1"/>
      <c r="PMP229" s="1"/>
      <c r="PMQ229" s="1"/>
      <c r="PMR229" s="1"/>
      <c r="PMS229" s="1"/>
      <c r="PMT229" s="1"/>
      <c r="PMU229" s="1"/>
      <c r="PMV229" s="1"/>
      <c r="PMW229" s="1"/>
      <c r="PMX229" s="1"/>
      <c r="PMY229" s="1"/>
      <c r="PMZ229" s="1"/>
      <c r="PNA229" s="1"/>
      <c r="PNB229" s="1"/>
      <c r="PNC229" s="1"/>
      <c r="PND229" s="1"/>
      <c r="PNE229" s="1"/>
      <c r="PNF229" s="1"/>
      <c r="PNG229" s="1"/>
      <c r="PNH229" s="1"/>
      <c r="PNI229" s="1"/>
      <c r="PNJ229" s="1"/>
      <c r="PNK229" s="1"/>
      <c r="PNL229" s="1"/>
      <c r="PNM229" s="1"/>
      <c r="PNN229" s="1"/>
      <c r="PNO229" s="1"/>
      <c r="PNP229" s="1"/>
      <c r="PNQ229" s="1"/>
      <c r="PNR229" s="1"/>
      <c r="PNS229" s="1"/>
      <c r="PNT229" s="1"/>
      <c r="PNU229" s="1"/>
      <c r="PNV229" s="1"/>
      <c r="PNW229" s="1"/>
      <c r="PNX229" s="1"/>
      <c r="PNY229" s="1"/>
      <c r="PNZ229" s="1"/>
      <c r="POA229" s="1"/>
      <c r="POB229" s="1"/>
      <c r="POC229" s="1"/>
      <c r="POD229" s="1"/>
      <c r="POE229" s="1"/>
      <c r="POF229" s="1"/>
      <c r="POG229" s="1"/>
      <c r="POH229" s="1"/>
      <c r="POI229" s="1"/>
      <c r="POJ229" s="1"/>
      <c r="POK229" s="1"/>
      <c r="POL229" s="1"/>
      <c r="POM229" s="1"/>
      <c r="PON229" s="1"/>
      <c r="POO229" s="1"/>
      <c r="POP229" s="1"/>
      <c r="POQ229" s="1"/>
      <c r="POR229" s="1"/>
      <c r="POS229" s="1"/>
      <c r="POT229" s="1"/>
      <c r="POU229" s="1"/>
      <c r="POV229" s="1"/>
      <c r="POW229" s="1"/>
      <c r="POX229" s="1"/>
      <c r="POY229" s="1"/>
      <c r="POZ229" s="1"/>
      <c r="PPA229" s="1"/>
      <c r="PPB229" s="1"/>
      <c r="PPC229" s="1"/>
      <c r="PPD229" s="1"/>
      <c r="PPE229" s="1"/>
      <c r="PPF229" s="1"/>
      <c r="PPG229" s="1"/>
      <c r="PPH229" s="1"/>
      <c r="PPI229" s="1"/>
      <c r="PPJ229" s="1"/>
      <c r="PPK229" s="1"/>
      <c r="PPL229" s="1"/>
      <c r="PPM229" s="1"/>
      <c r="PPN229" s="1"/>
      <c r="PPO229" s="1"/>
      <c r="PPP229" s="1"/>
      <c r="PPQ229" s="1"/>
      <c r="PPR229" s="1"/>
      <c r="PPS229" s="1"/>
      <c r="PPT229" s="1"/>
      <c r="PPU229" s="1"/>
      <c r="PPV229" s="1"/>
      <c r="PPW229" s="1"/>
      <c r="PPX229" s="1"/>
      <c r="PPY229" s="1"/>
      <c r="PPZ229" s="1"/>
      <c r="PQA229" s="1"/>
      <c r="PQB229" s="1"/>
      <c r="PQC229" s="1"/>
      <c r="PQD229" s="1"/>
      <c r="PQE229" s="1"/>
      <c r="PQF229" s="1"/>
      <c r="PQG229" s="1"/>
      <c r="PQH229" s="1"/>
      <c r="PQI229" s="1"/>
      <c r="PQJ229" s="1"/>
      <c r="PQK229" s="1"/>
      <c r="PQL229" s="1"/>
      <c r="PQM229" s="1"/>
      <c r="PQN229" s="1"/>
      <c r="PQO229" s="1"/>
      <c r="PQP229" s="1"/>
      <c r="PQQ229" s="1"/>
      <c r="PQR229" s="1"/>
      <c r="PQS229" s="1"/>
      <c r="PQT229" s="1"/>
      <c r="PQU229" s="1"/>
      <c r="PQV229" s="1"/>
      <c r="PQW229" s="1"/>
      <c r="PQX229" s="1"/>
      <c r="PQY229" s="1"/>
      <c r="PQZ229" s="1"/>
      <c r="PRA229" s="1"/>
      <c r="PRB229" s="1"/>
      <c r="PRC229" s="1"/>
      <c r="PRD229" s="1"/>
      <c r="PRE229" s="1"/>
      <c r="PRF229" s="1"/>
      <c r="PRG229" s="1"/>
      <c r="PRH229" s="1"/>
      <c r="PRI229" s="1"/>
      <c r="PRJ229" s="1"/>
      <c r="PRK229" s="1"/>
      <c r="PRL229" s="1"/>
      <c r="PRM229" s="1"/>
      <c r="PRN229" s="1"/>
      <c r="PRO229" s="1"/>
      <c r="PRP229" s="1"/>
      <c r="PRQ229" s="1"/>
      <c r="PRR229" s="1"/>
      <c r="PRS229" s="1"/>
      <c r="PRT229" s="1"/>
      <c r="PRU229" s="1"/>
      <c r="PRV229" s="1"/>
      <c r="PRW229" s="1"/>
      <c r="PRX229" s="1"/>
      <c r="PRY229" s="1"/>
      <c r="PRZ229" s="1"/>
      <c r="PSA229" s="1"/>
      <c r="PSB229" s="1"/>
      <c r="PSC229" s="1"/>
      <c r="PSD229" s="1"/>
      <c r="PSE229" s="1"/>
      <c r="PSF229" s="1"/>
      <c r="PSG229" s="1"/>
      <c r="PSH229" s="1"/>
      <c r="PSI229" s="1"/>
      <c r="PSJ229" s="1"/>
      <c r="PSK229" s="1"/>
      <c r="PSL229" s="1"/>
      <c r="PSM229" s="1"/>
      <c r="PSN229" s="1"/>
      <c r="PSO229" s="1"/>
      <c r="PSP229" s="1"/>
      <c r="PSQ229" s="1"/>
      <c r="PSR229" s="1"/>
      <c r="PSS229" s="1"/>
      <c r="PST229" s="1"/>
      <c r="PSU229" s="1"/>
      <c r="PSV229" s="1"/>
      <c r="PSW229" s="1"/>
      <c r="PSX229" s="1"/>
      <c r="PSY229" s="1"/>
      <c r="PSZ229" s="1"/>
      <c r="PTA229" s="1"/>
      <c r="PTB229" s="1"/>
      <c r="PTC229" s="1"/>
      <c r="PTD229" s="1"/>
      <c r="PTE229" s="1"/>
      <c r="PTF229" s="1"/>
      <c r="PTG229" s="1"/>
      <c r="PTH229" s="1"/>
      <c r="PTI229" s="1"/>
      <c r="PTJ229" s="1"/>
      <c r="PTK229" s="1"/>
      <c r="PTL229" s="1"/>
      <c r="PTM229" s="1"/>
      <c r="PTN229" s="1"/>
      <c r="PTO229" s="1"/>
      <c r="PTP229" s="1"/>
      <c r="PTQ229" s="1"/>
      <c r="PTR229" s="1"/>
      <c r="PTS229" s="1"/>
      <c r="PTT229" s="1"/>
      <c r="PTU229" s="1"/>
      <c r="PTV229" s="1"/>
      <c r="PTW229" s="1"/>
      <c r="PTX229" s="1"/>
      <c r="PTY229" s="1"/>
      <c r="PTZ229" s="1"/>
      <c r="PUA229" s="1"/>
      <c r="PUB229" s="1"/>
      <c r="PUC229" s="1"/>
      <c r="PUD229" s="1"/>
      <c r="PUE229" s="1"/>
      <c r="PUF229" s="1"/>
      <c r="PUG229" s="1"/>
      <c r="PUH229" s="1"/>
      <c r="PUI229" s="1"/>
      <c r="PUJ229" s="1"/>
      <c r="PUK229" s="1"/>
      <c r="PUL229" s="1"/>
      <c r="PUM229" s="1"/>
      <c r="PUN229" s="1"/>
      <c r="PUO229" s="1"/>
      <c r="PUP229" s="1"/>
      <c r="PUQ229" s="1"/>
      <c r="PUR229" s="1"/>
      <c r="PUS229" s="1"/>
      <c r="PUT229" s="1"/>
      <c r="PUU229" s="1"/>
      <c r="PUV229" s="1"/>
      <c r="PUW229" s="1"/>
      <c r="PUX229" s="1"/>
      <c r="PUY229" s="1"/>
      <c r="PUZ229" s="1"/>
      <c r="PVA229" s="1"/>
      <c r="PVB229" s="1"/>
      <c r="PVC229" s="1"/>
      <c r="PVD229" s="1"/>
      <c r="PVE229" s="1"/>
      <c r="PVF229" s="1"/>
      <c r="PVG229" s="1"/>
      <c r="PVH229" s="1"/>
      <c r="PVI229" s="1"/>
      <c r="PVJ229" s="1"/>
      <c r="PVK229" s="1"/>
      <c r="PVL229" s="1"/>
      <c r="PVM229" s="1"/>
      <c r="PVN229" s="1"/>
      <c r="PVO229" s="1"/>
      <c r="PVP229" s="1"/>
      <c r="PVQ229" s="1"/>
      <c r="PVR229" s="1"/>
      <c r="PVS229" s="1"/>
      <c r="PVT229" s="1"/>
      <c r="PVU229" s="1"/>
      <c r="PVV229" s="1"/>
      <c r="PVW229" s="1"/>
      <c r="PVX229" s="1"/>
      <c r="PVY229" s="1"/>
      <c r="PVZ229" s="1"/>
      <c r="PWA229" s="1"/>
      <c r="PWB229" s="1"/>
      <c r="PWC229" s="1"/>
      <c r="PWD229" s="1"/>
      <c r="PWE229" s="1"/>
      <c r="PWF229" s="1"/>
      <c r="PWG229" s="1"/>
      <c r="PWH229" s="1"/>
      <c r="PWI229" s="1"/>
      <c r="PWJ229" s="1"/>
      <c r="PWK229" s="1"/>
      <c r="PWL229" s="1"/>
      <c r="PWM229" s="1"/>
      <c r="PWN229" s="1"/>
      <c r="PWO229" s="1"/>
      <c r="PWP229" s="1"/>
      <c r="PWQ229" s="1"/>
      <c r="PWR229" s="1"/>
      <c r="PWS229" s="1"/>
      <c r="PWT229" s="1"/>
      <c r="PWU229" s="1"/>
      <c r="PWV229" s="1"/>
      <c r="PWW229" s="1"/>
      <c r="PWX229" s="1"/>
      <c r="PWY229" s="1"/>
      <c r="PWZ229" s="1"/>
      <c r="PXA229" s="1"/>
      <c r="PXB229" s="1"/>
      <c r="PXC229" s="1"/>
      <c r="PXD229" s="1"/>
      <c r="PXE229" s="1"/>
      <c r="PXF229" s="1"/>
      <c r="PXG229" s="1"/>
      <c r="PXH229" s="1"/>
      <c r="PXI229" s="1"/>
      <c r="PXJ229" s="1"/>
      <c r="PXK229" s="1"/>
      <c r="PXL229" s="1"/>
      <c r="PXM229" s="1"/>
      <c r="PXN229" s="1"/>
      <c r="PXO229" s="1"/>
      <c r="PXP229" s="1"/>
      <c r="PXQ229" s="1"/>
      <c r="PXR229" s="1"/>
      <c r="PXS229" s="1"/>
      <c r="PXT229" s="1"/>
      <c r="PXU229" s="1"/>
      <c r="PXV229" s="1"/>
      <c r="PXW229" s="1"/>
      <c r="PXX229" s="1"/>
      <c r="PXY229" s="1"/>
      <c r="PXZ229" s="1"/>
      <c r="PYA229" s="1"/>
      <c r="PYB229" s="1"/>
      <c r="PYC229" s="1"/>
      <c r="PYD229" s="1"/>
      <c r="PYE229" s="1"/>
      <c r="PYF229" s="1"/>
      <c r="PYG229" s="1"/>
      <c r="PYH229" s="1"/>
      <c r="PYI229" s="1"/>
      <c r="PYJ229" s="1"/>
      <c r="PYK229" s="1"/>
      <c r="PYL229" s="1"/>
      <c r="PYM229" s="1"/>
      <c r="PYN229" s="1"/>
      <c r="PYO229" s="1"/>
      <c r="PYP229" s="1"/>
      <c r="PYQ229" s="1"/>
      <c r="PYR229" s="1"/>
      <c r="PYS229" s="1"/>
      <c r="PYT229" s="1"/>
      <c r="PYU229" s="1"/>
      <c r="PYV229" s="1"/>
      <c r="PYW229" s="1"/>
      <c r="PYX229" s="1"/>
      <c r="PYY229" s="1"/>
      <c r="PYZ229" s="1"/>
      <c r="PZA229" s="1"/>
      <c r="PZB229" s="1"/>
      <c r="PZC229" s="1"/>
      <c r="PZD229" s="1"/>
      <c r="PZE229" s="1"/>
      <c r="PZF229" s="1"/>
      <c r="PZG229" s="1"/>
      <c r="PZH229" s="1"/>
      <c r="PZI229" s="1"/>
      <c r="PZJ229" s="1"/>
      <c r="PZK229" s="1"/>
      <c r="PZL229" s="1"/>
      <c r="PZM229" s="1"/>
      <c r="PZN229" s="1"/>
      <c r="PZO229" s="1"/>
      <c r="PZP229" s="1"/>
      <c r="PZQ229" s="1"/>
      <c r="PZR229" s="1"/>
      <c r="PZS229" s="1"/>
      <c r="PZT229" s="1"/>
      <c r="PZU229" s="1"/>
      <c r="PZV229" s="1"/>
      <c r="PZW229" s="1"/>
      <c r="PZX229" s="1"/>
      <c r="PZY229" s="1"/>
      <c r="PZZ229" s="1"/>
      <c r="QAA229" s="1"/>
      <c r="QAB229" s="1"/>
      <c r="QAC229" s="1"/>
      <c r="QAD229" s="1"/>
      <c r="QAE229" s="1"/>
      <c r="QAF229" s="1"/>
      <c r="QAG229" s="1"/>
      <c r="QAH229" s="1"/>
      <c r="QAI229" s="1"/>
      <c r="QAJ229" s="1"/>
      <c r="QAK229" s="1"/>
      <c r="QAL229" s="1"/>
      <c r="QAM229" s="1"/>
      <c r="QAN229" s="1"/>
      <c r="QAO229" s="1"/>
      <c r="QAP229" s="1"/>
      <c r="QAQ229" s="1"/>
      <c r="QAR229" s="1"/>
      <c r="QAS229" s="1"/>
      <c r="QAT229" s="1"/>
      <c r="QAU229" s="1"/>
      <c r="QAV229" s="1"/>
      <c r="QAW229" s="1"/>
      <c r="QAX229" s="1"/>
      <c r="QAY229" s="1"/>
      <c r="QAZ229" s="1"/>
      <c r="QBA229" s="1"/>
      <c r="QBB229" s="1"/>
      <c r="QBC229" s="1"/>
      <c r="QBD229" s="1"/>
      <c r="QBE229" s="1"/>
      <c r="QBF229" s="1"/>
      <c r="QBG229" s="1"/>
      <c r="QBH229" s="1"/>
      <c r="QBI229" s="1"/>
      <c r="QBJ229" s="1"/>
      <c r="QBK229" s="1"/>
      <c r="QBL229" s="1"/>
      <c r="QBM229" s="1"/>
      <c r="QBN229" s="1"/>
      <c r="QBO229" s="1"/>
      <c r="QBP229" s="1"/>
      <c r="QBQ229" s="1"/>
      <c r="QBR229" s="1"/>
      <c r="QBS229" s="1"/>
      <c r="QBT229" s="1"/>
      <c r="QBU229" s="1"/>
      <c r="QBV229" s="1"/>
      <c r="QBW229" s="1"/>
      <c r="QBX229" s="1"/>
      <c r="QBY229" s="1"/>
      <c r="QBZ229" s="1"/>
      <c r="QCA229" s="1"/>
      <c r="QCB229" s="1"/>
      <c r="QCC229" s="1"/>
      <c r="QCD229" s="1"/>
      <c r="QCE229" s="1"/>
      <c r="QCF229" s="1"/>
      <c r="QCG229" s="1"/>
      <c r="QCH229" s="1"/>
      <c r="QCI229" s="1"/>
      <c r="QCJ229" s="1"/>
      <c r="QCK229" s="1"/>
      <c r="QCL229" s="1"/>
      <c r="QCM229" s="1"/>
      <c r="QCN229" s="1"/>
      <c r="QCO229" s="1"/>
      <c r="QCP229" s="1"/>
      <c r="QCQ229" s="1"/>
      <c r="QCR229" s="1"/>
      <c r="QCS229" s="1"/>
      <c r="QCT229" s="1"/>
      <c r="QCU229" s="1"/>
      <c r="QCV229" s="1"/>
      <c r="QCW229" s="1"/>
      <c r="QCX229" s="1"/>
      <c r="QCY229" s="1"/>
      <c r="QCZ229" s="1"/>
      <c r="QDA229" s="1"/>
      <c r="QDB229" s="1"/>
      <c r="QDC229" s="1"/>
      <c r="QDD229" s="1"/>
      <c r="QDE229" s="1"/>
      <c r="QDF229" s="1"/>
      <c r="QDG229" s="1"/>
      <c r="QDH229" s="1"/>
      <c r="QDI229" s="1"/>
      <c r="QDJ229" s="1"/>
      <c r="QDK229" s="1"/>
      <c r="QDL229" s="1"/>
      <c r="QDM229" s="1"/>
      <c r="QDN229" s="1"/>
      <c r="QDO229" s="1"/>
      <c r="QDP229" s="1"/>
      <c r="QDQ229" s="1"/>
      <c r="QDR229" s="1"/>
      <c r="QDS229" s="1"/>
      <c r="QDT229" s="1"/>
      <c r="QDU229" s="1"/>
      <c r="QDV229" s="1"/>
      <c r="QDW229" s="1"/>
      <c r="QDX229" s="1"/>
      <c r="QDY229" s="1"/>
      <c r="QDZ229" s="1"/>
      <c r="QEA229" s="1"/>
      <c r="QEB229" s="1"/>
      <c r="QEC229" s="1"/>
      <c r="QED229" s="1"/>
      <c r="QEE229" s="1"/>
      <c r="QEF229" s="1"/>
      <c r="QEG229" s="1"/>
      <c r="QEH229" s="1"/>
      <c r="QEI229" s="1"/>
      <c r="QEJ229" s="1"/>
      <c r="QEK229" s="1"/>
      <c r="QEL229" s="1"/>
      <c r="QEM229" s="1"/>
      <c r="QEN229" s="1"/>
      <c r="QEO229" s="1"/>
      <c r="QEP229" s="1"/>
      <c r="QEQ229" s="1"/>
      <c r="QER229" s="1"/>
      <c r="QES229" s="1"/>
      <c r="QET229" s="1"/>
      <c r="QEU229" s="1"/>
      <c r="QEV229" s="1"/>
      <c r="QEW229" s="1"/>
      <c r="QEX229" s="1"/>
      <c r="QEY229" s="1"/>
      <c r="QEZ229" s="1"/>
      <c r="QFA229" s="1"/>
      <c r="QFB229" s="1"/>
      <c r="QFC229" s="1"/>
      <c r="QFD229" s="1"/>
      <c r="QFE229" s="1"/>
      <c r="QFF229" s="1"/>
      <c r="QFG229" s="1"/>
      <c r="QFH229" s="1"/>
      <c r="QFI229" s="1"/>
      <c r="QFJ229" s="1"/>
      <c r="QFK229" s="1"/>
      <c r="QFL229" s="1"/>
      <c r="QFM229" s="1"/>
      <c r="QFN229" s="1"/>
      <c r="QFO229" s="1"/>
      <c r="QFP229" s="1"/>
      <c r="QFQ229" s="1"/>
      <c r="QFR229" s="1"/>
      <c r="QFS229" s="1"/>
      <c r="QFT229" s="1"/>
      <c r="QFU229" s="1"/>
      <c r="QFV229" s="1"/>
      <c r="QFW229" s="1"/>
      <c r="QFX229" s="1"/>
      <c r="QFY229" s="1"/>
      <c r="QFZ229" s="1"/>
      <c r="QGA229" s="1"/>
      <c r="QGB229" s="1"/>
      <c r="QGC229" s="1"/>
      <c r="QGD229" s="1"/>
      <c r="QGE229" s="1"/>
      <c r="QGF229" s="1"/>
      <c r="QGG229" s="1"/>
      <c r="QGH229" s="1"/>
      <c r="QGI229" s="1"/>
      <c r="QGJ229" s="1"/>
      <c r="QGK229" s="1"/>
      <c r="QGL229" s="1"/>
      <c r="QGM229" s="1"/>
      <c r="QGN229" s="1"/>
      <c r="QGO229" s="1"/>
      <c r="QGP229" s="1"/>
      <c r="QGQ229" s="1"/>
      <c r="QGR229" s="1"/>
      <c r="QGS229" s="1"/>
      <c r="QGT229" s="1"/>
      <c r="QGU229" s="1"/>
      <c r="QGV229" s="1"/>
      <c r="QGW229" s="1"/>
      <c r="QGX229" s="1"/>
      <c r="QGY229" s="1"/>
      <c r="QGZ229" s="1"/>
      <c r="QHA229" s="1"/>
      <c r="QHB229" s="1"/>
      <c r="QHC229" s="1"/>
      <c r="QHD229" s="1"/>
      <c r="QHE229" s="1"/>
      <c r="QHF229" s="1"/>
      <c r="QHG229" s="1"/>
      <c r="QHH229" s="1"/>
      <c r="QHI229" s="1"/>
      <c r="QHJ229" s="1"/>
      <c r="QHK229" s="1"/>
      <c r="QHL229" s="1"/>
      <c r="QHM229" s="1"/>
      <c r="QHN229" s="1"/>
      <c r="QHO229" s="1"/>
      <c r="QHP229" s="1"/>
      <c r="QHQ229" s="1"/>
      <c r="QHR229" s="1"/>
      <c r="QHS229" s="1"/>
      <c r="QHT229" s="1"/>
      <c r="QHU229" s="1"/>
      <c r="QHV229" s="1"/>
      <c r="QHW229" s="1"/>
      <c r="QHX229" s="1"/>
      <c r="QHY229" s="1"/>
      <c r="QHZ229" s="1"/>
      <c r="QIA229" s="1"/>
      <c r="QIB229" s="1"/>
      <c r="QIC229" s="1"/>
      <c r="QID229" s="1"/>
      <c r="QIE229" s="1"/>
      <c r="QIF229" s="1"/>
      <c r="QIG229" s="1"/>
      <c r="QIH229" s="1"/>
      <c r="QII229" s="1"/>
      <c r="QIJ229" s="1"/>
      <c r="QIK229" s="1"/>
      <c r="QIL229" s="1"/>
      <c r="QIM229" s="1"/>
      <c r="QIN229" s="1"/>
      <c r="QIO229" s="1"/>
      <c r="QIP229" s="1"/>
      <c r="QIQ229" s="1"/>
      <c r="QIR229" s="1"/>
      <c r="QIS229" s="1"/>
      <c r="QIT229" s="1"/>
      <c r="QIU229" s="1"/>
      <c r="QIV229" s="1"/>
      <c r="QIW229" s="1"/>
      <c r="QIX229" s="1"/>
      <c r="QIY229" s="1"/>
      <c r="QIZ229" s="1"/>
      <c r="QJA229" s="1"/>
      <c r="QJB229" s="1"/>
      <c r="QJC229" s="1"/>
      <c r="QJD229" s="1"/>
      <c r="QJE229" s="1"/>
      <c r="QJF229" s="1"/>
      <c r="QJG229" s="1"/>
      <c r="QJH229" s="1"/>
      <c r="QJI229" s="1"/>
      <c r="QJJ229" s="1"/>
      <c r="QJK229" s="1"/>
      <c r="QJL229" s="1"/>
      <c r="QJM229" s="1"/>
      <c r="QJN229" s="1"/>
      <c r="QJO229" s="1"/>
      <c r="QJP229" s="1"/>
      <c r="QJQ229" s="1"/>
      <c r="QJR229" s="1"/>
      <c r="QJS229" s="1"/>
      <c r="QJT229" s="1"/>
      <c r="QJU229" s="1"/>
      <c r="QJV229" s="1"/>
      <c r="QJW229" s="1"/>
      <c r="QJX229" s="1"/>
      <c r="QJY229" s="1"/>
      <c r="QJZ229" s="1"/>
      <c r="QKA229" s="1"/>
      <c r="QKB229" s="1"/>
      <c r="QKC229" s="1"/>
      <c r="QKD229" s="1"/>
      <c r="QKE229" s="1"/>
      <c r="QKF229" s="1"/>
      <c r="QKG229" s="1"/>
      <c r="QKH229" s="1"/>
      <c r="QKI229" s="1"/>
      <c r="QKJ229" s="1"/>
      <c r="QKK229" s="1"/>
      <c r="QKL229" s="1"/>
      <c r="QKM229" s="1"/>
      <c r="QKN229" s="1"/>
      <c r="QKO229" s="1"/>
      <c r="QKP229" s="1"/>
      <c r="QKQ229" s="1"/>
      <c r="QKR229" s="1"/>
      <c r="QKS229" s="1"/>
      <c r="QKT229" s="1"/>
      <c r="QKU229" s="1"/>
      <c r="QKV229" s="1"/>
      <c r="QKW229" s="1"/>
      <c r="QKX229" s="1"/>
      <c r="QKY229" s="1"/>
      <c r="QKZ229" s="1"/>
      <c r="QLA229" s="1"/>
      <c r="QLB229" s="1"/>
      <c r="QLC229" s="1"/>
      <c r="QLD229" s="1"/>
      <c r="QLE229" s="1"/>
      <c r="QLF229" s="1"/>
      <c r="QLG229" s="1"/>
      <c r="QLH229" s="1"/>
      <c r="QLI229" s="1"/>
      <c r="QLJ229" s="1"/>
      <c r="QLK229" s="1"/>
      <c r="QLL229" s="1"/>
      <c r="QLM229" s="1"/>
      <c r="QLN229" s="1"/>
      <c r="QLO229" s="1"/>
      <c r="QLP229" s="1"/>
      <c r="QLQ229" s="1"/>
      <c r="QLR229" s="1"/>
      <c r="QLS229" s="1"/>
      <c r="QLT229" s="1"/>
      <c r="QLU229" s="1"/>
      <c r="QLV229" s="1"/>
      <c r="QLW229" s="1"/>
      <c r="QLX229" s="1"/>
      <c r="QLY229" s="1"/>
      <c r="QLZ229" s="1"/>
      <c r="QMA229" s="1"/>
      <c r="QMB229" s="1"/>
      <c r="QMC229" s="1"/>
      <c r="QMD229" s="1"/>
      <c r="QME229" s="1"/>
      <c r="QMF229" s="1"/>
      <c r="QMG229" s="1"/>
      <c r="QMH229" s="1"/>
      <c r="QMI229" s="1"/>
      <c r="QMJ229" s="1"/>
      <c r="QMK229" s="1"/>
      <c r="QML229" s="1"/>
      <c r="QMM229" s="1"/>
      <c r="QMN229" s="1"/>
      <c r="QMO229" s="1"/>
      <c r="QMP229" s="1"/>
      <c r="QMQ229" s="1"/>
      <c r="QMR229" s="1"/>
      <c r="QMS229" s="1"/>
      <c r="QMT229" s="1"/>
      <c r="QMU229" s="1"/>
      <c r="QMV229" s="1"/>
      <c r="QMW229" s="1"/>
      <c r="QMX229" s="1"/>
      <c r="QMY229" s="1"/>
      <c r="QMZ229" s="1"/>
      <c r="QNA229" s="1"/>
      <c r="QNB229" s="1"/>
      <c r="QNC229" s="1"/>
      <c r="QND229" s="1"/>
      <c r="QNE229" s="1"/>
      <c r="QNF229" s="1"/>
      <c r="QNG229" s="1"/>
      <c r="QNH229" s="1"/>
      <c r="QNI229" s="1"/>
      <c r="QNJ229" s="1"/>
      <c r="QNK229" s="1"/>
      <c r="QNL229" s="1"/>
      <c r="QNM229" s="1"/>
      <c r="QNN229" s="1"/>
      <c r="QNO229" s="1"/>
      <c r="QNP229" s="1"/>
      <c r="QNQ229" s="1"/>
      <c r="QNR229" s="1"/>
      <c r="QNS229" s="1"/>
      <c r="QNT229" s="1"/>
      <c r="QNU229" s="1"/>
      <c r="QNV229" s="1"/>
      <c r="QNW229" s="1"/>
      <c r="QNX229" s="1"/>
      <c r="QNY229" s="1"/>
      <c r="QNZ229" s="1"/>
      <c r="QOA229" s="1"/>
      <c r="QOB229" s="1"/>
      <c r="QOC229" s="1"/>
      <c r="QOD229" s="1"/>
      <c r="QOE229" s="1"/>
      <c r="QOF229" s="1"/>
      <c r="QOG229" s="1"/>
      <c r="QOH229" s="1"/>
      <c r="QOI229" s="1"/>
      <c r="QOJ229" s="1"/>
      <c r="QOK229" s="1"/>
      <c r="QOL229" s="1"/>
      <c r="QOM229" s="1"/>
      <c r="QON229" s="1"/>
      <c r="QOO229" s="1"/>
      <c r="QOP229" s="1"/>
      <c r="QOQ229" s="1"/>
      <c r="QOR229" s="1"/>
      <c r="QOS229" s="1"/>
      <c r="QOT229" s="1"/>
      <c r="QOU229" s="1"/>
      <c r="QOV229" s="1"/>
      <c r="QOW229" s="1"/>
      <c r="QOX229" s="1"/>
      <c r="QOY229" s="1"/>
      <c r="QOZ229" s="1"/>
      <c r="QPA229" s="1"/>
      <c r="QPB229" s="1"/>
      <c r="QPC229" s="1"/>
      <c r="QPD229" s="1"/>
      <c r="QPE229" s="1"/>
      <c r="QPF229" s="1"/>
      <c r="QPG229" s="1"/>
      <c r="QPH229" s="1"/>
      <c r="QPI229" s="1"/>
      <c r="QPJ229" s="1"/>
      <c r="QPK229" s="1"/>
      <c r="QPL229" s="1"/>
      <c r="QPM229" s="1"/>
      <c r="QPN229" s="1"/>
      <c r="QPO229" s="1"/>
      <c r="QPP229" s="1"/>
      <c r="QPQ229" s="1"/>
      <c r="QPR229" s="1"/>
      <c r="QPS229" s="1"/>
      <c r="QPT229" s="1"/>
      <c r="QPU229" s="1"/>
      <c r="QPV229" s="1"/>
      <c r="QPW229" s="1"/>
      <c r="QPX229" s="1"/>
      <c r="QPY229" s="1"/>
      <c r="QPZ229" s="1"/>
      <c r="QQA229" s="1"/>
      <c r="QQB229" s="1"/>
      <c r="QQC229" s="1"/>
      <c r="QQD229" s="1"/>
      <c r="QQE229" s="1"/>
      <c r="QQF229" s="1"/>
      <c r="QQG229" s="1"/>
      <c r="QQH229" s="1"/>
      <c r="QQI229" s="1"/>
      <c r="QQJ229" s="1"/>
      <c r="QQK229" s="1"/>
      <c r="QQL229" s="1"/>
      <c r="QQM229" s="1"/>
      <c r="QQN229" s="1"/>
      <c r="QQO229" s="1"/>
      <c r="QQP229" s="1"/>
      <c r="QQQ229" s="1"/>
      <c r="QQR229" s="1"/>
      <c r="QQS229" s="1"/>
      <c r="QQT229" s="1"/>
      <c r="QQU229" s="1"/>
      <c r="QQV229" s="1"/>
      <c r="QQW229" s="1"/>
      <c r="QQX229" s="1"/>
      <c r="QQY229" s="1"/>
      <c r="QQZ229" s="1"/>
      <c r="QRA229" s="1"/>
      <c r="QRB229" s="1"/>
      <c r="QRC229" s="1"/>
      <c r="QRD229" s="1"/>
      <c r="QRE229" s="1"/>
      <c r="QRF229" s="1"/>
      <c r="QRG229" s="1"/>
      <c r="QRH229" s="1"/>
      <c r="QRI229" s="1"/>
      <c r="QRJ229" s="1"/>
      <c r="QRK229" s="1"/>
      <c r="QRL229" s="1"/>
      <c r="QRM229" s="1"/>
      <c r="QRN229" s="1"/>
      <c r="QRO229" s="1"/>
      <c r="QRP229" s="1"/>
      <c r="QRQ229" s="1"/>
      <c r="QRR229" s="1"/>
      <c r="QRS229" s="1"/>
      <c r="QRT229" s="1"/>
      <c r="QRU229" s="1"/>
      <c r="QRV229" s="1"/>
      <c r="QRW229" s="1"/>
      <c r="QRX229" s="1"/>
      <c r="QRY229" s="1"/>
      <c r="QRZ229" s="1"/>
      <c r="QSA229" s="1"/>
      <c r="QSB229" s="1"/>
      <c r="QSC229" s="1"/>
      <c r="QSD229" s="1"/>
      <c r="QSE229" s="1"/>
      <c r="QSF229" s="1"/>
      <c r="QSG229" s="1"/>
      <c r="QSH229" s="1"/>
      <c r="QSI229" s="1"/>
      <c r="QSJ229" s="1"/>
      <c r="QSK229" s="1"/>
      <c r="QSL229" s="1"/>
      <c r="QSM229" s="1"/>
      <c r="QSN229" s="1"/>
      <c r="QSO229" s="1"/>
      <c r="QSP229" s="1"/>
      <c r="QSQ229" s="1"/>
      <c r="QSR229" s="1"/>
      <c r="QSS229" s="1"/>
      <c r="QST229" s="1"/>
      <c r="QSU229" s="1"/>
      <c r="QSV229" s="1"/>
      <c r="QSW229" s="1"/>
      <c r="QSX229" s="1"/>
      <c r="QSY229" s="1"/>
      <c r="QSZ229" s="1"/>
      <c r="QTA229" s="1"/>
      <c r="QTB229" s="1"/>
      <c r="QTC229" s="1"/>
      <c r="QTD229" s="1"/>
      <c r="QTE229" s="1"/>
      <c r="QTF229" s="1"/>
      <c r="QTG229" s="1"/>
      <c r="QTH229" s="1"/>
      <c r="QTI229" s="1"/>
      <c r="QTJ229" s="1"/>
      <c r="QTK229" s="1"/>
      <c r="QTL229" s="1"/>
      <c r="QTM229" s="1"/>
      <c r="QTN229" s="1"/>
      <c r="QTO229" s="1"/>
      <c r="QTP229" s="1"/>
      <c r="QTQ229" s="1"/>
      <c r="QTR229" s="1"/>
      <c r="QTS229" s="1"/>
      <c r="QTT229" s="1"/>
      <c r="QTU229" s="1"/>
      <c r="QTV229" s="1"/>
      <c r="QTW229" s="1"/>
      <c r="QTX229" s="1"/>
      <c r="QTY229" s="1"/>
      <c r="QTZ229" s="1"/>
      <c r="QUA229" s="1"/>
      <c r="QUB229" s="1"/>
      <c r="QUC229" s="1"/>
      <c r="QUD229" s="1"/>
      <c r="QUE229" s="1"/>
      <c r="QUF229" s="1"/>
      <c r="QUG229" s="1"/>
      <c r="QUH229" s="1"/>
      <c r="QUI229" s="1"/>
      <c r="QUJ229" s="1"/>
      <c r="QUK229" s="1"/>
      <c r="QUL229" s="1"/>
      <c r="QUM229" s="1"/>
      <c r="QUN229" s="1"/>
      <c r="QUO229" s="1"/>
      <c r="QUP229" s="1"/>
      <c r="QUQ229" s="1"/>
      <c r="QUR229" s="1"/>
      <c r="QUS229" s="1"/>
      <c r="QUT229" s="1"/>
      <c r="QUU229" s="1"/>
      <c r="QUV229" s="1"/>
      <c r="QUW229" s="1"/>
      <c r="QUX229" s="1"/>
      <c r="QUY229" s="1"/>
      <c r="QUZ229" s="1"/>
      <c r="QVA229" s="1"/>
      <c r="QVB229" s="1"/>
      <c r="QVC229" s="1"/>
      <c r="QVD229" s="1"/>
      <c r="QVE229" s="1"/>
      <c r="QVF229" s="1"/>
      <c r="QVG229" s="1"/>
      <c r="QVH229" s="1"/>
      <c r="QVI229" s="1"/>
      <c r="QVJ229" s="1"/>
      <c r="QVK229" s="1"/>
      <c r="QVL229" s="1"/>
      <c r="QVM229" s="1"/>
      <c r="QVN229" s="1"/>
      <c r="QVO229" s="1"/>
      <c r="QVP229" s="1"/>
      <c r="QVQ229" s="1"/>
      <c r="QVR229" s="1"/>
      <c r="QVS229" s="1"/>
      <c r="QVT229" s="1"/>
      <c r="QVU229" s="1"/>
      <c r="QVV229" s="1"/>
      <c r="QVW229" s="1"/>
      <c r="QVX229" s="1"/>
      <c r="QVY229" s="1"/>
      <c r="QVZ229" s="1"/>
      <c r="QWA229" s="1"/>
      <c r="QWB229" s="1"/>
      <c r="QWC229" s="1"/>
      <c r="QWD229" s="1"/>
      <c r="QWE229" s="1"/>
      <c r="QWF229" s="1"/>
      <c r="QWG229" s="1"/>
      <c r="QWH229" s="1"/>
      <c r="QWI229" s="1"/>
      <c r="QWJ229" s="1"/>
      <c r="QWK229" s="1"/>
      <c r="QWL229" s="1"/>
      <c r="QWM229" s="1"/>
      <c r="QWN229" s="1"/>
      <c r="QWO229" s="1"/>
      <c r="QWP229" s="1"/>
      <c r="QWQ229" s="1"/>
      <c r="QWR229" s="1"/>
      <c r="QWS229" s="1"/>
      <c r="QWT229" s="1"/>
      <c r="QWU229" s="1"/>
      <c r="QWV229" s="1"/>
      <c r="QWW229" s="1"/>
      <c r="QWX229" s="1"/>
      <c r="QWY229" s="1"/>
      <c r="QWZ229" s="1"/>
      <c r="QXA229" s="1"/>
      <c r="QXB229" s="1"/>
      <c r="QXC229" s="1"/>
      <c r="QXD229" s="1"/>
      <c r="QXE229" s="1"/>
      <c r="QXF229" s="1"/>
      <c r="QXG229" s="1"/>
      <c r="QXH229" s="1"/>
      <c r="QXI229" s="1"/>
      <c r="QXJ229" s="1"/>
      <c r="QXK229" s="1"/>
      <c r="QXL229" s="1"/>
      <c r="QXM229" s="1"/>
      <c r="QXN229" s="1"/>
      <c r="QXO229" s="1"/>
      <c r="QXP229" s="1"/>
      <c r="QXQ229" s="1"/>
      <c r="QXR229" s="1"/>
      <c r="QXS229" s="1"/>
      <c r="QXT229" s="1"/>
      <c r="QXU229" s="1"/>
      <c r="QXV229" s="1"/>
      <c r="QXW229" s="1"/>
      <c r="QXX229" s="1"/>
      <c r="QXY229" s="1"/>
      <c r="QXZ229" s="1"/>
      <c r="QYA229" s="1"/>
      <c r="QYB229" s="1"/>
      <c r="QYC229" s="1"/>
      <c r="QYD229" s="1"/>
      <c r="QYE229" s="1"/>
      <c r="QYF229" s="1"/>
      <c r="QYG229" s="1"/>
      <c r="QYH229" s="1"/>
      <c r="QYI229" s="1"/>
      <c r="QYJ229" s="1"/>
      <c r="QYK229" s="1"/>
      <c r="QYL229" s="1"/>
      <c r="QYM229" s="1"/>
      <c r="QYN229" s="1"/>
      <c r="QYO229" s="1"/>
      <c r="QYP229" s="1"/>
      <c r="QYQ229" s="1"/>
      <c r="QYR229" s="1"/>
      <c r="QYS229" s="1"/>
      <c r="QYT229" s="1"/>
      <c r="QYU229" s="1"/>
      <c r="QYV229" s="1"/>
      <c r="QYW229" s="1"/>
      <c r="QYX229" s="1"/>
      <c r="QYY229" s="1"/>
      <c r="QYZ229" s="1"/>
      <c r="QZA229" s="1"/>
      <c r="QZB229" s="1"/>
      <c r="QZC229" s="1"/>
      <c r="QZD229" s="1"/>
      <c r="QZE229" s="1"/>
      <c r="QZF229" s="1"/>
      <c r="QZG229" s="1"/>
      <c r="QZH229" s="1"/>
      <c r="QZI229" s="1"/>
      <c r="QZJ229" s="1"/>
      <c r="QZK229" s="1"/>
      <c r="QZL229" s="1"/>
      <c r="QZM229" s="1"/>
      <c r="QZN229" s="1"/>
      <c r="QZO229" s="1"/>
      <c r="QZP229" s="1"/>
      <c r="QZQ229" s="1"/>
      <c r="QZR229" s="1"/>
      <c r="QZS229" s="1"/>
      <c r="QZT229" s="1"/>
      <c r="QZU229" s="1"/>
      <c r="QZV229" s="1"/>
      <c r="QZW229" s="1"/>
      <c r="QZX229" s="1"/>
      <c r="QZY229" s="1"/>
      <c r="QZZ229" s="1"/>
      <c r="RAA229" s="1"/>
      <c r="RAB229" s="1"/>
      <c r="RAC229" s="1"/>
      <c r="RAD229" s="1"/>
      <c r="RAE229" s="1"/>
      <c r="RAF229" s="1"/>
      <c r="RAG229" s="1"/>
      <c r="RAH229" s="1"/>
      <c r="RAI229" s="1"/>
      <c r="RAJ229" s="1"/>
      <c r="RAK229" s="1"/>
      <c r="RAL229" s="1"/>
      <c r="RAM229" s="1"/>
      <c r="RAN229" s="1"/>
      <c r="RAO229" s="1"/>
      <c r="RAP229" s="1"/>
      <c r="RAQ229" s="1"/>
      <c r="RAR229" s="1"/>
      <c r="RAS229" s="1"/>
      <c r="RAT229" s="1"/>
      <c r="RAU229" s="1"/>
      <c r="RAV229" s="1"/>
      <c r="RAW229" s="1"/>
      <c r="RAX229" s="1"/>
      <c r="RAY229" s="1"/>
      <c r="RAZ229" s="1"/>
      <c r="RBA229" s="1"/>
      <c r="RBB229" s="1"/>
      <c r="RBC229" s="1"/>
      <c r="RBD229" s="1"/>
      <c r="RBE229" s="1"/>
      <c r="RBF229" s="1"/>
      <c r="RBG229" s="1"/>
      <c r="RBH229" s="1"/>
      <c r="RBI229" s="1"/>
      <c r="RBJ229" s="1"/>
      <c r="RBK229" s="1"/>
      <c r="RBL229" s="1"/>
      <c r="RBM229" s="1"/>
      <c r="RBN229" s="1"/>
      <c r="RBO229" s="1"/>
      <c r="RBP229" s="1"/>
      <c r="RBQ229" s="1"/>
      <c r="RBR229" s="1"/>
      <c r="RBS229" s="1"/>
      <c r="RBT229" s="1"/>
      <c r="RBU229" s="1"/>
      <c r="RBV229" s="1"/>
      <c r="RBW229" s="1"/>
      <c r="RBX229" s="1"/>
      <c r="RBY229" s="1"/>
      <c r="RBZ229" s="1"/>
      <c r="RCA229" s="1"/>
      <c r="RCB229" s="1"/>
      <c r="RCC229" s="1"/>
      <c r="RCD229" s="1"/>
      <c r="RCE229" s="1"/>
      <c r="RCF229" s="1"/>
      <c r="RCG229" s="1"/>
      <c r="RCH229" s="1"/>
      <c r="RCI229" s="1"/>
      <c r="RCJ229" s="1"/>
      <c r="RCK229" s="1"/>
      <c r="RCL229" s="1"/>
      <c r="RCM229" s="1"/>
      <c r="RCN229" s="1"/>
      <c r="RCO229" s="1"/>
      <c r="RCP229" s="1"/>
      <c r="RCQ229" s="1"/>
      <c r="RCR229" s="1"/>
      <c r="RCS229" s="1"/>
      <c r="RCT229" s="1"/>
      <c r="RCU229" s="1"/>
      <c r="RCV229" s="1"/>
      <c r="RCW229" s="1"/>
      <c r="RCX229" s="1"/>
      <c r="RCY229" s="1"/>
      <c r="RCZ229" s="1"/>
      <c r="RDA229" s="1"/>
      <c r="RDB229" s="1"/>
      <c r="RDC229" s="1"/>
      <c r="RDD229" s="1"/>
      <c r="RDE229" s="1"/>
      <c r="RDF229" s="1"/>
      <c r="RDG229" s="1"/>
      <c r="RDH229" s="1"/>
      <c r="RDI229" s="1"/>
      <c r="RDJ229" s="1"/>
      <c r="RDK229" s="1"/>
      <c r="RDL229" s="1"/>
      <c r="RDM229" s="1"/>
      <c r="RDN229" s="1"/>
      <c r="RDO229" s="1"/>
      <c r="RDP229" s="1"/>
      <c r="RDQ229" s="1"/>
      <c r="RDR229" s="1"/>
      <c r="RDS229" s="1"/>
      <c r="RDT229" s="1"/>
      <c r="RDU229" s="1"/>
      <c r="RDV229" s="1"/>
      <c r="RDW229" s="1"/>
      <c r="RDX229" s="1"/>
      <c r="RDY229" s="1"/>
      <c r="RDZ229" s="1"/>
      <c r="REA229" s="1"/>
      <c r="REB229" s="1"/>
      <c r="REC229" s="1"/>
      <c r="RED229" s="1"/>
      <c r="REE229" s="1"/>
      <c r="REF229" s="1"/>
      <c r="REG229" s="1"/>
      <c r="REH229" s="1"/>
      <c r="REI229" s="1"/>
      <c r="REJ229" s="1"/>
      <c r="REK229" s="1"/>
      <c r="REL229" s="1"/>
      <c r="REM229" s="1"/>
      <c r="REN229" s="1"/>
      <c r="REO229" s="1"/>
      <c r="REP229" s="1"/>
      <c r="REQ229" s="1"/>
      <c r="RER229" s="1"/>
      <c r="RES229" s="1"/>
      <c r="RET229" s="1"/>
      <c r="REU229" s="1"/>
      <c r="REV229" s="1"/>
      <c r="REW229" s="1"/>
      <c r="REX229" s="1"/>
      <c r="REY229" s="1"/>
      <c r="REZ229" s="1"/>
      <c r="RFA229" s="1"/>
      <c r="RFB229" s="1"/>
      <c r="RFC229" s="1"/>
      <c r="RFD229" s="1"/>
      <c r="RFE229" s="1"/>
      <c r="RFF229" s="1"/>
      <c r="RFG229" s="1"/>
      <c r="RFH229" s="1"/>
      <c r="RFI229" s="1"/>
      <c r="RFJ229" s="1"/>
      <c r="RFK229" s="1"/>
      <c r="RFL229" s="1"/>
      <c r="RFM229" s="1"/>
      <c r="RFN229" s="1"/>
      <c r="RFO229" s="1"/>
      <c r="RFP229" s="1"/>
      <c r="RFQ229" s="1"/>
      <c r="RFR229" s="1"/>
      <c r="RFS229" s="1"/>
      <c r="RFT229" s="1"/>
      <c r="RFU229" s="1"/>
      <c r="RFV229" s="1"/>
      <c r="RFW229" s="1"/>
      <c r="RFX229" s="1"/>
      <c r="RFY229" s="1"/>
      <c r="RFZ229" s="1"/>
      <c r="RGA229" s="1"/>
      <c r="RGB229" s="1"/>
      <c r="RGC229" s="1"/>
      <c r="RGD229" s="1"/>
      <c r="RGE229" s="1"/>
      <c r="RGF229" s="1"/>
      <c r="RGG229" s="1"/>
      <c r="RGH229" s="1"/>
      <c r="RGI229" s="1"/>
      <c r="RGJ229" s="1"/>
      <c r="RGK229" s="1"/>
      <c r="RGL229" s="1"/>
      <c r="RGM229" s="1"/>
      <c r="RGN229" s="1"/>
      <c r="RGO229" s="1"/>
      <c r="RGP229" s="1"/>
      <c r="RGQ229" s="1"/>
      <c r="RGR229" s="1"/>
      <c r="RGS229" s="1"/>
      <c r="RGT229" s="1"/>
      <c r="RGU229" s="1"/>
      <c r="RGV229" s="1"/>
      <c r="RGW229" s="1"/>
      <c r="RGX229" s="1"/>
      <c r="RGY229" s="1"/>
      <c r="RGZ229" s="1"/>
      <c r="RHA229" s="1"/>
      <c r="RHB229" s="1"/>
      <c r="RHC229" s="1"/>
      <c r="RHD229" s="1"/>
      <c r="RHE229" s="1"/>
      <c r="RHF229" s="1"/>
      <c r="RHG229" s="1"/>
      <c r="RHH229" s="1"/>
      <c r="RHI229" s="1"/>
      <c r="RHJ229" s="1"/>
      <c r="RHK229" s="1"/>
      <c r="RHL229" s="1"/>
      <c r="RHM229" s="1"/>
      <c r="RHN229" s="1"/>
      <c r="RHO229" s="1"/>
      <c r="RHP229" s="1"/>
      <c r="RHQ229" s="1"/>
      <c r="RHR229" s="1"/>
      <c r="RHS229" s="1"/>
      <c r="RHT229" s="1"/>
      <c r="RHU229" s="1"/>
      <c r="RHV229" s="1"/>
      <c r="RHW229" s="1"/>
      <c r="RHX229" s="1"/>
      <c r="RHY229" s="1"/>
      <c r="RHZ229" s="1"/>
      <c r="RIA229" s="1"/>
      <c r="RIB229" s="1"/>
      <c r="RIC229" s="1"/>
      <c r="RID229" s="1"/>
      <c r="RIE229" s="1"/>
      <c r="RIF229" s="1"/>
      <c r="RIG229" s="1"/>
      <c r="RIH229" s="1"/>
      <c r="RII229" s="1"/>
      <c r="RIJ229" s="1"/>
      <c r="RIK229" s="1"/>
      <c r="RIL229" s="1"/>
      <c r="RIM229" s="1"/>
      <c r="RIN229" s="1"/>
      <c r="RIO229" s="1"/>
      <c r="RIP229" s="1"/>
      <c r="RIQ229" s="1"/>
      <c r="RIR229" s="1"/>
      <c r="RIS229" s="1"/>
      <c r="RIT229" s="1"/>
      <c r="RIU229" s="1"/>
      <c r="RIV229" s="1"/>
      <c r="RIW229" s="1"/>
      <c r="RIX229" s="1"/>
      <c r="RIY229" s="1"/>
      <c r="RIZ229" s="1"/>
      <c r="RJA229" s="1"/>
      <c r="RJB229" s="1"/>
      <c r="RJC229" s="1"/>
      <c r="RJD229" s="1"/>
      <c r="RJE229" s="1"/>
      <c r="RJF229" s="1"/>
      <c r="RJG229" s="1"/>
      <c r="RJH229" s="1"/>
      <c r="RJI229" s="1"/>
      <c r="RJJ229" s="1"/>
      <c r="RJK229" s="1"/>
      <c r="RJL229" s="1"/>
      <c r="RJM229" s="1"/>
      <c r="RJN229" s="1"/>
      <c r="RJO229" s="1"/>
      <c r="RJP229" s="1"/>
      <c r="RJQ229" s="1"/>
      <c r="RJR229" s="1"/>
      <c r="RJS229" s="1"/>
      <c r="RJT229" s="1"/>
      <c r="RJU229" s="1"/>
      <c r="RJV229" s="1"/>
      <c r="RJW229" s="1"/>
      <c r="RJX229" s="1"/>
      <c r="RJY229" s="1"/>
      <c r="RJZ229" s="1"/>
      <c r="RKA229" s="1"/>
      <c r="RKB229" s="1"/>
      <c r="RKC229" s="1"/>
      <c r="RKD229" s="1"/>
      <c r="RKE229" s="1"/>
      <c r="RKF229" s="1"/>
      <c r="RKG229" s="1"/>
      <c r="RKH229" s="1"/>
      <c r="RKI229" s="1"/>
      <c r="RKJ229" s="1"/>
      <c r="RKK229" s="1"/>
      <c r="RKL229" s="1"/>
      <c r="RKM229" s="1"/>
      <c r="RKN229" s="1"/>
      <c r="RKO229" s="1"/>
      <c r="RKP229" s="1"/>
      <c r="RKQ229" s="1"/>
      <c r="RKR229" s="1"/>
      <c r="RKS229" s="1"/>
      <c r="RKT229" s="1"/>
      <c r="RKU229" s="1"/>
      <c r="RKV229" s="1"/>
      <c r="RKW229" s="1"/>
      <c r="RKX229" s="1"/>
      <c r="RKY229" s="1"/>
      <c r="RKZ229" s="1"/>
      <c r="RLA229" s="1"/>
      <c r="RLB229" s="1"/>
      <c r="RLC229" s="1"/>
      <c r="RLD229" s="1"/>
      <c r="RLE229" s="1"/>
      <c r="RLF229" s="1"/>
      <c r="RLG229" s="1"/>
      <c r="RLH229" s="1"/>
      <c r="RLI229" s="1"/>
      <c r="RLJ229" s="1"/>
      <c r="RLK229" s="1"/>
      <c r="RLL229" s="1"/>
      <c r="RLM229" s="1"/>
      <c r="RLN229" s="1"/>
      <c r="RLO229" s="1"/>
      <c r="RLP229" s="1"/>
      <c r="RLQ229" s="1"/>
      <c r="RLR229" s="1"/>
      <c r="RLS229" s="1"/>
      <c r="RLT229" s="1"/>
      <c r="RLU229" s="1"/>
      <c r="RLV229" s="1"/>
      <c r="RLW229" s="1"/>
      <c r="RLX229" s="1"/>
      <c r="RLY229" s="1"/>
      <c r="RLZ229" s="1"/>
      <c r="RMA229" s="1"/>
      <c r="RMB229" s="1"/>
      <c r="RMC229" s="1"/>
      <c r="RMD229" s="1"/>
      <c r="RME229" s="1"/>
      <c r="RMF229" s="1"/>
      <c r="RMG229" s="1"/>
      <c r="RMH229" s="1"/>
      <c r="RMI229" s="1"/>
      <c r="RMJ229" s="1"/>
      <c r="RMK229" s="1"/>
      <c r="RML229" s="1"/>
      <c r="RMM229" s="1"/>
      <c r="RMN229" s="1"/>
      <c r="RMO229" s="1"/>
      <c r="RMP229" s="1"/>
      <c r="RMQ229" s="1"/>
      <c r="RMR229" s="1"/>
      <c r="RMS229" s="1"/>
      <c r="RMT229" s="1"/>
      <c r="RMU229" s="1"/>
      <c r="RMV229" s="1"/>
      <c r="RMW229" s="1"/>
      <c r="RMX229" s="1"/>
      <c r="RMY229" s="1"/>
      <c r="RMZ229" s="1"/>
      <c r="RNA229" s="1"/>
      <c r="RNB229" s="1"/>
      <c r="RNC229" s="1"/>
      <c r="RND229" s="1"/>
      <c r="RNE229" s="1"/>
      <c r="RNF229" s="1"/>
      <c r="RNG229" s="1"/>
      <c r="RNH229" s="1"/>
      <c r="RNI229" s="1"/>
      <c r="RNJ229" s="1"/>
      <c r="RNK229" s="1"/>
      <c r="RNL229" s="1"/>
      <c r="RNM229" s="1"/>
      <c r="RNN229" s="1"/>
      <c r="RNO229" s="1"/>
      <c r="RNP229" s="1"/>
      <c r="RNQ229" s="1"/>
      <c r="RNR229" s="1"/>
      <c r="RNS229" s="1"/>
      <c r="RNT229" s="1"/>
      <c r="RNU229" s="1"/>
      <c r="RNV229" s="1"/>
      <c r="RNW229" s="1"/>
      <c r="RNX229" s="1"/>
      <c r="RNY229" s="1"/>
      <c r="RNZ229" s="1"/>
      <c r="ROA229" s="1"/>
      <c r="ROB229" s="1"/>
      <c r="ROC229" s="1"/>
      <c r="ROD229" s="1"/>
      <c r="ROE229" s="1"/>
      <c r="ROF229" s="1"/>
      <c r="ROG229" s="1"/>
      <c r="ROH229" s="1"/>
      <c r="ROI229" s="1"/>
      <c r="ROJ229" s="1"/>
      <c r="ROK229" s="1"/>
      <c r="ROL229" s="1"/>
      <c r="ROM229" s="1"/>
      <c r="RON229" s="1"/>
      <c r="ROO229" s="1"/>
      <c r="ROP229" s="1"/>
      <c r="ROQ229" s="1"/>
      <c r="ROR229" s="1"/>
      <c r="ROS229" s="1"/>
      <c r="ROT229" s="1"/>
      <c r="ROU229" s="1"/>
      <c r="ROV229" s="1"/>
      <c r="ROW229" s="1"/>
      <c r="ROX229" s="1"/>
      <c r="ROY229" s="1"/>
      <c r="ROZ229" s="1"/>
      <c r="RPA229" s="1"/>
      <c r="RPB229" s="1"/>
      <c r="RPC229" s="1"/>
      <c r="RPD229" s="1"/>
      <c r="RPE229" s="1"/>
      <c r="RPF229" s="1"/>
      <c r="RPG229" s="1"/>
      <c r="RPH229" s="1"/>
      <c r="RPI229" s="1"/>
      <c r="RPJ229" s="1"/>
      <c r="RPK229" s="1"/>
      <c r="RPL229" s="1"/>
      <c r="RPM229" s="1"/>
      <c r="RPN229" s="1"/>
      <c r="RPO229" s="1"/>
      <c r="RPP229" s="1"/>
      <c r="RPQ229" s="1"/>
      <c r="RPR229" s="1"/>
      <c r="RPS229" s="1"/>
      <c r="RPT229" s="1"/>
      <c r="RPU229" s="1"/>
      <c r="RPV229" s="1"/>
      <c r="RPW229" s="1"/>
      <c r="RPX229" s="1"/>
      <c r="RPY229" s="1"/>
      <c r="RPZ229" s="1"/>
      <c r="RQA229" s="1"/>
      <c r="RQB229" s="1"/>
      <c r="RQC229" s="1"/>
      <c r="RQD229" s="1"/>
      <c r="RQE229" s="1"/>
      <c r="RQF229" s="1"/>
      <c r="RQG229" s="1"/>
      <c r="RQH229" s="1"/>
      <c r="RQI229" s="1"/>
      <c r="RQJ229" s="1"/>
      <c r="RQK229" s="1"/>
      <c r="RQL229" s="1"/>
      <c r="RQM229" s="1"/>
      <c r="RQN229" s="1"/>
      <c r="RQO229" s="1"/>
      <c r="RQP229" s="1"/>
      <c r="RQQ229" s="1"/>
      <c r="RQR229" s="1"/>
      <c r="RQS229" s="1"/>
      <c r="RQT229" s="1"/>
      <c r="RQU229" s="1"/>
      <c r="RQV229" s="1"/>
      <c r="RQW229" s="1"/>
      <c r="RQX229" s="1"/>
      <c r="RQY229" s="1"/>
      <c r="RQZ229" s="1"/>
      <c r="RRA229" s="1"/>
      <c r="RRB229" s="1"/>
      <c r="RRC229" s="1"/>
      <c r="RRD229" s="1"/>
      <c r="RRE229" s="1"/>
      <c r="RRF229" s="1"/>
      <c r="RRG229" s="1"/>
      <c r="RRH229" s="1"/>
      <c r="RRI229" s="1"/>
      <c r="RRJ229" s="1"/>
      <c r="RRK229" s="1"/>
      <c r="RRL229" s="1"/>
      <c r="RRM229" s="1"/>
      <c r="RRN229" s="1"/>
      <c r="RRO229" s="1"/>
      <c r="RRP229" s="1"/>
      <c r="RRQ229" s="1"/>
      <c r="RRR229" s="1"/>
      <c r="RRS229" s="1"/>
      <c r="RRT229" s="1"/>
      <c r="RRU229" s="1"/>
      <c r="RRV229" s="1"/>
      <c r="RRW229" s="1"/>
      <c r="RRX229" s="1"/>
      <c r="RRY229" s="1"/>
      <c r="RRZ229" s="1"/>
      <c r="RSA229" s="1"/>
      <c r="RSB229" s="1"/>
      <c r="RSC229" s="1"/>
      <c r="RSD229" s="1"/>
      <c r="RSE229" s="1"/>
      <c r="RSF229" s="1"/>
      <c r="RSG229" s="1"/>
      <c r="RSH229" s="1"/>
      <c r="RSI229" s="1"/>
      <c r="RSJ229" s="1"/>
      <c r="RSK229" s="1"/>
      <c r="RSL229" s="1"/>
      <c r="RSM229" s="1"/>
      <c r="RSN229" s="1"/>
      <c r="RSO229" s="1"/>
      <c r="RSP229" s="1"/>
      <c r="RSQ229" s="1"/>
      <c r="RSR229" s="1"/>
      <c r="RSS229" s="1"/>
      <c r="RST229" s="1"/>
      <c r="RSU229" s="1"/>
      <c r="RSV229" s="1"/>
      <c r="RSW229" s="1"/>
      <c r="RSX229" s="1"/>
      <c r="RSY229" s="1"/>
      <c r="RSZ229" s="1"/>
      <c r="RTA229" s="1"/>
      <c r="RTB229" s="1"/>
      <c r="RTC229" s="1"/>
      <c r="RTD229" s="1"/>
      <c r="RTE229" s="1"/>
      <c r="RTF229" s="1"/>
      <c r="RTG229" s="1"/>
      <c r="RTH229" s="1"/>
      <c r="RTI229" s="1"/>
      <c r="RTJ229" s="1"/>
      <c r="RTK229" s="1"/>
      <c r="RTL229" s="1"/>
      <c r="RTM229" s="1"/>
      <c r="RTN229" s="1"/>
      <c r="RTO229" s="1"/>
      <c r="RTP229" s="1"/>
      <c r="RTQ229" s="1"/>
      <c r="RTR229" s="1"/>
      <c r="RTS229" s="1"/>
      <c r="RTT229" s="1"/>
      <c r="RTU229" s="1"/>
      <c r="RTV229" s="1"/>
      <c r="RTW229" s="1"/>
      <c r="RTX229" s="1"/>
      <c r="RTY229" s="1"/>
      <c r="RTZ229" s="1"/>
      <c r="RUA229" s="1"/>
      <c r="RUB229" s="1"/>
      <c r="RUC229" s="1"/>
      <c r="RUD229" s="1"/>
      <c r="RUE229" s="1"/>
      <c r="RUF229" s="1"/>
      <c r="RUG229" s="1"/>
      <c r="RUH229" s="1"/>
      <c r="RUI229" s="1"/>
      <c r="RUJ229" s="1"/>
      <c r="RUK229" s="1"/>
      <c r="RUL229" s="1"/>
      <c r="RUM229" s="1"/>
      <c r="RUN229" s="1"/>
      <c r="RUO229" s="1"/>
      <c r="RUP229" s="1"/>
      <c r="RUQ229" s="1"/>
      <c r="RUR229" s="1"/>
      <c r="RUS229" s="1"/>
      <c r="RUT229" s="1"/>
      <c r="RUU229" s="1"/>
      <c r="RUV229" s="1"/>
      <c r="RUW229" s="1"/>
      <c r="RUX229" s="1"/>
      <c r="RUY229" s="1"/>
      <c r="RUZ229" s="1"/>
      <c r="RVA229" s="1"/>
      <c r="RVB229" s="1"/>
      <c r="RVC229" s="1"/>
      <c r="RVD229" s="1"/>
      <c r="RVE229" s="1"/>
      <c r="RVF229" s="1"/>
      <c r="RVG229" s="1"/>
      <c r="RVH229" s="1"/>
      <c r="RVI229" s="1"/>
      <c r="RVJ229" s="1"/>
      <c r="RVK229" s="1"/>
      <c r="RVL229" s="1"/>
      <c r="RVM229" s="1"/>
      <c r="RVN229" s="1"/>
      <c r="RVO229" s="1"/>
      <c r="RVP229" s="1"/>
      <c r="RVQ229" s="1"/>
      <c r="RVR229" s="1"/>
      <c r="RVS229" s="1"/>
      <c r="RVT229" s="1"/>
      <c r="RVU229" s="1"/>
      <c r="RVV229" s="1"/>
      <c r="RVW229" s="1"/>
      <c r="RVX229" s="1"/>
      <c r="RVY229" s="1"/>
      <c r="RVZ229" s="1"/>
      <c r="RWA229" s="1"/>
      <c r="RWB229" s="1"/>
      <c r="RWC229" s="1"/>
      <c r="RWD229" s="1"/>
      <c r="RWE229" s="1"/>
      <c r="RWF229" s="1"/>
      <c r="RWG229" s="1"/>
      <c r="RWH229" s="1"/>
      <c r="RWI229" s="1"/>
      <c r="RWJ229" s="1"/>
      <c r="RWK229" s="1"/>
      <c r="RWL229" s="1"/>
      <c r="RWM229" s="1"/>
      <c r="RWN229" s="1"/>
      <c r="RWO229" s="1"/>
      <c r="RWP229" s="1"/>
      <c r="RWQ229" s="1"/>
      <c r="RWR229" s="1"/>
      <c r="RWS229" s="1"/>
      <c r="RWT229" s="1"/>
      <c r="RWU229" s="1"/>
      <c r="RWV229" s="1"/>
      <c r="RWW229" s="1"/>
      <c r="RWX229" s="1"/>
      <c r="RWY229" s="1"/>
      <c r="RWZ229" s="1"/>
      <c r="RXA229" s="1"/>
      <c r="RXB229" s="1"/>
      <c r="RXC229" s="1"/>
      <c r="RXD229" s="1"/>
      <c r="RXE229" s="1"/>
      <c r="RXF229" s="1"/>
      <c r="RXG229" s="1"/>
      <c r="RXH229" s="1"/>
      <c r="RXI229" s="1"/>
      <c r="RXJ229" s="1"/>
      <c r="RXK229" s="1"/>
      <c r="RXL229" s="1"/>
      <c r="RXM229" s="1"/>
      <c r="RXN229" s="1"/>
      <c r="RXO229" s="1"/>
      <c r="RXP229" s="1"/>
      <c r="RXQ229" s="1"/>
      <c r="RXR229" s="1"/>
      <c r="RXS229" s="1"/>
      <c r="RXT229" s="1"/>
      <c r="RXU229" s="1"/>
      <c r="RXV229" s="1"/>
      <c r="RXW229" s="1"/>
      <c r="RXX229" s="1"/>
      <c r="RXY229" s="1"/>
      <c r="RXZ229" s="1"/>
      <c r="RYA229" s="1"/>
      <c r="RYB229" s="1"/>
      <c r="RYC229" s="1"/>
      <c r="RYD229" s="1"/>
      <c r="RYE229" s="1"/>
      <c r="RYF229" s="1"/>
      <c r="RYG229" s="1"/>
      <c r="RYH229" s="1"/>
      <c r="RYI229" s="1"/>
      <c r="RYJ229" s="1"/>
      <c r="RYK229" s="1"/>
      <c r="RYL229" s="1"/>
      <c r="RYM229" s="1"/>
      <c r="RYN229" s="1"/>
      <c r="RYO229" s="1"/>
      <c r="RYP229" s="1"/>
      <c r="RYQ229" s="1"/>
      <c r="RYR229" s="1"/>
      <c r="RYS229" s="1"/>
      <c r="RYT229" s="1"/>
      <c r="RYU229" s="1"/>
      <c r="RYV229" s="1"/>
      <c r="RYW229" s="1"/>
      <c r="RYX229" s="1"/>
      <c r="RYY229" s="1"/>
      <c r="RYZ229" s="1"/>
      <c r="RZA229" s="1"/>
      <c r="RZB229" s="1"/>
      <c r="RZC229" s="1"/>
      <c r="RZD229" s="1"/>
      <c r="RZE229" s="1"/>
      <c r="RZF229" s="1"/>
      <c r="RZG229" s="1"/>
      <c r="RZH229" s="1"/>
      <c r="RZI229" s="1"/>
      <c r="RZJ229" s="1"/>
      <c r="RZK229" s="1"/>
      <c r="RZL229" s="1"/>
      <c r="RZM229" s="1"/>
      <c r="RZN229" s="1"/>
      <c r="RZO229" s="1"/>
      <c r="RZP229" s="1"/>
      <c r="RZQ229" s="1"/>
      <c r="RZR229" s="1"/>
      <c r="RZS229" s="1"/>
      <c r="RZT229" s="1"/>
      <c r="RZU229" s="1"/>
      <c r="RZV229" s="1"/>
      <c r="RZW229" s="1"/>
      <c r="RZX229" s="1"/>
      <c r="RZY229" s="1"/>
      <c r="RZZ229" s="1"/>
      <c r="SAA229" s="1"/>
      <c r="SAB229" s="1"/>
      <c r="SAC229" s="1"/>
      <c r="SAD229" s="1"/>
      <c r="SAE229" s="1"/>
      <c r="SAF229" s="1"/>
      <c r="SAG229" s="1"/>
      <c r="SAH229" s="1"/>
      <c r="SAI229" s="1"/>
      <c r="SAJ229" s="1"/>
      <c r="SAK229" s="1"/>
      <c r="SAL229" s="1"/>
      <c r="SAM229" s="1"/>
      <c r="SAN229" s="1"/>
      <c r="SAO229" s="1"/>
      <c r="SAP229" s="1"/>
      <c r="SAQ229" s="1"/>
      <c r="SAR229" s="1"/>
      <c r="SAS229" s="1"/>
      <c r="SAT229" s="1"/>
      <c r="SAU229" s="1"/>
      <c r="SAV229" s="1"/>
      <c r="SAW229" s="1"/>
      <c r="SAX229" s="1"/>
      <c r="SAY229" s="1"/>
      <c r="SAZ229" s="1"/>
      <c r="SBA229" s="1"/>
      <c r="SBB229" s="1"/>
      <c r="SBC229" s="1"/>
      <c r="SBD229" s="1"/>
      <c r="SBE229" s="1"/>
      <c r="SBF229" s="1"/>
      <c r="SBG229" s="1"/>
      <c r="SBH229" s="1"/>
      <c r="SBI229" s="1"/>
      <c r="SBJ229" s="1"/>
      <c r="SBK229" s="1"/>
      <c r="SBL229" s="1"/>
      <c r="SBM229" s="1"/>
      <c r="SBN229" s="1"/>
      <c r="SBO229" s="1"/>
      <c r="SBP229" s="1"/>
      <c r="SBQ229" s="1"/>
      <c r="SBR229" s="1"/>
      <c r="SBS229" s="1"/>
      <c r="SBT229" s="1"/>
      <c r="SBU229" s="1"/>
      <c r="SBV229" s="1"/>
      <c r="SBW229" s="1"/>
      <c r="SBX229" s="1"/>
      <c r="SBY229" s="1"/>
      <c r="SBZ229" s="1"/>
      <c r="SCA229" s="1"/>
      <c r="SCB229" s="1"/>
      <c r="SCC229" s="1"/>
      <c r="SCD229" s="1"/>
      <c r="SCE229" s="1"/>
      <c r="SCF229" s="1"/>
      <c r="SCG229" s="1"/>
      <c r="SCH229" s="1"/>
      <c r="SCI229" s="1"/>
      <c r="SCJ229" s="1"/>
      <c r="SCK229" s="1"/>
      <c r="SCL229" s="1"/>
      <c r="SCM229" s="1"/>
      <c r="SCN229" s="1"/>
      <c r="SCO229" s="1"/>
      <c r="SCP229" s="1"/>
      <c r="SCQ229" s="1"/>
      <c r="SCR229" s="1"/>
      <c r="SCS229" s="1"/>
      <c r="SCT229" s="1"/>
      <c r="SCU229" s="1"/>
      <c r="SCV229" s="1"/>
      <c r="SCW229" s="1"/>
      <c r="SCX229" s="1"/>
      <c r="SCY229" s="1"/>
      <c r="SCZ229" s="1"/>
      <c r="SDA229" s="1"/>
      <c r="SDB229" s="1"/>
      <c r="SDC229" s="1"/>
      <c r="SDD229" s="1"/>
      <c r="SDE229" s="1"/>
      <c r="SDF229" s="1"/>
      <c r="SDG229" s="1"/>
      <c r="SDH229" s="1"/>
      <c r="SDI229" s="1"/>
      <c r="SDJ229" s="1"/>
      <c r="SDK229" s="1"/>
      <c r="SDL229" s="1"/>
      <c r="SDM229" s="1"/>
      <c r="SDN229" s="1"/>
      <c r="SDO229" s="1"/>
      <c r="SDP229" s="1"/>
      <c r="SDQ229" s="1"/>
      <c r="SDR229" s="1"/>
      <c r="SDS229" s="1"/>
      <c r="SDT229" s="1"/>
      <c r="SDU229" s="1"/>
      <c r="SDV229" s="1"/>
      <c r="SDW229" s="1"/>
      <c r="SDX229" s="1"/>
      <c r="SDY229" s="1"/>
      <c r="SDZ229" s="1"/>
      <c r="SEA229" s="1"/>
      <c r="SEB229" s="1"/>
      <c r="SEC229" s="1"/>
      <c r="SED229" s="1"/>
      <c r="SEE229" s="1"/>
      <c r="SEF229" s="1"/>
      <c r="SEG229" s="1"/>
      <c r="SEH229" s="1"/>
      <c r="SEI229" s="1"/>
      <c r="SEJ229" s="1"/>
      <c r="SEK229" s="1"/>
      <c r="SEL229" s="1"/>
      <c r="SEM229" s="1"/>
      <c r="SEN229" s="1"/>
      <c r="SEO229" s="1"/>
      <c r="SEP229" s="1"/>
      <c r="SEQ229" s="1"/>
      <c r="SER229" s="1"/>
      <c r="SES229" s="1"/>
      <c r="SET229" s="1"/>
      <c r="SEU229" s="1"/>
      <c r="SEV229" s="1"/>
      <c r="SEW229" s="1"/>
      <c r="SEX229" s="1"/>
      <c r="SEY229" s="1"/>
      <c r="SEZ229" s="1"/>
      <c r="SFA229" s="1"/>
      <c r="SFB229" s="1"/>
      <c r="SFC229" s="1"/>
      <c r="SFD229" s="1"/>
      <c r="SFE229" s="1"/>
      <c r="SFF229" s="1"/>
      <c r="SFG229" s="1"/>
      <c r="SFH229" s="1"/>
      <c r="SFI229" s="1"/>
      <c r="SFJ229" s="1"/>
      <c r="SFK229" s="1"/>
      <c r="SFL229" s="1"/>
      <c r="SFM229" s="1"/>
      <c r="SFN229" s="1"/>
      <c r="SFO229" s="1"/>
      <c r="SFP229" s="1"/>
      <c r="SFQ229" s="1"/>
      <c r="SFR229" s="1"/>
      <c r="SFS229" s="1"/>
      <c r="SFT229" s="1"/>
      <c r="SFU229" s="1"/>
      <c r="SFV229" s="1"/>
      <c r="SFW229" s="1"/>
      <c r="SFX229" s="1"/>
      <c r="SFY229" s="1"/>
      <c r="SFZ229" s="1"/>
      <c r="SGA229" s="1"/>
      <c r="SGB229" s="1"/>
      <c r="SGC229" s="1"/>
      <c r="SGD229" s="1"/>
      <c r="SGE229" s="1"/>
      <c r="SGF229" s="1"/>
      <c r="SGG229" s="1"/>
      <c r="SGH229" s="1"/>
      <c r="SGI229" s="1"/>
      <c r="SGJ229" s="1"/>
      <c r="SGK229" s="1"/>
      <c r="SGL229" s="1"/>
      <c r="SGM229" s="1"/>
      <c r="SGN229" s="1"/>
      <c r="SGO229" s="1"/>
      <c r="SGP229" s="1"/>
      <c r="SGQ229" s="1"/>
      <c r="SGR229" s="1"/>
      <c r="SGS229" s="1"/>
      <c r="SGT229" s="1"/>
      <c r="SGU229" s="1"/>
      <c r="SGV229" s="1"/>
      <c r="SGW229" s="1"/>
      <c r="SGX229" s="1"/>
      <c r="SGY229" s="1"/>
      <c r="SGZ229" s="1"/>
      <c r="SHA229" s="1"/>
      <c r="SHB229" s="1"/>
      <c r="SHC229" s="1"/>
      <c r="SHD229" s="1"/>
      <c r="SHE229" s="1"/>
      <c r="SHF229" s="1"/>
      <c r="SHG229" s="1"/>
      <c r="SHH229" s="1"/>
      <c r="SHI229" s="1"/>
      <c r="SHJ229" s="1"/>
      <c r="SHK229" s="1"/>
      <c r="SHL229" s="1"/>
      <c r="SHM229" s="1"/>
      <c r="SHN229" s="1"/>
      <c r="SHO229" s="1"/>
      <c r="SHP229" s="1"/>
      <c r="SHQ229" s="1"/>
      <c r="SHR229" s="1"/>
      <c r="SHS229" s="1"/>
      <c r="SHT229" s="1"/>
      <c r="SHU229" s="1"/>
      <c r="SHV229" s="1"/>
      <c r="SHW229" s="1"/>
      <c r="SHX229" s="1"/>
      <c r="SHY229" s="1"/>
      <c r="SHZ229" s="1"/>
      <c r="SIA229" s="1"/>
      <c r="SIB229" s="1"/>
      <c r="SIC229" s="1"/>
      <c r="SID229" s="1"/>
      <c r="SIE229" s="1"/>
      <c r="SIF229" s="1"/>
      <c r="SIG229" s="1"/>
      <c r="SIH229" s="1"/>
      <c r="SII229" s="1"/>
      <c r="SIJ229" s="1"/>
      <c r="SIK229" s="1"/>
      <c r="SIL229" s="1"/>
      <c r="SIM229" s="1"/>
      <c r="SIN229" s="1"/>
      <c r="SIO229" s="1"/>
      <c r="SIP229" s="1"/>
      <c r="SIQ229" s="1"/>
      <c r="SIR229" s="1"/>
      <c r="SIS229" s="1"/>
      <c r="SIT229" s="1"/>
      <c r="SIU229" s="1"/>
      <c r="SIV229" s="1"/>
      <c r="SIW229" s="1"/>
      <c r="SIX229" s="1"/>
      <c r="SIY229" s="1"/>
      <c r="SIZ229" s="1"/>
      <c r="SJA229" s="1"/>
      <c r="SJB229" s="1"/>
      <c r="SJC229" s="1"/>
      <c r="SJD229" s="1"/>
      <c r="SJE229" s="1"/>
      <c r="SJF229" s="1"/>
      <c r="SJG229" s="1"/>
      <c r="SJH229" s="1"/>
      <c r="SJI229" s="1"/>
      <c r="SJJ229" s="1"/>
      <c r="SJK229" s="1"/>
      <c r="SJL229" s="1"/>
      <c r="SJM229" s="1"/>
      <c r="SJN229" s="1"/>
      <c r="SJO229" s="1"/>
      <c r="SJP229" s="1"/>
      <c r="SJQ229" s="1"/>
      <c r="SJR229" s="1"/>
      <c r="SJS229" s="1"/>
      <c r="SJT229" s="1"/>
      <c r="SJU229" s="1"/>
      <c r="SJV229" s="1"/>
      <c r="SJW229" s="1"/>
      <c r="SJX229" s="1"/>
      <c r="SJY229" s="1"/>
      <c r="SJZ229" s="1"/>
      <c r="SKA229" s="1"/>
      <c r="SKB229" s="1"/>
      <c r="SKC229" s="1"/>
      <c r="SKD229" s="1"/>
      <c r="SKE229" s="1"/>
      <c r="SKF229" s="1"/>
      <c r="SKG229" s="1"/>
      <c r="SKH229" s="1"/>
      <c r="SKI229" s="1"/>
      <c r="SKJ229" s="1"/>
      <c r="SKK229" s="1"/>
      <c r="SKL229" s="1"/>
      <c r="SKM229" s="1"/>
      <c r="SKN229" s="1"/>
      <c r="SKO229" s="1"/>
      <c r="SKP229" s="1"/>
      <c r="SKQ229" s="1"/>
      <c r="SKR229" s="1"/>
      <c r="SKS229" s="1"/>
      <c r="SKT229" s="1"/>
      <c r="SKU229" s="1"/>
      <c r="SKV229" s="1"/>
      <c r="SKW229" s="1"/>
      <c r="SKX229" s="1"/>
      <c r="SKY229" s="1"/>
      <c r="SKZ229" s="1"/>
      <c r="SLA229" s="1"/>
      <c r="SLB229" s="1"/>
      <c r="SLC229" s="1"/>
      <c r="SLD229" s="1"/>
      <c r="SLE229" s="1"/>
      <c r="SLF229" s="1"/>
      <c r="SLG229" s="1"/>
      <c r="SLH229" s="1"/>
      <c r="SLI229" s="1"/>
      <c r="SLJ229" s="1"/>
      <c r="SLK229" s="1"/>
      <c r="SLL229" s="1"/>
      <c r="SLM229" s="1"/>
      <c r="SLN229" s="1"/>
      <c r="SLO229" s="1"/>
      <c r="SLP229" s="1"/>
      <c r="SLQ229" s="1"/>
      <c r="SLR229" s="1"/>
      <c r="SLS229" s="1"/>
      <c r="SLT229" s="1"/>
      <c r="SLU229" s="1"/>
      <c r="SLV229" s="1"/>
      <c r="SLW229" s="1"/>
      <c r="SLX229" s="1"/>
      <c r="SLY229" s="1"/>
      <c r="SLZ229" s="1"/>
      <c r="SMA229" s="1"/>
      <c r="SMB229" s="1"/>
      <c r="SMC229" s="1"/>
      <c r="SMD229" s="1"/>
      <c r="SME229" s="1"/>
      <c r="SMF229" s="1"/>
      <c r="SMG229" s="1"/>
      <c r="SMH229" s="1"/>
      <c r="SMI229" s="1"/>
      <c r="SMJ229" s="1"/>
      <c r="SMK229" s="1"/>
      <c r="SML229" s="1"/>
      <c r="SMM229" s="1"/>
      <c r="SMN229" s="1"/>
      <c r="SMO229" s="1"/>
      <c r="SMP229" s="1"/>
      <c r="SMQ229" s="1"/>
      <c r="SMR229" s="1"/>
      <c r="SMS229" s="1"/>
      <c r="SMT229" s="1"/>
      <c r="SMU229" s="1"/>
      <c r="SMV229" s="1"/>
      <c r="SMW229" s="1"/>
      <c r="SMX229" s="1"/>
      <c r="SMY229" s="1"/>
      <c r="SMZ229" s="1"/>
      <c r="SNA229" s="1"/>
      <c r="SNB229" s="1"/>
      <c r="SNC229" s="1"/>
      <c r="SND229" s="1"/>
      <c r="SNE229" s="1"/>
      <c r="SNF229" s="1"/>
      <c r="SNG229" s="1"/>
      <c r="SNH229" s="1"/>
      <c r="SNI229" s="1"/>
      <c r="SNJ229" s="1"/>
      <c r="SNK229" s="1"/>
      <c r="SNL229" s="1"/>
      <c r="SNM229" s="1"/>
      <c r="SNN229" s="1"/>
      <c r="SNO229" s="1"/>
      <c r="SNP229" s="1"/>
      <c r="SNQ229" s="1"/>
      <c r="SNR229" s="1"/>
      <c r="SNS229" s="1"/>
      <c r="SNT229" s="1"/>
      <c r="SNU229" s="1"/>
      <c r="SNV229" s="1"/>
      <c r="SNW229" s="1"/>
      <c r="SNX229" s="1"/>
      <c r="SNY229" s="1"/>
      <c r="SNZ229" s="1"/>
      <c r="SOA229" s="1"/>
      <c r="SOB229" s="1"/>
      <c r="SOC229" s="1"/>
      <c r="SOD229" s="1"/>
      <c r="SOE229" s="1"/>
      <c r="SOF229" s="1"/>
      <c r="SOG229" s="1"/>
      <c r="SOH229" s="1"/>
      <c r="SOI229" s="1"/>
      <c r="SOJ229" s="1"/>
      <c r="SOK229" s="1"/>
      <c r="SOL229" s="1"/>
      <c r="SOM229" s="1"/>
      <c r="SON229" s="1"/>
      <c r="SOO229" s="1"/>
      <c r="SOP229" s="1"/>
      <c r="SOQ229" s="1"/>
      <c r="SOR229" s="1"/>
      <c r="SOS229" s="1"/>
      <c r="SOT229" s="1"/>
      <c r="SOU229" s="1"/>
      <c r="SOV229" s="1"/>
      <c r="SOW229" s="1"/>
      <c r="SOX229" s="1"/>
      <c r="SOY229" s="1"/>
      <c r="SOZ229" s="1"/>
      <c r="SPA229" s="1"/>
      <c r="SPB229" s="1"/>
      <c r="SPC229" s="1"/>
      <c r="SPD229" s="1"/>
      <c r="SPE229" s="1"/>
      <c r="SPF229" s="1"/>
      <c r="SPG229" s="1"/>
      <c r="SPH229" s="1"/>
      <c r="SPI229" s="1"/>
      <c r="SPJ229" s="1"/>
      <c r="SPK229" s="1"/>
      <c r="SPL229" s="1"/>
      <c r="SPM229" s="1"/>
      <c r="SPN229" s="1"/>
      <c r="SPO229" s="1"/>
      <c r="SPP229" s="1"/>
      <c r="SPQ229" s="1"/>
      <c r="SPR229" s="1"/>
      <c r="SPS229" s="1"/>
      <c r="SPT229" s="1"/>
      <c r="SPU229" s="1"/>
      <c r="SPV229" s="1"/>
      <c r="SPW229" s="1"/>
      <c r="SPX229" s="1"/>
      <c r="SPY229" s="1"/>
      <c r="SPZ229" s="1"/>
      <c r="SQA229" s="1"/>
      <c r="SQB229" s="1"/>
      <c r="SQC229" s="1"/>
      <c r="SQD229" s="1"/>
      <c r="SQE229" s="1"/>
      <c r="SQF229" s="1"/>
      <c r="SQG229" s="1"/>
      <c r="SQH229" s="1"/>
      <c r="SQI229" s="1"/>
      <c r="SQJ229" s="1"/>
      <c r="SQK229" s="1"/>
      <c r="SQL229" s="1"/>
      <c r="SQM229" s="1"/>
      <c r="SQN229" s="1"/>
      <c r="SQO229" s="1"/>
      <c r="SQP229" s="1"/>
      <c r="SQQ229" s="1"/>
      <c r="SQR229" s="1"/>
      <c r="SQS229" s="1"/>
      <c r="SQT229" s="1"/>
      <c r="SQU229" s="1"/>
      <c r="SQV229" s="1"/>
      <c r="SQW229" s="1"/>
      <c r="SQX229" s="1"/>
      <c r="SQY229" s="1"/>
      <c r="SQZ229" s="1"/>
      <c r="SRA229" s="1"/>
      <c r="SRB229" s="1"/>
      <c r="SRC229" s="1"/>
      <c r="SRD229" s="1"/>
      <c r="SRE229" s="1"/>
      <c r="SRF229" s="1"/>
      <c r="SRG229" s="1"/>
      <c r="SRH229" s="1"/>
      <c r="SRI229" s="1"/>
      <c r="SRJ229" s="1"/>
      <c r="SRK229" s="1"/>
      <c r="SRL229" s="1"/>
      <c r="SRM229" s="1"/>
      <c r="SRN229" s="1"/>
      <c r="SRO229" s="1"/>
      <c r="SRP229" s="1"/>
      <c r="SRQ229" s="1"/>
      <c r="SRR229" s="1"/>
      <c r="SRS229" s="1"/>
      <c r="SRT229" s="1"/>
      <c r="SRU229" s="1"/>
      <c r="SRV229" s="1"/>
      <c r="SRW229" s="1"/>
      <c r="SRX229" s="1"/>
      <c r="SRY229" s="1"/>
      <c r="SRZ229" s="1"/>
      <c r="SSA229" s="1"/>
      <c r="SSB229" s="1"/>
      <c r="SSC229" s="1"/>
      <c r="SSD229" s="1"/>
      <c r="SSE229" s="1"/>
      <c r="SSF229" s="1"/>
      <c r="SSG229" s="1"/>
      <c r="SSH229" s="1"/>
      <c r="SSI229" s="1"/>
      <c r="SSJ229" s="1"/>
      <c r="SSK229" s="1"/>
      <c r="SSL229" s="1"/>
      <c r="SSM229" s="1"/>
      <c r="SSN229" s="1"/>
      <c r="SSO229" s="1"/>
      <c r="SSP229" s="1"/>
      <c r="SSQ229" s="1"/>
      <c r="SSR229" s="1"/>
      <c r="SSS229" s="1"/>
      <c r="SST229" s="1"/>
      <c r="SSU229" s="1"/>
      <c r="SSV229" s="1"/>
      <c r="SSW229" s="1"/>
      <c r="SSX229" s="1"/>
      <c r="SSY229" s="1"/>
      <c r="SSZ229" s="1"/>
      <c r="STA229" s="1"/>
      <c r="STB229" s="1"/>
      <c r="STC229" s="1"/>
      <c r="STD229" s="1"/>
      <c r="STE229" s="1"/>
      <c r="STF229" s="1"/>
      <c r="STG229" s="1"/>
      <c r="STH229" s="1"/>
      <c r="STI229" s="1"/>
      <c r="STJ229" s="1"/>
      <c r="STK229" s="1"/>
      <c r="STL229" s="1"/>
      <c r="STM229" s="1"/>
      <c r="STN229" s="1"/>
      <c r="STO229" s="1"/>
      <c r="STP229" s="1"/>
      <c r="STQ229" s="1"/>
      <c r="STR229" s="1"/>
      <c r="STS229" s="1"/>
      <c r="STT229" s="1"/>
      <c r="STU229" s="1"/>
      <c r="STV229" s="1"/>
      <c r="STW229" s="1"/>
      <c r="STX229" s="1"/>
      <c r="STY229" s="1"/>
      <c r="STZ229" s="1"/>
      <c r="SUA229" s="1"/>
      <c r="SUB229" s="1"/>
      <c r="SUC229" s="1"/>
      <c r="SUD229" s="1"/>
      <c r="SUE229" s="1"/>
      <c r="SUF229" s="1"/>
      <c r="SUG229" s="1"/>
      <c r="SUH229" s="1"/>
      <c r="SUI229" s="1"/>
      <c r="SUJ229" s="1"/>
      <c r="SUK229" s="1"/>
      <c r="SUL229" s="1"/>
      <c r="SUM229" s="1"/>
      <c r="SUN229" s="1"/>
      <c r="SUO229" s="1"/>
      <c r="SUP229" s="1"/>
      <c r="SUQ229" s="1"/>
      <c r="SUR229" s="1"/>
      <c r="SUS229" s="1"/>
      <c r="SUT229" s="1"/>
      <c r="SUU229" s="1"/>
      <c r="SUV229" s="1"/>
      <c r="SUW229" s="1"/>
      <c r="SUX229" s="1"/>
      <c r="SUY229" s="1"/>
      <c r="SUZ229" s="1"/>
      <c r="SVA229" s="1"/>
      <c r="SVB229" s="1"/>
      <c r="SVC229" s="1"/>
      <c r="SVD229" s="1"/>
      <c r="SVE229" s="1"/>
      <c r="SVF229" s="1"/>
      <c r="SVG229" s="1"/>
      <c r="SVH229" s="1"/>
      <c r="SVI229" s="1"/>
      <c r="SVJ229" s="1"/>
      <c r="SVK229" s="1"/>
      <c r="SVL229" s="1"/>
      <c r="SVM229" s="1"/>
      <c r="SVN229" s="1"/>
      <c r="SVO229" s="1"/>
      <c r="SVP229" s="1"/>
      <c r="SVQ229" s="1"/>
      <c r="SVR229" s="1"/>
      <c r="SVS229" s="1"/>
      <c r="SVT229" s="1"/>
      <c r="SVU229" s="1"/>
      <c r="SVV229" s="1"/>
      <c r="SVW229" s="1"/>
      <c r="SVX229" s="1"/>
      <c r="SVY229" s="1"/>
      <c r="SVZ229" s="1"/>
      <c r="SWA229" s="1"/>
      <c r="SWB229" s="1"/>
      <c r="SWC229" s="1"/>
      <c r="SWD229" s="1"/>
      <c r="SWE229" s="1"/>
      <c r="SWF229" s="1"/>
      <c r="SWG229" s="1"/>
      <c r="SWH229" s="1"/>
      <c r="SWI229" s="1"/>
      <c r="SWJ229" s="1"/>
      <c r="SWK229" s="1"/>
      <c r="SWL229" s="1"/>
      <c r="SWM229" s="1"/>
      <c r="SWN229" s="1"/>
      <c r="SWO229" s="1"/>
      <c r="SWP229" s="1"/>
      <c r="SWQ229" s="1"/>
      <c r="SWR229" s="1"/>
      <c r="SWS229" s="1"/>
      <c r="SWT229" s="1"/>
      <c r="SWU229" s="1"/>
      <c r="SWV229" s="1"/>
      <c r="SWW229" s="1"/>
      <c r="SWX229" s="1"/>
      <c r="SWY229" s="1"/>
      <c r="SWZ229" s="1"/>
      <c r="SXA229" s="1"/>
      <c r="SXB229" s="1"/>
      <c r="SXC229" s="1"/>
      <c r="SXD229" s="1"/>
      <c r="SXE229" s="1"/>
      <c r="SXF229" s="1"/>
      <c r="SXG229" s="1"/>
      <c r="SXH229" s="1"/>
      <c r="SXI229" s="1"/>
      <c r="SXJ229" s="1"/>
      <c r="SXK229" s="1"/>
      <c r="SXL229" s="1"/>
      <c r="SXM229" s="1"/>
      <c r="SXN229" s="1"/>
      <c r="SXO229" s="1"/>
      <c r="SXP229" s="1"/>
      <c r="SXQ229" s="1"/>
      <c r="SXR229" s="1"/>
      <c r="SXS229" s="1"/>
      <c r="SXT229" s="1"/>
      <c r="SXU229" s="1"/>
      <c r="SXV229" s="1"/>
      <c r="SXW229" s="1"/>
      <c r="SXX229" s="1"/>
      <c r="SXY229" s="1"/>
      <c r="SXZ229" s="1"/>
      <c r="SYA229" s="1"/>
      <c r="SYB229" s="1"/>
      <c r="SYC229" s="1"/>
      <c r="SYD229" s="1"/>
      <c r="SYE229" s="1"/>
      <c r="SYF229" s="1"/>
      <c r="SYG229" s="1"/>
      <c r="SYH229" s="1"/>
      <c r="SYI229" s="1"/>
      <c r="SYJ229" s="1"/>
      <c r="SYK229" s="1"/>
      <c r="SYL229" s="1"/>
      <c r="SYM229" s="1"/>
      <c r="SYN229" s="1"/>
      <c r="SYO229" s="1"/>
      <c r="SYP229" s="1"/>
      <c r="SYQ229" s="1"/>
      <c r="SYR229" s="1"/>
      <c r="SYS229" s="1"/>
      <c r="SYT229" s="1"/>
      <c r="SYU229" s="1"/>
      <c r="SYV229" s="1"/>
      <c r="SYW229" s="1"/>
      <c r="SYX229" s="1"/>
      <c r="SYY229" s="1"/>
      <c r="SYZ229" s="1"/>
      <c r="SZA229" s="1"/>
      <c r="SZB229" s="1"/>
      <c r="SZC229" s="1"/>
      <c r="SZD229" s="1"/>
      <c r="SZE229" s="1"/>
      <c r="SZF229" s="1"/>
      <c r="SZG229" s="1"/>
      <c r="SZH229" s="1"/>
      <c r="SZI229" s="1"/>
      <c r="SZJ229" s="1"/>
      <c r="SZK229" s="1"/>
      <c r="SZL229" s="1"/>
      <c r="SZM229" s="1"/>
      <c r="SZN229" s="1"/>
      <c r="SZO229" s="1"/>
      <c r="SZP229" s="1"/>
      <c r="SZQ229" s="1"/>
      <c r="SZR229" s="1"/>
      <c r="SZS229" s="1"/>
      <c r="SZT229" s="1"/>
      <c r="SZU229" s="1"/>
      <c r="SZV229" s="1"/>
      <c r="SZW229" s="1"/>
      <c r="SZX229" s="1"/>
      <c r="SZY229" s="1"/>
      <c r="SZZ229" s="1"/>
      <c r="TAA229" s="1"/>
      <c r="TAB229" s="1"/>
      <c r="TAC229" s="1"/>
      <c r="TAD229" s="1"/>
      <c r="TAE229" s="1"/>
      <c r="TAF229" s="1"/>
      <c r="TAG229" s="1"/>
      <c r="TAH229" s="1"/>
      <c r="TAI229" s="1"/>
      <c r="TAJ229" s="1"/>
      <c r="TAK229" s="1"/>
      <c r="TAL229" s="1"/>
      <c r="TAM229" s="1"/>
      <c r="TAN229" s="1"/>
      <c r="TAO229" s="1"/>
      <c r="TAP229" s="1"/>
      <c r="TAQ229" s="1"/>
      <c r="TAR229" s="1"/>
      <c r="TAS229" s="1"/>
      <c r="TAT229" s="1"/>
      <c r="TAU229" s="1"/>
      <c r="TAV229" s="1"/>
      <c r="TAW229" s="1"/>
      <c r="TAX229" s="1"/>
      <c r="TAY229" s="1"/>
      <c r="TAZ229" s="1"/>
      <c r="TBA229" s="1"/>
      <c r="TBB229" s="1"/>
      <c r="TBC229" s="1"/>
      <c r="TBD229" s="1"/>
      <c r="TBE229" s="1"/>
      <c r="TBF229" s="1"/>
      <c r="TBG229" s="1"/>
      <c r="TBH229" s="1"/>
      <c r="TBI229" s="1"/>
      <c r="TBJ229" s="1"/>
      <c r="TBK229" s="1"/>
      <c r="TBL229" s="1"/>
      <c r="TBM229" s="1"/>
      <c r="TBN229" s="1"/>
      <c r="TBO229" s="1"/>
      <c r="TBP229" s="1"/>
      <c r="TBQ229" s="1"/>
      <c r="TBR229" s="1"/>
      <c r="TBS229" s="1"/>
      <c r="TBT229" s="1"/>
      <c r="TBU229" s="1"/>
      <c r="TBV229" s="1"/>
      <c r="TBW229" s="1"/>
      <c r="TBX229" s="1"/>
      <c r="TBY229" s="1"/>
      <c r="TBZ229" s="1"/>
      <c r="TCA229" s="1"/>
      <c r="TCB229" s="1"/>
      <c r="TCC229" s="1"/>
      <c r="TCD229" s="1"/>
      <c r="TCE229" s="1"/>
      <c r="TCF229" s="1"/>
      <c r="TCG229" s="1"/>
      <c r="TCH229" s="1"/>
      <c r="TCI229" s="1"/>
      <c r="TCJ229" s="1"/>
      <c r="TCK229" s="1"/>
      <c r="TCL229" s="1"/>
      <c r="TCM229" s="1"/>
      <c r="TCN229" s="1"/>
      <c r="TCO229" s="1"/>
      <c r="TCP229" s="1"/>
      <c r="TCQ229" s="1"/>
      <c r="TCR229" s="1"/>
      <c r="TCS229" s="1"/>
      <c r="TCT229" s="1"/>
      <c r="TCU229" s="1"/>
      <c r="TCV229" s="1"/>
      <c r="TCW229" s="1"/>
      <c r="TCX229" s="1"/>
      <c r="TCY229" s="1"/>
      <c r="TCZ229" s="1"/>
      <c r="TDA229" s="1"/>
      <c r="TDB229" s="1"/>
      <c r="TDC229" s="1"/>
      <c r="TDD229" s="1"/>
      <c r="TDE229" s="1"/>
      <c r="TDF229" s="1"/>
      <c r="TDG229" s="1"/>
      <c r="TDH229" s="1"/>
      <c r="TDI229" s="1"/>
      <c r="TDJ229" s="1"/>
      <c r="TDK229" s="1"/>
      <c r="TDL229" s="1"/>
      <c r="TDM229" s="1"/>
      <c r="TDN229" s="1"/>
      <c r="TDO229" s="1"/>
      <c r="TDP229" s="1"/>
      <c r="TDQ229" s="1"/>
      <c r="TDR229" s="1"/>
      <c r="TDS229" s="1"/>
      <c r="TDT229" s="1"/>
      <c r="TDU229" s="1"/>
      <c r="TDV229" s="1"/>
      <c r="TDW229" s="1"/>
      <c r="TDX229" s="1"/>
      <c r="TDY229" s="1"/>
      <c r="TDZ229" s="1"/>
      <c r="TEA229" s="1"/>
      <c r="TEB229" s="1"/>
      <c r="TEC229" s="1"/>
      <c r="TED229" s="1"/>
      <c r="TEE229" s="1"/>
      <c r="TEF229" s="1"/>
      <c r="TEG229" s="1"/>
      <c r="TEH229" s="1"/>
      <c r="TEI229" s="1"/>
      <c r="TEJ229" s="1"/>
      <c r="TEK229" s="1"/>
      <c r="TEL229" s="1"/>
      <c r="TEM229" s="1"/>
      <c r="TEN229" s="1"/>
      <c r="TEO229" s="1"/>
      <c r="TEP229" s="1"/>
      <c r="TEQ229" s="1"/>
      <c r="TER229" s="1"/>
      <c r="TES229" s="1"/>
      <c r="TET229" s="1"/>
      <c r="TEU229" s="1"/>
      <c r="TEV229" s="1"/>
      <c r="TEW229" s="1"/>
      <c r="TEX229" s="1"/>
      <c r="TEY229" s="1"/>
      <c r="TEZ229" s="1"/>
      <c r="TFA229" s="1"/>
      <c r="TFB229" s="1"/>
      <c r="TFC229" s="1"/>
      <c r="TFD229" s="1"/>
      <c r="TFE229" s="1"/>
      <c r="TFF229" s="1"/>
      <c r="TFG229" s="1"/>
      <c r="TFH229" s="1"/>
      <c r="TFI229" s="1"/>
      <c r="TFJ229" s="1"/>
      <c r="TFK229" s="1"/>
      <c r="TFL229" s="1"/>
      <c r="TFM229" s="1"/>
      <c r="TFN229" s="1"/>
      <c r="TFO229" s="1"/>
      <c r="TFP229" s="1"/>
      <c r="TFQ229" s="1"/>
      <c r="TFR229" s="1"/>
      <c r="TFS229" s="1"/>
      <c r="TFT229" s="1"/>
      <c r="TFU229" s="1"/>
      <c r="TFV229" s="1"/>
      <c r="TFW229" s="1"/>
      <c r="TFX229" s="1"/>
      <c r="TFY229" s="1"/>
      <c r="TFZ229" s="1"/>
      <c r="TGA229" s="1"/>
      <c r="TGB229" s="1"/>
      <c r="TGC229" s="1"/>
      <c r="TGD229" s="1"/>
      <c r="TGE229" s="1"/>
      <c r="TGF229" s="1"/>
      <c r="TGG229" s="1"/>
      <c r="TGH229" s="1"/>
      <c r="TGI229" s="1"/>
      <c r="TGJ229" s="1"/>
      <c r="TGK229" s="1"/>
      <c r="TGL229" s="1"/>
      <c r="TGM229" s="1"/>
      <c r="TGN229" s="1"/>
      <c r="TGO229" s="1"/>
      <c r="TGP229" s="1"/>
      <c r="TGQ229" s="1"/>
      <c r="TGR229" s="1"/>
      <c r="TGS229" s="1"/>
      <c r="TGT229" s="1"/>
      <c r="TGU229" s="1"/>
      <c r="TGV229" s="1"/>
      <c r="TGW229" s="1"/>
      <c r="TGX229" s="1"/>
      <c r="TGY229" s="1"/>
      <c r="TGZ229" s="1"/>
      <c r="THA229" s="1"/>
      <c r="THB229" s="1"/>
      <c r="THC229" s="1"/>
      <c r="THD229" s="1"/>
      <c r="THE229" s="1"/>
      <c r="THF229" s="1"/>
      <c r="THG229" s="1"/>
      <c r="THH229" s="1"/>
      <c r="THI229" s="1"/>
      <c r="THJ229" s="1"/>
      <c r="THK229" s="1"/>
      <c r="THL229" s="1"/>
      <c r="THM229" s="1"/>
      <c r="THN229" s="1"/>
      <c r="THO229" s="1"/>
      <c r="THP229" s="1"/>
      <c r="THQ229" s="1"/>
      <c r="THR229" s="1"/>
      <c r="THS229" s="1"/>
      <c r="THT229" s="1"/>
      <c r="THU229" s="1"/>
      <c r="THV229" s="1"/>
      <c r="THW229" s="1"/>
      <c r="THX229" s="1"/>
      <c r="THY229" s="1"/>
      <c r="THZ229" s="1"/>
      <c r="TIA229" s="1"/>
      <c r="TIB229" s="1"/>
      <c r="TIC229" s="1"/>
      <c r="TID229" s="1"/>
      <c r="TIE229" s="1"/>
      <c r="TIF229" s="1"/>
      <c r="TIG229" s="1"/>
      <c r="TIH229" s="1"/>
      <c r="TII229" s="1"/>
      <c r="TIJ229" s="1"/>
      <c r="TIK229" s="1"/>
      <c r="TIL229" s="1"/>
      <c r="TIM229" s="1"/>
      <c r="TIN229" s="1"/>
      <c r="TIO229" s="1"/>
      <c r="TIP229" s="1"/>
      <c r="TIQ229" s="1"/>
      <c r="TIR229" s="1"/>
      <c r="TIS229" s="1"/>
      <c r="TIT229" s="1"/>
      <c r="TIU229" s="1"/>
      <c r="TIV229" s="1"/>
      <c r="TIW229" s="1"/>
      <c r="TIX229" s="1"/>
      <c r="TIY229" s="1"/>
      <c r="TIZ229" s="1"/>
      <c r="TJA229" s="1"/>
      <c r="TJB229" s="1"/>
      <c r="TJC229" s="1"/>
      <c r="TJD229" s="1"/>
      <c r="TJE229" s="1"/>
      <c r="TJF229" s="1"/>
      <c r="TJG229" s="1"/>
      <c r="TJH229" s="1"/>
      <c r="TJI229" s="1"/>
      <c r="TJJ229" s="1"/>
      <c r="TJK229" s="1"/>
      <c r="TJL229" s="1"/>
      <c r="TJM229" s="1"/>
      <c r="TJN229" s="1"/>
      <c r="TJO229" s="1"/>
      <c r="TJP229" s="1"/>
      <c r="TJQ229" s="1"/>
      <c r="TJR229" s="1"/>
      <c r="TJS229" s="1"/>
      <c r="TJT229" s="1"/>
      <c r="TJU229" s="1"/>
      <c r="TJV229" s="1"/>
      <c r="TJW229" s="1"/>
      <c r="TJX229" s="1"/>
      <c r="TJY229" s="1"/>
      <c r="TJZ229" s="1"/>
      <c r="TKA229" s="1"/>
      <c r="TKB229" s="1"/>
      <c r="TKC229" s="1"/>
      <c r="TKD229" s="1"/>
      <c r="TKE229" s="1"/>
      <c r="TKF229" s="1"/>
      <c r="TKG229" s="1"/>
      <c r="TKH229" s="1"/>
      <c r="TKI229" s="1"/>
      <c r="TKJ229" s="1"/>
      <c r="TKK229" s="1"/>
      <c r="TKL229" s="1"/>
      <c r="TKM229" s="1"/>
      <c r="TKN229" s="1"/>
      <c r="TKO229" s="1"/>
      <c r="TKP229" s="1"/>
      <c r="TKQ229" s="1"/>
      <c r="TKR229" s="1"/>
      <c r="TKS229" s="1"/>
      <c r="TKT229" s="1"/>
      <c r="TKU229" s="1"/>
      <c r="TKV229" s="1"/>
      <c r="TKW229" s="1"/>
      <c r="TKX229" s="1"/>
      <c r="TKY229" s="1"/>
      <c r="TKZ229" s="1"/>
      <c r="TLA229" s="1"/>
      <c r="TLB229" s="1"/>
      <c r="TLC229" s="1"/>
      <c r="TLD229" s="1"/>
      <c r="TLE229" s="1"/>
      <c r="TLF229" s="1"/>
      <c r="TLG229" s="1"/>
      <c r="TLH229" s="1"/>
      <c r="TLI229" s="1"/>
      <c r="TLJ229" s="1"/>
      <c r="TLK229" s="1"/>
      <c r="TLL229" s="1"/>
      <c r="TLM229" s="1"/>
      <c r="TLN229" s="1"/>
      <c r="TLO229" s="1"/>
      <c r="TLP229" s="1"/>
      <c r="TLQ229" s="1"/>
      <c r="TLR229" s="1"/>
      <c r="TLS229" s="1"/>
      <c r="TLT229" s="1"/>
      <c r="TLU229" s="1"/>
      <c r="TLV229" s="1"/>
      <c r="TLW229" s="1"/>
      <c r="TLX229" s="1"/>
      <c r="TLY229" s="1"/>
      <c r="TLZ229" s="1"/>
      <c r="TMA229" s="1"/>
      <c r="TMB229" s="1"/>
      <c r="TMC229" s="1"/>
      <c r="TMD229" s="1"/>
      <c r="TME229" s="1"/>
      <c r="TMF229" s="1"/>
      <c r="TMG229" s="1"/>
      <c r="TMH229" s="1"/>
      <c r="TMI229" s="1"/>
      <c r="TMJ229" s="1"/>
      <c r="TMK229" s="1"/>
      <c r="TML229" s="1"/>
      <c r="TMM229" s="1"/>
      <c r="TMN229" s="1"/>
      <c r="TMO229" s="1"/>
      <c r="TMP229" s="1"/>
      <c r="TMQ229" s="1"/>
      <c r="TMR229" s="1"/>
      <c r="TMS229" s="1"/>
      <c r="TMT229" s="1"/>
      <c r="TMU229" s="1"/>
      <c r="TMV229" s="1"/>
      <c r="TMW229" s="1"/>
      <c r="TMX229" s="1"/>
      <c r="TMY229" s="1"/>
      <c r="TMZ229" s="1"/>
      <c r="TNA229" s="1"/>
      <c r="TNB229" s="1"/>
      <c r="TNC229" s="1"/>
      <c r="TND229" s="1"/>
      <c r="TNE229" s="1"/>
      <c r="TNF229" s="1"/>
      <c r="TNG229" s="1"/>
      <c r="TNH229" s="1"/>
      <c r="TNI229" s="1"/>
      <c r="TNJ229" s="1"/>
      <c r="TNK229" s="1"/>
      <c r="TNL229" s="1"/>
      <c r="TNM229" s="1"/>
      <c r="TNN229" s="1"/>
      <c r="TNO229" s="1"/>
      <c r="TNP229" s="1"/>
      <c r="TNQ229" s="1"/>
      <c r="TNR229" s="1"/>
      <c r="TNS229" s="1"/>
      <c r="TNT229" s="1"/>
      <c r="TNU229" s="1"/>
      <c r="TNV229" s="1"/>
      <c r="TNW229" s="1"/>
      <c r="TNX229" s="1"/>
      <c r="TNY229" s="1"/>
      <c r="TNZ229" s="1"/>
      <c r="TOA229" s="1"/>
      <c r="TOB229" s="1"/>
      <c r="TOC229" s="1"/>
      <c r="TOD229" s="1"/>
      <c r="TOE229" s="1"/>
      <c r="TOF229" s="1"/>
      <c r="TOG229" s="1"/>
      <c r="TOH229" s="1"/>
      <c r="TOI229" s="1"/>
      <c r="TOJ229" s="1"/>
      <c r="TOK229" s="1"/>
      <c r="TOL229" s="1"/>
      <c r="TOM229" s="1"/>
      <c r="TON229" s="1"/>
      <c r="TOO229" s="1"/>
      <c r="TOP229" s="1"/>
      <c r="TOQ229" s="1"/>
      <c r="TOR229" s="1"/>
      <c r="TOS229" s="1"/>
      <c r="TOT229" s="1"/>
      <c r="TOU229" s="1"/>
      <c r="TOV229" s="1"/>
      <c r="TOW229" s="1"/>
      <c r="TOX229" s="1"/>
      <c r="TOY229" s="1"/>
      <c r="TOZ229" s="1"/>
      <c r="TPA229" s="1"/>
      <c r="TPB229" s="1"/>
      <c r="TPC229" s="1"/>
      <c r="TPD229" s="1"/>
      <c r="TPE229" s="1"/>
      <c r="TPF229" s="1"/>
      <c r="TPG229" s="1"/>
      <c r="TPH229" s="1"/>
      <c r="TPI229" s="1"/>
      <c r="TPJ229" s="1"/>
      <c r="TPK229" s="1"/>
      <c r="TPL229" s="1"/>
      <c r="TPM229" s="1"/>
      <c r="TPN229" s="1"/>
      <c r="TPO229" s="1"/>
      <c r="TPP229" s="1"/>
      <c r="TPQ229" s="1"/>
      <c r="TPR229" s="1"/>
      <c r="TPS229" s="1"/>
      <c r="TPT229" s="1"/>
      <c r="TPU229" s="1"/>
      <c r="TPV229" s="1"/>
      <c r="TPW229" s="1"/>
      <c r="TPX229" s="1"/>
      <c r="TPY229" s="1"/>
      <c r="TPZ229" s="1"/>
      <c r="TQA229" s="1"/>
      <c r="TQB229" s="1"/>
      <c r="TQC229" s="1"/>
      <c r="TQD229" s="1"/>
      <c r="TQE229" s="1"/>
      <c r="TQF229" s="1"/>
      <c r="TQG229" s="1"/>
      <c r="TQH229" s="1"/>
      <c r="TQI229" s="1"/>
      <c r="TQJ229" s="1"/>
      <c r="TQK229" s="1"/>
      <c r="TQL229" s="1"/>
      <c r="TQM229" s="1"/>
      <c r="TQN229" s="1"/>
      <c r="TQO229" s="1"/>
      <c r="TQP229" s="1"/>
      <c r="TQQ229" s="1"/>
      <c r="TQR229" s="1"/>
      <c r="TQS229" s="1"/>
      <c r="TQT229" s="1"/>
      <c r="TQU229" s="1"/>
      <c r="TQV229" s="1"/>
      <c r="TQW229" s="1"/>
      <c r="TQX229" s="1"/>
      <c r="TQY229" s="1"/>
      <c r="TQZ229" s="1"/>
      <c r="TRA229" s="1"/>
      <c r="TRB229" s="1"/>
      <c r="TRC229" s="1"/>
      <c r="TRD229" s="1"/>
      <c r="TRE229" s="1"/>
      <c r="TRF229" s="1"/>
      <c r="TRG229" s="1"/>
      <c r="TRH229" s="1"/>
      <c r="TRI229" s="1"/>
      <c r="TRJ229" s="1"/>
      <c r="TRK229" s="1"/>
      <c r="TRL229" s="1"/>
      <c r="TRM229" s="1"/>
      <c r="TRN229" s="1"/>
      <c r="TRO229" s="1"/>
      <c r="TRP229" s="1"/>
      <c r="TRQ229" s="1"/>
      <c r="TRR229" s="1"/>
      <c r="TRS229" s="1"/>
      <c r="TRT229" s="1"/>
      <c r="TRU229" s="1"/>
      <c r="TRV229" s="1"/>
      <c r="TRW229" s="1"/>
      <c r="TRX229" s="1"/>
      <c r="TRY229" s="1"/>
      <c r="TRZ229" s="1"/>
      <c r="TSA229" s="1"/>
      <c r="TSB229" s="1"/>
      <c r="TSC229" s="1"/>
      <c r="TSD229" s="1"/>
      <c r="TSE229" s="1"/>
      <c r="TSF229" s="1"/>
      <c r="TSG229" s="1"/>
      <c r="TSH229" s="1"/>
      <c r="TSI229" s="1"/>
      <c r="TSJ229" s="1"/>
      <c r="TSK229" s="1"/>
      <c r="TSL229" s="1"/>
      <c r="TSM229" s="1"/>
      <c r="TSN229" s="1"/>
      <c r="TSO229" s="1"/>
      <c r="TSP229" s="1"/>
      <c r="TSQ229" s="1"/>
      <c r="TSR229" s="1"/>
      <c r="TSS229" s="1"/>
      <c r="TST229" s="1"/>
      <c r="TSU229" s="1"/>
      <c r="TSV229" s="1"/>
      <c r="TSW229" s="1"/>
      <c r="TSX229" s="1"/>
      <c r="TSY229" s="1"/>
      <c r="TSZ229" s="1"/>
      <c r="TTA229" s="1"/>
      <c r="TTB229" s="1"/>
      <c r="TTC229" s="1"/>
      <c r="TTD229" s="1"/>
      <c r="TTE229" s="1"/>
      <c r="TTF229" s="1"/>
      <c r="TTG229" s="1"/>
      <c r="TTH229" s="1"/>
      <c r="TTI229" s="1"/>
      <c r="TTJ229" s="1"/>
      <c r="TTK229" s="1"/>
      <c r="TTL229" s="1"/>
      <c r="TTM229" s="1"/>
      <c r="TTN229" s="1"/>
      <c r="TTO229" s="1"/>
      <c r="TTP229" s="1"/>
      <c r="TTQ229" s="1"/>
      <c r="TTR229" s="1"/>
      <c r="TTS229" s="1"/>
      <c r="TTT229" s="1"/>
      <c r="TTU229" s="1"/>
      <c r="TTV229" s="1"/>
      <c r="TTW229" s="1"/>
      <c r="TTX229" s="1"/>
      <c r="TTY229" s="1"/>
      <c r="TTZ229" s="1"/>
      <c r="TUA229" s="1"/>
      <c r="TUB229" s="1"/>
      <c r="TUC229" s="1"/>
      <c r="TUD229" s="1"/>
      <c r="TUE229" s="1"/>
      <c r="TUF229" s="1"/>
      <c r="TUG229" s="1"/>
      <c r="TUH229" s="1"/>
      <c r="TUI229" s="1"/>
      <c r="TUJ229" s="1"/>
      <c r="TUK229" s="1"/>
      <c r="TUL229" s="1"/>
      <c r="TUM229" s="1"/>
      <c r="TUN229" s="1"/>
      <c r="TUO229" s="1"/>
      <c r="TUP229" s="1"/>
      <c r="TUQ229" s="1"/>
      <c r="TUR229" s="1"/>
      <c r="TUS229" s="1"/>
      <c r="TUT229" s="1"/>
      <c r="TUU229" s="1"/>
      <c r="TUV229" s="1"/>
      <c r="TUW229" s="1"/>
      <c r="TUX229" s="1"/>
      <c r="TUY229" s="1"/>
      <c r="TUZ229" s="1"/>
      <c r="TVA229" s="1"/>
      <c r="TVB229" s="1"/>
      <c r="TVC229" s="1"/>
      <c r="TVD229" s="1"/>
      <c r="TVE229" s="1"/>
      <c r="TVF229" s="1"/>
      <c r="TVG229" s="1"/>
      <c r="TVH229" s="1"/>
      <c r="TVI229" s="1"/>
      <c r="TVJ229" s="1"/>
      <c r="TVK229" s="1"/>
      <c r="TVL229" s="1"/>
      <c r="TVM229" s="1"/>
      <c r="TVN229" s="1"/>
      <c r="TVO229" s="1"/>
      <c r="TVP229" s="1"/>
      <c r="TVQ229" s="1"/>
      <c r="TVR229" s="1"/>
      <c r="TVS229" s="1"/>
      <c r="TVT229" s="1"/>
      <c r="TVU229" s="1"/>
      <c r="TVV229" s="1"/>
      <c r="TVW229" s="1"/>
      <c r="TVX229" s="1"/>
      <c r="TVY229" s="1"/>
      <c r="TVZ229" s="1"/>
      <c r="TWA229" s="1"/>
      <c r="TWB229" s="1"/>
      <c r="TWC229" s="1"/>
      <c r="TWD229" s="1"/>
      <c r="TWE229" s="1"/>
      <c r="TWF229" s="1"/>
      <c r="TWG229" s="1"/>
      <c r="TWH229" s="1"/>
      <c r="TWI229" s="1"/>
      <c r="TWJ229" s="1"/>
      <c r="TWK229" s="1"/>
      <c r="TWL229" s="1"/>
      <c r="TWM229" s="1"/>
      <c r="TWN229" s="1"/>
      <c r="TWO229" s="1"/>
      <c r="TWP229" s="1"/>
      <c r="TWQ229" s="1"/>
      <c r="TWR229" s="1"/>
      <c r="TWS229" s="1"/>
      <c r="TWT229" s="1"/>
      <c r="TWU229" s="1"/>
      <c r="TWV229" s="1"/>
      <c r="TWW229" s="1"/>
      <c r="TWX229" s="1"/>
      <c r="TWY229" s="1"/>
      <c r="TWZ229" s="1"/>
      <c r="TXA229" s="1"/>
      <c r="TXB229" s="1"/>
      <c r="TXC229" s="1"/>
      <c r="TXD229" s="1"/>
      <c r="TXE229" s="1"/>
      <c r="TXF229" s="1"/>
      <c r="TXG229" s="1"/>
      <c r="TXH229" s="1"/>
      <c r="TXI229" s="1"/>
      <c r="TXJ229" s="1"/>
      <c r="TXK229" s="1"/>
      <c r="TXL229" s="1"/>
      <c r="TXM229" s="1"/>
      <c r="TXN229" s="1"/>
      <c r="TXO229" s="1"/>
      <c r="TXP229" s="1"/>
      <c r="TXQ229" s="1"/>
      <c r="TXR229" s="1"/>
      <c r="TXS229" s="1"/>
      <c r="TXT229" s="1"/>
      <c r="TXU229" s="1"/>
      <c r="TXV229" s="1"/>
      <c r="TXW229" s="1"/>
      <c r="TXX229" s="1"/>
      <c r="TXY229" s="1"/>
      <c r="TXZ229" s="1"/>
      <c r="TYA229" s="1"/>
      <c r="TYB229" s="1"/>
      <c r="TYC229" s="1"/>
      <c r="TYD229" s="1"/>
      <c r="TYE229" s="1"/>
      <c r="TYF229" s="1"/>
      <c r="TYG229" s="1"/>
      <c r="TYH229" s="1"/>
      <c r="TYI229" s="1"/>
      <c r="TYJ229" s="1"/>
      <c r="TYK229" s="1"/>
      <c r="TYL229" s="1"/>
      <c r="TYM229" s="1"/>
      <c r="TYN229" s="1"/>
      <c r="TYO229" s="1"/>
      <c r="TYP229" s="1"/>
      <c r="TYQ229" s="1"/>
      <c r="TYR229" s="1"/>
      <c r="TYS229" s="1"/>
      <c r="TYT229" s="1"/>
      <c r="TYU229" s="1"/>
      <c r="TYV229" s="1"/>
      <c r="TYW229" s="1"/>
      <c r="TYX229" s="1"/>
      <c r="TYY229" s="1"/>
      <c r="TYZ229" s="1"/>
      <c r="TZA229" s="1"/>
      <c r="TZB229" s="1"/>
      <c r="TZC229" s="1"/>
      <c r="TZD229" s="1"/>
      <c r="TZE229" s="1"/>
      <c r="TZF229" s="1"/>
      <c r="TZG229" s="1"/>
      <c r="TZH229" s="1"/>
      <c r="TZI229" s="1"/>
      <c r="TZJ229" s="1"/>
      <c r="TZK229" s="1"/>
      <c r="TZL229" s="1"/>
      <c r="TZM229" s="1"/>
      <c r="TZN229" s="1"/>
      <c r="TZO229" s="1"/>
      <c r="TZP229" s="1"/>
      <c r="TZQ229" s="1"/>
      <c r="TZR229" s="1"/>
      <c r="TZS229" s="1"/>
      <c r="TZT229" s="1"/>
      <c r="TZU229" s="1"/>
      <c r="TZV229" s="1"/>
      <c r="TZW229" s="1"/>
      <c r="TZX229" s="1"/>
      <c r="TZY229" s="1"/>
      <c r="TZZ229" s="1"/>
      <c r="UAA229" s="1"/>
      <c r="UAB229" s="1"/>
      <c r="UAC229" s="1"/>
      <c r="UAD229" s="1"/>
      <c r="UAE229" s="1"/>
      <c r="UAF229" s="1"/>
      <c r="UAG229" s="1"/>
      <c r="UAH229" s="1"/>
      <c r="UAI229" s="1"/>
      <c r="UAJ229" s="1"/>
      <c r="UAK229" s="1"/>
      <c r="UAL229" s="1"/>
      <c r="UAM229" s="1"/>
      <c r="UAN229" s="1"/>
      <c r="UAO229" s="1"/>
      <c r="UAP229" s="1"/>
      <c r="UAQ229" s="1"/>
      <c r="UAR229" s="1"/>
      <c r="UAS229" s="1"/>
      <c r="UAT229" s="1"/>
      <c r="UAU229" s="1"/>
      <c r="UAV229" s="1"/>
      <c r="UAW229" s="1"/>
      <c r="UAX229" s="1"/>
      <c r="UAY229" s="1"/>
      <c r="UAZ229" s="1"/>
      <c r="UBA229" s="1"/>
      <c r="UBB229" s="1"/>
      <c r="UBC229" s="1"/>
      <c r="UBD229" s="1"/>
      <c r="UBE229" s="1"/>
      <c r="UBF229" s="1"/>
      <c r="UBG229" s="1"/>
      <c r="UBH229" s="1"/>
      <c r="UBI229" s="1"/>
      <c r="UBJ229" s="1"/>
      <c r="UBK229" s="1"/>
      <c r="UBL229" s="1"/>
      <c r="UBM229" s="1"/>
      <c r="UBN229" s="1"/>
      <c r="UBO229" s="1"/>
      <c r="UBP229" s="1"/>
      <c r="UBQ229" s="1"/>
      <c r="UBR229" s="1"/>
      <c r="UBS229" s="1"/>
      <c r="UBT229" s="1"/>
      <c r="UBU229" s="1"/>
      <c r="UBV229" s="1"/>
      <c r="UBW229" s="1"/>
      <c r="UBX229" s="1"/>
      <c r="UBY229" s="1"/>
      <c r="UBZ229" s="1"/>
      <c r="UCA229" s="1"/>
      <c r="UCB229" s="1"/>
      <c r="UCC229" s="1"/>
      <c r="UCD229" s="1"/>
      <c r="UCE229" s="1"/>
      <c r="UCF229" s="1"/>
      <c r="UCG229" s="1"/>
      <c r="UCH229" s="1"/>
      <c r="UCI229" s="1"/>
      <c r="UCJ229" s="1"/>
      <c r="UCK229" s="1"/>
      <c r="UCL229" s="1"/>
      <c r="UCM229" s="1"/>
      <c r="UCN229" s="1"/>
      <c r="UCO229" s="1"/>
      <c r="UCP229" s="1"/>
      <c r="UCQ229" s="1"/>
      <c r="UCR229" s="1"/>
      <c r="UCS229" s="1"/>
      <c r="UCT229" s="1"/>
      <c r="UCU229" s="1"/>
      <c r="UCV229" s="1"/>
      <c r="UCW229" s="1"/>
      <c r="UCX229" s="1"/>
      <c r="UCY229" s="1"/>
      <c r="UCZ229" s="1"/>
      <c r="UDA229" s="1"/>
      <c r="UDB229" s="1"/>
      <c r="UDC229" s="1"/>
      <c r="UDD229" s="1"/>
      <c r="UDE229" s="1"/>
      <c r="UDF229" s="1"/>
      <c r="UDG229" s="1"/>
      <c r="UDH229" s="1"/>
      <c r="UDI229" s="1"/>
      <c r="UDJ229" s="1"/>
      <c r="UDK229" s="1"/>
      <c r="UDL229" s="1"/>
      <c r="UDM229" s="1"/>
      <c r="UDN229" s="1"/>
      <c r="UDO229" s="1"/>
      <c r="UDP229" s="1"/>
      <c r="UDQ229" s="1"/>
      <c r="UDR229" s="1"/>
      <c r="UDS229" s="1"/>
      <c r="UDT229" s="1"/>
      <c r="UDU229" s="1"/>
      <c r="UDV229" s="1"/>
      <c r="UDW229" s="1"/>
      <c r="UDX229" s="1"/>
      <c r="UDY229" s="1"/>
      <c r="UDZ229" s="1"/>
      <c r="UEA229" s="1"/>
      <c r="UEB229" s="1"/>
      <c r="UEC229" s="1"/>
      <c r="UED229" s="1"/>
      <c r="UEE229" s="1"/>
      <c r="UEF229" s="1"/>
      <c r="UEG229" s="1"/>
      <c r="UEH229" s="1"/>
      <c r="UEI229" s="1"/>
      <c r="UEJ229" s="1"/>
      <c r="UEK229" s="1"/>
      <c r="UEL229" s="1"/>
      <c r="UEM229" s="1"/>
      <c r="UEN229" s="1"/>
      <c r="UEO229" s="1"/>
      <c r="UEP229" s="1"/>
      <c r="UEQ229" s="1"/>
      <c r="UER229" s="1"/>
      <c r="UES229" s="1"/>
      <c r="UET229" s="1"/>
      <c r="UEU229" s="1"/>
      <c r="UEV229" s="1"/>
      <c r="UEW229" s="1"/>
      <c r="UEX229" s="1"/>
      <c r="UEY229" s="1"/>
      <c r="UEZ229" s="1"/>
      <c r="UFA229" s="1"/>
      <c r="UFB229" s="1"/>
      <c r="UFC229" s="1"/>
      <c r="UFD229" s="1"/>
      <c r="UFE229" s="1"/>
      <c r="UFF229" s="1"/>
      <c r="UFG229" s="1"/>
      <c r="UFH229" s="1"/>
      <c r="UFI229" s="1"/>
      <c r="UFJ229" s="1"/>
      <c r="UFK229" s="1"/>
      <c r="UFL229" s="1"/>
      <c r="UFM229" s="1"/>
      <c r="UFN229" s="1"/>
      <c r="UFO229" s="1"/>
      <c r="UFP229" s="1"/>
      <c r="UFQ229" s="1"/>
      <c r="UFR229" s="1"/>
      <c r="UFS229" s="1"/>
      <c r="UFT229" s="1"/>
      <c r="UFU229" s="1"/>
      <c r="UFV229" s="1"/>
      <c r="UFW229" s="1"/>
      <c r="UFX229" s="1"/>
      <c r="UFY229" s="1"/>
      <c r="UFZ229" s="1"/>
      <c r="UGA229" s="1"/>
      <c r="UGB229" s="1"/>
      <c r="UGC229" s="1"/>
      <c r="UGD229" s="1"/>
      <c r="UGE229" s="1"/>
      <c r="UGF229" s="1"/>
      <c r="UGG229" s="1"/>
      <c r="UGH229" s="1"/>
      <c r="UGI229" s="1"/>
      <c r="UGJ229" s="1"/>
      <c r="UGK229" s="1"/>
      <c r="UGL229" s="1"/>
      <c r="UGM229" s="1"/>
      <c r="UGN229" s="1"/>
      <c r="UGO229" s="1"/>
      <c r="UGP229" s="1"/>
      <c r="UGQ229" s="1"/>
      <c r="UGR229" s="1"/>
      <c r="UGS229" s="1"/>
      <c r="UGT229" s="1"/>
      <c r="UGU229" s="1"/>
      <c r="UGV229" s="1"/>
      <c r="UGW229" s="1"/>
      <c r="UGX229" s="1"/>
      <c r="UGY229" s="1"/>
      <c r="UGZ229" s="1"/>
      <c r="UHA229" s="1"/>
      <c r="UHB229" s="1"/>
      <c r="UHC229" s="1"/>
      <c r="UHD229" s="1"/>
      <c r="UHE229" s="1"/>
      <c r="UHF229" s="1"/>
      <c r="UHG229" s="1"/>
      <c r="UHH229" s="1"/>
      <c r="UHI229" s="1"/>
      <c r="UHJ229" s="1"/>
      <c r="UHK229" s="1"/>
      <c r="UHL229" s="1"/>
      <c r="UHM229" s="1"/>
      <c r="UHN229" s="1"/>
      <c r="UHO229" s="1"/>
      <c r="UHP229" s="1"/>
      <c r="UHQ229" s="1"/>
      <c r="UHR229" s="1"/>
      <c r="UHS229" s="1"/>
      <c r="UHT229" s="1"/>
      <c r="UHU229" s="1"/>
      <c r="UHV229" s="1"/>
      <c r="UHW229" s="1"/>
      <c r="UHX229" s="1"/>
      <c r="UHY229" s="1"/>
      <c r="UHZ229" s="1"/>
      <c r="UIA229" s="1"/>
      <c r="UIB229" s="1"/>
      <c r="UIC229" s="1"/>
      <c r="UID229" s="1"/>
      <c r="UIE229" s="1"/>
      <c r="UIF229" s="1"/>
      <c r="UIG229" s="1"/>
      <c r="UIH229" s="1"/>
      <c r="UII229" s="1"/>
      <c r="UIJ229" s="1"/>
      <c r="UIK229" s="1"/>
      <c r="UIL229" s="1"/>
      <c r="UIM229" s="1"/>
      <c r="UIN229" s="1"/>
      <c r="UIO229" s="1"/>
      <c r="UIP229" s="1"/>
      <c r="UIQ229" s="1"/>
      <c r="UIR229" s="1"/>
      <c r="UIS229" s="1"/>
      <c r="UIT229" s="1"/>
      <c r="UIU229" s="1"/>
      <c r="UIV229" s="1"/>
      <c r="UIW229" s="1"/>
      <c r="UIX229" s="1"/>
      <c r="UIY229" s="1"/>
      <c r="UIZ229" s="1"/>
      <c r="UJA229" s="1"/>
      <c r="UJB229" s="1"/>
      <c r="UJC229" s="1"/>
      <c r="UJD229" s="1"/>
      <c r="UJE229" s="1"/>
      <c r="UJF229" s="1"/>
      <c r="UJG229" s="1"/>
      <c r="UJH229" s="1"/>
      <c r="UJI229" s="1"/>
      <c r="UJJ229" s="1"/>
      <c r="UJK229" s="1"/>
      <c r="UJL229" s="1"/>
      <c r="UJM229" s="1"/>
      <c r="UJN229" s="1"/>
      <c r="UJO229" s="1"/>
      <c r="UJP229" s="1"/>
      <c r="UJQ229" s="1"/>
      <c r="UJR229" s="1"/>
      <c r="UJS229" s="1"/>
      <c r="UJT229" s="1"/>
      <c r="UJU229" s="1"/>
      <c r="UJV229" s="1"/>
      <c r="UJW229" s="1"/>
      <c r="UJX229" s="1"/>
      <c r="UJY229" s="1"/>
      <c r="UJZ229" s="1"/>
      <c r="UKA229" s="1"/>
      <c r="UKB229" s="1"/>
      <c r="UKC229" s="1"/>
      <c r="UKD229" s="1"/>
      <c r="UKE229" s="1"/>
      <c r="UKF229" s="1"/>
      <c r="UKG229" s="1"/>
      <c r="UKH229" s="1"/>
      <c r="UKI229" s="1"/>
      <c r="UKJ229" s="1"/>
      <c r="UKK229" s="1"/>
      <c r="UKL229" s="1"/>
      <c r="UKM229" s="1"/>
      <c r="UKN229" s="1"/>
      <c r="UKO229" s="1"/>
      <c r="UKP229" s="1"/>
      <c r="UKQ229" s="1"/>
      <c r="UKR229" s="1"/>
      <c r="UKS229" s="1"/>
      <c r="UKT229" s="1"/>
      <c r="UKU229" s="1"/>
      <c r="UKV229" s="1"/>
      <c r="UKW229" s="1"/>
      <c r="UKX229" s="1"/>
      <c r="UKY229" s="1"/>
      <c r="UKZ229" s="1"/>
      <c r="ULA229" s="1"/>
      <c r="ULB229" s="1"/>
      <c r="ULC229" s="1"/>
      <c r="ULD229" s="1"/>
      <c r="ULE229" s="1"/>
      <c r="ULF229" s="1"/>
      <c r="ULG229" s="1"/>
      <c r="ULH229" s="1"/>
      <c r="ULI229" s="1"/>
      <c r="ULJ229" s="1"/>
      <c r="ULK229" s="1"/>
      <c r="ULL229" s="1"/>
      <c r="ULM229" s="1"/>
      <c r="ULN229" s="1"/>
      <c r="ULO229" s="1"/>
      <c r="ULP229" s="1"/>
      <c r="ULQ229" s="1"/>
      <c r="ULR229" s="1"/>
      <c r="ULS229" s="1"/>
      <c r="ULT229" s="1"/>
      <c r="ULU229" s="1"/>
      <c r="ULV229" s="1"/>
      <c r="ULW229" s="1"/>
      <c r="ULX229" s="1"/>
      <c r="ULY229" s="1"/>
      <c r="ULZ229" s="1"/>
      <c r="UMA229" s="1"/>
      <c r="UMB229" s="1"/>
      <c r="UMC229" s="1"/>
      <c r="UMD229" s="1"/>
      <c r="UME229" s="1"/>
      <c r="UMF229" s="1"/>
      <c r="UMG229" s="1"/>
      <c r="UMH229" s="1"/>
      <c r="UMI229" s="1"/>
      <c r="UMJ229" s="1"/>
      <c r="UMK229" s="1"/>
      <c r="UML229" s="1"/>
      <c r="UMM229" s="1"/>
      <c r="UMN229" s="1"/>
      <c r="UMO229" s="1"/>
      <c r="UMP229" s="1"/>
      <c r="UMQ229" s="1"/>
      <c r="UMR229" s="1"/>
      <c r="UMS229" s="1"/>
      <c r="UMT229" s="1"/>
      <c r="UMU229" s="1"/>
      <c r="UMV229" s="1"/>
      <c r="UMW229" s="1"/>
      <c r="UMX229" s="1"/>
      <c r="UMY229" s="1"/>
      <c r="UMZ229" s="1"/>
      <c r="UNA229" s="1"/>
      <c r="UNB229" s="1"/>
      <c r="UNC229" s="1"/>
      <c r="UND229" s="1"/>
      <c r="UNE229" s="1"/>
      <c r="UNF229" s="1"/>
      <c r="UNG229" s="1"/>
      <c r="UNH229" s="1"/>
      <c r="UNI229" s="1"/>
      <c r="UNJ229" s="1"/>
      <c r="UNK229" s="1"/>
      <c r="UNL229" s="1"/>
      <c r="UNM229" s="1"/>
      <c r="UNN229" s="1"/>
      <c r="UNO229" s="1"/>
      <c r="UNP229" s="1"/>
      <c r="UNQ229" s="1"/>
      <c r="UNR229" s="1"/>
      <c r="UNS229" s="1"/>
      <c r="UNT229" s="1"/>
      <c r="UNU229" s="1"/>
      <c r="UNV229" s="1"/>
      <c r="UNW229" s="1"/>
      <c r="UNX229" s="1"/>
      <c r="UNY229" s="1"/>
      <c r="UNZ229" s="1"/>
      <c r="UOA229" s="1"/>
      <c r="UOB229" s="1"/>
      <c r="UOC229" s="1"/>
      <c r="UOD229" s="1"/>
      <c r="UOE229" s="1"/>
      <c r="UOF229" s="1"/>
      <c r="UOG229" s="1"/>
      <c r="UOH229" s="1"/>
      <c r="UOI229" s="1"/>
      <c r="UOJ229" s="1"/>
      <c r="UOK229" s="1"/>
      <c r="UOL229" s="1"/>
      <c r="UOM229" s="1"/>
      <c r="UON229" s="1"/>
      <c r="UOO229" s="1"/>
      <c r="UOP229" s="1"/>
      <c r="UOQ229" s="1"/>
      <c r="UOR229" s="1"/>
      <c r="UOS229" s="1"/>
      <c r="UOT229" s="1"/>
      <c r="UOU229" s="1"/>
      <c r="UOV229" s="1"/>
      <c r="UOW229" s="1"/>
      <c r="UOX229" s="1"/>
      <c r="UOY229" s="1"/>
      <c r="UOZ229" s="1"/>
      <c r="UPA229" s="1"/>
      <c r="UPB229" s="1"/>
      <c r="UPC229" s="1"/>
      <c r="UPD229" s="1"/>
      <c r="UPE229" s="1"/>
      <c r="UPF229" s="1"/>
      <c r="UPG229" s="1"/>
      <c r="UPH229" s="1"/>
      <c r="UPI229" s="1"/>
      <c r="UPJ229" s="1"/>
      <c r="UPK229" s="1"/>
      <c r="UPL229" s="1"/>
      <c r="UPM229" s="1"/>
      <c r="UPN229" s="1"/>
      <c r="UPO229" s="1"/>
      <c r="UPP229" s="1"/>
      <c r="UPQ229" s="1"/>
      <c r="UPR229" s="1"/>
      <c r="UPS229" s="1"/>
      <c r="UPT229" s="1"/>
      <c r="UPU229" s="1"/>
      <c r="UPV229" s="1"/>
      <c r="UPW229" s="1"/>
      <c r="UPX229" s="1"/>
      <c r="UPY229" s="1"/>
      <c r="UPZ229" s="1"/>
      <c r="UQA229" s="1"/>
      <c r="UQB229" s="1"/>
      <c r="UQC229" s="1"/>
      <c r="UQD229" s="1"/>
      <c r="UQE229" s="1"/>
      <c r="UQF229" s="1"/>
      <c r="UQG229" s="1"/>
      <c r="UQH229" s="1"/>
      <c r="UQI229" s="1"/>
      <c r="UQJ229" s="1"/>
      <c r="UQK229" s="1"/>
      <c r="UQL229" s="1"/>
      <c r="UQM229" s="1"/>
      <c r="UQN229" s="1"/>
      <c r="UQO229" s="1"/>
      <c r="UQP229" s="1"/>
      <c r="UQQ229" s="1"/>
      <c r="UQR229" s="1"/>
      <c r="UQS229" s="1"/>
      <c r="UQT229" s="1"/>
      <c r="UQU229" s="1"/>
      <c r="UQV229" s="1"/>
      <c r="UQW229" s="1"/>
      <c r="UQX229" s="1"/>
      <c r="UQY229" s="1"/>
      <c r="UQZ229" s="1"/>
      <c r="URA229" s="1"/>
      <c r="URB229" s="1"/>
      <c r="URC229" s="1"/>
      <c r="URD229" s="1"/>
      <c r="URE229" s="1"/>
      <c r="URF229" s="1"/>
      <c r="URG229" s="1"/>
      <c r="URH229" s="1"/>
      <c r="URI229" s="1"/>
      <c r="URJ229" s="1"/>
      <c r="URK229" s="1"/>
      <c r="URL229" s="1"/>
      <c r="URM229" s="1"/>
      <c r="URN229" s="1"/>
      <c r="URO229" s="1"/>
      <c r="URP229" s="1"/>
      <c r="URQ229" s="1"/>
      <c r="URR229" s="1"/>
      <c r="URS229" s="1"/>
      <c r="URT229" s="1"/>
      <c r="URU229" s="1"/>
      <c r="URV229" s="1"/>
      <c r="URW229" s="1"/>
      <c r="URX229" s="1"/>
      <c r="URY229" s="1"/>
      <c r="URZ229" s="1"/>
      <c r="USA229" s="1"/>
      <c r="USB229" s="1"/>
      <c r="USC229" s="1"/>
      <c r="USD229" s="1"/>
      <c r="USE229" s="1"/>
      <c r="USF229" s="1"/>
      <c r="USG229" s="1"/>
      <c r="USH229" s="1"/>
      <c r="USI229" s="1"/>
      <c r="USJ229" s="1"/>
      <c r="USK229" s="1"/>
      <c r="USL229" s="1"/>
      <c r="USM229" s="1"/>
      <c r="USN229" s="1"/>
      <c r="USO229" s="1"/>
      <c r="USP229" s="1"/>
      <c r="USQ229" s="1"/>
      <c r="USR229" s="1"/>
      <c r="USS229" s="1"/>
      <c r="UST229" s="1"/>
      <c r="USU229" s="1"/>
      <c r="USV229" s="1"/>
      <c r="USW229" s="1"/>
      <c r="USX229" s="1"/>
      <c r="USY229" s="1"/>
      <c r="USZ229" s="1"/>
      <c r="UTA229" s="1"/>
      <c r="UTB229" s="1"/>
      <c r="UTC229" s="1"/>
      <c r="UTD229" s="1"/>
      <c r="UTE229" s="1"/>
      <c r="UTF229" s="1"/>
      <c r="UTG229" s="1"/>
      <c r="UTH229" s="1"/>
      <c r="UTI229" s="1"/>
      <c r="UTJ229" s="1"/>
      <c r="UTK229" s="1"/>
      <c r="UTL229" s="1"/>
      <c r="UTM229" s="1"/>
      <c r="UTN229" s="1"/>
      <c r="UTO229" s="1"/>
      <c r="UTP229" s="1"/>
      <c r="UTQ229" s="1"/>
      <c r="UTR229" s="1"/>
      <c r="UTS229" s="1"/>
      <c r="UTT229" s="1"/>
      <c r="UTU229" s="1"/>
      <c r="UTV229" s="1"/>
      <c r="UTW229" s="1"/>
      <c r="UTX229" s="1"/>
      <c r="UTY229" s="1"/>
      <c r="UTZ229" s="1"/>
      <c r="UUA229" s="1"/>
      <c r="UUB229" s="1"/>
      <c r="UUC229" s="1"/>
      <c r="UUD229" s="1"/>
      <c r="UUE229" s="1"/>
      <c r="UUF229" s="1"/>
      <c r="UUG229" s="1"/>
      <c r="UUH229" s="1"/>
      <c r="UUI229" s="1"/>
      <c r="UUJ229" s="1"/>
      <c r="UUK229" s="1"/>
      <c r="UUL229" s="1"/>
      <c r="UUM229" s="1"/>
      <c r="UUN229" s="1"/>
      <c r="UUO229" s="1"/>
      <c r="UUP229" s="1"/>
      <c r="UUQ229" s="1"/>
      <c r="UUR229" s="1"/>
      <c r="UUS229" s="1"/>
      <c r="UUT229" s="1"/>
      <c r="UUU229" s="1"/>
      <c r="UUV229" s="1"/>
      <c r="UUW229" s="1"/>
      <c r="UUX229" s="1"/>
      <c r="UUY229" s="1"/>
      <c r="UUZ229" s="1"/>
      <c r="UVA229" s="1"/>
      <c r="UVB229" s="1"/>
      <c r="UVC229" s="1"/>
      <c r="UVD229" s="1"/>
      <c r="UVE229" s="1"/>
      <c r="UVF229" s="1"/>
      <c r="UVG229" s="1"/>
      <c r="UVH229" s="1"/>
      <c r="UVI229" s="1"/>
      <c r="UVJ229" s="1"/>
      <c r="UVK229" s="1"/>
      <c r="UVL229" s="1"/>
      <c r="UVM229" s="1"/>
      <c r="UVN229" s="1"/>
      <c r="UVO229" s="1"/>
      <c r="UVP229" s="1"/>
      <c r="UVQ229" s="1"/>
      <c r="UVR229" s="1"/>
      <c r="UVS229" s="1"/>
      <c r="UVT229" s="1"/>
      <c r="UVU229" s="1"/>
      <c r="UVV229" s="1"/>
      <c r="UVW229" s="1"/>
      <c r="UVX229" s="1"/>
      <c r="UVY229" s="1"/>
      <c r="UVZ229" s="1"/>
      <c r="UWA229" s="1"/>
      <c r="UWB229" s="1"/>
      <c r="UWC229" s="1"/>
      <c r="UWD229" s="1"/>
      <c r="UWE229" s="1"/>
      <c r="UWF229" s="1"/>
      <c r="UWG229" s="1"/>
      <c r="UWH229" s="1"/>
      <c r="UWI229" s="1"/>
      <c r="UWJ229" s="1"/>
      <c r="UWK229" s="1"/>
      <c r="UWL229" s="1"/>
      <c r="UWM229" s="1"/>
      <c r="UWN229" s="1"/>
      <c r="UWO229" s="1"/>
      <c r="UWP229" s="1"/>
      <c r="UWQ229" s="1"/>
      <c r="UWR229" s="1"/>
      <c r="UWS229" s="1"/>
      <c r="UWT229" s="1"/>
      <c r="UWU229" s="1"/>
      <c r="UWV229" s="1"/>
      <c r="UWW229" s="1"/>
      <c r="UWX229" s="1"/>
      <c r="UWY229" s="1"/>
      <c r="UWZ229" s="1"/>
      <c r="UXA229" s="1"/>
      <c r="UXB229" s="1"/>
      <c r="UXC229" s="1"/>
      <c r="UXD229" s="1"/>
      <c r="UXE229" s="1"/>
      <c r="UXF229" s="1"/>
      <c r="UXG229" s="1"/>
      <c r="UXH229" s="1"/>
      <c r="UXI229" s="1"/>
      <c r="UXJ229" s="1"/>
      <c r="UXK229" s="1"/>
      <c r="UXL229" s="1"/>
      <c r="UXM229" s="1"/>
      <c r="UXN229" s="1"/>
      <c r="UXO229" s="1"/>
      <c r="UXP229" s="1"/>
      <c r="UXQ229" s="1"/>
      <c r="UXR229" s="1"/>
      <c r="UXS229" s="1"/>
      <c r="UXT229" s="1"/>
      <c r="UXU229" s="1"/>
      <c r="UXV229" s="1"/>
      <c r="UXW229" s="1"/>
      <c r="UXX229" s="1"/>
      <c r="UXY229" s="1"/>
      <c r="UXZ229" s="1"/>
      <c r="UYA229" s="1"/>
      <c r="UYB229" s="1"/>
      <c r="UYC229" s="1"/>
      <c r="UYD229" s="1"/>
      <c r="UYE229" s="1"/>
      <c r="UYF229" s="1"/>
      <c r="UYG229" s="1"/>
      <c r="UYH229" s="1"/>
      <c r="UYI229" s="1"/>
      <c r="UYJ229" s="1"/>
      <c r="UYK229" s="1"/>
      <c r="UYL229" s="1"/>
      <c r="UYM229" s="1"/>
      <c r="UYN229" s="1"/>
      <c r="UYO229" s="1"/>
      <c r="UYP229" s="1"/>
      <c r="UYQ229" s="1"/>
      <c r="UYR229" s="1"/>
      <c r="UYS229" s="1"/>
      <c r="UYT229" s="1"/>
      <c r="UYU229" s="1"/>
      <c r="UYV229" s="1"/>
      <c r="UYW229" s="1"/>
      <c r="UYX229" s="1"/>
      <c r="UYY229" s="1"/>
      <c r="UYZ229" s="1"/>
      <c r="UZA229" s="1"/>
      <c r="UZB229" s="1"/>
      <c r="UZC229" s="1"/>
      <c r="UZD229" s="1"/>
      <c r="UZE229" s="1"/>
      <c r="UZF229" s="1"/>
      <c r="UZG229" s="1"/>
      <c r="UZH229" s="1"/>
      <c r="UZI229" s="1"/>
      <c r="UZJ229" s="1"/>
      <c r="UZK229" s="1"/>
      <c r="UZL229" s="1"/>
      <c r="UZM229" s="1"/>
      <c r="UZN229" s="1"/>
      <c r="UZO229" s="1"/>
      <c r="UZP229" s="1"/>
      <c r="UZQ229" s="1"/>
      <c r="UZR229" s="1"/>
      <c r="UZS229" s="1"/>
      <c r="UZT229" s="1"/>
      <c r="UZU229" s="1"/>
      <c r="UZV229" s="1"/>
      <c r="UZW229" s="1"/>
      <c r="UZX229" s="1"/>
      <c r="UZY229" s="1"/>
      <c r="UZZ229" s="1"/>
      <c r="VAA229" s="1"/>
      <c r="VAB229" s="1"/>
      <c r="VAC229" s="1"/>
      <c r="VAD229" s="1"/>
      <c r="VAE229" s="1"/>
      <c r="VAF229" s="1"/>
      <c r="VAG229" s="1"/>
      <c r="VAH229" s="1"/>
      <c r="VAI229" s="1"/>
      <c r="VAJ229" s="1"/>
      <c r="VAK229" s="1"/>
      <c r="VAL229" s="1"/>
      <c r="VAM229" s="1"/>
      <c r="VAN229" s="1"/>
      <c r="VAO229" s="1"/>
      <c r="VAP229" s="1"/>
      <c r="VAQ229" s="1"/>
      <c r="VAR229" s="1"/>
      <c r="VAS229" s="1"/>
      <c r="VAT229" s="1"/>
      <c r="VAU229" s="1"/>
      <c r="VAV229" s="1"/>
      <c r="VAW229" s="1"/>
      <c r="VAX229" s="1"/>
      <c r="VAY229" s="1"/>
      <c r="VAZ229" s="1"/>
      <c r="VBA229" s="1"/>
      <c r="VBB229" s="1"/>
      <c r="VBC229" s="1"/>
      <c r="VBD229" s="1"/>
      <c r="VBE229" s="1"/>
      <c r="VBF229" s="1"/>
      <c r="VBG229" s="1"/>
      <c r="VBH229" s="1"/>
      <c r="VBI229" s="1"/>
      <c r="VBJ229" s="1"/>
      <c r="VBK229" s="1"/>
      <c r="VBL229" s="1"/>
      <c r="VBM229" s="1"/>
      <c r="VBN229" s="1"/>
      <c r="VBO229" s="1"/>
      <c r="VBP229" s="1"/>
      <c r="VBQ229" s="1"/>
      <c r="VBR229" s="1"/>
      <c r="VBS229" s="1"/>
      <c r="VBT229" s="1"/>
      <c r="VBU229" s="1"/>
      <c r="VBV229" s="1"/>
      <c r="VBW229" s="1"/>
      <c r="VBX229" s="1"/>
      <c r="VBY229" s="1"/>
      <c r="VBZ229" s="1"/>
      <c r="VCA229" s="1"/>
      <c r="VCB229" s="1"/>
      <c r="VCC229" s="1"/>
      <c r="VCD229" s="1"/>
      <c r="VCE229" s="1"/>
      <c r="VCF229" s="1"/>
      <c r="VCG229" s="1"/>
      <c r="VCH229" s="1"/>
      <c r="VCI229" s="1"/>
      <c r="VCJ229" s="1"/>
      <c r="VCK229" s="1"/>
      <c r="VCL229" s="1"/>
      <c r="VCM229" s="1"/>
      <c r="VCN229" s="1"/>
      <c r="VCO229" s="1"/>
      <c r="VCP229" s="1"/>
      <c r="VCQ229" s="1"/>
      <c r="VCR229" s="1"/>
      <c r="VCS229" s="1"/>
      <c r="VCT229" s="1"/>
      <c r="VCU229" s="1"/>
      <c r="VCV229" s="1"/>
      <c r="VCW229" s="1"/>
    </row>
    <row r="230" spans="5:14973" s="2" customFormat="1" x14ac:dyDescent="0.3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43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4"/>
      <c r="AO230" s="1"/>
      <c r="AP230" s="1"/>
      <c r="AQ230" s="1"/>
      <c r="AR230" s="1"/>
      <c r="AT230" s="3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s="1"/>
      <c r="XV230" s="1"/>
      <c r="XW230" s="1"/>
      <c r="XX230" s="1"/>
      <c r="XY230" s="1"/>
      <c r="XZ230" s="1"/>
      <c r="YA230" s="1"/>
      <c r="YB230" s="1"/>
      <c r="YC230" s="1"/>
      <c r="YD230" s="1"/>
      <c r="YE230" s="1"/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/>
      <c r="ZP230" s="1"/>
      <c r="ZQ230" s="1"/>
      <c r="ZR230" s="1"/>
      <c r="ZS230" s="1"/>
      <c r="ZT230" s="1"/>
      <c r="ZU230" s="1"/>
      <c r="ZV230" s="1"/>
      <c r="ZW230" s="1"/>
      <c r="ZX230" s="1"/>
      <c r="ZY230" s="1"/>
      <c r="ZZ230" s="1"/>
      <c r="AAA230" s="1"/>
      <c r="AAB230" s="1"/>
      <c r="AAC230" s="1"/>
      <c r="AAD230" s="1"/>
      <c r="AAE230" s="1"/>
      <c r="AAF230" s="1"/>
      <c r="AAG230" s="1"/>
      <c r="AAH230" s="1"/>
      <c r="AAI230" s="1"/>
      <c r="AAJ230" s="1"/>
      <c r="AAK230" s="1"/>
      <c r="AAL230" s="1"/>
      <c r="AAM230" s="1"/>
      <c r="AAN230" s="1"/>
      <c r="AAO230" s="1"/>
      <c r="AAP230" s="1"/>
      <c r="AAQ230" s="1"/>
      <c r="AAR230" s="1"/>
      <c r="AAS230" s="1"/>
      <c r="AAT230" s="1"/>
      <c r="AAU230" s="1"/>
      <c r="AAV230" s="1"/>
      <c r="AAW230" s="1"/>
      <c r="AAX230" s="1"/>
      <c r="AAY230" s="1"/>
      <c r="AAZ230" s="1"/>
      <c r="ABA230" s="1"/>
      <c r="ABB230" s="1"/>
      <c r="ABC230" s="1"/>
      <c r="ABD230" s="1"/>
      <c r="ABE230" s="1"/>
      <c r="ABF230" s="1"/>
      <c r="ABG230" s="1"/>
      <c r="ABH230" s="1"/>
      <c r="ABI230" s="1"/>
      <c r="ABJ230" s="1"/>
      <c r="ABK230" s="1"/>
      <c r="ABL230" s="1"/>
      <c r="ABM230" s="1"/>
      <c r="ABN230" s="1"/>
      <c r="ABO230" s="1"/>
      <c r="ABP230" s="1"/>
      <c r="ABQ230" s="1"/>
      <c r="ABR230" s="1"/>
      <c r="ABS230" s="1"/>
      <c r="ABT230" s="1"/>
      <c r="ABU230" s="1"/>
      <c r="ABV230" s="1"/>
      <c r="ABW230" s="1"/>
      <c r="ABX230" s="1"/>
      <c r="ABY230" s="1"/>
      <c r="ABZ230" s="1"/>
      <c r="ACA230" s="1"/>
      <c r="ACB230" s="1"/>
      <c r="ACC230" s="1"/>
      <c r="ACD230" s="1"/>
      <c r="ACE230" s="1"/>
      <c r="ACF230" s="1"/>
      <c r="ACG230" s="1"/>
      <c r="ACH230" s="1"/>
      <c r="ACI230" s="1"/>
      <c r="ACJ230" s="1"/>
      <c r="ACK230" s="1"/>
      <c r="ACL230" s="1"/>
      <c r="ACM230" s="1"/>
      <c r="ACN230" s="1"/>
      <c r="ACO230" s="1"/>
      <c r="ACP230" s="1"/>
      <c r="ACQ230" s="1"/>
      <c r="ACR230" s="1"/>
      <c r="ACS230" s="1"/>
      <c r="ACT230" s="1"/>
      <c r="ACU230" s="1"/>
      <c r="ACV230" s="1"/>
      <c r="ACW230" s="1"/>
      <c r="ACX230" s="1"/>
      <c r="ACY230" s="1"/>
      <c r="ACZ230" s="1"/>
      <c r="ADA230" s="1"/>
      <c r="ADB230" s="1"/>
      <c r="ADC230" s="1"/>
      <c r="ADD230" s="1"/>
      <c r="ADE230" s="1"/>
      <c r="ADF230" s="1"/>
      <c r="ADG230" s="1"/>
      <c r="ADH230" s="1"/>
      <c r="ADI230" s="1"/>
      <c r="ADJ230" s="1"/>
      <c r="ADK230" s="1"/>
      <c r="ADL230" s="1"/>
      <c r="ADM230" s="1"/>
      <c r="ADN230" s="1"/>
      <c r="ADO230" s="1"/>
      <c r="ADP230" s="1"/>
      <c r="ADQ230" s="1"/>
      <c r="ADR230" s="1"/>
      <c r="ADS230" s="1"/>
      <c r="ADT230" s="1"/>
      <c r="ADU230" s="1"/>
      <c r="ADV230" s="1"/>
      <c r="ADW230" s="1"/>
      <c r="ADX230" s="1"/>
      <c r="ADY230" s="1"/>
      <c r="ADZ230" s="1"/>
      <c r="AEA230" s="1"/>
      <c r="AEB230" s="1"/>
      <c r="AEC230" s="1"/>
      <c r="AED230" s="1"/>
      <c r="AEE230" s="1"/>
      <c r="AEF230" s="1"/>
      <c r="AEG230" s="1"/>
      <c r="AEH230" s="1"/>
      <c r="AEI230" s="1"/>
      <c r="AEJ230" s="1"/>
      <c r="AEK230" s="1"/>
      <c r="AEL230" s="1"/>
      <c r="AEM230" s="1"/>
      <c r="AEN230" s="1"/>
      <c r="AEO230" s="1"/>
      <c r="AEP230" s="1"/>
      <c r="AEQ230" s="1"/>
      <c r="AER230" s="1"/>
      <c r="AES230" s="1"/>
      <c r="AET230" s="1"/>
      <c r="AEU230" s="1"/>
      <c r="AEV230" s="1"/>
      <c r="AEW230" s="1"/>
      <c r="AEX230" s="1"/>
      <c r="AEY230" s="1"/>
      <c r="AEZ230" s="1"/>
      <c r="AFA230" s="1"/>
      <c r="AFB230" s="1"/>
      <c r="AFC230" s="1"/>
      <c r="AFD230" s="1"/>
      <c r="AFE230" s="1"/>
      <c r="AFF230" s="1"/>
      <c r="AFG230" s="1"/>
      <c r="AFH230" s="1"/>
      <c r="AFI230" s="1"/>
      <c r="AFJ230" s="1"/>
      <c r="AFK230" s="1"/>
      <c r="AFL230" s="1"/>
      <c r="AFM230" s="1"/>
      <c r="AFN230" s="1"/>
      <c r="AFO230" s="1"/>
      <c r="AFP230" s="1"/>
      <c r="AFQ230" s="1"/>
      <c r="AFR230" s="1"/>
      <c r="AFS230" s="1"/>
      <c r="AFT230" s="1"/>
      <c r="AFU230" s="1"/>
      <c r="AFV230" s="1"/>
      <c r="AFW230" s="1"/>
      <c r="AFX230" s="1"/>
      <c r="AFY230" s="1"/>
      <c r="AFZ230" s="1"/>
      <c r="AGA230" s="1"/>
      <c r="AGB230" s="1"/>
      <c r="AGC230" s="1"/>
      <c r="AGD230" s="1"/>
      <c r="AGE230" s="1"/>
      <c r="AGF230" s="1"/>
      <c r="AGG230" s="1"/>
      <c r="AGH230" s="1"/>
      <c r="AGI230" s="1"/>
      <c r="AGJ230" s="1"/>
      <c r="AGK230" s="1"/>
      <c r="AGL230" s="1"/>
      <c r="AGM230" s="1"/>
      <c r="AGN230" s="1"/>
      <c r="AGO230" s="1"/>
      <c r="AGP230" s="1"/>
      <c r="AGQ230" s="1"/>
      <c r="AGR230" s="1"/>
      <c r="AGS230" s="1"/>
      <c r="AGT230" s="1"/>
      <c r="AGU230" s="1"/>
      <c r="AGV230" s="1"/>
      <c r="AGW230" s="1"/>
      <c r="AGX230" s="1"/>
      <c r="AGY230" s="1"/>
      <c r="AGZ230" s="1"/>
      <c r="AHA230" s="1"/>
      <c r="AHB230" s="1"/>
      <c r="AHC230" s="1"/>
      <c r="AHD230" s="1"/>
      <c r="AHE230" s="1"/>
      <c r="AHF230" s="1"/>
      <c r="AHG230" s="1"/>
      <c r="AHH230" s="1"/>
      <c r="AHI230" s="1"/>
      <c r="AHJ230" s="1"/>
      <c r="AHK230" s="1"/>
      <c r="AHL230" s="1"/>
      <c r="AHM230" s="1"/>
      <c r="AHN230" s="1"/>
      <c r="AHO230" s="1"/>
      <c r="AHP230" s="1"/>
      <c r="AHQ230" s="1"/>
      <c r="AHR230" s="1"/>
      <c r="AHS230" s="1"/>
      <c r="AHT230" s="1"/>
      <c r="AHU230" s="1"/>
      <c r="AHV230" s="1"/>
      <c r="AHW230" s="1"/>
      <c r="AHX230" s="1"/>
      <c r="AHY230" s="1"/>
      <c r="AHZ230" s="1"/>
      <c r="AIA230" s="1"/>
      <c r="AIB230" s="1"/>
      <c r="AIC230" s="1"/>
      <c r="AID230" s="1"/>
      <c r="AIE230" s="1"/>
      <c r="AIF230" s="1"/>
      <c r="AIG230" s="1"/>
      <c r="AIH230" s="1"/>
      <c r="AII230" s="1"/>
      <c r="AIJ230" s="1"/>
      <c r="AIK230" s="1"/>
      <c r="AIL230" s="1"/>
      <c r="AIM230" s="1"/>
      <c r="AIN230" s="1"/>
      <c r="AIO230" s="1"/>
      <c r="AIP230" s="1"/>
      <c r="AIQ230" s="1"/>
      <c r="AIR230" s="1"/>
      <c r="AIS230" s="1"/>
      <c r="AIT230" s="1"/>
      <c r="AIU230" s="1"/>
      <c r="AIV230" s="1"/>
      <c r="AIW230" s="1"/>
      <c r="AIX230" s="1"/>
      <c r="AIY230" s="1"/>
      <c r="AIZ230" s="1"/>
      <c r="AJA230" s="1"/>
      <c r="AJB230" s="1"/>
      <c r="AJC230" s="1"/>
      <c r="AJD230" s="1"/>
      <c r="AJE230" s="1"/>
      <c r="AJF230" s="1"/>
      <c r="AJG230" s="1"/>
      <c r="AJH230" s="1"/>
      <c r="AJI230" s="1"/>
      <c r="AJJ230" s="1"/>
      <c r="AJK230" s="1"/>
      <c r="AJL230" s="1"/>
      <c r="AJM230" s="1"/>
      <c r="AJN230" s="1"/>
      <c r="AJO230" s="1"/>
      <c r="AJP230" s="1"/>
      <c r="AJQ230" s="1"/>
      <c r="AJR230" s="1"/>
      <c r="AJS230" s="1"/>
      <c r="AJT230" s="1"/>
      <c r="AJU230" s="1"/>
      <c r="AJV230" s="1"/>
      <c r="AJW230" s="1"/>
      <c r="AJX230" s="1"/>
      <c r="AJY230" s="1"/>
      <c r="AJZ230" s="1"/>
      <c r="AKA230" s="1"/>
      <c r="AKB230" s="1"/>
      <c r="AKC230" s="1"/>
      <c r="AKD230" s="1"/>
      <c r="AKE230" s="1"/>
      <c r="AKF230" s="1"/>
      <c r="AKG230" s="1"/>
      <c r="AKH230" s="1"/>
      <c r="AKI230" s="1"/>
      <c r="AKJ230" s="1"/>
      <c r="AKK230" s="1"/>
      <c r="AKL230" s="1"/>
      <c r="AKM230" s="1"/>
      <c r="AKN230" s="1"/>
      <c r="AKO230" s="1"/>
      <c r="AKP230" s="1"/>
      <c r="AKQ230" s="1"/>
      <c r="AKR230" s="1"/>
      <c r="AKS230" s="1"/>
      <c r="AKT230" s="1"/>
      <c r="AKU230" s="1"/>
      <c r="AKV230" s="1"/>
      <c r="AKW230" s="1"/>
      <c r="AKX230" s="1"/>
      <c r="AKY230" s="1"/>
      <c r="AKZ230" s="1"/>
      <c r="ALA230" s="1"/>
      <c r="ALB230" s="1"/>
      <c r="ALC230" s="1"/>
      <c r="ALD230" s="1"/>
      <c r="ALE230" s="1"/>
      <c r="ALF230" s="1"/>
      <c r="ALG230" s="1"/>
      <c r="ALH230" s="1"/>
      <c r="ALI230" s="1"/>
      <c r="ALJ230" s="1"/>
      <c r="ALK230" s="1"/>
      <c r="ALL230" s="1"/>
      <c r="ALM230" s="1"/>
      <c r="ALN230" s="1"/>
      <c r="ALO230" s="1"/>
      <c r="ALP230" s="1"/>
      <c r="ALQ230" s="1"/>
      <c r="ALR230" s="1"/>
      <c r="ALS230" s="1"/>
      <c r="ALT230" s="1"/>
      <c r="ALU230" s="1"/>
      <c r="ALV230" s="1"/>
      <c r="ALW230" s="1"/>
      <c r="ALX230" s="1"/>
      <c r="ALY230" s="1"/>
      <c r="ALZ230" s="1"/>
      <c r="AMA230" s="1"/>
      <c r="AMB230" s="1"/>
      <c r="AMC230" s="1"/>
      <c r="AMD230" s="1"/>
      <c r="AME230" s="1"/>
      <c r="AMF230" s="1"/>
      <c r="AMG230" s="1"/>
      <c r="AMH230" s="1"/>
      <c r="AMI230" s="1"/>
      <c r="AMJ230" s="1"/>
      <c r="AMK230" s="1"/>
      <c r="AML230" s="1"/>
      <c r="AMM230" s="1"/>
      <c r="AMN230" s="1"/>
      <c r="AMO230" s="1"/>
      <c r="AMP230" s="1"/>
      <c r="AMQ230" s="1"/>
      <c r="AMR230" s="1"/>
      <c r="AMS230" s="1"/>
      <c r="AMT230" s="1"/>
      <c r="AMU230" s="1"/>
      <c r="AMV230" s="1"/>
      <c r="AMW230" s="1"/>
      <c r="AMX230" s="1"/>
      <c r="AMY230" s="1"/>
      <c r="AMZ230" s="1"/>
      <c r="ANA230" s="1"/>
      <c r="ANB230" s="1"/>
      <c r="ANC230" s="1"/>
      <c r="AND230" s="1"/>
      <c r="ANE230" s="1"/>
      <c r="ANF230" s="1"/>
      <c r="ANG230" s="1"/>
      <c r="ANH230" s="1"/>
      <c r="ANI230" s="1"/>
      <c r="ANJ230" s="1"/>
      <c r="ANK230" s="1"/>
      <c r="ANL230" s="1"/>
      <c r="ANM230" s="1"/>
      <c r="ANN230" s="1"/>
      <c r="ANO230" s="1"/>
      <c r="ANP230" s="1"/>
      <c r="ANQ230" s="1"/>
      <c r="ANR230" s="1"/>
      <c r="ANS230" s="1"/>
      <c r="ANT230" s="1"/>
      <c r="ANU230" s="1"/>
      <c r="ANV230" s="1"/>
      <c r="ANW230" s="1"/>
      <c r="ANX230" s="1"/>
      <c r="ANY230" s="1"/>
      <c r="ANZ230" s="1"/>
      <c r="AOA230" s="1"/>
      <c r="AOB230" s="1"/>
      <c r="AOC230" s="1"/>
      <c r="AOD230" s="1"/>
      <c r="AOE230" s="1"/>
      <c r="AOF230" s="1"/>
      <c r="AOG230" s="1"/>
      <c r="AOH230" s="1"/>
      <c r="AOI230" s="1"/>
      <c r="AOJ230" s="1"/>
      <c r="AOK230" s="1"/>
      <c r="AOL230" s="1"/>
      <c r="AOM230" s="1"/>
      <c r="AON230" s="1"/>
      <c r="AOO230" s="1"/>
      <c r="AOP230" s="1"/>
      <c r="AOQ230" s="1"/>
      <c r="AOR230" s="1"/>
      <c r="AOS230" s="1"/>
      <c r="AOT230" s="1"/>
      <c r="AOU230" s="1"/>
      <c r="AOV230" s="1"/>
      <c r="AOW230" s="1"/>
      <c r="AOX230" s="1"/>
      <c r="AOY230" s="1"/>
      <c r="AOZ230" s="1"/>
      <c r="APA230" s="1"/>
      <c r="APB230" s="1"/>
      <c r="APC230" s="1"/>
      <c r="APD230" s="1"/>
      <c r="APE230" s="1"/>
      <c r="APF230" s="1"/>
      <c r="APG230" s="1"/>
      <c r="APH230" s="1"/>
      <c r="API230" s="1"/>
      <c r="APJ230" s="1"/>
      <c r="APK230" s="1"/>
      <c r="APL230" s="1"/>
      <c r="APM230" s="1"/>
      <c r="APN230" s="1"/>
      <c r="APO230" s="1"/>
      <c r="APP230" s="1"/>
      <c r="APQ230" s="1"/>
      <c r="APR230" s="1"/>
      <c r="APS230" s="1"/>
      <c r="APT230" s="1"/>
      <c r="APU230" s="1"/>
      <c r="APV230" s="1"/>
      <c r="APW230" s="1"/>
      <c r="APX230" s="1"/>
      <c r="APY230" s="1"/>
      <c r="APZ230" s="1"/>
      <c r="AQA230" s="1"/>
      <c r="AQB230" s="1"/>
      <c r="AQC230" s="1"/>
      <c r="AQD230" s="1"/>
      <c r="AQE230" s="1"/>
      <c r="AQF230" s="1"/>
      <c r="AQG230" s="1"/>
      <c r="AQH230" s="1"/>
      <c r="AQI230" s="1"/>
      <c r="AQJ230" s="1"/>
      <c r="AQK230" s="1"/>
      <c r="AQL230" s="1"/>
      <c r="AQM230" s="1"/>
      <c r="AQN230" s="1"/>
      <c r="AQO230" s="1"/>
      <c r="AQP230" s="1"/>
      <c r="AQQ230" s="1"/>
      <c r="AQR230" s="1"/>
      <c r="AQS230" s="1"/>
      <c r="AQT230" s="1"/>
      <c r="AQU230" s="1"/>
      <c r="AQV230" s="1"/>
      <c r="AQW230" s="1"/>
      <c r="AQX230" s="1"/>
      <c r="AQY230" s="1"/>
      <c r="AQZ230" s="1"/>
      <c r="ARA230" s="1"/>
      <c r="ARB230" s="1"/>
      <c r="ARC230" s="1"/>
      <c r="ARD230" s="1"/>
      <c r="ARE230" s="1"/>
      <c r="ARF230" s="1"/>
      <c r="ARG230" s="1"/>
      <c r="ARH230" s="1"/>
      <c r="ARI230" s="1"/>
      <c r="ARJ230" s="1"/>
      <c r="ARK230" s="1"/>
      <c r="ARL230" s="1"/>
      <c r="ARM230" s="1"/>
      <c r="ARN230" s="1"/>
      <c r="ARO230" s="1"/>
      <c r="ARP230" s="1"/>
      <c r="ARQ230" s="1"/>
      <c r="ARR230" s="1"/>
      <c r="ARS230" s="1"/>
      <c r="ART230" s="1"/>
      <c r="ARU230" s="1"/>
      <c r="ARV230" s="1"/>
      <c r="ARW230" s="1"/>
      <c r="ARX230" s="1"/>
      <c r="ARY230" s="1"/>
      <c r="ARZ230" s="1"/>
      <c r="ASA230" s="1"/>
      <c r="ASB230" s="1"/>
      <c r="ASC230" s="1"/>
      <c r="ASD230" s="1"/>
      <c r="ASE230" s="1"/>
      <c r="ASF230" s="1"/>
      <c r="ASG230" s="1"/>
      <c r="ASH230" s="1"/>
      <c r="ASI230" s="1"/>
      <c r="ASJ230" s="1"/>
      <c r="ASK230" s="1"/>
      <c r="ASL230" s="1"/>
      <c r="ASM230" s="1"/>
      <c r="ASN230" s="1"/>
      <c r="ASO230" s="1"/>
      <c r="ASP230" s="1"/>
      <c r="ASQ230" s="1"/>
      <c r="ASR230" s="1"/>
      <c r="ASS230" s="1"/>
      <c r="AST230" s="1"/>
      <c r="ASU230" s="1"/>
      <c r="ASV230" s="1"/>
      <c r="ASW230" s="1"/>
      <c r="ASX230" s="1"/>
      <c r="ASY230" s="1"/>
      <c r="ASZ230" s="1"/>
      <c r="ATA230" s="1"/>
      <c r="ATB230" s="1"/>
      <c r="ATC230" s="1"/>
      <c r="ATD230" s="1"/>
      <c r="ATE230" s="1"/>
      <c r="ATF230" s="1"/>
      <c r="ATG230" s="1"/>
      <c r="ATH230" s="1"/>
      <c r="ATI230" s="1"/>
      <c r="ATJ230" s="1"/>
      <c r="ATK230" s="1"/>
      <c r="ATL230" s="1"/>
      <c r="ATM230" s="1"/>
      <c r="ATN230" s="1"/>
      <c r="ATO230" s="1"/>
      <c r="ATP230" s="1"/>
      <c r="ATQ230" s="1"/>
      <c r="ATR230" s="1"/>
      <c r="ATS230" s="1"/>
      <c r="ATT230" s="1"/>
      <c r="ATU230" s="1"/>
      <c r="ATV230" s="1"/>
      <c r="ATW230" s="1"/>
      <c r="ATX230" s="1"/>
      <c r="ATY230" s="1"/>
      <c r="ATZ230" s="1"/>
      <c r="AUA230" s="1"/>
      <c r="AUB230" s="1"/>
      <c r="AUC230" s="1"/>
      <c r="AUD230" s="1"/>
      <c r="AUE230" s="1"/>
      <c r="AUF230" s="1"/>
      <c r="AUG230" s="1"/>
      <c r="AUH230" s="1"/>
      <c r="AUI230" s="1"/>
      <c r="AUJ230" s="1"/>
      <c r="AUK230" s="1"/>
      <c r="AUL230" s="1"/>
      <c r="AUM230" s="1"/>
      <c r="AUN230" s="1"/>
      <c r="AUO230" s="1"/>
      <c r="AUP230" s="1"/>
      <c r="AUQ230" s="1"/>
      <c r="AUR230" s="1"/>
      <c r="AUS230" s="1"/>
      <c r="AUT230" s="1"/>
      <c r="AUU230" s="1"/>
      <c r="AUV230" s="1"/>
      <c r="AUW230" s="1"/>
      <c r="AUX230" s="1"/>
      <c r="AUY230" s="1"/>
      <c r="AUZ230" s="1"/>
      <c r="AVA230" s="1"/>
      <c r="AVB230" s="1"/>
      <c r="AVC230" s="1"/>
      <c r="AVD230" s="1"/>
      <c r="AVE230" s="1"/>
      <c r="AVF230" s="1"/>
      <c r="AVG230" s="1"/>
      <c r="AVH230" s="1"/>
      <c r="AVI230" s="1"/>
      <c r="AVJ230" s="1"/>
      <c r="AVK230" s="1"/>
      <c r="AVL230" s="1"/>
      <c r="AVM230" s="1"/>
      <c r="AVN230" s="1"/>
      <c r="AVO230" s="1"/>
      <c r="AVP230" s="1"/>
      <c r="AVQ230" s="1"/>
      <c r="AVR230" s="1"/>
      <c r="AVS230" s="1"/>
      <c r="AVT230" s="1"/>
      <c r="AVU230" s="1"/>
      <c r="AVV230" s="1"/>
      <c r="AVW230" s="1"/>
      <c r="AVX230" s="1"/>
      <c r="AVY230" s="1"/>
      <c r="AVZ230" s="1"/>
      <c r="AWA230" s="1"/>
      <c r="AWB230" s="1"/>
      <c r="AWC230" s="1"/>
      <c r="AWD230" s="1"/>
      <c r="AWE230" s="1"/>
      <c r="AWF230" s="1"/>
      <c r="AWG230" s="1"/>
      <c r="AWH230" s="1"/>
      <c r="AWI230" s="1"/>
      <c r="AWJ230" s="1"/>
      <c r="AWK230" s="1"/>
      <c r="AWL230" s="1"/>
      <c r="AWM230" s="1"/>
      <c r="AWN230" s="1"/>
      <c r="AWO230" s="1"/>
      <c r="AWP230" s="1"/>
      <c r="AWQ230" s="1"/>
      <c r="AWR230" s="1"/>
      <c r="AWS230" s="1"/>
      <c r="AWT230" s="1"/>
      <c r="AWU230" s="1"/>
      <c r="AWV230" s="1"/>
      <c r="AWW230" s="1"/>
      <c r="AWX230" s="1"/>
      <c r="AWY230" s="1"/>
      <c r="AWZ230" s="1"/>
      <c r="AXA230" s="1"/>
      <c r="AXB230" s="1"/>
      <c r="AXC230" s="1"/>
      <c r="AXD230" s="1"/>
      <c r="AXE230" s="1"/>
      <c r="AXF230" s="1"/>
      <c r="AXG230" s="1"/>
      <c r="AXH230" s="1"/>
      <c r="AXI230" s="1"/>
      <c r="AXJ230" s="1"/>
      <c r="AXK230" s="1"/>
      <c r="AXL230" s="1"/>
      <c r="AXM230" s="1"/>
      <c r="AXN230" s="1"/>
      <c r="AXO230" s="1"/>
      <c r="AXP230" s="1"/>
      <c r="AXQ230" s="1"/>
      <c r="AXR230" s="1"/>
      <c r="AXS230" s="1"/>
      <c r="AXT230" s="1"/>
      <c r="AXU230" s="1"/>
      <c r="AXV230" s="1"/>
      <c r="AXW230" s="1"/>
      <c r="AXX230" s="1"/>
      <c r="AXY230" s="1"/>
      <c r="AXZ230" s="1"/>
      <c r="AYA230" s="1"/>
      <c r="AYB230" s="1"/>
      <c r="AYC230" s="1"/>
      <c r="AYD230" s="1"/>
      <c r="AYE230" s="1"/>
      <c r="AYF230" s="1"/>
      <c r="AYG230" s="1"/>
      <c r="AYH230" s="1"/>
      <c r="AYI230" s="1"/>
      <c r="AYJ230" s="1"/>
      <c r="AYK230" s="1"/>
      <c r="AYL230" s="1"/>
      <c r="AYM230" s="1"/>
      <c r="AYN230" s="1"/>
      <c r="AYO230" s="1"/>
      <c r="AYP230" s="1"/>
      <c r="AYQ230" s="1"/>
      <c r="AYR230" s="1"/>
      <c r="AYS230" s="1"/>
      <c r="AYT230" s="1"/>
      <c r="AYU230" s="1"/>
      <c r="AYV230" s="1"/>
      <c r="AYW230" s="1"/>
      <c r="AYX230" s="1"/>
      <c r="AYY230" s="1"/>
      <c r="AYZ230" s="1"/>
      <c r="AZA230" s="1"/>
      <c r="AZB230" s="1"/>
      <c r="AZC230" s="1"/>
      <c r="AZD230" s="1"/>
      <c r="AZE230" s="1"/>
      <c r="AZF230" s="1"/>
      <c r="AZG230" s="1"/>
      <c r="AZH230" s="1"/>
      <c r="AZI230" s="1"/>
      <c r="AZJ230" s="1"/>
      <c r="AZK230" s="1"/>
      <c r="AZL230" s="1"/>
      <c r="AZM230" s="1"/>
      <c r="AZN230" s="1"/>
      <c r="AZO230" s="1"/>
      <c r="AZP230" s="1"/>
      <c r="AZQ230" s="1"/>
      <c r="AZR230" s="1"/>
      <c r="AZS230" s="1"/>
      <c r="AZT230" s="1"/>
      <c r="AZU230" s="1"/>
      <c r="AZV230" s="1"/>
      <c r="AZW230" s="1"/>
      <c r="AZX230" s="1"/>
      <c r="AZY230" s="1"/>
      <c r="AZZ230" s="1"/>
      <c r="BAA230" s="1"/>
      <c r="BAB230" s="1"/>
      <c r="BAC230" s="1"/>
      <c r="BAD230" s="1"/>
      <c r="BAE230" s="1"/>
      <c r="BAF230" s="1"/>
      <c r="BAG230" s="1"/>
      <c r="BAH230" s="1"/>
      <c r="BAI230" s="1"/>
      <c r="BAJ230" s="1"/>
      <c r="BAK230" s="1"/>
      <c r="BAL230" s="1"/>
      <c r="BAM230" s="1"/>
      <c r="BAN230" s="1"/>
      <c r="BAO230" s="1"/>
      <c r="BAP230" s="1"/>
      <c r="BAQ230" s="1"/>
      <c r="BAR230" s="1"/>
      <c r="BAS230" s="1"/>
      <c r="BAT230" s="1"/>
      <c r="BAU230" s="1"/>
      <c r="BAV230" s="1"/>
      <c r="BAW230" s="1"/>
      <c r="BAX230" s="1"/>
      <c r="BAY230" s="1"/>
      <c r="BAZ230" s="1"/>
      <c r="BBA230" s="1"/>
      <c r="BBB230" s="1"/>
      <c r="BBC230" s="1"/>
      <c r="BBD230" s="1"/>
      <c r="BBE230" s="1"/>
      <c r="BBF230" s="1"/>
      <c r="BBG230" s="1"/>
      <c r="BBH230" s="1"/>
      <c r="BBI230" s="1"/>
      <c r="BBJ230" s="1"/>
      <c r="BBK230" s="1"/>
      <c r="BBL230" s="1"/>
      <c r="BBM230" s="1"/>
      <c r="BBN230" s="1"/>
      <c r="BBO230" s="1"/>
      <c r="BBP230" s="1"/>
      <c r="BBQ230" s="1"/>
      <c r="BBR230" s="1"/>
      <c r="BBS230" s="1"/>
      <c r="BBT230" s="1"/>
      <c r="BBU230" s="1"/>
      <c r="BBV230" s="1"/>
      <c r="BBW230" s="1"/>
      <c r="BBX230" s="1"/>
      <c r="BBY230" s="1"/>
      <c r="BBZ230" s="1"/>
      <c r="BCA230" s="1"/>
      <c r="BCB230" s="1"/>
      <c r="BCC230" s="1"/>
      <c r="BCD230" s="1"/>
      <c r="BCE230" s="1"/>
      <c r="BCF230" s="1"/>
      <c r="BCG230" s="1"/>
      <c r="BCH230" s="1"/>
      <c r="BCI230" s="1"/>
      <c r="BCJ230" s="1"/>
      <c r="BCK230" s="1"/>
      <c r="BCL230" s="1"/>
      <c r="BCM230" s="1"/>
      <c r="BCN230" s="1"/>
      <c r="BCO230" s="1"/>
      <c r="BCP230" s="1"/>
      <c r="BCQ230" s="1"/>
      <c r="BCR230" s="1"/>
      <c r="BCS230" s="1"/>
      <c r="BCT230" s="1"/>
      <c r="BCU230" s="1"/>
      <c r="BCV230" s="1"/>
      <c r="BCW230" s="1"/>
      <c r="BCX230" s="1"/>
      <c r="BCY230" s="1"/>
      <c r="BCZ230" s="1"/>
      <c r="BDA230" s="1"/>
      <c r="BDB230" s="1"/>
      <c r="BDC230" s="1"/>
      <c r="BDD230" s="1"/>
      <c r="BDE230" s="1"/>
      <c r="BDF230" s="1"/>
      <c r="BDG230" s="1"/>
      <c r="BDH230" s="1"/>
      <c r="BDI230" s="1"/>
      <c r="BDJ230" s="1"/>
      <c r="BDK230" s="1"/>
      <c r="BDL230" s="1"/>
      <c r="BDM230" s="1"/>
      <c r="BDN230" s="1"/>
      <c r="BDO230" s="1"/>
      <c r="BDP230" s="1"/>
      <c r="BDQ230" s="1"/>
      <c r="BDR230" s="1"/>
      <c r="BDS230" s="1"/>
      <c r="BDT230" s="1"/>
      <c r="BDU230" s="1"/>
      <c r="BDV230" s="1"/>
      <c r="BDW230" s="1"/>
      <c r="BDX230" s="1"/>
      <c r="BDY230" s="1"/>
      <c r="BDZ230" s="1"/>
      <c r="BEA230" s="1"/>
      <c r="BEB230" s="1"/>
      <c r="BEC230" s="1"/>
      <c r="BED230" s="1"/>
      <c r="BEE230" s="1"/>
      <c r="BEF230" s="1"/>
      <c r="BEG230" s="1"/>
      <c r="BEH230" s="1"/>
      <c r="BEI230" s="1"/>
      <c r="BEJ230" s="1"/>
      <c r="BEK230" s="1"/>
      <c r="BEL230" s="1"/>
      <c r="BEM230" s="1"/>
      <c r="BEN230" s="1"/>
      <c r="BEO230" s="1"/>
      <c r="BEP230" s="1"/>
      <c r="BEQ230" s="1"/>
      <c r="BER230" s="1"/>
      <c r="BES230" s="1"/>
      <c r="BET230" s="1"/>
      <c r="BEU230" s="1"/>
      <c r="BEV230" s="1"/>
      <c r="BEW230" s="1"/>
      <c r="BEX230" s="1"/>
      <c r="BEY230" s="1"/>
      <c r="BEZ230" s="1"/>
      <c r="BFA230" s="1"/>
      <c r="BFB230" s="1"/>
      <c r="BFC230" s="1"/>
      <c r="BFD230" s="1"/>
      <c r="BFE230" s="1"/>
      <c r="BFF230" s="1"/>
      <c r="BFG230" s="1"/>
      <c r="BFH230" s="1"/>
      <c r="BFI230" s="1"/>
      <c r="BFJ230" s="1"/>
      <c r="BFK230" s="1"/>
      <c r="BFL230" s="1"/>
      <c r="BFM230" s="1"/>
      <c r="BFN230" s="1"/>
      <c r="BFO230" s="1"/>
      <c r="BFP230" s="1"/>
      <c r="BFQ230" s="1"/>
      <c r="BFR230" s="1"/>
      <c r="BFS230" s="1"/>
      <c r="BFT230" s="1"/>
      <c r="BFU230" s="1"/>
      <c r="BFV230" s="1"/>
      <c r="BFW230" s="1"/>
      <c r="BFX230" s="1"/>
      <c r="BFY230" s="1"/>
      <c r="BFZ230" s="1"/>
      <c r="BGA230" s="1"/>
      <c r="BGB230" s="1"/>
      <c r="BGC230" s="1"/>
      <c r="BGD230" s="1"/>
      <c r="BGE230" s="1"/>
      <c r="BGF230" s="1"/>
      <c r="BGG230" s="1"/>
      <c r="BGH230" s="1"/>
      <c r="BGI230" s="1"/>
      <c r="BGJ230" s="1"/>
      <c r="BGK230" s="1"/>
      <c r="BGL230" s="1"/>
      <c r="BGM230" s="1"/>
      <c r="BGN230" s="1"/>
      <c r="BGO230" s="1"/>
      <c r="BGP230" s="1"/>
      <c r="BGQ230" s="1"/>
      <c r="BGR230" s="1"/>
      <c r="BGS230" s="1"/>
      <c r="BGT230" s="1"/>
      <c r="BGU230" s="1"/>
      <c r="BGV230" s="1"/>
      <c r="BGW230" s="1"/>
      <c r="BGX230" s="1"/>
      <c r="BGY230" s="1"/>
      <c r="BGZ230" s="1"/>
      <c r="BHA230" s="1"/>
      <c r="BHB230" s="1"/>
      <c r="BHC230" s="1"/>
      <c r="BHD230" s="1"/>
      <c r="BHE230" s="1"/>
      <c r="BHF230" s="1"/>
      <c r="BHG230" s="1"/>
      <c r="BHH230" s="1"/>
      <c r="BHI230" s="1"/>
      <c r="BHJ230" s="1"/>
      <c r="BHK230" s="1"/>
      <c r="BHL230" s="1"/>
      <c r="BHM230" s="1"/>
      <c r="BHN230" s="1"/>
      <c r="BHO230" s="1"/>
      <c r="BHP230" s="1"/>
      <c r="BHQ230" s="1"/>
      <c r="BHR230" s="1"/>
      <c r="BHS230" s="1"/>
      <c r="BHT230" s="1"/>
      <c r="BHU230" s="1"/>
      <c r="BHV230" s="1"/>
      <c r="BHW230" s="1"/>
      <c r="BHX230" s="1"/>
      <c r="BHY230" s="1"/>
      <c r="BHZ230" s="1"/>
      <c r="BIA230" s="1"/>
      <c r="BIB230" s="1"/>
      <c r="BIC230" s="1"/>
      <c r="BID230" s="1"/>
      <c r="BIE230" s="1"/>
      <c r="BIF230" s="1"/>
      <c r="BIG230" s="1"/>
      <c r="BIH230" s="1"/>
      <c r="BII230" s="1"/>
      <c r="BIJ230" s="1"/>
      <c r="BIK230" s="1"/>
      <c r="BIL230" s="1"/>
      <c r="BIM230" s="1"/>
      <c r="BIN230" s="1"/>
      <c r="BIO230" s="1"/>
      <c r="BIP230" s="1"/>
      <c r="BIQ230" s="1"/>
      <c r="BIR230" s="1"/>
      <c r="BIS230" s="1"/>
      <c r="BIT230" s="1"/>
      <c r="BIU230" s="1"/>
      <c r="BIV230" s="1"/>
      <c r="BIW230" s="1"/>
      <c r="BIX230" s="1"/>
      <c r="BIY230" s="1"/>
      <c r="BIZ230" s="1"/>
      <c r="BJA230" s="1"/>
      <c r="BJB230" s="1"/>
      <c r="BJC230" s="1"/>
      <c r="BJD230" s="1"/>
      <c r="BJE230" s="1"/>
      <c r="BJF230" s="1"/>
      <c r="BJG230" s="1"/>
      <c r="BJH230" s="1"/>
      <c r="BJI230" s="1"/>
      <c r="BJJ230" s="1"/>
      <c r="BJK230" s="1"/>
      <c r="BJL230" s="1"/>
      <c r="BJM230" s="1"/>
      <c r="BJN230" s="1"/>
      <c r="BJO230" s="1"/>
      <c r="BJP230" s="1"/>
      <c r="BJQ230" s="1"/>
      <c r="BJR230" s="1"/>
      <c r="BJS230" s="1"/>
      <c r="BJT230" s="1"/>
      <c r="BJU230" s="1"/>
      <c r="BJV230" s="1"/>
      <c r="BJW230" s="1"/>
      <c r="BJX230" s="1"/>
      <c r="BJY230" s="1"/>
      <c r="BJZ230" s="1"/>
      <c r="BKA230" s="1"/>
      <c r="BKB230" s="1"/>
      <c r="BKC230" s="1"/>
      <c r="BKD230" s="1"/>
      <c r="BKE230" s="1"/>
      <c r="BKF230" s="1"/>
      <c r="BKG230" s="1"/>
      <c r="BKH230" s="1"/>
      <c r="BKI230" s="1"/>
      <c r="BKJ230" s="1"/>
      <c r="BKK230" s="1"/>
      <c r="BKL230" s="1"/>
      <c r="BKM230" s="1"/>
      <c r="BKN230" s="1"/>
      <c r="BKO230" s="1"/>
      <c r="BKP230" s="1"/>
      <c r="BKQ230" s="1"/>
      <c r="BKR230" s="1"/>
      <c r="BKS230" s="1"/>
      <c r="BKT230" s="1"/>
      <c r="BKU230" s="1"/>
      <c r="BKV230" s="1"/>
      <c r="BKW230" s="1"/>
      <c r="BKX230" s="1"/>
      <c r="BKY230" s="1"/>
      <c r="BKZ230" s="1"/>
      <c r="BLA230" s="1"/>
      <c r="BLB230" s="1"/>
      <c r="BLC230" s="1"/>
      <c r="BLD230" s="1"/>
      <c r="BLE230" s="1"/>
      <c r="BLF230" s="1"/>
      <c r="BLG230" s="1"/>
      <c r="BLH230" s="1"/>
      <c r="BLI230" s="1"/>
      <c r="BLJ230" s="1"/>
      <c r="BLK230" s="1"/>
      <c r="BLL230" s="1"/>
      <c r="BLM230" s="1"/>
      <c r="BLN230" s="1"/>
      <c r="BLO230" s="1"/>
      <c r="BLP230" s="1"/>
      <c r="BLQ230" s="1"/>
      <c r="BLR230" s="1"/>
      <c r="BLS230" s="1"/>
      <c r="BLT230" s="1"/>
      <c r="BLU230" s="1"/>
      <c r="BLV230" s="1"/>
      <c r="BLW230" s="1"/>
      <c r="BLX230" s="1"/>
      <c r="BLY230" s="1"/>
      <c r="BLZ230" s="1"/>
      <c r="BMA230" s="1"/>
      <c r="BMB230" s="1"/>
      <c r="BMC230" s="1"/>
      <c r="BMD230" s="1"/>
      <c r="BME230" s="1"/>
      <c r="BMF230" s="1"/>
      <c r="BMG230" s="1"/>
      <c r="BMH230" s="1"/>
      <c r="BMI230" s="1"/>
      <c r="BMJ230" s="1"/>
      <c r="BMK230" s="1"/>
      <c r="BML230" s="1"/>
      <c r="BMM230" s="1"/>
      <c r="BMN230" s="1"/>
      <c r="BMO230" s="1"/>
      <c r="BMP230" s="1"/>
      <c r="BMQ230" s="1"/>
      <c r="BMR230" s="1"/>
      <c r="BMS230" s="1"/>
      <c r="BMT230" s="1"/>
      <c r="BMU230" s="1"/>
      <c r="BMV230" s="1"/>
      <c r="BMW230" s="1"/>
      <c r="BMX230" s="1"/>
      <c r="BMY230" s="1"/>
      <c r="BMZ230" s="1"/>
      <c r="BNA230" s="1"/>
      <c r="BNB230" s="1"/>
      <c r="BNC230" s="1"/>
      <c r="BND230" s="1"/>
      <c r="BNE230" s="1"/>
      <c r="BNF230" s="1"/>
      <c r="BNG230" s="1"/>
      <c r="BNH230" s="1"/>
      <c r="BNI230" s="1"/>
      <c r="BNJ230" s="1"/>
      <c r="BNK230" s="1"/>
      <c r="BNL230" s="1"/>
      <c r="BNM230" s="1"/>
      <c r="BNN230" s="1"/>
      <c r="BNO230" s="1"/>
      <c r="BNP230" s="1"/>
      <c r="BNQ230" s="1"/>
      <c r="BNR230" s="1"/>
      <c r="BNS230" s="1"/>
      <c r="BNT230" s="1"/>
      <c r="BNU230" s="1"/>
      <c r="BNV230" s="1"/>
      <c r="BNW230" s="1"/>
      <c r="BNX230" s="1"/>
      <c r="BNY230" s="1"/>
      <c r="BNZ230" s="1"/>
      <c r="BOA230" s="1"/>
      <c r="BOB230" s="1"/>
      <c r="BOC230" s="1"/>
      <c r="BOD230" s="1"/>
      <c r="BOE230" s="1"/>
      <c r="BOF230" s="1"/>
      <c r="BOG230" s="1"/>
      <c r="BOH230" s="1"/>
      <c r="BOI230" s="1"/>
      <c r="BOJ230" s="1"/>
      <c r="BOK230" s="1"/>
      <c r="BOL230" s="1"/>
      <c r="BOM230" s="1"/>
      <c r="BON230" s="1"/>
      <c r="BOO230" s="1"/>
      <c r="BOP230" s="1"/>
      <c r="BOQ230" s="1"/>
      <c r="BOR230" s="1"/>
      <c r="BOS230" s="1"/>
      <c r="BOT230" s="1"/>
      <c r="BOU230" s="1"/>
      <c r="BOV230" s="1"/>
      <c r="BOW230" s="1"/>
      <c r="BOX230" s="1"/>
      <c r="BOY230" s="1"/>
      <c r="BOZ230" s="1"/>
      <c r="BPA230" s="1"/>
      <c r="BPB230" s="1"/>
      <c r="BPC230" s="1"/>
      <c r="BPD230" s="1"/>
      <c r="BPE230" s="1"/>
      <c r="BPF230" s="1"/>
      <c r="BPG230" s="1"/>
      <c r="BPH230" s="1"/>
      <c r="BPI230" s="1"/>
      <c r="BPJ230" s="1"/>
      <c r="BPK230" s="1"/>
      <c r="BPL230" s="1"/>
      <c r="BPM230" s="1"/>
      <c r="BPN230" s="1"/>
      <c r="BPO230" s="1"/>
      <c r="BPP230" s="1"/>
      <c r="BPQ230" s="1"/>
      <c r="BPR230" s="1"/>
      <c r="BPS230" s="1"/>
      <c r="BPT230" s="1"/>
      <c r="BPU230" s="1"/>
      <c r="BPV230" s="1"/>
      <c r="BPW230" s="1"/>
      <c r="BPX230" s="1"/>
      <c r="BPY230" s="1"/>
      <c r="BPZ230" s="1"/>
      <c r="BQA230" s="1"/>
      <c r="BQB230" s="1"/>
      <c r="BQC230" s="1"/>
      <c r="BQD230" s="1"/>
      <c r="BQE230" s="1"/>
      <c r="BQF230" s="1"/>
      <c r="BQG230" s="1"/>
      <c r="BQH230" s="1"/>
      <c r="BQI230" s="1"/>
      <c r="BQJ230" s="1"/>
      <c r="BQK230" s="1"/>
      <c r="BQL230" s="1"/>
      <c r="BQM230" s="1"/>
      <c r="BQN230" s="1"/>
      <c r="BQO230" s="1"/>
      <c r="BQP230" s="1"/>
      <c r="BQQ230" s="1"/>
      <c r="BQR230" s="1"/>
      <c r="BQS230" s="1"/>
      <c r="BQT230" s="1"/>
      <c r="BQU230" s="1"/>
      <c r="BQV230" s="1"/>
      <c r="BQW230" s="1"/>
      <c r="BQX230" s="1"/>
      <c r="BQY230" s="1"/>
      <c r="BQZ230" s="1"/>
      <c r="BRA230" s="1"/>
      <c r="BRB230" s="1"/>
      <c r="BRC230" s="1"/>
      <c r="BRD230" s="1"/>
      <c r="BRE230" s="1"/>
      <c r="BRF230" s="1"/>
      <c r="BRG230" s="1"/>
      <c r="BRH230" s="1"/>
      <c r="BRI230" s="1"/>
      <c r="BRJ230" s="1"/>
      <c r="BRK230" s="1"/>
      <c r="BRL230" s="1"/>
      <c r="BRM230" s="1"/>
      <c r="BRN230" s="1"/>
      <c r="BRO230" s="1"/>
      <c r="BRP230" s="1"/>
      <c r="BRQ230" s="1"/>
      <c r="BRR230" s="1"/>
      <c r="BRS230" s="1"/>
      <c r="BRT230" s="1"/>
      <c r="BRU230" s="1"/>
      <c r="BRV230" s="1"/>
      <c r="BRW230" s="1"/>
      <c r="BRX230" s="1"/>
      <c r="BRY230" s="1"/>
      <c r="BRZ230" s="1"/>
      <c r="BSA230" s="1"/>
      <c r="BSB230" s="1"/>
      <c r="BSC230" s="1"/>
      <c r="BSD230" s="1"/>
      <c r="BSE230" s="1"/>
      <c r="BSF230" s="1"/>
      <c r="BSG230" s="1"/>
      <c r="BSH230" s="1"/>
      <c r="BSI230" s="1"/>
      <c r="BSJ230" s="1"/>
      <c r="BSK230" s="1"/>
      <c r="BSL230" s="1"/>
      <c r="BSM230" s="1"/>
      <c r="BSN230" s="1"/>
      <c r="BSO230" s="1"/>
      <c r="BSP230" s="1"/>
      <c r="BSQ230" s="1"/>
      <c r="BSR230" s="1"/>
      <c r="BSS230" s="1"/>
      <c r="BST230" s="1"/>
      <c r="BSU230" s="1"/>
      <c r="BSV230" s="1"/>
      <c r="BSW230" s="1"/>
      <c r="BSX230" s="1"/>
      <c r="BSY230" s="1"/>
      <c r="BSZ230" s="1"/>
      <c r="BTA230" s="1"/>
      <c r="BTB230" s="1"/>
      <c r="BTC230" s="1"/>
      <c r="BTD230" s="1"/>
      <c r="BTE230" s="1"/>
      <c r="BTF230" s="1"/>
      <c r="BTG230" s="1"/>
      <c r="BTH230" s="1"/>
      <c r="BTI230" s="1"/>
      <c r="BTJ230" s="1"/>
      <c r="BTK230" s="1"/>
      <c r="BTL230" s="1"/>
      <c r="BTM230" s="1"/>
      <c r="BTN230" s="1"/>
      <c r="BTO230" s="1"/>
      <c r="BTP230" s="1"/>
      <c r="BTQ230" s="1"/>
      <c r="BTR230" s="1"/>
      <c r="BTS230" s="1"/>
      <c r="BTT230" s="1"/>
      <c r="BTU230" s="1"/>
      <c r="BTV230" s="1"/>
      <c r="BTW230" s="1"/>
      <c r="BTX230" s="1"/>
      <c r="BTY230" s="1"/>
      <c r="BTZ230" s="1"/>
      <c r="BUA230" s="1"/>
      <c r="BUB230" s="1"/>
      <c r="BUC230" s="1"/>
      <c r="BUD230" s="1"/>
      <c r="BUE230" s="1"/>
      <c r="BUF230" s="1"/>
      <c r="BUG230" s="1"/>
      <c r="BUH230" s="1"/>
      <c r="BUI230" s="1"/>
      <c r="BUJ230" s="1"/>
      <c r="BUK230" s="1"/>
      <c r="BUL230" s="1"/>
      <c r="BUM230" s="1"/>
      <c r="BUN230" s="1"/>
      <c r="BUO230" s="1"/>
      <c r="BUP230" s="1"/>
      <c r="BUQ230" s="1"/>
      <c r="BUR230" s="1"/>
      <c r="BUS230" s="1"/>
      <c r="BUT230" s="1"/>
      <c r="BUU230" s="1"/>
      <c r="BUV230" s="1"/>
      <c r="BUW230" s="1"/>
      <c r="BUX230" s="1"/>
      <c r="BUY230" s="1"/>
      <c r="BUZ230" s="1"/>
      <c r="BVA230" s="1"/>
      <c r="BVB230" s="1"/>
      <c r="BVC230" s="1"/>
      <c r="BVD230" s="1"/>
      <c r="BVE230" s="1"/>
      <c r="BVF230" s="1"/>
      <c r="BVG230" s="1"/>
      <c r="BVH230" s="1"/>
      <c r="BVI230" s="1"/>
      <c r="BVJ230" s="1"/>
      <c r="BVK230" s="1"/>
      <c r="BVL230" s="1"/>
      <c r="BVM230" s="1"/>
      <c r="BVN230" s="1"/>
      <c r="BVO230" s="1"/>
      <c r="BVP230" s="1"/>
      <c r="BVQ230" s="1"/>
      <c r="BVR230" s="1"/>
      <c r="BVS230" s="1"/>
      <c r="BVT230" s="1"/>
      <c r="BVU230" s="1"/>
      <c r="BVV230" s="1"/>
      <c r="BVW230" s="1"/>
      <c r="BVX230" s="1"/>
      <c r="BVY230" s="1"/>
      <c r="BVZ230" s="1"/>
      <c r="BWA230" s="1"/>
      <c r="BWB230" s="1"/>
      <c r="BWC230" s="1"/>
      <c r="BWD230" s="1"/>
      <c r="BWE230" s="1"/>
      <c r="BWF230" s="1"/>
      <c r="BWG230" s="1"/>
      <c r="BWH230" s="1"/>
      <c r="BWI230" s="1"/>
      <c r="BWJ230" s="1"/>
      <c r="BWK230" s="1"/>
      <c r="BWL230" s="1"/>
      <c r="BWM230" s="1"/>
      <c r="BWN230" s="1"/>
      <c r="BWO230" s="1"/>
      <c r="BWP230" s="1"/>
      <c r="BWQ230" s="1"/>
      <c r="BWR230" s="1"/>
      <c r="BWS230" s="1"/>
      <c r="BWT230" s="1"/>
      <c r="BWU230" s="1"/>
      <c r="BWV230" s="1"/>
      <c r="BWW230" s="1"/>
      <c r="BWX230" s="1"/>
      <c r="BWY230" s="1"/>
      <c r="BWZ230" s="1"/>
      <c r="BXA230" s="1"/>
      <c r="BXB230" s="1"/>
      <c r="BXC230" s="1"/>
      <c r="BXD230" s="1"/>
      <c r="BXE230" s="1"/>
      <c r="BXF230" s="1"/>
      <c r="BXG230" s="1"/>
      <c r="BXH230" s="1"/>
      <c r="BXI230" s="1"/>
      <c r="BXJ230" s="1"/>
      <c r="BXK230" s="1"/>
      <c r="BXL230" s="1"/>
      <c r="BXM230" s="1"/>
      <c r="BXN230" s="1"/>
      <c r="BXO230" s="1"/>
      <c r="BXP230" s="1"/>
      <c r="BXQ230" s="1"/>
      <c r="BXR230" s="1"/>
      <c r="BXS230" s="1"/>
      <c r="BXT230" s="1"/>
      <c r="BXU230" s="1"/>
      <c r="BXV230" s="1"/>
      <c r="BXW230" s="1"/>
      <c r="BXX230" s="1"/>
      <c r="BXY230" s="1"/>
      <c r="BXZ230" s="1"/>
      <c r="BYA230" s="1"/>
      <c r="BYB230" s="1"/>
      <c r="BYC230" s="1"/>
      <c r="BYD230" s="1"/>
      <c r="BYE230" s="1"/>
      <c r="BYF230" s="1"/>
      <c r="BYG230" s="1"/>
      <c r="BYH230" s="1"/>
      <c r="BYI230" s="1"/>
      <c r="BYJ230" s="1"/>
      <c r="BYK230" s="1"/>
      <c r="BYL230" s="1"/>
      <c r="BYM230" s="1"/>
      <c r="BYN230" s="1"/>
      <c r="BYO230" s="1"/>
      <c r="BYP230" s="1"/>
      <c r="BYQ230" s="1"/>
      <c r="BYR230" s="1"/>
      <c r="BYS230" s="1"/>
      <c r="BYT230" s="1"/>
      <c r="BYU230" s="1"/>
      <c r="BYV230" s="1"/>
      <c r="BYW230" s="1"/>
      <c r="BYX230" s="1"/>
      <c r="BYY230" s="1"/>
      <c r="BYZ230" s="1"/>
      <c r="BZA230" s="1"/>
      <c r="BZB230" s="1"/>
      <c r="BZC230" s="1"/>
      <c r="BZD230" s="1"/>
      <c r="BZE230" s="1"/>
      <c r="BZF230" s="1"/>
      <c r="BZG230" s="1"/>
      <c r="BZH230" s="1"/>
      <c r="BZI230" s="1"/>
      <c r="BZJ230" s="1"/>
      <c r="BZK230" s="1"/>
      <c r="BZL230" s="1"/>
      <c r="BZM230" s="1"/>
      <c r="BZN230" s="1"/>
      <c r="BZO230" s="1"/>
      <c r="BZP230" s="1"/>
      <c r="BZQ230" s="1"/>
      <c r="BZR230" s="1"/>
      <c r="BZS230" s="1"/>
      <c r="BZT230" s="1"/>
      <c r="BZU230" s="1"/>
      <c r="BZV230" s="1"/>
      <c r="BZW230" s="1"/>
      <c r="BZX230" s="1"/>
      <c r="BZY230" s="1"/>
      <c r="BZZ230" s="1"/>
      <c r="CAA230" s="1"/>
      <c r="CAB230" s="1"/>
      <c r="CAC230" s="1"/>
      <c r="CAD230" s="1"/>
      <c r="CAE230" s="1"/>
      <c r="CAF230" s="1"/>
      <c r="CAG230" s="1"/>
      <c r="CAH230" s="1"/>
      <c r="CAI230" s="1"/>
      <c r="CAJ230" s="1"/>
      <c r="CAK230" s="1"/>
      <c r="CAL230" s="1"/>
      <c r="CAM230" s="1"/>
      <c r="CAN230" s="1"/>
      <c r="CAO230" s="1"/>
      <c r="CAP230" s="1"/>
      <c r="CAQ230" s="1"/>
      <c r="CAR230" s="1"/>
      <c r="CAS230" s="1"/>
      <c r="CAT230" s="1"/>
      <c r="CAU230" s="1"/>
      <c r="CAV230" s="1"/>
      <c r="CAW230" s="1"/>
      <c r="CAX230" s="1"/>
      <c r="CAY230" s="1"/>
      <c r="CAZ230" s="1"/>
      <c r="CBA230" s="1"/>
      <c r="CBB230" s="1"/>
      <c r="CBC230" s="1"/>
      <c r="CBD230" s="1"/>
      <c r="CBE230" s="1"/>
      <c r="CBF230" s="1"/>
      <c r="CBG230" s="1"/>
      <c r="CBH230" s="1"/>
      <c r="CBI230" s="1"/>
      <c r="CBJ230" s="1"/>
      <c r="CBK230" s="1"/>
      <c r="CBL230" s="1"/>
      <c r="CBM230" s="1"/>
      <c r="CBN230" s="1"/>
      <c r="CBO230" s="1"/>
      <c r="CBP230" s="1"/>
      <c r="CBQ230" s="1"/>
      <c r="CBR230" s="1"/>
      <c r="CBS230" s="1"/>
      <c r="CBT230" s="1"/>
      <c r="CBU230" s="1"/>
      <c r="CBV230" s="1"/>
      <c r="CBW230" s="1"/>
      <c r="CBX230" s="1"/>
      <c r="CBY230" s="1"/>
      <c r="CBZ230" s="1"/>
      <c r="CCA230" s="1"/>
      <c r="CCB230" s="1"/>
      <c r="CCC230" s="1"/>
      <c r="CCD230" s="1"/>
      <c r="CCE230" s="1"/>
      <c r="CCF230" s="1"/>
      <c r="CCG230" s="1"/>
      <c r="CCH230" s="1"/>
      <c r="CCI230" s="1"/>
      <c r="CCJ230" s="1"/>
      <c r="CCK230" s="1"/>
      <c r="CCL230" s="1"/>
      <c r="CCM230" s="1"/>
      <c r="CCN230" s="1"/>
      <c r="CCO230" s="1"/>
      <c r="CCP230" s="1"/>
      <c r="CCQ230" s="1"/>
      <c r="CCR230" s="1"/>
      <c r="CCS230" s="1"/>
      <c r="CCT230" s="1"/>
      <c r="CCU230" s="1"/>
      <c r="CCV230" s="1"/>
      <c r="CCW230" s="1"/>
      <c r="CCX230" s="1"/>
      <c r="CCY230" s="1"/>
      <c r="CCZ230" s="1"/>
      <c r="CDA230" s="1"/>
      <c r="CDB230" s="1"/>
      <c r="CDC230" s="1"/>
      <c r="CDD230" s="1"/>
      <c r="CDE230" s="1"/>
      <c r="CDF230" s="1"/>
      <c r="CDG230" s="1"/>
      <c r="CDH230" s="1"/>
      <c r="CDI230" s="1"/>
      <c r="CDJ230" s="1"/>
      <c r="CDK230" s="1"/>
      <c r="CDL230" s="1"/>
      <c r="CDM230" s="1"/>
      <c r="CDN230" s="1"/>
      <c r="CDO230" s="1"/>
      <c r="CDP230" s="1"/>
      <c r="CDQ230" s="1"/>
      <c r="CDR230" s="1"/>
      <c r="CDS230" s="1"/>
      <c r="CDT230" s="1"/>
      <c r="CDU230" s="1"/>
      <c r="CDV230" s="1"/>
      <c r="CDW230" s="1"/>
      <c r="CDX230" s="1"/>
      <c r="CDY230" s="1"/>
      <c r="CDZ230" s="1"/>
      <c r="CEA230" s="1"/>
      <c r="CEB230" s="1"/>
      <c r="CEC230" s="1"/>
      <c r="CED230" s="1"/>
      <c r="CEE230" s="1"/>
      <c r="CEF230" s="1"/>
      <c r="CEG230" s="1"/>
      <c r="CEH230" s="1"/>
      <c r="CEI230" s="1"/>
      <c r="CEJ230" s="1"/>
      <c r="CEK230" s="1"/>
      <c r="CEL230" s="1"/>
      <c r="CEM230" s="1"/>
      <c r="CEN230" s="1"/>
      <c r="CEO230" s="1"/>
      <c r="CEP230" s="1"/>
      <c r="CEQ230" s="1"/>
      <c r="CER230" s="1"/>
      <c r="CES230" s="1"/>
      <c r="CET230" s="1"/>
      <c r="CEU230" s="1"/>
      <c r="CEV230" s="1"/>
      <c r="CEW230" s="1"/>
      <c r="CEX230" s="1"/>
      <c r="CEY230" s="1"/>
      <c r="CEZ230" s="1"/>
      <c r="CFA230" s="1"/>
      <c r="CFB230" s="1"/>
      <c r="CFC230" s="1"/>
      <c r="CFD230" s="1"/>
      <c r="CFE230" s="1"/>
      <c r="CFF230" s="1"/>
      <c r="CFG230" s="1"/>
      <c r="CFH230" s="1"/>
      <c r="CFI230" s="1"/>
      <c r="CFJ230" s="1"/>
      <c r="CFK230" s="1"/>
      <c r="CFL230" s="1"/>
      <c r="CFM230" s="1"/>
      <c r="CFN230" s="1"/>
      <c r="CFO230" s="1"/>
      <c r="CFP230" s="1"/>
      <c r="CFQ230" s="1"/>
      <c r="CFR230" s="1"/>
      <c r="CFS230" s="1"/>
      <c r="CFT230" s="1"/>
      <c r="CFU230" s="1"/>
      <c r="CFV230" s="1"/>
      <c r="CFW230" s="1"/>
      <c r="CFX230" s="1"/>
      <c r="CFY230" s="1"/>
      <c r="CFZ230" s="1"/>
      <c r="CGA230" s="1"/>
      <c r="CGB230" s="1"/>
      <c r="CGC230" s="1"/>
      <c r="CGD230" s="1"/>
      <c r="CGE230" s="1"/>
      <c r="CGF230" s="1"/>
      <c r="CGG230" s="1"/>
      <c r="CGH230" s="1"/>
      <c r="CGI230" s="1"/>
      <c r="CGJ230" s="1"/>
      <c r="CGK230" s="1"/>
      <c r="CGL230" s="1"/>
      <c r="CGM230" s="1"/>
      <c r="CGN230" s="1"/>
      <c r="CGO230" s="1"/>
      <c r="CGP230" s="1"/>
      <c r="CGQ230" s="1"/>
      <c r="CGR230" s="1"/>
      <c r="CGS230" s="1"/>
      <c r="CGT230" s="1"/>
      <c r="CGU230" s="1"/>
      <c r="CGV230" s="1"/>
      <c r="CGW230" s="1"/>
      <c r="CGX230" s="1"/>
      <c r="CGY230" s="1"/>
      <c r="CGZ230" s="1"/>
      <c r="CHA230" s="1"/>
      <c r="CHB230" s="1"/>
      <c r="CHC230" s="1"/>
      <c r="CHD230" s="1"/>
      <c r="CHE230" s="1"/>
      <c r="CHF230" s="1"/>
      <c r="CHG230" s="1"/>
      <c r="CHH230" s="1"/>
      <c r="CHI230" s="1"/>
      <c r="CHJ230" s="1"/>
      <c r="CHK230" s="1"/>
      <c r="CHL230" s="1"/>
      <c r="CHM230" s="1"/>
      <c r="CHN230" s="1"/>
      <c r="CHO230" s="1"/>
      <c r="CHP230" s="1"/>
      <c r="CHQ230" s="1"/>
      <c r="CHR230" s="1"/>
      <c r="CHS230" s="1"/>
      <c r="CHT230" s="1"/>
      <c r="CHU230" s="1"/>
      <c r="CHV230" s="1"/>
      <c r="CHW230" s="1"/>
      <c r="CHX230" s="1"/>
      <c r="CHY230" s="1"/>
      <c r="CHZ230" s="1"/>
      <c r="CIA230" s="1"/>
      <c r="CIB230" s="1"/>
      <c r="CIC230" s="1"/>
      <c r="CID230" s="1"/>
      <c r="CIE230" s="1"/>
      <c r="CIF230" s="1"/>
      <c r="CIG230" s="1"/>
      <c r="CIH230" s="1"/>
      <c r="CII230" s="1"/>
      <c r="CIJ230" s="1"/>
      <c r="CIK230" s="1"/>
      <c r="CIL230" s="1"/>
      <c r="CIM230" s="1"/>
      <c r="CIN230" s="1"/>
      <c r="CIO230" s="1"/>
      <c r="CIP230" s="1"/>
      <c r="CIQ230" s="1"/>
      <c r="CIR230" s="1"/>
      <c r="CIS230" s="1"/>
      <c r="CIT230" s="1"/>
      <c r="CIU230" s="1"/>
      <c r="CIV230" s="1"/>
      <c r="CIW230" s="1"/>
      <c r="CIX230" s="1"/>
      <c r="CIY230" s="1"/>
      <c r="CIZ230" s="1"/>
      <c r="CJA230" s="1"/>
      <c r="CJB230" s="1"/>
      <c r="CJC230" s="1"/>
      <c r="CJD230" s="1"/>
      <c r="CJE230" s="1"/>
      <c r="CJF230" s="1"/>
      <c r="CJG230" s="1"/>
      <c r="CJH230" s="1"/>
      <c r="CJI230" s="1"/>
      <c r="CJJ230" s="1"/>
      <c r="CJK230" s="1"/>
      <c r="CJL230" s="1"/>
      <c r="CJM230" s="1"/>
      <c r="CJN230" s="1"/>
      <c r="CJO230" s="1"/>
      <c r="CJP230" s="1"/>
      <c r="CJQ230" s="1"/>
      <c r="CJR230" s="1"/>
      <c r="CJS230" s="1"/>
      <c r="CJT230" s="1"/>
      <c r="CJU230" s="1"/>
      <c r="CJV230" s="1"/>
      <c r="CJW230" s="1"/>
      <c r="CJX230" s="1"/>
      <c r="CJY230" s="1"/>
      <c r="CJZ230" s="1"/>
      <c r="CKA230" s="1"/>
      <c r="CKB230" s="1"/>
      <c r="CKC230" s="1"/>
      <c r="CKD230" s="1"/>
      <c r="CKE230" s="1"/>
      <c r="CKF230" s="1"/>
      <c r="CKG230" s="1"/>
      <c r="CKH230" s="1"/>
      <c r="CKI230" s="1"/>
      <c r="CKJ230" s="1"/>
      <c r="CKK230" s="1"/>
      <c r="CKL230" s="1"/>
      <c r="CKM230" s="1"/>
      <c r="CKN230" s="1"/>
      <c r="CKO230" s="1"/>
      <c r="CKP230" s="1"/>
      <c r="CKQ230" s="1"/>
      <c r="CKR230" s="1"/>
      <c r="CKS230" s="1"/>
      <c r="CKT230" s="1"/>
      <c r="CKU230" s="1"/>
      <c r="CKV230" s="1"/>
      <c r="CKW230" s="1"/>
      <c r="CKX230" s="1"/>
      <c r="CKY230" s="1"/>
      <c r="CKZ230" s="1"/>
      <c r="CLA230" s="1"/>
      <c r="CLB230" s="1"/>
      <c r="CLC230" s="1"/>
      <c r="CLD230" s="1"/>
      <c r="CLE230" s="1"/>
      <c r="CLF230" s="1"/>
      <c r="CLG230" s="1"/>
      <c r="CLH230" s="1"/>
      <c r="CLI230" s="1"/>
      <c r="CLJ230" s="1"/>
      <c r="CLK230" s="1"/>
      <c r="CLL230" s="1"/>
      <c r="CLM230" s="1"/>
      <c r="CLN230" s="1"/>
      <c r="CLO230" s="1"/>
      <c r="CLP230" s="1"/>
      <c r="CLQ230" s="1"/>
      <c r="CLR230" s="1"/>
      <c r="CLS230" s="1"/>
      <c r="CLT230" s="1"/>
      <c r="CLU230" s="1"/>
      <c r="CLV230" s="1"/>
      <c r="CLW230" s="1"/>
      <c r="CLX230" s="1"/>
      <c r="CLY230" s="1"/>
      <c r="CLZ230" s="1"/>
      <c r="CMA230" s="1"/>
      <c r="CMB230" s="1"/>
      <c r="CMC230" s="1"/>
      <c r="CMD230" s="1"/>
      <c r="CME230" s="1"/>
      <c r="CMF230" s="1"/>
      <c r="CMG230" s="1"/>
      <c r="CMH230" s="1"/>
      <c r="CMI230" s="1"/>
      <c r="CMJ230" s="1"/>
      <c r="CMK230" s="1"/>
      <c r="CML230" s="1"/>
      <c r="CMM230" s="1"/>
      <c r="CMN230" s="1"/>
      <c r="CMO230" s="1"/>
      <c r="CMP230" s="1"/>
      <c r="CMQ230" s="1"/>
      <c r="CMR230" s="1"/>
      <c r="CMS230" s="1"/>
      <c r="CMT230" s="1"/>
      <c r="CMU230" s="1"/>
      <c r="CMV230" s="1"/>
      <c r="CMW230" s="1"/>
      <c r="CMX230" s="1"/>
      <c r="CMY230" s="1"/>
      <c r="CMZ230" s="1"/>
      <c r="CNA230" s="1"/>
      <c r="CNB230" s="1"/>
      <c r="CNC230" s="1"/>
      <c r="CND230" s="1"/>
      <c r="CNE230" s="1"/>
      <c r="CNF230" s="1"/>
      <c r="CNG230" s="1"/>
      <c r="CNH230" s="1"/>
      <c r="CNI230" s="1"/>
      <c r="CNJ230" s="1"/>
      <c r="CNK230" s="1"/>
      <c r="CNL230" s="1"/>
      <c r="CNM230" s="1"/>
      <c r="CNN230" s="1"/>
      <c r="CNO230" s="1"/>
      <c r="CNP230" s="1"/>
      <c r="CNQ230" s="1"/>
      <c r="CNR230" s="1"/>
      <c r="CNS230" s="1"/>
      <c r="CNT230" s="1"/>
      <c r="CNU230" s="1"/>
      <c r="CNV230" s="1"/>
      <c r="CNW230" s="1"/>
      <c r="CNX230" s="1"/>
      <c r="CNY230" s="1"/>
      <c r="CNZ230" s="1"/>
      <c r="COA230" s="1"/>
      <c r="COB230" s="1"/>
      <c r="COC230" s="1"/>
      <c r="COD230" s="1"/>
      <c r="COE230" s="1"/>
      <c r="COF230" s="1"/>
      <c r="COG230" s="1"/>
      <c r="COH230" s="1"/>
      <c r="COI230" s="1"/>
      <c r="COJ230" s="1"/>
      <c r="COK230" s="1"/>
      <c r="COL230" s="1"/>
      <c r="COM230" s="1"/>
      <c r="CON230" s="1"/>
      <c r="COO230" s="1"/>
      <c r="COP230" s="1"/>
      <c r="COQ230" s="1"/>
      <c r="COR230" s="1"/>
      <c r="COS230" s="1"/>
      <c r="COT230" s="1"/>
      <c r="COU230" s="1"/>
      <c r="COV230" s="1"/>
      <c r="COW230" s="1"/>
      <c r="COX230" s="1"/>
      <c r="COY230" s="1"/>
      <c r="COZ230" s="1"/>
      <c r="CPA230" s="1"/>
      <c r="CPB230" s="1"/>
      <c r="CPC230" s="1"/>
      <c r="CPD230" s="1"/>
      <c r="CPE230" s="1"/>
      <c r="CPF230" s="1"/>
      <c r="CPG230" s="1"/>
      <c r="CPH230" s="1"/>
      <c r="CPI230" s="1"/>
      <c r="CPJ230" s="1"/>
      <c r="CPK230" s="1"/>
      <c r="CPL230" s="1"/>
      <c r="CPM230" s="1"/>
      <c r="CPN230" s="1"/>
      <c r="CPO230" s="1"/>
      <c r="CPP230" s="1"/>
      <c r="CPQ230" s="1"/>
      <c r="CPR230" s="1"/>
      <c r="CPS230" s="1"/>
      <c r="CPT230" s="1"/>
      <c r="CPU230" s="1"/>
      <c r="CPV230" s="1"/>
      <c r="CPW230" s="1"/>
      <c r="CPX230" s="1"/>
      <c r="CPY230" s="1"/>
      <c r="CPZ230" s="1"/>
      <c r="CQA230" s="1"/>
      <c r="CQB230" s="1"/>
      <c r="CQC230" s="1"/>
      <c r="CQD230" s="1"/>
      <c r="CQE230" s="1"/>
      <c r="CQF230" s="1"/>
      <c r="CQG230" s="1"/>
      <c r="CQH230" s="1"/>
      <c r="CQI230" s="1"/>
      <c r="CQJ230" s="1"/>
      <c r="CQK230" s="1"/>
      <c r="CQL230" s="1"/>
      <c r="CQM230" s="1"/>
      <c r="CQN230" s="1"/>
      <c r="CQO230" s="1"/>
      <c r="CQP230" s="1"/>
      <c r="CQQ230" s="1"/>
      <c r="CQR230" s="1"/>
      <c r="CQS230" s="1"/>
      <c r="CQT230" s="1"/>
      <c r="CQU230" s="1"/>
      <c r="CQV230" s="1"/>
      <c r="CQW230" s="1"/>
      <c r="CQX230" s="1"/>
      <c r="CQY230" s="1"/>
      <c r="CQZ230" s="1"/>
      <c r="CRA230" s="1"/>
      <c r="CRB230" s="1"/>
      <c r="CRC230" s="1"/>
      <c r="CRD230" s="1"/>
      <c r="CRE230" s="1"/>
      <c r="CRF230" s="1"/>
      <c r="CRG230" s="1"/>
      <c r="CRH230" s="1"/>
      <c r="CRI230" s="1"/>
      <c r="CRJ230" s="1"/>
      <c r="CRK230" s="1"/>
      <c r="CRL230" s="1"/>
      <c r="CRM230" s="1"/>
      <c r="CRN230" s="1"/>
      <c r="CRO230" s="1"/>
      <c r="CRP230" s="1"/>
      <c r="CRQ230" s="1"/>
      <c r="CRR230" s="1"/>
      <c r="CRS230" s="1"/>
      <c r="CRT230" s="1"/>
      <c r="CRU230" s="1"/>
      <c r="CRV230" s="1"/>
      <c r="CRW230" s="1"/>
      <c r="CRX230" s="1"/>
      <c r="CRY230" s="1"/>
      <c r="CRZ230" s="1"/>
      <c r="CSA230" s="1"/>
      <c r="CSB230" s="1"/>
      <c r="CSC230" s="1"/>
      <c r="CSD230" s="1"/>
      <c r="CSE230" s="1"/>
      <c r="CSF230" s="1"/>
      <c r="CSG230" s="1"/>
      <c r="CSH230" s="1"/>
      <c r="CSI230" s="1"/>
      <c r="CSJ230" s="1"/>
      <c r="CSK230" s="1"/>
      <c r="CSL230" s="1"/>
      <c r="CSM230" s="1"/>
      <c r="CSN230" s="1"/>
      <c r="CSO230" s="1"/>
      <c r="CSP230" s="1"/>
      <c r="CSQ230" s="1"/>
      <c r="CSR230" s="1"/>
      <c r="CSS230" s="1"/>
      <c r="CST230" s="1"/>
      <c r="CSU230" s="1"/>
      <c r="CSV230" s="1"/>
      <c r="CSW230" s="1"/>
      <c r="CSX230" s="1"/>
      <c r="CSY230" s="1"/>
      <c r="CSZ230" s="1"/>
      <c r="CTA230" s="1"/>
      <c r="CTB230" s="1"/>
      <c r="CTC230" s="1"/>
      <c r="CTD230" s="1"/>
      <c r="CTE230" s="1"/>
      <c r="CTF230" s="1"/>
      <c r="CTG230" s="1"/>
      <c r="CTH230" s="1"/>
      <c r="CTI230" s="1"/>
      <c r="CTJ230" s="1"/>
      <c r="CTK230" s="1"/>
      <c r="CTL230" s="1"/>
      <c r="CTM230" s="1"/>
      <c r="CTN230" s="1"/>
      <c r="CTO230" s="1"/>
      <c r="CTP230" s="1"/>
      <c r="CTQ230" s="1"/>
      <c r="CTR230" s="1"/>
      <c r="CTS230" s="1"/>
      <c r="CTT230" s="1"/>
      <c r="CTU230" s="1"/>
      <c r="CTV230" s="1"/>
      <c r="CTW230" s="1"/>
      <c r="CTX230" s="1"/>
      <c r="CTY230" s="1"/>
      <c r="CTZ230" s="1"/>
      <c r="CUA230" s="1"/>
      <c r="CUB230" s="1"/>
      <c r="CUC230" s="1"/>
      <c r="CUD230" s="1"/>
      <c r="CUE230" s="1"/>
      <c r="CUF230" s="1"/>
      <c r="CUG230" s="1"/>
      <c r="CUH230" s="1"/>
      <c r="CUI230" s="1"/>
      <c r="CUJ230" s="1"/>
      <c r="CUK230" s="1"/>
      <c r="CUL230" s="1"/>
      <c r="CUM230" s="1"/>
      <c r="CUN230" s="1"/>
      <c r="CUO230" s="1"/>
      <c r="CUP230" s="1"/>
      <c r="CUQ230" s="1"/>
      <c r="CUR230" s="1"/>
      <c r="CUS230" s="1"/>
      <c r="CUT230" s="1"/>
      <c r="CUU230" s="1"/>
      <c r="CUV230" s="1"/>
      <c r="CUW230" s="1"/>
      <c r="CUX230" s="1"/>
      <c r="CUY230" s="1"/>
      <c r="CUZ230" s="1"/>
      <c r="CVA230" s="1"/>
      <c r="CVB230" s="1"/>
      <c r="CVC230" s="1"/>
      <c r="CVD230" s="1"/>
      <c r="CVE230" s="1"/>
      <c r="CVF230" s="1"/>
      <c r="CVG230" s="1"/>
      <c r="CVH230" s="1"/>
      <c r="CVI230" s="1"/>
      <c r="CVJ230" s="1"/>
      <c r="CVK230" s="1"/>
      <c r="CVL230" s="1"/>
      <c r="CVM230" s="1"/>
      <c r="CVN230" s="1"/>
      <c r="CVO230" s="1"/>
      <c r="CVP230" s="1"/>
      <c r="CVQ230" s="1"/>
      <c r="CVR230" s="1"/>
      <c r="CVS230" s="1"/>
      <c r="CVT230" s="1"/>
      <c r="CVU230" s="1"/>
      <c r="CVV230" s="1"/>
      <c r="CVW230" s="1"/>
      <c r="CVX230" s="1"/>
      <c r="CVY230" s="1"/>
      <c r="CVZ230" s="1"/>
      <c r="CWA230" s="1"/>
      <c r="CWB230" s="1"/>
      <c r="CWC230" s="1"/>
      <c r="CWD230" s="1"/>
      <c r="CWE230" s="1"/>
      <c r="CWF230" s="1"/>
      <c r="CWG230" s="1"/>
      <c r="CWH230" s="1"/>
      <c r="CWI230" s="1"/>
      <c r="CWJ230" s="1"/>
      <c r="CWK230" s="1"/>
      <c r="CWL230" s="1"/>
      <c r="CWM230" s="1"/>
      <c r="CWN230" s="1"/>
      <c r="CWO230" s="1"/>
      <c r="CWP230" s="1"/>
      <c r="CWQ230" s="1"/>
      <c r="CWR230" s="1"/>
      <c r="CWS230" s="1"/>
      <c r="CWT230" s="1"/>
      <c r="CWU230" s="1"/>
      <c r="CWV230" s="1"/>
      <c r="CWW230" s="1"/>
      <c r="CWX230" s="1"/>
      <c r="CWY230" s="1"/>
      <c r="CWZ230" s="1"/>
      <c r="CXA230" s="1"/>
      <c r="CXB230" s="1"/>
      <c r="CXC230" s="1"/>
      <c r="CXD230" s="1"/>
      <c r="CXE230" s="1"/>
      <c r="CXF230" s="1"/>
      <c r="CXG230" s="1"/>
      <c r="CXH230" s="1"/>
      <c r="CXI230" s="1"/>
      <c r="CXJ230" s="1"/>
      <c r="CXK230" s="1"/>
      <c r="CXL230" s="1"/>
      <c r="CXM230" s="1"/>
      <c r="CXN230" s="1"/>
      <c r="CXO230" s="1"/>
      <c r="CXP230" s="1"/>
      <c r="CXQ230" s="1"/>
      <c r="CXR230" s="1"/>
      <c r="CXS230" s="1"/>
      <c r="CXT230" s="1"/>
      <c r="CXU230" s="1"/>
      <c r="CXV230" s="1"/>
      <c r="CXW230" s="1"/>
      <c r="CXX230" s="1"/>
      <c r="CXY230" s="1"/>
      <c r="CXZ230" s="1"/>
      <c r="CYA230" s="1"/>
      <c r="CYB230" s="1"/>
      <c r="CYC230" s="1"/>
      <c r="CYD230" s="1"/>
      <c r="CYE230" s="1"/>
      <c r="CYF230" s="1"/>
      <c r="CYG230" s="1"/>
      <c r="CYH230" s="1"/>
      <c r="CYI230" s="1"/>
      <c r="CYJ230" s="1"/>
      <c r="CYK230" s="1"/>
      <c r="CYL230" s="1"/>
      <c r="CYM230" s="1"/>
      <c r="CYN230" s="1"/>
      <c r="CYO230" s="1"/>
      <c r="CYP230" s="1"/>
      <c r="CYQ230" s="1"/>
      <c r="CYR230" s="1"/>
      <c r="CYS230" s="1"/>
      <c r="CYT230" s="1"/>
      <c r="CYU230" s="1"/>
      <c r="CYV230" s="1"/>
      <c r="CYW230" s="1"/>
      <c r="CYX230" s="1"/>
      <c r="CYY230" s="1"/>
      <c r="CYZ230" s="1"/>
      <c r="CZA230" s="1"/>
      <c r="CZB230" s="1"/>
      <c r="CZC230" s="1"/>
      <c r="CZD230" s="1"/>
      <c r="CZE230" s="1"/>
      <c r="CZF230" s="1"/>
      <c r="CZG230" s="1"/>
      <c r="CZH230" s="1"/>
      <c r="CZI230" s="1"/>
      <c r="CZJ230" s="1"/>
      <c r="CZK230" s="1"/>
      <c r="CZL230" s="1"/>
      <c r="CZM230" s="1"/>
      <c r="CZN230" s="1"/>
      <c r="CZO230" s="1"/>
      <c r="CZP230" s="1"/>
      <c r="CZQ230" s="1"/>
      <c r="CZR230" s="1"/>
      <c r="CZS230" s="1"/>
      <c r="CZT230" s="1"/>
      <c r="CZU230" s="1"/>
      <c r="CZV230" s="1"/>
      <c r="CZW230" s="1"/>
      <c r="CZX230" s="1"/>
      <c r="CZY230" s="1"/>
      <c r="CZZ230" s="1"/>
      <c r="DAA230" s="1"/>
      <c r="DAB230" s="1"/>
      <c r="DAC230" s="1"/>
      <c r="DAD230" s="1"/>
      <c r="DAE230" s="1"/>
      <c r="DAF230" s="1"/>
      <c r="DAG230" s="1"/>
      <c r="DAH230" s="1"/>
      <c r="DAI230" s="1"/>
      <c r="DAJ230" s="1"/>
      <c r="DAK230" s="1"/>
      <c r="DAL230" s="1"/>
      <c r="DAM230" s="1"/>
      <c r="DAN230" s="1"/>
      <c r="DAO230" s="1"/>
      <c r="DAP230" s="1"/>
      <c r="DAQ230" s="1"/>
      <c r="DAR230" s="1"/>
      <c r="DAS230" s="1"/>
      <c r="DAT230" s="1"/>
      <c r="DAU230" s="1"/>
      <c r="DAV230" s="1"/>
      <c r="DAW230" s="1"/>
      <c r="DAX230" s="1"/>
      <c r="DAY230" s="1"/>
      <c r="DAZ230" s="1"/>
      <c r="DBA230" s="1"/>
      <c r="DBB230" s="1"/>
      <c r="DBC230" s="1"/>
      <c r="DBD230" s="1"/>
      <c r="DBE230" s="1"/>
      <c r="DBF230" s="1"/>
      <c r="DBG230" s="1"/>
      <c r="DBH230" s="1"/>
      <c r="DBI230" s="1"/>
      <c r="DBJ230" s="1"/>
      <c r="DBK230" s="1"/>
      <c r="DBL230" s="1"/>
      <c r="DBM230" s="1"/>
      <c r="DBN230" s="1"/>
      <c r="DBO230" s="1"/>
      <c r="DBP230" s="1"/>
      <c r="DBQ230" s="1"/>
      <c r="DBR230" s="1"/>
      <c r="DBS230" s="1"/>
      <c r="DBT230" s="1"/>
      <c r="DBU230" s="1"/>
      <c r="DBV230" s="1"/>
      <c r="DBW230" s="1"/>
      <c r="DBX230" s="1"/>
      <c r="DBY230" s="1"/>
      <c r="DBZ230" s="1"/>
      <c r="DCA230" s="1"/>
      <c r="DCB230" s="1"/>
      <c r="DCC230" s="1"/>
      <c r="DCD230" s="1"/>
      <c r="DCE230" s="1"/>
      <c r="DCF230" s="1"/>
      <c r="DCG230" s="1"/>
      <c r="DCH230" s="1"/>
      <c r="DCI230" s="1"/>
      <c r="DCJ230" s="1"/>
      <c r="DCK230" s="1"/>
      <c r="DCL230" s="1"/>
      <c r="DCM230" s="1"/>
      <c r="DCN230" s="1"/>
      <c r="DCO230" s="1"/>
      <c r="DCP230" s="1"/>
      <c r="DCQ230" s="1"/>
      <c r="DCR230" s="1"/>
      <c r="DCS230" s="1"/>
      <c r="DCT230" s="1"/>
      <c r="DCU230" s="1"/>
      <c r="DCV230" s="1"/>
      <c r="DCW230" s="1"/>
      <c r="DCX230" s="1"/>
      <c r="DCY230" s="1"/>
      <c r="DCZ230" s="1"/>
      <c r="DDA230" s="1"/>
      <c r="DDB230" s="1"/>
      <c r="DDC230" s="1"/>
      <c r="DDD230" s="1"/>
      <c r="DDE230" s="1"/>
      <c r="DDF230" s="1"/>
      <c r="DDG230" s="1"/>
      <c r="DDH230" s="1"/>
      <c r="DDI230" s="1"/>
      <c r="DDJ230" s="1"/>
      <c r="DDK230" s="1"/>
      <c r="DDL230" s="1"/>
      <c r="DDM230" s="1"/>
      <c r="DDN230" s="1"/>
      <c r="DDO230" s="1"/>
      <c r="DDP230" s="1"/>
      <c r="DDQ230" s="1"/>
      <c r="DDR230" s="1"/>
      <c r="DDS230" s="1"/>
      <c r="DDT230" s="1"/>
      <c r="DDU230" s="1"/>
      <c r="DDV230" s="1"/>
      <c r="DDW230" s="1"/>
      <c r="DDX230" s="1"/>
      <c r="DDY230" s="1"/>
      <c r="DDZ230" s="1"/>
      <c r="DEA230" s="1"/>
      <c r="DEB230" s="1"/>
      <c r="DEC230" s="1"/>
      <c r="DED230" s="1"/>
      <c r="DEE230" s="1"/>
      <c r="DEF230" s="1"/>
      <c r="DEG230" s="1"/>
      <c r="DEH230" s="1"/>
      <c r="DEI230" s="1"/>
      <c r="DEJ230" s="1"/>
      <c r="DEK230" s="1"/>
      <c r="DEL230" s="1"/>
      <c r="DEM230" s="1"/>
      <c r="DEN230" s="1"/>
      <c r="DEO230" s="1"/>
      <c r="DEP230" s="1"/>
      <c r="DEQ230" s="1"/>
      <c r="DER230" s="1"/>
      <c r="DES230" s="1"/>
      <c r="DET230" s="1"/>
      <c r="DEU230" s="1"/>
      <c r="DEV230" s="1"/>
      <c r="DEW230" s="1"/>
      <c r="DEX230" s="1"/>
      <c r="DEY230" s="1"/>
      <c r="DEZ230" s="1"/>
      <c r="DFA230" s="1"/>
      <c r="DFB230" s="1"/>
      <c r="DFC230" s="1"/>
      <c r="DFD230" s="1"/>
      <c r="DFE230" s="1"/>
      <c r="DFF230" s="1"/>
      <c r="DFG230" s="1"/>
      <c r="DFH230" s="1"/>
      <c r="DFI230" s="1"/>
      <c r="DFJ230" s="1"/>
      <c r="DFK230" s="1"/>
      <c r="DFL230" s="1"/>
      <c r="DFM230" s="1"/>
      <c r="DFN230" s="1"/>
      <c r="DFO230" s="1"/>
      <c r="DFP230" s="1"/>
      <c r="DFQ230" s="1"/>
      <c r="DFR230" s="1"/>
      <c r="DFS230" s="1"/>
      <c r="DFT230" s="1"/>
      <c r="DFU230" s="1"/>
      <c r="DFV230" s="1"/>
      <c r="DFW230" s="1"/>
      <c r="DFX230" s="1"/>
      <c r="DFY230" s="1"/>
      <c r="DFZ230" s="1"/>
      <c r="DGA230" s="1"/>
      <c r="DGB230" s="1"/>
      <c r="DGC230" s="1"/>
      <c r="DGD230" s="1"/>
      <c r="DGE230" s="1"/>
      <c r="DGF230" s="1"/>
      <c r="DGG230" s="1"/>
      <c r="DGH230" s="1"/>
      <c r="DGI230" s="1"/>
      <c r="DGJ230" s="1"/>
      <c r="DGK230" s="1"/>
      <c r="DGL230" s="1"/>
      <c r="DGM230" s="1"/>
      <c r="DGN230" s="1"/>
      <c r="DGO230" s="1"/>
      <c r="DGP230" s="1"/>
      <c r="DGQ230" s="1"/>
      <c r="DGR230" s="1"/>
      <c r="DGS230" s="1"/>
      <c r="DGT230" s="1"/>
      <c r="DGU230" s="1"/>
      <c r="DGV230" s="1"/>
      <c r="DGW230" s="1"/>
      <c r="DGX230" s="1"/>
      <c r="DGY230" s="1"/>
      <c r="DGZ230" s="1"/>
      <c r="DHA230" s="1"/>
      <c r="DHB230" s="1"/>
      <c r="DHC230" s="1"/>
      <c r="DHD230" s="1"/>
      <c r="DHE230" s="1"/>
      <c r="DHF230" s="1"/>
      <c r="DHG230" s="1"/>
      <c r="DHH230" s="1"/>
      <c r="DHI230" s="1"/>
      <c r="DHJ230" s="1"/>
      <c r="DHK230" s="1"/>
      <c r="DHL230" s="1"/>
      <c r="DHM230" s="1"/>
      <c r="DHN230" s="1"/>
      <c r="DHO230" s="1"/>
      <c r="DHP230" s="1"/>
      <c r="DHQ230" s="1"/>
      <c r="DHR230" s="1"/>
      <c r="DHS230" s="1"/>
      <c r="DHT230" s="1"/>
      <c r="DHU230" s="1"/>
      <c r="DHV230" s="1"/>
      <c r="DHW230" s="1"/>
      <c r="DHX230" s="1"/>
      <c r="DHY230" s="1"/>
      <c r="DHZ230" s="1"/>
      <c r="DIA230" s="1"/>
      <c r="DIB230" s="1"/>
      <c r="DIC230" s="1"/>
      <c r="DID230" s="1"/>
      <c r="DIE230" s="1"/>
      <c r="DIF230" s="1"/>
      <c r="DIG230" s="1"/>
      <c r="DIH230" s="1"/>
      <c r="DII230" s="1"/>
      <c r="DIJ230" s="1"/>
      <c r="DIK230" s="1"/>
      <c r="DIL230" s="1"/>
      <c r="DIM230" s="1"/>
      <c r="DIN230" s="1"/>
      <c r="DIO230" s="1"/>
      <c r="DIP230" s="1"/>
      <c r="DIQ230" s="1"/>
      <c r="DIR230" s="1"/>
      <c r="DIS230" s="1"/>
      <c r="DIT230" s="1"/>
      <c r="DIU230" s="1"/>
      <c r="DIV230" s="1"/>
      <c r="DIW230" s="1"/>
      <c r="DIX230" s="1"/>
      <c r="DIY230" s="1"/>
      <c r="DIZ230" s="1"/>
      <c r="DJA230" s="1"/>
      <c r="DJB230" s="1"/>
      <c r="DJC230" s="1"/>
      <c r="DJD230" s="1"/>
      <c r="DJE230" s="1"/>
      <c r="DJF230" s="1"/>
      <c r="DJG230" s="1"/>
      <c r="DJH230" s="1"/>
      <c r="DJI230" s="1"/>
      <c r="DJJ230" s="1"/>
      <c r="DJK230" s="1"/>
      <c r="DJL230" s="1"/>
      <c r="DJM230" s="1"/>
      <c r="DJN230" s="1"/>
      <c r="DJO230" s="1"/>
      <c r="DJP230" s="1"/>
      <c r="DJQ230" s="1"/>
      <c r="DJR230" s="1"/>
      <c r="DJS230" s="1"/>
      <c r="DJT230" s="1"/>
      <c r="DJU230" s="1"/>
      <c r="DJV230" s="1"/>
      <c r="DJW230" s="1"/>
      <c r="DJX230" s="1"/>
      <c r="DJY230" s="1"/>
      <c r="DJZ230" s="1"/>
      <c r="DKA230" s="1"/>
      <c r="DKB230" s="1"/>
      <c r="DKC230" s="1"/>
      <c r="DKD230" s="1"/>
      <c r="DKE230" s="1"/>
      <c r="DKF230" s="1"/>
      <c r="DKG230" s="1"/>
      <c r="DKH230" s="1"/>
      <c r="DKI230" s="1"/>
      <c r="DKJ230" s="1"/>
      <c r="DKK230" s="1"/>
      <c r="DKL230" s="1"/>
      <c r="DKM230" s="1"/>
      <c r="DKN230" s="1"/>
      <c r="DKO230" s="1"/>
      <c r="DKP230" s="1"/>
      <c r="DKQ230" s="1"/>
      <c r="DKR230" s="1"/>
      <c r="DKS230" s="1"/>
      <c r="DKT230" s="1"/>
      <c r="DKU230" s="1"/>
      <c r="DKV230" s="1"/>
      <c r="DKW230" s="1"/>
      <c r="DKX230" s="1"/>
      <c r="DKY230" s="1"/>
      <c r="DKZ230" s="1"/>
      <c r="DLA230" s="1"/>
      <c r="DLB230" s="1"/>
      <c r="DLC230" s="1"/>
      <c r="DLD230" s="1"/>
      <c r="DLE230" s="1"/>
      <c r="DLF230" s="1"/>
      <c r="DLG230" s="1"/>
      <c r="DLH230" s="1"/>
      <c r="DLI230" s="1"/>
      <c r="DLJ230" s="1"/>
      <c r="DLK230" s="1"/>
      <c r="DLL230" s="1"/>
      <c r="DLM230" s="1"/>
      <c r="DLN230" s="1"/>
      <c r="DLO230" s="1"/>
      <c r="DLP230" s="1"/>
      <c r="DLQ230" s="1"/>
      <c r="DLR230" s="1"/>
      <c r="DLS230" s="1"/>
      <c r="DLT230" s="1"/>
      <c r="DLU230" s="1"/>
      <c r="DLV230" s="1"/>
      <c r="DLW230" s="1"/>
      <c r="DLX230" s="1"/>
      <c r="DLY230" s="1"/>
      <c r="DLZ230" s="1"/>
      <c r="DMA230" s="1"/>
      <c r="DMB230" s="1"/>
      <c r="DMC230" s="1"/>
      <c r="DMD230" s="1"/>
      <c r="DME230" s="1"/>
      <c r="DMF230" s="1"/>
      <c r="DMG230" s="1"/>
      <c r="DMH230" s="1"/>
      <c r="DMI230" s="1"/>
      <c r="DMJ230" s="1"/>
      <c r="DMK230" s="1"/>
      <c r="DML230" s="1"/>
      <c r="DMM230" s="1"/>
      <c r="DMN230" s="1"/>
      <c r="DMO230" s="1"/>
      <c r="DMP230" s="1"/>
      <c r="DMQ230" s="1"/>
      <c r="DMR230" s="1"/>
      <c r="DMS230" s="1"/>
      <c r="DMT230" s="1"/>
      <c r="DMU230" s="1"/>
      <c r="DMV230" s="1"/>
      <c r="DMW230" s="1"/>
      <c r="DMX230" s="1"/>
      <c r="DMY230" s="1"/>
      <c r="DMZ230" s="1"/>
      <c r="DNA230" s="1"/>
      <c r="DNB230" s="1"/>
      <c r="DNC230" s="1"/>
      <c r="DND230" s="1"/>
      <c r="DNE230" s="1"/>
      <c r="DNF230" s="1"/>
      <c r="DNG230" s="1"/>
      <c r="DNH230" s="1"/>
      <c r="DNI230" s="1"/>
      <c r="DNJ230" s="1"/>
      <c r="DNK230" s="1"/>
      <c r="DNL230" s="1"/>
      <c r="DNM230" s="1"/>
      <c r="DNN230" s="1"/>
      <c r="DNO230" s="1"/>
      <c r="DNP230" s="1"/>
      <c r="DNQ230" s="1"/>
      <c r="DNR230" s="1"/>
      <c r="DNS230" s="1"/>
      <c r="DNT230" s="1"/>
      <c r="DNU230" s="1"/>
      <c r="DNV230" s="1"/>
      <c r="DNW230" s="1"/>
      <c r="DNX230" s="1"/>
      <c r="DNY230" s="1"/>
      <c r="DNZ230" s="1"/>
      <c r="DOA230" s="1"/>
      <c r="DOB230" s="1"/>
      <c r="DOC230" s="1"/>
      <c r="DOD230" s="1"/>
      <c r="DOE230" s="1"/>
      <c r="DOF230" s="1"/>
      <c r="DOG230" s="1"/>
      <c r="DOH230" s="1"/>
      <c r="DOI230" s="1"/>
      <c r="DOJ230" s="1"/>
      <c r="DOK230" s="1"/>
      <c r="DOL230" s="1"/>
      <c r="DOM230" s="1"/>
      <c r="DON230" s="1"/>
      <c r="DOO230" s="1"/>
      <c r="DOP230" s="1"/>
      <c r="DOQ230" s="1"/>
      <c r="DOR230" s="1"/>
      <c r="DOS230" s="1"/>
      <c r="DOT230" s="1"/>
      <c r="DOU230" s="1"/>
      <c r="DOV230" s="1"/>
      <c r="DOW230" s="1"/>
      <c r="DOX230" s="1"/>
      <c r="DOY230" s="1"/>
      <c r="DOZ230" s="1"/>
      <c r="DPA230" s="1"/>
      <c r="DPB230" s="1"/>
      <c r="DPC230" s="1"/>
      <c r="DPD230" s="1"/>
      <c r="DPE230" s="1"/>
      <c r="DPF230" s="1"/>
      <c r="DPG230" s="1"/>
      <c r="DPH230" s="1"/>
      <c r="DPI230" s="1"/>
      <c r="DPJ230" s="1"/>
      <c r="DPK230" s="1"/>
      <c r="DPL230" s="1"/>
      <c r="DPM230" s="1"/>
      <c r="DPN230" s="1"/>
      <c r="DPO230" s="1"/>
      <c r="DPP230" s="1"/>
      <c r="DPQ230" s="1"/>
      <c r="DPR230" s="1"/>
      <c r="DPS230" s="1"/>
      <c r="DPT230" s="1"/>
      <c r="DPU230" s="1"/>
      <c r="DPV230" s="1"/>
      <c r="DPW230" s="1"/>
      <c r="DPX230" s="1"/>
      <c r="DPY230" s="1"/>
      <c r="DPZ230" s="1"/>
      <c r="DQA230" s="1"/>
      <c r="DQB230" s="1"/>
      <c r="DQC230" s="1"/>
      <c r="DQD230" s="1"/>
      <c r="DQE230" s="1"/>
      <c r="DQF230" s="1"/>
      <c r="DQG230" s="1"/>
      <c r="DQH230" s="1"/>
      <c r="DQI230" s="1"/>
      <c r="DQJ230" s="1"/>
      <c r="DQK230" s="1"/>
      <c r="DQL230" s="1"/>
      <c r="DQM230" s="1"/>
      <c r="DQN230" s="1"/>
      <c r="DQO230" s="1"/>
      <c r="DQP230" s="1"/>
      <c r="DQQ230" s="1"/>
      <c r="DQR230" s="1"/>
      <c r="DQS230" s="1"/>
      <c r="DQT230" s="1"/>
      <c r="DQU230" s="1"/>
      <c r="DQV230" s="1"/>
      <c r="DQW230" s="1"/>
      <c r="DQX230" s="1"/>
      <c r="DQY230" s="1"/>
      <c r="DQZ230" s="1"/>
      <c r="DRA230" s="1"/>
      <c r="DRB230" s="1"/>
      <c r="DRC230" s="1"/>
      <c r="DRD230" s="1"/>
      <c r="DRE230" s="1"/>
      <c r="DRF230" s="1"/>
      <c r="DRG230" s="1"/>
      <c r="DRH230" s="1"/>
      <c r="DRI230" s="1"/>
      <c r="DRJ230" s="1"/>
      <c r="DRK230" s="1"/>
      <c r="DRL230" s="1"/>
      <c r="DRM230" s="1"/>
      <c r="DRN230" s="1"/>
      <c r="DRO230" s="1"/>
      <c r="DRP230" s="1"/>
      <c r="DRQ230" s="1"/>
      <c r="DRR230" s="1"/>
      <c r="DRS230" s="1"/>
      <c r="DRT230" s="1"/>
      <c r="DRU230" s="1"/>
      <c r="DRV230" s="1"/>
      <c r="DRW230" s="1"/>
      <c r="DRX230" s="1"/>
      <c r="DRY230" s="1"/>
      <c r="DRZ230" s="1"/>
      <c r="DSA230" s="1"/>
      <c r="DSB230" s="1"/>
      <c r="DSC230" s="1"/>
      <c r="DSD230" s="1"/>
      <c r="DSE230" s="1"/>
      <c r="DSF230" s="1"/>
      <c r="DSG230" s="1"/>
      <c r="DSH230" s="1"/>
      <c r="DSI230" s="1"/>
      <c r="DSJ230" s="1"/>
      <c r="DSK230" s="1"/>
      <c r="DSL230" s="1"/>
      <c r="DSM230" s="1"/>
      <c r="DSN230" s="1"/>
      <c r="DSO230" s="1"/>
      <c r="DSP230" s="1"/>
      <c r="DSQ230" s="1"/>
      <c r="DSR230" s="1"/>
      <c r="DSS230" s="1"/>
      <c r="DST230" s="1"/>
      <c r="DSU230" s="1"/>
      <c r="DSV230" s="1"/>
      <c r="DSW230" s="1"/>
      <c r="DSX230" s="1"/>
      <c r="DSY230" s="1"/>
      <c r="DSZ230" s="1"/>
      <c r="DTA230" s="1"/>
      <c r="DTB230" s="1"/>
      <c r="DTC230" s="1"/>
      <c r="DTD230" s="1"/>
      <c r="DTE230" s="1"/>
      <c r="DTF230" s="1"/>
      <c r="DTG230" s="1"/>
      <c r="DTH230" s="1"/>
      <c r="DTI230" s="1"/>
      <c r="DTJ230" s="1"/>
      <c r="DTK230" s="1"/>
      <c r="DTL230" s="1"/>
      <c r="DTM230" s="1"/>
      <c r="DTN230" s="1"/>
      <c r="DTO230" s="1"/>
      <c r="DTP230" s="1"/>
      <c r="DTQ230" s="1"/>
      <c r="DTR230" s="1"/>
      <c r="DTS230" s="1"/>
      <c r="DTT230" s="1"/>
      <c r="DTU230" s="1"/>
      <c r="DTV230" s="1"/>
      <c r="DTW230" s="1"/>
      <c r="DTX230" s="1"/>
      <c r="DTY230" s="1"/>
      <c r="DTZ230" s="1"/>
      <c r="DUA230" s="1"/>
      <c r="DUB230" s="1"/>
      <c r="DUC230" s="1"/>
      <c r="DUD230" s="1"/>
      <c r="DUE230" s="1"/>
      <c r="DUF230" s="1"/>
      <c r="DUG230" s="1"/>
      <c r="DUH230" s="1"/>
      <c r="DUI230" s="1"/>
      <c r="DUJ230" s="1"/>
      <c r="DUK230" s="1"/>
      <c r="DUL230" s="1"/>
      <c r="DUM230" s="1"/>
      <c r="DUN230" s="1"/>
      <c r="DUO230" s="1"/>
      <c r="DUP230" s="1"/>
      <c r="DUQ230" s="1"/>
      <c r="DUR230" s="1"/>
      <c r="DUS230" s="1"/>
      <c r="DUT230" s="1"/>
      <c r="DUU230" s="1"/>
      <c r="DUV230" s="1"/>
      <c r="DUW230" s="1"/>
      <c r="DUX230" s="1"/>
      <c r="DUY230" s="1"/>
      <c r="DUZ230" s="1"/>
      <c r="DVA230" s="1"/>
      <c r="DVB230" s="1"/>
      <c r="DVC230" s="1"/>
      <c r="DVD230" s="1"/>
      <c r="DVE230" s="1"/>
      <c r="DVF230" s="1"/>
      <c r="DVG230" s="1"/>
      <c r="DVH230" s="1"/>
      <c r="DVI230" s="1"/>
      <c r="DVJ230" s="1"/>
      <c r="DVK230" s="1"/>
      <c r="DVL230" s="1"/>
      <c r="DVM230" s="1"/>
      <c r="DVN230" s="1"/>
      <c r="DVO230" s="1"/>
      <c r="DVP230" s="1"/>
      <c r="DVQ230" s="1"/>
      <c r="DVR230" s="1"/>
      <c r="DVS230" s="1"/>
      <c r="DVT230" s="1"/>
      <c r="DVU230" s="1"/>
      <c r="DVV230" s="1"/>
      <c r="DVW230" s="1"/>
      <c r="DVX230" s="1"/>
      <c r="DVY230" s="1"/>
      <c r="DVZ230" s="1"/>
      <c r="DWA230" s="1"/>
      <c r="DWB230" s="1"/>
      <c r="DWC230" s="1"/>
      <c r="DWD230" s="1"/>
      <c r="DWE230" s="1"/>
      <c r="DWF230" s="1"/>
      <c r="DWG230" s="1"/>
      <c r="DWH230" s="1"/>
      <c r="DWI230" s="1"/>
      <c r="DWJ230" s="1"/>
      <c r="DWK230" s="1"/>
      <c r="DWL230" s="1"/>
      <c r="DWM230" s="1"/>
      <c r="DWN230" s="1"/>
      <c r="DWO230" s="1"/>
      <c r="DWP230" s="1"/>
      <c r="DWQ230" s="1"/>
      <c r="DWR230" s="1"/>
      <c r="DWS230" s="1"/>
      <c r="DWT230" s="1"/>
      <c r="DWU230" s="1"/>
      <c r="DWV230" s="1"/>
      <c r="DWW230" s="1"/>
      <c r="DWX230" s="1"/>
      <c r="DWY230" s="1"/>
      <c r="DWZ230" s="1"/>
      <c r="DXA230" s="1"/>
      <c r="DXB230" s="1"/>
      <c r="DXC230" s="1"/>
      <c r="DXD230" s="1"/>
      <c r="DXE230" s="1"/>
      <c r="DXF230" s="1"/>
      <c r="DXG230" s="1"/>
      <c r="DXH230" s="1"/>
      <c r="DXI230" s="1"/>
      <c r="DXJ230" s="1"/>
      <c r="DXK230" s="1"/>
      <c r="DXL230" s="1"/>
      <c r="DXM230" s="1"/>
      <c r="DXN230" s="1"/>
      <c r="DXO230" s="1"/>
      <c r="DXP230" s="1"/>
      <c r="DXQ230" s="1"/>
      <c r="DXR230" s="1"/>
      <c r="DXS230" s="1"/>
      <c r="DXT230" s="1"/>
      <c r="DXU230" s="1"/>
      <c r="DXV230" s="1"/>
      <c r="DXW230" s="1"/>
      <c r="DXX230" s="1"/>
      <c r="DXY230" s="1"/>
      <c r="DXZ230" s="1"/>
      <c r="DYA230" s="1"/>
      <c r="DYB230" s="1"/>
      <c r="DYC230" s="1"/>
      <c r="DYD230" s="1"/>
      <c r="DYE230" s="1"/>
      <c r="DYF230" s="1"/>
      <c r="DYG230" s="1"/>
      <c r="DYH230" s="1"/>
      <c r="DYI230" s="1"/>
      <c r="DYJ230" s="1"/>
      <c r="DYK230" s="1"/>
      <c r="DYL230" s="1"/>
      <c r="DYM230" s="1"/>
      <c r="DYN230" s="1"/>
      <c r="DYO230" s="1"/>
      <c r="DYP230" s="1"/>
      <c r="DYQ230" s="1"/>
      <c r="DYR230" s="1"/>
      <c r="DYS230" s="1"/>
      <c r="DYT230" s="1"/>
      <c r="DYU230" s="1"/>
      <c r="DYV230" s="1"/>
      <c r="DYW230" s="1"/>
      <c r="DYX230" s="1"/>
      <c r="DYY230" s="1"/>
      <c r="DYZ230" s="1"/>
      <c r="DZA230" s="1"/>
      <c r="DZB230" s="1"/>
      <c r="DZC230" s="1"/>
      <c r="DZD230" s="1"/>
      <c r="DZE230" s="1"/>
      <c r="DZF230" s="1"/>
      <c r="DZG230" s="1"/>
      <c r="DZH230" s="1"/>
      <c r="DZI230" s="1"/>
      <c r="DZJ230" s="1"/>
      <c r="DZK230" s="1"/>
      <c r="DZL230" s="1"/>
      <c r="DZM230" s="1"/>
      <c r="DZN230" s="1"/>
      <c r="DZO230" s="1"/>
      <c r="DZP230" s="1"/>
      <c r="DZQ230" s="1"/>
      <c r="DZR230" s="1"/>
      <c r="DZS230" s="1"/>
      <c r="DZT230" s="1"/>
      <c r="DZU230" s="1"/>
      <c r="DZV230" s="1"/>
      <c r="DZW230" s="1"/>
      <c r="DZX230" s="1"/>
      <c r="DZY230" s="1"/>
      <c r="DZZ230" s="1"/>
      <c r="EAA230" s="1"/>
      <c r="EAB230" s="1"/>
      <c r="EAC230" s="1"/>
      <c r="EAD230" s="1"/>
      <c r="EAE230" s="1"/>
      <c r="EAF230" s="1"/>
      <c r="EAG230" s="1"/>
      <c r="EAH230" s="1"/>
      <c r="EAI230" s="1"/>
      <c r="EAJ230" s="1"/>
      <c r="EAK230" s="1"/>
      <c r="EAL230" s="1"/>
      <c r="EAM230" s="1"/>
      <c r="EAN230" s="1"/>
      <c r="EAO230" s="1"/>
      <c r="EAP230" s="1"/>
      <c r="EAQ230" s="1"/>
      <c r="EAR230" s="1"/>
      <c r="EAS230" s="1"/>
      <c r="EAT230" s="1"/>
      <c r="EAU230" s="1"/>
      <c r="EAV230" s="1"/>
      <c r="EAW230" s="1"/>
      <c r="EAX230" s="1"/>
      <c r="EAY230" s="1"/>
      <c r="EAZ230" s="1"/>
      <c r="EBA230" s="1"/>
      <c r="EBB230" s="1"/>
      <c r="EBC230" s="1"/>
      <c r="EBD230" s="1"/>
      <c r="EBE230" s="1"/>
      <c r="EBF230" s="1"/>
      <c r="EBG230" s="1"/>
      <c r="EBH230" s="1"/>
      <c r="EBI230" s="1"/>
      <c r="EBJ230" s="1"/>
      <c r="EBK230" s="1"/>
      <c r="EBL230" s="1"/>
      <c r="EBM230" s="1"/>
      <c r="EBN230" s="1"/>
      <c r="EBO230" s="1"/>
      <c r="EBP230" s="1"/>
      <c r="EBQ230" s="1"/>
      <c r="EBR230" s="1"/>
      <c r="EBS230" s="1"/>
      <c r="EBT230" s="1"/>
      <c r="EBU230" s="1"/>
      <c r="EBV230" s="1"/>
      <c r="EBW230" s="1"/>
      <c r="EBX230" s="1"/>
      <c r="EBY230" s="1"/>
      <c r="EBZ230" s="1"/>
      <c r="ECA230" s="1"/>
      <c r="ECB230" s="1"/>
      <c r="ECC230" s="1"/>
      <c r="ECD230" s="1"/>
      <c r="ECE230" s="1"/>
      <c r="ECF230" s="1"/>
      <c r="ECG230" s="1"/>
      <c r="ECH230" s="1"/>
      <c r="ECI230" s="1"/>
      <c r="ECJ230" s="1"/>
      <c r="ECK230" s="1"/>
      <c r="ECL230" s="1"/>
      <c r="ECM230" s="1"/>
      <c r="ECN230" s="1"/>
      <c r="ECO230" s="1"/>
      <c r="ECP230" s="1"/>
      <c r="ECQ230" s="1"/>
      <c r="ECR230" s="1"/>
      <c r="ECS230" s="1"/>
      <c r="ECT230" s="1"/>
      <c r="ECU230" s="1"/>
      <c r="ECV230" s="1"/>
      <c r="ECW230" s="1"/>
      <c r="ECX230" s="1"/>
      <c r="ECY230" s="1"/>
      <c r="ECZ230" s="1"/>
      <c r="EDA230" s="1"/>
      <c r="EDB230" s="1"/>
      <c r="EDC230" s="1"/>
      <c r="EDD230" s="1"/>
      <c r="EDE230" s="1"/>
      <c r="EDF230" s="1"/>
      <c r="EDG230" s="1"/>
      <c r="EDH230" s="1"/>
      <c r="EDI230" s="1"/>
      <c r="EDJ230" s="1"/>
      <c r="EDK230" s="1"/>
      <c r="EDL230" s="1"/>
      <c r="EDM230" s="1"/>
      <c r="EDN230" s="1"/>
      <c r="EDO230" s="1"/>
      <c r="EDP230" s="1"/>
      <c r="EDQ230" s="1"/>
      <c r="EDR230" s="1"/>
      <c r="EDS230" s="1"/>
      <c r="EDT230" s="1"/>
      <c r="EDU230" s="1"/>
      <c r="EDV230" s="1"/>
      <c r="EDW230" s="1"/>
      <c r="EDX230" s="1"/>
      <c r="EDY230" s="1"/>
      <c r="EDZ230" s="1"/>
      <c r="EEA230" s="1"/>
      <c r="EEB230" s="1"/>
      <c r="EEC230" s="1"/>
      <c r="EED230" s="1"/>
      <c r="EEE230" s="1"/>
      <c r="EEF230" s="1"/>
      <c r="EEG230" s="1"/>
      <c r="EEH230" s="1"/>
      <c r="EEI230" s="1"/>
      <c r="EEJ230" s="1"/>
      <c r="EEK230" s="1"/>
      <c r="EEL230" s="1"/>
      <c r="EEM230" s="1"/>
      <c r="EEN230" s="1"/>
      <c r="EEO230" s="1"/>
      <c r="EEP230" s="1"/>
      <c r="EEQ230" s="1"/>
      <c r="EER230" s="1"/>
      <c r="EES230" s="1"/>
      <c r="EET230" s="1"/>
      <c r="EEU230" s="1"/>
      <c r="EEV230" s="1"/>
      <c r="EEW230" s="1"/>
      <c r="EEX230" s="1"/>
      <c r="EEY230" s="1"/>
      <c r="EEZ230" s="1"/>
      <c r="EFA230" s="1"/>
      <c r="EFB230" s="1"/>
      <c r="EFC230" s="1"/>
      <c r="EFD230" s="1"/>
      <c r="EFE230" s="1"/>
      <c r="EFF230" s="1"/>
      <c r="EFG230" s="1"/>
      <c r="EFH230" s="1"/>
      <c r="EFI230" s="1"/>
      <c r="EFJ230" s="1"/>
      <c r="EFK230" s="1"/>
      <c r="EFL230" s="1"/>
      <c r="EFM230" s="1"/>
      <c r="EFN230" s="1"/>
      <c r="EFO230" s="1"/>
      <c r="EFP230" s="1"/>
      <c r="EFQ230" s="1"/>
      <c r="EFR230" s="1"/>
      <c r="EFS230" s="1"/>
      <c r="EFT230" s="1"/>
      <c r="EFU230" s="1"/>
      <c r="EFV230" s="1"/>
      <c r="EFW230" s="1"/>
      <c r="EFX230" s="1"/>
      <c r="EFY230" s="1"/>
      <c r="EFZ230" s="1"/>
      <c r="EGA230" s="1"/>
      <c r="EGB230" s="1"/>
      <c r="EGC230" s="1"/>
      <c r="EGD230" s="1"/>
      <c r="EGE230" s="1"/>
      <c r="EGF230" s="1"/>
      <c r="EGG230" s="1"/>
      <c r="EGH230" s="1"/>
      <c r="EGI230" s="1"/>
      <c r="EGJ230" s="1"/>
      <c r="EGK230" s="1"/>
      <c r="EGL230" s="1"/>
      <c r="EGM230" s="1"/>
      <c r="EGN230" s="1"/>
      <c r="EGO230" s="1"/>
      <c r="EGP230" s="1"/>
      <c r="EGQ230" s="1"/>
      <c r="EGR230" s="1"/>
      <c r="EGS230" s="1"/>
      <c r="EGT230" s="1"/>
      <c r="EGU230" s="1"/>
      <c r="EGV230" s="1"/>
      <c r="EGW230" s="1"/>
      <c r="EGX230" s="1"/>
      <c r="EGY230" s="1"/>
      <c r="EGZ230" s="1"/>
      <c r="EHA230" s="1"/>
      <c r="EHB230" s="1"/>
      <c r="EHC230" s="1"/>
      <c r="EHD230" s="1"/>
      <c r="EHE230" s="1"/>
      <c r="EHF230" s="1"/>
      <c r="EHG230" s="1"/>
      <c r="EHH230" s="1"/>
      <c r="EHI230" s="1"/>
      <c r="EHJ230" s="1"/>
      <c r="EHK230" s="1"/>
      <c r="EHL230" s="1"/>
      <c r="EHM230" s="1"/>
      <c r="EHN230" s="1"/>
      <c r="EHO230" s="1"/>
      <c r="EHP230" s="1"/>
      <c r="EHQ230" s="1"/>
      <c r="EHR230" s="1"/>
      <c r="EHS230" s="1"/>
      <c r="EHT230" s="1"/>
      <c r="EHU230" s="1"/>
      <c r="EHV230" s="1"/>
      <c r="EHW230" s="1"/>
      <c r="EHX230" s="1"/>
      <c r="EHY230" s="1"/>
      <c r="EHZ230" s="1"/>
      <c r="EIA230" s="1"/>
      <c r="EIB230" s="1"/>
      <c r="EIC230" s="1"/>
      <c r="EID230" s="1"/>
      <c r="EIE230" s="1"/>
      <c r="EIF230" s="1"/>
      <c r="EIG230" s="1"/>
      <c r="EIH230" s="1"/>
      <c r="EII230" s="1"/>
      <c r="EIJ230" s="1"/>
      <c r="EIK230" s="1"/>
      <c r="EIL230" s="1"/>
      <c r="EIM230" s="1"/>
      <c r="EIN230" s="1"/>
      <c r="EIO230" s="1"/>
      <c r="EIP230" s="1"/>
      <c r="EIQ230" s="1"/>
      <c r="EIR230" s="1"/>
      <c r="EIS230" s="1"/>
      <c r="EIT230" s="1"/>
      <c r="EIU230" s="1"/>
      <c r="EIV230" s="1"/>
      <c r="EIW230" s="1"/>
      <c r="EIX230" s="1"/>
      <c r="EIY230" s="1"/>
      <c r="EIZ230" s="1"/>
      <c r="EJA230" s="1"/>
      <c r="EJB230" s="1"/>
      <c r="EJC230" s="1"/>
      <c r="EJD230" s="1"/>
      <c r="EJE230" s="1"/>
      <c r="EJF230" s="1"/>
      <c r="EJG230" s="1"/>
      <c r="EJH230" s="1"/>
      <c r="EJI230" s="1"/>
      <c r="EJJ230" s="1"/>
      <c r="EJK230" s="1"/>
      <c r="EJL230" s="1"/>
      <c r="EJM230" s="1"/>
      <c r="EJN230" s="1"/>
      <c r="EJO230" s="1"/>
      <c r="EJP230" s="1"/>
      <c r="EJQ230" s="1"/>
      <c r="EJR230" s="1"/>
      <c r="EJS230" s="1"/>
      <c r="EJT230" s="1"/>
      <c r="EJU230" s="1"/>
      <c r="EJV230" s="1"/>
      <c r="EJW230" s="1"/>
      <c r="EJX230" s="1"/>
      <c r="EJY230" s="1"/>
      <c r="EJZ230" s="1"/>
      <c r="EKA230" s="1"/>
      <c r="EKB230" s="1"/>
      <c r="EKC230" s="1"/>
      <c r="EKD230" s="1"/>
      <c r="EKE230" s="1"/>
      <c r="EKF230" s="1"/>
      <c r="EKG230" s="1"/>
      <c r="EKH230" s="1"/>
      <c r="EKI230" s="1"/>
      <c r="EKJ230" s="1"/>
      <c r="EKK230" s="1"/>
      <c r="EKL230" s="1"/>
      <c r="EKM230" s="1"/>
      <c r="EKN230" s="1"/>
      <c r="EKO230" s="1"/>
      <c r="EKP230" s="1"/>
      <c r="EKQ230" s="1"/>
      <c r="EKR230" s="1"/>
      <c r="EKS230" s="1"/>
      <c r="EKT230" s="1"/>
      <c r="EKU230" s="1"/>
      <c r="EKV230" s="1"/>
      <c r="EKW230" s="1"/>
      <c r="EKX230" s="1"/>
      <c r="EKY230" s="1"/>
      <c r="EKZ230" s="1"/>
      <c r="ELA230" s="1"/>
      <c r="ELB230" s="1"/>
      <c r="ELC230" s="1"/>
      <c r="ELD230" s="1"/>
      <c r="ELE230" s="1"/>
      <c r="ELF230" s="1"/>
      <c r="ELG230" s="1"/>
      <c r="ELH230" s="1"/>
      <c r="ELI230" s="1"/>
      <c r="ELJ230" s="1"/>
      <c r="ELK230" s="1"/>
      <c r="ELL230" s="1"/>
      <c r="ELM230" s="1"/>
      <c r="ELN230" s="1"/>
      <c r="ELO230" s="1"/>
      <c r="ELP230" s="1"/>
      <c r="ELQ230" s="1"/>
      <c r="ELR230" s="1"/>
      <c r="ELS230" s="1"/>
      <c r="ELT230" s="1"/>
      <c r="ELU230" s="1"/>
      <c r="ELV230" s="1"/>
      <c r="ELW230" s="1"/>
      <c r="ELX230" s="1"/>
      <c r="ELY230" s="1"/>
      <c r="ELZ230" s="1"/>
      <c r="EMA230" s="1"/>
      <c r="EMB230" s="1"/>
      <c r="EMC230" s="1"/>
      <c r="EMD230" s="1"/>
      <c r="EME230" s="1"/>
      <c r="EMF230" s="1"/>
      <c r="EMG230" s="1"/>
      <c r="EMH230" s="1"/>
      <c r="EMI230" s="1"/>
      <c r="EMJ230" s="1"/>
      <c r="EMK230" s="1"/>
      <c r="EML230" s="1"/>
      <c r="EMM230" s="1"/>
      <c r="EMN230" s="1"/>
      <c r="EMO230" s="1"/>
      <c r="EMP230" s="1"/>
      <c r="EMQ230" s="1"/>
      <c r="EMR230" s="1"/>
      <c r="EMS230" s="1"/>
      <c r="EMT230" s="1"/>
      <c r="EMU230" s="1"/>
      <c r="EMV230" s="1"/>
      <c r="EMW230" s="1"/>
      <c r="EMX230" s="1"/>
      <c r="EMY230" s="1"/>
      <c r="EMZ230" s="1"/>
      <c r="ENA230" s="1"/>
      <c r="ENB230" s="1"/>
      <c r="ENC230" s="1"/>
      <c r="END230" s="1"/>
      <c r="ENE230" s="1"/>
      <c r="ENF230" s="1"/>
      <c r="ENG230" s="1"/>
      <c r="ENH230" s="1"/>
      <c r="ENI230" s="1"/>
      <c r="ENJ230" s="1"/>
      <c r="ENK230" s="1"/>
      <c r="ENL230" s="1"/>
      <c r="ENM230" s="1"/>
      <c r="ENN230" s="1"/>
      <c r="ENO230" s="1"/>
      <c r="ENP230" s="1"/>
      <c r="ENQ230" s="1"/>
      <c r="ENR230" s="1"/>
      <c r="ENS230" s="1"/>
      <c r="ENT230" s="1"/>
      <c r="ENU230" s="1"/>
      <c r="ENV230" s="1"/>
      <c r="ENW230" s="1"/>
      <c r="ENX230" s="1"/>
      <c r="ENY230" s="1"/>
      <c r="ENZ230" s="1"/>
      <c r="EOA230" s="1"/>
      <c r="EOB230" s="1"/>
      <c r="EOC230" s="1"/>
      <c r="EOD230" s="1"/>
      <c r="EOE230" s="1"/>
      <c r="EOF230" s="1"/>
      <c r="EOG230" s="1"/>
      <c r="EOH230" s="1"/>
      <c r="EOI230" s="1"/>
      <c r="EOJ230" s="1"/>
      <c r="EOK230" s="1"/>
      <c r="EOL230" s="1"/>
      <c r="EOM230" s="1"/>
      <c r="EON230" s="1"/>
      <c r="EOO230" s="1"/>
      <c r="EOP230" s="1"/>
      <c r="EOQ230" s="1"/>
      <c r="EOR230" s="1"/>
      <c r="EOS230" s="1"/>
      <c r="EOT230" s="1"/>
      <c r="EOU230" s="1"/>
      <c r="EOV230" s="1"/>
      <c r="EOW230" s="1"/>
      <c r="EOX230" s="1"/>
      <c r="EOY230" s="1"/>
      <c r="EOZ230" s="1"/>
      <c r="EPA230" s="1"/>
      <c r="EPB230" s="1"/>
      <c r="EPC230" s="1"/>
      <c r="EPD230" s="1"/>
      <c r="EPE230" s="1"/>
      <c r="EPF230" s="1"/>
      <c r="EPG230" s="1"/>
      <c r="EPH230" s="1"/>
      <c r="EPI230" s="1"/>
      <c r="EPJ230" s="1"/>
      <c r="EPK230" s="1"/>
      <c r="EPL230" s="1"/>
      <c r="EPM230" s="1"/>
      <c r="EPN230" s="1"/>
      <c r="EPO230" s="1"/>
      <c r="EPP230" s="1"/>
      <c r="EPQ230" s="1"/>
      <c r="EPR230" s="1"/>
      <c r="EPS230" s="1"/>
      <c r="EPT230" s="1"/>
      <c r="EPU230" s="1"/>
      <c r="EPV230" s="1"/>
      <c r="EPW230" s="1"/>
      <c r="EPX230" s="1"/>
      <c r="EPY230" s="1"/>
      <c r="EPZ230" s="1"/>
      <c r="EQA230" s="1"/>
      <c r="EQB230" s="1"/>
      <c r="EQC230" s="1"/>
      <c r="EQD230" s="1"/>
      <c r="EQE230" s="1"/>
      <c r="EQF230" s="1"/>
      <c r="EQG230" s="1"/>
      <c r="EQH230" s="1"/>
      <c r="EQI230" s="1"/>
      <c r="EQJ230" s="1"/>
      <c r="EQK230" s="1"/>
      <c r="EQL230" s="1"/>
      <c r="EQM230" s="1"/>
      <c r="EQN230" s="1"/>
      <c r="EQO230" s="1"/>
      <c r="EQP230" s="1"/>
      <c r="EQQ230" s="1"/>
      <c r="EQR230" s="1"/>
      <c r="EQS230" s="1"/>
      <c r="EQT230" s="1"/>
      <c r="EQU230" s="1"/>
      <c r="EQV230" s="1"/>
      <c r="EQW230" s="1"/>
      <c r="EQX230" s="1"/>
      <c r="EQY230" s="1"/>
      <c r="EQZ230" s="1"/>
      <c r="ERA230" s="1"/>
      <c r="ERB230" s="1"/>
      <c r="ERC230" s="1"/>
      <c r="ERD230" s="1"/>
      <c r="ERE230" s="1"/>
      <c r="ERF230" s="1"/>
      <c r="ERG230" s="1"/>
      <c r="ERH230" s="1"/>
      <c r="ERI230" s="1"/>
      <c r="ERJ230" s="1"/>
      <c r="ERK230" s="1"/>
      <c r="ERL230" s="1"/>
      <c r="ERM230" s="1"/>
      <c r="ERN230" s="1"/>
      <c r="ERO230" s="1"/>
      <c r="ERP230" s="1"/>
      <c r="ERQ230" s="1"/>
      <c r="ERR230" s="1"/>
      <c r="ERS230" s="1"/>
      <c r="ERT230" s="1"/>
      <c r="ERU230" s="1"/>
      <c r="ERV230" s="1"/>
      <c r="ERW230" s="1"/>
      <c r="ERX230" s="1"/>
      <c r="ERY230" s="1"/>
      <c r="ERZ230" s="1"/>
      <c r="ESA230" s="1"/>
      <c r="ESB230" s="1"/>
      <c r="ESC230" s="1"/>
      <c r="ESD230" s="1"/>
      <c r="ESE230" s="1"/>
      <c r="ESF230" s="1"/>
      <c r="ESG230" s="1"/>
      <c r="ESH230" s="1"/>
      <c r="ESI230" s="1"/>
      <c r="ESJ230" s="1"/>
      <c r="ESK230" s="1"/>
      <c r="ESL230" s="1"/>
      <c r="ESM230" s="1"/>
      <c r="ESN230" s="1"/>
      <c r="ESO230" s="1"/>
      <c r="ESP230" s="1"/>
      <c r="ESQ230" s="1"/>
      <c r="ESR230" s="1"/>
      <c r="ESS230" s="1"/>
      <c r="EST230" s="1"/>
      <c r="ESU230" s="1"/>
      <c r="ESV230" s="1"/>
      <c r="ESW230" s="1"/>
      <c r="ESX230" s="1"/>
      <c r="ESY230" s="1"/>
      <c r="ESZ230" s="1"/>
      <c r="ETA230" s="1"/>
      <c r="ETB230" s="1"/>
      <c r="ETC230" s="1"/>
      <c r="ETD230" s="1"/>
      <c r="ETE230" s="1"/>
      <c r="ETF230" s="1"/>
      <c r="ETG230" s="1"/>
      <c r="ETH230" s="1"/>
      <c r="ETI230" s="1"/>
      <c r="ETJ230" s="1"/>
      <c r="ETK230" s="1"/>
      <c r="ETL230" s="1"/>
      <c r="ETM230" s="1"/>
      <c r="ETN230" s="1"/>
      <c r="ETO230" s="1"/>
      <c r="ETP230" s="1"/>
      <c r="ETQ230" s="1"/>
      <c r="ETR230" s="1"/>
      <c r="ETS230" s="1"/>
      <c r="ETT230" s="1"/>
      <c r="ETU230" s="1"/>
      <c r="ETV230" s="1"/>
      <c r="ETW230" s="1"/>
      <c r="ETX230" s="1"/>
      <c r="ETY230" s="1"/>
      <c r="ETZ230" s="1"/>
      <c r="EUA230" s="1"/>
      <c r="EUB230" s="1"/>
      <c r="EUC230" s="1"/>
      <c r="EUD230" s="1"/>
      <c r="EUE230" s="1"/>
      <c r="EUF230" s="1"/>
      <c r="EUG230" s="1"/>
      <c r="EUH230" s="1"/>
      <c r="EUI230" s="1"/>
      <c r="EUJ230" s="1"/>
      <c r="EUK230" s="1"/>
      <c r="EUL230" s="1"/>
      <c r="EUM230" s="1"/>
      <c r="EUN230" s="1"/>
      <c r="EUO230" s="1"/>
      <c r="EUP230" s="1"/>
      <c r="EUQ230" s="1"/>
      <c r="EUR230" s="1"/>
      <c r="EUS230" s="1"/>
      <c r="EUT230" s="1"/>
      <c r="EUU230" s="1"/>
      <c r="EUV230" s="1"/>
      <c r="EUW230" s="1"/>
      <c r="EUX230" s="1"/>
      <c r="EUY230" s="1"/>
      <c r="EUZ230" s="1"/>
      <c r="EVA230" s="1"/>
      <c r="EVB230" s="1"/>
      <c r="EVC230" s="1"/>
      <c r="EVD230" s="1"/>
      <c r="EVE230" s="1"/>
      <c r="EVF230" s="1"/>
      <c r="EVG230" s="1"/>
      <c r="EVH230" s="1"/>
      <c r="EVI230" s="1"/>
      <c r="EVJ230" s="1"/>
      <c r="EVK230" s="1"/>
      <c r="EVL230" s="1"/>
      <c r="EVM230" s="1"/>
      <c r="EVN230" s="1"/>
      <c r="EVO230" s="1"/>
      <c r="EVP230" s="1"/>
      <c r="EVQ230" s="1"/>
      <c r="EVR230" s="1"/>
      <c r="EVS230" s="1"/>
      <c r="EVT230" s="1"/>
      <c r="EVU230" s="1"/>
      <c r="EVV230" s="1"/>
      <c r="EVW230" s="1"/>
      <c r="EVX230" s="1"/>
      <c r="EVY230" s="1"/>
      <c r="EVZ230" s="1"/>
      <c r="EWA230" s="1"/>
      <c r="EWB230" s="1"/>
      <c r="EWC230" s="1"/>
      <c r="EWD230" s="1"/>
      <c r="EWE230" s="1"/>
      <c r="EWF230" s="1"/>
      <c r="EWG230" s="1"/>
      <c r="EWH230" s="1"/>
      <c r="EWI230" s="1"/>
      <c r="EWJ230" s="1"/>
      <c r="EWK230" s="1"/>
      <c r="EWL230" s="1"/>
      <c r="EWM230" s="1"/>
      <c r="EWN230" s="1"/>
      <c r="EWO230" s="1"/>
      <c r="EWP230" s="1"/>
      <c r="EWQ230" s="1"/>
      <c r="EWR230" s="1"/>
      <c r="EWS230" s="1"/>
      <c r="EWT230" s="1"/>
      <c r="EWU230" s="1"/>
      <c r="EWV230" s="1"/>
      <c r="EWW230" s="1"/>
      <c r="EWX230" s="1"/>
      <c r="EWY230" s="1"/>
      <c r="EWZ230" s="1"/>
      <c r="EXA230" s="1"/>
      <c r="EXB230" s="1"/>
      <c r="EXC230" s="1"/>
      <c r="EXD230" s="1"/>
      <c r="EXE230" s="1"/>
      <c r="EXF230" s="1"/>
      <c r="EXG230" s="1"/>
      <c r="EXH230" s="1"/>
      <c r="EXI230" s="1"/>
      <c r="EXJ230" s="1"/>
      <c r="EXK230" s="1"/>
      <c r="EXL230" s="1"/>
      <c r="EXM230" s="1"/>
      <c r="EXN230" s="1"/>
      <c r="EXO230" s="1"/>
      <c r="EXP230" s="1"/>
      <c r="EXQ230" s="1"/>
      <c r="EXR230" s="1"/>
      <c r="EXS230" s="1"/>
      <c r="EXT230" s="1"/>
      <c r="EXU230" s="1"/>
      <c r="EXV230" s="1"/>
      <c r="EXW230" s="1"/>
      <c r="EXX230" s="1"/>
      <c r="EXY230" s="1"/>
      <c r="EXZ230" s="1"/>
      <c r="EYA230" s="1"/>
      <c r="EYB230" s="1"/>
      <c r="EYC230" s="1"/>
      <c r="EYD230" s="1"/>
      <c r="EYE230" s="1"/>
      <c r="EYF230" s="1"/>
      <c r="EYG230" s="1"/>
      <c r="EYH230" s="1"/>
      <c r="EYI230" s="1"/>
      <c r="EYJ230" s="1"/>
      <c r="EYK230" s="1"/>
      <c r="EYL230" s="1"/>
      <c r="EYM230" s="1"/>
      <c r="EYN230" s="1"/>
      <c r="EYO230" s="1"/>
      <c r="EYP230" s="1"/>
      <c r="EYQ230" s="1"/>
      <c r="EYR230" s="1"/>
      <c r="EYS230" s="1"/>
      <c r="EYT230" s="1"/>
      <c r="EYU230" s="1"/>
      <c r="EYV230" s="1"/>
      <c r="EYW230" s="1"/>
      <c r="EYX230" s="1"/>
      <c r="EYY230" s="1"/>
      <c r="EYZ230" s="1"/>
      <c r="EZA230" s="1"/>
      <c r="EZB230" s="1"/>
      <c r="EZC230" s="1"/>
      <c r="EZD230" s="1"/>
      <c r="EZE230" s="1"/>
      <c r="EZF230" s="1"/>
      <c r="EZG230" s="1"/>
      <c r="EZH230" s="1"/>
      <c r="EZI230" s="1"/>
      <c r="EZJ230" s="1"/>
      <c r="EZK230" s="1"/>
      <c r="EZL230" s="1"/>
      <c r="EZM230" s="1"/>
      <c r="EZN230" s="1"/>
      <c r="EZO230" s="1"/>
      <c r="EZP230" s="1"/>
      <c r="EZQ230" s="1"/>
      <c r="EZR230" s="1"/>
      <c r="EZS230" s="1"/>
      <c r="EZT230" s="1"/>
      <c r="EZU230" s="1"/>
      <c r="EZV230" s="1"/>
      <c r="EZW230" s="1"/>
      <c r="EZX230" s="1"/>
      <c r="EZY230" s="1"/>
      <c r="EZZ230" s="1"/>
      <c r="FAA230" s="1"/>
      <c r="FAB230" s="1"/>
      <c r="FAC230" s="1"/>
      <c r="FAD230" s="1"/>
      <c r="FAE230" s="1"/>
      <c r="FAF230" s="1"/>
      <c r="FAG230" s="1"/>
      <c r="FAH230" s="1"/>
      <c r="FAI230" s="1"/>
      <c r="FAJ230" s="1"/>
      <c r="FAK230" s="1"/>
      <c r="FAL230" s="1"/>
      <c r="FAM230" s="1"/>
      <c r="FAN230" s="1"/>
      <c r="FAO230" s="1"/>
      <c r="FAP230" s="1"/>
      <c r="FAQ230" s="1"/>
      <c r="FAR230" s="1"/>
      <c r="FAS230" s="1"/>
      <c r="FAT230" s="1"/>
      <c r="FAU230" s="1"/>
      <c r="FAV230" s="1"/>
      <c r="FAW230" s="1"/>
      <c r="FAX230" s="1"/>
      <c r="FAY230" s="1"/>
      <c r="FAZ230" s="1"/>
      <c r="FBA230" s="1"/>
      <c r="FBB230" s="1"/>
      <c r="FBC230" s="1"/>
      <c r="FBD230" s="1"/>
      <c r="FBE230" s="1"/>
      <c r="FBF230" s="1"/>
      <c r="FBG230" s="1"/>
      <c r="FBH230" s="1"/>
      <c r="FBI230" s="1"/>
      <c r="FBJ230" s="1"/>
      <c r="FBK230" s="1"/>
      <c r="FBL230" s="1"/>
      <c r="FBM230" s="1"/>
      <c r="FBN230" s="1"/>
      <c r="FBO230" s="1"/>
      <c r="FBP230" s="1"/>
      <c r="FBQ230" s="1"/>
      <c r="FBR230" s="1"/>
      <c r="FBS230" s="1"/>
      <c r="FBT230" s="1"/>
      <c r="FBU230" s="1"/>
      <c r="FBV230" s="1"/>
      <c r="FBW230" s="1"/>
      <c r="FBX230" s="1"/>
      <c r="FBY230" s="1"/>
      <c r="FBZ230" s="1"/>
      <c r="FCA230" s="1"/>
      <c r="FCB230" s="1"/>
      <c r="FCC230" s="1"/>
      <c r="FCD230" s="1"/>
      <c r="FCE230" s="1"/>
      <c r="FCF230" s="1"/>
      <c r="FCG230" s="1"/>
      <c r="FCH230" s="1"/>
      <c r="FCI230" s="1"/>
      <c r="FCJ230" s="1"/>
      <c r="FCK230" s="1"/>
      <c r="FCL230" s="1"/>
      <c r="FCM230" s="1"/>
      <c r="FCN230" s="1"/>
      <c r="FCO230" s="1"/>
      <c r="FCP230" s="1"/>
      <c r="FCQ230" s="1"/>
      <c r="FCR230" s="1"/>
      <c r="FCS230" s="1"/>
      <c r="FCT230" s="1"/>
      <c r="FCU230" s="1"/>
      <c r="FCV230" s="1"/>
      <c r="FCW230" s="1"/>
      <c r="FCX230" s="1"/>
      <c r="FCY230" s="1"/>
      <c r="FCZ230" s="1"/>
      <c r="FDA230" s="1"/>
      <c r="FDB230" s="1"/>
      <c r="FDC230" s="1"/>
      <c r="FDD230" s="1"/>
      <c r="FDE230" s="1"/>
      <c r="FDF230" s="1"/>
      <c r="FDG230" s="1"/>
      <c r="FDH230" s="1"/>
      <c r="FDI230" s="1"/>
      <c r="FDJ230" s="1"/>
      <c r="FDK230" s="1"/>
      <c r="FDL230" s="1"/>
      <c r="FDM230" s="1"/>
      <c r="FDN230" s="1"/>
      <c r="FDO230" s="1"/>
      <c r="FDP230" s="1"/>
      <c r="FDQ230" s="1"/>
      <c r="FDR230" s="1"/>
      <c r="FDS230" s="1"/>
      <c r="FDT230" s="1"/>
      <c r="FDU230" s="1"/>
      <c r="FDV230" s="1"/>
      <c r="FDW230" s="1"/>
      <c r="FDX230" s="1"/>
      <c r="FDY230" s="1"/>
      <c r="FDZ230" s="1"/>
      <c r="FEA230" s="1"/>
      <c r="FEB230" s="1"/>
      <c r="FEC230" s="1"/>
      <c r="FED230" s="1"/>
      <c r="FEE230" s="1"/>
      <c r="FEF230" s="1"/>
      <c r="FEG230" s="1"/>
      <c r="FEH230" s="1"/>
      <c r="FEI230" s="1"/>
      <c r="FEJ230" s="1"/>
      <c r="FEK230" s="1"/>
      <c r="FEL230" s="1"/>
      <c r="FEM230" s="1"/>
      <c r="FEN230" s="1"/>
      <c r="FEO230" s="1"/>
      <c r="FEP230" s="1"/>
      <c r="FEQ230" s="1"/>
      <c r="FER230" s="1"/>
      <c r="FES230" s="1"/>
      <c r="FET230" s="1"/>
      <c r="FEU230" s="1"/>
      <c r="FEV230" s="1"/>
      <c r="FEW230" s="1"/>
      <c r="FEX230" s="1"/>
      <c r="FEY230" s="1"/>
      <c r="FEZ230" s="1"/>
      <c r="FFA230" s="1"/>
      <c r="FFB230" s="1"/>
      <c r="FFC230" s="1"/>
      <c r="FFD230" s="1"/>
      <c r="FFE230" s="1"/>
      <c r="FFF230" s="1"/>
      <c r="FFG230" s="1"/>
      <c r="FFH230" s="1"/>
      <c r="FFI230" s="1"/>
      <c r="FFJ230" s="1"/>
      <c r="FFK230" s="1"/>
      <c r="FFL230" s="1"/>
      <c r="FFM230" s="1"/>
      <c r="FFN230" s="1"/>
      <c r="FFO230" s="1"/>
      <c r="FFP230" s="1"/>
      <c r="FFQ230" s="1"/>
      <c r="FFR230" s="1"/>
      <c r="FFS230" s="1"/>
      <c r="FFT230" s="1"/>
      <c r="FFU230" s="1"/>
      <c r="FFV230" s="1"/>
      <c r="FFW230" s="1"/>
      <c r="FFX230" s="1"/>
      <c r="FFY230" s="1"/>
      <c r="FFZ230" s="1"/>
      <c r="FGA230" s="1"/>
      <c r="FGB230" s="1"/>
      <c r="FGC230" s="1"/>
      <c r="FGD230" s="1"/>
      <c r="FGE230" s="1"/>
      <c r="FGF230" s="1"/>
      <c r="FGG230" s="1"/>
      <c r="FGH230" s="1"/>
      <c r="FGI230" s="1"/>
      <c r="FGJ230" s="1"/>
      <c r="FGK230" s="1"/>
      <c r="FGL230" s="1"/>
      <c r="FGM230" s="1"/>
      <c r="FGN230" s="1"/>
      <c r="FGO230" s="1"/>
      <c r="FGP230" s="1"/>
      <c r="FGQ230" s="1"/>
      <c r="FGR230" s="1"/>
      <c r="FGS230" s="1"/>
      <c r="FGT230" s="1"/>
      <c r="FGU230" s="1"/>
      <c r="FGV230" s="1"/>
      <c r="FGW230" s="1"/>
      <c r="FGX230" s="1"/>
      <c r="FGY230" s="1"/>
      <c r="FGZ230" s="1"/>
      <c r="FHA230" s="1"/>
      <c r="FHB230" s="1"/>
      <c r="FHC230" s="1"/>
      <c r="FHD230" s="1"/>
      <c r="FHE230" s="1"/>
      <c r="FHF230" s="1"/>
      <c r="FHG230" s="1"/>
      <c r="FHH230" s="1"/>
      <c r="FHI230" s="1"/>
      <c r="FHJ230" s="1"/>
      <c r="FHK230" s="1"/>
      <c r="FHL230" s="1"/>
      <c r="FHM230" s="1"/>
      <c r="FHN230" s="1"/>
      <c r="FHO230" s="1"/>
      <c r="FHP230" s="1"/>
      <c r="FHQ230" s="1"/>
      <c r="FHR230" s="1"/>
      <c r="FHS230" s="1"/>
      <c r="FHT230" s="1"/>
      <c r="FHU230" s="1"/>
      <c r="FHV230" s="1"/>
      <c r="FHW230" s="1"/>
      <c r="FHX230" s="1"/>
      <c r="FHY230" s="1"/>
      <c r="FHZ230" s="1"/>
      <c r="FIA230" s="1"/>
      <c r="FIB230" s="1"/>
      <c r="FIC230" s="1"/>
      <c r="FID230" s="1"/>
      <c r="FIE230" s="1"/>
      <c r="FIF230" s="1"/>
      <c r="FIG230" s="1"/>
      <c r="FIH230" s="1"/>
      <c r="FII230" s="1"/>
      <c r="FIJ230" s="1"/>
      <c r="FIK230" s="1"/>
      <c r="FIL230" s="1"/>
      <c r="FIM230" s="1"/>
      <c r="FIN230" s="1"/>
      <c r="FIO230" s="1"/>
      <c r="FIP230" s="1"/>
      <c r="FIQ230" s="1"/>
      <c r="FIR230" s="1"/>
      <c r="FIS230" s="1"/>
      <c r="FIT230" s="1"/>
      <c r="FIU230" s="1"/>
      <c r="FIV230" s="1"/>
      <c r="FIW230" s="1"/>
      <c r="FIX230" s="1"/>
      <c r="FIY230" s="1"/>
      <c r="FIZ230" s="1"/>
      <c r="FJA230" s="1"/>
      <c r="FJB230" s="1"/>
      <c r="FJC230" s="1"/>
      <c r="FJD230" s="1"/>
      <c r="FJE230" s="1"/>
      <c r="FJF230" s="1"/>
      <c r="FJG230" s="1"/>
      <c r="FJH230" s="1"/>
      <c r="FJI230" s="1"/>
      <c r="FJJ230" s="1"/>
      <c r="FJK230" s="1"/>
      <c r="FJL230" s="1"/>
      <c r="FJM230" s="1"/>
      <c r="FJN230" s="1"/>
      <c r="FJO230" s="1"/>
      <c r="FJP230" s="1"/>
      <c r="FJQ230" s="1"/>
      <c r="FJR230" s="1"/>
      <c r="FJS230" s="1"/>
      <c r="FJT230" s="1"/>
      <c r="FJU230" s="1"/>
      <c r="FJV230" s="1"/>
      <c r="FJW230" s="1"/>
      <c r="FJX230" s="1"/>
      <c r="FJY230" s="1"/>
      <c r="FJZ230" s="1"/>
      <c r="FKA230" s="1"/>
      <c r="FKB230" s="1"/>
      <c r="FKC230" s="1"/>
      <c r="FKD230" s="1"/>
      <c r="FKE230" s="1"/>
      <c r="FKF230" s="1"/>
      <c r="FKG230" s="1"/>
      <c r="FKH230" s="1"/>
      <c r="FKI230" s="1"/>
      <c r="FKJ230" s="1"/>
      <c r="FKK230" s="1"/>
      <c r="FKL230" s="1"/>
      <c r="FKM230" s="1"/>
      <c r="FKN230" s="1"/>
      <c r="FKO230" s="1"/>
      <c r="FKP230" s="1"/>
      <c r="FKQ230" s="1"/>
      <c r="FKR230" s="1"/>
      <c r="FKS230" s="1"/>
      <c r="FKT230" s="1"/>
      <c r="FKU230" s="1"/>
      <c r="FKV230" s="1"/>
      <c r="FKW230" s="1"/>
      <c r="FKX230" s="1"/>
      <c r="FKY230" s="1"/>
      <c r="FKZ230" s="1"/>
      <c r="FLA230" s="1"/>
      <c r="FLB230" s="1"/>
      <c r="FLC230" s="1"/>
      <c r="FLD230" s="1"/>
      <c r="FLE230" s="1"/>
      <c r="FLF230" s="1"/>
      <c r="FLG230" s="1"/>
      <c r="FLH230" s="1"/>
      <c r="FLI230" s="1"/>
      <c r="FLJ230" s="1"/>
      <c r="FLK230" s="1"/>
      <c r="FLL230" s="1"/>
      <c r="FLM230" s="1"/>
      <c r="FLN230" s="1"/>
      <c r="FLO230" s="1"/>
      <c r="FLP230" s="1"/>
      <c r="FLQ230" s="1"/>
      <c r="FLR230" s="1"/>
      <c r="FLS230" s="1"/>
      <c r="FLT230" s="1"/>
      <c r="FLU230" s="1"/>
      <c r="FLV230" s="1"/>
      <c r="FLW230" s="1"/>
      <c r="FLX230" s="1"/>
      <c r="FLY230" s="1"/>
      <c r="FLZ230" s="1"/>
      <c r="FMA230" s="1"/>
      <c r="FMB230" s="1"/>
      <c r="FMC230" s="1"/>
      <c r="FMD230" s="1"/>
      <c r="FME230" s="1"/>
      <c r="FMF230" s="1"/>
      <c r="FMG230" s="1"/>
      <c r="FMH230" s="1"/>
      <c r="FMI230" s="1"/>
      <c r="FMJ230" s="1"/>
      <c r="FMK230" s="1"/>
      <c r="FML230" s="1"/>
      <c r="FMM230" s="1"/>
      <c r="FMN230" s="1"/>
      <c r="FMO230" s="1"/>
      <c r="FMP230" s="1"/>
      <c r="FMQ230" s="1"/>
      <c r="FMR230" s="1"/>
      <c r="FMS230" s="1"/>
      <c r="FMT230" s="1"/>
      <c r="FMU230" s="1"/>
      <c r="FMV230" s="1"/>
      <c r="FMW230" s="1"/>
      <c r="FMX230" s="1"/>
      <c r="FMY230" s="1"/>
      <c r="FMZ230" s="1"/>
      <c r="FNA230" s="1"/>
      <c r="FNB230" s="1"/>
      <c r="FNC230" s="1"/>
      <c r="FND230" s="1"/>
      <c r="FNE230" s="1"/>
      <c r="FNF230" s="1"/>
      <c r="FNG230" s="1"/>
      <c r="FNH230" s="1"/>
      <c r="FNI230" s="1"/>
      <c r="FNJ230" s="1"/>
      <c r="FNK230" s="1"/>
      <c r="FNL230" s="1"/>
      <c r="FNM230" s="1"/>
      <c r="FNN230" s="1"/>
      <c r="FNO230" s="1"/>
      <c r="FNP230" s="1"/>
      <c r="FNQ230" s="1"/>
      <c r="FNR230" s="1"/>
      <c r="FNS230" s="1"/>
      <c r="FNT230" s="1"/>
      <c r="FNU230" s="1"/>
      <c r="FNV230" s="1"/>
      <c r="FNW230" s="1"/>
      <c r="FNX230" s="1"/>
      <c r="FNY230" s="1"/>
      <c r="FNZ230" s="1"/>
      <c r="FOA230" s="1"/>
      <c r="FOB230" s="1"/>
      <c r="FOC230" s="1"/>
      <c r="FOD230" s="1"/>
      <c r="FOE230" s="1"/>
      <c r="FOF230" s="1"/>
      <c r="FOG230" s="1"/>
      <c r="FOH230" s="1"/>
      <c r="FOI230" s="1"/>
      <c r="FOJ230" s="1"/>
      <c r="FOK230" s="1"/>
      <c r="FOL230" s="1"/>
      <c r="FOM230" s="1"/>
      <c r="FON230" s="1"/>
      <c r="FOO230" s="1"/>
      <c r="FOP230" s="1"/>
      <c r="FOQ230" s="1"/>
      <c r="FOR230" s="1"/>
      <c r="FOS230" s="1"/>
      <c r="FOT230" s="1"/>
      <c r="FOU230" s="1"/>
      <c r="FOV230" s="1"/>
      <c r="FOW230" s="1"/>
      <c r="FOX230" s="1"/>
      <c r="FOY230" s="1"/>
      <c r="FOZ230" s="1"/>
      <c r="FPA230" s="1"/>
      <c r="FPB230" s="1"/>
      <c r="FPC230" s="1"/>
      <c r="FPD230" s="1"/>
      <c r="FPE230" s="1"/>
      <c r="FPF230" s="1"/>
      <c r="FPG230" s="1"/>
      <c r="FPH230" s="1"/>
      <c r="FPI230" s="1"/>
      <c r="FPJ230" s="1"/>
      <c r="FPK230" s="1"/>
      <c r="FPL230" s="1"/>
      <c r="FPM230" s="1"/>
      <c r="FPN230" s="1"/>
      <c r="FPO230" s="1"/>
      <c r="FPP230" s="1"/>
      <c r="FPQ230" s="1"/>
      <c r="FPR230" s="1"/>
      <c r="FPS230" s="1"/>
      <c r="FPT230" s="1"/>
      <c r="FPU230" s="1"/>
      <c r="FPV230" s="1"/>
      <c r="FPW230" s="1"/>
      <c r="FPX230" s="1"/>
      <c r="FPY230" s="1"/>
      <c r="FPZ230" s="1"/>
      <c r="FQA230" s="1"/>
      <c r="FQB230" s="1"/>
      <c r="FQC230" s="1"/>
      <c r="FQD230" s="1"/>
      <c r="FQE230" s="1"/>
      <c r="FQF230" s="1"/>
      <c r="FQG230" s="1"/>
      <c r="FQH230" s="1"/>
      <c r="FQI230" s="1"/>
      <c r="FQJ230" s="1"/>
      <c r="FQK230" s="1"/>
      <c r="FQL230" s="1"/>
      <c r="FQM230" s="1"/>
      <c r="FQN230" s="1"/>
      <c r="FQO230" s="1"/>
      <c r="FQP230" s="1"/>
      <c r="FQQ230" s="1"/>
      <c r="FQR230" s="1"/>
      <c r="FQS230" s="1"/>
      <c r="FQT230" s="1"/>
      <c r="FQU230" s="1"/>
      <c r="FQV230" s="1"/>
      <c r="FQW230" s="1"/>
      <c r="FQX230" s="1"/>
      <c r="FQY230" s="1"/>
      <c r="FQZ230" s="1"/>
      <c r="FRA230" s="1"/>
      <c r="FRB230" s="1"/>
      <c r="FRC230" s="1"/>
      <c r="FRD230" s="1"/>
      <c r="FRE230" s="1"/>
      <c r="FRF230" s="1"/>
      <c r="FRG230" s="1"/>
      <c r="FRH230" s="1"/>
      <c r="FRI230" s="1"/>
      <c r="FRJ230" s="1"/>
      <c r="FRK230" s="1"/>
      <c r="FRL230" s="1"/>
      <c r="FRM230" s="1"/>
      <c r="FRN230" s="1"/>
      <c r="FRO230" s="1"/>
      <c r="FRP230" s="1"/>
      <c r="FRQ230" s="1"/>
      <c r="FRR230" s="1"/>
      <c r="FRS230" s="1"/>
      <c r="FRT230" s="1"/>
      <c r="FRU230" s="1"/>
      <c r="FRV230" s="1"/>
      <c r="FRW230" s="1"/>
      <c r="FRX230" s="1"/>
      <c r="FRY230" s="1"/>
      <c r="FRZ230" s="1"/>
      <c r="FSA230" s="1"/>
      <c r="FSB230" s="1"/>
      <c r="FSC230" s="1"/>
      <c r="FSD230" s="1"/>
      <c r="FSE230" s="1"/>
      <c r="FSF230" s="1"/>
      <c r="FSG230" s="1"/>
      <c r="FSH230" s="1"/>
      <c r="FSI230" s="1"/>
      <c r="FSJ230" s="1"/>
      <c r="FSK230" s="1"/>
      <c r="FSL230" s="1"/>
      <c r="FSM230" s="1"/>
      <c r="FSN230" s="1"/>
      <c r="FSO230" s="1"/>
      <c r="FSP230" s="1"/>
      <c r="FSQ230" s="1"/>
      <c r="FSR230" s="1"/>
      <c r="FSS230" s="1"/>
      <c r="FST230" s="1"/>
      <c r="FSU230" s="1"/>
      <c r="FSV230" s="1"/>
      <c r="FSW230" s="1"/>
      <c r="FSX230" s="1"/>
      <c r="FSY230" s="1"/>
      <c r="FSZ230" s="1"/>
      <c r="FTA230" s="1"/>
      <c r="FTB230" s="1"/>
      <c r="FTC230" s="1"/>
      <c r="FTD230" s="1"/>
      <c r="FTE230" s="1"/>
      <c r="FTF230" s="1"/>
      <c r="FTG230" s="1"/>
      <c r="FTH230" s="1"/>
      <c r="FTI230" s="1"/>
      <c r="FTJ230" s="1"/>
      <c r="FTK230" s="1"/>
      <c r="FTL230" s="1"/>
      <c r="FTM230" s="1"/>
      <c r="FTN230" s="1"/>
      <c r="FTO230" s="1"/>
      <c r="FTP230" s="1"/>
      <c r="FTQ230" s="1"/>
      <c r="FTR230" s="1"/>
      <c r="FTS230" s="1"/>
      <c r="FTT230" s="1"/>
      <c r="FTU230" s="1"/>
      <c r="FTV230" s="1"/>
      <c r="FTW230" s="1"/>
      <c r="FTX230" s="1"/>
      <c r="FTY230" s="1"/>
      <c r="FTZ230" s="1"/>
      <c r="FUA230" s="1"/>
      <c r="FUB230" s="1"/>
      <c r="FUC230" s="1"/>
      <c r="FUD230" s="1"/>
      <c r="FUE230" s="1"/>
      <c r="FUF230" s="1"/>
      <c r="FUG230" s="1"/>
      <c r="FUH230" s="1"/>
      <c r="FUI230" s="1"/>
      <c r="FUJ230" s="1"/>
      <c r="FUK230" s="1"/>
      <c r="FUL230" s="1"/>
      <c r="FUM230" s="1"/>
      <c r="FUN230" s="1"/>
      <c r="FUO230" s="1"/>
      <c r="FUP230" s="1"/>
      <c r="FUQ230" s="1"/>
      <c r="FUR230" s="1"/>
      <c r="FUS230" s="1"/>
      <c r="FUT230" s="1"/>
      <c r="FUU230" s="1"/>
      <c r="FUV230" s="1"/>
      <c r="FUW230" s="1"/>
      <c r="FUX230" s="1"/>
      <c r="FUY230" s="1"/>
      <c r="FUZ230" s="1"/>
      <c r="FVA230" s="1"/>
      <c r="FVB230" s="1"/>
      <c r="FVC230" s="1"/>
      <c r="FVD230" s="1"/>
      <c r="FVE230" s="1"/>
      <c r="FVF230" s="1"/>
      <c r="FVG230" s="1"/>
      <c r="FVH230" s="1"/>
      <c r="FVI230" s="1"/>
      <c r="FVJ230" s="1"/>
      <c r="FVK230" s="1"/>
      <c r="FVL230" s="1"/>
      <c r="FVM230" s="1"/>
      <c r="FVN230" s="1"/>
      <c r="FVO230" s="1"/>
      <c r="FVP230" s="1"/>
      <c r="FVQ230" s="1"/>
      <c r="FVR230" s="1"/>
      <c r="FVS230" s="1"/>
      <c r="FVT230" s="1"/>
      <c r="FVU230" s="1"/>
      <c r="FVV230" s="1"/>
      <c r="FVW230" s="1"/>
      <c r="FVX230" s="1"/>
      <c r="FVY230" s="1"/>
      <c r="FVZ230" s="1"/>
      <c r="FWA230" s="1"/>
      <c r="FWB230" s="1"/>
      <c r="FWC230" s="1"/>
      <c r="FWD230" s="1"/>
      <c r="FWE230" s="1"/>
      <c r="FWF230" s="1"/>
      <c r="FWG230" s="1"/>
      <c r="FWH230" s="1"/>
      <c r="FWI230" s="1"/>
      <c r="FWJ230" s="1"/>
      <c r="FWK230" s="1"/>
      <c r="FWL230" s="1"/>
      <c r="FWM230" s="1"/>
      <c r="FWN230" s="1"/>
      <c r="FWO230" s="1"/>
      <c r="FWP230" s="1"/>
      <c r="FWQ230" s="1"/>
      <c r="FWR230" s="1"/>
      <c r="FWS230" s="1"/>
      <c r="FWT230" s="1"/>
      <c r="FWU230" s="1"/>
      <c r="FWV230" s="1"/>
      <c r="FWW230" s="1"/>
      <c r="FWX230" s="1"/>
      <c r="FWY230" s="1"/>
      <c r="FWZ230" s="1"/>
      <c r="FXA230" s="1"/>
      <c r="FXB230" s="1"/>
      <c r="FXC230" s="1"/>
      <c r="FXD230" s="1"/>
      <c r="FXE230" s="1"/>
      <c r="FXF230" s="1"/>
      <c r="FXG230" s="1"/>
      <c r="FXH230" s="1"/>
      <c r="FXI230" s="1"/>
      <c r="FXJ230" s="1"/>
      <c r="FXK230" s="1"/>
      <c r="FXL230" s="1"/>
      <c r="FXM230" s="1"/>
      <c r="FXN230" s="1"/>
      <c r="FXO230" s="1"/>
      <c r="FXP230" s="1"/>
      <c r="FXQ230" s="1"/>
      <c r="FXR230" s="1"/>
      <c r="FXS230" s="1"/>
      <c r="FXT230" s="1"/>
      <c r="FXU230" s="1"/>
      <c r="FXV230" s="1"/>
      <c r="FXW230" s="1"/>
      <c r="FXX230" s="1"/>
      <c r="FXY230" s="1"/>
      <c r="FXZ230" s="1"/>
      <c r="FYA230" s="1"/>
      <c r="FYB230" s="1"/>
      <c r="FYC230" s="1"/>
      <c r="FYD230" s="1"/>
      <c r="FYE230" s="1"/>
      <c r="FYF230" s="1"/>
      <c r="FYG230" s="1"/>
      <c r="FYH230" s="1"/>
      <c r="FYI230" s="1"/>
      <c r="FYJ230" s="1"/>
      <c r="FYK230" s="1"/>
      <c r="FYL230" s="1"/>
      <c r="FYM230" s="1"/>
      <c r="FYN230" s="1"/>
      <c r="FYO230" s="1"/>
      <c r="FYP230" s="1"/>
      <c r="FYQ230" s="1"/>
      <c r="FYR230" s="1"/>
      <c r="FYS230" s="1"/>
      <c r="FYT230" s="1"/>
      <c r="FYU230" s="1"/>
      <c r="FYV230" s="1"/>
      <c r="FYW230" s="1"/>
      <c r="FYX230" s="1"/>
      <c r="FYY230" s="1"/>
      <c r="FYZ230" s="1"/>
      <c r="FZA230" s="1"/>
      <c r="FZB230" s="1"/>
      <c r="FZC230" s="1"/>
      <c r="FZD230" s="1"/>
      <c r="FZE230" s="1"/>
      <c r="FZF230" s="1"/>
      <c r="FZG230" s="1"/>
      <c r="FZH230" s="1"/>
      <c r="FZI230" s="1"/>
      <c r="FZJ230" s="1"/>
      <c r="FZK230" s="1"/>
      <c r="FZL230" s="1"/>
      <c r="FZM230" s="1"/>
      <c r="FZN230" s="1"/>
      <c r="FZO230" s="1"/>
      <c r="FZP230" s="1"/>
      <c r="FZQ230" s="1"/>
      <c r="FZR230" s="1"/>
      <c r="FZS230" s="1"/>
      <c r="FZT230" s="1"/>
      <c r="FZU230" s="1"/>
      <c r="FZV230" s="1"/>
      <c r="FZW230" s="1"/>
      <c r="FZX230" s="1"/>
      <c r="FZY230" s="1"/>
      <c r="FZZ230" s="1"/>
      <c r="GAA230" s="1"/>
      <c r="GAB230" s="1"/>
      <c r="GAC230" s="1"/>
      <c r="GAD230" s="1"/>
      <c r="GAE230" s="1"/>
      <c r="GAF230" s="1"/>
      <c r="GAG230" s="1"/>
      <c r="GAH230" s="1"/>
      <c r="GAI230" s="1"/>
      <c r="GAJ230" s="1"/>
      <c r="GAK230" s="1"/>
      <c r="GAL230" s="1"/>
      <c r="GAM230" s="1"/>
      <c r="GAN230" s="1"/>
      <c r="GAO230" s="1"/>
      <c r="GAP230" s="1"/>
      <c r="GAQ230" s="1"/>
      <c r="GAR230" s="1"/>
      <c r="GAS230" s="1"/>
      <c r="GAT230" s="1"/>
      <c r="GAU230" s="1"/>
      <c r="GAV230" s="1"/>
      <c r="GAW230" s="1"/>
      <c r="GAX230" s="1"/>
      <c r="GAY230" s="1"/>
      <c r="GAZ230" s="1"/>
      <c r="GBA230" s="1"/>
      <c r="GBB230" s="1"/>
      <c r="GBC230" s="1"/>
      <c r="GBD230" s="1"/>
      <c r="GBE230" s="1"/>
      <c r="GBF230" s="1"/>
      <c r="GBG230" s="1"/>
      <c r="GBH230" s="1"/>
      <c r="GBI230" s="1"/>
      <c r="GBJ230" s="1"/>
      <c r="GBK230" s="1"/>
      <c r="GBL230" s="1"/>
      <c r="GBM230" s="1"/>
      <c r="GBN230" s="1"/>
      <c r="GBO230" s="1"/>
      <c r="GBP230" s="1"/>
      <c r="GBQ230" s="1"/>
      <c r="GBR230" s="1"/>
      <c r="GBS230" s="1"/>
      <c r="GBT230" s="1"/>
      <c r="GBU230" s="1"/>
      <c r="GBV230" s="1"/>
      <c r="GBW230" s="1"/>
      <c r="GBX230" s="1"/>
      <c r="GBY230" s="1"/>
      <c r="GBZ230" s="1"/>
      <c r="GCA230" s="1"/>
      <c r="GCB230" s="1"/>
      <c r="GCC230" s="1"/>
      <c r="GCD230" s="1"/>
      <c r="GCE230" s="1"/>
      <c r="GCF230" s="1"/>
      <c r="GCG230" s="1"/>
      <c r="GCH230" s="1"/>
      <c r="GCI230" s="1"/>
      <c r="GCJ230" s="1"/>
      <c r="GCK230" s="1"/>
      <c r="GCL230" s="1"/>
      <c r="GCM230" s="1"/>
      <c r="GCN230" s="1"/>
      <c r="GCO230" s="1"/>
      <c r="GCP230" s="1"/>
      <c r="GCQ230" s="1"/>
      <c r="GCR230" s="1"/>
      <c r="GCS230" s="1"/>
      <c r="GCT230" s="1"/>
      <c r="GCU230" s="1"/>
      <c r="GCV230" s="1"/>
      <c r="GCW230" s="1"/>
      <c r="GCX230" s="1"/>
      <c r="GCY230" s="1"/>
      <c r="GCZ230" s="1"/>
      <c r="GDA230" s="1"/>
      <c r="GDB230" s="1"/>
      <c r="GDC230" s="1"/>
      <c r="GDD230" s="1"/>
      <c r="GDE230" s="1"/>
      <c r="GDF230" s="1"/>
      <c r="GDG230" s="1"/>
      <c r="GDH230" s="1"/>
      <c r="GDI230" s="1"/>
      <c r="GDJ230" s="1"/>
      <c r="GDK230" s="1"/>
      <c r="GDL230" s="1"/>
      <c r="GDM230" s="1"/>
      <c r="GDN230" s="1"/>
      <c r="GDO230" s="1"/>
      <c r="GDP230" s="1"/>
      <c r="GDQ230" s="1"/>
      <c r="GDR230" s="1"/>
      <c r="GDS230" s="1"/>
      <c r="GDT230" s="1"/>
      <c r="GDU230" s="1"/>
      <c r="GDV230" s="1"/>
      <c r="GDW230" s="1"/>
      <c r="GDX230" s="1"/>
      <c r="GDY230" s="1"/>
      <c r="GDZ230" s="1"/>
      <c r="GEA230" s="1"/>
      <c r="GEB230" s="1"/>
      <c r="GEC230" s="1"/>
      <c r="GED230" s="1"/>
      <c r="GEE230" s="1"/>
      <c r="GEF230" s="1"/>
      <c r="GEG230" s="1"/>
      <c r="GEH230" s="1"/>
      <c r="GEI230" s="1"/>
      <c r="GEJ230" s="1"/>
      <c r="GEK230" s="1"/>
      <c r="GEL230" s="1"/>
      <c r="GEM230" s="1"/>
      <c r="GEN230" s="1"/>
      <c r="GEO230" s="1"/>
      <c r="GEP230" s="1"/>
      <c r="GEQ230" s="1"/>
      <c r="GER230" s="1"/>
      <c r="GES230" s="1"/>
      <c r="GET230" s="1"/>
      <c r="GEU230" s="1"/>
      <c r="GEV230" s="1"/>
      <c r="GEW230" s="1"/>
      <c r="GEX230" s="1"/>
      <c r="GEY230" s="1"/>
      <c r="GEZ230" s="1"/>
      <c r="GFA230" s="1"/>
      <c r="GFB230" s="1"/>
      <c r="GFC230" s="1"/>
      <c r="GFD230" s="1"/>
      <c r="GFE230" s="1"/>
      <c r="GFF230" s="1"/>
      <c r="GFG230" s="1"/>
      <c r="GFH230" s="1"/>
      <c r="GFI230" s="1"/>
      <c r="GFJ230" s="1"/>
      <c r="GFK230" s="1"/>
      <c r="GFL230" s="1"/>
      <c r="GFM230" s="1"/>
      <c r="GFN230" s="1"/>
      <c r="GFO230" s="1"/>
      <c r="GFP230" s="1"/>
      <c r="GFQ230" s="1"/>
      <c r="GFR230" s="1"/>
      <c r="GFS230" s="1"/>
      <c r="GFT230" s="1"/>
      <c r="GFU230" s="1"/>
      <c r="GFV230" s="1"/>
      <c r="GFW230" s="1"/>
      <c r="GFX230" s="1"/>
      <c r="GFY230" s="1"/>
      <c r="GFZ230" s="1"/>
      <c r="GGA230" s="1"/>
      <c r="GGB230" s="1"/>
      <c r="GGC230" s="1"/>
      <c r="GGD230" s="1"/>
      <c r="GGE230" s="1"/>
      <c r="GGF230" s="1"/>
      <c r="GGG230" s="1"/>
      <c r="GGH230" s="1"/>
      <c r="GGI230" s="1"/>
      <c r="GGJ230" s="1"/>
      <c r="GGK230" s="1"/>
      <c r="GGL230" s="1"/>
      <c r="GGM230" s="1"/>
      <c r="GGN230" s="1"/>
      <c r="GGO230" s="1"/>
      <c r="GGP230" s="1"/>
      <c r="GGQ230" s="1"/>
      <c r="GGR230" s="1"/>
      <c r="GGS230" s="1"/>
      <c r="GGT230" s="1"/>
      <c r="GGU230" s="1"/>
      <c r="GGV230" s="1"/>
      <c r="GGW230" s="1"/>
      <c r="GGX230" s="1"/>
      <c r="GGY230" s="1"/>
      <c r="GGZ230" s="1"/>
      <c r="GHA230" s="1"/>
      <c r="GHB230" s="1"/>
      <c r="GHC230" s="1"/>
      <c r="GHD230" s="1"/>
      <c r="GHE230" s="1"/>
      <c r="GHF230" s="1"/>
      <c r="GHG230" s="1"/>
      <c r="GHH230" s="1"/>
      <c r="GHI230" s="1"/>
      <c r="GHJ230" s="1"/>
      <c r="GHK230" s="1"/>
      <c r="GHL230" s="1"/>
      <c r="GHM230" s="1"/>
      <c r="GHN230" s="1"/>
      <c r="GHO230" s="1"/>
      <c r="GHP230" s="1"/>
      <c r="GHQ230" s="1"/>
      <c r="GHR230" s="1"/>
      <c r="GHS230" s="1"/>
      <c r="GHT230" s="1"/>
      <c r="GHU230" s="1"/>
      <c r="GHV230" s="1"/>
      <c r="GHW230" s="1"/>
      <c r="GHX230" s="1"/>
      <c r="GHY230" s="1"/>
      <c r="GHZ230" s="1"/>
      <c r="GIA230" s="1"/>
      <c r="GIB230" s="1"/>
      <c r="GIC230" s="1"/>
      <c r="GID230" s="1"/>
      <c r="GIE230" s="1"/>
      <c r="GIF230" s="1"/>
      <c r="GIG230" s="1"/>
      <c r="GIH230" s="1"/>
      <c r="GII230" s="1"/>
      <c r="GIJ230" s="1"/>
      <c r="GIK230" s="1"/>
      <c r="GIL230" s="1"/>
      <c r="GIM230" s="1"/>
      <c r="GIN230" s="1"/>
      <c r="GIO230" s="1"/>
      <c r="GIP230" s="1"/>
      <c r="GIQ230" s="1"/>
      <c r="GIR230" s="1"/>
      <c r="GIS230" s="1"/>
      <c r="GIT230" s="1"/>
      <c r="GIU230" s="1"/>
      <c r="GIV230" s="1"/>
      <c r="GIW230" s="1"/>
      <c r="GIX230" s="1"/>
      <c r="GIY230" s="1"/>
      <c r="GIZ230" s="1"/>
      <c r="GJA230" s="1"/>
      <c r="GJB230" s="1"/>
      <c r="GJC230" s="1"/>
      <c r="GJD230" s="1"/>
      <c r="GJE230" s="1"/>
      <c r="GJF230" s="1"/>
      <c r="GJG230" s="1"/>
      <c r="GJH230" s="1"/>
      <c r="GJI230" s="1"/>
      <c r="GJJ230" s="1"/>
      <c r="GJK230" s="1"/>
      <c r="GJL230" s="1"/>
      <c r="GJM230" s="1"/>
      <c r="GJN230" s="1"/>
      <c r="GJO230" s="1"/>
      <c r="GJP230" s="1"/>
      <c r="GJQ230" s="1"/>
      <c r="GJR230" s="1"/>
      <c r="GJS230" s="1"/>
      <c r="GJT230" s="1"/>
      <c r="GJU230" s="1"/>
      <c r="GJV230" s="1"/>
      <c r="GJW230" s="1"/>
      <c r="GJX230" s="1"/>
      <c r="GJY230" s="1"/>
      <c r="GJZ230" s="1"/>
      <c r="GKA230" s="1"/>
      <c r="GKB230" s="1"/>
      <c r="GKC230" s="1"/>
      <c r="GKD230" s="1"/>
      <c r="GKE230" s="1"/>
      <c r="GKF230" s="1"/>
      <c r="GKG230" s="1"/>
      <c r="GKH230" s="1"/>
      <c r="GKI230" s="1"/>
      <c r="GKJ230" s="1"/>
      <c r="GKK230" s="1"/>
      <c r="GKL230" s="1"/>
      <c r="GKM230" s="1"/>
      <c r="GKN230" s="1"/>
      <c r="GKO230" s="1"/>
      <c r="GKP230" s="1"/>
      <c r="GKQ230" s="1"/>
      <c r="GKR230" s="1"/>
      <c r="GKS230" s="1"/>
      <c r="GKT230" s="1"/>
      <c r="GKU230" s="1"/>
      <c r="GKV230" s="1"/>
      <c r="GKW230" s="1"/>
      <c r="GKX230" s="1"/>
      <c r="GKY230" s="1"/>
      <c r="GKZ230" s="1"/>
      <c r="GLA230" s="1"/>
      <c r="GLB230" s="1"/>
      <c r="GLC230" s="1"/>
      <c r="GLD230" s="1"/>
      <c r="GLE230" s="1"/>
      <c r="GLF230" s="1"/>
      <c r="GLG230" s="1"/>
      <c r="GLH230" s="1"/>
      <c r="GLI230" s="1"/>
      <c r="GLJ230" s="1"/>
      <c r="GLK230" s="1"/>
      <c r="GLL230" s="1"/>
      <c r="GLM230" s="1"/>
      <c r="GLN230" s="1"/>
      <c r="GLO230" s="1"/>
      <c r="GLP230" s="1"/>
      <c r="GLQ230" s="1"/>
      <c r="GLR230" s="1"/>
      <c r="GLS230" s="1"/>
      <c r="GLT230" s="1"/>
      <c r="GLU230" s="1"/>
      <c r="GLV230" s="1"/>
      <c r="GLW230" s="1"/>
      <c r="GLX230" s="1"/>
      <c r="GLY230" s="1"/>
      <c r="GLZ230" s="1"/>
      <c r="GMA230" s="1"/>
      <c r="GMB230" s="1"/>
      <c r="GMC230" s="1"/>
      <c r="GMD230" s="1"/>
      <c r="GME230" s="1"/>
      <c r="GMF230" s="1"/>
      <c r="GMG230" s="1"/>
      <c r="GMH230" s="1"/>
      <c r="GMI230" s="1"/>
      <c r="GMJ230" s="1"/>
      <c r="GMK230" s="1"/>
      <c r="GML230" s="1"/>
      <c r="GMM230" s="1"/>
      <c r="GMN230" s="1"/>
      <c r="GMO230" s="1"/>
      <c r="GMP230" s="1"/>
      <c r="GMQ230" s="1"/>
      <c r="GMR230" s="1"/>
      <c r="GMS230" s="1"/>
      <c r="GMT230" s="1"/>
      <c r="GMU230" s="1"/>
      <c r="GMV230" s="1"/>
      <c r="GMW230" s="1"/>
      <c r="GMX230" s="1"/>
      <c r="GMY230" s="1"/>
      <c r="GMZ230" s="1"/>
      <c r="GNA230" s="1"/>
      <c r="GNB230" s="1"/>
      <c r="GNC230" s="1"/>
      <c r="GND230" s="1"/>
      <c r="GNE230" s="1"/>
      <c r="GNF230" s="1"/>
      <c r="GNG230" s="1"/>
      <c r="GNH230" s="1"/>
      <c r="GNI230" s="1"/>
      <c r="GNJ230" s="1"/>
      <c r="GNK230" s="1"/>
      <c r="GNL230" s="1"/>
      <c r="GNM230" s="1"/>
      <c r="GNN230" s="1"/>
      <c r="GNO230" s="1"/>
      <c r="GNP230" s="1"/>
      <c r="GNQ230" s="1"/>
      <c r="GNR230" s="1"/>
      <c r="GNS230" s="1"/>
      <c r="GNT230" s="1"/>
      <c r="GNU230" s="1"/>
      <c r="GNV230" s="1"/>
      <c r="GNW230" s="1"/>
      <c r="GNX230" s="1"/>
      <c r="GNY230" s="1"/>
      <c r="GNZ230" s="1"/>
      <c r="GOA230" s="1"/>
      <c r="GOB230" s="1"/>
      <c r="GOC230" s="1"/>
      <c r="GOD230" s="1"/>
      <c r="GOE230" s="1"/>
      <c r="GOF230" s="1"/>
      <c r="GOG230" s="1"/>
      <c r="GOH230" s="1"/>
      <c r="GOI230" s="1"/>
      <c r="GOJ230" s="1"/>
      <c r="GOK230" s="1"/>
      <c r="GOL230" s="1"/>
      <c r="GOM230" s="1"/>
      <c r="GON230" s="1"/>
      <c r="GOO230" s="1"/>
      <c r="GOP230" s="1"/>
      <c r="GOQ230" s="1"/>
      <c r="GOR230" s="1"/>
      <c r="GOS230" s="1"/>
      <c r="GOT230" s="1"/>
      <c r="GOU230" s="1"/>
      <c r="GOV230" s="1"/>
      <c r="GOW230" s="1"/>
      <c r="GOX230" s="1"/>
      <c r="GOY230" s="1"/>
      <c r="GOZ230" s="1"/>
      <c r="GPA230" s="1"/>
      <c r="GPB230" s="1"/>
      <c r="GPC230" s="1"/>
      <c r="GPD230" s="1"/>
      <c r="GPE230" s="1"/>
      <c r="GPF230" s="1"/>
      <c r="GPG230" s="1"/>
      <c r="GPH230" s="1"/>
      <c r="GPI230" s="1"/>
      <c r="GPJ230" s="1"/>
      <c r="GPK230" s="1"/>
      <c r="GPL230" s="1"/>
      <c r="GPM230" s="1"/>
      <c r="GPN230" s="1"/>
      <c r="GPO230" s="1"/>
      <c r="GPP230" s="1"/>
      <c r="GPQ230" s="1"/>
      <c r="GPR230" s="1"/>
      <c r="GPS230" s="1"/>
      <c r="GPT230" s="1"/>
      <c r="GPU230" s="1"/>
      <c r="GPV230" s="1"/>
      <c r="GPW230" s="1"/>
      <c r="GPX230" s="1"/>
      <c r="GPY230" s="1"/>
      <c r="GPZ230" s="1"/>
      <c r="GQA230" s="1"/>
      <c r="GQB230" s="1"/>
      <c r="GQC230" s="1"/>
      <c r="GQD230" s="1"/>
      <c r="GQE230" s="1"/>
      <c r="GQF230" s="1"/>
      <c r="GQG230" s="1"/>
      <c r="GQH230" s="1"/>
      <c r="GQI230" s="1"/>
      <c r="GQJ230" s="1"/>
      <c r="GQK230" s="1"/>
      <c r="GQL230" s="1"/>
      <c r="GQM230" s="1"/>
      <c r="GQN230" s="1"/>
      <c r="GQO230" s="1"/>
      <c r="GQP230" s="1"/>
      <c r="GQQ230" s="1"/>
      <c r="GQR230" s="1"/>
      <c r="GQS230" s="1"/>
      <c r="GQT230" s="1"/>
      <c r="GQU230" s="1"/>
      <c r="GQV230" s="1"/>
      <c r="GQW230" s="1"/>
      <c r="GQX230" s="1"/>
      <c r="GQY230" s="1"/>
      <c r="GQZ230" s="1"/>
      <c r="GRA230" s="1"/>
      <c r="GRB230" s="1"/>
      <c r="GRC230" s="1"/>
      <c r="GRD230" s="1"/>
      <c r="GRE230" s="1"/>
      <c r="GRF230" s="1"/>
      <c r="GRG230" s="1"/>
      <c r="GRH230" s="1"/>
      <c r="GRI230" s="1"/>
      <c r="GRJ230" s="1"/>
      <c r="GRK230" s="1"/>
      <c r="GRL230" s="1"/>
      <c r="GRM230" s="1"/>
      <c r="GRN230" s="1"/>
      <c r="GRO230" s="1"/>
      <c r="GRP230" s="1"/>
      <c r="GRQ230" s="1"/>
      <c r="GRR230" s="1"/>
      <c r="GRS230" s="1"/>
      <c r="GRT230" s="1"/>
      <c r="GRU230" s="1"/>
      <c r="GRV230" s="1"/>
      <c r="GRW230" s="1"/>
      <c r="GRX230" s="1"/>
      <c r="GRY230" s="1"/>
      <c r="GRZ230" s="1"/>
      <c r="GSA230" s="1"/>
      <c r="GSB230" s="1"/>
      <c r="GSC230" s="1"/>
      <c r="GSD230" s="1"/>
      <c r="GSE230" s="1"/>
      <c r="GSF230" s="1"/>
      <c r="GSG230" s="1"/>
      <c r="GSH230" s="1"/>
      <c r="GSI230" s="1"/>
      <c r="GSJ230" s="1"/>
      <c r="GSK230" s="1"/>
      <c r="GSL230" s="1"/>
      <c r="GSM230" s="1"/>
      <c r="GSN230" s="1"/>
      <c r="GSO230" s="1"/>
      <c r="GSP230" s="1"/>
      <c r="GSQ230" s="1"/>
      <c r="GSR230" s="1"/>
      <c r="GSS230" s="1"/>
      <c r="GST230" s="1"/>
      <c r="GSU230" s="1"/>
      <c r="GSV230" s="1"/>
      <c r="GSW230" s="1"/>
      <c r="GSX230" s="1"/>
      <c r="GSY230" s="1"/>
      <c r="GSZ230" s="1"/>
      <c r="GTA230" s="1"/>
      <c r="GTB230" s="1"/>
      <c r="GTC230" s="1"/>
      <c r="GTD230" s="1"/>
      <c r="GTE230" s="1"/>
      <c r="GTF230" s="1"/>
      <c r="GTG230" s="1"/>
      <c r="GTH230" s="1"/>
      <c r="GTI230" s="1"/>
      <c r="GTJ230" s="1"/>
      <c r="GTK230" s="1"/>
      <c r="GTL230" s="1"/>
      <c r="GTM230" s="1"/>
      <c r="GTN230" s="1"/>
      <c r="GTO230" s="1"/>
      <c r="GTP230" s="1"/>
      <c r="GTQ230" s="1"/>
      <c r="GTR230" s="1"/>
      <c r="GTS230" s="1"/>
      <c r="GTT230" s="1"/>
      <c r="GTU230" s="1"/>
      <c r="GTV230" s="1"/>
      <c r="GTW230" s="1"/>
      <c r="GTX230" s="1"/>
      <c r="GTY230" s="1"/>
      <c r="GTZ230" s="1"/>
      <c r="GUA230" s="1"/>
      <c r="GUB230" s="1"/>
      <c r="GUC230" s="1"/>
      <c r="GUD230" s="1"/>
      <c r="GUE230" s="1"/>
      <c r="GUF230" s="1"/>
      <c r="GUG230" s="1"/>
      <c r="GUH230" s="1"/>
      <c r="GUI230" s="1"/>
      <c r="GUJ230" s="1"/>
      <c r="GUK230" s="1"/>
      <c r="GUL230" s="1"/>
      <c r="GUM230" s="1"/>
      <c r="GUN230" s="1"/>
      <c r="GUO230" s="1"/>
      <c r="GUP230" s="1"/>
      <c r="GUQ230" s="1"/>
      <c r="GUR230" s="1"/>
      <c r="GUS230" s="1"/>
      <c r="GUT230" s="1"/>
      <c r="GUU230" s="1"/>
      <c r="GUV230" s="1"/>
      <c r="GUW230" s="1"/>
      <c r="GUX230" s="1"/>
      <c r="GUY230" s="1"/>
      <c r="GUZ230" s="1"/>
      <c r="GVA230" s="1"/>
      <c r="GVB230" s="1"/>
      <c r="GVC230" s="1"/>
      <c r="GVD230" s="1"/>
      <c r="GVE230" s="1"/>
      <c r="GVF230" s="1"/>
      <c r="GVG230" s="1"/>
      <c r="GVH230" s="1"/>
      <c r="GVI230" s="1"/>
      <c r="GVJ230" s="1"/>
      <c r="GVK230" s="1"/>
      <c r="GVL230" s="1"/>
      <c r="GVM230" s="1"/>
      <c r="GVN230" s="1"/>
      <c r="GVO230" s="1"/>
      <c r="GVP230" s="1"/>
      <c r="GVQ230" s="1"/>
      <c r="GVR230" s="1"/>
      <c r="GVS230" s="1"/>
      <c r="GVT230" s="1"/>
      <c r="GVU230" s="1"/>
      <c r="GVV230" s="1"/>
      <c r="GVW230" s="1"/>
      <c r="GVX230" s="1"/>
      <c r="GVY230" s="1"/>
      <c r="GVZ230" s="1"/>
      <c r="GWA230" s="1"/>
      <c r="GWB230" s="1"/>
      <c r="GWC230" s="1"/>
      <c r="GWD230" s="1"/>
      <c r="GWE230" s="1"/>
      <c r="GWF230" s="1"/>
      <c r="GWG230" s="1"/>
      <c r="GWH230" s="1"/>
      <c r="GWI230" s="1"/>
      <c r="GWJ230" s="1"/>
      <c r="GWK230" s="1"/>
      <c r="GWL230" s="1"/>
      <c r="GWM230" s="1"/>
      <c r="GWN230" s="1"/>
      <c r="GWO230" s="1"/>
      <c r="GWP230" s="1"/>
      <c r="GWQ230" s="1"/>
      <c r="GWR230" s="1"/>
      <c r="GWS230" s="1"/>
      <c r="GWT230" s="1"/>
      <c r="GWU230" s="1"/>
      <c r="GWV230" s="1"/>
      <c r="GWW230" s="1"/>
      <c r="GWX230" s="1"/>
      <c r="GWY230" s="1"/>
      <c r="GWZ230" s="1"/>
      <c r="GXA230" s="1"/>
      <c r="GXB230" s="1"/>
      <c r="GXC230" s="1"/>
      <c r="GXD230" s="1"/>
      <c r="GXE230" s="1"/>
      <c r="GXF230" s="1"/>
      <c r="GXG230" s="1"/>
      <c r="GXH230" s="1"/>
      <c r="GXI230" s="1"/>
      <c r="GXJ230" s="1"/>
      <c r="GXK230" s="1"/>
      <c r="GXL230" s="1"/>
      <c r="GXM230" s="1"/>
      <c r="GXN230" s="1"/>
      <c r="GXO230" s="1"/>
      <c r="GXP230" s="1"/>
      <c r="GXQ230" s="1"/>
      <c r="GXR230" s="1"/>
      <c r="GXS230" s="1"/>
      <c r="GXT230" s="1"/>
      <c r="GXU230" s="1"/>
      <c r="GXV230" s="1"/>
      <c r="GXW230" s="1"/>
      <c r="GXX230" s="1"/>
      <c r="GXY230" s="1"/>
      <c r="GXZ230" s="1"/>
      <c r="GYA230" s="1"/>
      <c r="GYB230" s="1"/>
      <c r="GYC230" s="1"/>
      <c r="GYD230" s="1"/>
      <c r="GYE230" s="1"/>
      <c r="GYF230" s="1"/>
      <c r="GYG230" s="1"/>
      <c r="GYH230" s="1"/>
      <c r="GYI230" s="1"/>
      <c r="GYJ230" s="1"/>
      <c r="GYK230" s="1"/>
      <c r="GYL230" s="1"/>
      <c r="GYM230" s="1"/>
      <c r="GYN230" s="1"/>
      <c r="GYO230" s="1"/>
      <c r="GYP230" s="1"/>
      <c r="GYQ230" s="1"/>
      <c r="GYR230" s="1"/>
      <c r="GYS230" s="1"/>
      <c r="GYT230" s="1"/>
      <c r="GYU230" s="1"/>
      <c r="GYV230" s="1"/>
      <c r="GYW230" s="1"/>
      <c r="GYX230" s="1"/>
      <c r="GYY230" s="1"/>
      <c r="GYZ230" s="1"/>
      <c r="GZA230" s="1"/>
      <c r="GZB230" s="1"/>
      <c r="GZC230" s="1"/>
      <c r="GZD230" s="1"/>
      <c r="GZE230" s="1"/>
      <c r="GZF230" s="1"/>
      <c r="GZG230" s="1"/>
      <c r="GZH230" s="1"/>
      <c r="GZI230" s="1"/>
      <c r="GZJ230" s="1"/>
      <c r="GZK230" s="1"/>
      <c r="GZL230" s="1"/>
      <c r="GZM230" s="1"/>
      <c r="GZN230" s="1"/>
      <c r="GZO230" s="1"/>
      <c r="GZP230" s="1"/>
      <c r="GZQ230" s="1"/>
      <c r="GZR230" s="1"/>
      <c r="GZS230" s="1"/>
      <c r="GZT230" s="1"/>
      <c r="GZU230" s="1"/>
      <c r="GZV230" s="1"/>
      <c r="GZW230" s="1"/>
      <c r="GZX230" s="1"/>
      <c r="GZY230" s="1"/>
      <c r="GZZ230" s="1"/>
      <c r="HAA230" s="1"/>
      <c r="HAB230" s="1"/>
      <c r="HAC230" s="1"/>
      <c r="HAD230" s="1"/>
      <c r="HAE230" s="1"/>
      <c r="HAF230" s="1"/>
      <c r="HAG230" s="1"/>
      <c r="HAH230" s="1"/>
      <c r="HAI230" s="1"/>
      <c r="HAJ230" s="1"/>
      <c r="HAK230" s="1"/>
      <c r="HAL230" s="1"/>
      <c r="HAM230" s="1"/>
      <c r="HAN230" s="1"/>
      <c r="HAO230" s="1"/>
      <c r="HAP230" s="1"/>
      <c r="HAQ230" s="1"/>
      <c r="HAR230" s="1"/>
      <c r="HAS230" s="1"/>
      <c r="HAT230" s="1"/>
      <c r="HAU230" s="1"/>
      <c r="HAV230" s="1"/>
      <c r="HAW230" s="1"/>
      <c r="HAX230" s="1"/>
      <c r="HAY230" s="1"/>
      <c r="HAZ230" s="1"/>
      <c r="HBA230" s="1"/>
      <c r="HBB230" s="1"/>
      <c r="HBC230" s="1"/>
      <c r="HBD230" s="1"/>
      <c r="HBE230" s="1"/>
      <c r="HBF230" s="1"/>
      <c r="HBG230" s="1"/>
      <c r="HBH230" s="1"/>
      <c r="HBI230" s="1"/>
      <c r="HBJ230" s="1"/>
      <c r="HBK230" s="1"/>
      <c r="HBL230" s="1"/>
      <c r="HBM230" s="1"/>
      <c r="HBN230" s="1"/>
      <c r="HBO230" s="1"/>
      <c r="HBP230" s="1"/>
      <c r="HBQ230" s="1"/>
      <c r="HBR230" s="1"/>
      <c r="HBS230" s="1"/>
      <c r="HBT230" s="1"/>
      <c r="HBU230" s="1"/>
      <c r="HBV230" s="1"/>
      <c r="HBW230" s="1"/>
      <c r="HBX230" s="1"/>
      <c r="HBY230" s="1"/>
      <c r="HBZ230" s="1"/>
      <c r="HCA230" s="1"/>
      <c r="HCB230" s="1"/>
      <c r="HCC230" s="1"/>
      <c r="HCD230" s="1"/>
      <c r="HCE230" s="1"/>
      <c r="HCF230" s="1"/>
      <c r="HCG230" s="1"/>
      <c r="HCH230" s="1"/>
      <c r="HCI230" s="1"/>
      <c r="HCJ230" s="1"/>
      <c r="HCK230" s="1"/>
      <c r="HCL230" s="1"/>
      <c r="HCM230" s="1"/>
      <c r="HCN230" s="1"/>
      <c r="HCO230" s="1"/>
      <c r="HCP230" s="1"/>
      <c r="HCQ230" s="1"/>
      <c r="HCR230" s="1"/>
      <c r="HCS230" s="1"/>
      <c r="HCT230" s="1"/>
      <c r="HCU230" s="1"/>
      <c r="HCV230" s="1"/>
      <c r="HCW230" s="1"/>
      <c r="HCX230" s="1"/>
      <c r="HCY230" s="1"/>
      <c r="HCZ230" s="1"/>
      <c r="HDA230" s="1"/>
      <c r="HDB230" s="1"/>
      <c r="HDC230" s="1"/>
      <c r="HDD230" s="1"/>
      <c r="HDE230" s="1"/>
      <c r="HDF230" s="1"/>
      <c r="HDG230" s="1"/>
      <c r="HDH230" s="1"/>
      <c r="HDI230" s="1"/>
      <c r="HDJ230" s="1"/>
      <c r="HDK230" s="1"/>
      <c r="HDL230" s="1"/>
      <c r="HDM230" s="1"/>
      <c r="HDN230" s="1"/>
      <c r="HDO230" s="1"/>
      <c r="HDP230" s="1"/>
      <c r="HDQ230" s="1"/>
      <c r="HDR230" s="1"/>
      <c r="HDS230" s="1"/>
      <c r="HDT230" s="1"/>
      <c r="HDU230" s="1"/>
      <c r="HDV230" s="1"/>
      <c r="HDW230" s="1"/>
      <c r="HDX230" s="1"/>
      <c r="HDY230" s="1"/>
      <c r="HDZ230" s="1"/>
      <c r="HEA230" s="1"/>
      <c r="HEB230" s="1"/>
      <c r="HEC230" s="1"/>
      <c r="HED230" s="1"/>
      <c r="HEE230" s="1"/>
      <c r="HEF230" s="1"/>
      <c r="HEG230" s="1"/>
      <c r="HEH230" s="1"/>
      <c r="HEI230" s="1"/>
      <c r="HEJ230" s="1"/>
      <c r="HEK230" s="1"/>
      <c r="HEL230" s="1"/>
      <c r="HEM230" s="1"/>
      <c r="HEN230" s="1"/>
      <c r="HEO230" s="1"/>
      <c r="HEP230" s="1"/>
      <c r="HEQ230" s="1"/>
      <c r="HER230" s="1"/>
      <c r="HES230" s="1"/>
      <c r="HET230" s="1"/>
      <c r="HEU230" s="1"/>
      <c r="HEV230" s="1"/>
      <c r="HEW230" s="1"/>
      <c r="HEX230" s="1"/>
      <c r="HEY230" s="1"/>
      <c r="HEZ230" s="1"/>
      <c r="HFA230" s="1"/>
      <c r="HFB230" s="1"/>
      <c r="HFC230" s="1"/>
      <c r="HFD230" s="1"/>
      <c r="HFE230" s="1"/>
      <c r="HFF230" s="1"/>
      <c r="HFG230" s="1"/>
      <c r="HFH230" s="1"/>
      <c r="HFI230" s="1"/>
      <c r="HFJ230" s="1"/>
      <c r="HFK230" s="1"/>
      <c r="HFL230" s="1"/>
      <c r="HFM230" s="1"/>
      <c r="HFN230" s="1"/>
      <c r="HFO230" s="1"/>
      <c r="HFP230" s="1"/>
      <c r="HFQ230" s="1"/>
      <c r="HFR230" s="1"/>
      <c r="HFS230" s="1"/>
      <c r="HFT230" s="1"/>
      <c r="HFU230" s="1"/>
      <c r="HFV230" s="1"/>
      <c r="HFW230" s="1"/>
      <c r="HFX230" s="1"/>
      <c r="HFY230" s="1"/>
      <c r="HFZ230" s="1"/>
      <c r="HGA230" s="1"/>
      <c r="HGB230" s="1"/>
      <c r="HGC230" s="1"/>
      <c r="HGD230" s="1"/>
      <c r="HGE230" s="1"/>
      <c r="HGF230" s="1"/>
      <c r="HGG230" s="1"/>
      <c r="HGH230" s="1"/>
      <c r="HGI230" s="1"/>
      <c r="HGJ230" s="1"/>
      <c r="HGK230" s="1"/>
      <c r="HGL230" s="1"/>
      <c r="HGM230" s="1"/>
      <c r="HGN230" s="1"/>
      <c r="HGO230" s="1"/>
      <c r="HGP230" s="1"/>
      <c r="HGQ230" s="1"/>
      <c r="HGR230" s="1"/>
      <c r="HGS230" s="1"/>
      <c r="HGT230" s="1"/>
      <c r="HGU230" s="1"/>
      <c r="HGV230" s="1"/>
      <c r="HGW230" s="1"/>
      <c r="HGX230" s="1"/>
      <c r="HGY230" s="1"/>
      <c r="HGZ230" s="1"/>
      <c r="HHA230" s="1"/>
      <c r="HHB230" s="1"/>
      <c r="HHC230" s="1"/>
      <c r="HHD230" s="1"/>
      <c r="HHE230" s="1"/>
      <c r="HHF230" s="1"/>
      <c r="HHG230" s="1"/>
      <c r="HHH230" s="1"/>
      <c r="HHI230" s="1"/>
      <c r="HHJ230" s="1"/>
      <c r="HHK230" s="1"/>
      <c r="HHL230" s="1"/>
      <c r="HHM230" s="1"/>
      <c r="HHN230" s="1"/>
      <c r="HHO230" s="1"/>
      <c r="HHP230" s="1"/>
      <c r="HHQ230" s="1"/>
      <c r="HHR230" s="1"/>
      <c r="HHS230" s="1"/>
      <c r="HHT230" s="1"/>
      <c r="HHU230" s="1"/>
      <c r="HHV230" s="1"/>
      <c r="HHW230" s="1"/>
      <c r="HHX230" s="1"/>
      <c r="HHY230" s="1"/>
      <c r="HHZ230" s="1"/>
      <c r="HIA230" s="1"/>
      <c r="HIB230" s="1"/>
      <c r="HIC230" s="1"/>
      <c r="HID230" s="1"/>
      <c r="HIE230" s="1"/>
      <c r="HIF230" s="1"/>
      <c r="HIG230" s="1"/>
      <c r="HIH230" s="1"/>
      <c r="HII230" s="1"/>
      <c r="HIJ230" s="1"/>
      <c r="HIK230" s="1"/>
      <c r="HIL230" s="1"/>
      <c r="HIM230" s="1"/>
      <c r="HIN230" s="1"/>
      <c r="HIO230" s="1"/>
      <c r="HIP230" s="1"/>
      <c r="HIQ230" s="1"/>
      <c r="HIR230" s="1"/>
      <c r="HIS230" s="1"/>
      <c r="HIT230" s="1"/>
      <c r="HIU230" s="1"/>
      <c r="HIV230" s="1"/>
      <c r="HIW230" s="1"/>
      <c r="HIX230" s="1"/>
      <c r="HIY230" s="1"/>
      <c r="HIZ230" s="1"/>
      <c r="HJA230" s="1"/>
      <c r="HJB230" s="1"/>
      <c r="HJC230" s="1"/>
      <c r="HJD230" s="1"/>
      <c r="HJE230" s="1"/>
      <c r="HJF230" s="1"/>
      <c r="HJG230" s="1"/>
      <c r="HJH230" s="1"/>
      <c r="HJI230" s="1"/>
      <c r="HJJ230" s="1"/>
      <c r="HJK230" s="1"/>
      <c r="HJL230" s="1"/>
      <c r="HJM230" s="1"/>
      <c r="HJN230" s="1"/>
      <c r="HJO230" s="1"/>
      <c r="HJP230" s="1"/>
      <c r="HJQ230" s="1"/>
      <c r="HJR230" s="1"/>
      <c r="HJS230" s="1"/>
      <c r="HJT230" s="1"/>
      <c r="HJU230" s="1"/>
      <c r="HJV230" s="1"/>
      <c r="HJW230" s="1"/>
      <c r="HJX230" s="1"/>
      <c r="HJY230" s="1"/>
      <c r="HJZ230" s="1"/>
      <c r="HKA230" s="1"/>
      <c r="HKB230" s="1"/>
      <c r="HKC230" s="1"/>
      <c r="HKD230" s="1"/>
      <c r="HKE230" s="1"/>
      <c r="HKF230" s="1"/>
      <c r="HKG230" s="1"/>
      <c r="HKH230" s="1"/>
      <c r="HKI230" s="1"/>
      <c r="HKJ230" s="1"/>
      <c r="HKK230" s="1"/>
      <c r="HKL230" s="1"/>
      <c r="HKM230" s="1"/>
      <c r="HKN230" s="1"/>
      <c r="HKO230" s="1"/>
      <c r="HKP230" s="1"/>
      <c r="HKQ230" s="1"/>
      <c r="HKR230" s="1"/>
      <c r="HKS230" s="1"/>
      <c r="HKT230" s="1"/>
      <c r="HKU230" s="1"/>
      <c r="HKV230" s="1"/>
      <c r="HKW230" s="1"/>
      <c r="HKX230" s="1"/>
      <c r="HKY230" s="1"/>
      <c r="HKZ230" s="1"/>
      <c r="HLA230" s="1"/>
      <c r="HLB230" s="1"/>
      <c r="HLC230" s="1"/>
      <c r="HLD230" s="1"/>
      <c r="HLE230" s="1"/>
      <c r="HLF230" s="1"/>
      <c r="HLG230" s="1"/>
      <c r="HLH230" s="1"/>
      <c r="HLI230" s="1"/>
      <c r="HLJ230" s="1"/>
      <c r="HLK230" s="1"/>
      <c r="HLL230" s="1"/>
      <c r="HLM230" s="1"/>
      <c r="HLN230" s="1"/>
      <c r="HLO230" s="1"/>
      <c r="HLP230" s="1"/>
      <c r="HLQ230" s="1"/>
      <c r="HLR230" s="1"/>
      <c r="HLS230" s="1"/>
      <c r="HLT230" s="1"/>
      <c r="HLU230" s="1"/>
      <c r="HLV230" s="1"/>
      <c r="HLW230" s="1"/>
      <c r="HLX230" s="1"/>
      <c r="HLY230" s="1"/>
      <c r="HLZ230" s="1"/>
      <c r="HMA230" s="1"/>
      <c r="HMB230" s="1"/>
      <c r="HMC230" s="1"/>
      <c r="HMD230" s="1"/>
      <c r="HME230" s="1"/>
      <c r="HMF230" s="1"/>
      <c r="HMG230" s="1"/>
      <c r="HMH230" s="1"/>
      <c r="HMI230" s="1"/>
      <c r="HMJ230" s="1"/>
      <c r="HMK230" s="1"/>
      <c r="HML230" s="1"/>
      <c r="HMM230" s="1"/>
      <c r="HMN230" s="1"/>
      <c r="HMO230" s="1"/>
      <c r="HMP230" s="1"/>
      <c r="HMQ230" s="1"/>
      <c r="HMR230" s="1"/>
      <c r="HMS230" s="1"/>
      <c r="HMT230" s="1"/>
      <c r="HMU230" s="1"/>
      <c r="HMV230" s="1"/>
      <c r="HMW230" s="1"/>
      <c r="HMX230" s="1"/>
      <c r="HMY230" s="1"/>
      <c r="HMZ230" s="1"/>
      <c r="HNA230" s="1"/>
      <c r="HNB230" s="1"/>
      <c r="HNC230" s="1"/>
      <c r="HND230" s="1"/>
      <c r="HNE230" s="1"/>
      <c r="HNF230" s="1"/>
      <c r="HNG230" s="1"/>
      <c r="HNH230" s="1"/>
      <c r="HNI230" s="1"/>
      <c r="HNJ230" s="1"/>
      <c r="HNK230" s="1"/>
      <c r="HNL230" s="1"/>
      <c r="HNM230" s="1"/>
      <c r="HNN230" s="1"/>
      <c r="HNO230" s="1"/>
      <c r="HNP230" s="1"/>
      <c r="HNQ230" s="1"/>
      <c r="HNR230" s="1"/>
      <c r="HNS230" s="1"/>
      <c r="HNT230" s="1"/>
      <c r="HNU230" s="1"/>
      <c r="HNV230" s="1"/>
      <c r="HNW230" s="1"/>
      <c r="HNX230" s="1"/>
      <c r="HNY230" s="1"/>
      <c r="HNZ230" s="1"/>
      <c r="HOA230" s="1"/>
      <c r="HOB230" s="1"/>
      <c r="HOC230" s="1"/>
      <c r="HOD230" s="1"/>
      <c r="HOE230" s="1"/>
      <c r="HOF230" s="1"/>
      <c r="HOG230" s="1"/>
      <c r="HOH230" s="1"/>
      <c r="HOI230" s="1"/>
      <c r="HOJ230" s="1"/>
      <c r="HOK230" s="1"/>
      <c r="HOL230" s="1"/>
      <c r="HOM230" s="1"/>
      <c r="HON230" s="1"/>
      <c r="HOO230" s="1"/>
      <c r="HOP230" s="1"/>
      <c r="HOQ230" s="1"/>
      <c r="HOR230" s="1"/>
      <c r="HOS230" s="1"/>
      <c r="HOT230" s="1"/>
      <c r="HOU230" s="1"/>
      <c r="HOV230" s="1"/>
      <c r="HOW230" s="1"/>
      <c r="HOX230" s="1"/>
      <c r="HOY230" s="1"/>
      <c r="HOZ230" s="1"/>
      <c r="HPA230" s="1"/>
      <c r="HPB230" s="1"/>
      <c r="HPC230" s="1"/>
      <c r="HPD230" s="1"/>
      <c r="HPE230" s="1"/>
      <c r="HPF230" s="1"/>
      <c r="HPG230" s="1"/>
      <c r="HPH230" s="1"/>
      <c r="HPI230" s="1"/>
      <c r="HPJ230" s="1"/>
      <c r="HPK230" s="1"/>
      <c r="HPL230" s="1"/>
      <c r="HPM230" s="1"/>
      <c r="HPN230" s="1"/>
      <c r="HPO230" s="1"/>
      <c r="HPP230" s="1"/>
      <c r="HPQ230" s="1"/>
      <c r="HPR230" s="1"/>
      <c r="HPS230" s="1"/>
      <c r="HPT230" s="1"/>
      <c r="HPU230" s="1"/>
      <c r="HPV230" s="1"/>
      <c r="HPW230" s="1"/>
      <c r="HPX230" s="1"/>
      <c r="HPY230" s="1"/>
      <c r="HPZ230" s="1"/>
      <c r="HQA230" s="1"/>
      <c r="HQB230" s="1"/>
      <c r="HQC230" s="1"/>
      <c r="HQD230" s="1"/>
      <c r="HQE230" s="1"/>
      <c r="HQF230" s="1"/>
      <c r="HQG230" s="1"/>
      <c r="HQH230" s="1"/>
      <c r="HQI230" s="1"/>
      <c r="HQJ230" s="1"/>
      <c r="HQK230" s="1"/>
      <c r="HQL230" s="1"/>
      <c r="HQM230" s="1"/>
      <c r="HQN230" s="1"/>
      <c r="HQO230" s="1"/>
      <c r="HQP230" s="1"/>
      <c r="HQQ230" s="1"/>
      <c r="HQR230" s="1"/>
      <c r="HQS230" s="1"/>
      <c r="HQT230" s="1"/>
      <c r="HQU230" s="1"/>
      <c r="HQV230" s="1"/>
      <c r="HQW230" s="1"/>
      <c r="HQX230" s="1"/>
      <c r="HQY230" s="1"/>
      <c r="HQZ230" s="1"/>
      <c r="HRA230" s="1"/>
      <c r="HRB230" s="1"/>
      <c r="HRC230" s="1"/>
      <c r="HRD230" s="1"/>
      <c r="HRE230" s="1"/>
      <c r="HRF230" s="1"/>
      <c r="HRG230" s="1"/>
      <c r="HRH230" s="1"/>
      <c r="HRI230" s="1"/>
      <c r="HRJ230" s="1"/>
      <c r="HRK230" s="1"/>
      <c r="HRL230" s="1"/>
      <c r="HRM230" s="1"/>
      <c r="HRN230" s="1"/>
      <c r="HRO230" s="1"/>
      <c r="HRP230" s="1"/>
      <c r="HRQ230" s="1"/>
      <c r="HRR230" s="1"/>
      <c r="HRS230" s="1"/>
      <c r="HRT230" s="1"/>
      <c r="HRU230" s="1"/>
      <c r="HRV230" s="1"/>
      <c r="HRW230" s="1"/>
      <c r="HRX230" s="1"/>
      <c r="HRY230" s="1"/>
      <c r="HRZ230" s="1"/>
      <c r="HSA230" s="1"/>
      <c r="HSB230" s="1"/>
      <c r="HSC230" s="1"/>
      <c r="HSD230" s="1"/>
      <c r="HSE230" s="1"/>
      <c r="HSF230" s="1"/>
      <c r="HSG230" s="1"/>
      <c r="HSH230" s="1"/>
      <c r="HSI230" s="1"/>
      <c r="HSJ230" s="1"/>
      <c r="HSK230" s="1"/>
      <c r="HSL230" s="1"/>
      <c r="HSM230" s="1"/>
      <c r="HSN230" s="1"/>
      <c r="HSO230" s="1"/>
      <c r="HSP230" s="1"/>
      <c r="HSQ230" s="1"/>
      <c r="HSR230" s="1"/>
      <c r="HSS230" s="1"/>
      <c r="HST230" s="1"/>
      <c r="HSU230" s="1"/>
      <c r="HSV230" s="1"/>
      <c r="HSW230" s="1"/>
      <c r="HSX230" s="1"/>
      <c r="HSY230" s="1"/>
      <c r="HSZ230" s="1"/>
      <c r="HTA230" s="1"/>
      <c r="HTB230" s="1"/>
      <c r="HTC230" s="1"/>
      <c r="HTD230" s="1"/>
      <c r="HTE230" s="1"/>
      <c r="HTF230" s="1"/>
      <c r="HTG230" s="1"/>
      <c r="HTH230" s="1"/>
      <c r="HTI230" s="1"/>
      <c r="HTJ230" s="1"/>
      <c r="HTK230" s="1"/>
      <c r="HTL230" s="1"/>
      <c r="HTM230" s="1"/>
      <c r="HTN230" s="1"/>
      <c r="HTO230" s="1"/>
      <c r="HTP230" s="1"/>
      <c r="HTQ230" s="1"/>
      <c r="HTR230" s="1"/>
      <c r="HTS230" s="1"/>
      <c r="HTT230" s="1"/>
      <c r="HTU230" s="1"/>
      <c r="HTV230" s="1"/>
      <c r="HTW230" s="1"/>
      <c r="HTX230" s="1"/>
      <c r="HTY230" s="1"/>
      <c r="HTZ230" s="1"/>
      <c r="HUA230" s="1"/>
      <c r="HUB230" s="1"/>
      <c r="HUC230" s="1"/>
      <c r="HUD230" s="1"/>
      <c r="HUE230" s="1"/>
      <c r="HUF230" s="1"/>
      <c r="HUG230" s="1"/>
      <c r="HUH230" s="1"/>
      <c r="HUI230" s="1"/>
      <c r="HUJ230" s="1"/>
      <c r="HUK230" s="1"/>
      <c r="HUL230" s="1"/>
      <c r="HUM230" s="1"/>
      <c r="HUN230" s="1"/>
      <c r="HUO230" s="1"/>
      <c r="HUP230" s="1"/>
      <c r="HUQ230" s="1"/>
      <c r="HUR230" s="1"/>
      <c r="HUS230" s="1"/>
      <c r="HUT230" s="1"/>
      <c r="HUU230" s="1"/>
      <c r="HUV230" s="1"/>
      <c r="HUW230" s="1"/>
      <c r="HUX230" s="1"/>
      <c r="HUY230" s="1"/>
      <c r="HUZ230" s="1"/>
      <c r="HVA230" s="1"/>
      <c r="HVB230" s="1"/>
      <c r="HVC230" s="1"/>
      <c r="HVD230" s="1"/>
      <c r="HVE230" s="1"/>
      <c r="HVF230" s="1"/>
      <c r="HVG230" s="1"/>
      <c r="HVH230" s="1"/>
      <c r="HVI230" s="1"/>
      <c r="HVJ230" s="1"/>
      <c r="HVK230" s="1"/>
      <c r="HVL230" s="1"/>
      <c r="HVM230" s="1"/>
      <c r="HVN230" s="1"/>
      <c r="HVO230" s="1"/>
      <c r="HVP230" s="1"/>
      <c r="HVQ230" s="1"/>
      <c r="HVR230" s="1"/>
      <c r="HVS230" s="1"/>
      <c r="HVT230" s="1"/>
      <c r="HVU230" s="1"/>
      <c r="HVV230" s="1"/>
      <c r="HVW230" s="1"/>
      <c r="HVX230" s="1"/>
      <c r="HVY230" s="1"/>
      <c r="HVZ230" s="1"/>
      <c r="HWA230" s="1"/>
      <c r="HWB230" s="1"/>
      <c r="HWC230" s="1"/>
      <c r="HWD230" s="1"/>
      <c r="HWE230" s="1"/>
      <c r="HWF230" s="1"/>
      <c r="HWG230" s="1"/>
      <c r="HWH230" s="1"/>
      <c r="HWI230" s="1"/>
      <c r="HWJ230" s="1"/>
      <c r="HWK230" s="1"/>
      <c r="HWL230" s="1"/>
      <c r="HWM230" s="1"/>
      <c r="HWN230" s="1"/>
      <c r="HWO230" s="1"/>
      <c r="HWP230" s="1"/>
      <c r="HWQ230" s="1"/>
      <c r="HWR230" s="1"/>
      <c r="HWS230" s="1"/>
      <c r="HWT230" s="1"/>
      <c r="HWU230" s="1"/>
      <c r="HWV230" s="1"/>
      <c r="HWW230" s="1"/>
      <c r="HWX230" s="1"/>
      <c r="HWY230" s="1"/>
      <c r="HWZ230" s="1"/>
      <c r="HXA230" s="1"/>
      <c r="HXB230" s="1"/>
      <c r="HXC230" s="1"/>
      <c r="HXD230" s="1"/>
      <c r="HXE230" s="1"/>
      <c r="HXF230" s="1"/>
      <c r="HXG230" s="1"/>
      <c r="HXH230" s="1"/>
      <c r="HXI230" s="1"/>
      <c r="HXJ230" s="1"/>
      <c r="HXK230" s="1"/>
      <c r="HXL230" s="1"/>
      <c r="HXM230" s="1"/>
      <c r="HXN230" s="1"/>
      <c r="HXO230" s="1"/>
      <c r="HXP230" s="1"/>
      <c r="HXQ230" s="1"/>
      <c r="HXR230" s="1"/>
      <c r="HXS230" s="1"/>
      <c r="HXT230" s="1"/>
      <c r="HXU230" s="1"/>
      <c r="HXV230" s="1"/>
      <c r="HXW230" s="1"/>
      <c r="HXX230" s="1"/>
      <c r="HXY230" s="1"/>
      <c r="HXZ230" s="1"/>
      <c r="HYA230" s="1"/>
      <c r="HYB230" s="1"/>
      <c r="HYC230" s="1"/>
      <c r="HYD230" s="1"/>
      <c r="HYE230" s="1"/>
      <c r="HYF230" s="1"/>
      <c r="HYG230" s="1"/>
      <c r="HYH230" s="1"/>
      <c r="HYI230" s="1"/>
      <c r="HYJ230" s="1"/>
      <c r="HYK230" s="1"/>
      <c r="HYL230" s="1"/>
      <c r="HYM230" s="1"/>
      <c r="HYN230" s="1"/>
      <c r="HYO230" s="1"/>
      <c r="HYP230" s="1"/>
      <c r="HYQ230" s="1"/>
      <c r="HYR230" s="1"/>
      <c r="HYS230" s="1"/>
      <c r="HYT230" s="1"/>
      <c r="HYU230" s="1"/>
      <c r="HYV230" s="1"/>
      <c r="HYW230" s="1"/>
      <c r="HYX230" s="1"/>
      <c r="HYY230" s="1"/>
      <c r="HYZ230" s="1"/>
      <c r="HZA230" s="1"/>
      <c r="HZB230" s="1"/>
      <c r="HZC230" s="1"/>
      <c r="HZD230" s="1"/>
      <c r="HZE230" s="1"/>
      <c r="HZF230" s="1"/>
      <c r="HZG230" s="1"/>
      <c r="HZH230" s="1"/>
      <c r="HZI230" s="1"/>
      <c r="HZJ230" s="1"/>
      <c r="HZK230" s="1"/>
      <c r="HZL230" s="1"/>
      <c r="HZM230" s="1"/>
      <c r="HZN230" s="1"/>
      <c r="HZO230" s="1"/>
      <c r="HZP230" s="1"/>
      <c r="HZQ230" s="1"/>
      <c r="HZR230" s="1"/>
      <c r="HZS230" s="1"/>
      <c r="HZT230" s="1"/>
      <c r="HZU230" s="1"/>
      <c r="HZV230" s="1"/>
      <c r="HZW230" s="1"/>
      <c r="HZX230" s="1"/>
      <c r="HZY230" s="1"/>
      <c r="HZZ230" s="1"/>
      <c r="IAA230" s="1"/>
      <c r="IAB230" s="1"/>
      <c r="IAC230" s="1"/>
      <c r="IAD230" s="1"/>
      <c r="IAE230" s="1"/>
      <c r="IAF230" s="1"/>
      <c r="IAG230" s="1"/>
      <c r="IAH230" s="1"/>
      <c r="IAI230" s="1"/>
      <c r="IAJ230" s="1"/>
      <c r="IAK230" s="1"/>
      <c r="IAL230" s="1"/>
      <c r="IAM230" s="1"/>
      <c r="IAN230" s="1"/>
      <c r="IAO230" s="1"/>
      <c r="IAP230" s="1"/>
      <c r="IAQ230" s="1"/>
      <c r="IAR230" s="1"/>
      <c r="IAS230" s="1"/>
      <c r="IAT230" s="1"/>
      <c r="IAU230" s="1"/>
      <c r="IAV230" s="1"/>
      <c r="IAW230" s="1"/>
      <c r="IAX230" s="1"/>
      <c r="IAY230" s="1"/>
      <c r="IAZ230" s="1"/>
      <c r="IBA230" s="1"/>
      <c r="IBB230" s="1"/>
      <c r="IBC230" s="1"/>
      <c r="IBD230" s="1"/>
      <c r="IBE230" s="1"/>
      <c r="IBF230" s="1"/>
      <c r="IBG230" s="1"/>
      <c r="IBH230" s="1"/>
      <c r="IBI230" s="1"/>
      <c r="IBJ230" s="1"/>
      <c r="IBK230" s="1"/>
      <c r="IBL230" s="1"/>
      <c r="IBM230" s="1"/>
      <c r="IBN230" s="1"/>
      <c r="IBO230" s="1"/>
      <c r="IBP230" s="1"/>
      <c r="IBQ230" s="1"/>
      <c r="IBR230" s="1"/>
      <c r="IBS230" s="1"/>
      <c r="IBT230" s="1"/>
      <c r="IBU230" s="1"/>
      <c r="IBV230" s="1"/>
      <c r="IBW230" s="1"/>
      <c r="IBX230" s="1"/>
      <c r="IBY230" s="1"/>
      <c r="IBZ230" s="1"/>
      <c r="ICA230" s="1"/>
      <c r="ICB230" s="1"/>
      <c r="ICC230" s="1"/>
      <c r="ICD230" s="1"/>
      <c r="ICE230" s="1"/>
      <c r="ICF230" s="1"/>
      <c r="ICG230" s="1"/>
      <c r="ICH230" s="1"/>
      <c r="ICI230" s="1"/>
      <c r="ICJ230" s="1"/>
      <c r="ICK230" s="1"/>
      <c r="ICL230" s="1"/>
      <c r="ICM230" s="1"/>
      <c r="ICN230" s="1"/>
      <c r="ICO230" s="1"/>
      <c r="ICP230" s="1"/>
      <c r="ICQ230" s="1"/>
      <c r="ICR230" s="1"/>
      <c r="ICS230" s="1"/>
      <c r="ICT230" s="1"/>
      <c r="ICU230" s="1"/>
      <c r="ICV230" s="1"/>
      <c r="ICW230" s="1"/>
      <c r="ICX230" s="1"/>
      <c r="ICY230" s="1"/>
      <c r="ICZ230" s="1"/>
      <c r="IDA230" s="1"/>
      <c r="IDB230" s="1"/>
      <c r="IDC230" s="1"/>
      <c r="IDD230" s="1"/>
      <c r="IDE230" s="1"/>
      <c r="IDF230" s="1"/>
      <c r="IDG230" s="1"/>
      <c r="IDH230" s="1"/>
      <c r="IDI230" s="1"/>
      <c r="IDJ230" s="1"/>
      <c r="IDK230" s="1"/>
      <c r="IDL230" s="1"/>
      <c r="IDM230" s="1"/>
      <c r="IDN230" s="1"/>
      <c r="IDO230" s="1"/>
      <c r="IDP230" s="1"/>
      <c r="IDQ230" s="1"/>
      <c r="IDR230" s="1"/>
      <c r="IDS230" s="1"/>
      <c r="IDT230" s="1"/>
      <c r="IDU230" s="1"/>
      <c r="IDV230" s="1"/>
      <c r="IDW230" s="1"/>
      <c r="IDX230" s="1"/>
      <c r="IDY230" s="1"/>
      <c r="IDZ230" s="1"/>
      <c r="IEA230" s="1"/>
      <c r="IEB230" s="1"/>
      <c r="IEC230" s="1"/>
      <c r="IED230" s="1"/>
      <c r="IEE230" s="1"/>
      <c r="IEF230" s="1"/>
      <c r="IEG230" s="1"/>
      <c r="IEH230" s="1"/>
      <c r="IEI230" s="1"/>
      <c r="IEJ230" s="1"/>
      <c r="IEK230" s="1"/>
      <c r="IEL230" s="1"/>
      <c r="IEM230" s="1"/>
      <c r="IEN230" s="1"/>
      <c r="IEO230" s="1"/>
      <c r="IEP230" s="1"/>
      <c r="IEQ230" s="1"/>
      <c r="IER230" s="1"/>
      <c r="IES230" s="1"/>
      <c r="IET230" s="1"/>
      <c r="IEU230" s="1"/>
      <c r="IEV230" s="1"/>
      <c r="IEW230" s="1"/>
      <c r="IEX230" s="1"/>
      <c r="IEY230" s="1"/>
      <c r="IEZ230" s="1"/>
      <c r="IFA230" s="1"/>
      <c r="IFB230" s="1"/>
      <c r="IFC230" s="1"/>
      <c r="IFD230" s="1"/>
      <c r="IFE230" s="1"/>
      <c r="IFF230" s="1"/>
      <c r="IFG230" s="1"/>
      <c r="IFH230" s="1"/>
      <c r="IFI230" s="1"/>
      <c r="IFJ230" s="1"/>
      <c r="IFK230" s="1"/>
      <c r="IFL230" s="1"/>
      <c r="IFM230" s="1"/>
      <c r="IFN230" s="1"/>
      <c r="IFO230" s="1"/>
      <c r="IFP230" s="1"/>
      <c r="IFQ230" s="1"/>
      <c r="IFR230" s="1"/>
      <c r="IFS230" s="1"/>
      <c r="IFT230" s="1"/>
      <c r="IFU230" s="1"/>
      <c r="IFV230" s="1"/>
      <c r="IFW230" s="1"/>
      <c r="IFX230" s="1"/>
      <c r="IFY230" s="1"/>
      <c r="IFZ230" s="1"/>
      <c r="IGA230" s="1"/>
      <c r="IGB230" s="1"/>
      <c r="IGC230" s="1"/>
      <c r="IGD230" s="1"/>
      <c r="IGE230" s="1"/>
      <c r="IGF230" s="1"/>
      <c r="IGG230" s="1"/>
      <c r="IGH230" s="1"/>
      <c r="IGI230" s="1"/>
      <c r="IGJ230" s="1"/>
      <c r="IGK230" s="1"/>
      <c r="IGL230" s="1"/>
      <c r="IGM230" s="1"/>
      <c r="IGN230" s="1"/>
      <c r="IGO230" s="1"/>
      <c r="IGP230" s="1"/>
      <c r="IGQ230" s="1"/>
      <c r="IGR230" s="1"/>
      <c r="IGS230" s="1"/>
      <c r="IGT230" s="1"/>
      <c r="IGU230" s="1"/>
      <c r="IGV230" s="1"/>
      <c r="IGW230" s="1"/>
      <c r="IGX230" s="1"/>
      <c r="IGY230" s="1"/>
      <c r="IGZ230" s="1"/>
      <c r="IHA230" s="1"/>
      <c r="IHB230" s="1"/>
      <c r="IHC230" s="1"/>
      <c r="IHD230" s="1"/>
      <c r="IHE230" s="1"/>
      <c r="IHF230" s="1"/>
      <c r="IHG230" s="1"/>
      <c r="IHH230" s="1"/>
      <c r="IHI230" s="1"/>
      <c r="IHJ230" s="1"/>
      <c r="IHK230" s="1"/>
      <c r="IHL230" s="1"/>
      <c r="IHM230" s="1"/>
      <c r="IHN230" s="1"/>
      <c r="IHO230" s="1"/>
      <c r="IHP230" s="1"/>
      <c r="IHQ230" s="1"/>
      <c r="IHR230" s="1"/>
      <c r="IHS230" s="1"/>
      <c r="IHT230" s="1"/>
      <c r="IHU230" s="1"/>
      <c r="IHV230" s="1"/>
      <c r="IHW230" s="1"/>
      <c r="IHX230" s="1"/>
      <c r="IHY230" s="1"/>
      <c r="IHZ230" s="1"/>
      <c r="IIA230" s="1"/>
      <c r="IIB230" s="1"/>
      <c r="IIC230" s="1"/>
      <c r="IID230" s="1"/>
      <c r="IIE230" s="1"/>
      <c r="IIF230" s="1"/>
      <c r="IIG230" s="1"/>
      <c r="IIH230" s="1"/>
      <c r="III230" s="1"/>
      <c r="IIJ230" s="1"/>
      <c r="IIK230" s="1"/>
      <c r="IIL230" s="1"/>
      <c r="IIM230" s="1"/>
      <c r="IIN230" s="1"/>
      <c r="IIO230" s="1"/>
      <c r="IIP230" s="1"/>
      <c r="IIQ230" s="1"/>
      <c r="IIR230" s="1"/>
      <c r="IIS230" s="1"/>
      <c r="IIT230" s="1"/>
      <c r="IIU230" s="1"/>
      <c r="IIV230" s="1"/>
      <c r="IIW230" s="1"/>
      <c r="IIX230" s="1"/>
      <c r="IIY230" s="1"/>
      <c r="IIZ230" s="1"/>
      <c r="IJA230" s="1"/>
      <c r="IJB230" s="1"/>
      <c r="IJC230" s="1"/>
      <c r="IJD230" s="1"/>
      <c r="IJE230" s="1"/>
      <c r="IJF230" s="1"/>
      <c r="IJG230" s="1"/>
      <c r="IJH230" s="1"/>
      <c r="IJI230" s="1"/>
      <c r="IJJ230" s="1"/>
      <c r="IJK230" s="1"/>
      <c r="IJL230" s="1"/>
      <c r="IJM230" s="1"/>
      <c r="IJN230" s="1"/>
      <c r="IJO230" s="1"/>
      <c r="IJP230" s="1"/>
      <c r="IJQ230" s="1"/>
      <c r="IJR230" s="1"/>
      <c r="IJS230" s="1"/>
      <c r="IJT230" s="1"/>
      <c r="IJU230" s="1"/>
      <c r="IJV230" s="1"/>
      <c r="IJW230" s="1"/>
      <c r="IJX230" s="1"/>
      <c r="IJY230" s="1"/>
      <c r="IJZ230" s="1"/>
      <c r="IKA230" s="1"/>
      <c r="IKB230" s="1"/>
      <c r="IKC230" s="1"/>
      <c r="IKD230" s="1"/>
      <c r="IKE230" s="1"/>
      <c r="IKF230" s="1"/>
      <c r="IKG230" s="1"/>
      <c r="IKH230" s="1"/>
      <c r="IKI230" s="1"/>
      <c r="IKJ230" s="1"/>
      <c r="IKK230" s="1"/>
      <c r="IKL230" s="1"/>
      <c r="IKM230" s="1"/>
      <c r="IKN230" s="1"/>
      <c r="IKO230" s="1"/>
      <c r="IKP230" s="1"/>
      <c r="IKQ230" s="1"/>
      <c r="IKR230" s="1"/>
      <c r="IKS230" s="1"/>
      <c r="IKT230" s="1"/>
      <c r="IKU230" s="1"/>
      <c r="IKV230" s="1"/>
      <c r="IKW230" s="1"/>
      <c r="IKX230" s="1"/>
      <c r="IKY230" s="1"/>
      <c r="IKZ230" s="1"/>
      <c r="ILA230" s="1"/>
      <c r="ILB230" s="1"/>
      <c r="ILC230" s="1"/>
      <c r="ILD230" s="1"/>
      <c r="ILE230" s="1"/>
      <c r="ILF230" s="1"/>
      <c r="ILG230" s="1"/>
      <c r="ILH230" s="1"/>
      <c r="ILI230" s="1"/>
      <c r="ILJ230" s="1"/>
      <c r="ILK230" s="1"/>
      <c r="ILL230" s="1"/>
      <c r="ILM230" s="1"/>
      <c r="ILN230" s="1"/>
      <c r="ILO230" s="1"/>
      <c r="ILP230" s="1"/>
      <c r="ILQ230" s="1"/>
      <c r="ILR230" s="1"/>
      <c r="ILS230" s="1"/>
      <c r="ILT230" s="1"/>
      <c r="ILU230" s="1"/>
      <c r="ILV230" s="1"/>
      <c r="ILW230" s="1"/>
      <c r="ILX230" s="1"/>
      <c r="ILY230" s="1"/>
      <c r="ILZ230" s="1"/>
      <c r="IMA230" s="1"/>
      <c r="IMB230" s="1"/>
      <c r="IMC230" s="1"/>
      <c r="IMD230" s="1"/>
      <c r="IME230" s="1"/>
      <c r="IMF230" s="1"/>
      <c r="IMG230" s="1"/>
      <c r="IMH230" s="1"/>
      <c r="IMI230" s="1"/>
      <c r="IMJ230" s="1"/>
      <c r="IMK230" s="1"/>
      <c r="IML230" s="1"/>
      <c r="IMM230" s="1"/>
      <c r="IMN230" s="1"/>
      <c r="IMO230" s="1"/>
      <c r="IMP230" s="1"/>
      <c r="IMQ230" s="1"/>
      <c r="IMR230" s="1"/>
      <c r="IMS230" s="1"/>
      <c r="IMT230" s="1"/>
      <c r="IMU230" s="1"/>
      <c r="IMV230" s="1"/>
      <c r="IMW230" s="1"/>
      <c r="IMX230" s="1"/>
      <c r="IMY230" s="1"/>
      <c r="IMZ230" s="1"/>
      <c r="INA230" s="1"/>
      <c r="INB230" s="1"/>
      <c r="INC230" s="1"/>
      <c r="IND230" s="1"/>
      <c r="INE230" s="1"/>
      <c r="INF230" s="1"/>
      <c r="ING230" s="1"/>
      <c r="INH230" s="1"/>
      <c r="INI230" s="1"/>
      <c r="INJ230" s="1"/>
      <c r="INK230" s="1"/>
      <c r="INL230" s="1"/>
      <c r="INM230" s="1"/>
      <c r="INN230" s="1"/>
      <c r="INO230" s="1"/>
      <c r="INP230" s="1"/>
      <c r="INQ230" s="1"/>
      <c r="INR230" s="1"/>
      <c r="INS230" s="1"/>
      <c r="INT230" s="1"/>
      <c r="INU230" s="1"/>
      <c r="INV230" s="1"/>
      <c r="INW230" s="1"/>
      <c r="INX230" s="1"/>
      <c r="INY230" s="1"/>
      <c r="INZ230" s="1"/>
      <c r="IOA230" s="1"/>
      <c r="IOB230" s="1"/>
      <c r="IOC230" s="1"/>
      <c r="IOD230" s="1"/>
      <c r="IOE230" s="1"/>
      <c r="IOF230" s="1"/>
      <c r="IOG230" s="1"/>
      <c r="IOH230" s="1"/>
      <c r="IOI230" s="1"/>
      <c r="IOJ230" s="1"/>
      <c r="IOK230" s="1"/>
      <c r="IOL230" s="1"/>
      <c r="IOM230" s="1"/>
      <c r="ION230" s="1"/>
      <c r="IOO230" s="1"/>
      <c r="IOP230" s="1"/>
      <c r="IOQ230" s="1"/>
      <c r="IOR230" s="1"/>
      <c r="IOS230" s="1"/>
      <c r="IOT230" s="1"/>
      <c r="IOU230" s="1"/>
      <c r="IOV230" s="1"/>
      <c r="IOW230" s="1"/>
      <c r="IOX230" s="1"/>
      <c r="IOY230" s="1"/>
      <c r="IOZ230" s="1"/>
      <c r="IPA230" s="1"/>
      <c r="IPB230" s="1"/>
      <c r="IPC230" s="1"/>
      <c r="IPD230" s="1"/>
      <c r="IPE230" s="1"/>
      <c r="IPF230" s="1"/>
      <c r="IPG230" s="1"/>
      <c r="IPH230" s="1"/>
      <c r="IPI230" s="1"/>
      <c r="IPJ230" s="1"/>
      <c r="IPK230" s="1"/>
      <c r="IPL230" s="1"/>
      <c r="IPM230" s="1"/>
      <c r="IPN230" s="1"/>
      <c r="IPO230" s="1"/>
      <c r="IPP230" s="1"/>
      <c r="IPQ230" s="1"/>
      <c r="IPR230" s="1"/>
      <c r="IPS230" s="1"/>
      <c r="IPT230" s="1"/>
      <c r="IPU230" s="1"/>
      <c r="IPV230" s="1"/>
      <c r="IPW230" s="1"/>
      <c r="IPX230" s="1"/>
      <c r="IPY230" s="1"/>
      <c r="IPZ230" s="1"/>
      <c r="IQA230" s="1"/>
      <c r="IQB230" s="1"/>
      <c r="IQC230" s="1"/>
      <c r="IQD230" s="1"/>
      <c r="IQE230" s="1"/>
      <c r="IQF230" s="1"/>
      <c r="IQG230" s="1"/>
      <c r="IQH230" s="1"/>
      <c r="IQI230" s="1"/>
      <c r="IQJ230" s="1"/>
      <c r="IQK230" s="1"/>
      <c r="IQL230" s="1"/>
      <c r="IQM230" s="1"/>
      <c r="IQN230" s="1"/>
      <c r="IQO230" s="1"/>
      <c r="IQP230" s="1"/>
      <c r="IQQ230" s="1"/>
      <c r="IQR230" s="1"/>
      <c r="IQS230" s="1"/>
      <c r="IQT230" s="1"/>
      <c r="IQU230" s="1"/>
      <c r="IQV230" s="1"/>
      <c r="IQW230" s="1"/>
      <c r="IQX230" s="1"/>
      <c r="IQY230" s="1"/>
      <c r="IQZ230" s="1"/>
      <c r="IRA230" s="1"/>
      <c r="IRB230" s="1"/>
      <c r="IRC230" s="1"/>
      <c r="IRD230" s="1"/>
      <c r="IRE230" s="1"/>
      <c r="IRF230" s="1"/>
      <c r="IRG230" s="1"/>
      <c r="IRH230" s="1"/>
      <c r="IRI230" s="1"/>
      <c r="IRJ230" s="1"/>
      <c r="IRK230" s="1"/>
      <c r="IRL230" s="1"/>
      <c r="IRM230" s="1"/>
      <c r="IRN230" s="1"/>
      <c r="IRO230" s="1"/>
      <c r="IRP230" s="1"/>
      <c r="IRQ230" s="1"/>
      <c r="IRR230" s="1"/>
      <c r="IRS230" s="1"/>
      <c r="IRT230" s="1"/>
      <c r="IRU230" s="1"/>
      <c r="IRV230" s="1"/>
      <c r="IRW230" s="1"/>
      <c r="IRX230" s="1"/>
      <c r="IRY230" s="1"/>
      <c r="IRZ230" s="1"/>
      <c r="ISA230" s="1"/>
      <c r="ISB230" s="1"/>
      <c r="ISC230" s="1"/>
      <c r="ISD230" s="1"/>
      <c r="ISE230" s="1"/>
      <c r="ISF230" s="1"/>
      <c r="ISG230" s="1"/>
      <c r="ISH230" s="1"/>
      <c r="ISI230" s="1"/>
      <c r="ISJ230" s="1"/>
      <c r="ISK230" s="1"/>
      <c r="ISL230" s="1"/>
      <c r="ISM230" s="1"/>
      <c r="ISN230" s="1"/>
      <c r="ISO230" s="1"/>
      <c r="ISP230" s="1"/>
      <c r="ISQ230" s="1"/>
      <c r="ISR230" s="1"/>
      <c r="ISS230" s="1"/>
      <c r="IST230" s="1"/>
      <c r="ISU230" s="1"/>
      <c r="ISV230" s="1"/>
      <c r="ISW230" s="1"/>
      <c r="ISX230" s="1"/>
      <c r="ISY230" s="1"/>
      <c r="ISZ230" s="1"/>
      <c r="ITA230" s="1"/>
      <c r="ITB230" s="1"/>
      <c r="ITC230" s="1"/>
      <c r="ITD230" s="1"/>
      <c r="ITE230" s="1"/>
      <c r="ITF230" s="1"/>
      <c r="ITG230" s="1"/>
      <c r="ITH230" s="1"/>
      <c r="ITI230" s="1"/>
      <c r="ITJ230" s="1"/>
      <c r="ITK230" s="1"/>
      <c r="ITL230" s="1"/>
      <c r="ITM230" s="1"/>
      <c r="ITN230" s="1"/>
      <c r="ITO230" s="1"/>
      <c r="ITP230" s="1"/>
      <c r="ITQ230" s="1"/>
      <c r="ITR230" s="1"/>
      <c r="ITS230" s="1"/>
      <c r="ITT230" s="1"/>
      <c r="ITU230" s="1"/>
      <c r="ITV230" s="1"/>
      <c r="ITW230" s="1"/>
      <c r="ITX230" s="1"/>
      <c r="ITY230" s="1"/>
      <c r="ITZ230" s="1"/>
      <c r="IUA230" s="1"/>
      <c r="IUB230" s="1"/>
      <c r="IUC230" s="1"/>
      <c r="IUD230" s="1"/>
      <c r="IUE230" s="1"/>
      <c r="IUF230" s="1"/>
      <c r="IUG230" s="1"/>
      <c r="IUH230" s="1"/>
      <c r="IUI230" s="1"/>
      <c r="IUJ230" s="1"/>
      <c r="IUK230" s="1"/>
      <c r="IUL230" s="1"/>
      <c r="IUM230" s="1"/>
      <c r="IUN230" s="1"/>
      <c r="IUO230" s="1"/>
      <c r="IUP230" s="1"/>
      <c r="IUQ230" s="1"/>
      <c r="IUR230" s="1"/>
      <c r="IUS230" s="1"/>
      <c r="IUT230" s="1"/>
      <c r="IUU230" s="1"/>
      <c r="IUV230" s="1"/>
      <c r="IUW230" s="1"/>
      <c r="IUX230" s="1"/>
      <c r="IUY230" s="1"/>
      <c r="IUZ230" s="1"/>
      <c r="IVA230" s="1"/>
      <c r="IVB230" s="1"/>
      <c r="IVC230" s="1"/>
      <c r="IVD230" s="1"/>
      <c r="IVE230" s="1"/>
      <c r="IVF230" s="1"/>
      <c r="IVG230" s="1"/>
      <c r="IVH230" s="1"/>
      <c r="IVI230" s="1"/>
      <c r="IVJ230" s="1"/>
      <c r="IVK230" s="1"/>
      <c r="IVL230" s="1"/>
      <c r="IVM230" s="1"/>
      <c r="IVN230" s="1"/>
      <c r="IVO230" s="1"/>
      <c r="IVP230" s="1"/>
      <c r="IVQ230" s="1"/>
      <c r="IVR230" s="1"/>
      <c r="IVS230" s="1"/>
      <c r="IVT230" s="1"/>
      <c r="IVU230" s="1"/>
      <c r="IVV230" s="1"/>
      <c r="IVW230" s="1"/>
      <c r="IVX230" s="1"/>
      <c r="IVY230" s="1"/>
      <c r="IVZ230" s="1"/>
      <c r="IWA230" s="1"/>
      <c r="IWB230" s="1"/>
      <c r="IWC230" s="1"/>
      <c r="IWD230" s="1"/>
      <c r="IWE230" s="1"/>
      <c r="IWF230" s="1"/>
      <c r="IWG230" s="1"/>
      <c r="IWH230" s="1"/>
      <c r="IWI230" s="1"/>
      <c r="IWJ230" s="1"/>
      <c r="IWK230" s="1"/>
      <c r="IWL230" s="1"/>
      <c r="IWM230" s="1"/>
      <c r="IWN230" s="1"/>
      <c r="IWO230" s="1"/>
      <c r="IWP230" s="1"/>
      <c r="IWQ230" s="1"/>
      <c r="IWR230" s="1"/>
      <c r="IWS230" s="1"/>
      <c r="IWT230" s="1"/>
      <c r="IWU230" s="1"/>
      <c r="IWV230" s="1"/>
      <c r="IWW230" s="1"/>
      <c r="IWX230" s="1"/>
      <c r="IWY230" s="1"/>
      <c r="IWZ230" s="1"/>
      <c r="IXA230" s="1"/>
      <c r="IXB230" s="1"/>
      <c r="IXC230" s="1"/>
      <c r="IXD230" s="1"/>
      <c r="IXE230" s="1"/>
      <c r="IXF230" s="1"/>
      <c r="IXG230" s="1"/>
      <c r="IXH230" s="1"/>
      <c r="IXI230" s="1"/>
      <c r="IXJ230" s="1"/>
      <c r="IXK230" s="1"/>
      <c r="IXL230" s="1"/>
      <c r="IXM230" s="1"/>
      <c r="IXN230" s="1"/>
      <c r="IXO230" s="1"/>
      <c r="IXP230" s="1"/>
      <c r="IXQ230" s="1"/>
      <c r="IXR230" s="1"/>
      <c r="IXS230" s="1"/>
      <c r="IXT230" s="1"/>
      <c r="IXU230" s="1"/>
      <c r="IXV230" s="1"/>
      <c r="IXW230" s="1"/>
      <c r="IXX230" s="1"/>
      <c r="IXY230" s="1"/>
      <c r="IXZ230" s="1"/>
      <c r="IYA230" s="1"/>
      <c r="IYB230" s="1"/>
      <c r="IYC230" s="1"/>
      <c r="IYD230" s="1"/>
      <c r="IYE230" s="1"/>
      <c r="IYF230" s="1"/>
      <c r="IYG230" s="1"/>
      <c r="IYH230" s="1"/>
      <c r="IYI230" s="1"/>
      <c r="IYJ230" s="1"/>
      <c r="IYK230" s="1"/>
      <c r="IYL230" s="1"/>
      <c r="IYM230" s="1"/>
      <c r="IYN230" s="1"/>
      <c r="IYO230" s="1"/>
      <c r="IYP230" s="1"/>
      <c r="IYQ230" s="1"/>
      <c r="IYR230" s="1"/>
      <c r="IYS230" s="1"/>
      <c r="IYT230" s="1"/>
      <c r="IYU230" s="1"/>
      <c r="IYV230" s="1"/>
      <c r="IYW230" s="1"/>
      <c r="IYX230" s="1"/>
      <c r="IYY230" s="1"/>
      <c r="IYZ230" s="1"/>
      <c r="IZA230" s="1"/>
      <c r="IZB230" s="1"/>
      <c r="IZC230" s="1"/>
      <c r="IZD230" s="1"/>
      <c r="IZE230" s="1"/>
      <c r="IZF230" s="1"/>
      <c r="IZG230" s="1"/>
      <c r="IZH230" s="1"/>
      <c r="IZI230" s="1"/>
      <c r="IZJ230" s="1"/>
      <c r="IZK230" s="1"/>
      <c r="IZL230" s="1"/>
      <c r="IZM230" s="1"/>
      <c r="IZN230" s="1"/>
      <c r="IZO230" s="1"/>
      <c r="IZP230" s="1"/>
      <c r="IZQ230" s="1"/>
      <c r="IZR230" s="1"/>
      <c r="IZS230" s="1"/>
      <c r="IZT230" s="1"/>
      <c r="IZU230" s="1"/>
      <c r="IZV230" s="1"/>
      <c r="IZW230" s="1"/>
      <c r="IZX230" s="1"/>
      <c r="IZY230" s="1"/>
      <c r="IZZ230" s="1"/>
      <c r="JAA230" s="1"/>
      <c r="JAB230" s="1"/>
      <c r="JAC230" s="1"/>
      <c r="JAD230" s="1"/>
      <c r="JAE230" s="1"/>
      <c r="JAF230" s="1"/>
      <c r="JAG230" s="1"/>
      <c r="JAH230" s="1"/>
      <c r="JAI230" s="1"/>
      <c r="JAJ230" s="1"/>
      <c r="JAK230" s="1"/>
      <c r="JAL230" s="1"/>
      <c r="JAM230" s="1"/>
      <c r="JAN230" s="1"/>
      <c r="JAO230" s="1"/>
      <c r="JAP230" s="1"/>
      <c r="JAQ230" s="1"/>
      <c r="JAR230" s="1"/>
      <c r="JAS230" s="1"/>
      <c r="JAT230" s="1"/>
      <c r="JAU230" s="1"/>
      <c r="JAV230" s="1"/>
      <c r="JAW230" s="1"/>
      <c r="JAX230" s="1"/>
      <c r="JAY230" s="1"/>
      <c r="JAZ230" s="1"/>
      <c r="JBA230" s="1"/>
      <c r="JBB230" s="1"/>
      <c r="JBC230" s="1"/>
      <c r="JBD230" s="1"/>
      <c r="JBE230" s="1"/>
      <c r="JBF230" s="1"/>
      <c r="JBG230" s="1"/>
      <c r="JBH230" s="1"/>
      <c r="JBI230" s="1"/>
      <c r="JBJ230" s="1"/>
      <c r="JBK230" s="1"/>
      <c r="JBL230" s="1"/>
      <c r="JBM230" s="1"/>
      <c r="JBN230" s="1"/>
      <c r="JBO230" s="1"/>
      <c r="JBP230" s="1"/>
      <c r="JBQ230" s="1"/>
      <c r="JBR230" s="1"/>
      <c r="JBS230" s="1"/>
      <c r="JBT230" s="1"/>
      <c r="JBU230" s="1"/>
      <c r="JBV230" s="1"/>
      <c r="JBW230" s="1"/>
      <c r="JBX230" s="1"/>
      <c r="JBY230" s="1"/>
      <c r="JBZ230" s="1"/>
      <c r="JCA230" s="1"/>
      <c r="JCB230" s="1"/>
      <c r="JCC230" s="1"/>
      <c r="JCD230" s="1"/>
      <c r="JCE230" s="1"/>
      <c r="JCF230" s="1"/>
      <c r="JCG230" s="1"/>
      <c r="JCH230" s="1"/>
      <c r="JCI230" s="1"/>
      <c r="JCJ230" s="1"/>
      <c r="JCK230" s="1"/>
      <c r="JCL230" s="1"/>
      <c r="JCM230" s="1"/>
      <c r="JCN230" s="1"/>
      <c r="JCO230" s="1"/>
      <c r="JCP230" s="1"/>
      <c r="JCQ230" s="1"/>
      <c r="JCR230" s="1"/>
      <c r="JCS230" s="1"/>
      <c r="JCT230" s="1"/>
      <c r="JCU230" s="1"/>
      <c r="JCV230" s="1"/>
      <c r="JCW230" s="1"/>
      <c r="JCX230" s="1"/>
      <c r="JCY230" s="1"/>
      <c r="JCZ230" s="1"/>
      <c r="JDA230" s="1"/>
      <c r="JDB230" s="1"/>
      <c r="JDC230" s="1"/>
      <c r="JDD230" s="1"/>
      <c r="JDE230" s="1"/>
      <c r="JDF230" s="1"/>
      <c r="JDG230" s="1"/>
      <c r="JDH230" s="1"/>
      <c r="JDI230" s="1"/>
      <c r="JDJ230" s="1"/>
      <c r="JDK230" s="1"/>
      <c r="JDL230" s="1"/>
      <c r="JDM230" s="1"/>
      <c r="JDN230" s="1"/>
      <c r="JDO230" s="1"/>
      <c r="JDP230" s="1"/>
      <c r="JDQ230" s="1"/>
      <c r="JDR230" s="1"/>
      <c r="JDS230" s="1"/>
      <c r="JDT230" s="1"/>
      <c r="JDU230" s="1"/>
      <c r="JDV230" s="1"/>
      <c r="JDW230" s="1"/>
      <c r="JDX230" s="1"/>
      <c r="JDY230" s="1"/>
      <c r="JDZ230" s="1"/>
      <c r="JEA230" s="1"/>
      <c r="JEB230" s="1"/>
      <c r="JEC230" s="1"/>
      <c r="JED230" s="1"/>
      <c r="JEE230" s="1"/>
      <c r="JEF230" s="1"/>
      <c r="JEG230" s="1"/>
      <c r="JEH230" s="1"/>
      <c r="JEI230" s="1"/>
      <c r="JEJ230" s="1"/>
      <c r="JEK230" s="1"/>
      <c r="JEL230" s="1"/>
      <c r="JEM230" s="1"/>
      <c r="JEN230" s="1"/>
      <c r="JEO230" s="1"/>
      <c r="JEP230" s="1"/>
      <c r="JEQ230" s="1"/>
      <c r="JER230" s="1"/>
      <c r="JES230" s="1"/>
      <c r="JET230" s="1"/>
      <c r="JEU230" s="1"/>
      <c r="JEV230" s="1"/>
      <c r="JEW230" s="1"/>
      <c r="JEX230" s="1"/>
      <c r="JEY230" s="1"/>
      <c r="JEZ230" s="1"/>
      <c r="JFA230" s="1"/>
      <c r="JFB230" s="1"/>
      <c r="JFC230" s="1"/>
      <c r="JFD230" s="1"/>
      <c r="JFE230" s="1"/>
      <c r="JFF230" s="1"/>
      <c r="JFG230" s="1"/>
      <c r="JFH230" s="1"/>
      <c r="JFI230" s="1"/>
      <c r="JFJ230" s="1"/>
      <c r="JFK230" s="1"/>
      <c r="JFL230" s="1"/>
      <c r="JFM230" s="1"/>
      <c r="JFN230" s="1"/>
      <c r="JFO230" s="1"/>
      <c r="JFP230" s="1"/>
      <c r="JFQ230" s="1"/>
      <c r="JFR230" s="1"/>
      <c r="JFS230" s="1"/>
      <c r="JFT230" s="1"/>
      <c r="JFU230" s="1"/>
      <c r="JFV230" s="1"/>
      <c r="JFW230" s="1"/>
      <c r="JFX230" s="1"/>
      <c r="JFY230" s="1"/>
      <c r="JFZ230" s="1"/>
      <c r="JGA230" s="1"/>
      <c r="JGB230" s="1"/>
      <c r="JGC230" s="1"/>
      <c r="JGD230" s="1"/>
      <c r="JGE230" s="1"/>
      <c r="JGF230" s="1"/>
      <c r="JGG230" s="1"/>
      <c r="JGH230" s="1"/>
      <c r="JGI230" s="1"/>
      <c r="JGJ230" s="1"/>
      <c r="JGK230" s="1"/>
      <c r="JGL230" s="1"/>
      <c r="JGM230" s="1"/>
      <c r="JGN230" s="1"/>
      <c r="JGO230" s="1"/>
      <c r="JGP230" s="1"/>
      <c r="JGQ230" s="1"/>
      <c r="JGR230" s="1"/>
      <c r="JGS230" s="1"/>
      <c r="JGT230" s="1"/>
      <c r="JGU230" s="1"/>
      <c r="JGV230" s="1"/>
      <c r="JGW230" s="1"/>
      <c r="JGX230" s="1"/>
      <c r="JGY230" s="1"/>
      <c r="JGZ230" s="1"/>
      <c r="JHA230" s="1"/>
      <c r="JHB230" s="1"/>
      <c r="JHC230" s="1"/>
      <c r="JHD230" s="1"/>
      <c r="JHE230" s="1"/>
      <c r="JHF230" s="1"/>
      <c r="JHG230" s="1"/>
      <c r="JHH230" s="1"/>
      <c r="JHI230" s="1"/>
      <c r="JHJ230" s="1"/>
      <c r="JHK230" s="1"/>
      <c r="JHL230" s="1"/>
      <c r="JHM230" s="1"/>
      <c r="JHN230" s="1"/>
      <c r="JHO230" s="1"/>
      <c r="JHP230" s="1"/>
      <c r="JHQ230" s="1"/>
      <c r="JHR230" s="1"/>
      <c r="JHS230" s="1"/>
      <c r="JHT230" s="1"/>
      <c r="JHU230" s="1"/>
      <c r="JHV230" s="1"/>
      <c r="JHW230" s="1"/>
      <c r="JHX230" s="1"/>
      <c r="JHY230" s="1"/>
      <c r="JHZ230" s="1"/>
      <c r="JIA230" s="1"/>
      <c r="JIB230" s="1"/>
      <c r="JIC230" s="1"/>
      <c r="JID230" s="1"/>
      <c r="JIE230" s="1"/>
      <c r="JIF230" s="1"/>
      <c r="JIG230" s="1"/>
      <c r="JIH230" s="1"/>
      <c r="JII230" s="1"/>
      <c r="JIJ230" s="1"/>
      <c r="JIK230" s="1"/>
      <c r="JIL230" s="1"/>
      <c r="JIM230" s="1"/>
      <c r="JIN230" s="1"/>
      <c r="JIO230" s="1"/>
      <c r="JIP230" s="1"/>
      <c r="JIQ230" s="1"/>
      <c r="JIR230" s="1"/>
      <c r="JIS230" s="1"/>
      <c r="JIT230" s="1"/>
      <c r="JIU230" s="1"/>
      <c r="JIV230" s="1"/>
      <c r="JIW230" s="1"/>
      <c r="JIX230" s="1"/>
      <c r="JIY230" s="1"/>
      <c r="JIZ230" s="1"/>
      <c r="JJA230" s="1"/>
      <c r="JJB230" s="1"/>
      <c r="JJC230" s="1"/>
      <c r="JJD230" s="1"/>
      <c r="JJE230" s="1"/>
      <c r="JJF230" s="1"/>
      <c r="JJG230" s="1"/>
      <c r="JJH230" s="1"/>
      <c r="JJI230" s="1"/>
      <c r="JJJ230" s="1"/>
      <c r="JJK230" s="1"/>
      <c r="JJL230" s="1"/>
      <c r="JJM230" s="1"/>
      <c r="JJN230" s="1"/>
      <c r="JJO230" s="1"/>
      <c r="JJP230" s="1"/>
      <c r="JJQ230" s="1"/>
      <c r="JJR230" s="1"/>
      <c r="JJS230" s="1"/>
      <c r="JJT230" s="1"/>
      <c r="JJU230" s="1"/>
      <c r="JJV230" s="1"/>
      <c r="JJW230" s="1"/>
      <c r="JJX230" s="1"/>
      <c r="JJY230" s="1"/>
      <c r="JJZ230" s="1"/>
      <c r="JKA230" s="1"/>
      <c r="JKB230" s="1"/>
      <c r="JKC230" s="1"/>
      <c r="JKD230" s="1"/>
      <c r="JKE230" s="1"/>
      <c r="JKF230" s="1"/>
      <c r="JKG230" s="1"/>
      <c r="JKH230" s="1"/>
      <c r="JKI230" s="1"/>
      <c r="JKJ230" s="1"/>
      <c r="JKK230" s="1"/>
      <c r="JKL230" s="1"/>
      <c r="JKM230" s="1"/>
      <c r="JKN230" s="1"/>
      <c r="JKO230" s="1"/>
      <c r="JKP230" s="1"/>
      <c r="JKQ230" s="1"/>
      <c r="JKR230" s="1"/>
      <c r="JKS230" s="1"/>
      <c r="JKT230" s="1"/>
      <c r="JKU230" s="1"/>
      <c r="JKV230" s="1"/>
      <c r="JKW230" s="1"/>
      <c r="JKX230" s="1"/>
      <c r="JKY230" s="1"/>
      <c r="JKZ230" s="1"/>
      <c r="JLA230" s="1"/>
      <c r="JLB230" s="1"/>
      <c r="JLC230" s="1"/>
      <c r="JLD230" s="1"/>
      <c r="JLE230" s="1"/>
      <c r="JLF230" s="1"/>
      <c r="JLG230" s="1"/>
      <c r="JLH230" s="1"/>
      <c r="JLI230" s="1"/>
      <c r="JLJ230" s="1"/>
      <c r="JLK230" s="1"/>
      <c r="JLL230" s="1"/>
      <c r="JLM230" s="1"/>
      <c r="JLN230" s="1"/>
      <c r="JLO230" s="1"/>
      <c r="JLP230" s="1"/>
      <c r="JLQ230" s="1"/>
      <c r="JLR230" s="1"/>
      <c r="JLS230" s="1"/>
      <c r="JLT230" s="1"/>
      <c r="JLU230" s="1"/>
      <c r="JLV230" s="1"/>
      <c r="JLW230" s="1"/>
      <c r="JLX230" s="1"/>
      <c r="JLY230" s="1"/>
      <c r="JLZ230" s="1"/>
      <c r="JMA230" s="1"/>
      <c r="JMB230" s="1"/>
      <c r="JMC230" s="1"/>
      <c r="JMD230" s="1"/>
      <c r="JME230" s="1"/>
      <c r="JMF230" s="1"/>
      <c r="JMG230" s="1"/>
      <c r="JMH230" s="1"/>
      <c r="JMI230" s="1"/>
      <c r="JMJ230" s="1"/>
      <c r="JMK230" s="1"/>
      <c r="JML230" s="1"/>
      <c r="JMM230" s="1"/>
      <c r="JMN230" s="1"/>
      <c r="JMO230" s="1"/>
      <c r="JMP230" s="1"/>
      <c r="JMQ230" s="1"/>
      <c r="JMR230" s="1"/>
      <c r="JMS230" s="1"/>
      <c r="JMT230" s="1"/>
      <c r="JMU230" s="1"/>
      <c r="JMV230" s="1"/>
      <c r="JMW230" s="1"/>
      <c r="JMX230" s="1"/>
      <c r="JMY230" s="1"/>
      <c r="JMZ230" s="1"/>
      <c r="JNA230" s="1"/>
      <c r="JNB230" s="1"/>
      <c r="JNC230" s="1"/>
      <c r="JND230" s="1"/>
      <c r="JNE230" s="1"/>
      <c r="JNF230" s="1"/>
      <c r="JNG230" s="1"/>
      <c r="JNH230" s="1"/>
      <c r="JNI230" s="1"/>
      <c r="JNJ230" s="1"/>
      <c r="JNK230" s="1"/>
      <c r="JNL230" s="1"/>
      <c r="JNM230" s="1"/>
      <c r="JNN230" s="1"/>
      <c r="JNO230" s="1"/>
      <c r="JNP230" s="1"/>
      <c r="JNQ230" s="1"/>
      <c r="JNR230" s="1"/>
      <c r="JNS230" s="1"/>
      <c r="JNT230" s="1"/>
      <c r="JNU230" s="1"/>
      <c r="JNV230" s="1"/>
      <c r="JNW230" s="1"/>
      <c r="JNX230" s="1"/>
      <c r="JNY230" s="1"/>
      <c r="JNZ230" s="1"/>
      <c r="JOA230" s="1"/>
      <c r="JOB230" s="1"/>
      <c r="JOC230" s="1"/>
      <c r="JOD230" s="1"/>
      <c r="JOE230" s="1"/>
      <c r="JOF230" s="1"/>
      <c r="JOG230" s="1"/>
      <c r="JOH230" s="1"/>
      <c r="JOI230" s="1"/>
      <c r="JOJ230" s="1"/>
      <c r="JOK230" s="1"/>
      <c r="JOL230" s="1"/>
      <c r="JOM230" s="1"/>
      <c r="JON230" s="1"/>
      <c r="JOO230" s="1"/>
      <c r="JOP230" s="1"/>
      <c r="JOQ230" s="1"/>
      <c r="JOR230" s="1"/>
      <c r="JOS230" s="1"/>
      <c r="JOT230" s="1"/>
      <c r="JOU230" s="1"/>
      <c r="JOV230" s="1"/>
      <c r="JOW230" s="1"/>
      <c r="JOX230" s="1"/>
      <c r="JOY230" s="1"/>
      <c r="JOZ230" s="1"/>
      <c r="JPA230" s="1"/>
      <c r="JPB230" s="1"/>
      <c r="JPC230" s="1"/>
      <c r="JPD230" s="1"/>
      <c r="JPE230" s="1"/>
      <c r="JPF230" s="1"/>
      <c r="JPG230" s="1"/>
      <c r="JPH230" s="1"/>
      <c r="JPI230" s="1"/>
      <c r="JPJ230" s="1"/>
      <c r="JPK230" s="1"/>
      <c r="JPL230" s="1"/>
      <c r="JPM230" s="1"/>
      <c r="JPN230" s="1"/>
      <c r="JPO230" s="1"/>
      <c r="JPP230" s="1"/>
      <c r="JPQ230" s="1"/>
      <c r="JPR230" s="1"/>
      <c r="JPS230" s="1"/>
      <c r="JPT230" s="1"/>
      <c r="JPU230" s="1"/>
      <c r="JPV230" s="1"/>
      <c r="JPW230" s="1"/>
      <c r="JPX230" s="1"/>
      <c r="JPY230" s="1"/>
      <c r="JPZ230" s="1"/>
      <c r="JQA230" s="1"/>
      <c r="JQB230" s="1"/>
      <c r="JQC230" s="1"/>
      <c r="JQD230" s="1"/>
      <c r="JQE230" s="1"/>
      <c r="JQF230" s="1"/>
      <c r="JQG230" s="1"/>
      <c r="JQH230" s="1"/>
      <c r="JQI230" s="1"/>
      <c r="JQJ230" s="1"/>
      <c r="JQK230" s="1"/>
      <c r="JQL230" s="1"/>
      <c r="JQM230" s="1"/>
      <c r="JQN230" s="1"/>
      <c r="JQO230" s="1"/>
      <c r="JQP230" s="1"/>
      <c r="JQQ230" s="1"/>
      <c r="JQR230" s="1"/>
      <c r="JQS230" s="1"/>
      <c r="JQT230" s="1"/>
      <c r="JQU230" s="1"/>
      <c r="JQV230" s="1"/>
      <c r="JQW230" s="1"/>
      <c r="JQX230" s="1"/>
      <c r="JQY230" s="1"/>
      <c r="JQZ230" s="1"/>
      <c r="JRA230" s="1"/>
      <c r="JRB230" s="1"/>
      <c r="JRC230" s="1"/>
      <c r="JRD230" s="1"/>
      <c r="JRE230" s="1"/>
      <c r="JRF230" s="1"/>
      <c r="JRG230" s="1"/>
      <c r="JRH230" s="1"/>
      <c r="JRI230" s="1"/>
      <c r="JRJ230" s="1"/>
      <c r="JRK230" s="1"/>
      <c r="JRL230" s="1"/>
      <c r="JRM230" s="1"/>
      <c r="JRN230" s="1"/>
      <c r="JRO230" s="1"/>
      <c r="JRP230" s="1"/>
      <c r="JRQ230" s="1"/>
      <c r="JRR230" s="1"/>
      <c r="JRS230" s="1"/>
      <c r="JRT230" s="1"/>
      <c r="JRU230" s="1"/>
      <c r="JRV230" s="1"/>
      <c r="JRW230" s="1"/>
      <c r="JRX230" s="1"/>
      <c r="JRY230" s="1"/>
      <c r="JRZ230" s="1"/>
      <c r="JSA230" s="1"/>
      <c r="JSB230" s="1"/>
      <c r="JSC230" s="1"/>
      <c r="JSD230" s="1"/>
      <c r="JSE230" s="1"/>
      <c r="JSF230" s="1"/>
      <c r="JSG230" s="1"/>
      <c r="JSH230" s="1"/>
      <c r="JSI230" s="1"/>
      <c r="JSJ230" s="1"/>
      <c r="JSK230" s="1"/>
      <c r="JSL230" s="1"/>
      <c r="JSM230" s="1"/>
      <c r="JSN230" s="1"/>
      <c r="JSO230" s="1"/>
      <c r="JSP230" s="1"/>
      <c r="JSQ230" s="1"/>
      <c r="JSR230" s="1"/>
      <c r="JSS230" s="1"/>
      <c r="JST230" s="1"/>
      <c r="JSU230" s="1"/>
      <c r="JSV230" s="1"/>
      <c r="JSW230" s="1"/>
      <c r="JSX230" s="1"/>
      <c r="JSY230" s="1"/>
      <c r="JSZ230" s="1"/>
      <c r="JTA230" s="1"/>
      <c r="JTB230" s="1"/>
      <c r="JTC230" s="1"/>
      <c r="JTD230" s="1"/>
      <c r="JTE230" s="1"/>
      <c r="JTF230" s="1"/>
      <c r="JTG230" s="1"/>
      <c r="JTH230" s="1"/>
      <c r="JTI230" s="1"/>
      <c r="JTJ230" s="1"/>
      <c r="JTK230" s="1"/>
      <c r="JTL230" s="1"/>
      <c r="JTM230" s="1"/>
      <c r="JTN230" s="1"/>
      <c r="JTO230" s="1"/>
      <c r="JTP230" s="1"/>
      <c r="JTQ230" s="1"/>
      <c r="JTR230" s="1"/>
      <c r="JTS230" s="1"/>
      <c r="JTT230" s="1"/>
      <c r="JTU230" s="1"/>
      <c r="JTV230" s="1"/>
      <c r="JTW230" s="1"/>
      <c r="JTX230" s="1"/>
      <c r="JTY230" s="1"/>
      <c r="JTZ230" s="1"/>
      <c r="JUA230" s="1"/>
      <c r="JUB230" s="1"/>
      <c r="JUC230" s="1"/>
      <c r="JUD230" s="1"/>
      <c r="JUE230" s="1"/>
      <c r="JUF230" s="1"/>
      <c r="JUG230" s="1"/>
      <c r="JUH230" s="1"/>
      <c r="JUI230" s="1"/>
      <c r="JUJ230" s="1"/>
      <c r="JUK230" s="1"/>
      <c r="JUL230" s="1"/>
      <c r="JUM230" s="1"/>
      <c r="JUN230" s="1"/>
      <c r="JUO230" s="1"/>
      <c r="JUP230" s="1"/>
      <c r="JUQ230" s="1"/>
      <c r="JUR230" s="1"/>
      <c r="JUS230" s="1"/>
      <c r="JUT230" s="1"/>
      <c r="JUU230" s="1"/>
      <c r="JUV230" s="1"/>
      <c r="JUW230" s="1"/>
      <c r="JUX230" s="1"/>
      <c r="JUY230" s="1"/>
      <c r="JUZ230" s="1"/>
      <c r="JVA230" s="1"/>
      <c r="JVB230" s="1"/>
      <c r="JVC230" s="1"/>
      <c r="JVD230" s="1"/>
      <c r="JVE230" s="1"/>
      <c r="JVF230" s="1"/>
      <c r="JVG230" s="1"/>
      <c r="JVH230" s="1"/>
      <c r="JVI230" s="1"/>
      <c r="JVJ230" s="1"/>
      <c r="JVK230" s="1"/>
      <c r="JVL230" s="1"/>
      <c r="JVM230" s="1"/>
      <c r="JVN230" s="1"/>
      <c r="JVO230" s="1"/>
      <c r="JVP230" s="1"/>
      <c r="JVQ230" s="1"/>
      <c r="JVR230" s="1"/>
      <c r="JVS230" s="1"/>
      <c r="JVT230" s="1"/>
      <c r="JVU230" s="1"/>
      <c r="JVV230" s="1"/>
      <c r="JVW230" s="1"/>
      <c r="JVX230" s="1"/>
      <c r="JVY230" s="1"/>
      <c r="JVZ230" s="1"/>
      <c r="JWA230" s="1"/>
      <c r="JWB230" s="1"/>
      <c r="JWC230" s="1"/>
      <c r="JWD230" s="1"/>
      <c r="JWE230" s="1"/>
      <c r="JWF230" s="1"/>
      <c r="JWG230" s="1"/>
      <c r="JWH230" s="1"/>
      <c r="JWI230" s="1"/>
      <c r="JWJ230" s="1"/>
      <c r="JWK230" s="1"/>
      <c r="JWL230" s="1"/>
      <c r="JWM230" s="1"/>
      <c r="JWN230" s="1"/>
      <c r="JWO230" s="1"/>
      <c r="JWP230" s="1"/>
      <c r="JWQ230" s="1"/>
      <c r="JWR230" s="1"/>
      <c r="JWS230" s="1"/>
      <c r="JWT230" s="1"/>
      <c r="JWU230" s="1"/>
      <c r="JWV230" s="1"/>
      <c r="JWW230" s="1"/>
      <c r="JWX230" s="1"/>
      <c r="JWY230" s="1"/>
      <c r="JWZ230" s="1"/>
      <c r="JXA230" s="1"/>
      <c r="JXB230" s="1"/>
      <c r="JXC230" s="1"/>
      <c r="JXD230" s="1"/>
      <c r="JXE230" s="1"/>
      <c r="JXF230" s="1"/>
      <c r="JXG230" s="1"/>
      <c r="JXH230" s="1"/>
      <c r="JXI230" s="1"/>
      <c r="JXJ230" s="1"/>
      <c r="JXK230" s="1"/>
      <c r="JXL230" s="1"/>
      <c r="JXM230" s="1"/>
      <c r="JXN230" s="1"/>
      <c r="JXO230" s="1"/>
      <c r="JXP230" s="1"/>
      <c r="JXQ230" s="1"/>
      <c r="JXR230" s="1"/>
      <c r="JXS230" s="1"/>
      <c r="JXT230" s="1"/>
      <c r="JXU230" s="1"/>
      <c r="JXV230" s="1"/>
      <c r="JXW230" s="1"/>
      <c r="JXX230" s="1"/>
      <c r="JXY230" s="1"/>
      <c r="JXZ230" s="1"/>
      <c r="JYA230" s="1"/>
      <c r="JYB230" s="1"/>
      <c r="JYC230" s="1"/>
      <c r="JYD230" s="1"/>
      <c r="JYE230" s="1"/>
      <c r="JYF230" s="1"/>
      <c r="JYG230" s="1"/>
      <c r="JYH230" s="1"/>
      <c r="JYI230" s="1"/>
      <c r="JYJ230" s="1"/>
      <c r="JYK230" s="1"/>
      <c r="JYL230" s="1"/>
      <c r="JYM230" s="1"/>
      <c r="JYN230" s="1"/>
      <c r="JYO230" s="1"/>
      <c r="JYP230" s="1"/>
      <c r="JYQ230" s="1"/>
      <c r="JYR230" s="1"/>
      <c r="JYS230" s="1"/>
      <c r="JYT230" s="1"/>
      <c r="JYU230" s="1"/>
      <c r="JYV230" s="1"/>
      <c r="JYW230" s="1"/>
      <c r="JYX230" s="1"/>
      <c r="JYY230" s="1"/>
      <c r="JYZ230" s="1"/>
      <c r="JZA230" s="1"/>
      <c r="JZB230" s="1"/>
      <c r="JZC230" s="1"/>
      <c r="JZD230" s="1"/>
      <c r="JZE230" s="1"/>
      <c r="JZF230" s="1"/>
      <c r="JZG230" s="1"/>
      <c r="JZH230" s="1"/>
      <c r="JZI230" s="1"/>
      <c r="JZJ230" s="1"/>
      <c r="JZK230" s="1"/>
      <c r="JZL230" s="1"/>
      <c r="JZM230" s="1"/>
      <c r="JZN230" s="1"/>
      <c r="JZO230" s="1"/>
      <c r="JZP230" s="1"/>
      <c r="JZQ230" s="1"/>
      <c r="JZR230" s="1"/>
      <c r="JZS230" s="1"/>
      <c r="JZT230" s="1"/>
      <c r="JZU230" s="1"/>
      <c r="JZV230" s="1"/>
      <c r="JZW230" s="1"/>
      <c r="JZX230" s="1"/>
      <c r="JZY230" s="1"/>
      <c r="JZZ230" s="1"/>
      <c r="KAA230" s="1"/>
      <c r="KAB230" s="1"/>
      <c r="KAC230" s="1"/>
      <c r="KAD230" s="1"/>
      <c r="KAE230" s="1"/>
      <c r="KAF230" s="1"/>
      <c r="KAG230" s="1"/>
      <c r="KAH230" s="1"/>
      <c r="KAI230" s="1"/>
      <c r="KAJ230" s="1"/>
      <c r="KAK230" s="1"/>
      <c r="KAL230" s="1"/>
      <c r="KAM230" s="1"/>
      <c r="KAN230" s="1"/>
      <c r="KAO230" s="1"/>
      <c r="KAP230" s="1"/>
      <c r="KAQ230" s="1"/>
      <c r="KAR230" s="1"/>
      <c r="KAS230" s="1"/>
      <c r="KAT230" s="1"/>
      <c r="KAU230" s="1"/>
      <c r="KAV230" s="1"/>
      <c r="KAW230" s="1"/>
      <c r="KAX230" s="1"/>
      <c r="KAY230" s="1"/>
      <c r="KAZ230" s="1"/>
      <c r="KBA230" s="1"/>
      <c r="KBB230" s="1"/>
      <c r="KBC230" s="1"/>
      <c r="KBD230" s="1"/>
      <c r="KBE230" s="1"/>
      <c r="KBF230" s="1"/>
      <c r="KBG230" s="1"/>
      <c r="KBH230" s="1"/>
      <c r="KBI230" s="1"/>
      <c r="KBJ230" s="1"/>
      <c r="KBK230" s="1"/>
      <c r="KBL230" s="1"/>
      <c r="KBM230" s="1"/>
      <c r="KBN230" s="1"/>
      <c r="KBO230" s="1"/>
      <c r="KBP230" s="1"/>
      <c r="KBQ230" s="1"/>
      <c r="KBR230" s="1"/>
      <c r="KBS230" s="1"/>
      <c r="KBT230" s="1"/>
      <c r="KBU230" s="1"/>
      <c r="KBV230" s="1"/>
      <c r="KBW230" s="1"/>
      <c r="KBX230" s="1"/>
      <c r="KBY230" s="1"/>
      <c r="KBZ230" s="1"/>
      <c r="KCA230" s="1"/>
      <c r="KCB230" s="1"/>
      <c r="KCC230" s="1"/>
      <c r="KCD230" s="1"/>
      <c r="KCE230" s="1"/>
      <c r="KCF230" s="1"/>
      <c r="KCG230" s="1"/>
      <c r="KCH230" s="1"/>
      <c r="KCI230" s="1"/>
      <c r="KCJ230" s="1"/>
      <c r="KCK230" s="1"/>
      <c r="KCL230" s="1"/>
      <c r="KCM230" s="1"/>
      <c r="KCN230" s="1"/>
      <c r="KCO230" s="1"/>
      <c r="KCP230" s="1"/>
      <c r="KCQ230" s="1"/>
      <c r="KCR230" s="1"/>
      <c r="KCS230" s="1"/>
      <c r="KCT230" s="1"/>
      <c r="KCU230" s="1"/>
      <c r="KCV230" s="1"/>
      <c r="KCW230" s="1"/>
      <c r="KCX230" s="1"/>
      <c r="KCY230" s="1"/>
      <c r="KCZ230" s="1"/>
      <c r="KDA230" s="1"/>
      <c r="KDB230" s="1"/>
      <c r="KDC230" s="1"/>
      <c r="KDD230" s="1"/>
      <c r="KDE230" s="1"/>
      <c r="KDF230" s="1"/>
      <c r="KDG230" s="1"/>
      <c r="KDH230" s="1"/>
      <c r="KDI230" s="1"/>
      <c r="KDJ230" s="1"/>
      <c r="KDK230" s="1"/>
      <c r="KDL230" s="1"/>
      <c r="KDM230" s="1"/>
      <c r="KDN230" s="1"/>
      <c r="KDO230" s="1"/>
      <c r="KDP230" s="1"/>
      <c r="KDQ230" s="1"/>
      <c r="KDR230" s="1"/>
      <c r="KDS230" s="1"/>
      <c r="KDT230" s="1"/>
      <c r="KDU230" s="1"/>
      <c r="KDV230" s="1"/>
      <c r="KDW230" s="1"/>
      <c r="KDX230" s="1"/>
      <c r="KDY230" s="1"/>
      <c r="KDZ230" s="1"/>
      <c r="KEA230" s="1"/>
      <c r="KEB230" s="1"/>
      <c r="KEC230" s="1"/>
      <c r="KED230" s="1"/>
      <c r="KEE230" s="1"/>
      <c r="KEF230" s="1"/>
      <c r="KEG230" s="1"/>
      <c r="KEH230" s="1"/>
      <c r="KEI230" s="1"/>
      <c r="KEJ230" s="1"/>
      <c r="KEK230" s="1"/>
      <c r="KEL230" s="1"/>
      <c r="KEM230" s="1"/>
      <c r="KEN230" s="1"/>
      <c r="KEO230" s="1"/>
      <c r="KEP230" s="1"/>
      <c r="KEQ230" s="1"/>
      <c r="KER230" s="1"/>
      <c r="KES230" s="1"/>
      <c r="KET230" s="1"/>
      <c r="KEU230" s="1"/>
      <c r="KEV230" s="1"/>
      <c r="KEW230" s="1"/>
      <c r="KEX230" s="1"/>
      <c r="KEY230" s="1"/>
      <c r="KEZ230" s="1"/>
      <c r="KFA230" s="1"/>
      <c r="KFB230" s="1"/>
      <c r="KFC230" s="1"/>
      <c r="KFD230" s="1"/>
      <c r="KFE230" s="1"/>
      <c r="KFF230" s="1"/>
      <c r="KFG230" s="1"/>
      <c r="KFH230" s="1"/>
      <c r="KFI230" s="1"/>
      <c r="KFJ230" s="1"/>
      <c r="KFK230" s="1"/>
      <c r="KFL230" s="1"/>
      <c r="KFM230" s="1"/>
      <c r="KFN230" s="1"/>
      <c r="KFO230" s="1"/>
      <c r="KFP230" s="1"/>
      <c r="KFQ230" s="1"/>
      <c r="KFR230" s="1"/>
      <c r="KFS230" s="1"/>
      <c r="KFT230" s="1"/>
      <c r="KFU230" s="1"/>
      <c r="KFV230" s="1"/>
      <c r="KFW230" s="1"/>
      <c r="KFX230" s="1"/>
      <c r="KFY230" s="1"/>
      <c r="KFZ230" s="1"/>
      <c r="KGA230" s="1"/>
      <c r="KGB230" s="1"/>
      <c r="KGC230" s="1"/>
      <c r="KGD230" s="1"/>
      <c r="KGE230" s="1"/>
      <c r="KGF230" s="1"/>
      <c r="KGG230" s="1"/>
      <c r="KGH230" s="1"/>
      <c r="KGI230" s="1"/>
      <c r="KGJ230" s="1"/>
      <c r="KGK230" s="1"/>
      <c r="KGL230" s="1"/>
      <c r="KGM230" s="1"/>
      <c r="KGN230" s="1"/>
      <c r="KGO230" s="1"/>
      <c r="KGP230" s="1"/>
      <c r="KGQ230" s="1"/>
      <c r="KGR230" s="1"/>
      <c r="KGS230" s="1"/>
      <c r="KGT230" s="1"/>
      <c r="KGU230" s="1"/>
      <c r="KGV230" s="1"/>
      <c r="KGW230" s="1"/>
      <c r="KGX230" s="1"/>
      <c r="KGY230" s="1"/>
      <c r="KGZ230" s="1"/>
      <c r="KHA230" s="1"/>
      <c r="KHB230" s="1"/>
      <c r="KHC230" s="1"/>
      <c r="KHD230" s="1"/>
      <c r="KHE230" s="1"/>
      <c r="KHF230" s="1"/>
      <c r="KHG230" s="1"/>
      <c r="KHH230" s="1"/>
      <c r="KHI230" s="1"/>
      <c r="KHJ230" s="1"/>
      <c r="KHK230" s="1"/>
      <c r="KHL230" s="1"/>
      <c r="KHM230" s="1"/>
      <c r="KHN230" s="1"/>
      <c r="KHO230" s="1"/>
      <c r="KHP230" s="1"/>
      <c r="KHQ230" s="1"/>
      <c r="KHR230" s="1"/>
      <c r="KHS230" s="1"/>
      <c r="KHT230" s="1"/>
      <c r="KHU230" s="1"/>
      <c r="KHV230" s="1"/>
      <c r="KHW230" s="1"/>
      <c r="KHX230" s="1"/>
      <c r="KHY230" s="1"/>
      <c r="KHZ230" s="1"/>
      <c r="KIA230" s="1"/>
      <c r="KIB230" s="1"/>
      <c r="KIC230" s="1"/>
      <c r="KID230" s="1"/>
      <c r="KIE230" s="1"/>
      <c r="KIF230" s="1"/>
      <c r="KIG230" s="1"/>
      <c r="KIH230" s="1"/>
      <c r="KII230" s="1"/>
      <c r="KIJ230" s="1"/>
      <c r="KIK230" s="1"/>
      <c r="KIL230" s="1"/>
      <c r="KIM230" s="1"/>
      <c r="KIN230" s="1"/>
      <c r="KIO230" s="1"/>
      <c r="KIP230" s="1"/>
      <c r="KIQ230" s="1"/>
      <c r="KIR230" s="1"/>
      <c r="KIS230" s="1"/>
      <c r="KIT230" s="1"/>
      <c r="KIU230" s="1"/>
      <c r="KIV230" s="1"/>
      <c r="KIW230" s="1"/>
      <c r="KIX230" s="1"/>
      <c r="KIY230" s="1"/>
      <c r="KIZ230" s="1"/>
      <c r="KJA230" s="1"/>
      <c r="KJB230" s="1"/>
      <c r="KJC230" s="1"/>
      <c r="KJD230" s="1"/>
      <c r="KJE230" s="1"/>
      <c r="KJF230" s="1"/>
      <c r="KJG230" s="1"/>
      <c r="KJH230" s="1"/>
      <c r="KJI230" s="1"/>
      <c r="KJJ230" s="1"/>
      <c r="KJK230" s="1"/>
      <c r="KJL230" s="1"/>
      <c r="KJM230" s="1"/>
      <c r="KJN230" s="1"/>
      <c r="KJO230" s="1"/>
      <c r="KJP230" s="1"/>
      <c r="KJQ230" s="1"/>
      <c r="KJR230" s="1"/>
      <c r="KJS230" s="1"/>
      <c r="KJT230" s="1"/>
      <c r="KJU230" s="1"/>
      <c r="KJV230" s="1"/>
      <c r="KJW230" s="1"/>
      <c r="KJX230" s="1"/>
      <c r="KJY230" s="1"/>
      <c r="KJZ230" s="1"/>
      <c r="KKA230" s="1"/>
      <c r="KKB230" s="1"/>
      <c r="KKC230" s="1"/>
      <c r="KKD230" s="1"/>
      <c r="KKE230" s="1"/>
      <c r="KKF230" s="1"/>
      <c r="KKG230" s="1"/>
      <c r="KKH230" s="1"/>
      <c r="KKI230" s="1"/>
      <c r="KKJ230" s="1"/>
      <c r="KKK230" s="1"/>
      <c r="KKL230" s="1"/>
      <c r="KKM230" s="1"/>
      <c r="KKN230" s="1"/>
      <c r="KKO230" s="1"/>
      <c r="KKP230" s="1"/>
      <c r="KKQ230" s="1"/>
      <c r="KKR230" s="1"/>
      <c r="KKS230" s="1"/>
      <c r="KKT230" s="1"/>
      <c r="KKU230" s="1"/>
      <c r="KKV230" s="1"/>
      <c r="KKW230" s="1"/>
      <c r="KKX230" s="1"/>
      <c r="KKY230" s="1"/>
      <c r="KKZ230" s="1"/>
      <c r="KLA230" s="1"/>
      <c r="KLB230" s="1"/>
      <c r="KLC230" s="1"/>
      <c r="KLD230" s="1"/>
      <c r="KLE230" s="1"/>
      <c r="KLF230" s="1"/>
      <c r="KLG230" s="1"/>
      <c r="KLH230" s="1"/>
      <c r="KLI230" s="1"/>
      <c r="KLJ230" s="1"/>
      <c r="KLK230" s="1"/>
      <c r="KLL230" s="1"/>
      <c r="KLM230" s="1"/>
      <c r="KLN230" s="1"/>
      <c r="KLO230" s="1"/>
      <c r="KLP230" s="1"/>
      <c r="KLQ230" s="1"/>
      <c r="KLR230" s="1"/>
      <c r="KLS230" s="1"/>
      <c r="KLT230" s="1"/>
      <c r="KLU230" s="1"/>
      <c r="KLV230" s="1"/>
      <c r="KLW230" s="1"/>
      <c r="KLX230" s="1"/>
      <c r="KLY230" s="1"/>
      <c r="KLZ230" s="1"/>
      <c r="KMA230" s="1"/>
      <c r="KMB230" s="1"/>
      <c r="KMC230" s="1"/>
      <c r="KMD230" s="1"/>
      <c r="KME230" s="1"/>
      <c r="KMF230" s="1"/>
      <c r="KMG230" s="1"/>
      <c r="KMH230" s="1"/>
      <c r="KMI230" s="1"/>
      <c r="KMJ230" s="1"/>
      <c r="KMK230" s="1"/>
      <c r="KML230" s="1"/>
      <c r="KMM230" s="1"/>
      <c r="KMN230" s="1"/>
      <c r="KMO230" s="1"/>
      <c r="KMP230" s="1"/>
      <c r="KMQ230" s="1"/>
      <c r="KMR230" s="1"/>
      <c r="KMS230" s="1"/>
      <c r="KMT230" s="1"/>
      <c r="KMU230" s="1"/>
      <c r="KMV230" s="1"/>
      <c r="KMW230" s="1"/>
      <c r="KMX230" s="1"/>
      <c r="KMY230" s="1"/>
      <c r="KMZ230" s="1"/>
      <c r="KNA230" s="1"/>
      <c r="KNB230" s="1"/>
      <c r="KNC230" s="1"/>
      <c r="KND230" s="1"/>
      <c r="KNE230" s="1"/>
      <c r="KNF230" s="1"/>
      <c r="KNG230" s="1"/>
      <c r="KNH230" s="1"/>
      <c r="KNI230" s="1"/>
      <c r="KNJ230" s="1"/>
      <c r="KNK230" s="1"/>
      <c r="KNL230" s="1"/>
      <c r="KNM230" s="1"/>
      <c r="KNN230" s="1"/>
      <c r="KNO230" s="1"/>
      <c r="KNP230" s="1"/>
      <c r="KNQ230" s="1"/>
      <c r="KNR230" s="1"/>
      <c r="KNS230" s="1"/>
      <c r="KNT230" s="1"/>
      <c r="KNU230" s="1"/>
      <c r="KNV230" s="1"/>
      <c r="KNW230" s="1"/>
      <c r="KNX230" s="1"/>
      <c r="KNY230" s="1"/>
      <c r="KNZ230" s="1"/>
      <c r="KOA230" s="1"/>
      <c r="KOB230" s="1"/>
      <c r="KOC230" s="1"/>
      <c r="KOD230" s="1"/>
      <c r="KOE230" s="1"/>
      <c r="KOF230" s="1"/>
      <c r="KOG230" s="1"/>
      <c r="KOH230" s="1"/>
      <c r="KOI230" s="1"/>
      <c r="KOJ230" s="1"/>
      <c r="KOK230" s="1"/>
      <c r="KOL230" s="1"/>
      <c r="KOM230" s="1"/>
      <c r="KON230" s="1"/>
      <c r="KOO230" s="1"/>
      <c r="KOP230" s="1"/>
      <c r="KOQ230" s="1"/>
      <c r="KOR230" s="1"/>
      <c r="KOS230" s="1"/>
      <c r="KOT230" s="1"/>
      <c r="KOU230" s="1"/>
      <c r="KOV230" s="1"/>
      <c r="KOW230" s="1"/>
      <c r="KOX230" s="1"/>
      <c r="KOY230" s="1"/>
      <c r="KOZ230" s="1"/>
      <c r="KPA230" s="1"/>
      <c r="KPB230" s="1"/>
      <c r="KPC230" s="1"/>
      <c r="KPD230" s="1"/>
      <c r="KPE230" s="1"/>
      <c r="KPF230" s="1"/>
      <c r="KPG230" s="1"/>
      <c r="KPH230" s="1"/>
      <c r="KPI230" s="1"/>
      <c r="KPJ230" s="1"/>
      <c r="KPK230" s="1"/>
      <c r="KPL230" s="1"/>
      <c r="KPM230" s="1"/>
      <c r="KPN230" s="1"/>
      <c r="KPO230" s="1"/>
      <c r="KPP230" s="1"/>
      <c r="KPQ230" s="1"/>
      <c r="KPR230" s="1"/>
      <c r="KPS230" s="1"/>
      <c r="KPT230" s="1"/>
      <c r="KPU230" s="1"/>
      <c r="KPV230" s="1"/>
      <c r="KPW230" s="1"/>
      <c r="KPX230" s="1"/>
      <c r="KPY230" s="1"/>
      <c r="KPZ230" s="1"/>
      <c r="KQA230" s="1"/>
      <c r="KQB230" s="1"/>
      <c r="KQC230" s="1"/>
      <c r="KQD230" s="1"/>
      <c r="KQE230" s="1"/>
      <c r="KQF230" s="1"/>
      <c r="KQG230" s="1"/>
      <c r="KQH230" s="1"/>
      <c r="KQI230" s="1"/>
      <c r="KQJ230" s="1"/>
      <c r="KQK230" s="1"/>
      <c r="KQL230" s="1"/>
      <c r="KQM230" s="1"/>
      <c r="KQN230" s="1"/>
      <c r="KQO230" s="1"/>
      <c r="KQP230" s="1"/>
      <c r="KQQ230" s="1"/>
      <c r="KQR230" s="1"/>
      <c r="KQS230" s="1"/>
      <c r="KQT230" s="1"/>
      <c r="KQU230" s="1"/>
      <c r="KQV230" s="1"/>
      <c r="KQW230" s="1"/>
      <c r="KQX230" s="1"/>
      <c r="KQY230" s="1"/>
      <c r="KQZ230" s="1"/>
      <c r="KRA230" s="1"/>
      <c r="KRB230" s="1"/>
      <c r="KRC230" s="1"/>
      <c r="KRD230" s="1"/>
      <c r="KRE230" s="1"/>
      <c r="KRF230" s="1"/>
      <c r="KRG230" s="1"/>
      <c r="KRH230" s="1"/>
      <c r="KRI230" s="1"/>
      <c r="KRJ230" s="1"/>
      <c r="KRK230" s="1"/>
      <c r="KRL230" s="1"/>
      <c r="KRM230" s="1"/>
      <c r="KRN230" s="1"/>
      <c r="KRO230" s="1"/>
      <c r="KRP230" s="1"/>
      <c r="KRQ230" s="1"/>
      <c r="KRR230" s="1"/>
      <c r="KRS230" s="1"/>
      <c r="KRT230" s="1"/>
      <c r="KRU230" s="1"/>
      <c r="KRV230" s="1"/>
      <c r="KRW230" s="1"/>
      <c r="KRX230" s="1"/>
      <c r="KRY230" s="1"/>
      <c r="KRZ230" s="1"/>
      <c r="KSA230" s="1"/>
      <c r="KSB230" s="1"/>
      <c r="KSC230" s="1"/>
      <c r="KSD230" s="1"/>
      <c r="KSE230" s="1"/>
      <c r="KSF230" s="1"/>
      <c r="KSG230" s="1"/>
      <c r="KSH230" s="1"/>
      <c r="KSI230" s="1"/>
      <c r="KSJ230" s="1"/>
      <c r="KSK230" s="1"/>
      <c r="KSL230" s="1"/>
      <c r="KSM230" s="1"/>
      <c r="KSN230" s="1"/>
      <c r="KSO230" s="1"/>
      <c r="KSP230" s="1"/>
      <c r="KSQ230" s="1"/>
      <c r="KSR230" s="1"/>
      <c r="KSS230" s="1"/>
      <c r="KST230" s="1"/>
      <c r="KSU230" s="1"/>
      <c r="KSV230" s="1"/>
      <c r="KSW230" s="1"/>
      <c r="KSX230" s="1"/>
      <c r="KSY230" s="1"/>
      <c r="KSZ230" s="1"/>
      <c r="KTA230" s="1"/>
      <c r="KTB230" s="1"/>
      <c r="KTC230" s="1"/>
      <c r="KTD230" s="1"/>
      <c r="KTE230" s="1"/>
      <c r="KTF230" s="1"/>
      <c r="KTG230" s="1"/>
      <c r="KTH230" s="1"/>
      <c r="KTI230" s="1"/>
      <c r="KTJ230" s="1"/>
      <c r="KTK230" s="1"/>
      <c r="KTL230" s="1"/>
      <c r="KTM230" s="1"/>
      <c r="KTN230" s="1"/>
      <c r="KTO230" s="1"/>
      <c r="KTP230" s="1"/>
      <c r="KTQ230" s="1"/>
      <c r="KTR230" s="1"/>
      <c r="KTS230" s="1"/>
      <c r="KTT230" s="1"/>
      <c r="KTU230" s="1"/>
      <c r="KTV230" s="1"/>
      <c r="KTW230" s="1"/>
      <c r="KTX230" s="1"/>
      <c r="KTY230" s="1"/>
      <c r="KTZ230" s="1"/>
      <c r="KUA230" s="1"/>
      <c r="KUB230" s="1"/>
      <c r="KUC230" s="1"/>
      <c r="KUD230" s="1"/>
      <c r="KUE230" s="1"/>
      <c r="KUF230" s="1"/>
      <c r="KUG230" s="1"/>
      <c r="KUH230" s="1"/>
      <c r="KUI230" s="1"/>
      <c r="KUJ230" s="1"/>
      <c r="KUK230" s="1"/>
      <c r="KUL230" s="1"/>
      <c r="KUM230" s="1"/>
      <c r="KUN230" s="1"/>
      <c r="KUO230" s="1"/>
      <c r="KUP230" s="1"/>
      <c r="KUQ230" s="1"/>
      <c r="KUR230" s="1"/>
      <c r="KUS230" s="1"/>
      <c r="KUT230" s="1"/>
      <c r="KUU230" s="1"/>
      <c r="KUV230" s="1"/>
      <c r="KUW230" s="1"/>
      <c r="KUX230" s="1"/>
      <c r="KUY230" s="1"/>
      <c r="KUZ230" s="1"/>
      <c r="KVA230" s="1"/>
      <c r="KVB230" s="1"/>
      <c r="KVC230" s="1"/>
      <c r="KVD230" s="1"/>
      <c r="KVE230" s="1"/>
      <c r="KVF230" s="1"/>
      <c r="KVG230" s="1"/>
      <c r="KVH230" s="1"/>
      <c r="KVI230" s="1"/>
      <c r="KVJ230" s="1"/>
      <c r="KVK230" s="1"/>
      <c r="KVL230" s="1"/>
      <c r="KVM230" s="1"/>
      <c r="KVN230" s="1"/>
      <c r="KVO230" s="1"/>
      <c r="KVP230" s="1"/>
      <c r="KVQ230" s="1"/>
      <c r="KVR230" s="1"/>
      <c r="KVS230" s="1"/>
      <c r="KVT230" s="1"/>
      <c r="KVU230" s="1"/>
      <c r="KVV230" s="1"/>
      <c r="KVW230" s="1"/>
      <c r="KVX230" s="1"/>
      <c r="KVY230" s="1"/>
      <c r="KVZ230" s="1"/>
      <c r="KWA230" s="1"/>
      <c r="KWB230" s="1"/>
      <c r="KWC230" s="1"/>
      <c r="KWD230" s="1"/>
      <c r="KWE230" s="1"/>
      <c r="KWF230" s="1"/>
      <c r="KWG230" s="1"/>
      <c r="KWH230" s="1"/>
      <c r="KWI230" s="1"/>
      <c r="KWJ230" s="1"/>
      <c r="KWK230" s="1"/>
      <c r="KWL230" s="1"/>
      <c r="KWM230" s="1"/>
      <c r="KWN230" s="1"/>
      <c r="KWO230" s="1"/>
      <c r="KWP230" s="1"/>
      <c r="KWQ230" s="1"/>
      <c r="KWR230" s="1"/>
      <c r="KWS230" s="1"/>
      <c r="KWT230" s="1"/>
      <c r="KWU230" s="1"/>
      <c r="KWV230" s="1"/>
      <c r="KWW230" s="1"/>
      <c r="KWX230" s="1"/>
      <c r="KWY230" s="1"/>
      <c r="KWZ230" s="1"/>
      <c r="KXA230" s="1"/>
      <c r="KXB230" s="1"/>
      <c r="KXC230" s="1"/>
      <c r="KXD230" s="1"/>
      <c r="KXE230" s="1"/>
      <c r="KXF230" s="1"/>
      <c r="KXG230" s="1"/>
      <c r="KXH230" s="1"/>
      <c r="KXI230" s="1"/>
      <c r="KXJ230" s="1"/>
      <c r="KXK230" s="1"/>
      <c r="KXL230" s="1"/>
      <c r="KXM230" s="1"/>
      <c r="KXN230" s="1"/>
      <c r="KXO230" s="1"/>
      <c r="KXP230" s="1"/>
      <c r="KXQ230" s="1"/>
      <c r="KXR230" s="1"/>
      <c r="KXS230" s="1"/>
      <c r="KXT230" s="1"/>
      <c r="KXU230" s="1"/>
      <c r="KXV230" s="1"/>
      <c r="KXW230" s="1"/>
      <c r="KXX230" s="1"/>
      <c r="KXY230" s="1"/>
      <c r="KXZ230" s="1"/>
      <c r="KYA230" s="1"/>
      <c r="KYB230" s="1"/>
      <c r="KYC230" s="1"/>
      <c r="KYD230" s="1"/>
      <c r="KYE230" s="1"/>
      <c r="KYF230" s="1"/>
      <c r="KYG230" s="1"/>
      <c r="KYH230" s="1"/>
      <c r="KYI230" s="1"/>
      <c r="KYJ230" s="1"/>
      <c r="KYK230" s="1"/>
      <c r="KYL230" s="1"/>
      <c r="KYM230" s="1"/>
      <c r="KYN230" s="1"/>
      <c r="KYO230" s="1"/>
      <c r="KYP230" s="1"/>
      <c r="KYQ230" s="1"/>
      <c r="KYR230" s="1"/>
      <c r="KYS230" s="1"/>
      <c r="KYT230" s="1"/>
      <c r="KYU230" s="1"/>
      <c r="KYV230" s="1"/>
      <c r="KYW230" s="1"/>
      <c r="KYX230" s="1"/>
      <c r="KYY230" s="1"/>
      <c r="KYZ230" s="1"/>
      <c r="KZA230" s="1"/>
      <c r="KZB230" s="1"/>
      <c r="KZC230" s="1"/>
      <c r="KZD230" s="1"/>
      <c r="KZE230" s="1"/>
      <c r="KZF230" s="1"/>
      <c r="KZG230" s="1"/>
      <c r="KZH230" s="1"/>
      <c r="KZI230" s="1"/>
      <c r="KZJ230" s="1"/>
      <c r="KZK230" s="1"/>
      <c r="KZL230" s="1"/>
      <c r="KZM230" s="1"/>
      <c r="KZN230" s="1"/>
      <c r="KZO230" s="1"/>
      <c r="KZP230" s="1"/>
      <c r="KZQ230" s="1"/>
      <c r="KZR230" s="1"/>
      <c r="KZS230" s="1"/>
      <c r="KZT230" s="1"/>
      <c r="KZU230" s="1"/>
      <c r="KZV230" s="1"/>
      <c r="KZW230" s="1"/>
      <c r="KZX230" s="1"/>
      <c r="KZY230" s="1"/>
      <c r="KZZ230" s="1"/>
      <c r="LAA230" s="1"/>
      <c r="LAB230" s="1"/>
      <c r="LAC230" s="1"/>
      <c r="LAD230" s="1"/>
      <c r="LAE230" s="1"/>
      <c r="LAF230" s="1"/>
      <c r="LAG230" s="1"/>
      <c r="LAH230" s="1"/>
      <c r="LAI230" s="1"/>
      <c r="LAJ230" s="1"/>
      <c r="LAK230" s="1"/>
      <c r="LAL230" s="1"/>
      <c r="LAM230" s="1"/>
      <c r="LAN230" s="1"/>
      <c r="LAO230" s="1"/>
      <c r="LAP230" s="1"/>
      <c r="LAQ230" s="1"/>
      <c r="LAR230" s="1"/>
      <c r="LAS230" s="1"/>
      <c r="LAT230" s="1"/>
      <c r="LAU230" s="1"/>
      <c r="LAV230" s="1"/>
      <c r="LAW230" s="1"/>
      <c r="LAX230" s="1"/>
      <c r="LAY230" s="1"/>
      <c r="LAZ230" s="1"/>
      <c r="LBA230" s="1"/>
      <c r="LBB230" s="1"/>
      <c r="LBC230" s="1"/>
      <c r="LBD230" s="1"/>
      <c r="LBE230" s="1"/>
      <c r="LBF230" s="1"/>
      <c r="LBG230" s="1"/>
      <c r="LBH230" s="1"/>
      <c r="LBI230" s="1"/>
      <c r="LBJ230" s="1"/>
      <c r="LBK230" s="1"/>
      <c r="LBL230" s="1"/>
      <c r="LBM230" s="1"/>
      <c r="LBN230" s="1"/>
      <c r="LBO230" s="1"/>
      <c r="LBP230" s="1"/>
      <c r="LBQ230" s="1"/>
      <c r="LBR230" s="1"/>
      <c r="LBS230" s="1"/>
      <c r="LBT230" s="1"/>
      <c r="LBU230" s="1"/>
      <c r="LBV230" s="1"/>
      <c r="LBW230" s="1"/>
      <c r="LBX230" s="1"/>
      <c r="LBY230" s="1"/>
      <c r="LBZ230" s="1"/>
      <c r="LCA230" s="1"/>
      <c r="LCB230" s="1"/>
      <c r="LCC230" s="1"/>
      <c r="LCD230" s="1"/>
      <c r="LCE230" s="1"/>
      <c r="LCF230" s="1"/>
      <c r="LCG230" s="1"/>
      <c r="LCH230" s="1"/>
      <c r="LCI230" s="1"/>
      <c r="LCJ230" s="1"/>
      <c r="LCK230" s="1"/>
      <c r="LCL230" s="1"/>
      <c r="LCM230" s="1"/>
      <c r="LCN230" s="1"/>
      <c r="LCO230" s="1"/>
      <c r="LCP230" s="1"/>
      <c r="LCQ230" s="1"/>
      <c r="LCR230" s="1"/>
      <c r="LCS230" s="1"/>
      <c r="LCT230" s="1"/>
      <c r="LCU230" s="1"/>
      <c r="LCV230" s="1"/>
      <c r="LCW230" s="1"/>
      <c r="LCX230" s="1"/>
      <c r="LCY230" s="1"/>
      <c r="LCZ230" s="1"/>
      <c r="LDA230" s="1"/>
      <c r="LDB230" s="1"/>
      <c r="LDC230" s="1"/>
      <c r="LDD230" s="1"/>
      <c r="LDE230" s="1"/>
      <c r="LDF230" s="1"/>
      <c r="LDG230" s="1"/>
      <c r="LDH230" s="1"/>
      <c r="LDI230" s="1"/>
      <c r="LDJ230" s="1"/>
      <c r="LDK230" s="1"/>
      <c r="LDL230" s="1"/>
      <c r="LDM230" s="1"/>
      <c r="LDN230" s="1"/>
      <c r="LDO230" s="1"/>
      <c r="LDP230" s="1"/>
      <c r="LDQ230" s="1"/>
      <c r="LDR230" s="1"/>
      <c r="LDS230" s="1"/>
      <c r="LDT230" s="1"/>
      <c r="LDU230" s="1"/>
      <c r="LDV230" s="1"/>
      <c r="LDW230" s="1"/>
      <c r="LDX230" s="1"/>
      <c r="LDY230" s="1"/>
      <c r="LDZ230" s="1"/>
      <c r="LEA230" s="1"/>
      <c r="LEB230" s="1"/>
      <c r="LEC230" s="1"/>
      <c r="LED230" s="1"/>
      <c r="LEE230" s="1"/>
      <c r="LEF230" s="1"/>
      <c r="LEG230" s="1"/>
      <c r="LEH230" s="1"/>
      <c r="LEI230" s="1"/>
      <c r="LEJ230" s="1"/>
      <c r="LEK230" s="1"/>
      <c r="LEL230" s="1"/>
      <c r="LEM230" s="1"/>
      <c r="LEN230" s="1"/>
      <c r="LEO230" s="1"/>
      <c r="LEP230" s="1"/>
      <c r="LEQ230" s="1"/>
      <c r="LER230" s="1"/>
      <c r="LES230" s="1"/>
      <c r="LET230" s="1"/>
      <c r="LEU230" s="1"/>
      <c r="LEV230" s="1"/>
      <c r="LEW230" s="1"/>
      <c r="LEX230" s="1"/>
      <c r="LEY230" s="1"/>
      <c r="LEZ230" s="1"/>
      <c r="LFA230" s="1"/>
      <c r="LFB230" s="1"/>
      <c r="LFC230" s="1"/>
      <c r="LFD230" s="1"/>
      <c r="LFE230" s="1"/>
      <c r="LFF230" s="1"/>
      <c r="LFG230" s="1"/>
      <c r="LFH230" s="1"/>
      <c r="LFI230" s="1"/>
      <c r="LFJ230" s="1"/>
      <c r="LFK230" s="1"/>
      <c r="LFL230" s="1"/>
      <c r="LFM230" s="1"/>
      <c r="LFN230" s="1"/>
      <c r="LFO230" s="1"/>
      <c r="LFP230" s="1"/>
      <c r="LFQ230" s="1"/>
      <c r="LFR230" s="1"/>
      <c r="LFS230" s="1"/>
      <c r="LFT230" s="1"/>
      <c r="LFU230" s="1"/>
      <c r="LFV230" s="1"/>
      <c r="LFW230" s="1"/>
      <c r="LFX230" s="1"/>
      <c r="LFY230" s="1"/>
      <c r="LFZ230" s="1"/>
      <c r="LGA230" s="1"/>
      <c r="LGB230" s="1"/>
      <c r="LGC230" s="1"/>
      <c r="LGD230" s="1"/>
      <c r="LGE230" s="1"/>
      <c r="LGF230" s="1"/>
      <c r="LGG230" s="1"/>
      <c r="LGH230" s="1"/>
      <c r="LGI230" s="1"/>
      <c r="LGJ230" s="1"/>
      <c r="LGK230" s="1"/>
      <c r="LGL230" s="1"/>
      <c r="LGM230" s="1"/>
      <c r="LGN230" s="1"/>
      <c r="LGO230" s="1"/>
      <c r="LGP230" s="1"/>
      <c r="LGQ230" s="1"/>
      <c r="LGR230" s="1"/>
      <c r="LGS230" s="1"/>
      <c r="LGT230" s="1"/>
      <c r="LGU230" s="1"/>
      <c r="LGV230" s="1"/>
      <c r="LGW230" s="1"/>
      <c r="LGX230" s="1"/>
      <c r="LGY230" s="1"/>
      <c r="LGZ230" s="1"/>
      <c r="LHA230" s="1"/>
      <c r="LHB230" s="1"/>
      <c r="LHC230" s="1"/>
      <c r="LHD230" s="1"/>
      <c r="LHE230" s="1"/>
      <c r="LHF230" s="1"/>
      <c r="LHG230" s="1"/>
      <c r="LHH230" s="1"/>
      <c r="LHI230" s="1"/>
      <c r="LHJ230" s="1"/>
      <c r="LHK230" s="1"/>
      <c r="LHL230" s="1"/>
      <c r="LHM230" s="1"/>
      <c r="LHN230" s="1"/>
      <c r="LHO230" s="1"/>
      <c r="LHP230" s="1"/>
      <c r="LHQ230" s="1"/>
      <c r="LHR230" s="1"/>
      <c r="LHS230" s="1"/>
      <c r="LHT230" s="1"/>
      <c r="LHU230" s="1"/>
      <c r="LHV230" s="1"/>
      <c r="LHW230" s="1"/>
      <c r="LHX230" s="1"/>
      <c r="LHY230" s="1"/>
      <c r="LHZ230" s="1"/>
      <c r="LIA230" s="1"/>
      <c r="LIB230" s="1"/>
      <c r="LIC230" s="1"/>
      <c r="LID230" s="1"/>
      <c r="LIE230" s="1"/>
      <c r="LIF230" s="1"/>
      <c r="LIG230" s="1"/>
      <c r="LIH230" s="1"/>
      <c r="LII230" s="1"/>
      <c r="LIJ230" s="1"/>
      <c r="LIK230" s="1"/>
      <c r="LIL230" s="1"/>
      <c r="LIM230" s="1"/>
      <c r="LIN230" s="1"/>
      <c r="LIO230" s="1"/>
      <c r="LIP230" s="1"/>
      <c r="LIQ230" s="1"/>
      <c r="LIR230" s="1"/>
      <c r="LIS230" s="1"/>
      <c r="LIT230" s="1"/>
      <c r="LIU230" s="1"/>
      <c r="LIV230" s="1"/>
      <c r="LIW230" s="1"/>
      <c r="LIX230" s="1"/>
      <c r="LIY230" s="1"/>
      <c r="LIZ230" s="1"/>
      <c r="LJA230" s="1"/>
      <c r="LJB230" s="1"/>
      <c r="LJC230" s="1"/>
      <c r="LJD230" s="1"/>
      <c r="LJE230" s="1"/>
      <c r="LJF230" s="1"/>
      <c r="LJG230" s="1"/>
      <c r="LJH230" s="1"/>
      <c r="LJI230" s="1"/>
      <c r="LJJ230" s="1"/>
      <c r="LJK230" s="1"/>
      <c r="LJL230" s="1"/>
      <c r="LJM230" s="1"/>
      <c r="LJN230" s="1"/>
      <c r="LJO230" s="1"/>
      <c r="LJP230" s="1"/>
      <c r="LJQ230" s="1"/>
      <c r="LJR230" s="1"/>
      <c r="LJS230" s="1"/>
      <c r="LJT230" s="1"/>
      <c r="LJU230" s="1"/>
      <c r="LJV230" s="1"/>
      <c r="LJW230" s="1"/>
      <c r="LJX230" s="1"/>
      <c r="LJY230" s="1"/>
      <c r="LJZ230" s="1"/>
      <c r="LKA230" s="1"/>
      <c r="LKB230" s="1"/>
      <c r="LKC230" s="1"/>
      <c r="LKD230" s="1"/>
      <c r="LKE230" s="1"/>
      <c r="LKF230" s="1"/>
      <c r="LKG230" s="1"/>
      <c r="LKH230" s="1"/>
      <c r="LKI230" s="1"/>
      <c r="LKJ230" s="1"/>
      <c r="LKK230" s="1"/>
      <c r="LKL230" s="1"/>
      <c r="LKM230" s="1"/>
      <c r="LKN230" s="1"/>
      <c r="LKO230" s="1"/>
      <c r="LKP230" s="1"/>
      <c r="LKQ230" s="1"/>
      <c r="LKR230" s="1"/>
      <c r="LKS230" s="1"/>
      <c r="LKT230" s="1"/>
      <c r="LKU230" s="1"/>
      <c r="LKV230" s="1"/>
      <c r="LKW230" s="1"/>
      <c r="LKX230" s="1"/>
      <c r="LKY230" s="1"/>
      <c r="LKZ230" s="1"/>
      <c r="LLA230" s="1"/>
      <c r="LLB230" s="1"/>
      <c r="LLC230" s="1"/>
      <c r="LLD230" s="1"/>
      <c r="LLE230" s="1"/>
      <c r="LLF230" s="1"/>
      <c r="LLG230" s="1"/>
      <c r="LLH230" s="1"/>
      <c r="LLI230" s="1"/>
      <c r="LLJ230" s="1"/>
      <c r="LLK230" s="1"/>
      <c r="LLL230" s="1"/>
      <c r="LLM230" s="1"/>
      <c r="LLN230" s="1"/>
      <c r="LLO230" s="1"/>
      <c r="LLP230" s="1"/>
      <c r="LLQ230" s="1"/>
      <c r="LLR230" s="1"/>
      <c r="LLS230" s="1"/>
      <c r="LLT230" s="1"/>
      <c r="LLU230" s="1"/>
      <c r="LLV230" s="1"/>
      <c r="LLW230" s="1"/>
      <c r="LLX230" s="1"/>
      <c r="LLY230" s="1"/>
      <c r="LLZ230" s="1"/>
      <c r="LMA230" s="1"/>
      <c r="LMB230" s="1"/>
      <c r="LMC230" s="1"/>
      <c r="LMD230" s="1"/>
      <c r="LME230" s="1"/>
      <c r="LMF230" s="1"/>
      <c r="LMG230" s="1"/>
      <c r="LMH230" s="1"/>
      <c r="LMI230" s="1"/>
      <c r="LMJ230" s="1"/>
      <c r="LMK230" s="1"/>
      <c r="LML230" s="1"/>
      <c r="LMM230" s="1"/>
      <c r="LMN230" s="1"/>
      <c r="LMO230" s="1"/>
      <c r="LMP230" s="1"/>
      <c r="LMQ230" s="1"/>
      <c r="LMR230" s="1"/>
      <c r="LMS230" s="1"/>
      <c r="LMT230" s="1"/>
      <c r="LMU230" s="1"/>
      <c r="LMV230" s="1"/>
      <c r="LMW230" s="1"/>
      <c r="LMX230" s="1"/>
      <c r="LMY230" s="1"/>
      <c r="LMZ230" s="1"/>
      <c r="LNA230" s="1"/>
      <c r="LNB230" s="1"/>
      <c r="LNC230" s="1"/>
      <c r="LND230" s="1"/>
      <c r="LNE230" s="1"/>
      <c r="LNF230" s="1"/>
      <c r="LNG230" s="1"/>
      <c r="LNH230" s="1"/>
      <c r="LNI230" s="1"/>
      <c r="LNJ230" s="1"/>
      <c r="LNK230" s="1"/>
      <c r="LNL230" s="1"/>
      <c r="LNM230" s="1"/>
      <c r="LNN230" s="1"/>
      <c r="LNO230" s="1"/>
      <c r="LNP230" s="1"/>
      <c r="LNQ230" s="1"/>
      <c r="LNR230" s="1"/>
      <c r="LNS230" s="1"/>
      <c r="LNT230" s="1"/>
      <c r="LNU230" s="1"/>
      <c r="LNV230" s="1"/>
      <c r="LNW230" s="1"/>
      <c r="LNX230" s="1"/>
      <c r="LNY230" s="1"/>
      <c r="LNZ230" s="1"/>
      <c r="LOA230" s="1"/>
      <c r="LOB230" s="1"/>
      <c r="LOC230" s="1"/>
      <c r="LOD230" s="1"/>
      <c r="LOE230" s="1"/>
      <c r="LOF230" s="1"/>
      <c r="LOG230" s="1"/>
      <c r="LOH230" s="1"/>
      <c r="LOI230" s="1"/>
      <c r="LOJ230" s="1"/>
      <c r="LOK230" s="1"/>
      <c r="LOL230" s="1"/>
      <c r="LOM230" s="1"/>
      <c r="LON230" s="1"/>
      <c r="LOO230" s="1"/>
      <c r="LOP230" s="1"/>
      <c r="LOQ230" s="1"/>
      <c r="LOR230" s="1"/>
      <c r="LOS230" s="1"/>
      <c r="LOT230" s="1"/>
      <c r="LOU230" s="1"/>
      <c r="LOV230" s="1"/>
      <c r="LOW230" s="1"/>
      <c r="LOX230" s="1"/>
      <c r="LOY230" s="1"/>
      <c r="LOZ230" s="1"/>
      <c r="LPA230" s="1"/>
      <c r="LPB230" s="1"/>
      <c r="LPC230" s="1"/>
      <c r="LPD230" s="1"/>
      <c r="LPE230" s="1"/>
      <c r="LPF230" s="1"/>
      <c r="LPG230" s="1"/>
      <c r="LPH230" s="1"/>
      <c r="LPI230" s="1"/>
      <c r="LPJ230" s="1"/>
      <c r="LPK230" s="1"/>
      <c r="LPL230" s="1"/>
      <c r="LPM230" s="1"/>
      <c r="LPN230" s="1"/>
      <c r="LPO230" s="1"/>
      <c r="LPP230" s="1"/>
      <c r="LPQ230" s="1"/>
      <c r="LPR230" s="1"/>
      <c r="LPS230" s="1"/>
      <c r="LPT230" s="1"/>
      <c r="LPU230" s="1"/>
      <c r="LPV230" s="1"/>
      <c r="LPW230" s="1"/>
      <c r="LPX230" s="1"/>
      <c r="LPY230" s="1"/>
      <c r="LPZ230" s="1"/>
      <c r="LQA230" s="1"/>
      <c r="LQB230" s="1"/>
      <c r="LQC230" s="1"/>
      <c r="LQD230" s="1"/>
      <c r="LQE230" s="1"/>
      <c r="LQF230" s="1"/>
      <c r="LQG230" s="1"/>
      <c r="LQH230" s="1"/>
      <c r="LQI230" s="1"/>
      <c r="LQJ230" s="1"/>
      <c r="LQK230" s="1"/>
      <c r="LQL230" s="1"/>
      <c r="LQM230" s="1"/>
      <c r="LQN230" s="1"/>
      <c r="LQO230" s="1"/>
      <c r="LQP230" s="1"/>
      <c r="LQQ230" s="1"/>
      <c r="LQR230" s="1"/>
      <c r="LQS230" s="1"/>
      <c r="LQT230" s="1"/>
      <c r="LQU230" s="1"/>
      <c r="LQV230" s="1"/>
      <c r="LQW230" s="1"/>
      <c r="LQX230" s="1"/>
      <c r="LQY230" s="1"/>
      <c r="LQZ230" s="1"/>
      <c r="LRA230" s="1"/>
      <c r="LRB230" s="1"/>
      <c r="LRC230" s="1"/>
      <c r="LRD230" s="1"/>
      <c r="LRE230" s="1"/>
      <c r="LRF230" s="1"/>
      <c r="LRG230" s="1"/>
      <c r="LRH230" s="1"/>
      <c r="LRI230" s="1"/>
      <c r="LRJ230" s="1"/>
      <c r="LRK230" s="1"/>
      <c r="LRL230" s="1"/>
      <c r="LRM230" s="1"/>
      <c r="LRN230" s="1"/>
      <c r="LRO230" s="1"/>
      <c r="LRP230" s="1"/>
      <c r="LRQ230" s="1"/>
      <c r="LRR230" s="1"/>
      <c r="LRS230" s="1"/>
      <c r="LRT230" s="1"/>
      <c r="LRU230" s="1"/>
      <c r="LRV230" s="1"/>
      <c r="LRW230" s="1"/>
      <c r="LRX230" s="1"/>
      <c r="LRY230" s="1"/>
      <c r="LRZ230" s="1"/>
      <c r="LSA230" s="1"/>
      <c r="LSB230" s="1"/>
      <c r="LSC230" s="1"/>
      <c r="LSD230" s="1"/>
      <c r="LSE230" s="1"/>
      <c r="LSF230" s="1"/>
      <c r="LSG230" s="1"/>
      <c r="LSH230" s="1"/>
      <c r="LSI230" s="1"/>
      <c r="LSJ230" s="1"/>
      <c r="LSK230" s="1"/>
      <c r="LSL230" s="1"/>
      <c r="LSM230" s="1"/>
      <c r="LSN230" s="1"/>
      <c r="LSO230" s="1"/>
      <c r="LSP230" s="1"/>
      <c r="LSQ230" s="1"/>
      <c r="LSR230" s="1"/>
      <c r="LSS230" s="1"/>
      <c r="LST230" s="1"/>
      <c r="LSU230" s="1"/>
      <c r="LSV230" s="1"/>
      <c r="LSW230" s="1"/>
      <c r="LSX230" s="1"/>
      <c r="LSY230" s="1"/>
      <c r="LSZ230" s="1"/>
      <c r="LTA230" s="1"/>
      <c r="LTB230" s="1"/>
      <c r="LTC230" s="1"/>
      <c r="LTD230" s="1"/>
      <c r="LTE230" s="1"/>
      <c r="LTF230" s="1"/>
      <c r="LTG230" s="1"/>
      <c r="LTH230" s="1"/>
      <c r="LTI230" s="1"/>
      <c r="LTJ230" s="1"/>
      <c r="LTK230" s="1"/>
      <c r="LTL230" s="1"/>
      <c r="LTM230" s="1"/>
      <c r="LTN230" s="1"/>
      <c r="LTO230" s="1"/>
      <c r="LTP230" s="1"/>
      <c r="LTQ230" s="1"/>
      <c r="LTR230" s="1"/>
      <c r="LTS230" s="1"/>
      <c r="LTT230" s="1"/>
      <c r="LTU230" s="1"/>
      <c r="LTV230" s="1"/>
      <c r="LTW230" s="1"/>
      <c r="LTX230" s="1"/>
      <c r="LTY230" s="1"/>
      <c r="LTZ230" s="1"/>
      <c r="LUA230" s="1"/>
      <c r="LUB230" s="1"/>
      <c r="LUC230" s="1"/>
      <c r="LUD230" s="1"/>
      <c r="LUE230" s="1"/>
      <c r="LUF230" s="1"/>
      <c r="LUG230" s="1"/>
      <c r="LUH230" s="1"/>
      <c r="LUI230" s="1"/>
      <c r="LUJ230" s="1"/>
      <c r="LUK230" s="1"/>
      <c r="LUL230" s="1"/>
      <c r="LUM230" s="1"/>
      <c r="LUN230" s="1"/>
      <c r="LUO230" s="1"/>
      <c r="LUP230" s="1"/>
      <c r="LUQ230" s="1"/>
      <c r="LUR230" s="1"/>
      <c r="LUS230" s="1"/>
      <c r="LUT230" s="1"/>
      <c r="LUU230" s="1"/>
      <c r="LUV230" s="1"/>
      <c r="LUW230" s="1"/>
      <c r="LUX230" s="1"/>
      <c r="LUY230" s="1"/>
      <c r="LUZ230" s="1"/>
      <c r="LVA230" s="1"/>
      <c r="LVB230" s="1"/>
      <c r="LVC230" s="1"/>
      <c r="LVD230" s="1"/>
      <c r="LVE230" s="1"/>
      <c r="LVF230" s="1"/>
      <c r="LVG230" s="1"/>
      <c r="LVH230" s="1"/>
      <c r="LVI230" s="1"/>
      <c r="LVJ230" s="1"/>
      <c r="LVK230" s="1"/>
      <c r="LVL230" s="1"/>
      <c r="LVM230" s="1"/>
      <c r="LVN230" s="1"/>
      <c r="LVO230" s="1"/>
      <c r="LVP230" s="1"/>
      <c r="LVQ230" s="1"/>
      <c r="LVR230" s="1"/>
      <c r="LVS230" s="1"/>
      <c r="LVT230" s="1"/>
      <c r="LVU230" s="1"/>
      <c r="LVV230" s="1"/>
      <c r="LVW230" s="1"/>
      <c r="LVX230" s="1"/>
      <c r="LVY230" s="1"/>
      <c r="LVZ230" s="1"/>
      <c r="LWA230" s="1"/>
      <c r="LWB230" s="1"/>
      <c r="LWC230" s="1"/>
      <c r="LWD230" s="1"/>
      <c r="LWE230" s="1"/>
      <c r="LWF230" s="1"/>
      <c r="LWG230" s="1"/>
      <c r="LWH230" s="1"/>
      <c r="LWI230" s="1"/>
      <c r="LWJ230" s="1"/>
      <c r="LWK230" s="1"/>
      <c r="LWL230" s="1"/>
      <c r="LWM230" s="1"/>
      <c r="LWN230" s="1"/>
      <c r="LWO230" s="1"/>
      <c r="LWP230" s="1"/>
      <c r="LWQ230" s="1"/>
      <c r="LWR230" s="1"/>
      <c r="LWS230" s="1"/>
      <c r="LWT230" s="1"/>
      <c r="LWU230" s="1"/>
      <c r="LWV230" s="1"/>
      <c r="LWW230" s="1"/>
      <c r="LWX230" s="1"/>
      <c r="LWY230" s="1"/>
      <c r="LWZ230" s="1"/>
      <c r="LXA230" s="1"/>
      <c r="LXB230" s="1"/>
      <c r="LXC230" s="1"/>
      <c r="LXD230" s="1"/>
      <c r="LXE230" s="1"/>
      <c r="LXF230" s="1"/>
      <c r="LXG230" s="1"/>
      <c r="LXH230" s="1"/>
      <c r="LXI230" s="1"/>
      <c r="LXJ230" s="1"/>
      <c r="LXK230" s="1"/>
      <c r="LXL230" s="1"/>
      <c r="LXM230" s="1"/>
      <c r="LXN230" s="1"/>
      <c r="LXO230" s="1"/>
      <c r="LXP230" s="1"/>
      <c r="LXQ230" s="1"/>
      <c r="LXR230" s="1"/>
      <c r="LXS230" s="1"/>
      <c r="LXT230" s="1"/>
      <c r="LXU230" s="1"/>
      <c r="LXV230" s="1"/>
      <c r="LXW230" s="1"/>
      <c r="LXX230" s="1"/>
      <c r="LXY230" s="1"/>
      <c r="LXZ230" s="1"/>
      <c r="LYA230" s="1"/>
      <c r="LYB230" s="1"/>
      <c r="LYC230" s="1"/>
      <c r="LYD230" s="1"/>
      <c r="LYE230" s="1"/>
      <c r="LYF230" s="1"/>
      <c r="LYG230" s="1"/>
      <c r="LYH230" s="1"/>
      <c r="LYI230" s="1"/>
      <c r="LYJ230" s="1"/>
      <c r="LYK230" s="1"/>
      <c r="LYL230" s="1"/>
      <c r="LYM230" s="1"/>
      <c r="LYN230" s="1"/>
      <c r="LYO230" s="1"/>
      <c r="LYP230" s="1"/>
      <c r="LYQ230" s="1"/>
      <c r="LYR230" s="1"/>
      <c r="LYS230" s="1"/>
      <c r="LYT230" s="1"/>
      <c r="LYU230" s="1"/>
      <c r="LYV230" s="1"/>
      <c r="LYW230" s="1"/>
      <c r="LYX230" s="1"/>
      <c r="LYY230" s="1"/>
      <c r="LYZ230" s="1"/>
      <c r="LZA230" s="1"/>
      <c r="LZB230" s="1"/>
      <c r="LZC230" s="1"/>
      <c r="LZD230" s="1"/>
      <c r="LZE230" s="1"/>
      <c r="LZF230" s="1"/>
      <c r="LZG230" s="1"/>
      <c r="LZH230" s="1"/>
      <c r="LZI230" s="1"/>
      <c r="LZJ230" s="1"/>
      <c r="LZK230" s="1"/>
      <c r="LZL230" s="1"/>
      <c r="LZM230" s="1"/>
      <c r="LZN230" s="1"/>
      <c r="LZO230" s="1"/>
      <c r="LZP230" s="1"/>
      <c r="LZQ230" s="1"/>
      <c r="LZR230" s="1"/>
      <c r="LZS230" s="1"/>
      <c r="LZT230" s="1"/>
      <c r="LZU230" s="1"/>
      <c r="LZV230" s="1"/>
      <c r="LZW230" s="1"/>
      <c r="LZX230" s="1"/>
      <c r="LZY230" s="1"/>
      <c r="LZZ230" s="1"/>
      <c r="MAA230" s="1"/>
      <c r="MAB230" s="1"/>
      <c r="MAC230" s="1"/>
      <c r="MAD230" s="1"/>
      <c r="MAE230" s="1"/>
      <c r="MAF230" s="1"/>
      <c r="MAG230" s="1"/>
      <c r="MAH230" s="1"/>
      <c r="MAI230" s="1"/>
      <c r="MAJ230" s="1"/>
      <c r="MAK230" s="1"/>
      <c r="MAL230" s="1"/>
      <c r="MAM230" s="1"/>
      <c r="MAN230" s="1"/>
      <c r="MAO230" s="1"/>
      <c r="MAP230" s="1"/>
      <c r="MAQ230" s="1"/>
      <c r="MAR230" s="1"/>
      <c r="MAS230" s="1"/>
      <c r="MAT230" s="1"/>
      <c r="MAU230" s="1"/>
      <c r="MAV230" s="1"/>
      <c r="MAW230" s="1"/>
      <c r="MAX230" s="1"/>
      <c r="MAY230" s="1"/>
      <c r="MAZ230" s="1"/>
      <c r="MBA230" s="1"/>
      <c r="MBB230" s="1"/>
      <c r="MBC230" s="1"/>
      <c r="MBD230" s="1"/>
      <c r="MBE230" s="1"/>
      <c r="MBF230" s="1"/>
      <c r="MBG230" s="1"/>
      <c r="MBH230" s="1"/>
      <c r="MBI230" s="1"/>
      <c r="MBJ230" s="1"/>
      <c r="MBK230" s="1"/>
      <c r="MBL230" s="1"/>
      <c r="MBM230" s="1"/>
      <c r="MBN230" s="1"/>
      <c r="MBO230" s="1"/>
      <c r="MBP230" s="1"/>
      <c r="MBQ230" s="1"/>
      <c r="MBR230" s="1"/>
      <c r="MBS230" s="1"/>
      <c r="MBT230" s="1"/>
      <c r="MBU230" s="1"/>
      <c r="MBV230" s="1"/>
      <c r="MBW230" s="1"/>
      <c r="MBX230" s="1"/>
      <c r="MBY230" s="1"/>
      <c r="MBZ230" s="1"/>
      <c r="MCA230" s="1"/>
      <c r="MCB230" s="1"/>
      <c r="MCC230" s="1"/>
      <c r="MCD230" s="1"/>
      <c r="MCE230" s="1"/>
      <c r="MCF230" s="1"/>
      <c r="MCG230" s="1"/>
      <c r="MCH230" s="1"/>
      <c r="MCI230" s="1"/>
      <c r="MCJ230" s="1"/>
      <c r="MCK230" s="1"/>
      <c r="MCL230" s="1"/>
      <c r="MCM230" s="1"/>
      <c r="MCN230" s="1"/>
      <c r="MCO230" s="1"/>
      <c r="MCP230" s="1"/>
      <c r="MCQ230" s="1"/>
      <c r="MCR230" s="1"/>
      <c r="MCS230" s="1"/>
      <c r="MCT230" s="1"/>
      <c r="MCU230" s="1"/>
      <c r="MCV230" s="1"/>
      <c r="MCW230" s="1"/>
      <c r="MCX230" s="1"/>
      <c r="MCY230" s="1"/>
      <c r="MCZ230" s="1"/>
      <c r="MDA230" s="1"/>
      <c r="MDB230" s="1"/>
      <c r="MDC230" s="1"/>
      <c r="MDD230" s="1"/>
      <c r="MDE230" s="1"/>
      <c r="MDF230" s="1"/>
      <c r="MDG230" s="1"/>
      <c r="MDH230" s="1"/>
      <c r="MDI230" s="1"/>
      <c r="MDJ230" s="1"/>
      <c r="MDK230" s="1"/>
      <c r="MDL230" s="1"/>
      <c r="MDM230" s="1"/>
      <c r="MDN230" s="1"/>
      <c r="MDO230" s="1"/>
      <c r="MDP230" s="1"/>
      <c r="MDQ230" s="1"/>
      <c r="MDR230" s="1"/>
      <c r="MDS230" s="1"/>
      <c r="MDT230" s="1"/>
      <c r="MDU230" s="1"/>
      <c r="MDV230" s="1"/>
      <c r="MDW230" s="1"/>
      <c r="MDX230" s="1"/>
      <c r="MDY230" s="1"/>
      <c r="MDZ230" s="1"/>
      <c r="MEA230" s="1"/>
      <c r="MEB230" s="1"/>
      <c r="MEC230" s="1"/>
      <c r="MED230" s="1"/>
      <c r="MEE230" s="1"/>
      <c r="MEF230" s="1"/>
      <c r="MEG230" s="1"/>
      <c r="MEH230" s="1"/>
      <c r="MEI230" s="1"/>
      <c r="MEJ230" s="1"/>
      <c r="MEK230" s="1"/>
      <c r="MEL230" s="1"/>
      <c r="MEM230" s="1"/>
      <c r="MEN230" s="1"/>
      <c r="MEO230" s="1"/>
      <c r="MEP230" s="1"/>
      <c r="MEQ230" s="1"/>
      <c r="MER230" s="1"/>
      <c r="MES230" s="1"/>
      <c r="MET230" s="1"/>
      <c r="MEU230" s="1"/>
      <c r="MEV230" s="1"/>
      <c r="MEW230" s="1"/>
      <c r="MEX230" s="1"/>
      <c r="MEY230" s="1"/>
      <c r="MEZ230" s="1"/>
      <c r="MFA230" s="1"/>
      <c r="MFB230" s="1"/>
      <c r="MFC230" s="1"/>
      <c r="MFD230" s="1"/>
      <c r="MFE230" s="1"/>
      <c r="MFF230" s="1"/>
      <c r="MFG230" s="1"/>
      <c r="MFH230" s="1"/>
      <c r="MFI230" s="1"/>
      <c r="MFJ230" s="1"/>
      <c r="MFK230" s="1"/>
      <c r="MFL230" s="1"/>
      <c r="MFM230" s="1"/>
      <c r="MFN230" s="1"/>
      <c r="MFO230" s="1"/>
      <c r="MFP230" s="1"/>
      <c r="MFQ230" s="1"/>
      <c r="MFR230" s="1"/>
      <c r="MFS230" s="1"/>
      <c r="MFT230" s="1"/>
      <c r="MFU230" s="1"/>
      <c r="MFV230" s="1"/>
      <c r="MFW230" s="1"/>
      <c r="MFX230" s="1"/>
      <c r="MFY230" s="1"/>
      <c r="MFZ230" s="1"/>
      <c r="MGA230" s="1"/>
      <c r="MGB230" s="1"/>
      <c r="MGC230" s="1"/>
      <c r="MGD230" s="1"/>
      <c r="MGE230" s="1"/>
      <c r="MGF230" s="1"/>
      <c r="MGG230" s="1"/>
      <c r="MGH230" s="1"/>
      <c r="MGI230" s="1"/>
      <c r="MGJ230" s="1"/>
      <c r="MGK230" s="1"/>
      <c r="MGL230" s="1"/>
      <c r="MGM230" s="1"/>
      <c r="MGN230" s="1"/>
      <c r="MGO230" s="1"/>
      <c r="MGP230" s="1"/>
      <c r="MGQ230" s="1"/>
      <c r="MGR230" s="1"/>
      <c r="MGS230" s="1"/>
      <c r="MGT230" s="1"/>
      <c r="MGU230" s="1"/>
      <c r="MGV230" s="1"/>
      <c r="MGW230" s="1"/>
      <c r="MGX230" s="1"/>
      <c r="MGY230" s="1"/>
      <c r="MGZ230" s="1"/>
      <c r="MHA230" s="1"/>
      <c r="MHB230" s="1"/>
      <c r="MHC230" s="1"/>
      <c r="MHD230" s="1"/>
      <c r="MHE230" s="1"/>
      <c r="MHF230" s="1"/>
      <c r="MHG230" s="1"/>
      <c r="MHH230" s="1"/>
      <c r="MHI230" s="1"/>
      <c r="MHJ230" s="1"/>
      <c r="MHK230" s="1"/>
      <c r="MHL230" s="1"/>
      <c r="MHM230" s="1"/>
      <c r="MHN230" s="1"/>
      <c r="MHO230" s="1"/>
      <c r="MHP230" s="1"/>
      <c r="MHQ230" s="1"/>
      <c r="MHR230" s="1"/>
      <c r="MHS230" s="1"/>
      <c r="MHT230" s="1"/>
      <c r="MHU230" s="1"/>
      <c r="MHV230" s="1"/>
      <c r="MHW230" s="1"/>
      <c r="MHX230" s="1"/>
      <c r="MHY230" s="1"/>
      <c r="MHZ230" s="1"/>
      <c r="MIA230" s="1"/>
      <c r="MIB230" s="1"/>
      <c r="MIC230" s="1"/>
      <c r="MID230" s="1"/>
      <c r="MIE230" s="1"/>
      <c r="MIF230" s="1"/>
      <c r="MIG230" s="1"/>
      <c r="MIH230" s="1"/>
      <c r="MII230" s="1"/>
      <c r="MIJ230" s="1"/>
      <c r="MIK230" s="1"/>
      <c r="MIL230" s="1"/>
      <c r="MIM230" s="1"/>
      <c r="MIN230" s="1"/>
      <c r="MIO230" s="1"/>
      <c r="MIP230" s="1"/>
      <c r="MIQ230" s="1"/>
      <c r="MIR230" s="1"/>
      <c r="MIS230" s="1"/>
      <c r="MIT230" s="1"/>
      <c r="MIU230" s="1"/>
      <c r="MIV230" s="1"/>
      <c r="MIW230" s="1"/>
      <c r="MIX230" s="1"/>
      <c r="MIY230" s="1"/>
      <c r="MIZ230" s="1"/>
      <c r="MJA230" s="1"/>
      <c r="MJB230" s="1"/>
      <c r="MJC230" s="1"/>
      <c r="MJD230" s="1"/>
      <c r="MJE230" s="1"/>
      <c r="MJF230" s="1"/>
      <c r="MJG230" s="1"/>
      <c r="MJH230" s="1"/>
      <c r="MJI230" s="1"/>
      <c r="MJJ230" s="1"/>
      <c r="MJK230" s="1"/>
      <c r="MJL230" s="1"/>
      <c r="MJM230" s="1"/>
      <c r="MJN230" s="1"/>
      <c r="MJO230" s="1"/>
      <c r="MJP230" s="1"/>
      <c r="MJQ230" s="1"/>
      <c r="MJR230" s="1"/>
      <c r="MJS230" s="1"/>
      <c r="MJT230" s="1"/>
      <c r="MJU230" s="1"/>
      <c r="MJV230" s="1"/>
      <c r="MJW230" s="1"/>
      <c r="MJX230" s="1"/>
      <c r="MJY230" s="1"/>
      <c r="MJZ230" s="1"/>
      <c r="MKA230" s="1"/>
      <c r="MKB230" s="1"/>
      <c r="MKC230" s="1"/>
      <c r="MKD230" s="1"/>
      <c r="MKE230" s="1"/>
      <c r="MKF230" s="1"/>
      <c r="MKG230" s="1"/>
      <c r="MKH230" s="1"/>
      <c r="MKI230" s="1"/>
      <c r="MKJ230" s="1"/>
      <c r="MKK230" s="1"/>
      <c r="MKL230" s="1"/>
      <c r="MKM230" s="1"/>
      <c r="MKN230" s="1"/>
      <c r="MKO230" s="1"/>
      <c r="MKP230" s="1"/>
      <c r="MKQ230" s="1"/>
      <c r="MKR230" s="1"/>
      <c r="MKS230" s="1"/>
      <c r="MKT230" s="1"/>
      <c r="MKU230" s="1"/>
      <c r="MKV230" s="1"/>
      <c r="MKW230" s="1"/>
      <c r="MKX230" s="1"/>
      <c r="MKY230" s="1"/>
      <c r="MKZ230" s="1"/>
      <c r="MLA230" s="1"/>
      <c r="MLB230" s="1"/>
      <c r="MLC230" s="1"/>
      <c r="MLD230" s="1"/>
      <c r="MLE230" s="1"/>
      <c r="MLF230" s="1"/>
      <c r="MLG230" s="1"/>
      <c r="MLH230" s="1"/>
      <c r="MLI230" s="1"/>
      <c r="MLJ230" s="1"/>
      <c r="MLK230" s="1"/>
      <c r="MLL230" s="1"/>
      <c r="MLM230" s="1"/>
      <c r="MLN230" s="1"/>
      <c r="MLO230" s="1"/>
      <c r="MLP230" s="1"/>
      <c r="MLQ230" s="1"/>
      <c r="MLR230" s="1"/>
      <c r="MLS230" s="1"/>
      <c r="MLT230" s="1"/>
      <c r="MLU230" s="1"/>
      <c r="MLV230" s="1"/>
      <c r="MLW230" s="1"/>
      <c r="MLX230" s="1"/>
      <c r="MLY230" s="1"/>
      <c r="MLZ230" s="1"/>
      <c r="MMA230" s="1"/>
      <c r="MMB230" s="1"/>
      <c r="MMC230" s="1"/>
      <c r="MMD230" s="1"/>
      <c r="MME230" s="1"/>
      <c r="MMF230" s="1"/>
      <c r="MMG230" s="1"/>
      <c r="MMH230" s="1"/>
      <c r="MMI230" s="1"/>
      <c r="MMJ230" s="1"/>
      <c r="MMK230" s="1"/>
      <c r="MML230" s="1"/>
      <c r="MMM230" s="1"/>
      <c r="MMN230" s="1"/>
      <c r="MMO230" s="1"/>
      <c r="MMP230" s="1"/>
      <c r="MMQ230" s="1"/>
      <c r="MMR230" s="1"/>
      <c r="MMS230" s="1"/>
      <c r="MMT230" s="1"/>
      <c r="MMU230" s="1"/>
      <c r="MMV230" s="1"/>
      <c r="MMW230" s="1"/>
      <c r="MMX230" s="1"/>
      <c r="MMY230" s="1"/>
      <c r="MMZ230" s="1"/>
      <c r="MNA230" s="1"/>
      <c r="MNB230" s="1"/>
      <c r="MNC230" s="1"/>
      <c r="MND230" s="1"/>
      <c r="MNE230" s="1"/>
      <c r="MNF230" s="1"/>
      <c r="MNG230" s="1"/>
      <c r="MNH230" s="1"/>
      <c r="MNI230" s="1"/>
      <c r="MNJ230" s="1"/>
      <c r="MNK230" s="1"/>
      <c r="MNL230" s="1"/>
      <c r="MNM230" s="1"/>
      <c r="MNN230" s="1"/>
      <c r="MNO230" s="1"/>
      <c r="MNP230" s="1"/>
      <c r="MNQ230" s="1"/>
      <c r="MNR230" s="1"/>
      <c r="MNS230" s="1"/>
      <c r="MNT230" s="1"/>
      <c r="MNU230" s="1"/>
      <c r="MNV230" s="1"/>
      <c r="MNW230" s="1"/>
      <c r="MNX230" s="1"/>
      <c r="MNY230" s="1"/>
      <c r="MNZ230" s="1"/>
      <c r="MOA230" s="1"/>
      <c r="MOB230" s="1"/>
      <c r="MOC230" s="1"/>
      <c r="MOD230" s="1"/>
      <c r="MOE230" s="1"/>
      <c r="MOF230" s="1"/>
      <c r="MOG230" s="1"/>
      <c r="MOH230" s="1"/>
      <c r="MOI230" s="1"/>
      <c r="MOJ230" s="1"/>
      <c r="MOK230" s="1"/>
      <c r="MOL230" s="1"/>
      <c r="MOM230" s="1"/>
      <c r="MON230" s="1"/>
      <c r="MOO230" s="1"/>
      <c r="MOP230" s="1"/>
      <c r="MOQ230" s="1"/>
      <c r="MOR230" s="1"/>
      <c r="MOS230" s="1"/>
      <c r="MOT230" s="1"/>
      <c r="MOU230" s="1"/>
      <c r="MOV230" s="1"/>
      <c r="MOW230" s="1"/>
      <c r="MOX230" s="1"/>
      <c r="MOY230" s="1"/>
      <c r="MOZ230" s="1"/>
      <c r="MPA230" s="1"/>
      <c r="MPB230" s="1"/>
      <c r="MPC230" s="1"/>
      <c r="MPD230" s="1"/>
      <c r="MPE230" s="1"/>
      <c r="MPF230" s="1"/>
      <c r="MPG230" s="1"/>
      <c r="MPH230" s="1"/>
      <c r="MPI230" s="1"/>
      <c r="MPJ230" s="1"/>
      <c r="MPK230" s="1"/>
      <c r="MPL230" s="1"/>
      <c r="MPM230" s="1"/>
      <c r="MPN230" s="1"/>
      <c r="MPO230" s="1"/>
      <c r="MPP230" s="1"/>
      <c r="MPQ230" s="1"/>
      <c r="MPR230" s="1"/>
      <c r="MPS230" s="1"/>
      <c r="MPT230" s="1"/>
      <c r="MPU230" s="1"/>
      <c r="MPV230" s="1"/>
      <c r="MPW230" s="1"/>
      <c r="MPX230" s="1"/>
      <c r="MPY230" s="1"/>
      <c r="MPZ230" s="1"/>
      <c r="MQA230" s="1"/>
      <c r="MQB230" s="1"/>
      <c r="MQC230" s="1"/>
      <c r="MQD230" s="1"/>
      <c r="MQE230" s="1"/>
      <c r="MQF230" s="1"/>
      <c r="MQG230" s="1"/>
      <c r="MQH230" s="1"/>
      <c r="MQI230" s="1"/>
      <c r="MQJ230" s="1"/>
      <c r="MQK230" s="1"/>
      <c r="MQL230" s="1"/>
      <c r="MQM230" s="1"/>
      <c r="MQN230" s="1"/>
      <c r="MQO230" s="1"/>
      <c r="MQP230" s="1"/>
      <c r="MQQ230" s="1"/>
      <c r="MQR230" s="1"/>
      <c r="MQS230" s="1"/>
      <c r="MQT230" s="1"/>
      <c r="MQU230" s="1"/>
      <c r="MQV230" s="1"/>
      <c r="MQW230" s="1"/>
      <c r="MQX230" s="1"/>
      <c r="MQY230" s="1"/>
      <c r="MQZ230" s="1"/>
      <c r="MRA230" s="1"/>
      <c r="MRB230" s="1"/>
      <c r="MRC230" s="1"/>
      <c r="MRD230" s="1"/>
      <c r="MRE230" s="1"/>
      <c r="MRF230" s="1"/>
      <c r="MRG230" s="1"/>
      <c r="MRH230" s="1"/>
      <c r="MRI230" s="1"/>
      <c r="MRJ230" s="1"/>
      <c r="MRK230" s="1"/>
      <c r="MRL230" s="1"/>
      <c r="MRM230" s="1"/>
      <c r="MRN230" s="1"/>
      <c r="MRO230" s="1"/>
      <c r="MRP230" s="1"/>
      <c r="MRQ230" s="1"/>
      <c r="MRR230" s="1"/>
      <c r="MRS230" s="1"/>
      <c r="MRT230" s="1"/>
      <c r="MRU230" s="1"/>
      <c r="MRV230" s="1"/>
      <c r="MRW230" s="1"/>
      <c r="MRX230" s="1"/>
      <c r="MRY230" s="1"/>
      <c r="MRZ230" s="1"/>
      <c r="MSA230" s="1"/>
      <c r="MSB230" s="1"/>
      <c r="MSC230" s="1"/>
      <c r="MSD230" s="1"/>
      <c r="MSE230" s="1"/>
      <c r="MSF230" s="1"/>
      <c r="MSG230" s="1"/>
      <c r="MSH230" s="1"/>
      <c r="MSI230" s="1"/>
      <c r="MSJ230" s="1"/>
      <c r="MSK230" s="1"/>
      <c r="MSL230" s="1"/>
      <c r="MSM230" s="1"/>
      <c r="MSN230" s="1"/>
      <c r="MSO230" s="1"/>
      <c r="MSP230" s="1"/>
      <c r="MSQ230" s="1"/>
      <c r="MSR230" s="1"/>
      <c r="MSS230" s="1"/>
      <c r="MST230" s="1"/>
      <c r="MSU230" s="1"/>
      <c r="MSV230" s="1"/>
      <c r="MSW230" s="1"/>
      <c r="MSX230" s="1"/>
      <c r="MSY230" s="1"/>
      <c r="MSZ230" s="1"/>
      <c r="MTA230" s="1"/>
      <c r="MTB230" s="1"/>
      <c r="MTC230" s="1"/>
      <c r="MTD230" s="1"/>
      <c r="MTE230" s="1"/>
      <c r="MTF230" s="1"/>
      <c r="MTG230" s="1"/>
      <c r="MTH230" s="1"/>
      <c r="MTI230" s="1"/>
      <c r="MTJ230" s="1"/>
      <c r="MTK230" s="1"/>
      <c r="MTL230" s="1"/>
      <c r="MTM230" s="1"/>
      <c r="MTN230" s="1"/>
      <c r="MTO230" s="1"/>
      <c r="MTP230" s="1"/>
      <c r="MTQ230" s="1"/>
      <c r="MTR230" s="1"/>
      <c r="MTS230" s="1"/>
      <c r="MTT230" s="1"/>
      <c r="MTU230" s="1"/>
      <c r="MTV230" s="1"/>
      <c r="MTW230" s="1"/>
      <c r="MTX230" s="1"/>
      <c r="MTY230" s="1"/>
      <c r="MTZ230" s="1"/>
      <c r="MUA230" s="1"/>
      <c r="MUB230" s="1"/>
      <c r="MUC230" s="1"/>
      <c r="MUD230" s="1"/>
      <c r="MUE230" s="1"/>
      <c r="MUF230" s="1"/>
      <c r="MUG230" s="1"/>
      <c r="MUH230" s="1"/>
      <c r="MUI230" s="1"/>
      <c r="MUJ230" s="1"/>
      <c r="MUK230" s="1"/>
      <c r="MUL230" s="1"/>
      <c r="MUM230" s="1"/>
      <c r="MUN230" s="1"/>
      <c r="MUO230" s="1"/>
      <c r="MUP230" s="1"/>
      <c r="MUQ230" s="1"/>
      <c r="MUR230" s="1"/>
      <c r="MUS230" s="1"/>
      <c r="MUT230" s="1"/>
      <c r="MUU230" s="1"/>
      <c r="MUV230" s="1"/>
      <c r="MUW230" s="1"/>
      <c r="MUX230" s="1"/>
      <c r="MUY230" s="1"/>
      <c r="MUZ230" s="1"/>
      <c r="MVA230" s="1"/>
      <c r="MVB230" s="1"/>
      <c r="MVC230" s="1"/>
      <c r="MVD230" s="1"/>
      <c r="MVE230" s="1"/>
      <c r="MVF230" s="1"/>
      <c r="MVG230" s="1"/>
      <c r="MVH230" s="1"/>
      <c r="MVI230" s="1"/>
      <c r="MVJ230" s="1"/>
      <c r="MVK230" s="1"/>
      <c r="MVL230" s="1"/>
      <c r="MVM230" s="1"/>
      <c r="MVN230" s="1"/>
      <c r="MVO230" s="1"/>
      <c r="MVP230" s="1"/>
      <c r="MVQ230" s="1"/>
      <c r="MVR230" s="1"/>
      <c r="MVS230" s="1"/>
      <c r="MVT230" s="1"/>
      <c r="MVU230" s="1"/>
      <c r="MVV230" s="1"/>
      <c r="MVW230" s="1"/>
      <c r="MVX230" s="1"/>
      <c r="MVY230" s="1"/>
      <c r="MVZ230" s="1"/>
      <c r="MWA230" s="1"/>
      <c r="MWB230" s="1"/>
      <c r="MWC230" s="1"/>
      <c r="MWD230" s="1"/>
      <c r="MWE230" s="1"/>
      <c r="MWF230" s="1"/>
      <c r="MWG230" s="1"/>
      <c r="MWH230" s="1"/>
      <c r="MWI230" s="1"/>
      <c r="MWJ230" s="1"/>
      <c r="MWK230" s="1"/>
      <c r="MWL230" s="1"/>
      <c r="MWM230" s="1"/>
      <c r="MWN230" s="1"/>
      <c r="MWO230" s="1"/>
      <c r="MWP230" s="1"/>
      <c r="MWQ230" s="1"/>
      <c r="MWR230" s="1"/>
      <c r="MWS230" s="1"/>
      <c r="MWT230" s="1"/>
      <c r="MWU230" s="1"/>
      <c r="MWV230" s="1"/>
      <c r="MWW230" s="1"/>
      <c r="MWX230" s="1"/>
      <c r="MWY230" s="1"/>
      <c r="MWZ230" s="1"/>
      <c r="MXA230" s="1"/>
      <c r="MXB230" s="1"/>
      <c r="MXC230" s="1"/>
      <c r="MXD230" s="1"/>
      <c r="MXE230" s="1"/>
      <c r="MXF230" s="1"/>
      <c r="MXG230" s="1"/>
      <c r="MXH230" s="1"/>
      <c r="MXI230" s="1"/>
      <c r="MXJ230" s="1"/>
      <c r="MXK230" s="1"/>
      <c r="MXL230" s="1"/>
      <c r="MXM230" s="1"/>
      <c r="MXN230" s="1"/>
      <c r="MXO230" s="1"/>
      <c r="MXP230" s="1"/>
      <c r="MXQ230" s="1"/>
      <c r="MXR230" s="1"/>
      <c r="MXS230" s="1"/>
      <c r="MXT230" s="1"/>
      <c r="MXU230" s="1"/>
      <c r="MXV230" s="1"/>
      <c r="MXW230" s="1"/>
      <c r="MXX230" s="1"/>
      <c r="MXY230" s="1"/>
      <c r="MXZ230" s="1"/>
      <c r="MYA230" s="1"/>
      <c r="MYB230" s="1"/>
      <c r="MYC230" s="1"/>
      <c r="MYD230" s="1"/>
      <c r="MYE230" s="1"/>
      <c r="MYF230" s="1"/>
      <c r="MYG230" s="1"/>
      <c r="MYH230" s="1"/>
      <c r="MYI230" s="1"/>
      <c r="MYJ230" s="1"/>
      <c r="MYK230" s="1"/>
      <c r="MYL230" s="1"/>
      <c r="MYM230" s="1"/>
      <c r="MYN230" s="1"/>
      <c r="MYO230" s="1"/>
      <c r="MYP230" s="1"/>
      <c r="MYQ230" s="1"/>
      <c r="MYR230" s="1"/>
      <c r="MYS230" s="1"/>
      <c r="MYT230" s="1"/>
      <c r="MYU230" s="1"/>
      <c r="MYV230" s="1"/>
      <c r="MYW230" s="1"/>
      <c r="MYX230" s="1"/>
      <c r="MYY230" s="1"/>
      <c r="MYZ230" s="1"/>
      <c r="MZA230" s="1"/>
      <c r="MZB230" s="1"/>
      <c r="MZC230" s="1"/>
      <c r="MZD230" s="1"/>
      <c r="MZE230" s="1"/>
      <c r="MZF230" s="1"/>
      <c r="MZG230" s="1"/>
      <c r="MZH230" s="1"/>
      <c r="MZI230" s="1"/>
      <c r="MZJ230" s="1"/>
      <c r="MZK230" s="1"/>
      <c r="MZL230" s="1"/>
      <c r="MZM230" s="1"/>
      <c r="MZN230" s="1"/>
      <c r="MZO230" s="1"/>
      <c r="MZP230" s="1"/>
      <c r="MZQ230" s="1"/>
      <c r="MZR230" s="1"/>
      <c r="MZS230" s="1"/>
      <c r="MZT230" s="1"/>
      <c r="MZU230" s="1"/>
      <c r="MZV230" s="1"/>
      <c r="MZW230" s="1"/>
      <c r="MZX230" s="1"/>
      <c r="MZY230" s="1"/>
      <c r="MZZ230" s="1"/>
      <c r="NAA230" s="1"/>
      <c r="NAB230" s="1"/>
      <c r="NAC230" s="1"/>
      <c r="NAD230" s="1"/>
      <c r="NAE230" s="1"/>
      <c r="NAF230" s="1"/>
      <c r="NAG230" s="1"/>
      <c r="NAH230" s="1"/>
      <c r="NAI230" s="1"/>
      <c r="NAJ230" s="1"/>
      <c r="NAK230" s="1"/>
      <c r="NAL230" s="1"/>
      <c r="NAM230" s="1"/>
      <c r="NAN230" s="1"/>
      <c r="NAO230" s="1"/>
      <c r="NAP230" s="1"/>
      <c r="NAQ230" s="1"/>
      <c r="NAR230" s="1"/>
      <c r="NAS230" s="1"/>
      <c r="NAT230" s="1"/>
      <c r="NAU230" s="1"/>
      <c r="NAV230" s="1"/>
      <c r="NAW230" s="1"/>
      <c r="NAX230" s="1"/>
      <c r="NAY230" s="1"/>
      <c r="NAZ230" s="1"/>
      <c r="NBA230" s="1"/>
      <c r="NBB230" s="1"/>
      <c r="NBC230" s="1"/>
      <c r="NBD230" s="1"/>
      <c r="NBE230" s="1"/>
      <c r="NBF230" s="1"/>
      <c r="NBG230" s="1"/>
      <c r="NBH230" s="1"/>
      <c r="NBI230" s="1"/>
      <c r="NBJ230" s="1"/>
      <c r="NBK230" s="1"/>
      <c r="NBL230" s="1"/>
      <c r="NBM230" s="1"/>
      <c r="NBN230" s="1"/>
      <c r="NBO230" s="1"/>
      <c r="NBP230" s="1"/>
      <c r="NBQ230" s="1"/>
      <c r="NBR230" s="1"/>
      <c r="NBS230" s="1"/>
      <c r="NBT230" s="1"/>
      <c r="NBU230" s="1"/>
      <c r="NBV230" s="1"/>
      <c r="NBW230" s="1"/>
      <c r="NBX230" s="1"/>
      <c r="NBY230" s="1"/>
      <c r="NBZ230" s="1"/>
      <c r="NCA230" s="1"/>
      <c r="NCB230" s="1"/>
      <c r="NCC230" s="1"/>
      <c r="NCD230" s="1"/>
      <c r="NCE230" s="1"/>
      <c r="NCF230" s="1"/>
      <c r="NCG230" s="1"/>
      <c r="NCH230" s="1"/>
      <c r="NCI230" s="1"/>
      <c r="NCJ230" s="1"/>
      <c r="NCK230" s="1"/>
      <c r="NCL230" s="1"/>
      <c r="NCM230" s="1"/>
      <c r="NCN230" s="1"/>
      <c r="NCO230" s="1"/>
      <c r="NCP230" s="1"/>
      <c r="NCQ230" s="1"/>
      <c r="NCR230" s="1"/>
      <c r="NCS230" s="1"/>
      <c r="NCT230" s="1"/>
      <c r="NCU230" s="1"/>
      <c r="NCV230" s="1"/>
      <c r="NCW230" s="1"/>
      <c r="NCX230" s="1"/>
      <c r="NCY230" s="1"/>
      <c r="NCZ230" s="1"/>
      <c r="NDA230" s="1"/>
      <c r="NDB230" s="1"/>
      <c r="NDC230" s="1"/>
      <c r="NDD230" s="1"/>
      <c r="NDE230" s="1"/>
      <c r="NDF230" s="1"/>
      <c r="NDG230" s="1"/>
      <c r="NDH230" s="1"/>
      <c r="NDI230" s="1"/>
      <c r="NDJ230" s="1"/>
      <c r="NDK230" s="1"/>
      <c r="NDL230" s="1"/>
      <c r="NDM230" s="1"/>
      <c r="NDN230" s="1"/>
      <c r="NDO230" s="1"/>
      <c r="NDP230" s="1"/>
      <c r="NDQ230" s="1"/>
      <c r="NDR230" s="1"/>
      <c r="NDS230" s="1"/>
      <c r="NDT230" s="1"/>
      <c r="NDU230" s="1"/>
      <c r="NDV230" s="1"/>
      <c r="NDW230" s="1"/>
      <c r="NDX230" s="1"/>
      <c r="NDY230" s="1"/>
      <c r="NDZ230" s="1"/>
      <c r="NEA230" s="1"/>
      <c r="NEB230" s="1"/>
      <c r="NEC230" s="1"/>
      <c r="NED230" s="1"/>
      <c r="NEE230" s="1"/>
      <c r="NEF230" s="1"/>
      <c r="NEG230" s="1"/>
      <c r="NEH230" s="1"/>
      <c r="NEI230" s="1"/>
      <c r="NEJ230" s="1"/>
      <c r="NEK230" s="1"/>
      <c r="NEL230" s="1"/>
      <c r="NEM230" s="1"/>
      <c r="NEN230" s="1"/>
      <c r="NEO230" s="1"/>
      <c r="NEP230" s="1"/>
      <c r="NEQ230" s="1"/>
      <c r="NER230" s="1"/>
      <c r="NES230" s="1"/>
      <c r="NET230" s="1"/>
      <c r="NEU230" s="1"/>
      <c r="NEV230" s="1"/>
      <c r="NEW230" s="1"/>
      <c r="NEX230" s="1"/>
      <c r="NEY230" s="1"/>
      <c r="NEZ230" s="1"/>
      <c r="NFA230" s="1"/>
      <c r="NFB230" s="1"/>
      <c r="NFC230" s="1"/>
      <c r="NFD230" s="1"/>
      <c r="NFE230" s="1"/>
      <c r="NFF230" s="1"/>
      <c r="NFG230" s="1"/>
      <c r="NFH230" s="1"/>
      <c r="NFI230" s="1"/>
      <c r="NFJ230" s="1"/>
      <c r="NFK230" s="1"/>
      <c r="NFL230" s="1"/>
      <c r="NFM230" s="1"/>
      <c r="NFN230" s="1"/>
      <c r="NFO230" s="1"/>
      <c r="NFP230" s="1"/>
      <c r="NFQ230" s="1"/>
      <c r="NFR230" s="1"/>
      <c r="NFS230" s="1"/>
      <c r="NFT230" s="1"/>
      <c r="NFU230" s="1"/>
      <c r="NFV230" s="1"/>
      <c r="NFW230" s="1"/>
      <c r="NFX230" s="1"/>
      <c r="NFY230" s="1"/>
      <c r="NFZ230" s="1"/>
      <c r="NGA230" s="1"/>
      <c r="NGB230" s="1"/>
      <c r="NGC230" s="1"/>
      <c r="NGD230" s="1"/>
      <c r="NGE230" s="1"/>
      <c r="NGF230" s="1"/>
      <c r="NGG230" s="1"/>
      <c r="NGH230" s="1"/>
      <c r="NGI230" s="1"/>
      <c r="NGJ230" s="1"/>
      <c r="NGK230" s="1"/>
      <c r="NGL230" s="1"/>
      <c r="NGM230" s="1"/>
      <c r="NGN230" s="1"/>
      <c r="NGO230" s="1"/>
      <c r="NGP230" s="1"/>
      <c r="NGQ230" s="1"/>
      <c r="NGR230" s="1"/>
      <c r="NGS230" s="1"/>
      <c r="NGT230" s="1"/>
      <c r="NGU230" s="1"/>
      <c r="NGV230" s="1"/>
      <c r="NGW230" s="1"/>
      <c r="NGX230" s="1"/>
      <c r="NGY230" s="1"/>
      <c r="NGZ230" s="1"/>
      <c r="NHA230" s="1"/>
      <c r="NHB230" s="1"/>
      <c r="NHC230" s="1"/>
      <c r="NHD230" s="1"/>
      <c r="NHE230" s="1"/>
      <c r="NHF230" s="1"/>
      <c r="NHG230" s="1"/>
      <c r="NHH230" s="1"/>
      <c r="NHI230" s="1"/>
      <c r="NHJ230" s="1"/>
      <c r="NHK230" s="1"/>
      <c r="NHL230" s="1"/>
      <c r="NHM230" s="1"/>
      <c r="NHN230" s="1"/>
      <c r="NHO230" s="1"/>
      <c r="NHP230" s="1"/>
      <c r="NHQ230" s="1"/>
      <c r="NHR230" s="1"/>
      <c r="NHS230" s="1"/>
      <c r="NHT230" s="1"/>
      <c r="NHU230" s="1"/>
      <c r="NHV230" s="1"/>
      <c r="NHW230" s="1"/>
      <c r="NHX230" s="1"/>
      <c r="NHY230" s="1"/>
      <c r="NHZ230" s="1"/>
      <c r="NIA230" s="1"/>
      <c r="NIB230" s="1"/>
      <c r="NIC230" s="1"/>
      <c r="NID230" s="1"/>
      <c r="NIE230" s="1"/>
      <c r="NIF230" s="1"/>
      <c r="NIG230" s="1"/>
      <c r="NIH230" s="1"/>
      <c r="NII230" s="1"/>
      <c r="NIJ230" s="1"/>
      <c r="NIK230" s="1"/>
      <c r="NIL230" s="1"/>
      <c r="NIM230" s="1"/>
      <c r="NIN230" s="1"/>
      <c r="NIO230" s="1"/>
      <c r="NIP230" s="1"/>
      <c r="NIQ230" s="1"/>
      <c r="NIR230" s="1"/>
      <c r="NIS230" s="1"/>
      <c r="NIT230" s="1"/>
      <c r="NIU230" s="1"/>
      <c r="NIV230" s="1"/>
      <c r="NIW230" s="1"/>
      <c r="NIX230" s="1"/>
      <c r="NIY230" s="1"/>
      <c r="NIZ230" s="1"/>
      <c r="NJA230" s="1"/>
      <c r="NJB230" s="1"/>
      <c r="NJC230" s="1"/>
      <c r="NJD230" s="1"/>
      <c r="NJE230" s="1"/>
      <c r="NJF230" s="1"/>
      <c r="NJG230" s="1"/>
      <c r="NJH230" s="1"/>
      <c r="NJI230" s="1"/>
      <c r="NJJ230" s="1"/>
      <c r="NJK230" s="1"/>
      <c r="NJL230" s="1"/>
      <c r="NJM230" s="1"/>
      <c r="NJN230" s="1"/>
      <c r="NJO230" s="1"/>
      <c r="NJP230" s="1"/>
      <c r="NJQ230" s="1"/>
      <c r="NJR230" s="1"/>
      <c r="NJS230" s="1"/>
      <c r="NJT230" s="1"/>
      <c r="NJU230" s="1"/>
      <c r="NJV230" s="1"/>
      <c r="NJW230" s="1"/>
      <c r="NJX230" s="1"/>
      <c r="NJY230" s="1"/>
      <c r="NJZ230" s="1"/>
      <c r="NKA230" s="1"/>
      <c r="NKB230" s="1"/>
      <c r="NKC230" s="1"/>
      <c r="NKD230" s="1"/>
      <c r="NKE230" s="1"/>
      <c r="NKF230" s="1"/>
      <c r="NKG230" s="1"/>
      <c r="NKH230" s="1"/>
      <c r="NKI230" s="1"/>
      <c r="NKJ230" s="1"/>
      <c r="NKK230" s="1"/>
      <c r="NKL230" s="1"/>
      <c r="NKM230" s="1"/>
      <c r="NKN230" s="1"/>
      <c r="NKO230" s="1"/>
      <c r="NKP230" s="1"/>
      <c r="NKQ230" s="1"/>
      <c r="NKR230" s="1"/>
      <c r="NKS230" s="1"/>
      <c r="NKT230" s="1"/>
      <c r="NKU230" s="1"/>
      <c r="NKV230" s="1"/>
      <c r="NKW230" s="1"/>
      <c r="NKX230" s="1"/>
      <c r="NKY230" s="1"/>
      <c r="NKZ230" s="1"/>
      <c r="NLA230" s="1"/>
      <c r="NLB230" s="1"/>
      <c r="NLC230" s="1"/>
      <c r="NLD230" s="1"/>
      <c r="NLE230" s="1"/>
      <c r="NLF230" s="1"/>
      <c r="NLG230" s="1"/>
      <c r="NLH230" s="1"/>
      <c r="NLI230" s="1"/>
      <c r="NLJ230" s="1"/>
      <c r="NLK230" s="1"/>
      <c r="NLL230" s="1"/>
      <c r="NLM230" s="1"/>
      <c r="NLN230" s="1"/>
      <c r="NLO230" s="1"/>
      <c r="NLP230" s="1"/>
      <c r="NLQ230" s="1"/>
      <c r="NLR230" s="1"/>
      <c r="NLS230" s="1"/>
      <c r="NLT230" s="1"/>
      <c r="NLU230" s="1"/>
      <c r="NLV230" s="1"/>
      <c r="NLW230" s="1"/>
      <c r="NLX230" s="1"/>
      <c r="NLY230" s="1"/>
      <c r="NLZ230" s="1"/>
      <c r="NMA230" s="1"/>
      <c r="NMB230" s="1"/>
      <c r="NMC230" s="1"/>
      <c r="NMD230" s="1"/>
      <c r="NME230" s="1"/>
      <c r="NMF230" s="1"/>
      <c r="NMG230" s="1"/>
      <c r="NMH230" s="1"/>
      <c r="NMI230" s="1"/>
      <c r="NMJ230" s="1"/>
      <c r="NMK230" s="1"/>
      <c r="NML230" s="1"/>
      <c r="NMM230" s="1"/>
      <c r="NMN230" s="1"/>
      <c r="NMO230" s="1"/>
      <c r="NMP230" s="1"/>
      <c r="NMQ230" s="1"/>
      <c r="NMR230" s="1"/>
      <c r="NMS230" s="1"/>
      <c r="NMT230" s="1"/>
      <c r="NMU230" s="1"/>
      <c r="NMV230" s="1"/>
      <c r="NMW230" s="1"/>
      <c r="NMX230" s="1"/>
      <c r="NMY230" s="1"/>
      <c r="NMZ230" s="1"/>
      <c r="NNA230" s="1"/>
      <c r="NNB230" s="1"/>
      <c r="NNC230" s="1"/>
      <c r="NND230" s="1"/>
      <c r="NNE230" s="1"/>
      <c r="NNF230" s="1"/>
      <c r="NNG230" s="1"/>
      <c r="NNH230" s="1"/>
      <c r="NNI230" s="1"/>
      <c r="NNJ230" s="1"/>
      <c r="NNK230" s="1"/>
      <c r="NNL230" s="1"/>
      <c r="NNM230" s="1"/>
      <c r="NNN230" s="1"/>
      <c r="NNO230" s="1"/>
      <c r="NNP230" s="1"/>
      <c r="NNQ230" s="1"/>
      <c r="NNR230" s="1"/>
      <c r="NNS230" s="1"/>
      <c r="NNT230" s="1"/>
      <c r="NNU230" s="1"/>
      <c r="NNV230" s="1"/>
      <c r="NNW230" s="1"/>
      <c r="NNX230" s="1"/>
      <c r="NNY230" s="1"/>
      <c r="NNZ230" s="1"/>
      <c r="NOA230" s="1"/>
      <c r="NOB230" s="1"/>
      <c r="NOC230" s="1"/>
      <c r="NOD230" s="1"/>
      <c r="NOE230" s="1"/>
      <c r="NOF230" s="1"/>
      <c r="NOG230" s="1"/>
      <c r="NOH230" s="1"/>
      <c r="NOI230" s="1"/>
      <c r="NOJ230" s="1"/>
      <c r="NOK230" s="1"/>
      <c r="NOL230" s="1"/>
      <c r="NOM230" s="1"/>
      <c r="NON230" s="1"/>
      <c r="NOO230" s="1"/>
      <c r="NOP230" s="1"/>
      <c r="NOQ230" s="1"/>
      <c r="NOR230" s="1"/>
      <c r="NOS230" s="1"/>
      <c r="NOT230" s="1"/>
      <c r="NOU230" s="1"/>
      <c r="NOV230" s="1"/>
      <c r="NOW230" s="1"/>
      <c r="NOX230" s="1"/>
      <c r="NOY230" s="1"/>
      <c r="NOZ230" s="1"/>
      <c r="NPA230" s="1"/>
      <c r="NPB230" s="1"/>
      <c r="NPC230" s="1"/>
      <c r="NPD230" s="1"/>
      <c r="NPE230" s="1"/>
      <c r="NPF230" s="1"/>
      <c r="NPG230" s="1"/>
      <c r="NPH230" s="1"/>
      <c r="NPI230" s="1"/>
      <c r="NPJ230" s="1"/>
      <c r="NPK230" s="1"/>
      <c r="NPL230" s="1"/>
      <c r="NPM230" s="1"/>
      <c r="NPN230" s="1"/>
      <c r="NPO230" s="1"/>
      <c r="NPP230" s="1"/>
      <c r="NPQ230" s="1"/>
      <c r="NPR230" s="1"/>
      <c r="NPS230" s="1"/>
      <c r="NPT230" s="1"/>
      <c r="NPU230" s="1"/>
      <c r="NPV230" s="1"/>
      <c r="NPW230" s="1"/>
      <c r="NPX230" s="1"/>
      <c r="NPY230" s="1"/>
      <c r="NPZ230" s="1"/>
      <c r="NQA230" s="1"/>
      <c r="NQB230" s="1"/>
      <c r="NQC230" s="1"/>
      <c r="NQD230" s="1"/>
      <c r="NQE230" s="1"/>
      <c r="NQF230" s="1"/>
      <c r="NQG230" s="1"/>
      <c r="NQH230" s="1"/>
      <c r="NQI230" s="1"/>
      <c r="NQJ230" s="1"/>
      <c r="NQK230" s="1"/>
      <c r="NQL230" s="1"/>
      <c r="NQM230" s="1"/>
      <c r="NQN230" s="1"/>
      <c r="NQO230" s="1"/>
      <c r="NQP230" s="1"/>
      <c r="NQQ230" s="1"/>
      <c r="NQR230" s="1"/>
      <c r="NQS230" s="1"/>
      <c r="NQT230" s="1"/>
      <c r="NQU230" s="1"/>
      <c r="NQV230" s="1"/>
      <c r="NQW230" s="1"/>
      <c r="NQX230" s="1"/>
      <c r="NQY230" s="1"/>
      <c r="NQZ230" s="1"/>
      <c r="NRA230" s="1"/>
      <c r="NRB230" s="1"/>
      <c r="NRC230" s="1"/>
      <c r="NRD230" s="1"/>
      <c r="NRE230" s="1"/>
      <c r="NRF230" s="1"/>
      <c r="NRG230" s="1"/>
      <c r="NRH230" s="1"/>
      <c r="NRI230" s="1"/>
      <c r="NRJ230" s="1"/>
      <c r="NRK230" s="1"/>
      <c r="NRL230" s="1"/>
      <c r="NRM230" s="1"/>
      <c r="NRN230" s="1"/>
      <c r="NRO230" s="1"/>
      <c r="NRP230" s="1"/>
      <c r="NRQ230" s="1"/>
      <c r="NRR230" s="1"/>
      <c r="NRS230" s="1"/>
      <c r="NRT230" s="1"/>
      <c r="NRU230" s="1"/>
      <c r="NRV230" s="1"/>
      <c r="NRW230" s="1"/>
      <c r="NRX230" s="1"/>
      <c r="NRY230" s="1"/>
      <c r="NRZ230" s="1"/>
      <c r="NSA230" s="1"/>
      <c r="NSB230" s="1"/>
      <c r="NSC230" s="1"/>
      <c r="NSD230" s="1"/>
      <c r="NSE230" s="1"/>
      <c r="NSF230" s="1"/>
      <c r="NSG230" s="1"/>
      <c r="NSH230" s="1"/>
      <c r="NSI230" s="1"/>
      <c r="NSJ230" s="1"/>
      <c r="NSK230" s="1"/>
      <c r="NSL230" s="1"/>
      <c r="NSM230" s="1"/>
      <c r="NSN230" s="1"/>
      <c r="NSO230" s="1"/>
      <c r="NSP230" s="1"/>
      <c r="NSQ230" s="1"/>
      <c r="NSR230" s="1"/>
      <c r="NSS230" s="1"/>
      <c r="NST230" s="1"/>
      <c r="NSU230" s="1"/>
      <c r="NSV230" s="1"/>
      <c r="NSW230" s="1"/>
      <c r="NSX230" s="1"/>
      <c r="NSY230" s="1"/>
      <c r="NSZ230" s="1"/>
      <c r="NTA230" s="1"/>
      <c r="NTB230" s="1"/>
      <c r="NTC230" s="1"/>
      <c r="NTD230" s="1"/>
      <c r="NTE230" s="1"/>
      <c r="NTF230" s="1"/>
      <c r="NTG230" s="1"/>
      <c r="NTH230" s="1"/>
      <c r="NTI230" s="1"/>
      <c r="NTJ230" s="1"/>
      <c r="NTK230" s="1"/>
      <c r="NTL230" s="1"/>
      <c r="NTM230" s="1"/>
      <c r="NTN230" s="1"/>
      <c r="NTO230" s="1"/>
      <c r="NTP230" s="1"/>
      <c r="NTQ230" s="1"/>
      <c r="NTR230" s="1"/>
      <c r="NTS230" s="1"/>
      <c r="NTT230" s="1"/>
      <c r="NTU230" s="1"/>
      <c r="NTV230" s="1"/>
      <c r="NTW230" s="1"/>
      <c r="NTX230" s="1"/>
      <c r="NTY230" s="1"/>
      <c r="NTZ230" s="1"/>
      <c r="NUA230" s="1"/>
      <c r="NUB230" s="1"/>
      <c r="NUC230" s="1"/>
      <c r="NUD230" s="1"/>
      <c r="NUE230" s="1"/>
      <c r="NUF230" s="1"/>
      <c r="NUG230" s="1"/>
      <c r="NUH230" s="1"/>
      <c r="NUI230" s="1"/>
      <c r="NUJ230" s="1"/>
      <c r="NUK230" s="1"/>
      <c r="NUL230" s="1"/>
      <c r="NUM230" s="1"/>
      <c r="NUN230" s="1"/>
      <c r="NUO230" s="1"/>
      <c r="NUP230" s="1"/>
      <c r="NUQ230" s="1"/>
      <c r="NUR230" s="1"/>
      <c r="NUS230" s="1"/>
      <c r="NUT230" s="1"/>
      <c r="NUU230" s="1"/>
      <c r="NUV230" s="1"/>
      <c r="NUW230" s="1"/>
      <c r="NUX230" s="1"/>
      <c r="NUY230" s="1"/>
      <c r="NUZ230" s="1"/>
      <c r="NVA230" s="1"/>
      <c r="NVB230" s="1"/>
      <c r="NVC230" s="1"/>
      <c r="NVD230" s="1"/>
      <c r="NVE230" s="1"/>
      <c r="NVF230" s="1"/>
      <c r="NVG230" s="1"/>
      <c r="NVH230" s="1"/>
      <c r="NVI230" s="1"/>
      <c r="NVJ230" s="1"/>
      <c r="NVK230" s="1"/>
      <c r="NVL230" s="1"/>
      <c r="NVM230" s="1"/>
      <c r="NVN230" s="1"/>
      <c r="NVO230" s="1"/>
      <c r="NVP230" s="1"/>
      <c r="NVQ230" s="1"/>
      <c r="NVR230" s="1"/>
      <c r="NVS230" s="1"/>
      <c r="NVT230" s="1"/>
      <c r="NVU230" s="1"/>
      <c r="NVV230" s="1"/>
      <c r="NVW230" s="1"/>
      <c r="NVX230" s="1"/>
      <c r="NVY230" s="1"/>
      <c r="NVZ230" s="1"/>
      <c r="NWA230" s="1"/>
      <c r="NWB230" s="1"/>
      <c r="NWC230" s="1"/>
      <c r="NWD230" s="1"/>
      <c r="NWE230" s="1"/>
      <c r="NWF230" s="1"/>
      <c r="NWG230" s="1"/>
      <c r="NWH230" s="1"/>
      <c r="NWI230" s="1"/>
      <c r="NWJ230" s="1"/>
      <c r="NWK230" s="1"/>
      <c r="NWL230" s="1"/>
      <c r="NWM230" s="1"/>
      <c r="NWN230" s="1"/>
      <c r="NWO230" s="1"/>
      <c r="NWP230" s="1"/>
      <c r="NWQ230" s="1"/>
      <c r="NWR230" s="1"/>
      <c r="NWS230" s="1"/>
      <c r="NWT230" s="1"/>
      <c r="NWU230" s="1"/>
      <c r="NWV230" s="1"/>
      <c r="NWW230" s="1"/>
      <c r="NWX230" s="1"/>
      <c r="NWY230" s="1"/>
      <c r="NWZ230" s="1"/>
      <c r="NXA230" s="1"/>
      <c r="NXB230" s="1"/>
      <c r="NXC230" s="1"/>
      <c r="NXD230" s="1"/>
      <c r="NXE230" s="1"/>
      <c r="NXF230" s="1"/>
      <c r="NXG230" s="1"/>
      <c r="NXH230" s="1"/>
      <c r="NXI230" s="1"/>
      <c r="NXJ230" s="1"/>
      <c r="NXK230" s="1"/>
      <c r="NXL230" s="1"/>
      <c r="NXM230" s="1"/>
      <c r="NXN230" s="1"/>
      <c r="NXO230" s="1"/>
      <c r="NXP230" s="1"/>
      <c r="NXQ230" s="1"/>
      <c r="NXR230" s="1"/>
      <c r="NXS230" s="1"/>
      <c r="NXT230" s="1"/>
      <c r="NXU230" s="1"/>
      <c r="NXV230" s="1"/>
      <c r="NXW230" s="1"/>
      <c r="NXX230" s="1"/>
      <c r="NXY230" s="1"/>
      <c r="NXZ230" s="1"/>
      <c r="NYA230" s="1"/>
      <c r="NYB230" s="1"/>
      <c r="NYC230" s="1"/>
      <c r="NYD230" s="1"/>
      <c r="NYE230" s="1"/>
      <c r="NYF230" s="1"/>
      <c r="NYG230" s="1"/>
      <c r="NYH230" s="1"/>
      <c r="NYI230" s="1"/>
      <c r="NYJ230" s="1"/>
      <c r="NYK230" s="1"/>
      <c r="NYL230" s="1"/>
      <c r="NYM230" s="1"/>
      <c r="NYN230" s="1"/>
      <c r="NYO230" s="1"/>
      <c r="NYP230" s="1"/>
      <c r="NYQ230" s="1"/>
      <c r="NYR230" s="1"/>
      <c r="NYS230" s="1"/>
      <c r="NYT230" s="1"/>
      <c r="NYU230" s="1"/>
      <c r="NYV230" s="1"/>
      <c r="NYW230" s="1"/>
      <c r="NYX230" s="1"/>
      <c r="NYY230" s="1"/>
      <c r="NYZ230" s="1"/>
      <c r="NZA230" s="1"/>
      <c r="NZB230" s="1"/>
      <c r="NZC230" s="1"/>
      <c r="NZD230" s="1"/>
      <c r="NZE230" s="1"/>
      <c r="NZF230" s="1"/>
      <c r="NZG230" s="1"/>
      <c r="NZH230" s="1"/>
      <c r="NZI230" s="1"/>
      <c r="NZJ230" s="1"/>
      <c r="NZK230" s="1"/>
      <c r="NZL230" s="1"/>
      <c r="NZM230" s="1"/>
      <c r="NZN230" s="1"/>
      <c r="NZO230" s="1"/>
      <c r="NZP230" s="1"/>
      <c r="NZQ230" s="1"/>
      <c r="NZR230" s="1"/>
      <c r="NZS230" s="1"/>
      <c r="NZT230" s="1"/>
      <c r="NZU230" s="1"/>
      <c r="NZV230" s="1"/>
      <c r="NZW230" s="1"/>
      <c r="NZX230" s="1"/>
      <c r="NZY230" s="1"/>
      <c r="NZZ230" s="1"/>
      <c r="OAA230" s="1"/>
      <c r="OAB230" s="1"/>
      <c r="OAC230" s="1"/>
      <c r="OAD230" s="1"/>
      <c r="OAE230" s="1"/>
      <c r="OAF230" s="1"/>
      <c r="OAG230" s="1"/>
      <c r="OAH230" s="1"/>
      <c r="OAI230" s="1"/>
      <c r="OAJ230" s="1"/>
      <c r="OAK230" s="1"/>
      <c r="OAL230" s="1"/>
      <c r="OAM230" s="1"/>
      <c r="OAN230" s="1"/>
      <c r="OAO230" s="1"/>
      <c r="OAP230" s="1"/>
      <c r="OAQ230" s="1"/>
      <c r="OAR230" s="1"/>
      <c r="OAS230" s="1"/>
      <c r="OAT230" s="1"/>
      <c r="OAU230" s="1"/>
      <c r="OAV230" s="1"/>
      <c r="OAW230" s="1"/>
      <c r="OAX230" s="1"/>
      <c r="OAY230" s="1"/>
      <c r="OAZ230" s="1"/>
      <c r="OBA230" s="1"/>
      <c r="OBB230" s="1"/>
      <c r="OBC230" s="1"/>
      <c r="OBD230" s="1"/>
      <c r="OBE230" s="1"/>
      <c r="OBF230" s="1"/>
      <c r="OBG230" s="1"/>
      <c r="OBH230" s="1"/>
      <c r="OBI230" s="1"/>
      <c r="OBJ230" s="1"/>
      <c r="OBK230" s="1"/>
      <c r="OBL230" s="1"/>
      <c r="OBM230" s="1"/>
      <c r="OBN230" s="1"/>
      <c r="OBO230" s="1"/>
      <c r="OBP230" s="1"/>
      <c r="OBQ230" s="1"/>
      <c r="OBR230" s="1"/>
      <c r="OBS230" s="1"/>
      <c r="OBT230" s="1"/>
      <c r="OBU230" s="1"/>
      <c r="OBV230" s="1"/>
      <c r="OBW230" s="1"/>
      <c r="OBX230" s="1"/>
      <c r="OBY230" s="1"/>
      <c r="OBZ230" s="1"/>
      <c r="OCA230" s="1"/>
      <c r="OCB230" s="1"/>
      <c r="OCC230" s="1"/>
      <c r="OCD230" s="1"/>
      <c r="OCE230" s="1"/>
      <c r="OCF230" s="1"/>
      <c r="OCG230" s="1"/>
      <c r="OCH230" s="1"/>
      <c r="OCI230" s="1"/>
      <c r="OCJ230" s="1"/>
      <c r="OCK230" s="1"/>
      <c r="OCL230" s="1"/>
      <c r="OCM230" s="1"/>
      <c r="OCN230" s="1"/>
      <c r="OCO230" s="1"/>
      <c r="OCP230" s="1"/>
      <c r="OCQ230" s="1"/>
      <c r="OCR230" s="1"/>
      <c r="OCS230" s="1"/>
      <c r="OCT230" s="1"/>
      <c r="OCU230" s="1"/>
      <c r="OCV230" s="1"/>
      <c r="OCW230" s="1"/>
      <c r="OCX230" s="1"/>
      <c r="OCY230" s="1"/>
      <c r="OCZ230" s="1"/>
      <c r="ODA230" s="1"/>
      <c r="ODB230" s="1"/>
      <c r="ODC230" s="1"/>
      <c r="ODD230" s="1"/>
      <c r="ODE230" s="1"/>
      <c r="ODF230" s="1"/>
      <c r="ODG230" s="1"/>
      <c r="ODH230" s="1"/>
      <c r="ODI230" s="1"/>
      <c r="ODJ230" s="1"/>
      <c r="ODK230" s="1"/>
      <c r="ODL230" s="1"/>
      <c r="ODM230" s="1"/>
      <c r="ODN230" s="1"/>
      <c r="ODO230" s="1"/>
      <c r="ODP230" s="1"/>
      <c r="ODQ230" s="1"/>
      <c r="ODR230" s="1"/>
      <c r="ODS230" s="1"/>
      <c r="ODT230" s="1"/>
      <c r="ODU230" s="1"/>
      <c r="ODV230" s="1"/>
      <c r="ODW230" s="1"/>
      <c r="ODX230" s="1"/>
      <c r="ODY230" s="1"/>
      <c r="ODZ230" s="1"/>
      <c r="OEA230" s="1"/>
      <c r="OEB230" s="1"/>
      <c r="OEC230" s="1"/>
      <c r="OED230" s="1"/>
      <c r="OEE230" s="1"/>
      <c r="OEF230" s="1"/>
      <c r="OEG230" s="1"/>
      <c r="OEH230" s="1"/>
      <c r="OEI230" s="1"/>
      <c r="OEJ230" s="1"/>
      <c r="OEK230" s="1"/>
      <c r="OEL230" s="1"/>
      <c r="OEM230" s="1"/>
      <c r="OEN230" s="1"/>
      <c r="OEO230" s="1"/>
      <c r="OEP230" s="1"/>
      <c r="OEQ230" s="1"/>
      <c r="OER230" s="1"/>
      <c r="OES230" s="1"/>
      <c r="OET230" s="1"/>
      <c r="OEU230" s="1"/>
      <c r="OEV230" s="1"/>
      <c r="OEW230" s="1"/>
      <c r="OEX230" s="1"/>
      <c r="OEY230" s="1"/>
      <c r="OEZ230" s="1"/>
      <c r="OFA230" s="1"/>
      <c r="OFB230" s="1"/>
      <c r="OFC230" s="1"/>
      <c r="OFD230" s="1"/>
      <c r="OFE230" s="1"/>
      <c r="OFF230" s="1"/>
      <c r="OFG230" s="1"/>
      <c r="OFH230" s="1"/>
      <c r="OFI230" s="1"/>
      <c r="OFJ230" s="1"/>
      <c r="OFK230" s="1"/>
      <c r="OFL230" s="1"/>
      <c r="OFM230" s="1"/>
      <c r="OFN230" s="1"/>
      <c r="OFO230" s="1"/>
      <c r="OFP230" s="1"/>
      <c r="OFQ230" s="1"/>
      <c r="OFR230" s="1"/>
      <c r="OFS230" s="1"/>
      <c r="OFT230" s="1"/>
      <c r="OFU230" s="1"/>
      <c r="OFV230" s="1"/>
      <c r="OFW230" s="1"/>
      <c r="OFX230" s="1"/>
      <c r="OFY230" s="1"/>
      <c r="OFZ230" s="1"/>
      <c r="OGA230" s="1"/>
      <c r="OGB230" s="1"/>
      <c r="OGC230" s="1"/>
      <c r="OGD230" s="1"/>
      <c r="OGE230" s="1"/>
      <c r="OGF230" s="1"/>
      <c r="OGG230" s="1"/>
      <c r="OGH230" s="1"/>
      <c r="OGI230" s="1"/>
      <c r="OGJ230" s="1"/>
      <c r="OGK230" s="1"/>
      <c r="OGL230" s="1"/>
      <c r="OGM230" s="1"/>
      <c r="OGN230" s="1"/>
      <c r="OGO230" s="1"/>
      <c r="OGP230" s="1"/>
      <c r="OGQ230" s="1"/>
      <c r="OGR230" s="1"/>
      <c r="OGS230" s="1"/>
      <c r="OGT230" s="1"/>
      <c r="OGU230" s="1"/>
      <c r="OGV230" s="1"/>
      <c r="OGW230" s="1"/>
      <c r="OGX230" s="1"/>
      <c r="OGY230" s="1"/>
      <c r="OGZ230" s="1"/>
      <c r="OHA230" s="1"/>
      <c r="OHB230" s="1"/>
      <c r="OHC230" s="1"/>
      <c r="OHD230" s="1"/>
      <c r="OHE230" s="1"/>
      <c r="OHF230" s="1"/>
      <c r="OHG230" s="1"/>
      <c r="OHH230" s="1"/>
      <c r="OHI230" s="1"/>
      <c r="OHJ230" s="1"/>
      <c r="OHK230" s="1"/>
      <c r="OHL230" s="1"/>
      <c r="OHM230" s="1"/>
      <c r="OHN230" s="1"/>
      <c r="OHO230" s="1"/>
      <c r="OHP230" s="1"/>
      <c r="OHQ230" s="1"/>
      <c r="OHR230" s="1"/>
      <c r="OHS230" s="1"/>
      <c r="OHT230" s="1"/>
      <c r="OHU230" s="1"/>
      <c r="OHV230" s="1"/>
      <c r="OHW230" s="1"/>
      <c r="OHX230" s="1"/>
      <c r="OHY230" s="1"/>
      <c r="OHZ230" s="1"/>
      <c r="OIA230" s="1"/>
      <c r="OIB230" s="1"/>
      <c r="OIC230" s="1"/>
      <c r="OID230" s="1"/>
      <c r="OIE230" s="1"/>
      <c r="OIF230" s="1"/>
      <c r="OIG230" s="1"/>
      <c r="OIH230" s="1"/>
      <c r="OII230" s="1"/>
      <c r="OIJ230" s="1"/>
      <c r="OIK230" s="1"/>
      <c r="OIL230" s="1"/>
      <c r="OIM230" s="1"/>
      <c r="OIN230" s="1"/>
      <c r="OIO230" s="1"/>
      <c r="OIP230" s="1"/>
      <c r="OIQ230" s="1"/>
      <c r="OIR230" s="1"/>
      <c r="OIS230" s="1"/>
      <c r="OIT230" s="1"/>
      <c r="OIU230" s="1"/>
      <c r="OIV230" s="1"/>
      <c r="OIW230" s="1"/>
      <c r="OIX230" s="1"/>
      <c r="OIY230" s="1"/>
      <c r="OIZ230" s="1"/>
      <c r="OJA230" s="1"/>
      <c r="OJB230" s="1"/>
      <c r="OJC230" s="1"/>
      <c r="OJD230" s="1"/>
      <c r="OJE230" s="1"/>
      <c r="OJF230" s="1"/>
      <c r="OJG230" s="1"/>
      <c r="OJH230" s="1"/>
      <c r="OJI230" s="1"/>
      <c r="OJJ230" s="1"/>
      <c r="OJK230" s="1"/>
      <c r="OJL230" s="1"/>
      <c r="OJM230" s="1"/>
      <c r="OJN230" s="1"/>
      <c r="OJO230" s="1"/>
      <c r="OJP230" s="1"/>
      <c r="OJQ230" s="1"/>
      <c r="OJR230" s="1"/>
      <c r="OJS230" s="1"/>
      <c r="OJT230" s="1"/>
      <c r="OJU230" s="1"/>
      <c r="OJV230" s="1"/>
      <c r="OJW230" s="1"/>
      <c r="OJX230" s="1"/>
      <c r="OJY230" s="1"/>
      <c r="OJZ230" s="1"/>
      <c r="OKA230" s="1"/>
      <c r="OKB230" s="1"/>
      <c r="OKC230" s="1"/>
      <c r="OKD230" s="1"/>
      <c r="OKE230" s="1"/>
      <c r="OKF230" s="1"/>
      <c r="OKG230" s="1"/>
      <c r="OKH230" s="1"/>
      <c r="OKI230" s="1"/>
      <c r="OKJ230" s="1"/>
      <c r="OKK230" s="1"/>
      <c r="OKL230" s="1"/>
      <c r="OKM230" s="1"/>
      <c r="OKN230" s="1"/>
      <c r="OKO230" s="1"/>
      <c r="OKP230" s="1"/>
      <c r="OKQ230" s="1"/>
      <c r="OKR230" s="1"/>
      <c r="OKS230" s="1"/>
      <c r="OKT230" s="1"/>
      <c r="OKU230" s="1"/>
      <c r="OKV230" s="1"/>
      <c r="OKW230" s="1"/>
      <c r="OKX230" s="1"/>
      <c r="OKY230" s="1"/>
      <c r="OKZ230" s="1"/>
      <c r="OLA230" s="1"/>
      <c r="OLB230" s="1"/>
      <c r="OLC230" s="1"/>
      <c r="OLD230" s="1"/>
      <c r="OLE230" s="1"/>
      <c r="OLF230" s="1"/>
      <c r="OLG230" s="1"/>
      <c r="OLH230" s="1"/>
      <c r="OLI230" s="1"/>
      <c r="OLJ230" s="1"/>
      <c r="OLK230" s="1"/>
      <c r="OLL230" s="1"/>
      <c r="OLM230" s="1"/>
      <c r="OLN230" s="1"/>
      <c r="OLO230" s="1"/>
      <c r="OLP230" s="1"/>
      <c r="OLQ230" s="1"/>
      <c r="OLR230" s="1"/>
      <c r="OLS230" s="1"/>
      <c r="OLT230" s="1"/>
      <c r="OLU230" s="1"/>
      <c r="OLV230" s="1"/>
      <c r="OLW230" s="1"/>
      <c r="OLX230" s="1"/>
      <c r="OLY230" s="1"/>
      <c r="OLZ230" s="1"/>
      <c r="OMA230" s="1"/>
      <c r="OMB230" s="1"/>
      <c r="OMC230" s="1"/>
      <c r="OMD230" s="1"/>
      <c r="OME230" s="1"/>
      <c r="OMF230" s="1"/>
      <c r="OMG230" s="1"/>
      <c r="OMH230" s="1"/>
      <c r="OMI230" s="1"/>
      <c r="OMJ230" s="1"/>
      <c r="OMK230" s="1"/>
      <c r="OML230" s="1"/>
      <c r="OMM230" s="1"/>
      <c r="OMN230" s="1"/>
      <c r="OMO230" s="1"/>
      <c r="OMP230" s="1"/>
      <c r="OMQ230" s="1"/>
      <c r="OMR230" s="1"/>
      <c r="OMS230" s="1"/>
      <c r="OMT230" s="1"/>
      <c r="OMU230" s="1"/>
      <c r="OMV230" s="1"/>
      <c r="OMW230" s="1"/>
      <c r="OMX230" s="1"/>
      <c r="OMY230" s="1"/>
      <c r="OMZ230" s="1"/>
      <c r="ONA230" s="1"/>
      <c r="ONB230" s="1"/>
      <c r="ONC230" s="1"/>
      <c r="OND230" s="1"/>
      <c r="ONE230" s="1"/>
      <c r="ONF230" s="1"/>
      <c r="ONG230" s="1"/>
      <c r="ONH230" s="1"/>
      <c r="ONI230" s="1"/>
      <c r="ONJ230" s="1"/>
      <c r="ONK230" s="1"/>
      <c r="ONL230" s="1"/>
      <c r="ONM230" s="1"/>
      <c r="ONN230" s="1"/>
      <c r="ONO230" s="1"/>
      <c r="ONP230" s="1"/>
      <c r="ONQ230" s="1"/>
      <c r="ONR230" s="1"/>
      <c r="ONS230" s="1"/>
      <c r="ONT230" s="1"/>
      <c r="ONU230" s="1"/>
      <c r="ONV230" s="1"/>
      <c r="ONW230" s="1"/>
      <c r="ONX230" s="1"/>
      <c r="ONY230" s="1"/>
      <c r="ONZ230" s="1"/>
      <c r="OOA230" s="1"/>
      <c r="OOB230" s="1"/>
      <c r="OOC230" s="1"/>
      <c r="OOD230" s="1"/>
      <c r="OOE230" s="1"/>
      <c r="OOF230" s="1"/>
      <c r="OOG230" s="1"/>
      <c r="OOH230" s="1"/>
      <c r="OOI230" s="1"/>
      <c r="OOJ230" s="1"/>
      <c r="OOK230" s="1"/>
      <c r="OOL230" s="1"/>
      <c r="OOM230" s="1"/>
      <c r="OON230" s="1"/>
      <c r="OOO230" s="1"/>
      <c r="OOP230" s="1"/>
      <c r="OOQ230" s="1"/>
      <c r="OOR230" s="1"/>
      <c r="OOS230" s="1"/>
      <c r="OOT230" s="1"/>
      <c r="OOU230" s="1"/>
      <c r="OOV230" s="1"/>
      <c r="OOW230" s="1"/>
      <c r="OOX230" s="1"/>
      <c r="OOY230" s="1"/>
      <c r="OOZ230" s="1"/>
      <c r="OPA230" s="1"/>
      <c r="OPB230" s="1"/>
      <c r="OPC230" s="1"/>
      <c r="OPD230" s="1"/>
      <c r="OPE230" s="1"/>
      <c r="OPF230" s="1"/>
      <c r="OPG230" s="1"/>
      <c r="OPH230" s="1"/>
      <c r="OPI230" s="1"/>
      <c r="OPJ230" s="1"/>
      <c r="OPK230" s="1"/>
      <c r="OPL230" s="1"/>
      <c r="OPM230" s="1"/>
      <c r="OPN230" s="1"/>
      <c r="OPO230" s="1"/>
      <c r="OPP230" s="1"/>
      <c r="OPQ230" s="1"/>
      <c r="OPR230" s="1"/>
      <c r="OPS230" s="1"/>
      <c r="OPT230" s="1"/>
      <c r="OPU230" s="1"/>
      <c r="OPV230" s="1"/>
      <c r="OPW230" s="1"/>
      <c r="OPX230" s="1"/>
      <c r="OPY230" s="1"/>
      <c r="OPZ230" s="1"/>
      <c r="OQA230" s="1"/>
      <c r="OQB230" s="1"/>
      <c r="OQC230" s="1"/>
      <c r="OQD230" s="1"/>
      <c r="OQE230" s="1"/>
      <c r="OQF230" s="1"/>
      <c r="OQG230" s="1"/>
      <c r="OQH230" s="1"/>
      <c r="OQI230" s="1"/>
      <c r="OQJ230" s="1"/>
      <c r="OQK230" s="1"/>
      <c r="OQL230" s="1"/>
      <c r="OQM230" s="1"/>
      <c r="OQN230" s="1"/>
      <c r="OQO230" s="1"/>
      <c r="OQP230" s="1"/>
      <c r="OQQ230" s="1"/>
      <c r="OQR230" s="1"/>
      <c r="OQS230" s="1"/>
      <c r="OQT230" s="1"/>
      <c r="OQU230" s="1"/>
      <c r="OQV230" s="1"/>
      <c r="OQW230" s="1"/>
      <c r="OQX230" s="1"/>
      <c r="OQY230" s="1"/>
      <c r="OQZ230" s="1"/>
      <c r="ORA230" s="1"/>
      <c r="ORB230" s="1"/>
      <c r="ORC230" s="1"/>
      <c r="ORD230" s="1"/>
      <c r="ORE230" s="1"/>
      <c r="ORF230" s="1"/>
      <c r="ORG230" s="1"/>
      <c r="ORH230" s="1"/>
      <c r="ORI230" s="1"/>
      <c r="ORJ230" s="1"/>
      <c r="ORK230" s="1"/>
      <c r="ORL230" s="1"/>
      <c r="ORM230" s="1"/>
      <c r="ORN230" s="1"/>
      <c r="ORO230" s="1"/>
      <c r="ORP230" s="1"/>
      <c r="ORQ230" s="1"/>
      <c r="ORR230" s="1"/>
      <c r="ORS230" s="1"/>
      <c r="ORT230" s="1"/>
      <c r="ORU230" s="1"/>
      <c r="ORV230" s="1"/>
      <c r="ORW230" s="1"/>
      <c r="ORX230" s="1"/>
      <c r="ORY230" s="1"/>
      <c r="ORZ230" s="1"/>
      <c r="OSA230" s="1"/>
      <c r="OSB230" s="1"/>
      <c r="OSC230" s="1"/>
      <c r="OSD230" s="1"/>
      <c r="OSE230" s="1"/>
      <c r="OSF230" s="1"/>
      <c r="OSG230" s="1"/>
      <c r="OSH230" s="1"/>
      <c r="OSI230" s="1"/>
      <c r="OSJ230" s="1"/>
      <c r="OSK230" s="1"/>
      <c r="OSL230" s="1"/>
      <c r="OSM230" s="1"/>
      <c r="OSN230" s="1"/>
      <c r="OSO230" s="1"/>
      <c r="OSP230" s="1"/>
      <c r="OSQ230" s="1"/>
      <c r="OSR230" s="1"/>
      <c r="OSS230" s="1"/>
      <c r="OST230" s="1"/>
      <c r="OSU230" s="1"/>
      <c r="OSV230" s="1"/>
      <c r="OSW230" s="1"/>
      <c r="OSX230" s="1"/>
      <c r="OSY230" s="1"/>
      <c r="OSZ230" s="1"/>
      <c r="OTA230" s="1"/>
      <c r="OTB230" s="1"/>
      <c r="OTC230" s="1"/>
      <c r="OTD230" s="1"/>
      <c r="OTE230" s="1"/>
      <c r="OTF230" s="1"/>
      <c r="OTG230" s="1"/>
      <c r="OTH230" s="1"/>
      <c r="OTI230" s="1"/>
      <c r="OTJ230" s="1"/>
      <c r="OTK230" s="1"/>
      <c r="OTL230" s="1"/>
      <c r="OTM230" s="1"/>
      <c r="OTN230" s="1"/>
      <c r="OTO230" s="1"/>
      <c r="OTP230" s="1"/>
      <c r="OTQ230" s="1"/>
      <c r="OTR230" s="1"/>
      <c r="OTS230" s="1"/>
      <c r="OTT230" s="1"/>
      <c r="OTU230" s="1"/>
      <c r="OTV230" s="1"/>
      <c r="OTW230" s="1"/>
      <c r="OTX230" s="1"/>
      <c r="OTY230" s="1"/>
      <c r="OTZ230" s="1"/>
      <c r="OUA230" s="1"/>
      <c r="OUB230" s="1"/>
      <c r="OUC230" s="1"/>
      <c r="OUD230" s="1"/>
      <c r="OUE230" s="1"/>
      <c r="OUF230" s="1"/>
      <c r="OUG230" s="1"/>
      <c r="OUH230" s="1"/>
      <c r="OUI230" s="1"/>
      <c r="OUJ230" s="1"/>
      <c r="OUK230" s="1"/>
      <c r="OUL230" s="1"/>
      <c r="OUM230" s="1"/>
      <c r="OUN230" s="1"/>
      <c r="OUO230" s="1"/>
      <c r="OUP230" s="1"/>
      <c r="OUQ230" s="1"/>
      <c r="OUR230" s="1"/>
      <c r="OUS230" s="1"/>
      <c r="OUT230" s="1"/>
      <c r="OUU230" s="1"/>
      <c r="OUV230" s="1"/>
      <c r="OUW230" s="1"/>
      <c r="OUX230" s="1"/>
      <c r="OUY230" s="1"/>
      <c r="OUZ230" s="1"/>
      <c r="OVA230" s="1"/>
      <c r="OVB230" s="1"/>
      <c r="OVC230" s="1"/>
      <c r="OVD230" s="1"/>
      <c r="OVE230" s="1"/>
      <c r="OVF230" s="1"/>
      <c r="OVG230" s="1"/>
      <c r="OVH230" s="1"/>
      <c r="OVI230" s="1"/>
      <c r="OVJ230" s="1"/>
      <c r="OVK230" s="1"/>
      <c r="OVL230" s="1"/>
      <c r="OVM230" s="1"/>
      <c r="OVN230" s="1"/>
      <c r="OVO230" s="1"/>
      <c r="OVP230" s="1"/>
      <c r="OVQ230" s="1"/>
      <c r="OVR230" s="1"/>
      <c r="OVS230" s="1"/>
      <c r="OVT230" s="1"/>
      <c r="OVU230" s="1"/>
      <c r="OVV230" s="1"/>
      <c r="OVW230" s="1"/>
      <c r="OVX230" s="1"/>
      <c r="OVY230" s="1"/>
      <c r="OVZ230" s="1"/>
      <c r="OWA230" s="1"/>
      <c r="OWB230" s="1"/>
      <c r="OWC230" s="1"/>
      <c r="OWD230" s="1"/>
      <c r="OWE230" s="1"/>
      <c r="OWF230" s="1"/>
      <c r="OWG230" s="1"/>
      <c r="OWH230" s="1"/>
      <c r="OWI230" s="1"/>
      <c r="OWJ230" s="1"/>
      <c r="OWK230" s="1"/>
      <c r="OWL230" s="1"/>
      <c r="OWM230" s="1"/>
      <c r="OWN230" s="1"/>
      <c r="OWO230" s="1"/>
      <c r="OWP230" s="1"/>
      <c r="OWQ230" s="1"/>
      <c r="OWR230" s="1"/>
      <c r="OWS230" s="1"/>
      <c r="OWT230" s="1"/>
      <c r="OWU230" s="1"/>
      <c r="OWV230" s="1"/>
      <c r="OWW230" s="1"/>
      <c r="OWX230" s="1"/>
      <c r="OWY230" s="1"/>
      <c r="OWZ230" s="1"/>
      <c r="OXA230" s="1"/>
      <c r="OXB230" s="1"/>
      <c r="OXC230" s="1"/>
      <c r="OXD230" s="1"/>
      <c r="OXE230" s="1"/>
      <c r="OXF230" s="1"/>
      <c r="OXG230" s="1"/>
      <c r="OXH230" s="1"/>
      <c r="OXI230" s="1"/>
      <c r="OXJ230" s="1"/>
      <c r="OXK230" s="1"/>
      <c r="OXL230" s="1"/>
      <c r="OXM230" s="1"/>
      <c r="OXN230" s="1"/>
      <c r="OXO230" s="1"/>
      <c r="OXP230" s="1"/>
      <c r="OXQ230" s="1"/>
      <c r="OXR230" s="1"/>
      <c r="OXS230" s="1"/>
      <c r="OXT230" s="1"/>
      <c r="OXU230" s="1"/>
      <c r="OXV230" s="1"/>
      <c r="OXW230" s="1"/>
      <c r="OXX230" s="1"/>
      <c r="OXY230" s="1"/>
      <c r="OXZ230" s="1"/>
      <c r="OYA230" s="1"/>
      <c r="OYB230" s="1"/>
      <c r="OYC230" s="1"/>
      <c r="OYD230" s="1"/>
      <c r="OYE230" s="1"/>
      <c r="OYF230" s="1"/>
      <c r="OYG230" s="1"/>
      <c r="OYH230" s="1"/>
      <c r="OYI230" s="1"/>
      <c r="OYJ230" s="1"/>
      <c r="OYK230" s="1"/>
      <c r="OYL230" s="1"/>
      <c r="OYM230" s="1"/>
      <c r="OYN230" s="1"/>
      <c r="OYO230" s="1"/>
      <c r="OYP230" s="1"/>
      <c r="OYQ230" s="1"/>
      <c r="OYR230" s="1"/>
      <c r="OYS230" s="1"/>
      <c r="OYT230" s="1"/>
      <c r="OYU230" s="1"/>
      <c r="OYV230" s="1"/>
      <c r="OYW230" s="1"/>
      <c r="OYX230" s="1"/>
      <c r="OYY230" s="1"/>
      <c r="OYZ230" s="1"/>
      <c r="OZA230" s="1"/>
      <c r="OZB230" s="1"/>
      <c r="OZC230" s="1"/>
      <c r="OZD230" s="1"/>
      <c r="OZE230" s="1"/>
      <c r="OZF230" s="1"/>
      <c r="OZG230" s="1"/>
      <c r="OZH230" s="1"/>
      <c r="OZI230" s="1"/>
      <c r="OZJ230" s="1"/>
      <c r="OZK230" s="1"/>
      <c r="OZL230" s="1"/>
      <c r="OZM230" s="1"/>
      <c r="OZN230" s="1"/>
      <c r="OZO230" s="1"/>
      <c r="OZP230" s="1"/>
      <c r="OZQ230" s="1"/>
      <c r="OZR230" s="1"/>
      <c r="OZS230" s="1"/>
      <c r="OZT230" s="1"/>
      <c r="OZU230" s="1"/>
      <c r="OZV230" s="1"/>
      <c r="OZW230" s="1"/>
      <c r="OZX230" s="1"/>
      <c r="OZY230" s="1"/>
      <c r="OZZ230" s="1"/>
      <c r="PAA230" s="1"/>
      <c r="PAB230" s="1"/>
      <c r="PAC230" s="1"/>
      <c r="PAD230" s="1"/>
      <c r="PAE230" s="1"/>
      <c r="PAF230" s="1"/>
      <c r="PAG230" s="1"/>
      <c r="PAH230" s="1"/>
      <c r="PAI230" s="1"/>
      <c r="PAJ230" s="1"/>
      <c r="PAK230" s="1"/>
      <c r="PAL230" s="1"/>
      <c r="PAM230" s="1"/>
      <c r="PAN230" s="1"/>
      <c r="PAO230" s="1"/>
      <c r="PAP230" s="1"/>
      <c r="PAQ230" s="1"/>
      <c r="PAR230" s="1"/>
      <c r="PAS230" s="1"/>
      <c r="PAT230" s="1"/>
      <c r="PAU230" s="1"/>
      <c r="PAV230" s="1"/>
      <c r="PAW230" s="1"/>
      <c r="PAX230" s="1"/>
      <c r="PAY230" s="1"/>
      <c r="PAZ230" s="1"/>
      <c r="PBA230" s="1"/>
      <c r="PBB230" s="1"/>
      <c r="PBC230" s="1"/>
      <c r="PBD230" s="1"/>
      <c r="PBE230" s="1"/>
      <c r="PBF230" s="1"/>
      <c r="PBG230" s="1"/>
      <c r="PBH230" s="1"/>
      <c r="PBI230" s="1"/>
      <c r="PBJ230" s="1"/>
      <c r="PBK230" s="1"/>
      <c r="PBL230" s="1"/>
      <c r="PBM230" s="1"/>
      <c r="PBN230" s="1"/>
      <c r="PBO230" s="1"/>
      <c r="PBP230" s="1"/>
      <c r="PBQ230" s="1"/>
      <c r="PBR230" s="1"/>
      <c r="PBS230" s="1"/>
      <c r="PBT230" s="1"/>
      <c r="PBU230" s="1"/>
      <c r="PBV230" s="1"/>
      <c r="PBW230" s="1"/>
      <c r="PBX230" s="1"/>
      <c r="PBY230" s="1"/>
      <c r="PBZ230" s="1"/>
      <c r="PCA230" s="1"/>
      <c r="PCB230" s="1"/>
      <c r="PCC230" s="1"/>
      <c r="PCD230" s="1"/>
      <c r="PCE230" s="1"/>
      <c r="PCF230" s="1"/>
      <c r="PCG230" s="1"/>
      <c r="PCH230" s="1"/>
      <c r="PCI230" s="1"/>
      <c r="PCJ230" s="1"/>
      <c r="PCK230" s="1"/>
      <c r="PCL230" s="1"/>
      <c r="PCM230" s="1"/>
      <c r="PCN230" s="1"/>
      <c r="PCO230" s="1"/>
      <c r="PCP230" s="1"/>
      <c r="PCQ230" s="1"/>
      <c r="PCR230" s="1"/>
      <c r="PCS230" s="1"/>
      <c r="PCT230" s="1"/>
      <c r="PCU230" s="1"/>
      <c r="PCV230" s="1"/>
      <c r="PCW230" s="1"/>
      <c r="PCX230" s="1"/>
      <c r="PCY230" s="1"/>
      <c r="PCZ230" s="1"/>
      <c r="PDA230" s="1"/>
      <c r="PDB230" s="1"/>
      <c r="PDC230" s="1"/>
      <c r="PDD230" s="1"/>
      <c r="PDE230" s="1"/>
      <c r="PDF230" s="1"/>
      <c r="PDG230" s="1"/>
      <c r="PDH230" s="1"/>
      <c r="PDI230" s="1"/>
      <c r="PDJ230" s="1"/>
      <c r="PDK230" s="1"/>
      <c r="PDL230" s="1"/>
      <c r="PDM230" s="1"/>
      <c r="PDN230" s="1"/>
      <c r="PDO230" s="1"/>
      <c r="PDP230" s="1"/>
      <c r="PDQ230" s="1"/>
      <c r="PDR230" s="1"/>
      <c r="PDS230" s="1"/>
      <c r="PDT230" s="1"/>
      <c r="PDU230" s="1"/>
      <c r="PDV230" s="1"/>
      <c r="PDW230" s="1"/>
      <c r="PDX230" s="1"/>
      <c r="PDY230" s="1"/>
      <c r="PDZ230" s="1"/>
      <c r="PEA230" s="1"/>
      <c r="PEB230" s="1"/>
      <c r="PEC230" s="1"/>
      <c r="PED230" s="1"/>
      <c r="PEE230" s="1"/>
      <c r="PEF230" s="1"/>
      <c r="PEG230" s="1"/>
      <c r="PEH230" s="1"/>
      <c r="PEI230" s="1"/>
      <c r="PEJ230" s="1"/>
      <c r="PEK230" s="1"/>
      <c r="PEL230" s="1"/>
      <c r="PEM230" s="1"/>
      <c r="PEN230" s="1"/>
      <c r="PEO230" s="1"/>
      <c r="PEP230" s="1"/>
      <c r="PEQ230" s="1"/>
      <c r="PER230" s="1"/>
      <c r="PES230" s="1"/>
      <c r="PET230" s="1"/>
      <c r="PEU230" s="1"/>
      <c r="PEV230" s="1"/>
      <c r="PEW230" s="1"/>
      <c r="PEX230" s="1"/>
      <c r="PEY230" s="1"/>
      <c r="PEZ230" s="1"/>
      <c r="PFA230" s="1"/>
      <c r="PFB230" s="1"/>
      <c r="PFC230" s="1"/>
      <c r="PFD230" s="1"/>
      <c r="PFE230" s="1"/>
      <c r="PFF230" s="1"/>
      <c r="PFG230" s="1"/>
      <c r="PFH230" s="1"/>
      <c r="PFI230" s="1"/>
      <c r="PFJ230" s="1"/>
      <c r="PFK230" s="1"/>
      <c r="PFL230" s="1"/>
      <c r="PFM230" s="1"/>
      <c r="PFN230" s="1"/>
      <c r="PFO230" s="1"/>
      <c r="PFP230" s="1"/>
      <c r="PFQ230" s="1"/>
      <c r="PFR230" s="1"/>
      <c r="PFS230" s="1"/>
      <c r="PFT230" s="1"/>
      <c r="PFU230" s="1"/>
      <c r="PFV230" s="1"/>
      <c r="PFW230" s="1"/>
      <c r="PFX230" s="1"/>
      <c r="PFY230" s="1"/>
      <c r="PFZ230" s="1"/>
      <c r="PGA230" s="1"/>
      <c r="PGB230" s="1"/>
      <c r="PGC230" s="1"/>
      <c r="PGD230" s="1"/>
      <c r="PGE230" s="1"/>
      <c r="PGF230" s="1"/>
      <c r="PGG230" s="1"/>
      <c r="PGH230" s="1"/>
      <c r="PGI230" s="1"/>
      <c r="PGJ230" s="1"/>
      <c r="PGK230" s="1"/>
      <c r="PGL230" s="1"/>
      <c r="PGM230" s="1"/>
      <c r="PGN230" s="1"/>
      <c r="PGO230" s="1"/>
      <c r="PGP230" s="1"/>
      <c r="PGQ230" s="1"/>
      <c r="PGR230" s="1"/>
      <c r="PGS230" s="1"/>
      <c r="PGT230" s="1"/>
      <c r="PGU230" s="1"/>
      <c r="PGV230" s="1"/>
      <c r="PGW230" s="1"/>
      <c r="PGX230" s="1"/>
      <c r="PGY230" s="1"/>
      <c r="PGZ230" s="1"/>
      <c r="PHA230" s="1"/>
      <c r="PHB230" s="1"/>
      <c r="PHC230" s="1"/>
      <c r="PHD230" s="1"/>
      <c r="PHE230" s="1"/>
      <c r="PHF230" s="1"/>
      <c r="PHG230" s="1"/>
      <c r="PHH230" s="1"/>
      <c r="PHI230" s="1"/>
      <c r="PHJ230" s="1"/>
      <c r="PHK230" s="1"/>
      <c r="PHL230" s="1"/>
      <c r="PHM230" s="1"/>
      <c r="PHN230" s="1"/>
      <c r="PHO230" s="1"/>
      <c r="PHP230" s="1"/>
      <c r="PHQ230" s="1"/>
      <c r="PHR230" s="1"/>
      <c r="PHS230" s="1"/>
      <c r="PHT230" s="1"/>
      <c r="PHU230" s="1"/>
      <c r="PHV230" s="1"/>
      <c r="PHW230" s="1"/>
      <c r="PHX230" s="1"/>
      <c r="PHY230" s="1"/>
      <c r="PHZ230" s="1"/>
      <c r="PIA230" s="1"/>
      <c r="PIB230" s="1"/>
      <c r="PIC230" s="1"/>
      <c r="PID230" s="1"/>
      <c r="PIE230" s="1"/>
      <c r="PIF230" s="1"/>
      <c r="PIG230" s="1"/>
      <c r="PIH230" s="1"/>
      <c r="PII230" s="1"/>
      <c r="PIJ230" s="1"/>
      <c r="PIK230" s="1"/>
      <c r="PIL230" s="1"/>
      <c r="PIM230" s="1"/>
      <c r="PIN230" s="1"/>
      <c r="PIO230" s="1"/>
      <c r="PIP230" s="1"/>
      <c r="PIQ230" s="1"/>
      <c r="PIR230" s="1"/>
      <c r="PIS230" s="1"/>
      <c r="PIT230" s="1"/>
      <c r="PIU230" s="1"/>
      <c r="PIV230" s="1"/>
      <c r="PIW230" s="1"/>
      <c r="PIX230" s="1"/>
      <c r="PIY230" s="1"/>
      <c r="PIZ230" s="1"/>
      <c r="PJA230" s="1"/>
      <c r="PJB230" s="1"/>
      <c r="PJC230" s="1"/>
      <c r="PJD230" s="1"/>
      <c r="PJE230" s="1"/>
      <c r="PJF230" s="1"/>
      <c r="PJG230" s="1"/>
      <c r="PJH230" s="1"/>
      <c r="PJI230" s="1"/>
      <c r="PJJ230" s="1"/>
      <c r="PJK230" s="1"/>
      <c r="PJL230" s="1"/>
      <c r="PJM230" s="1"/>
      <c r="PJN230" s="1"/>
      <c r="PJO230" s="1"/>
      <c r="PJP230" s="1"/>
      <c r="PJQ230" s="1"/>
      <c r="PJR230" s="1"/>
      <c r="PJS230" s="1"/>
      <c r="PJT230" s="1"/>
      <c r="PJU230" s="1"/>
      <c r="PJV230" s="1"/>
      <c r="PJW230" s="1"/>
      <c r="PJX230" s="1"/>
      <c r="PJY230" s="1"/>
      <c r="PJZ230" s="1"/>
      <c r="PKA230" s="1"/>
      <c r="PKB230" s="1"/>
      <c r="PKC230" s="1"/>
      <c r="PKD230" s="1"/>
      <c r="PKE230" s="1"/>
      <c r="PKF230" s="1"/>
      <c r="PKG230" s="1"/>
      <c r="PKH230" s="1"/>
      <c r="PKI230" s="1"/>
      <c r="PKJ230" s="1"/>
      <c r="PKK230" s="1"/>
      <c r="PKL230" s="1"/>
      <c r="PKM230" s="1"/>
      <c r="PKN230" s="1"/>
      <c r="PKO230" s="1"/>
      <c r="PKP230" s="1"/>
      <c r="PKQ230" s="1"/>
      <c r="PKR230" s="1"/>
      <c r="PKS230" s="1"/>
      <c r="PKT230" s="1"/>
      <c r="PKU230" s="1"/>
      <c r="PKV230" s="1"/>
      <c r="PKW230" s="1"/>
      <c r="PKX230" s="1"/>
      <c r="PKY230" s="1"/>
      <c r="PKZ230" s="1"/>
      <c r="PLA230" s="1"/>
      <c r="PLB230" s="1"/>
      <c r="PLC230" s="1"/>
      <c r="PLD230" s="1"/>
      <c r="PLE230" s="1"/>
      <c r="PLF230" s="1"/>
      <c r="PLG230" s="1"/>
      <c r="PLH230" s="1"/>
      <c r="PLI230" s="1"/>
      <c r="PLJ230" s="1"/>
      <c r="PLK230" s="1"/>
      <c r="PLL230" s="1"/>
      <c r="PLM230" s="1"/>
      <c r="PLN230" s="1"/>
      <c r="PLO230" s="1"/>
      <c r="PLP230" s="1"/>
      <c r="PLQ230" s="1"/>
      <c r="PLR230" s="1"/>
      <c r="PLS230" s="1"/>
      <c r="PLT230" s="1"/>
      <c r="PLU230" s="1"/>
      <c r="PLV230" s="1"/>
      <c r="PLW230" s="1"/>
      <c r="PLX230" s="1"/>
      <c r="PLY230" s="1"/>
      <c r="PLZ230" s="1"/>
      <c r="PMA230" s="1"/>
      <c r="PMB230" s="1"/>
      <c r="PMC230" s="1"/>
      <c r="PMD230" s="1"/>
      <c r="PME230" s="1"/>
      <c r="PMF230" s="1"/>
      <c r="PMG230" s="1"/>
      <c r="PMH230" s="1"/>
      <c r="PMI230" s="1"/>
      <c r="PMJ230" s="1"/>
      <c r="PMK230" s="1"/>
      <c r="PML230" s="1"/>
      <c r="PMM230" s="1"/>
      <c r="PMN230" s="1"/>
      <c r="PMO230" s="1"/>
      <c r="PMP230" s="1"/>
      <c r="PMQ230" s="1"/>
      <c r="PMR230" s="1"/>
      <c r="PMS230" s="1"/>
      <c r="PMT230" s="1"/>
      <c r="PMU230" s="1"/>
      <c r="PMV230" s="1"/>
      <c r="PMW230" s="1"/>
      <c r="PMX230" s="1"/>
      <c r="PMY230" s="1"/>
      <c r="PMZ230" s="1"/>
      <c r="PNA230" s="1"/>
      <c r="PNB230" s="1"/>
      <c r="PNC230" s="1"/>
      <c r="PND230" s="1"/>
      <c r="PNE230" s="1"/>
      <c r="PNF230" s="1"/>
      <c r="PNG230" s="1"/>
      <c r="PNH230" s="1"/>
      <c r="PNI230" s="1"/>
      <c r="PNJ230" s="1"/>
      <c r="PNK230" s="1"/>
      <c r="PNL230" s="1"/>
      <c r="PNM230" s="1"/>
      <c r="PNN230" s="1"/>
      <c r="PNO230" s="1"/>
      <c r="PNP230" s="1"/>
      <c r="PNQ230" s="1"/>
      <c r="PNR230" s="1"/>
      <c r="PNS230" s="1"/>
      <c r="PNT230" s="1"/>
      <c r="PNU230" s="1"/>
      <c r="PNV230" s="1"/>
      <c r="PNW230" s="1"/>
      <c r="PNX230" s="1"/>
      <c r="PNY230" s="1"/>
      <c r="PNZ230" s="1"/>
      <c r="POA230" s="1"/>
      <c r="POB230" s="1"/>
      <c r="POC230" s="1"/>
      <c r="POD230" s="1"/>
      <c r="POE230" s="1"/>
      <c r="POF230" s="1"/>
      <c r="POG230" s="1"/>
      <c r="POH230" s="1"/>
      <c r="POI230" s="1"/>
      <c r="POJ230" s="1"/>
      <c r="POK230" s="1"/>
      <c r="POL230" s="1"/>
      <c r="POM230" s="1"/>
      <c r="PON230" s="1"/>
      <c r="POO230" s="1"/>
      <c r="POP230" s="1"/>
      <c r="POQ230" s="1"/>
      <c r="POR230" s="1"/>
      <c r="POS230" s="1"/>
      <c r="POT230" s="1"/>
      <c r="POU230" s="1"/>
      <c r="POV230" s="1"/>
      <c r="POW230" s="1"/>
      <c r="POX230" s="1"/>
      <c r="POY230" s="1"/>
      <c r="POZ230" s="1"/>
      <c r="PPA230" s="1"/>
      <c r="PPB230" s="1"/>
      <c r="PPC230" s="1"/>
      <c r="PPD230" s="1"/>
      <c r="PPE230" s="1"/>
      <c r="PPF230" s="1"/>
      <c r="PPG230" s="1"/>
      <c r="PPH230" s="1"/>
      <c r="PPI230" s="1"/>
      <c r="PPJ230" s="1"/>
      <c r="PPK230" s="1"/>
      <c r="PPL230" s="1"/>
      <c r="PPM230" s="1"/>
      <c r="PPN230" s="1"/>
      <c r="PPO230" s="1"/>
      <c r="PPP230" s="1"/>
      <c r="PPQ230" s="1"/>
      <c r="PPR230" s="1"/>
      <c r="PPS230" s="1"/>
      <c r="PPT230" s="1"/>
      <c r="PPU230" s="1"/>
      <c r="PPV230" s="1"/>
      <c r="PPW230" s="1"/>
      <c r="PPX230" s="1"/>
      <c r="PPY230" s="1"/>
      <c r="PPZ230" s="1"/>
      <c r="PQA230" s="1"/>
      <c r="PQB230" s="1"/>
      <c r="PQC230" s="1"/>
      <c r="PQD230" s="1"/>
      <c r="PQE230" s="1"/>
      <c r="PQF230" s="1"/>
      <c r="PQG230" s="1"/>
      <c r="PQH230" s="1"/>
      <c r="PQI230" s="1"/>
      <c r="PQJ230" s="1"/>
      <c r="PQK230" s="1"/>
      <c r="PQL230" s="1"/>
      <c r="PQM230" s="1"/>
      <c r="PQN230" s="1"/>
      <c r="PQO230" s="1"/>
      <c r="PQP230" s="1"/>
      <c r="PQQ230" s="1"/>
      <c r="PQR230" s="1"/>
      <c r="PQS230" s="1"/>
      <c r="PQT230" s="1"/>
      <c r="PQU230" s="1"/>
      <c r="PQV230" s="1"/>
      <c r="PQW230" s="1"/>
      <c r="PQX230" s="1"/>
      <c r="PQY230" s="1"/>
      <c r="PQZ230" s="1"/>
      <c r="PRA230" s="1"/>
      <c r="PRB230" s="1"/>
      <c r="PRC230" s="1"/>
      <c r="PRD230" s="1"/>
      <c r="PRE230" s="1"/>
      <c r="PRF230" s="1"/>
      <c r="PRG230" s="1"/>
      <c r="PRH230" s="1"/>
      <c r="PRI230" s="1"/>
      <c r="PRJ230" s="1"/>
      <c r="PRK230" s="1"/>
      <c r="PRL230" s="1"/>
      <c r="PRM230" s="1"/>
      <c r="PRN230" s="1"/>
      <c r="PRO230" s="1"/>
      <c r="PRP230" s="1"/>
      <c r="PRQ230" s="1"/>
      <c r="PRR230" s="1"/>
      <c r="PRS230" s="1"/>
      <c r="PRT230" s="1"/>
      <c r="PRU230" s="1"/>
      <c r="PRV230" s="1"/>
      <c r="PRW230" s="1"/>
      <c r="PRX230" s="1"/>
      <c r="PRY230" s="1"/>
      <c r="PRZ230" s="1"/>
      <c r="PSA230" s="1"/>
      <c r="PSB230" s="1"/>
      <c r="PSC230" s="1"/>
      <c r="PSD230" s="1"/>
      <c r="PSE230" s="1"/>
      <c r="PSF230" s="1"/>
      <c r="PSG230" s="1"/>
      <c r="PSH230" s="1"/>
      <c r="PSI230" s="1"/>
      <c r="PSJ230" s="1"/>
      <c r="PSK230" s="1"/>
      <c r="PSL230" s="1"/>
      <c r="PSM230" s="1"/>
      <c r="PSN230" s="1"/>
      <c r="PSO230" s="1"/>
      <c r="PSP230" s="1"/>
      <c r="PSQ230" s="1"/>
      <c r="PSR230" s="1"/>
      <c r="PSS230" s="1"/>
      <c r="PST230" s="1"/>
      <c r="PSU230" s="1"/>
      <c r="PSV230" s="1"/>
      <c r="PSW230" s="1"/>
      <c r="PSX230" s="1"/>
      <c r="PSY230" s="1"/>
      <c r="PSZ230" s="1"/>
      <c r="PTA230" s="1"/>
      <c r="PTB230" s="1"/>
      <c r="PTC230" s="1"/>
      <c r="PTD230" s="1"/>
      <c r="PTE230" s="1"/>
      <c r="PTF230" s="1"/>
      <c r="PTG230" s="1"/>
      <c r="PTH230" s="1"/>
      <c r="PTI230" s="1"/>
      <c r="PTJ230" s="1"/>
      <c r="PTK230" s="1"/>
      <c r="PTL230" s="1"/>
      <c r="PTM230" s="1"/>
      <c r="PTN230" s="1"/>
      <c r="PTO230" s="1"/>
      <c r="PTP230" s="1"/>
      <c r="PTQ230" s="1"/>
      <c r="PTR230" s="1"/>
      <c r="PTS230" s="1"/>
      <c r="PTT230" s="1"/>
      <c r="PTU230" s="1"/>
      <c r="PTV230" s="1"/>
      <c r="PTW230" s="1"/>
      <c r="PTX230" s="1"/>
      <c r="PTY230" s="1"/>
      <c r="PTZ230" s="1"/>
      <c r="PUA230" s="1"/>
      <c r="PUB230" s="1"/>
      <c r="PUC230" s="1"/>
      <c r="PUD230" s="1"/>
      <c r="PUE230" s="1"/>
      <c r="PUF230" s="1"/>
      <c r="PUG230" s="1"/>
      <c r="PUH230" s="1"/>
      <c r="PUI230" s="1"/>
      <c r="PUJ230" s="1"/>
      <c r="PUK230" s="1"/>
      <c r="PUL230" s="1"/>
      <c r="PUM230" s="1"/>
      <c r="PUN230" s="1"/>
      <c r="PUO230" s="1"/>
      <c r="PUP230" s="1"/>
      <c r="PUQ230" s="1"/>
      <c r="PUR230" s="1"/>
      <c r="PUS230" s="1"/>
      <c r="PUT230" s="1"/>
      <c r="PUU230" s="1"/>
      <c r="PUV230" s="1"/>
      <c r="PUW230" s="1"/>
      <c r="PUX230" s="1"/>
      <c r="PUY230" s="1"/>
      <c r="PUZ230" s="1"/>
      <c r="PVA230" s="1"/>
      <c r="PVB230" s="1"/>
      <c r="PVC230" s="1"/>
      <c r="PVD230" s="1"/>
      <c r="PVE230" s="1"/>
      <c r="PVF230" s="1"/>
      <c r="PVG230" s="1"/>
      <c r="PVH230" s="1"/>
      <c r="PVI230" s="1"/>
      <c r="PVJ230" s="1"/>
      <c r="PVK230" s="1"/>
      <c r="PVL230" s="1"/>
      <c r="PVM230" s="1"/>
      <c r="PVN230" s="1"/>
      <c r="PVO230" s="1"/>
      <c r="PVP230" s="1"/>
      <c r="PVQ230" s="1"/>
      <c r="PVR230" s="1"/>
      <c r="PVS230" s="1"/>
      <c r="PVT230" s="1"/>
      <c r="PVU230" s="1"/>
      <c r="PVV230" s="1"/>
      <c r="PVW230" s="1"/>
      <c r="PVX230" s="1"/>
      <c r="PVY230" s="1"/>
      <c r="PVZ230" s="1"/>
      <c r="PWA230" s="1"/>
      <c r="PWB230" s="1"/>
      <c r="PWC230" s="1"/>
      <c r="PWD230" s="1"/>
      <c r="PWE230" s="1"/>
      <c r="PWF230" s="1"/>
      <c r="PWG230" s="1"/>
      <c r="PWH230" s="1"/>
      <c r="PWI230" s="1"/>
      <c r="PWJ230" s="1"/>
      <c r="PWK230" s="1"/>
      <c r="PWL230" s="1"/>
      <c r="PWM230" s="1"/>
      <c r="PWN230" s="1"/>
      <c r="PWO230" s="1"/>
      <c r="PWP230" s="1"/>
      <c r="PWQ230" s="1"/>
      <c r="PWR230" s="1"/>
      <c r="PWS230" s="1"/>
      <c r="PWT230" s="1"/>
      <c r="PWU230" s="1"/>
      <c r="PWV230" s="1"/>
      <c r="PWW230" s="1"/>
      <c r="PWX230" s="1"/>
      <c r="PWY230" s="1"/>
      <c r="PWZ230" s="1"/>
      <c r="PXA230" s="1"/>
      <c r="PXB230" s="1"/>
      <c r="PXC230" s="1"/>
      <c r="PXD230" s="1"/>
      <c r="PXE230" s="1"/>
      <c r="PXF230" s="1"/>
      <c r="PXG230" s="1"/>
      <c r="PXH230" s="1"/>
      <c r="PXI230" s="1"/>
      <c r="PXJ230" s="1"/>
      <c r="PXK230" s="1"/>
      <c r="PXL230" s="1"/>
      <c r="PXM230" s="1"/>
      <c r="PXN230" s="1"/>
      <c r="PXO230" s="1"/>
      <c r="PXP230" s="1"/>
      <c r="PXQ230" s="1"/>
      <c r="PXR230" s="1"/>
      <c r="PXS230" s="1"/>
      <c r="PXT230" s="1"/>
      <c r="PXU230" s="1"/>
      <c r="PXV230" s="1"/>
      <c r="PXW230" s="1"/>
      <c r="PXX230" s="1"/>
      <c r="PXY230" s="1"/>
      <c r="PXZ230" s="1"/>
      <c r="PYA230" s="1"/>
      <c r="PYB230" s="1"/>
      <c r="PYC230" s="1"/>
      <c r="PYD230" s="1"/>
      <c r="PYE230" s="1"/>
      <c r="PYF230" s="1"/>
      <c r="PYG230" s="1"/>
      <c r="PYH230" s="1"/>
      <c r="PYI230" s="1"/>
      <c r="PYJ230" s="1"/>
      <c r="PYK230" s="1"/>
      <c r="PYL230" s="1"/>
      <c r="PYM230" s="1"/>
      <c r="PYN230" s="1"/>
      <c r="PYO230" s="1"/>
      <c r="PYP230" s="1"/>
      <c r="PYQ230" s="1"/>
      <c r="PYR230" s="1"/>
      <c r="PYS230" s="1"/>
      <c r="PYT230" s="1"/>
      <c r="PYU230" s="1"/>
      <c r="PYV230" s="1"/>
      <c r="PYW230" s="1"/>
      <c r="PYX230" s="1"/>
      <c r="PYY230" s="1"/>
      <c r="PYZ230" s="1"/>
      <c r="PZA230" s="1"/>
      <c r="PZB230" s="1"/>
      <c r="PZC230" s="1"/>
      <c r="PZD230" s="1"/>
      <c r="PZE230" s="1"/>
      <c r="PZF230" s="1"/>
      <c r="PZG230" s="1"/>
      <c r="PZH230" s="1"/>
      <c r="PZI230" s="1"/>
      <c r="PZJ230" s="1"/>
      <c r="PZK230" s="1"/>
      <c r="PZL230" s="1"/>
      <c r="PZM230" s="1"/>
      <c r="PZN230" s="1"/>
      <c r="PZO230" s="1"/>
      <c r="PZP230" s="1"/>
      <c r="PZQ230" s="1"/>
      <c r="PZR230" s="1"/>
      <c r="PZS230" s="1"/>
      <c r="PZT230" s="1"/>
      <c r="PZU230" s="1"/>
      <c r="PZV230" s="1"/>
      <c r="PZW230" s="1"/>
      <c r="PZX230" s="1"/>
      <c r="PZY230" s="1"/>
      <c r="PZZ230" s="1"/>
      <c r="QAA230" s="1"/>
      <c r="QAB230" s="1"/>
      <c r="QAC230" s="1"/>
      <c r="QAD230" s="1"/>
      <c r="QAE230" s="1"/>
      <c r="QAF230" s="1"/>
      <c r="QAG230" s="1"/>
      <c r="QAH230" s="1"/>
      <c r="QAI230" s="1"/>
      <c r="QAJ230" s="1"/>
      <c r="QAK230" s="1"/>
      <c r="QAL230" s="1"/>
      <c r="QAM230" s="1"/>
      <c r="QAN230" s="1"/>
      <c r="QAO230" s="1"/>
      <c r="QAP230" s="1"/>
      <c r="QAQ230" s="1"/>
      <c r="QAR230" s="1"/>
      <c r="QAS230" s="1"/>
      <c r="QAT230" s="1"/>
      <c r="QAU230" s="1"/>
      <c r="QAV230" s="1"/>
      <c r="QAW230" s="1"/>
      <c r="QAX230" s="1"/>
      <c r="QAY230" s="1"/>
      <c r="QAZ230" s="1"/>
      <c r="QBA230" s="1"/>
      <c r="QBB230" s="1"/>
      <c r="QBC230" s="1"/>
      <c r="QBD230" s="1"/>
      <c r="QBE230" s="1"/>
      <c r="QBF230" s="1"/>
      <c r="QBG230" s="1"/>
      <c r="QBH230" s="1"/>
      <c r="QBI230" s="1"/>
      <c r="QBJ230" s="1"/>
      <c r="QBK230" s="1"/>
      <c r="QBL230" s="1"/>
      <c r="QBM230" s="1"/>
      <c r="QBN230" s="1"/>
      <c r="QBO230" s="1"/>
      <c r="QBP230" s="1"/>
      <c r="QBQ230" s="1"/>
      <c r="QBR230" s="1"/>
      <c r="QBS230" s="1"/>
      <c r="QBT230" s="1"/>
      <c r="QBU230" s="1"/>
      <c r="QBV230" s="1"/>
      <c r="QBW230" s="1"/>
      <c r="QBX230" s="1"/>
      <c r="QBY230" s="1"/>
      <c r="QBZ230" s="1"/>
      <c r="QCA230" s="1"/>
      <c r="QCB230" s="1"/>
      <c r="QCC230" s="1"/>
      <c r="QCD230" s="1"/>
      <c r="QCE230" s="1"/>
      <c r="QCF230" s="1"/>
      <c r="QCG230" s="1"/>
      <c r="QCH230" s="1"/>
      <c r="QCI230" s="1"/>
      <c r="QCJ230" s="1"/>
      <c r="QCK230" s="1"/>
      <c r="QCL230" s="1"/>
      <c r="QCM230" s="1"/>
      <c r="QCN230" s="1"/>
      <c r="QCO230" s="1"/>
      <c r="QCP230" s="1"/>
      <c r="QCQ230" s="1"/>
      <c r="QCR230" s="1"/>
      <c r="QCS230" s="1"/>
      <c r="QCT230" s="1"/>
      <c r="QCU230" s="1"/>
      <c r="QCV230" s="1"/>
      <c r="QCW230" s="1"/>
      <c r="QCX230" s="1"/>
      <c r="QCY230" s="1"/>
      <c r="QCZ230" s="1"/>
      <c r="QDA230" s="1"/>
      <c r="QDB230" s="1"/>
      <c r="QDC230" s="1"/>
      <c r="QDD230" s="1"/>
      <c r="QDE230" s="1"/>
      <c r="QDF230" s="1"/>
      <c r="QDG230" s="1"/>
      <c r="QDH230" s="1"/>
      <c r="QDI230" s="1"/>
      <c r="QDJ230" s="1"/>
      <c r="QDK230" s="1"/>
      <c r="QDL230" s="1"/>
      <c r="QDM230" s="1"/>
      <c r="QDN230" s="1"/>
      <c r="QDO230" s="1"/>
      <c r="QDP230" s="1"/>
      <c r="QDQ230" s="1"/>
      <c r="QDR230" s="1"/>
      <c r="QDS230" s="1"/>
      <c r="QDT230" s="1"/>
      <c r="QDU230" s="1"/>
      <c r="QDV230" s="1"/>
      <c r="QDW230" s="1"/>
      <c r="QDX230" s="1"/>
      <c r="QDY230" s="1"/>
      <c r="QDZ230" s="1"/>
      <c r="QEA230" s="1"/>
      <c r="QEB230" s="1"/>
      <c r="QEC230" s="1"/>
      <c r="QED230" s="1"/>
      <c r="QEE230" s="1"/>
      <c r="QEF230" s="1"/>
      <c r="QEG230" s="1"/>
      <c r="QEH230" s="1"/>
      <c r="QEI230" s="1"/>
      <c r="QEJ230" s="1"/>
      <c r="QEK230" s="1"/>
      <c r="QEL230" s="1"/>
      <c r="QEM230" s="1"/>
      <c r="QEN230" s="1"/>
      <c r="QEO230" s="1"/>
      <c r="QEP230" s="1"/>
      <c r="QEQ230" s="1"/>
      <c r="QER230" s="1"/>
      <c r="QES230" s="1"/>
      <c r="QET230" s="1"/>
      <c r="QEU230" s="1"/>
      <c r="QEV230" s="1"/>
      <c r="QEW230" s="1"/>
      <c r="QEX230" s="1"/>
      <c r="QEY230" s="1"/>
      <c r="QEZ230" s="1"/>
      <c r="QFA230" s="1"/>
      <c r="QFB230" s="1"/>
      <c r="QFC230" s="1"/>
      <c r="QFD230" s="1"/>
      <c r="QFE230" s="1"/>
      <c r="QFF230" s="1"/>
      <c r="QFG230" s="1"/>
      <c r="QFH230" s="1"/>
      <c r="QFI230" s="1"/>
      <c r="QFJ230" s="1"/>
      <c r="QFK230" s="1"/>
      <c r="QFL230" s="1"/>
      <c r="QFM230" s="1"/>
      <c r="QFN230" s="1"/>
      <c r="QFO230" s="1"/>
      <c r="QFP230" s="1"/>
      <c r="QFQ230" s="1"/>
      <c r="QFR230" s="1"/>
      <c r="QFS230" s="1"/>
      <c r="QFT230" s="1"/>
      <c r="QFU230" s="1"/>
      <c r="QFV230" s="1"/>
      <c r="QFW230" s="1"/>
      <c r="QFX230" s="1"/>
      <c r="QFY230" s="1"/>
      <c r="QFZ230" s="1"/>
      <c r="QGA230" s="1"/>
      <c r="QGB230" s="1"/>
      <c r="QGC230" s="1"/>
      <c r="QGD230" s="1"/>
      <c r="QGE230" s="1"/>
      <c r="QGF230" s="1"/>
      <c r="QGG230" s="1"/>
      <c r="QGH230" s="1"/>
      <c r="QGI230" s="1"/>
      <c r="QGJ230" s="1"/>
      <c r="QGK230" s="1"/>
      <c r="QGL230" s="1"/>
      <c r="QGM230" s="1"/>
      <c r="QGN230" s="1"/>
      <c r="QGO230" s="1"/>
      <c r="QGP230" s="1"/>
      <c r="QGQ230" s="1"/>
      <c r="QGR230" s="1"/>
      <c r="QGS230" s="1"/>
      <c r="QGT230" s="1"/>
      <c r="QGU230" s="1"/>
      <c r="QGV230" s="1"/>
      <c r="QGW230" s="1"/>
      <c r="QGX230" s="1"/>
      <c r="QGY230" s="1"/>
      <c r="QGZ230" s="1"/>
      <c r="QHA230" s="1"/>
      <c r="QHB230" s="1"/>
      <c r="QHC230" s="1"/>
      <c r="QHD230" s="1"/>
      <c r="QHE230" s="1"/>
      <c r="QHF230" s="1"/>
      <c r="QHG230" s="1"/>
      <c r="QHH230" s="1"/>
      <c r="QHI230" s="1"/>
      <c r="QHJ230" s="1"/>
      <c r="QHK230" s="1"/>
      <c r="QHL230" s="1"/>
      <c r="QHM230" s="1"/>
      <c r="QHN230" s="1"/>
      <c r="QHO230" s="1"/>
      <c r="QHP230" s="1"/>
      <c r="QHQ230" s="1"/>
      <c r="QHR230" s="1"/>
      <c r="QHS230" s="1"/>
      <c r="QHT230" s="1"/>
      <c r="QHU230" s="1"/>
      <c r="QHV230" s="1"/>
      <c r="QHW230" s="1"/>
      <c r="QHX230" s="1"/>
      <c r="QHY230" s="1"/>
      <c r="QHZ230" s="1"/>
      <c r="QIA230" s="1"/>
      <c r="QIB230" s="1"/>
      <c r="QIC230" s="1"/>
      <c r="QID230" s="1"/>
      <c r="QIE230" s="1"/>
      <c r="QIF230" s="1"/>
      <c r="QIG230" s="1"/>
      <c r="QIH230" s="1"/>
      <c r="QII230" s="1"/>
      <c r="QIJ230" s="1"/>
      <c r="QIK230" s="1"/>
      <c r="QIL230" s="1"/>
      <c r="QIM230" s="1"/>
      <c r="QIN230" s="1"/>
      <c r="QIO230" s="1"/>
      <c r="QIP230" s="1"/>
      <c r="QIQ230" s="1"/>
      <c r="QIR230" s="1"/>
      <c r="QIS230" s="1"/>
      <c r="QIT230" s="1"/>
      <c r="QIU230" s="1"/>
      <c r="QIV230" s="1"/>
      <c r="QIW230" s="1"/>
      <c r="QIX230" s="1"/>
      <c r="QIY230" s="1"/>
      <c r="QIZ230" s="1"/>
      <c r="QJA230" s="1"/>
      <c r="QJB230" s="1"/>
      <c r="QJC230" s="1"/>
      <c r="QJD230" s="1"/>
      <c r="QJE230" s="1"/>
      <c r="QJF230" s="1"/>
      <c r="QJG230" s="1"/>
      <c r="QJH230" s="1"/>
      <c r="QJI230" s="1"/>
      <c r="QJJ230" s="1"/>
      <c r="QJK230" s="1"/>
      <c r="QJL230" s="1"/>
      <c r="QJM230" s="1"/>
      <c r="QJN230" s="1"/>
      <c r="QJO230" s="1"/>
      <c r="QJP230" s="1"/>
      <c r="QJQ230" s="1"/>
      <c r="QJR230" s="1"/>
      <c r="QJS230" s="1"/>
      <c r="QJT230" s="1"/>
      <c r="QJU230" s="1"/>
      <c r="QJV230" s="1"/>
      <c r="QJW230" s="1"/>
      <c r="QJX230" s="1"/>
      <c r="QJY230" s="1"/>
      <c r="QJZ230" s="1"/>
      <c r="QKA230" s="1"/>
      <c r="QKB230" s="1"/>
      <c r="QKC230" s="1"/>
      <c r="QKD230" s="1"/>
      <c r="QKE230" s="1"/>
      <c r="QKF230" s="1"/>
      <c r="QKG230" s="1"/>
      <c r="QKH230" s="1"/>
      <c r="QKI230" s="1"/>
      <c r="QKJ230" s="1"/>
      <c r="QKK230" s="1"/>
      <c r="QKL230" s="1"/>
      <c r="QKM230" s="1"/>
      <c r="QKN230" s="1"/>
      <c r="QKO230" s="1"/>
      <c r="QKP230" s="1"/>
      <c r="QKQ230" s="1"/>
      <c r="QKR230" s="1"/>
      <c r="QKS230" s="1"/>
      <c r="QKT230" s="1"/>
      <c r="QKU230" s="1"/>
      <c r="QKV230" s="1"/>
      <c r="QKW230" s="1"/>
      <c r="QKX230" s="1"/>
      <c r="QKY230" s="1"/>
      <c r="QKZ230" s="1"/>
      <c r="QLA230" s="1"/>
      <c r="QLB230" s="1"/>
      <c r="QLC230" s="1"/>
      <c r="QLD230" s="1"/>
      <c r="QLE230" s="1"/>
      <c r="QLF230" s="1"/>
      <c r="QLG230" s="1"/>
      <c r="QLH230" s="1"/>
      <c r="QLI230" s="1"/>
      <c r="QLJ230" s="1"/>
      <c r="QLK230" s="1"/>
      <c r="QLL230" s="1"/>
      <c r="QLM230" s="1"/>
      <c r="QLN230" s="1"/>
      <c r="QLO230" s="1"/>
      <c r="QLP230" s="1"/>
      <c r="QLQ230" s="1"/>
      <c r="QLR230" s="1"/>
      <c r="QLS230" s="1"/>
      <c r="QLT230" s="1"/>
      <c r="QLU230" s="1"/>
      <c r="QLV230" s="1"/>
      <c r="QLW230" s="1"/>
      <c r="QLX230" s="1"/>
      <c r="QLY230" s="1"/>
      <c r="QLZ230" s="1"/>
      <c r="QMA230" s="1"/>
      <c r="QMB230" s="1"/>
      <c r="QMC230" s="1"/>
      <c r="QMD230" s="1"/>
      <c r="QME230" s="1"/>
      <c r="QMF230" s="1"/>
      <c r="QMG230" s="1"/>
      <c r="QMH230" s="1"/>
      <c r="QMI230" s="1"/>
      <c r="QMJ230" s="1"/>
      <c r="QMK230" s="1"/>
      <c r="QML230" s="1"/>
      <c r="QMM230" s="1"/>
      <c r="QMN230" s="1"/>
      <c r="QMO230" s="1"/>
      <c r="QMP230" s="1"/>
      <c r="QMQ230" s="1"/>
      <c r="QMR230" s="1"/>
      <c r="QMS230" s="1"/>
      <c r="QMT230" s="1"/>
      <c r="QMU230" s="1"/>
      <c r="QMV230" s="1"/>
      <c r="QMW230" s="1"/>
      <c r="QMX230" s="1"/>
      <c r="QMY230" s="1"/>
      <c r="QMZ230" s="1"/>
      <c r="QNA230" s="1"/>
      <c r="QNB230" s="1"/>
      <c r="QNC230" s="1"/>
      <c r="QND230" s="1"/>
      <c r="QNE230" s="1"/>
      <c r="QNF230" s="1"/>
      <c r="QNG230" s="1"/>
      <c r="QNH230" s="1"/>
      <c r="QNI230" s="1"/>
      <c r="QNJ230" s="1"/>
      <c r="QNK230" s="1"/>
      <c r="QNL230" s="1"/>
      <c r="QNM230" s="1"/>
      <c r="QNN230" s="1"/>
      <c r="QNO230" s="1"/>
      <c r="QNP230" s="1"/>
      <c r="QNQ230" s="1"/>
      <c r="QNR230" s="1"/>
      <c r="QNS230" s="1"/>
      <c r="QNT230" s="1"/>
      <c r="QNU230" s="1"/>
      <c r="QNV230" s="1"/>
      <c r="QNW230" s="1"/>
      <c r="QNX230" s="1"/>
      <c r="QNY230" s="1"/>
      <c r="QNZ230" s="1"/>
      <c r="QOA230" s="1"/>
      <c r="QOB230" s="1"/>
      <c r="QOC230" s="1"/>
      <c r="QOD230" s="1"/>
      <c r="QOE230" s="1"/>
      <c r="QOF230" s="1"/>
      <c r="QOG230" s="1"/>
      <c r="QOH230" s="1"/>
      <c r="QOI230" s="1"/>
      <c r="QOJ230" s="1"/>
      <c r="QOK230" s="1"/>
      <c r="QOL230" s="1"/>
      <c r="QOM230" s="1"/>
      <c r="QON230" s="1"/>
      <c r="QOO230" s="1"/>
      <c r="QOP230" s="1"/>
      <c r="QOQ230" s="1"/>
      <c r="QOR230" s="1"/>
      <c r="QOS230" s="1"/>
      <c r="QOT230" s="1"/>
      <c r="QOU230" s="1"/>
      <c r="QOV230" s="1"/>
      <c r="QOW230" s="1"/>
      <c r="QOX230" s="1"/>
      <c r="QOY230" s="1"/>
      <c r="QOZ230" s="1"/>
      <c r="QPA230" s="1"/>
      <c r="QPB230" s="1"/>
      <c r="QPC230" s="1"/>
      <c r="QPD230" s="1"/>
      <c r="QPE230" s="1"/>
      <c r="QPF230" s="1"/>
      <c r="QPG230" s="1"/>
      <c r="QPH230" s="1"/>
      <c r="QPI230" s="1"/>
      <c r="QPJ230" s="1"/>
      <c r="QPK230" s="1"/>
      <c r="QPL230" s="1"/>
      <c r="QPM230" s="1"/>
      <c r="QPN230" s="1"/>
      <c r="QPO230" s="1"/>
      <c r="QPP230" s="1"/>
      <c r="QPQ230" s="1"/>
      <c r="QPR230" s="1"/>
      <c r="QPS230" s="1"/>
      <c r="QPT230" s="1"/>
      <c r="QPU230" s="1"/>
      <c r="QPV230" s="1"/>
      <c r="QPW230" s="1"/>
      <c r="QPX230" s="1"/>
      <c r="QPY230" s="1"/>
      <c r="QPZ230" s="1"/>
      <c r="QQA230" s="1"/>
      <c r="QQB230" s="1"/>
      <c r="QQC230" s="1"/>
      <c r="QQD230" s="1"/>
      <c r="QQE230" s="1"/>
      <c r="QQF230" s="1"/>
      <c r="QQG230" s="1"/>
      <c r="QQH230" s="1"/>
      <c r="QQI230" s="1"/>
      <c r="QQJ230" s="1"/>
      <c r="QQK230" s="1"/>
      <c r="QQL230" s="1"/>
      <c r="QQM230" s="1"/>
      <c r="QQN230" s="1"/>
      <c r="QQO230" s="1"/>
      <c r="QQP230" s="1"/>
      <c r="QQQ230" s="1"/>
      <c r="QQR230" s="1"/>
      <c r="QQS230" s="1"/>
      <c r="QQT230" s="1"/>
      <c r="QQU230" s="1"/>
      <c r="QQV230" s="1"/>
      <c r="QQW230" s="1"/>
      <c r="QQX230" s="1"/>
      <c r="QQY230" s="1"/>
      <c r="QQZ230" s="1"/>
      <c r="QRA230" s="1"/>
      <c r="QRB230" s="1"/>
      <c r="QRC230" s="1"/>
      <c r="QRD230" s="1"/>
      <c r="QRE230" s="1"/>
      <c r="QRF230" s="1"/>
      <c r="QRG230" s="1"/>
      <c r="QRH230" s="1"/>
      <c r="QRI230" s="1"/>
      <c r="QRJ230" s="1"/>
      <c r="QRK230" s="1"/>
      <c r="QRL230" s="1"/>
      <c r="QRM230" s="1"/>
      <c r="QRN230" s="1"/>
      <c r="QRO230" s="1"/>
      <c r="QRP230" s="1"/>
      <c r="QRQ230" s="1"/>
      <c r="QRR230" s="1"/>
      <c r="QRS230" s="1"/>
      <c r="QRT230" s="1"/>
      <c r="QRU230" s="1"/>
      <c r="QRV230" s="1"/>
      <c r="QRW230" s="1"/>
      <c r="QRX230" s="1"/>
      <c r="QRY230" s="1"/>
      <c r="QRZ230" s="1"/>
      <c r="QSA230" s="1"/>
      <c r="QSB230" s="1"/>
      <c r="QSC230" s="1"/>
      <c r="QSD230" s="1"/>
      <c r="QSE230" s="1"/>
      <c r="QSF230" s="1"/>
      <c r="QSG230" s="1"/>
      <c r="QSH230" s="1"/>
      <c r="QSI230" s="1"/>
      <c r="QSJ230" s="1"/>
      <c r="QSK230" s="1"/>
      <c r="QSL230" s="1"/>
      <c r="QSM230" s="1"/>
      <c r="QSN230" s="1"/>
      <c r="QSO230" s="1"/>
      <c r="QSP230" s="1"/>
      <c r="QSQ230" s="1"/>
      <c r="QSR230" s="1"/>
      <c r="QSS230" s="1"/>
      <c r="QST230" s="1"/>
      <c r="QSU230" s="1"/>
      <c r="QSV230" s="1"/>
      <c r="QSW230" s="1"/>
      <c r="QSX230" s="1"/>
      <c r="QSY230" s="1"/>
      <c r="QSZ230" s="1"/>
      <c r="QTA230" s="1"/>
      <c r="QTB230" s="1"/>
      <c r="QTC230" s="1"/>
      <c r="QTD230" s="1"/>
      <c r="QTE230" s="1"/>
      <c r="QTF230" s="1"/>
      <c r="QTG230" s="1"/>
      <c r="QTH230" s="1"/>
      <c r="QTI230" s="1"/>
      <c r="QTJ230" s="1"/>
      <c r="QTK230" s="1"/>
      <c r="QTL230" s="1"/>
      <c r="QTM230" s="1"/>
      <c r="QTN230" s="1"/>
      <c r="QTO230" s="1"/>
      <c r="QTP230" s="1"/>
      <c r="QTQ230" s="1"/>
      <c r="QTR230" s="1"/>
      <c r="QTS230" s="1"/>
      <c r="QTT230" s="1"/>
      <c r="QTU230" s="1"/>
      <c r="QTV230" s="1"/>
      <c r="QTW230" s="1"/>
      <c r="QTX230" s="1"/>
      <c r="QTY230" s="1"/>
      <c r="QTZ230" s="1"/>
      <c r="QUA230" s="1"/>
      <c r="QUB230" s="1"/>
      <c r="QUC230" s="1"/>
      <c r="QUD230" s="1"/>
      <c r="QUE230" s="1"/>
      <c r="QUF230" s="1"/>
      <c r="QUG230" s="1"/>
      <c r="QUH230" s="1"/>
      <c r="QUI230" s="1"/>
      <c r="QUJ230" s="1"/>
      <c r="QUK230" s="1"/>
      <c r="QUL230" s="1"/>
      <c r="QUM230" s="1"/>
      <c r="QUN230" s="1"/>
      <c r="QUO230" s="1"/>
      <c r="QUP230" s="1"/>
      <c r="QUQ230" s="1"/>
      <c r="QUR230" s="1"/>
      <c r="QUS230" s="1"/>
      <c r="QUT230" s="1"/>
      <c r="QUU230" s="1"/>
      <c r="QUV230" s="1"/>
      <c r="QUW230" s="1"/>
      <c r="QUX230" s="1"/>
      <c r="QUY230" s="1"/>
      <c r="QUZ230" s="1"/>
      <c r="QVA230" s="1"/>
      <c r="QVB230" s="1"/>
      <c r="QVC230" s="1"/>
      <c r="QVD230" s="1"/>
      <c r="QVE230" s="1"/>
      <c r="QVF230" s="1"/>
      <c r="QVG230" s="1"/>
      <c r="QVH230" s="1"/>
      <c r="QVI230" s="1"/>
      <c r="QVJ230" s="1"/>
      <c r="QVK230" s="1"/>
      <c r="QVL230" s="1"/>
      <c r="QVM230" s="1"/>
      <c r="QVN230" s="1"/>
      <c r="QVO230" s="1"/>
      <c r="QVP230" s="1"/>
      <c r="QVQ230" s="1"/>
      <c r="QVR230" s="1"/>
      <c r="QVS230" s="1"/>
      <c r="QVT230" s="1"/>
      <c r="QVU230" s="1"/>
      <c r="QVV230" s="1"/>
      <c r="QVW230" s="1"/>
      <c r="QVX230" s="1"/>
      <c r="QVY230" s="1"/>
      <c r="QVZ230" s="1"/>
      <c r="QWA230" s="1"/>
      <c r="QWB230" s="1"/>
      <c r="QWC230" s="1"/>
      <c r="QWD230" s="1"/>
      <c r="QWE230" s="1"/>
      <c r="QWF230" s="1"/>
      <c r="QWG230" s="1"/>
      <c r="QWH230" s="1"/>
      <c r="QWI230" s="1"/>
      <c r="QWJ230" s="1"/>
      <c r="QWK230" s="1"/>
      <c r="QWL230" s="1"/>
      <c r="QWM230" s="1"/>
      <c r="QWN230" s="1"/>
      <c r="QWO230" s="1"/>
      <c r="QWP230" s="1"/>
      <c r="QWQ230" s="1"/>
      <c r="QWR230" s="1"/>
      <c r="QWS230" s="1"/>
      <c r="QWT230" s="1"/>
      <c r="QWU230" s="1"/>
      <c r="QWV230" s="1"/>
      <c r="QWW230" s="1"/>
      <c r="QWX230" s="1"/>
      <c r="QWY230" s="1"/>
      <c r="QWZ230" s="1"/>
      <c r="QXA230" s="1"/>
      <c r="QXB230" s="1"/>
      <c r="QXC230" s="1"/>
      <c r="QXD230" s="1"/>
      <c r="QXE230" s="1"/>
      <c r="QXF230" s="1"/>
      <c r="QXG230" s="1"/>
      <c r="QXH230" s="1"/>
      <c r="QXI230" s="1"/>
      <c r="QXJ230" s="1"/>
      <c r="QXK230" s="1"/>
      <c r="QXL230" s="1"/>
      <c r="QXM230" s="1"/>
      <c r="QXN230" s="1"/>
      <c r="QXO230" s="1"/>
      <c r="QXP230" s="1"/>
      <c r="QXQ230" s="1"/>
      <c r="QXR230" s="1"/>
      <c r="QXS230" s="1"/>
      <c r="QXT230" s="1"/>
      <c r="QXU230" s="1"/>
      <c r="QXV230" s="1"/>
      <c r="QXW230" s="1"/>
      <c r="QXX230" s="1"/>
      <c r="QXY230" s="1"/>
      <c r="QXZ230" s="1"/>
      <c r="QYA230" s="1"/>
      <c r="QYB230" s="1"/>
      <c r="QYC230" s="1"/>
      <c r="QYD230" s="1"/>
      <c r="QYE230" s="1"/>
      <c r="QYF230" s="1"/>
      <c r="QYG230" s="1"/>
      <c r="QYH230" s="1"/>
      <c r="QYI230" s="1"/>
      <c r="QYJ230" s="1"/>
      <c r="QYK230" s="1"/>
      <c r="QYL230" s="1"/>
      <c r="QYM230" s="1"/>
      <c r="QYN230" s="1"/>
      <c r="QYO230" s="1"/>
      <c r="QYP230" s="1"/>
      <c r="QYQ230" s="1"/>
      <c r="QYR230" s="1"/>
      <c r="QYS230" s="1"/>
      <c r="QYT230" s="1"/>
      <c r="QYU230" s="1"/>
      <c r="QYV230" s="1"/>
      <c r="QYW230" s="1"/>
      <c r="QYX230" s="1"/>
      <c r="QYY230" s="1"/>
      <c r="QYZ230" s="1"/>
      <c r="QZA230" s="1"/>
      <c r="QZB230" s="1"/>
      <c r="QZC230" s="1"/>
      <c r="QZD230" s="1"/>
      <c r="QZE230" s="1"/>
      <c r="QZF230" s="1"/>
      <c r="QZG230" s="1"/>
      <c r="QZH230" s="1"/>
      <c r="QZI230" s="1"/>
      <c r="QZJ230" s="1"/>
      <c r="QZK230" s="1"/>
      <c r="QZL230" s="1"/>
      <c r="QZM230" s="1"/>
      <c r="QZN230" s="1"/>
      <c r="QZO230" s="1"/>
      <c r="QZP230" s="1"/>
      <c r="QZQ230" s="1"/>
      <c r="QZR230" s="1"/>
      <c r="QZS230" s="1"/>
      <c r="QZT230" s="1"/>
      <c r="QZU230" s="1"/>
      <c r="QZV230" s="1"/>
      <c r="QZW230" s="1"/>
      <c r="QZX230" s="1"/>
      <c r="QZY230" s="1"/>
      <c r="QZZ230" s="1"/>
      <c r="RAA230" s="1"/>
      <c r="RAB230" s="1"/>
      <c r="RAC230" s="1"/>
      <c r="RAD230" s="1"/>
      <c r="RAE230" s="1"/>
      <c r="RAF230" s="1"/>
      <c r="RAG230" s="1"/>
      <c r="RAH230" s="1"/>
      <c r="RAI230" s="1"/>
      <c r="RAJ230" s="1"/>
      <c r="RAK230" s="1"/>
      <c r="RAL230" s="1"/>
      <c r="RAM230" s="1"/>
      <c r="RAN230" s="1"/>
      <c r="RAO230" s="1"/>
      <c r="RAP230" s="1"/>
      <c r="RAQ230" s="1"/>
      <c r="RAR230" s="1"/>
      <c r="RAS230" s="1"/>
      <c r="RAT230" s="1"/>
      <c r="RAU230" s="1"/>
      <c r="RAV230" s="1"/>
      <c r="RAW230" s="1"/>
      <c r="RAX230" s="1"/>
      <c r="RAY230" s="1"/>
      <c r="RAZ230" s="1"/>
      <c r="RBA230" s="1"/>
      <c r="RBB230" s="1"/>
      <c r="RBC230" s="1"/>
      <c r="RBD230" s="1"/>
      <c r="RBE230" s="1"/>
      <c r="RBF230" s="1"/>
      <c r="RBG230" s="1"/>
      <c r="RBH230" s="1"/>
      <c r="RBI230" s="1"/>
      <c r="RBJ230" s="1"/>
      <c r="RBK230" s="1"/>
      <c r="RBL230" s="1"/>
      <c r="RBM230" s="1"/>
      <c r="RBN230" s="1"/>
      <c r="RBO230" s="1"/>
      <c r="RBP230" s="1"/>
      <c r="RBQ230" s="1"/>
      <c r="RBR230" s="1"/>
      <c r="RBS230" s="1"/>
      <c r="RBT230" s="1"/>
      <c r="RBU230" s="1"/>
      <c r="RBV230" s="1"/>
      <c r="RBW230" s="1"/>
      <c r="RBX230" s="1"/>
      <c r="RBY230" s="1"/>
      <c r="RBZ230" s="1"/>
      <c r="RCA230" s="1"/>
      <c r="RCB230" s="1"/>
      <c r="RCC230" s="1"/>
      <c r="RCD230" s="1"/>
      <c r="RCE230" s="1"/>
      <c r="RCF230" s="1"/>
      <c r="RCG230" s="1"/>
      <c r="RCH230" s="1"/>
      <c r="RCI230" s="1"/>
      <c r="RCJ230" s="1"/>
      <c r="RCK230" s="1"/>
      <c r="RCL230" s="1"/>
      <c r="RCM230" s="1"/>
      <c r="RCN230" s="1"/>
      <c r="RCO230" s="1"/>
      <c r="RCP230" s="1"/>
      <c r="RCQ230" s="1"/>
      <c r="RCR230" s="1"/>
      <c r="RCS230" s="1"/>
      <c r="RCT230" s="1"/>
      <c r="RCU230" s="1"/>
      <c r="RCV230" s="1"/>
      <c r="RCW230" s="1"/>
      <c r="RCX230" s="1"/>
      <c r="RCY230" s="1"/>
      <c r="RCZ230" s="1"/>
      <c r="RDA230" s="1"/>
      <c r="RDB230" s="1"/>
      <c r="RDC230" s="1"/>
      <c r="RDD230" s="1"/>
      <c r="RDE230" s="1"/>
      <c r="RDF230" s="1"/>
      <c r="RDG230" s="1"/>
      <c r="RDH230" s="1"/>
      <c r="RDI230" s="1"/>
      <c r="RDJ230" s="1"/>
      <c r="RDK230" s="1"/>
      <c r="RDL230" s="1"/>
      <c r="RDM230" s="1"/>
      <c r="RDN230" s="1"/>
      <c r="RDO230" s="1"/>
      <c r="RDP230" s="1"/>
      <c r="RDQ230" s="1"/>
      <c r="RDR230" s="1"/>
      <c r="RDS230" s="1"/>
      <c r="RDT230" s="1"/>
      <c r="RDU230" s="1"/>
      <c r="RDV230" s="1"/>
      <c r="RDW230" s="1"/>
      <c r="RDX230" s="1"/>
      <c r="RDY230" s="1"/>
      <c r="RDZ230" s="1"/>
      <c r="REA230" s="1"/>
      <c r="REB230" s="1"/>
      <c r="REC230" s="1"/>
      <c r="RED230" s="1"/>
      <c r="REE230" s="1"/>
      <c r="REF230" s="1"/>
      <c r="REG230" s="1"/>
      <c r="REH230" s="1"/>
      <c r="REI230" s="1"/>
      <c r="REJ230" s="1"/>
      <c r="REK230" s="1"/>
      <c r="REL230" s="1"/>
      <c r="REM230" s="1"/>
      <c r="REN230" s="1"/>
      <c r="REO230" s="1"/>
      <c r="REP230" s="1"/>
      <c r="REQ230" s="1"/>
      <c r="RER230" s="1"/>
      <c r="RES230" s="1"/>
      <c r="RET230" s="1"/>
      <c r="REU230" s="1"/>
      <c r="REV230" s="1"/>
      <c r="REW230" s="1"/>
      <c r="REX230" s="1"/>
      <c r="REY230" s="1"/>
      <c r="REZ230" s="1"/>
      <c r="RFA230" s="1"/>
      <c r="RFB230" s="1"/>
      <c r="RFC230" s="1"/>
      <c r="RFD230" s="1"/>
      <c r="RFE230" s="1"/>
      <c r="RFF230" s="1"/>
      <c r="RFG230" s="1"/>
      <c r="RFH230" s="1"/>
      <c r="RFI230" s="1"/>
      <c r="RFJ230" s="1"/>
      <c r="RFK230" s="1"/>
      <c r="RFL230" s="1"/>
      <c r="RFM230" s="1"/>
      <c r="RFN230" s="1"/>
      <c r="RFO230" s="1"/>
      <c r="RFP230" s="1"/>
      <c r="RFQ230" s="1"/>
      <c r="RFR230" s="1"/>
      <c r="RFS230" s="1"/>
      <c r="RFT230" s="1"/>
      <c r="RFU230" s="1"/>
      <c r="RFV230" s="1"/>
      <c r="RFW230" s="1"/>
      <c r="RFX230" s="1"/>
      <c r="RFY230" s="1"/>
      <c r="RFZ230" s="1"/>
      <c r="RGA230" s="1"/>
      <c r="RGB230" s="1"/>
      <c r="RGC230" s="1"/>
      <c r="RGD230" s="1"/>
      <c r="RGE230" s="1"/>
      <c r="RGF230" s="1"/>
      <c r="RGG230" s="1"/>
      <c r="RGH230" s="1"/>
      <c r="RGI230" s="1"/>
      <c r="RGJ230" s="1"/>
      <c r="RGK230" s="1"/>
      <c r="RGL230" s="1"/>
      <c r="RGM230" s="1"/>
      <c r="RGN230" s="1"/>
      <c r="RGO230" s="1"/>
      <c r="RGP230" s="1"/>
      <c r="RGQ230" s="1"/>
      <c r="RGR230" s="1"/>
      <c r="RGS230" s="1"/>
      <c r="RGT230" s="1"/>
      <c r="RGU230" s="1"/>
      <c r="RGV230" s="1"/>
      <c r="RGW230" s="1"/>
      <c r="RGX230" s="1"/>
      <c r="RGY230" s="1"/>
      <c r="RGZ230" s="1"/>
      <c r="RHA230" s="1"/>
      <c r="RHB230" s="1"/>
      <c r="RHC230" s="1"/>
      <c r="RHD230" s="1"/>
      <c r="RHE230" s="1"/>
      <c r="RHF230" s="1"/>
      <c r="RHG230" s="1"/>
      <c r="RHH230" s="1"/>
      <c r="RHI230" s="1"/>
      <c r="RHJ230" s="1"/>
      <c r="RHK230" s="1"/>
      <c r="RHL230" s="1"/>
      <c r="RHM230" s="1"/>
      <c r="RHN230" s="1"/>
      <c r="RHO230" s="1"/>
      <c r="RHP230" s="1"/>
      <c r="RHQ230" s="1"/>
      <c r="RHR230" s="1"/>
      <c r="RHS230" s="1"/>
      <c r="RHT230" s="1"/>
      <c r="RHU230" s="1"/>
      <c r="RHV230" s="1"/>
      <c r="RHW230" s="1"/>
      <c r="RHX230" s="1"/>
      <c r="RHY230" s="1"/>
      <c r="RHZ230" s="1"/>
      <c r="RIA230" s="1"/>
      <c r="RIB230" s="1"/>
      <c r="RIC230" s="1"/>
      <c r="RID230" s="1"/>
      <c r="RIE230" s="1"/>
      <c r="RIF230" s="1"/>
      <c r="RIG230" s="1"/>
      <c r="RIH230" s="1"/>
      <c r="RII230" s="1"/>
      <c r="RIJ230" s="1"/>
      <c r="RIK230" s="1"/>
      <c r="RIL230" s="1"/>
      <c r="RIM230" s="1"/>
      <c r="RIN230" s="1"/>
      <c r="RIO230" s="1"/>
      <c r="RIP230" s="1"/>
      <c r="RIQ230" s="1"/>
      <c r="RIR230" s="1"/>
      <c r="RIS230" s="1"/>
      <c r="RIT230" s="1"/>
      <c r="RIU230" s="1"/>
      <c r="RIV230" s="1"/>
      <c r="RIW230" s="1"/>
      <c r="RIX230" s="1"/>
      <c r="RIY230" s="1"/>
      <c r="RIZ230" s="1"/>
      <c r="RJA230" s="1"/>
      <c r="RJB230" s="1"/>
      <c r="RJC230" s="1"/>
      <c r="RJD230" s="1"/>
      <c r="RJE230" s="1"/>
      <c r="RJF230" s="1"/>
      <c r="RJG230" s="1"/>
      <c r="RJH230" s="1"/>
      <c r="RJI230" s="1"/>
      <c r="RJJ230" s="1"/>
      <c r="RJK230" s="1"/>
      <c r="RJL230" s="1"/>
      <c r="RJM230" s="1"/>
      <c r="RJN230" s="1"/>
      <c r="RJO230" s="1"/>
      <c r="RJP230" s="1"/>
      <c r="RJQ230" s="1"/>
      <c r="RJR230" s="1"/>
      <c r="RJS230" s="1"/>
      <c r="RJT230" s="1"/>
      <c r="RJU230" s="1"/>
      <c r="RJV230" s="1"/>
      <c r="RJW230" s="1"/>
      <c r="RJX230" s="1"/>
      <c r="RJY230" s="1"/>
      <c r="RJZ230" s="1"/>
      <c r="RKA230" s="1"/>
      <c r="RKB230" s="1"/>
      <c r="RKC230" s="1"/>
      <c r="RKD230" s="1"/>
      <c r="RKE230" s="1"/>
      <c r="RKF230" s="1"/>
      <c r="RKG230" s="1"/>
      <c r="RKH230" s="1"/>
      <c r="RKI230" s="1"/>
      <c r="RKJ230" s="1"/>
      <c r="RKK230" s="1"/>
      <c r="RKL230" s="1"/>
      <c r="RKM230" s="1"/>
      <c r="RKN230" s="1"/>
      <c r="RKO230" s="1"/>
      <c r="RKP230" s="1"/>
      <c r="RKQ230" s="1"/>
      <c r="RKR230" s="1"/>
      <c r="RKS230" s="1"/>
      <c r="RKT230" s="1"/>
      <c r="RKU230" s="1"/>
      <c r="RKV230" s="1"/>
      <c r="RKW230" s="1"/>
      <c r="RKX230" s="1"/>
      <c r="RKY230" s="1"/>
      <c r="RKZ230" s="1"/>
      <c r="RLA230" s="1"/>
      <c r="RLB230" s="1"/>
      <c r="RLC230" s="1"/>
      <c r="RLD230" s="1"/>
      <c r="RLE230" s="1"/>
      <c r="RLF230" s="1"/>
      <c r="RLG230" s="1"/>
      <c r="RLH230" s="1"/>
      <c r="RLI230" s="1"/>
      <c r="RLJ230" s="1"/>
      <c r="RLK230" s="1"/>
      <c r="RLL230" s="1"/>
      <c r="RLM230" s="1"/>
      <c r="RLN230" s="1"/>
      <c r="RLO230" s="1"/>
      <c r="RLP230" s="1"/>
      <c r="RLQ230" s="1"/>
      <c r="RLR230" s="1"/>
      <c r="RLS230" s="1"/>
      <c r="RLT230" s="1"/>
      <c r="RLU230" s="1"/>
      <c r="RLV230" s="1"/>
      <c r="RLW230" s="1"/>
      <c r="RLX230" s="1"/>
      <c r="RLY230" s="1"/>
      <c r="RLZ230" s="1"/>
      <c r="RMA230" s="1"/>
      <c r="RMB230" s="1"/>
      <c r="RMC230" s="1"/>
      <c r="RMD230" s="1"/>
      <c r="RME230" s="1"/>
      <c r="RMF230" s="1"/>
      <c r="RMG230" s="1"/>
      <c r="RMH230" s="1"/>
      <c r="RMI230" s="1"/>
      <c r="RMJ230" s="1"/>
      <c r="RMK230" s="1"/>
      <c r="RML230" s="1"/>
      <c r="RMM230" s="1"/>
      <c r="RMN230" s="1"/>
      <c r="RMO230" s="1"/>
      <c r="RMP230" s="1"/>
      <c r="RMQ230" s="1"/>
      <c r="RMR230" s="1"/>
      <c r="RMS230" s="1"/>
      <c r="RMT230" s="1"/>
      <c r="RMU230" s="1"/>
      <c r="RMV230" s="1"/>
      <c r="RMW230" s="1"/>
      <c r="RMX230" s="1"/>
      <c r="RMY230" s="1"/>
      <c r="RMZ230" s="1"/>
      <c r="RNA230" s="1"/>
      <c r="RNB230" s="1"/>
      <c r="RNC230" s="1"/>
      <c r="RND230" s="1"/>
      <c r="RNE230" s="1"/>
      <c r="RNF230" s="1"/>
      <c r="RNG230" s="1"/>
      <c r="RNH230" s="1"/>
      <c r="RNI230" s="1"/>
      <c r="RNJ230" s="1"/>
      <c r="RNK230" s="1"/>
      <c r="RNL230" s="1"/>
      <c r="RNM230" s="1"/>
      <c r="RNN230" s="1"/>
      <c r="RNO230" s="1"/>
      <c r="RNP230" s="1"/>
      <c r="RNQ230" s="1"/>
      <c r="RNR230" s="1"/>
      <c r="RNS230" s="1"/>
      <c r="RNT230" s="1"/>
      <c r="RNU230" s="1"/>
      <c r="RNV230" s="1"/>
      <c r="RNW230" s="1"/>
      <c r="RNX230" s="1"/>
      <c r="RNY230" s="1"/>
      <c r="RNZ230" s="1"/>
      <c r="ROA230" s="1"/>
      <c r="ROB230" s="1"/>
      <c r="ROC230" s="1"/>
      <c r="ROD230" s="1"/>
      <c r="ROE230" s="1"/>
      <c r="ROF230" s="1"/>
      <c r="ROG230" s="1"/>
      <c r="ROH230" s="1"/>
      <c r="ROI230" s="1"/>
      <c r="ROJ230" s="1"/>
      <c r="ROK230" s="1"/>
      <c r="ROL230" s="1"/>
      <c r="ROM230" s="1"/>
      <c r="RON230" s="1"/>
      <c r="ROO230" s="1"/>
      <c r="ROP230" s="1"/>
      <c r="ROQ230" s="1"/>
      <c r="ROR230" s="1"/>
      <c r="ROS230" s="1"/>
      <c r="ROT230" s="1"/>
      <c r="ROU230" s="1"/>
      <c r="ROV230" s="1"/>
      <c r="ROW230" s="1"/>
      <c r="ROX230" s="1"/>
      <c r="ROY230" s="1"/>
      <c r="ROZ230" s="1"/>
      <c r="RPA230" s="1"/>
      <c r="RPB230" s="1"/>
      <c r="RPC230" s="1"/>
      <c r="RPD230" s="1"/>
      <c r="RPE230" s="1"/>
      <c r="RPF230" s="1"/>
      <c r="RPG230" s="1"/>
      <c r="RPH230" s="1"/>
      <c r="RPI230" s="1"/>
      <c r="RPJ230" s="1"/>
      <c r="RPK230" s="1"/>
      <c r="RPL230" s="1"/>
      <c r="RPM230" s="1"/>
      <c r="RPN230" s="1"/>
      <c r="RPO230" s="1"/>
      <c r="RPP230" s="1"/>
      <c r="RPQ230" s="1"/>
      <c r="RPR230" s="1"/>
      <c r="RPS230" s="1"/>
      <c r="RPT230" s="1"/>
      <c r="RPU230" s="1"/>
      <c r="RPV230" s="1"/>
      <c r="RPW230" s="1"/>
      <c r="RPX230" s="1"/>
      <c r="RPY230" s="1"/>
      <c r="RPZ230" s="1"/>
      <c r="RQA230" s="1"/>
      <c r="RQB230" s="1"/>
      <c r="RQC230" s="1"/>
      <c r="RQD230" s="1"/>
      <c r="RQE230" s="1"/>
      <c r="RQF230" s="1"/>
      <c r="RQG230" s="1"/>
      <c r="RQH230" s="1"/>
      <c r="RQI230" s="1"/>
      <c r="RQJ230" s="1"/>
      <c r="RQK230" s="1"/>
      <c r="RQL230" s="1"/>
      <c r="RQM230" s="1"/>
      <c r="RQN230" s="1"/>
      <c r="RQO230" s="1"/>
      <c r="RQP230" s="1"/>
      <c r="RQQ230" s="1"/>
      <c r="RQR230" s="1"/>
      <c r="RQS230" s="1"/>
      <c r="RQT230" s="1"/>
      <c r="RQU230" s="1"/>
      <c r="RQV230" s="1"/>
      <c r="RQW230" s="1"/>
      <c r="RQX230" s="1"/>
      <c r="RQY230" s="1"/>
      <c r="RQZ230" s="1"/>
      <c r="RRA230" s="1"/>
      <c r="RRB230" s="1"/>
      <c r="RRC230" s="1"/>
      <c r="RRD230" s="1"/>
      <c r="RRE230" s="1"/>
      <c r="RRF230" s="1"/>
      <c r="RRG230" s="1"/>
      <c r="RRH230" s="1"/>
      <c r="RRI230" s="1"/>
      <c r="RRJ230" s="1"/>
      <c r="RRK230" s="1"/>
      <c r="RRL230" s="1"/>
      <c r="RRM230" s="1"/>
      <c r="RRN230" s="1"/>
      <c r="RRO230" s="1"/>
      <c r="RRP230" s="1"/>
      <c r="RRQ230" s="1"/>
      <c r="RRR230" s="1"/>
      <c r="RRS230" s="1"/>
      <c r="RRT230" s="1"/>
      <c r="RRU230" s="1"/>
      <c r="RRV230" s="1"/>
      <c r="RRW230" s="1"/>
      <c r="RRX230" s="1"/>
      <c r="RRY230" s="1"/>
      <c r="RRZ230" s="1"/>
      <c r="RSA230" s="1"/>
      <c r="RSB230" s="1"/>
      <c r="RSC230" s="1"/>
      <c r="RSD230" s="1"/>
      <c r="RSE230" s="1"/>
      <c r="RSF230" s="1"/>
      <c r="RSG230" s="1"/>
      <c r="RSH230" s="1"/>
      <c r="RSI230" s="1"/>
      <c r="RSJ230" s="1"/>
      <c r="RSK230" s="1"/>
      <c r="RSL230" s="1"/>
      <c r="RSM230" s="1"/>
      <c r="RSN230" s="1"/>
      <c r="RSO230" s="1"/>
      <c r="RSP230" s="1"/>
      <c r="RSQ230" s="1"/>
      <c r="RSR230" s="1"/>
      <c r="RSS230" s="1"/>
      <c r="RST230" s="1"/>
      <c r="RSU230" s="1"/>
      <c r="RSV230" s="1"/>
      <c r="RSW230" s="1"/>
      <c r="RSX230" s="1"/>
      <c r="RSY230" s="1"/>
      <c r="RSZ230" s="1"/>
      <c r="RTA230" s="1"/>
      <c r="RTB230" s="1"/>
      <c r="RTC230" s="1"/>
      <c r="RTD230" s="1"/>
      <c r="RTE230" s="1"/>
      <c r="RTF230" s="1"/>
      <c r="RTG230" s="1"/>
      <c r="RTH230" s="1"/>
      <c r="RTI230" s="1"/>
      <c r="RTJ230" s="1"/>
      <c r="RTK230" s="1"/>
      <c r="RTL230" s="1"/>
      <c r="RTM230" s="1"/>
      <c r="RTN230" s="1"/>
      <c r="RTO230" s="1"/>
      <c r="RTP230" s="1"/>
      <c r="RTQ230" s="1"/>
      <c r="RTR230" s="1"/>
      <c r="RTS230" s="1"/>
      <c r="RTT230" s="1"/>
      <c r="RTU230" s="1"/>
      <c r="RTV230" s="1"/>
      <c r="RTW230" s="1"/>
      <c r="RTX230" s="1"/>
      <c r="RTY230" s="1"/>
      <c r="RTZ230" s="1"/>
      <c r="RUA230" s="1"/>
      <c r="RUB230" s="1"/>
      <c r="RUC230" s="1"/>
      <c r="RUD230" s="1"/>
      <c r="RUE230" s="1"/>
      <c r="RUF230" s="1"/>
      <c r="RUG230" s="1"/>
      <c r="RUH230" s="1"/>
      <c r="RUI230" s="1"/>
      <c r="RUJ230" s="1"/>
      <c r="RUK230" s="1"/>
      <c r="RUL230" s="1"/>
      <c r="RUM230" s="1"/>
      <c r="RUN230" s="1"/>
      <c r="RUO230" s="1"/>
      <c r="RUP230" s="1"/>
      <c r="RUQ230" s="1"/>
      <c r="RUR230" s="1"/>
      <c r="RUS230" s="1"/>
      <c r="RUT230" s="1"/>
      <c r="RUU230" s="1"/>
      <c r="RUV230" s="1"/>
      <c r="RUW230" s="1"/>
      <c r="RUX230" s="1"/>
      <c r="RUY230" s="1"/>
      <c r="RUZ230" s="1"/>
      <c r="RVA230" s="1"/>
      <c r="RVB230" s="1"/>
      <c r="RVC230" s="1"/>
      <c r="RVD230" s="1"/>
      <c r="RVE230" s="1"/>
      <c r="RVF230" s="1"/>
      <c r="RVG230" s="1"/>
      <c r="RVH230" s="1"/>
      <c r="RVI230" s="1"/>
      <c r="RVJ230" s="1"/>
      <c r="RVK230" s="1"/>
      <c r="RVL230" s="1"/>
      <c r="RVM230" s="1"/>
      <c r="RVN230" s="1"/>
      <c r="RVO230" s="1"/>
      <c r="RVP230" s="1"/>
      <c r="RVQ230" s="1"/>
      <c r="RVR230" s="1"/>
      <c r="RVS230" s="1"/>
      <c r="RVT230" s="1"/>
      <c r="RVU230" s="1"/>
      <c r="RVV230" s="1"/>
      <c r="RVW230" s="1"/>
      <c r="RVX230" s="1"/>
      <c r="RVY230" s="1"/>
      <c r="RVZ230" s="1"/>
      <c r="RWA230" s="1"/>
      <c r="RWB230" s="1"/>
      <c r="RWC230" s="1"/>
      <c r="RWD230" s="1"/>
      <c r="RWE230" s="1"/>
      <c r="RWF230" s="1"/>
      <c r="RWG230" s="1"/>
      <c r="RWH230" s="1"/>
      <c r="RWI230" s="1"/>
      <c r="RWJ230" s="1"/>
      <c r="RWK230" s="1"/>
      <c r="RWL230" s="1"/>
      <c r="RWM230" s="1"/>
      <c r="RWN230" s="1"/>
      <c r="RWO230" s="1"/>
      <c r="RWP230" s="1"/>
      <c r="RWQ230" s="1"/>
      <c r="RWR230" s="1"/>
      <c r="RWS230" s="1"/>
      <c r="RWT230" s="1"/>
      <c r="RWU230" s="1"/>
      <c r="RWV230" s="1"/>
      <c r="RWW230" s="1"/>
      <c r="RWX230" s="1"/>
      <c r="RWY230" s="1"/>
      <c r="RWZ230" s="1"/>
      <c r="RXA230" s="1"/>
      <c r="RXB230" s="1"/>
      <c r="RXC230" s="1"/>
      <c r="RXD230" s="1"/>
      <c r="RXE230" s="1"/>
      <c r="RXF230" s="1"/>
      <c r="RXG230" s="1"/>
      <c r="RXH230" s="1"/>
      <c r="RXI230" s="1"/>
      <c r="RXJ230" s="1"/>
      <c r="RXK230" s="1"/>
      <c r="RXL230" s="1"/>
      <c r="RXM230" s="1"/>
      <c r="RXN230" s="1"/>
      <c r="RXO230" s="1"/>
      <c r="RXP230" s="1"/>
      <c r="RXQ230" s="1"/>
      <c r="RXR230" s="1"/>
      <c r="RXS230" s="1"/>
      <c r="RXT230" s="1"/>
      <c r="RXU230" s="1"/>
      <c r="RXV230" s="1"/>
      <c r="RXW230" s="1"/>
      <c r="RXX230" s="1"/>
      <c r="RXY230" s="1"/>
      <c r="RXZ230" s="1"/>
      <c r="RYA230" s="1"/>
      <c r="RYB230" s="1"/>
      <c r="RYC230" s="1"/>
      <c r="RYD230" s="1"/>
      <c r="RYE230" s="1"/>
      <c r="RYF230" s="1"/>
      <c r="RYG230" s="1"/>
      <c r="RYH230" s="1"/>
      <c r="RYI230" s="1"/>
      <c r="RYJ230" s="1"/>
      <c r="RYK230" s="1"/>
      <c r="RYL230" s="1"/>
      <c r="RYM230" s="1"/>
      <c r="RYN230" s="1"/>
      <c r="RYO230" s="1"/>
      <c r="RYP230" s="1"/>
      <c r="RYQ230" s="1"/>
      <c r="RYR230" s="1"/>
      <c r="RYS230" s="1"/>
      <c r="RYT230" s="1"/>
      <c r="RYU230" s="1"/>
      <c r="RYV230" s="1"/>
      <c r="RYW230" s="1"/>
      <c r="RYX230" s="1"/>
      <c r="RYY230" s="1"/>
      <c r="RYZ230" s="1"/>
      <c r="RZA230" s="1"/>
      <c r="RZB230" s="1"/>
      <c r="RZC230" s="1"/>
      <c r="RZD230" s="1"/>
      <c r="RZE230" s="1"/>
      <c r="RZF230" s="1"/>
      <c r="RZG230" s="1"/>
      <c r="RZH230" s="1"/>
      <c r="RZI230" s="1"/>
      <c r="RZJ230" s="1"/>
      <c r="RZK230" s="1"/>
      <c r="RZL230" s="1"/>
      <c r="RZM230" s="1"/>
      <c r="RZN230" s="1"/>
      <c r="RZO230" s="1"/>
      <c r="RZP230" s="1"/>
      <c r="RZQ230" s="1"/>
      <c r="RZR230" s="1"/>
      <c r="RZS230" s="1"/>
      <c r="RZT230" s="1"/>
      <c r="RZU230" s="1"/>
      <c r="RZV230" s="1"/>
      <c r="RZW230" s="1"/>
      <c r="RZX230" s="1"/>
      <c r="RZY230" s="1"/>
      <c r="RZZ230" s="1"/>
      <c r="SAA230" s="1"/>
      <c r="SAB230" s="1"/>
      <c r="SAC230" s="1"/>
      <c r="SAD230" s="1"/>
      <c r="SAE230" s="1"/>
      <c r="SAF230" s="1"/>
      <c r="SAG230" s="1"/>
      <c r="SAH230" s="1"/>
      <c r="SAI230" s="1"/>
      <c r="SAJ230" s="1"/>
      <c r="SAK230" s="1"/>
      <c r="SAL230" s="1"/>
      <c r="SAM230" s="1"/>
      <c r="SAN230" s="1"/>
      <c r="SAO230" s="1"/>
      <c r="SAP230" s="1"/>
      <c r="SAQ230" s="1"/>
      <c r="SAR230" s="1"/>
      <c r="SAS230" s="1"/>
      <c r="SAT230" s="1"/>
      <c r="SAU230" s="1"/>
      <c r="SAV230" s="1"/>
      <c r="SAW230" s="1"/>
      <c r="SAX230" s="1"/>
      <c r="SAY230" s="1"/>
      <c r="SAZ230" s="1"/>
      <c r="SBA230" s="1"/>
      <c r="SBB230" s="1"/>
      <c r="SBC230" s="1"/>
      <c r="SBD230" s="1"/>
      <c r="SBE230" s="1"/>
      <c r="SBF230" s="1"/>
      <c r="SBG230" s="1"/>
      <c r="SBH230" s="1"/>
      <c r="SBI230" s="1"/>
      <c r="SBJ230" s="1"/>
      <c r="SBK230" s="1"/>
      <c r="SBL230" s="1"/>
      <c r="SBM230" s="1"/>
      <c r="SBN230" s="1"/>
      <c r="SBO230" s="1"/>
      <c r="SBP230" s="1"/>
      <c r="SBQ230" s="1"/>
      <c r="SBR230" s="1"/>
      <c r="SBS230" s="1"/>
      <c r="SBT230" s="1"/>
      <c r="SBU230" s="1"/>
      <c r="SBV230" s="1"/>
      <c r="SBW230" s="1"/>
      <c r="SBX230" s="1"/>
      <c r="SBY230" s="1"/>
      <c r="SBZ230" s="1"/>
      <c r="SCA230" s="1"/>
      <c r="SCB230" s="1"/>
      <c r="SCC230" s="1"/>
      <c r="SCD230" s="1"/>
      <c r="SCE230" s="1"/>
      <c r="SCF230" s="1"/>
      <c r="SCG230" s="1"/>
      <c r="SCH230" s="1"/>
      <c r="SCI230" s="1"/>
      <c r="SCJ230" s="1"/>
      <c r="SCK230" s="1"/>
      <c r="SCL230" s="1"/>
      <c r="SCM230" s="1"/>
      <c r="SCN230" s="1"/>
      <c r="SCO230" s="1"/>
      <c r="SCP230" s="1"/>
      <c r="SCQ230" s="1"/>
      <c r="SCR230" s="1"/>
      <c r="SCS230" s="1"/>
      <c r="SCT230" s="1"/>
      <c r="SCU230" s="1"/>
      <c r="SCV230" s="1"/>
      <c r="SCW230" s="1"/>
      <c r="SCX230" s="1"/>
      <c r="SCY230" s="1"/>
      <c r="SCZ230" s="1"/>
      <c r="SDA230" s="1"/>
      <c r="SDB230" s="1"/>
      <c r="SDC230" s="1"/>
      <c r="SDD230" s="1"/>
      <c r="SDE230" s="1"/>
      <c r="SDF230" s="1"/>
      <c r="SDG230" s="1"/>
      <c r="SDH230" s="1"/>
      <c r="SDI230" s="1"/>
      <c r="SDJ230" s="1"/>
      <c r="SDK230" s="1"/>
      <c r="SDL230" s="1"/>
      <c r="SDM230" s="1"/>
      <c r="SDN230" s="1"/>
      <c r="SDO230" s="1"/>
      <c r="SDP230" s="1"/>
      <c r="SDQ230" s="1"/>
      <c r="SDR230" s="1"/>
      <c r="SDS230" s="1"/>
      <c r="SDT230" s="1"/>
      <c r="SDU230" s="1"/>
      <c r="SDV230" s="1"/>
      <c r="SDW230" s="1"/>
      <c r="SDX230" s="1"/>
      <c r="SDY230" s="1"/>
      <c r="SDZ230" s="1"/>
      <c r="SEA230" s="1"/>
      <c r="SEB230" s="1"/>
      <c r="SEC230" s="1"/>
      <c r="SED230" s="1"/>
      <c r="SEE230" s="1"/>
      <c r="SEF230" s="1"/>
      <c r="SEG230" s="1"/>
      <c r="SEH230" s="1"/>
      <c r="SEI230" s="1"/>
      <c r="SEJ230" s="1"/>
      <c r="SEK230" s="1"/>
      <c r="SEL230" s="1"/>
      <c r="SEM230" s="1"/>
      <c r="SEN230" s="1"/>
      <c r="SEO230" s="1"/>
      <c r="SEP230" s="1"/>
      <c r="SEQ230" s="1"/>
      <c r="SER230" s="1"/>
      <c r="SES230" s="1"/>
      <c r="SET230" s="1"/>
      <c r="SEU230" s="1"/>
      <c r="SEV230" s="1"/>
      <c r="SEW230" s="1"/>
      <c r="SEX230" s="1"/>
      <c r="SEY230" s="1"/>
      <c r="SEZ230" s="1"/>
      <c r="SFA230" s="1"/>
      <c r="SFB230" s="1"/>
      <c r="SFC230" s="1"/>
      <c r="SFD230" s="1"/>
      <c r="SFE230" s="1"/>
      <c r="SFF230" s="1"/>
      <c r="SFG230" s="1"/>
      <c r="SFH230" s="1"/>
      <c r="SFI230" s="1"/>
      <c r="SFJ230" s="1"/>
      <c r="SFK230" s="1"/>
      <c r="SFL230" s="1"/>
      <c r="SFM230" s="1"/>
      <c r="SFN230" s="1"/>
      <c r="SFO230" s="1"/>
      <c r="SFP230" s="1"/>
      <c r="SFQ230" s="1"/>
      <c r="SFR230" s="1"/>
      <c r="SFS230" s="1"/>
      <c r="SFT230" s="1"/>
      <c r="SFU230" s="1"/>
      <c r="SFV230" s="1"/>
      <c r="SFW230" s="1"/>
      <c r="SFX230" s="1"/>
      <c r="SFY230" s="1"/>
      <c r="SFZ230" s="1"/>
      <c r="SGA230" s="1"/>
      <c r="SGB230" s="1"/>
      <c r="SGC230" s="1"/>
      <c r="SGD230" s="1"/>
      <c r="SGE230" s="1"/>
      <c r="SGF230" s="1"/>
      <c r="SGG230" s="1"/>
      <c r="SGH230" s="1"/>
      <c r="SGI230" s="1"/>
      <c r="SGJ230" s="1"/>
      <c r="SGK230" s="1"/>
      <c r="SGL230" s="1"/>
      <c r="SGM230" s="1"/>
      <c r="SGN230" s="1"/>
      <c r="SGO230" s="1"/>
      <c r="SGP230" s="1"/>
      <c r="SGQ230" s="1"/>
      <c r="SGR230" s="1"/>
      <c r="SGS230" s="1"/>
      <c r="SGT230" s="1"/>
      <c r="SGU230" s="1"/>
      <c r="SGV230" s="1"/>
      <c r="SGW230" s="1"/>
      <c r="SGX230" s="1"/>
      <c r="SGY230" s="1"/>
      <c r="SGZ230" s="1"/>
      <c r="SHA230" s="1"/>
      <c r="SHB230" s="1"/>
      <c r="SHC230" s="1"/>
      <c r="SHD230" s="1"/>
      <c r="SHE230" s="1"/>
      <c r="SHF230" s="1"/>
      <c r="SHG230" s="1"/>
      <c r="SHH230" s="1"/>
      <c r="SHI230" s="1"/>
      <c r="SHJ230" s="1"/>
      <c r="SHK230" s="1"/>
      <c r="SHL230" s="1"/>
      <c r="SHM230" s="1"/>
      <c r="SHN230" s="1"/>
      <c r="SHO230" s="1"/>
      <c r="SHP230" s="1"/>
      <c r="SHQ230" s="1"/>
      <c r="SHR230" s="1"/>
      <c r="SHS230" s="1"/>
      <c r="SHT230" s="1"/>
      <c r="SHU230" s="1"/>
      <c r="SHV230" s="1"/>
      <c r="SHW230" s="1"/>
      <c r="SHX230" s="1"/>
      <c r="SHY230" s="1"/>
      <c r="SHZ230" s="1"/>
      <c r="SIA230" s="1"/>
      <c r="SIB230" s="1"/>
      <c r="SIC230" s="1"/>
      <c r="SID230" s="1"/>
      <c r="SIE230" s="1"/>
      <c r="SIF230" s="1"/>
      <c r="SIG230" s="1"/>
      <c r="SIH230" s="1"/>
      <c r="SII230" s="1"/>
      <c r="SIJ230" s="1"/>
      <c r="SIK230" s="1"/>
      <c r="SIL230" s="1"/>
      <c r="SIM230" s="1"/>
      <c r="SIN230" s="1"/>
      <c r="SIO230" s="1"/>
      <c r="SIP230" s="1"/>
      <c r="SIQ230" s="1"/>
      <c r="SIR230" s="1"/>
      <c r="SIS230" s="1"/>
      <c r="SIT230" s="1"/>
      <c r="SIU230" s="1"/>
      <c r="SIV230" s="1"/>
      <c r="SIW230" s="1"/>
      <c r="SIX230" s="1"/>
      <c r="SIY230" s="1"/>
      <c r="SIZ230" s="1"/>
      <c r="SJA230" s="1"/>
      <c r="SJB230" s="1"/>
      <c r="SJC230" s="1"/>
      <c r="SJD230" s="1"/>
      <c r="SJE230" s="1"/>
      <c r="SJF230" s="1"/>
      <c r="SJG230" s="1"/>
      <c r="SJH230" s="1"/>
      <c r="SJI230" s="1"/>
      <c r="SJJ230" s="1"/>
      <c r="SJK230" s="1"/>
      <c r="SJL230" s="1"/>
      <c r="SJM230" s="1"/>
      <c r="SJN230" s="1"/>
      <c r="SJO230" s="1"/>
      <c r="SJP230" s="1"/>
      <c r="SJQ230" s="1"/>
      <c r="SJR230" s="1"/>
      <c r="SJS230" s="1"/>
      <c r="SJT230" s="1"/>
      <c r="SJU230" s="1"/>
      <c r="SJV230" s="1"/>
      <c r="SJW230" s="1"/>
      <c r="SJX230" s="1"/>
      <c r="SJY230" s="1"/>
      <c r="SJZ230" s="1"/>
      <c r="SKA230" s="1"/>
      <c r="SKB230" s="1"/>
      <c r="SKC230" s="1"/>
      <c r="SKD230" s="1"/>
      <c r="SKE230" s="1"/>
      <c r="SKF230" s="1"/>
      <c r="SKG230" s="1"/>
      <c r="SKH230" s="1"/>
      <c r="SKI230" s="1"/>
      <c r="SKJ230" s="1"/>
      <c r="SKK230" s="1"/>
      <c r="SKL230" s="1"/>
      <c r="SKM230" s="1"/>
      <c r="SKN230" s="1"/>
      <c r="SKO230" s="1"/>
      <c r="SKP230" s="1"/>
      <c r="SKQ230" s="1"/>
      <c r="SKR230" s="1"/>
      <c r="SKS230" s="1"/>
      <c r="SKT230" s="1"/>
      <c r="SKU230" s="1"/>
      <c r="SKV230" s="1"/>
      <c r="SKW230" s="1"/>
      <c r="SKX230" s="1"/>
      <c r="SKY230" s="1"/>
      <c r="SKZ230" s="1"/>
      <c r="SLA230" s="1"/>
      <c r="SLB230" s="1"/>
      <c r="SLC230" s="1"/>
      <c r="SLD230" s="1"/>
      <c r="SLE230" s="1"/>
      <c r="SLF230" s="1"/>
      <c r="SLG230" s="1"/>
      <c r="SLH230" s="1"/>
      <c r="SLI230" s="1"/>
      <c r="SLJ230" s="1"/>
      <c r="SLK230" s="1"/>
      <c r="SLL230" s="1"/>
      <c r="SLM230" s="1"/>
      <c r="SLN230" s="1"/>
      <c r="SLO230" s="1"/>
      <c r="SLP230" s="1"/>
      <c r="SLQ230" s="1"/>
      <c r="SLR230" s="1"/>
      <c r="SLS230" s="1"/>
      <c r="SLT230" s="1"/>
      <c r="SLU230" s="1"/>
      <c r="SLV230" s="1"/>
      <c r="SLW230" s="1"/>
      <c r="SLX230" s="1"/>
      <c r="SLY230" s="1"/>
      <c r="SLZ230" s="1"/>
      <c r="SMA230" s="1"/>
      <c r="SMB230" s="1"/>
      <c r="SMC230" s="1"/>
      <c r="SMD230" s="1"/>
      <c r="SME230" s="1"/>
      <c r="SMF230" s="1"/>
      <c r="SMG230" s="1"/>
      <c r="SMH230" s="1"/>
      <c r="SMI230" s="1"/>
      <c r="SMJ230" s="1"/>
      <c r="SMK230" s="1"/>
      <c r="SML230" s="1"/>
      <c r="SMM230" s="1"/>
      <c r="SMN230" s="1"/>
      <c r="SMO230" s="1"/>
      <c r="SMP230" s="1"/>
      <c r="SMQ230" s="1"/>
      <c r="SMR230" s="1"/>
      <c r="SMS230" s="1"/>
      <c r="SMT230" s="1"/>
      <c r="SMU230" s="1"/>
      <c r="SMV230" s="1"/>
      <c r="SMW230" s="1"/>
      <c r="SMX230" s="1"/>
      <c r="SMY230" s="1"/>
      <c r="SMZ230" s="1"/>
      <c r="SNA230" s="1"/>
      <c r="SNB230" s="1"/>
      <c r="SNC230" s="1"/>
      <c r="SND230" s="1"/>
      <c r="SNE230" s="1"/>
      <c r="SNF230" s="1"/>
      <c r="SNG230" s="1"/>
      <c r="SNH230" s="1"/>
      <c r="SNI230" s="1"/>
      <c r="SNJ230" s="1"/>
      <c r="SNK230" s="1"/>
      <c r="SNL230" s="1"/>
      <c r="SNM230" s="1"/>
      <c r="SNN230" s="1"/>
      <c r="SNO230" s="1"/>
      <c r="SNP230" s="1"/>
      <c r="SNQ230" s="1"/>
      <c r="SNR230" s="1"/>
      <c r="SNS230" s="1"/>
      <c r="SNT230" s="1"/>
      <c r="SNU230" s="1"/>
      <c r="SNV230" s="1"/>
      <c r="SNW230" s="1"/>
      <c r="SNX230" s="1"/>
      <c r="SNY230" s="1"/>
      <c r="SNZ230" s="1"/>
      <c r="SOA230" s="1"/>
      <c r="SOB230" s="1"/>
      <c r="SOC230" s="1"/>
      <c r="SOD230" s="1"/>
      <c r="SOE230" s="1"/>
      <c r="SOF230" s="1"/>
      <c r="SOG230" s="1"/>
      <c r="SOH230" s="1"/>
      <c r="SOI230" s="1"/>
      <c r="SOJ230" s="1"/>
      <c r="SOK230" s="1"/>
      <c r="SOL230" s="1"/>
      <c r="SOM230" s="1"/>
      <c r="SON230" s="1"/>
      <c r="SOO230" s="1"/>
      <c r="SOP230" s="1"/>
      <c r="SOQ230" s="1"/>
      <c r="SOR230" s="1"/>
      <c r="SOS230" s="1"/>
      <c r="SOT230" s="1"/>
      <c r="SOU230" s="1"/>
      <c r="SOV230" s="1"/>
      <c r="SOW230" s="1"/>
      <c r="SOX230" s="1"/>
      <c r="SOY230" s="1"/>
      <c r="SOZ230" s="1"/>
      <c r="SPA230" s="1"/>
      <c r="SPB230" s="1"/>
      <c r="SPC230" s="1"/>
      <c r="SPD230" s="1"/>
      <c r="SPE230" s="1"/>
      <c r="SPF230" s="1"/>
      <c r="SPG230" s="1"/>
      <c r="SPH230" s="1"/>
      <c r="SPI230" s="1"/>
      <c r="SPJ230" s="1"/>
      <c r="SPK230" s="1"/>
      <c r="SPL230" s="1"/>
      <c r="SPM230" s="1"/>
      <c r="SPN230" s="1"/>
      <c r="SPO230" s="1"/>
      <c r="SPP230" s="1"/>
      <c r="SPQ230" s="1"/>
      <c r="SPR230" s="1"/>
      <c r="SPS230" s="1"/>
      <c r="SPT230" s="1"/>
      <c r="SPU230" s="1"/>
      <c r="SPV230" s="1"/>
      <c r="SPW230" s="1"/>
      <c r="SPX230" s="1"/>
      <c r="SPY230" s="1"/>
      <c r="SPZ230" s="1"/>
      <c r="SQA230" s="1"/>
      <c r="SQB230" s="1"/>
      <c r="SQC230" s="1"/>
      <c r="SQD230" s="1"/>
      <c r="SQE230" s="1"/>
      <c r="SQF230" s="1"/>
      <c r="SQG230" s="1"/>
      <c r="SQH230" s="1"/>
      <c r="SQI230" s="1"/>
      <c r="SQJ230" s="1"/>
      <c r="SQK230" s="1"/>
      <c r="SQL230" s="1"/>
      <c r="SQM230" s="1"/>
      <c r="SQN230" s="1"/>
      <c r="SQO230" s="1"/>
      <c r="SQP230" s="1"/>
      <c r="SQQ230" s="1"/>
      <c r="SQR230" s="1"/>
      <c r="SQS230" s="1"/>
      <c r="SQT230" s="1"/>
      <c r="SQU230" s="1"/>
      <c r="SQV230" s="1"/>
      <c r="SQW230" s="1"/>
      <c r="SQX230" s="1"/>
      <c r="SQY230" s="1"/>
      <c r="SQZ230" s="1"/>
      <c r="SRA230" s="1"/>
      <c r="SRB230" s="1"/>
      <c r="SRC230" s="1"/>
      <c r="SRD230" s="1"/>
      <c r="SRE230" s="1"/>
      <c r="SRF230" s="1"/>
      <c r="SRG230" s="1"/>
      <c r="SRH230" s="1"/>
      <c r="SRI230" s="1"/>
      <c r="SRJ230" s="1"/>
      <c r="SRK230" s="1"/>
      <c r="SRL230" s="1"/>
      <c r="SRM230" s="1"/>
      <c r="SRN230" s="1"/>
      <c r="SRO230" s="1"/>
      <c r="SRP230" s="1"/>
      <c r="SRQ230" s="1"/>
      <c r="SRR230" s="1"/>
      <c r="SRS230" s="1"/>
      <c r="SRT230" s="1"/>
      <c r="SRU230" s="1"/>
      <c r="SRV230" s="1"/>
      <c r="SRW230" s="1"/>
      <c r="SRX230" s="1"/>
      <c r="SRY230" s="1"/>
      <c r="SRZ230" s="1"/>
      <c r="SSA230" s="1"/>
      <c r="SSB230" s="1"/>
      <c r="SSC230" s="1"/>
      <c r="SSD230" s="1"/>
      <c r="SSE230" s="1"/>
      <c r="SSF230" s="1"/>
      <c r="SSG230" s="1"/>
      <c r="SSH230" s="1"/>
      <c r="SSI230" s="1"/>
      <c r="SSJ230" s="1"/>
      <c r="SSK230" s="1"/>
      <c r="SSL230" s="1"/>
      <c r="SSM230" s="1"/>
      <c r="SSN230" s="1"/>
      <c r="SSO230" s="1"/>
      <c r="SSP230" s="1"/>
      <c r="SSQ230" s="1"/>
      <c r="SSR230" s="1"/>
      <c r="SSS230" s="1"/>
      <c r="SST230" s="1"/>
      <c r="SSU230" s="1"/>
      <c r="SSV230" s="1"/>
      <c r="SSW230" s="1"/>
      <c r="SSX230" s="1"/>
      <c r="SSY230" s="1"/>
      <c r="SSZ230" s="1"/>
      <c r="STA230" s="1"/>
      <c r="STB230" s="1"/>
      <c r="STC230" s="1"/>
      <c r="STD230" s="1"/>
      <c r="STE230" s="1"/>
      <c r="STF230" s="1"/>
      <c r="STG230" s="1"/>
      <c r="STH230" s="1"/>
      <c r="STI230" s="1"/>
      <c r="STJ230" s="1"/>
      <c r="STK230" s="1"/>
      <c r="STL230" s="1"/>
      <c r="STM230" s="1"/>
      <c r="STN230" s="1"/>
      <c r="STO230" s="1"/>
      <c r="STP230" s="1"/>
      <c r="STQ230" s="1"/>
      <c r="STR230" s="1"/>
      <c r="STS230" s="1"/>
      <c r="STT230" s="1"/>
      <c r="STU230" s="1"/>
      <c r="STV230" s="1"/>
      <c r="STW230" s="1"/>
      <c r="STX230" s="1"/>
      <c r="STY230" s="1"/>
      <c r="STZ230" s="1"/>
      <c r="SUA230" s="1"/>
      <c r="SUB230" s="1"/>
      <c r="SUC230" s="1"/>
      <c r="SUD230" s="1"/>
      <c r="SUE230" s="1"/>
      <c r="SUF230" s="1"/>
      <c r="SUG230" s="1"/>
      <c r="SUH230" s="1"/>
      <c r="SUI230" s="1"/>
      <c r="SUJ230" s="1"/>
      <c r="SUK230" s="1"/>
      <c r="SUL230" s="1"/>
      <c r="SUM230" s="1"/>
      <c r="SUN230" s="1"/>
      <c r="SUO230" s="1"/>
      <c r="SUP230" s="1"/>
      <c r="SUQ230" s="1"/>
      <c r="SUR230" s="1"/>
      <c r="SUS230" s="1"/>
      <c r="SUT230" s="1"/>
      <c r="SUU230" s="1"/>
      <c r="SUV230" s="1"/>
      <c r="SUW230" s="1"/>
      <c r="SUX230" s="1"/>
      <c r="SUY230" s="1"/>
      <c r="SUZ230" s="1"/>
      <c r="SVA230" s="1"/>
      <c r="SVB230" s="1"/>
      <c r="SVC230" s="1"/>
      <c r="SVD230" s="1"/>
      <c r="SVE230" s="1"/>
      <c r="SVF230" s="1"/>
      <c r="SVG230" s="1"/>
      <c r="SVH230" s="1"/>
      <c r="SVI230" s="1"/>
      <c r="SVJ230" s="1"/>
      <c r="SVK230" s="1"/>
      <c r="SVL230" s="1"/>
      <c r="SVM230" s="1"/>
      <c r="SVN230" s="1"/>
      <c r="SVO230" s="1"/>
      <c r="SVP230" s="1"/>
      <c r="SVQ230" s="1"/>
      <c r="SVR230" s="1"/>
      <c r="SVS230" s="1"/>
      <c r="SVT230" s="1"/>
      <c r="SVU230" s="1"/>
      <c r="SVV230" s="1"/>
      <c r="SVW230" s="1"/>
      <c r="SVX230" s="1"/>
      <c r="SVY230" s="1"/>
      <c r="SVZ230" s="1"/>
      <c r="SWA230" s="1"/>
      <c r="SWB230" s="1"/>
      <c r="SWC230" s="1"/>
      <c r="SWD230" s="1"/>
      <c r="SWE230" s="1"/>
      <c r="SWF230" s="1"/>
      <c r="SWG230" s="1"/>
      <c r="SWH230" s="1"/>
      <c r="SWI230" s="1"/>
      <c r="SWJ230" s="1"/>
      <c r="SWK230" s="1"/>
      <c r="SWL230" s="1"/>
      <c r="SWM230" s="1"/>
      <c r="SWN230" s="1"/>
      <c r="SWO230" s="1"/>
      <c r="SWP230" s="1"/>
      <c r="SWQ230" s="1"/>
      <c r="SWR230" s="1"/>
      <c r="SWS230" s="1"/>
      <c r="SWT230" s="1"/>
      <c r="SWU230" s="1"/>
      <c r="SWV230" s="1"/>
      <c r="SWW230" s="1"/>
      <c r="SWX230" s="1"/>
      <c r="SWY230" s="1"/>
      <c r="SWZ230" s="1"/>
      <c r="SXA230" s="1"/>
      <c r="SXB230" s="1"/>
      <c r="SXC230" s="1"/>
      <c r="SXD230" s="1"/>
      <c r="SXE230" s="1"/>
      <c r="SXF230" s="1"/>
      <c r="SXG230" s="1"/>
      <c r="SXH230" s="1"/>
      <c r="SXI230" s="1"/>
      <c r="SXJ230" s="1"/>
      <c r="SXK230" s="1"/>
      <c r="SXL230" s="1"/>
      <c r="SXM230" s="1"/>
      <c r="SXN230" s="1"/>
      <c r="SXO230" s="1"/>
      <c r="SXP230" s="1"/>
      <c r="SXQ230" s="1"/>
      <c r="SXR230" s="1"/>
      <c r="SXS230" s="1"/>
      <c r="SXT230" s="1"/>
      <c r="SXU230" s="1"/>
      <c r="SXV230" s="1"/>
      <c r="SXW230" s="1"/>
      <c r="SXX230" s="1"/>
      <c r="SXY230" s="1"/>
      <c r="SXZ230" s="1"/>
      <c r="SYA230" s="1"/>
      <c r="SYB230" s="1"/>
      <c r="SYC230" s="1"/>
      <c r="SYD230" s="1"/>
      <c r="SYE230" s="1"/>
      <c r="SYF230" s="1"/>
      <c r="SYG230" s="1"/>
      <c r="SYH230" s="1"/>
      <c r="SYI230" s="1"/>
      <c r="SYJ230" s="1"/>
      <c r="SYK230" s="1"/>
      <c r="SYL230" s="1"/>
      <c r="SYM230" s="1"/>
      <c r="SYN230" s="1"/>
      <c r="SYO230" s="1"/>
      <c r="SYP230" s="1"/>
      <c r="SYQ230" s="1"/>
      <c r="SYR230" s="1"/>
      <c r="SYS230" s="1"/>
      <c r="SYT230" s="1"/>
      <c r="SYU230" s="1"/>
      <c r="SYV230" s="1"/>
      <c r="SYW230" s="1"/>
      <c r="SYX230" s="1"/>
      <c r="SYY230" s="1"/>
      <c r="SYZ230" s="1"/>
      <c r="SZA230" s="1"/>
      <c r="SZB230" s="1"/>
      <c r="SZC230" s="1"/>
      <c r="SZD230" s="1"/>
      <c r="SZE230" s="1"/>
      <c r="SZF230" s="1"/>
      <c r="SZG230" s="1"/>
      <c r="SZH230" s="1"/>
      <c r="SZI230" s="1"/>
      <c r="SZJ230" s="1"/>
      <c r="SZK230" s="1"/>
      <c r="SZL230" s="1"/>
      <c r="SZM230" s="1"/>
      <c r="SZN230" s="1"/>
      <c r="SZO230" s="1"/>
      <c r="SZP230" s="1"/>
      <c r="SZQ230" s="1"/>
      <c r="SZR230" s="1"/>
      <c r="SZS230" s="1"/>
      <c r="SZT230" s="1"/>
      <c r="SZU230" s="1"/>
      <c r="SZV230" s="1"/>
      <c r="SZW230" s="1"/>
      <c r="SZX230" s="1"/>
      <c r="SZY230" s="1"/>
      <c r="SZZ230" s="1"/>
      <c r="TAA230" s="1"/>
      <c r="TAB230" s="1"/>
      <c r="TAC230" s="1"/>
      <c r="TAD230" s="1"/>
      <c r="TAE230" s="1"/>
      <c r="TAF230" s="1"/>
      <c r="TAG230" s="1"/>
      <c r="TAH230" s="1"/>
      <c r="TAI230" s="1"/>
      <c r="TAJ230" s="1"/>
      <c r="TAK230" s="1"/>
      <c r="TAL230" s="1"/>
      <c r="TAM230" s="1"/>
      <c r="TAN230" s="1"/>
      <c r="TAO230" s="1"/>
      <c r="TAP230" s="1"/>
      <c r="TAQ230" s="1"/>
      <c r="TAR230" s="1"/>
      <c r="TAS230" s="1"/>
      <c r="TAT230" s="1"/>
      <c r="TAU230" s="1"/>
      <c r="TAV230" s="1"/>
      <c r="TAW230" s="1"/>
      <c r="TAX230" s="1"/>
      <c r="TAY230" s="1"/>
      <c r="TAZ230" s="1"/>
      <c r="TBA230" s="1"/>
      <c r="TBB230" s="1"/>
      <c r="TBC230" s="1"/>
      <c r="TBD230" s="1"/>
      <c r="TBE230" s="1"/>
      <c r="TBF230" s="1"/>
      <c r="TBG230" s="1"/>
      <c r="TBH230" s="1"/>
      <c r="TBI230" s="1"/>
      <c r="TBJ230" s="1"/>
      <c r="TBK230" s="1"/>
      <c r="TBL230" s="1"/>
      <c r="TBM230" s="1"/>
      <c r="TBN230" s="1"/>
      <c r="TBO230" s="1"/>
      <c r="TBP230" s="1"/>
      <c r="TBQ230" s="1"/>
      <c r="TBR230" s="1"/>
      <c r="TBS230" s="1"/>
      <c r="TBT230" s="1"/>
      <c r="TBU230" s="1"/>
      <c r="TBV230" s="1"/>
      <c r="TBW230" s="1"/>
      <c r="TBX230" s="1"/>
      <c r="TBY230" s="1"/>
      <c r="TBZ230" s="1"/>
      <c r="TCA230" s="1"/>
      <c r="TCB230" s="1"/>
      <c r="TCC230" s="1"/>
      <c r="TCD230" s="1"/>
      <c r="TCE230" s="1"/>
      <c r="TCF230" s="1"/>
      <c r="TCG230" s="1"/>
      <c r="TCH230" s="1"/>
      <c r="TCI230" s="1"/>
      <c r="TCJ230" s="1"/>
      <c r="TCK230" s="1"/>
      <c r="TCL230" s="1"/>
      <c r="TCM230" s="1"/>
      <c r="TCN230" s="1"/>
      <c r="TCO230" s="1"/>
      <c r="TCP230" s="1"/>
      <c r="TCQ230" s="1"/>
      <c r="TCR230" s="1"/>
      <c r="TCS230" s="1"/>
      <c r="TCT230" s="1"/>
      <c r="TCU230" s="1"/>
      <c r="TCV230" s="1"/>
      <c r="TCW230" s="1"/>
      <c r="TCX230" s="1"/>
      <c r="TCY230" s="1"/>
      <c r="TCZ230" s="1"/>
      <c r="TDA230" s="1"/>
      <c r="TDB230" s="1"/>
      <c r="TDC230" s="1"/>
      <c r="TDD230" s="1"/>
      <c r="TDE230" s="1"/>
      <c r="TDF230" s="1"/>
      <c r="TDG230" s="1"/>
      <c r="TDH230" s="1"/>
      <c r="TDI230" s="1"/>
      <c r="TDJ230" s="1"/>
      <c r="TDK230" s="1"/>
      <c r="TDL230" s="1"/>
      <c r="TDM230" s="1"/>
      <c r="TDN230" s="1"/>
      <c r="TDO230" s="1"/>
      <c r="TDP230" s="1"/>
      <c r="TDQ230" s="1"/>
      <c r="TDR230" s="1"/>
      <c r="TDS230" s="1"/>
      <c r="TDT230" s="1"/>
      <c r="TDU230" s="1"/>
      <c r="TDV230" s="1"/>
      <c r="TDW230" s="1"/>
      <c r="TDX230" s="1"/>
      <c r="TDY230" s="1"/>
      <c r="TDZ230" s="1"/>
      <c r="TEA230" s="1"/>
      <c r="TEB230" s="1"/>
      <c r="TEC230" s="1"/>
      <c r="TED230" s="1"/>
      <c r="TEE230" s="1"/>
      <c r="TEF230" s="1"/>
      <c r="TEG230" s="1"/>
      <c r="TEH230" s="1"/>
      <c r="TEI230" s="1"/>
      <c r="TEJ230" s="1"/>
      <c r="TEK230" s="1"/>
      <c r="TEL230" s="1"/>
      <c r="TEM230" s="1"/>
      <c r="TEN230" s="1"/>
      <c r="TEO230" s="1"/>
      <c r="TEP230" s="1"/>
      <c r="TEQ230" s="1"/>
      <c r="TER230" s="1"/>
      <c r="TES230" s="1"/>
      <c r="TET230" s="1"/>
      <c r="TEU230" s="1"/>
      <c r="TEV230" s="1"/>
      <c r="TEW230" s="1"/>
      <c r="TEX230" s="1"/>
      <c r="TEY230" s="1"/>
      <c r="TEZ230" s="1"/>
      <c r="TFA230" s="1"/>
      <c r="TFB230" s="1"/>
      <c r="TFC230" s="1"/>
      <c r="TFD230" s="1"/>
      <c r="TFE230" s="1"/>
      <c r="TFF230" s="1"/>
      <c r="TFG230" s="1"/>
      <c r="TFH230" s="1"/>
      <c r="TFI230" s="1"/>
      <c r="TFJ230" s="1"/>
      <c r="TFK230" s="1"/>
      <c r="TFL230" s="1"/>
      <c r="TFM230" s="1"/>
      <c r="TFN230" s="1"/>
      <c r="TFO230" s="1"/>
      <c r="TFP230" s="1"/>
      <c r="TFQ230" s="1"/>
      <c r="TFR230" s="1"/>
      <c r="TFS230" s="1"/>
      <c r="TFT230" s="1"/>
      <c r="TFU230" s="1"/>
      <c r="TFV230" s="1"/>
      <c r="TFW230" s="1"/>
      <c r="TFX230" s="1"/>
      <c r="TFY230" s="1"/>
      <c r="TFZ230" s="1"/>
      <c r="TGA230" s="1"/>
      <c r="TGB230" s="1"/>
      <c r="TGC230" s="1"/>
      <c r="TGD230" s="1"/>
      <c r="TGE230" s="1"/>
      <c r="TGF230" s="1"/>
      <c r="TGG230" s="1"/>
      <c r="TGH230" s="1"/>
      <c r="TGI230" s="1"/>
      <c r="TGJ230" s="1"/>
      <c r="TGK230" s="1"/>
      <c r="TGL230" s="1"/>
      <c r="TGM230" s="1"/>
      <c r="TGN230" s="1"/>
      <c r="TGO230" s="1"/>
      <c r="TGP230" s="1"/>
      <c r="TGQ230" s="1"/>
      <c r="TGR230" s="1"/>
      <c r="TGS230" s="1"/>
      <c r="TGT230" s="1"/>
      <c r="TGU230" s="1"/>
      <c r="TGV230" s="1"/>
      <c r="TGW230" s="1"/>
      <c r="TGX230" s="1"/>
      <c r="TGY230" s="1"/>
      <c r="TGZ230" s="1"/>
      <c r="THA230" s="1"/>
      <c r="THB230" s="1"/>
      <c r="THC230" s="1"/>
      <c r="THD230" s="1"/>
      <c r="THE230" s="1"/>
      <c r="THF230" s="1"/>
      <c r="THG230" s="1"/>
      <c r="THH230" s="1"/>
      <c r="THI230" s="1"/>
      <c r="THJ230" s="1"/>
      <c r="THK230" s="1"/>
      <c r="THL230" s="1"/>
      <c r="THM230" s="1"/>
      <c r="THN230" s="1"/>
      <c r="THO230" s="1"/>
      <c r="THP230" s="1"/>
      <c r="THQ230" s="1"/>
      <c r="THR230" s="1"/>
      <c r="THS230" s="1"/>
      <c r="THT230" s="1"/>
      <c r="THU230" s="1"/>
      <c r="THV230" s="1"/>
      <c r="THW230" s="1"/>
      <c r="THX230" s="1"/>
      <c r="THY230" s="1"/>
      <c r="THZ230" s="1"/>
      <c r="TIA230" s="1"/>
      <c r="TIB230" s="1"/>
      <c r="TIC230" s="1"/>
      <c r="TID230" s="1"/>
      <c r="TIE230" s="1"/>
      <c r="TIF230" s="1"/>
      <c r="TIG230" s="1"/>
      <c r="TIH230" s="1"/>
      <c r="TII230" s="1"/>
      <c r="TIJ230" s="1"/>
      <c r="TIK230" s="1"/>
      <c r="TIL230" s="1"/>
      <c r="TIM230" s="1"/>
      <c r="TIN230" s="1"/>
      <c r="TIO230" s="1"/>
      <c r="TIP230" s="1"/>
      <c r="TIQ230" s="1"/>
      <c r="TIR230" s="1"/>
      <c r="TIS230" s="1"/>
      <c r="TIT230" s="1"/>
      <c r="TIU230" s="1"/>
      <c r="TIV230" s="1"/>
      <c r="TIW230" s="1"/>
      <c r="TIX230" s="1"/>
      <c r="TIY230" s="1"/>
      <c r="TIZ230" s="1"/>
      <c r="TJA230" s="1"/>
      <c r="TJB230" s="1"/>
      <c r="TJC230" s="1"/>
      <c r="TJD230" s="1"/>
      <c r="TJE230" s="1"/>
      <c r="TJF230" s="1"/>
      <c r="TJG230" s="1"/>
      <c r="TJH230" s="1"/>
      <c r="TJI230" s="1"/>
      <c r="TJJ230" s="1"/>
      <c r="TJK230" s="1"/>
      <c r="TJL230" s="1"/>
      <c r="TJM230" s="1"/>
      <c r="TJN230" s="1"/>
      <c r="TJO230" s="1"/>
      <c r="TJP230" s="1"/>
      <c r="TJQ230" s="1"/>
      <c r="TJR230" s="1"/>
      <c r="TJS230" s="1"/>
      <c r="TJT230" s="1"/>
      <c r="TJU230" s="1"/>
      <c r="TJV230" s="1"/>
      <c r="TJW230" s="1"/>
      <c r="TJX230" s="1"/>
      <c r="TJY230" s="1"/>
      <c r="TJZ230" s="1"/>
      <c r="TKA230" s="1"/>
      <c r="TKB230" s="1"/>
      <c r="TKC230" s="1"/>
      <c r="TKD230" s="1"/>
      <c r="TKE230" s="1"/>
      <c r="TKF230" s="1"/>
      <c r="TKG230" s="1"/>
      <c r="TKH230" s="1"/>
      <c r="TKI230" s="1"/>
      <c r="TKJ230" s="1"/>
      <c r="TKK230" s="1"/>
      <c r="TKL230" s="1"/>
      <c r="TKM230" s="1"/>
      <c r="TKN230" s="1"/>
      <c r="TKO230" s="1"/>
      <c r="TKP230" s="1"/>
      <c r="TKQ230" s="1"/>
      <c r="TKR230" s="1"/>
      <c r="TKS230" s="1"/>
      <c r="TKT230" s="1"/>
      <c r="TKU230" s="1"/>
      <c r="TKV230" s="1"/>
      <c r="TKW230" s="1"/>
      <c r="TKX230" s="1"/>
      <c r="TKY230" s="1"/>
      <c r="TKZ230" s="1"/>
      <c r="TLA230" s="1"/>
      <c r="TLB230" s="1"/>
      <c r="TLC230" s="1"/>
      <c r="TLD230" s="1"/>
      <c r="TLE230" s="1"/>
      <c r="TLF230" s="1"/>
      <c r="TLG230" s="1"/>
      <c r="TLH230" s="1"/>
      <c r="TLI230" s="1"/>
      <c r="TLJ230" s="1"/>
      <c r="TLK230" s="1"/>
      <c r="TLL230" s="1"/>
      <c r="TLM230" s="1"/>
      <c r="TLN230" s="1"/>
      <c r="TLO230" s="1"/>
      <c r="TLP230" s="1"/>
      <c r="TLQ230" s="1"/>
      <c r="TLR230" s="1"/>
      <c r="TLS230" s="1"/>
      <c r="TLT230" s="1"/>
      <c r="TLU230" s="1"/>
      <c r="TLV230" s="1"/>
      <c r="TLW230" s="1"/>
      <c r="TLX230" s="1"/>
      <c r="TLY230" s="1"/>
      <c r="TLZ230" s="1"/>
      <c r="TMA230" s="1"/>
      <c r="TMB230" s="1"/>
      <c r="TMC230" s="1"/>
      <c r="TMD230" s="1"/>
      <c r="TME230" s="1"/>
      <c r="TMF230" s="1"/>
      <c r="TMG230" s="1"/>
      <c r="TMH230" s="1"/>
      <c r="TMI230" s="1"/>
      <c r="TMJ230" s="1"/>
      <c r="TMK230" s="1"/>
      <c r="TML230" s="1"/>
      <c r="TMM230" s="1"/>
      <c r="TMN230" s="1"/>
      <c r="TMO230" s="1"/>
      <c r="TMP230" s="1"/>
      <c r="TMQ230" s="1"/>
      <c r="TMR230" s="1"/>
      <c r="TMS230" s="1"/>
      <c r="TMT230" s="1"/>
      <c r="TMU230" s="1"/>
      <c r="TMV230" s="1"/>
      <c r="TMW230" s="1"/>
      <c r="TMX230" s="1"/>
      <c r="TMY230" s="1"/>
      <c r="TMZ230" s="1"/>
      <c r="TNA230" s="1"/>
      <c r="TNB230" s="1"/>
      <c r="TNC230" s="1"/>
      <c r="TND230" s="1"/>
      <c r="TNE230" s="1"/>
      <c r="TNF230" s="1"/>
      <c r="TNG230" s="1"/>
      <c r="TNH230" s="1"/>
      <c r="TNI230" s="1"/>
      <c r="TNJ230" s="1"/>
      <c r="TNK230" s="1"/>
      <c r="TNL230" s="1"/>
      <c r="TNM230" s="1"/>
      <c r="TNN230" s="1"/>
      <c r="TNO230" s="1"/>
      <c r="TNP230" s="1"/>
      <c r="TNQ230" s="1"/>
      <c r="TNR230" s="1"/>
      <c r="TNS230" s="1"/>
      <c r="TNT230" s="1"/>
      <c r="TNU230" s="1"/>
      <c r="TNV230" s="1"/>
      <c r="TNW230" s="1"/>
      <c r="TNX230" s="1"/>
      <c r="TNY230" s="1"/>
      <c r="TNZ230" s="1"/>
      <c r="TOA230" s="1"/>
      <c r="TOB230" s="1"/>
      <c r="TOC230" s="1"/>
      <c r="TOD230" s="1"/>
      <c r="TOE230" s="1"/>
      <c r="TOF230" s="1"/>
      <c r="TOG230" s="1"/>
      <c r="TOH230" s="1"/>
      <c r="TOI230" s="1"/>
      <c r="TOJ230" s="1"/>
      <c r="TOK230" s="1"/>
      <c r="TOL230" s="1"/>
      <c r="TOM230" s="1"/>
      <c r="TON230" s="1"/>
      <c r="TOO230" s="1"/>
      <c r="TOP230" s="1"/>
      <c r="TOQ230" s="1"/>
      <c r="TOR230" s="1"/>
      <c r="TOS230" s="1"/>
      <c r="TOT230" s="1"/>
      <c r="TOU230" s="1"/>
      <c r="TOV230" s="1"/>
      <c r="TOW230" s="1"/>
      <c r="TOX230" s="1"/>
      <c r="TOY230" s="1"/>
      <c r="TOZ230" s="1"/>
      <c r="TPA230" s="1"/>
      <c r="TPB230" s="1"/>
      <c r="TPC230" s="1"/>
      <c r="TPD230" s="1"/>
      <c r="TPE230" s="1"/>
      <c r="TPF230" s="1"/>
      <c r="TPG230" s="1"/>
      <c r="TPH230" s="1"/>
      <c r="TPI230" s="1"/>
      <c r="TPJ230" s="1"/>
      <c r="TPK230" s="1"/>
      <c r="TPL230" s="1"/>
      <c r="TPM230" s="1"/>
      <c r="TPN230" s="1"/>
      <c r="TPO230" s="1"/>
      <c r="TPP230" s="1"/>
      <c r="TPQ230" s="1"/>
      <c r="TPR230" s="1"/>
      <c r="TPS230" s="1"/>
      <c r="TPT230" s="1"/>
      <c r="TPU230" s="1"/>
      <c r="TPV230" s="1"/>
      <c r="TPW230" s="1"/>
      <c r="TPX230" s="1"/>
      <c r="TPY230" s="1"/>
      <c r="TPZ230" s="1"/>
      <c r="TQA230" s="1"/>
      <c r="TQB230" s="1"/>
      <c r="TQC230" s="1"/>
      <c r="TQD230" s="1"/>
      <c r="TQE230" s="1"/>
      <c r="TQF230" s="1"/>
      <c r="TQG230" s="1"/>
      <c r="TQH230" s="1"/>
      <c r="TQI230" s="1"/>
      <c r="TQJ230" s="1"/>
      <c r="TQK230" s="1"/>
      <c r="TQL230" s="1"/>
      <c r="TQM230" s="1"/>
      <c r="TQN230" s="1"/>
      <c r="TQO230" s="1"/>
      <c r="TQP230" s="1"/>
      <c r="TQQ230" s="1"/>
      <c r="TQR230" s="1"/>
      <c r="TQS230" s="1"/>
      <c r="TQT230" s="1"/>
      <c r="TQU230" s="1"/>
      <c r="TQV230" s="1"/>
      <c r="TQW230" s="1"/>
      <c r="TQX230" s="1"/>
      <c r="TQY230" s="1"/>
      <c r="TQZ230" s="1"/>
      <c r="TRA230" s="1"/>
      <c r="TRB230" s="1"/>
      <c r="TRC230" s="1"/>
      <c r="TRD230" s="1"/>
      <c r="TRE230" s="1"/>
      <c r="TRF230" s="1"/>
      <c r="TRG230" s="1"/>
      <c r="TRH230" s="1"/>
      <c r="TRI230" s="1"/>
      <c r="TRJ230" s="1"/>
      <c r="TRK230" s="1"/>
      <c r="TRL230" s="1"/>
      <c r="TRM230" s="1"/>
      <c r="TRN230" s="1"/>
      <c r="TRO230" s="1"/>
      <c r="TRP230" s="1"/>
      <c r="TRQ230" s="1"/>
      <c r="TRR230" s="1"/>
      <c r="TRS230" s="1"/>
      <c r="TRT230" s="1"/>
      <c r="TRU230" s="1"/>
      <c r="TRV230" s="1"/>
      <c r="TRW230" s="1"/>
      <c r="TRX230" s="1"/>
      <c r="TRY230" s="1"/>
      <c r="TRZ230" s="1"/>
      <c r="TSA230" s="1"/>
      <c r="TSB230" s="1"/>
      <c r="TSC230" s="1"/>
      <c r="TSD230" s="1"/>
      <c r="TSE230" s="1"/>
      <c r="TSF230" s="1"/>
      <c r="TSG230" s="1"/>
      <c r="TSH230" s="1"/>
      <c r="TSI230" s="1"/>
      <c r="TSJ230" s="1"/>
      <c r="TSK230" s="1"/>
      <c r="TSL230" s="1"/>
      <c r="TSM230" s="1"/>
      <c r="TSN230" s="1"/>
      <c r="TSO230" s="1"/>
      <c r="TSP230" s="1"/>
      <c r="TSQ230" s="1"/>
      <c r="TSR230" s="1"/>
      <c r="TSS230" s="1"/>
      <c r="TST230" s="1"/>
      <c r="TSU230" s="1"/>
      <c r="TSV230" s="1"/>
      <c r="TSW230" s="1"/>
      <c r="TSX230" s="1"/>
      <c r="TSY230" s="1"/>
      <c r="TSZ230" s="1"/>
      <c r="TTA230" s="1"/>
      <c r="TTB230" s="1"/>
      <c r="TTC230" s="1"/>
      <c r="TTD230" s="1"/>
      <c r="TTE230" s="1"/>
      <c r="TTF230" s="1"/>
      <c r="TTG230" s="1"/>
      <c r="TTH230" s="1"/>
      <c r="TTI230" s="1"/>
      <c r="TTJ230" s="1"/>
      <c r="TTK230" s="1"/>
      <c r="TTL230" s="1"/>
      <c r="TTM230" s="1"/>
      <c r="TTN230" s="1"/>
      <c r="TTO230" s="1"/>
      <c r="TTP230" s="1"/>
      <c r="TTQ230" s="1"/>
      <c r="TTR230" s="1"/>
      <c r="TTS230" s="1"/>
      <c r="TTT230" s="1"/>
      <c r="TTU230" s="1"/>
      <c r="TTV230" s="1"/>
      <c r="TTW230" s="1"/>
      <c r="TTX230" s="1"/>
      <c r="TTY230" s="1"/>
      <c r="TTZ230" s="1"/>
      <c r="TUA230" s="1"/>
      <c r="TUB230" s="1"/>
      <c r="TUC230" s="1"/>
      <c r="TUD230" s="1"/>
      <c r="TUE230" s="1"/>
      <c r="TUF230" s="1"/>
      <c r="TUG230" s="1"/>
      <c r="TUH230" s="1"/>
      <c r="TUI230" s="1"/>
      <c r="TUJ230" s="1"/>
      <c r="TUK230" s="1"/>
      <c r="TUL230" s="1"/>
      <c r="TUM230" s="1"/>
      <c r="TUN230" s="1"/>
      <c r="TUO230" s="1"/>
      <c r="TUP230" s="1"/>
      <c r="TUQ230" s="1"/>
      <c r="TUR230" s="1"/>
      <c r="TUS230" s="1"/>
      <c r="TUT230" s="1"/>
      <c r="TUU230" s="1"/>
      <c r="TUV230" s="1"/>
      <c r="TUW230" s="1"/>
      <c r="TUX230" s="1"/>
      <c r="TUY230" s="1"/>
      <c r="TUZ230" s="1"/>
      <c r="TVA230" s="1"/>
      <c r="TVB230" s="1"/>
      <c r="TVC230" s="1"/>
      <c r="TVD230" s="1"/>
      <c r="TVE230" s="1"/>
      <c r="TVF230" s="1"/>
      <c r="TVG230" s="1"/>
      <c r="TVH230" s="1"/>
      <c r="TVI230" s="1"/>
      <c r="TVJ230" s="1"/>
      <c r="TVK230" s="1"/>
      <c r="TVL230" s="1"/>
      <c r="TVM230" s="1"/>
      <c r="TVN230" s="1"/>
      <c r="TVO230" s="1"/>
      <c r="TVP230" s="1"/>
      <c r="TVQ230" s="1"/>
      <c r="TVR230" s="1"/>
      <c r="TVS230" s="1"/>
      <c r="TVT230" s="1"/>
      <c r="TVU230" s="1"/>
      <c r="TVV230" s="1"/>
      <c r="TVW230" s="1"/>
      <c r="TVX230" s="1"/>
      <c r="TVY230" s="1"/>
      <c r="TVZ230" s="1"/>
      <c r="TWA230" s="1"/>
      <c r="TWB230" s="1"/>
      <c r="TWC230" s="1"/>
      <c r="TWD230" s="1"/>
      <c r="TWE230" s="1"/>
      <c r="TWF230" s="1"/>
      <c r="TWG230" s="1"/>
      <c r="TWH230" s="1"/>
      <c r="TWI230" s="1"/>
      <c r="TWJ230" s="1"/>
      <c r="TWK230" s="1"/>
      <c r="TWL230" s="1"/>
      <c r="TWM230" s="1"/>
      <c r="TWN230" s="1"/>
      <c r="TWO230" s="1"/>
      <c r="TWP230" s="1"/>
      <c r="TWQ230" s="1"/>
      <c r="TWR230" s="1"/>
      <c r="TWS230" s="1"/>
      <c r="TWT230" s="1"/>
      <c r="TWU230" s="1"/>
      <c r="TWV230" s="1"/>
      <c r="TWW230" s="1"/>
      <c r="TWX230" s="1"/>
      <c r="TWY230" s="1"/>
      <c r="TWZ230" s="1"/>
      <c r="TXA230" s="1"/>
      <c r="TXB230" s="1"/>
      <c r="TXC230" s="1"/>
      <c r="TXD230" s="1"/>
      <c r="TXE230" s="1"/>
      <c r="TXF230" s="1"/>
      <c r="TXG230" s="1"/>
      <c r="TXH230" s="1"/>
      <c r="TXI230" s="1"/>
      <c r="TXJ230" s="1"/>
      <c r="TXK230" s="1"/>
      <c r="TXL230" s="1"/>
      <c r="TXM230" s="1"/>
      <c r="TXN230" s="1"/>
      <c r="TXO230" s="1"/>
      <c r="TXP230" s="1"/>
      <c r="TXQ230" s="1"/>
      <c r="TXR230" s="1"/>
      <c r="TXS230" s="1"/>
      <c r="TXT230" s="1"/>
      <c r="TXU230" s="1"/>
      <c r="TXV230" s="1"/>
      <c r="TXW230" s="1"/>
      <c r="TXX230" s="1"/>
      <c r="TXY230" s="1"/>
      <c r="TXZ230" s="1"/>
      <c r="TYA230" s="1"/>
      <c r="TYB230" s="1"/>
      <c r="TYC230" s="1"/>
      <c r="TYD230" s="1"/>
      <c r="TYE230" s="1"/>
      <c r="TYF230" s="1"/>
      <c r="TYG230" s="1"/>
      <c r="TYH230" s="1"/>
      <c r="TYI230" s="1"/>
      <c r="TYJ230" s="1"/>
      <c r="TYK230" s="1"/>
      <c r="TYL230" s="1"/>
      <c r="TYM230" s="1"/>
      <c r="TYN230" s="1"/>
      <c r="TYO230" s="1"/>
      <c r="TYP230" s="1"/>
      <c r="TYQ230" s="1"/>
      <c r="TYR230" s="1"/>
      <c r="TYS230" s="1"/>
      <c r="TYT230" s="1"/>
      <c r="TYU230" s="1"/>
      <c r="TYV230" s="1"/>
      <c r="TYW230" s="1"/>
      <c r="TYX230" s="1"/>
      <c r="TYY230" s="1"/>
      <c r="TYZ230" s="1"/>
      <c r="TZA230" s="1"/>
      <c r="TZB230" s="1"/>
      <c r="TZC230" s="1"/>
      <c r="TZD230" s="1"/>
      <c r="TZE230" s="1"/>
      <c r="TZF230" s="1"/>
      <c r="TZG230" s="1"/>
      <c r="TZH230" s="1"/>
      <c r="TZI230" s="1"/>
      <c r="TZJ230" s="1"/>
      <c r="TZK230" s="1"/>
      <c r="TZL230" s="1"/>
      <c r="TZM230" s="1"/>
      <c r="TZN230" s="1"/>
      <c r="TZO230" s="1"/>
      <c r="TZP230" s="1"/>
      <c r="TZQ230" s="1"/>
      <c r="TZR230" s="1"/>
      <c r="TZS230" s="1"/>
      <c r="TZT230" s="1"/>
      <c r="TZU230" s="1"/>
      <c r="TZV230" s="1"/>
      <c r="TZW230" s="1"/>
      <c r="TZX230" s="1"/>
      <c r="TZY230" s="1"/>
      <c r="TZZ230" s="1"/>
      <c r="UAA230" s="1"/>
      <c r="UAB230" s="1"/>
      <c r="UAC230" s="1"/>
      <c r="UAD230" s="1"/>
      <c r="UAE230" s="1"/>
      <c r="UAF230" s="1"/>
      <c r="UAG230" s="1"/>
      <c r="UAH230" s="1"/>
      <c r="UAI230" s="1"/>
      <c r="UAJ230" s="1"/>
      <c r="UAK230" s="1"/>
      <c r="UAL230" s="1"/>
      <c r="UAM230" s="1"/>
      <c r="UAN230" s="1"/>
      <c r="UAO230" s="1"/>
      <c r="UAP230" s="1"/>
      <c r="UAQ230" s="1"/>
      <c r="UAR230" s="1"/>
      <c r="UAS230" s="1"/>
      <c r="UAT230" s="1"/>
      <c r="UAU230" s="1"/>
      <c r="UAV230" s="1"/>
      <c r="UAW230" s="1"/>
      <c r="UAX230" s="1"/>
      <c r="UAY230" s="1"/>
      <c r="UAZ230" s="1"/>
      <c r="UBA230" s="1"/>
      <c r="UBB230" s="1"/>
      <c r="UBC230" s="1"/>
      <c r="UBD230" s="1"/>
      <c r="UBE230" s="1"/>
      <c r="UBF230" s="1"/>
      <c r="UBG230" s="1"/>
      <c r="UBH230" s="1"/>
      <c r="UBI230" s="1"/>
      <c r="UBJ230" s="1"/>
      <c r="UBK230" s="1"/>
      <c r="UBL230" s="1"/>
      <c r="UBM230" s="1"/>
      <c r="UBN230" s="1"/>
      <c r="UBO230" s="1"/>
      <c r="UBP230" s="1"/>
      <c r="UBQ230" s="1"/>
      <c r="UBR230" s="1"/>
      <c r="UBS230" s="1"/>
      <c r="UBT230" s="1"/>
      <c r="UBU230" s="1"/>
      <c r="UBV230" s="1"/>
      <c r="UBW230" s="1"/>
      <c r="UBX230" s="1"/>
      <c r="UBY230" s="1"/>
      <c r="UBZ230" s="1"/>
      <c r="UCA230" s="1"/>
      <c r="UCB230" s="1"/>
      <c r="UCC230" s="1"/>
      <c r="UCD230" s="1"/>
      <c r="UCE230" s="1"/>
      <c r="UCF230" s="1"/>
      <c r="UCG230" s="1"/>
      <c r="UCH230" s="1"/>
      <c r="UCI230" s="1"/>
      <c r="UCJ230" s="1"/>
      <c r="UCK230" s="1"/>
      <c r="UCL230" s="1"/>
      <c r="UCM230" s="1"/>
      <c r="UCN230" s="1"/>
      <c r="UCO230" s="1"/>
      <c r="UCP230" s="1"/>
      <c r="UCQ230" s="1"/>
      <c r="UCR230" s="1"/>
      <c r="UCS230" s="1"/>
      <c r="UCT230" s="1"/>
      <c r="UCU230" s="1"/>
      <c r="UCV230" s="1"/>
      <c r="UCW230" s="1"/>
      <c r="UCX230" s="1"/>
      <c r="UCY230" s="1"/>
      <c r="UCZ230" s="1"/>
      <c r="UDA230" s="1"/>
      <c r="UDB230" s="1"/>
      <c r="UDC230" s="1"/>
      <c r="UDD230" s="1"/>
      <c r="UDE230" s="1"/>
      <c r="UDF230" s="1"/>
      <c r="UDG230" s="1"/>
      <c r="UDH230" s="1"/>
      <c r="UDI230" s="1"/>
      <c r="UDJ230" s="1"/>
      <c r="UDK230" s="1"/>
      <c r="UDL230" s="1"/>
      <c r="UDM230" s="1"/>
      <c r="UDN230" s="1"/>
      <c r="UDO230" s="1"/>
      <c r="UDP230" s="1"/>
      <c r="UDQ230" s="1"/>
      <c r="UDR230" s="1"/>
      <c r="UDS230" s="1"/>
      <c r="UDT230" s="1"/>
      <c r="UDU230" s="1"/>
      <c r="UDV230" s="1"/>
      <c r="UDW230" s="1"/>
      <c r="UDX230" s="1"/>
      <c r="UDY230" s="1"/>
      <c r="UDZ230" s="1"/>
      <c r="UEA230" s="1"/>
      <c r="UEB230" s="1"/>
      <c r="UEC230" s="1"/>
      <c r="UED230" s="1"/>
      <c r="UEE230" s="1"/>
      <c r="UEF230" s="1"/>
      <c r="UEG230" s="1"/>
      <c r="UEH230" s="1"/>
      <c r="UEI230" s="1"/>
      <c r="UEJ230" s="1"/>
      <c r="UEK230" s="1"/>
      <c r="UEL230" s="1"/>
      <c r="UEM230" s="1"/>
      <c r="UEN230" s="1"/>
      <c r="UEO230" s="1"/>
      <c r="UEP230" s="1"/>
      <c r="UEQ230" s="1"/>
      <c r="UER230" s="1"/>
      <c r="UES230" s="1"/>
      <c r="UET230" s="1"/>
      <c r="UEU230" s="1"/>
      <c r="UEV230" s="1"/>
      <c r="UEW230" s="1"/>
      <c r="UEX230" s="1"/>
      <c r="UEY230" s="1"/>
      <c r="UEZ230" s="1"/>
      <c r="UFA230" s="1"/>
      <c r="UFB230" s="1"/>
      <c r="UFC230" s="1"/>
      <c r="UFD230" s="1"/>
      <c r="UFE230" s="1"/>
      <c r="UFF230" s="1"/>
      <c r="UFG230" s="1"/>
      <c r="UFH230" s="1"/>
      <c r="UFI230" s="1"/>
      <c r="UFJ230" s="1"/>
      <c r="UFK230" s="1"/>
      <c r="UFL230" s="1"/>
      <c r="UFM230" s="1"/>
      <c r="UFN230" s="1"/>
      <c r="UFO230" s="1"/>
      <c r="UFP230" s="1"/>
      <c r="UFQ230" s="1"/>
      <c r="UFR230" s="1"/>
      <c r="UFS230" s="1"/>
      <c r="UFT230" s="1"/>
      <c r="UFU230" s="1"/>
      <c r="UFV230" s="1"/>
      <c r="UFW230" s="1"/>
      <c r="UFX230" s="1"/>
      <c r="UFY230" s="1"/>
      <c r="UFZ230" s="1"/>
      <c r="UGA230" s="1"/>
      <c r="UGB230" s="1"/>
      <c r="UGC230" s="1"/>
      <c r="UGD230" s="1"/>
      <c r="UGE230" s="1"/>
      <c r="UGF230" s="1"/>
      <c r="UGG230" s="1"/>
      <c r="UGH230" s="1"/>
      <c r="UGI230" s="1"/>
      <c r="UGJ230" s="1"/>
      <c r="UGK230" s="1"/>
      <c r="UGL230" s="1"/>
      <c r="UGM230" s="1"/>
      <c r="UGN230" s="1"/>
      <c r="UGO230" s="1"/>
      <c r="UGP230" s="1"/>
      <c r="UGQ230" s="1"/>
      <c r="UGR230" s="1"/>
      <c r="UGS230" s="1"/>
      <c r="UGT230" s="1"/>
      <c r="UGU230" s="1"/>
      <c r="UGV230" s="1"/>
      <c r="UGW230" s="1"/>
      <c r="UGX230" s="1"/>
      <c r="UGY230" s="1"/>
      <c r="UGZ230" s="1"/>
      <c r="UHA230" s="1"/>
      <c r="UHB230" s="1"/>
      <c r="UHC230" s="1"/>
      <c r="UHD230" s="1"/>
      <c r="UHE230" s="1"/>
      <c r="UHF230" s="1"/>
      <c r="UHG230" s="1"/>
      <c r="UHH230" s="1"/>
      <c r="UHI230" s="1"/>
      <c r="UHJ230" s="1"/>
      <c r="UHK230" s="1"/>
      <c r="UHL230" s="1"/>
      <c r="UHM230" s="1"/>
      <c r="UHN230" s="1"/>
      <c r="UHO230" s="1"/>
      <c r="UHP230" s="1"/>
      <c r="UHQ230" s="1"/>
      <c r="UHR230" s="1"/>
      <c r="UHS230" s="1"/>
      <c r="UHT230" s="1"/>
      <c r="UHU230" s="1"/>
      <c r="UHV230" s="1"/>
      <c r="UHW230" s="1"/>
      <c r="UHX230" s="1"/>
      <c r="UHY230" s="1"/>
      <c r="UHZ230" s="1"/>
      <c r="UIA230" s="1"/>
      <c r="UIB230" s="1"/>
      <c r="UIC230" s="1"/>
      <c r="UID230" s="1"/>
      <c r="UIE230" s="1"/>
      <c r="UIF230" s="1"/>
      <c r="UIG230" s="1"/>
      <c r="UIH230" s="1"/>
      <c r="UII230" s="1"/>
      <c r="UIJ230" s="1"/>
      <c r="UIK230" s="1"/>
      <c r="UIL230" s="1"/>
      <c r="UIM230" s="1"/>
      <c r="UIN230" s="1"/>
      <c r="UIO230" s="1"/>
      <c r="UIP230" s="1"/>
      <c r="UIQ230" s="1"/>
      <c r="UIR230" s="1"/>
      <c r="UIS230" s="1"/>
      <c r="UIT230" s="1"/>
      <c r="UIU230" s="1"/>
      <c r="UIV230" s="1"/>
      <c r="UIW230" s="1"/>
      <c r="UIX230" s="1"/>
      <c r="UIY230" s="1"/>
      <c r="UIZ230" s="1"/>
      <c r="UJA230" s="1"/>
      <c r="UJB230" s="1"/>
      <c r="UJC230" s="1"/>
      <c r="UJD230" s="1"/>
      <c r="UJE230" s="1"/>
      <c r="UJF230" s="1"/>
      <c r="UJG230" s="1"/>
      <c r="UJH230" s="1"/>
      <c r="UJI230" s="1"/>
      <c r="UJJ230" s="1"/>
      <c r="UJK230" s="1"/>
      <c r="UJL230" s="1"/>
      <c r="UJM230" s="1"/>
      <c r="UJN230" s="1"/>
      <c r="UJO230" s="1"/>
      <c r="UJP230" s="1"/>
      <c r="UJQ230" s="1"/>
      <c r="UJR230" s="1"/>
      <c r="UJS230" s="1"/>
      <c r="UJT230" s="1"/>
      <c r="UJU230" s="1"/>
      <c r="UJV230" s="1"/>
      <c r="UJW230" s="1"/>
      <c r="UJX230" s="1"/>
      <c r="UJY230" s="1"/>
      <c r="UJZ230" s="1"/>
      <c r="UKA230" s="1"/>
      <c r="UKB230" s="1"/>
      <c r="UKC230" s="1"/>
      <c r="UKD230" s="1"/>
      <c r="UKE230" s="1"/>
      <c r="UKF230" s="1"/>
      <c r="UKG230" s="1"/>
      <c r="UKH230" s="1"/>
      <c r="UKI230" s="1"/>
      <c r="UKJ230" s="1"/>
      <c r="UKK230" s="1"/>
      <c r="UKL230" s="1"/>
      <c r="UKM230" s="1"/>
      <c r="UKN230" s="1"/>
      <c r="UKO230" s="1"/>
      <c r="UKP230" s="1"/>
      <c r="UKQ230" s="1"/>
      <c r="UKR230" s="1"/>
      <c r="UKS230" s="1"/>
      <c r="UKT230" s="1"/>
      <c r="UKU230" s="1"/>
      <c r="UKV230" s="1"/>
      <c r="UKW230" s="1"/>
      <c r="UKX230" s="1"/>
      <c r="UKY230" s="1"/>
      <c r="UKZ230" s="1"/>
      <c r="ULA230" s="1"/>
      <c r="ULB230" s="1"/>
      <c r="ULC230" s="1"/>
      <c r="ULD230" s="1"/>
      <c r="ULE230" s="1"/>
      <c r="ULF230" s="1"/>
      <c r="ULG230" s="1"/>
      <c r="ULH230" s="1"/>
      <c r="ULI230" s="1"/>
      <c r="ULJ230" s="1"/>
      <c r="ULK230" s="1"/>
      <c r="ULL230" s="1"/>
      <c r="ULM230" s="1"/>
      <c r="ULN230" s="1"/>
      <c r="ULO230" s="1"/>
      <c r="ULP230" s="1"/>
      <c r="ULQ230" s="1"/>
      <c r="ULR230" s="1"/>
      <c r="ULS230" s="1"/>
      <c r="ULT230" s="1"/>
      <c r="ULU230" s="1"/>
      <c r="ULV230" s="1"/>
      <c r="ULW230" s="1"/>
      <c r="ULX230" s="1"/>
      <c r="ULY230" s="1"/>
      <c r="ULZ230" s="1"/>
      <c r="UMA230" s="1"/>
      <c r="UMB230" s="1"/>
      <c r="UMC230" s="1"/>
      <c r="UMD230" s="1"/>
      <c r="UME230" s="1"/>
      <c r="UMF230" s="1"/>
      <c r="UMG230" s="1"/>
      <c r="UMH230" s="1"/>
      <c r="UMI230" s="1"/>
      <c r="UMJ230" s="1"/>
      <c r="UMK230" s="1"/>
      <c r="UML230" s="1"/>
      <c r="UMM230" s="1"/>
      <c r="UMN230" s="1"/>
      <c r="UMO230" s="1"/>
      <c r="UMP230" s="1"/>
      <c r="UMQ230" s="1"/>
      <c r="UMR230" s="1"/>
      <c r="UMS230" s="1"/>
      <c r="UMT230" s="1"/>
      <c r="UMU230" s="1"/>
      <c r="UMV230" s="1"/>
      <c r="UMW230" s="1"/>
      <c r="UMX230" s="1"/>
      <c r="UMY230" s="1"/>
      <c r="UMZ230" s="1"/>
      <c r="UNA230" s="1"/>
      <c r="UNB230" s="1"/>
      <c r="UNC230" s="1"/>
      <c r="UND230" s="1"/>
      <c r="UNE230" s="1"/>
      <c r="UNF230" s="1"/>
      <c r="UNG230" s="1"/>
      <c r="UNH230" s="1"/>
      <c r="UNI230" s="1"/>
      <c r="UNJ230" s="1"/>
      <c r="UNK230" s="1"/>
      <c r="UNL230" s="1"/>
      <c r="UNM230" s="1"/>
      <c r="UNN230" s="1"/>
      <c r="UNO230" s="1"/>
      <c r="UNP230" s="1"/>
      <c r="UNQ230" s="1"/>
      <c r="UNR230" s="1"/>
      <c r="UNS230" s="1"/>
      <c r="UNT230" s="1"/>
      <c r="UNU230" s="1"/>
      <c r="UNV230" s="1"/>
      <c r="UNW230" s="1"/>
      <c r="UNX230" s="1"/>
      <c r="UNY230" s="1"/>
      <c r="UNZ230" s="1"/>
      <c r="UOA230" s="1"/>
      <c r="UOB230" s="1"/>
      <c r="UOC230" s="1"/>
      <c r="UOD230" s="1"/>
      <c r="UOE230" s="1"/>
      <c r="UOF230" s="1"/>
      <c r="UOG230" s="1"/>
      <c r="UOH230" s="1"/>
      <c r="UOI230" s="1"/>
      <c r="UOJ230" s="1"/>
      <c r="UOK230" s="1"/>
      <c r="UOL230" s="1"/>
      <c r="UOM230" s="1"/>
      <c r="UON230" s="1"/>
      <c r="UOO230" s="1"/>
      <c r="UOP230" s="1"/>
      <c r="UOQ230" s="1"/>
      <c r="UOR230" s="1"/>
      <c r="UOS230" s="1"/>
      <c r="UOT230" s="1"/>
      <c r="UOU230" s="1"/>
      <c r="UOV230" s="1"/>
      <c r="UOW230" s="1"/>
      <c r="UOX230" s="1"/>
      <c r="UOY230" s="1"/>
      <c r="UOZ230" s="1"/>
      <c r="UPA230" s="1"/>
      <c r="UPB230" s="1"/>
      <c r="UPC230" s="1"/>
      <c r="UPD230" s="1"/>
      <c r="UPE230" s="1"/>
      <c r="UPF230" s="1"/>
      <c r="UPG230" s="1"/>
      <c r="UPH230" s="1"/>
      <c r="UPI230" s="1"/>
      <c r="UPJ230" s="1"/>
      <c r="UPK230" s="1"/>
      <c r="UPL230" s="1"/>
      <c r="UPM230" s="1"/>
      <c r="UPN230" s="1"/>
      <c r="UPO230" s="1"/>
      <c r="UPP230" s="1"/>
      <c r="UPQ230" s="1"/>
      <c r="UPR230" s="1"/>
      <c r="UPS230" s="1"/>
      <c r="UPT230" s="1"/>
      <c r="UPU230" s="1"/>
      <c r="UPV230" s="1"/>
      <c r="UPW230" s="1"/>
      <c r="UPX230" s="1"/>
      <c r="UPY230" s="1"/>
      <c r="UPZ230" s="1"/>
      <c r="UQA230" s="1"/>
      <c r="UQB230" s="1"/>
      <c r="UQC230" s="1"/>
      <c r="UQD230" s="1"/>
      <c r="UQE230" s="1"/>
      <c r="UQF230" s="1"/>
      <c r="UQG230" s="1"/>
      <c r="UQH230" s="1"/>
      <c r="UQI230" s="1"/>
      <c r="UQJ230" s="1"/>
      <c r="UQK230" s="1"/>
      <c r="UQL230" s="1"/>
      <c r="UQM230" s="1"/>
      <c r="UQN230" s="1"/>
      <c r="UQO230" s="1"/>
      <c r="UQP230" s="1"/>
      <c r="UQQ230" s="1"/>
      <c r="UQR230" s="1"/>
      <c r="UQS230" s="1"/>
      <c r="UQT230" s="1"/>
      <c r="UQU230" s="1"/>
      <c r="UQV230" s="1"/>
      <c r="UQW230" s="1"/>
      <c r="UQX230" s="1"/>
      <c r="UQY230" s="1"/>
      <c r="UQZ230" s="1"/>
      <c r="URA230" s="1"/>
      <c r="URB230" s="1"/>
      <c r="URC230" s="1"/>
      <c r="URD230" s="1"/>
      <c r="URE230" s="1"/>
      <c r="URF230" s="1"/>
      <c r="URG230" s="1"/>
      <c r="URH230" s="1"/>
      <c r="URI230" s="1"/>
      <c r="URJ230" s="1"/>
      <c r="URK230" s="1"/>
      <c r="URL230" s="1"/>
      <c r="URM230" s="1"/>
      <c r="URN230" s="1"/>
      <c r="URO230" s="1"/>
      <c r="URP230" s="1"/>
      <c r="URQ230" s="1"/>
      <c r="URR230" s="1"/>
      <c r="URS230" s="1"/>
      <c r="URT230" s="1"/>
      <c r="URU230" s="1"/>
      <c r="URV230" s="1"/>
      <c r="URW230" s="1"/>
      <c r="URX230" s="1"/>
      <c r="URY230" s="1"/>
      <c r="URZ230" s="1"/>
      <c r="USA230" s="1"/>
      <c r="USB230" s="1"/>
      <c r="USC230" s="1"/>
      <c r="USD230" s="1"/>
      <c r="USE230" s="1"/>
      <c r="USF230" s="1"/>
      <c r="USG230" s="1"/>
      <c r="USH230" s="1"/>
      <c r="USI230" s="1"/>
      <c r="USJ230" s="1"/>
      <c r="USK230" s="1"/>
      <c r="USL230" s="1"/>
      <c r="USM230" s="1"/>
      <c r="USN230" s="1"/>
      <c r="USO230" s="1"/>
      <c r="USP230" s="1"/>
      <c r="USQ230" s="1"/>
      <c r="USR230" s="1"/>
      <c r="USS230" s="1"/>
      <c r="UST230" s="1"/>
      <c r="USU230" s="1"/>
      <c r="USV230" s="1"/>
      <c r="USW230" s="1"/>
      <c r="USX230" s="1"/>
      <c r="USY230" s="1"/>
      <c r="USZ230" s="1"/>
      <c r="UTA230" s="1"/>
      <c r="UTB230" s="1"/>
      <c r="UTC230" s="1"/>
      <c r="UTD230" s="1"/>
      <c r="UTE230" s="1"/>
      <c r="UTF230" s="1"/>
      <c r="UTG230" s="1"/>
      <c r="UTH230" s="1"/>
      <c r="UTI230" s="1"/>
      <c r="UTJ230" s="1"/>
      <c r="UTK230" s="1"/>
      <c r="UTL230" s="1"/>
      <c r="UTM230" s="1"/>
      <c r="UTN230" s="1"/>
      <c r="UTO230" s="1"/>
      <c r="UTP230" s="1"/>
      <c r="UTQ230" s="1"/>
      <c r="UTR230" s="1"/>
      <c r="UTS230" s="1"/>
      <c r="UTT230" s="1"/>
      <c r="UTU230" s="1"/>
      <c r="UTV230" s="1"/>
      <c r="UTW230" s="1"/>
      <c r="UTX230" s="1"/>
      <c r="UTY230" s="1"/>
      <c r="UTZ230" s="1"/>
      <c r="UUA230" s="1"/>
      <c r="UUB230" s="1"/>
      <c r="UUC230" s="1"/>
      <c r="UUD230" s="1"/>
      <c r="UUE230" s="1"/>
      <c r="UUF230" s="1"/>
      <c r="UUG230" s="1"/>
      <c r="UUH230" s="1"/>
      <c r="UUI230" s="1"/>
      <c r="UUJ230" s="1"/>
      <c r="UUK230" s="1"/>
      <c r="UUL230" s="1"/>
      <c r="UUM230" s="1"/>
      <c r="UUN230" s="1"/>
      <c r="UUO230" s="1"/>
      <c r="UUP230" s="1"/>
      <c r="UUQ230" s="1"/>
      <c r="UUR230" s="1"/>
      <c r="UUS230" s="1"/>
      <c r="UUT230" s="1"/>
      <c r="UUU230" s="1"/>
      <c r="UUV230" s="1"/>
      <c r="UUW230" s="1"/>
      <c r="UUX230" s="1"/>
      <c r="UUY230" s="1"/>
      <c r="UUZ230" s="1"/>
      <c r="UVA230" s="1"/>
      <c r="UVB230" s="1"/>
      <c r="UVC230" s="1"/>
      <c r="UVD230" s="1"/>
      <c r="UVE230" s="1"/>
      <c r="UVF230" s="1"/>
      <c r="UVG230" s="1"/>
      <c r="UVH230" s="1"/>
      <c r="UVI230" s="1"/>
      <c r="UVJ230" s="1"/>
      <c r="UVK230" s="1"/>
      <c r="UVL230" s="1"/>
      <c r="UVM230" s="1"/>
      <c r="UVN230" s="1"/>
      <c r="UVO230" s="1"/>
      <c r="UVP230" s="1"/>
      <c r="UVQ230" s="1"/>
      <c r="UVR230" s="1"/>
      <c r="UVS230" s="1"/>
      <c r="UVT230" s="1"/>
      <c r="UVU230" s="1"/>
      <c r="UVV230" s="1"/>
      <c r="UVW230" s="1"/>
      <c r="UVX230" s="1"/>
      <c r="UVY230" s="1"/>
      <c r="UVZ230" s="1"/>
      <c r="UWA230" s="1"/>
      <c r="UWB230" s="1"/>
      <c r="UWC230" s="1"/>
      <c r="UWD230" s="1"/>
      <c r="UWE230" s="1"/>
      <c r="UWF230" s="1"/>
      <c r="UWG230" s="1"/>
      <c r="UWH230" s="1"/>
      <c r="UWI230" s="1"/>
      <c r="UWJ230" s="1"/>
      <c r="UWK230" s="1"/>
      <c r="UWL230" s="1"/>
      <c r="UWM230" s="1"/>
      <c r="UWN230" s="1"/>
      <c r="UWO230" s="1"/>
      <c r="UWP230" s="1"/>
      <c r="UWQ230" s="1"/>
      <c r="UWR230" s="1"/>
      <c r="UWS230" s="1"/>
      <c r="UWT230" s="1"/>
      <c r="UWU230" s="1"/>
      <c r="UWV230" s="1"/>
      <c r="UWW230" s="1"/>
      <c r="UWX230" s="1"/>
      <c r="UWY230" s="1"/>
      <c r="UWZ230" s="1"/>
      <c r="UXA230" s="1"/>
      <c r="UXB230" s="1"/>
      <c r="UXC230" s="1"/>
      <c r="UXD230" s="1"/>
      <c r="UXE230" s="1"/>
      <c r="UXF230" s="1"/>
      <c r="UXG230" s="1"/>
      <c r="UXH230" s="1"/>
      <c r="UXI230" s="1"/>
      <c r="UXJ230" s="1"/>
      <c r="UXK230" s="1"/>
      <c r="UXL230" s="1"/>
      <c r="UXM230" s="1"/>
      <c r="UXN230" s="1"/>
      <c r="UXO230" s="1"/>
      <c r="UXP230" s="1"/>
      <c r="UXQ230" s="1"/>
      <c r="UXR230" s="1"/>
      <c r="UXS230" s="1"/>
      <c r="UXT230" s="1"/>
      <c r="UXU230" s="1"/>
      <c r="UXV230" s="1"/>
      <c r="UXW230" s="1"/>
      <c r="UXX230" s="1"/>
      <c r="UXY230" s="1"/>
      <c r="UXZ230" s="1"/>
      <c r="UYA230" s="1"/>
      <c r="UYB230" s="1"/>
      <c r="UYC230" s="1"/>
      <c r="UYD230" s="1"/>
      <c r="UYE230" s="1"/>
      <c r="UYF230" s="1"/>
      <c r="UYG230" s="1"/>
      <c r="UYH230" s="1"/>
      <c r="UYI230" s="1"/>
      <c r="UYJ230" s="1"/>
      <c r="UYK230" s="1"/>
      <c r="UYL230" s="1"/>
      <c r="UYM230" s="1"/>
      <c r="UYN230" s="1"/>
      <c r="UYO230" s="1"/>
      <c r="UYP230" s="1"/>
      <c r="UYQ230" s="1"/>
      <c r="UYR230" s="1"/>
      <c r="UYS230" s="1"/>
      <c r="UYT230" s="1"/>
      <c r="UYU230" s="1"/>
      <c r="UYV230" s="1"/>
      <c r="UYW230" s="1"/>
      <c r="UYX230" s="1"/>
      <c r="UYY230" s="1"/>
      <c r="UYZ230" s="1"/>
      <c r="UZA230" s="1"/>
      <c r="UZB230" s="1"/>
      <c r="UZC230" s="1"/>
      <c r="UZD230" s="1"/>
      <c r="UZE230" s="1"/>
      <c r="UZF230" s="1"/>
      <c r="UZG230" s="1"/>
      <c r="UZH230" s="1"/>
      <c r="UZI230" s="1"/>
      <c r="UZJ230" s="1"/>
      <c r="UZK230" s="1"/>
      <c r="UZL230" s="1"/>
      <c r="UZM230" s="1"/>
      <c r="UZN230" s="1"/>
      <c r="UZO230" s="1"/>
      <c r="UZP230" s="1"/>
      <c r="UZQ230" s="1"/>
      <c r="UZR230" s="1"/>
      <c r="UZS230" s="1"/>
      <c r="UZT230" s="1"/>
      <c r="UZU230" s="1"/>
      <c r="UZV230" s="1"/>
      <c r="UZW230" s="1"/>
      <c r="UZX230" s="1"/>
      <c r="UZY230" s="1"/>
      <c r="UZZ230" s="1"/>
      <c r="VAA230" s="1"/>
      <c r="VAB230" s="1"/>
      <c r="VAC230" s="1"/>
      <c r="VAD230" s="1"/>
      <c r="VAE230" s="1"/>
      <c r="VAF230" s="1"/>
      <c r="VAG230" s="1"/>
      <c r="VAH230" s="1"/>
      <c r="VAI230" s="1"/>
      <c r="VAJ230" s="1"/>
      <c r="VAK230" s="1"/>
      <c r="VAL230" s="1"/>
      <c r="VAM230" s="1"/>
      <c r="VAN230" s="1"/>
      <c r="VAO230" s="1"/>
      <c r="VAP230" s="1"/>
      <c r="VAQ230" s="1"/>
      <c r="VAR230" s="1"/>
      <c r="VAS230" s="1"/>
      <c r="VAT230" s="1"/>
      <c r="VAU230" s="1"/>
      <c r="VAV230" s="1"/>
      <c r="VAW230" s="1"/>
      <c r="VAX230" s="1"/>
      <c r="VAY230" s="1"/>
      <c r="VAZ230" s="1"/>
      <c r="VBA230" s="1"/>
      <c r="VBB230" s="1"/>
      <c r="VBC230" s="1"/>
      <c r="VBD230" s="1"/>
      <c r="VBE230" s="1"/>
      <c r="VBF230" s="1"/>
      <c r="VBG230" s="1"/>
      <c r="VBH230" s="1"/>
      <c r="VBI230" s="1"/>
      <c r="VBJ230" s="1"/>
      <c r="VBK230" s="1"/>
      <c r="VBL230" s="1"/>
      <c r="VBM230" s="1"/>
      <c r="VBN230" s="1"/>
      <c r="VBO230" s="1"/>
      <c r="VBP230" s="1"/>
      <c r="VBQ230" s="1"/>
      <c r="VBR230" s="1"/>
      <c r="VBS230" s="1"/>
      <c r="VBT230" s="1"/>
      <c r="VBU230" s="1"/>
      <c r="VBV230" s="1"/>
      <c r="VBW230" s="1"/>
      <c r="VBX230" s="1"/>
      <c r="VBY230" s="1"/>
      <c r="VBZ230" s="1"/>
      <c r="VCA230" s="1"/>
      <c r="VCB230" s="1"/>
      <c r="VCC230" s="1"/>
      <c r="VCD230" s="1"/>
      <c r="VCE230" s="1"/>
      <c r="VCF230" s="1"/>
      <c r="VCG230" s="1"/>
      <c r="VCH230" s="1"/>
      <c r="VCI230" s="1"/>
      <c r="VCJ230" s="1"/>
      <c r="VCK230" s="1"/>
      <c r="VCL230" s="1"/>
      <c r="VCM230" s="1"/>
      <c r="VCN230" s="1"/>
      <c r="VCO230" s="1"/>
      <c r="VCP230" s="1"/>
      <c r="VCQ230" s="1"/>
      <c r="VCR230" s="1"/>
      <c r="VCS230" s="1"/>
      <c r="VCT230" s="1"/>
      <c r="VCU230" s="1"/>
      <c r="VCV230" s="1"/>
      <c r="VCW230" s="1"/>
    </row>
  </sheetData>
  <mergeCells count="6">
    <mergeCell ref="F3:F4"/>
    <mergeCell ref="G3:G4"/>
    <mergeCell ref="H3:H4"/>
    <mergeCell ref="I3:I4"/>
    <mergeCell ref="F1:AP1"/>
    <mergeCell ref="J3:AN3"/>
  </mergeCells>
  <printOptions horizontalCentered="1" verticalCentered="1"/>
  <pageMargins left="0" right="0" top="0" bottom="0" header="0.31496062992125984" footer="0.31496062992125984"/>
  <pageSetup paperSize="5" scale="31" orientation="landscape" horizontalDpi="90" verticalDpi="90" r:id="rId1"/>
  <rowBreaks count="1" manualBreakCount="1">
    <brk id="144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Okt-22</vt:lpstr>
      <vt:lpstr>'Okt-22'!Print_Area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N2N0CX10H27707B@outlook.com</cp:lastModifiedBy>
  <cp:lastPrinted>2022-12-07T11:52:42Z</cp:lastPrinted>
  <dcterms:created xsi:type="dcterms:W3CDTF">2022-09-06T08:59:53Z</dcterms:created>
  <dcterms:modified xsi:type="dcterms:W3CDTF">2025-05-06T05:36:20Z</dcterms:modified>
</cp:coreProperties>
</file>